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files\"/>
    </mc:Choice>
  </mc:AlternateContent>
  <xr:revisionPtr revIDLastSave="0" documentId="10_ncr:100000_{5A87197B-F320-4588-9B1D-552EB4EC9168}" xr6:coauthVersionLast="31" xr6:coauthVersionMax="31" xr10:uidLastSave="{00000000-0000-0000-0000-000000000000}"/>
  <bookViews>
    <workbookView xWindow="0" yWindow="0" windowWidth="20490" windowHeight="7245" activeTab="3" xr2:uid="{E04E5D33-03C6-4B59-8245-03CC1752C48B}"/>
  </bookViews>
  <sheets>
    <sheet name="DDE" sheetId="1" r:id="rId1"/>
    <sheet name="Data" sheetId="4" r:id="rId2"/>
    <sheet name="Cash Projection" sheetId="6" r:id="rId3"/>
    <sheet name="SCBSFF" sheetId="7" r:id="rId4"/>
    <sheet name="Auction_3M" sheetId="2" r:id="rId5"/>
    <sheet name="Sheet3" sheetId="3" r:id="rId6"/>
    <sheet name="Portfolio Detail" sheetId="5" r:id="rId7"/>
  </sheets>
  <externalReferences>
    <externalReference r:id="rId8"/>
    <externalReference r:id="rId9"/>
  </externalReferences>
  <definedNames>
    <definedName name="_xlnm._FilterDatabase" localSheetId="0" hidden="1">DDE!$A$1:$DI$197</definedName>
  </definedNames>
  <calcPr calcId="179017"/>
  <pivotCaches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4" i="7" l="1"/>
  <c r="A83" i="7"/>
  <c r="A82" i="7"/>
  <c r="A81" i="7"/>
  <c r="A80" i="7"/>
  <c r="B61" i="7"/>
  <c r="SA58" i="7"/>
  <c r="RZ58" i="7"/>
  <c r="RY58" i="7"/>
  <c r="RX58" i="7"/>
  <c r="RW58" i="7"/>
  <c r="RV58" i="7"/>
  <c r="RU58" i="7"/>
  <c r="RT58" i="7"/>
  <c r="RS58" i="7"/>
  <c r="RR58" i="7"/>
  <c r="RQ58" i="7"/>
  <c r="RP58" i="7"/>
  <c r="RO58" i="7"/>
  <c r="RN58" i="7"/>
  <c r="RM58" i="7"/>
  <c r="RL58" i="7"/>
  <c r="RK58" i="7"/>
  <c r="RJ58" i="7"/>
  <c r="RI58" i="7"/>
  <c r="RH58" i="7"/>
  <c r="RG58" i="7"/>
  <c r="RF58" i="7"/>
  <c r="RE58" i="7"/>
  <c r="RD58" i="7"/>
  <c r="RC58" i="7"/>
  <c r="RB58" i="7"/>
  <c r="RA58" i="7"/>
  <c r="QZ58" i="7"/>
  <c r="QY58" i="7"/>
  <c r="QX58" i="7"/>
  <c r="QW58" i="7"/>
  <c r="QV58" i="7"/>
  <c r="QU58" i="7"/>
  <c r="QT58" i="7"/>
  <c r="QS58" i="7"/>
  <c r="QR58" i="7"/>
  <c r="QQ58" i="7"/>
  <c r="QP58" i="7"/>
  <c r="QO58" i="7"/>
  <c r="QN58" i="7"/>
  <c r="QM58" i="7"/>
  <c r="QL58" i="7"/>
  <c r="QK58" i="7"/>
  <c r="QJ58" i="7"/>
  <c r="QI58" i="7"/>
  <c r="QH58" i="7"/>
  <c r="QG58" i="7"/>
  <c r="QF58" i="7"/>
  <c r="QE58" i="7"/>
  <c r="QD58" i="7"/>
  <c r="QC58" i="7"/>
  <c r="QB58" i="7"/>
  <c r="QA58" i="7"/>
  <c r="PZ58" i="7"/>
  <c r="PY58" i="7"/>
  <c r="PX58" i="7"/>
  <c r="PW58" i="7"/>
  <c r="PV58" i="7"/>
  <c r="PU58" i="7"/>
  <c r="PT58" i="7"/>
  <c r="PS58" i="7"/>
  <c r="PR58" i="7"/>
  <c r="PQ58" i="7"/>
  <c r="PO58" i="7"/>
  <c r="PN58" i="7"/>
  <c r="PM58" i="7"/>
  <c r="PL58" i="7"/>
  <c r="PK58" i="7"/>
  <c r="PJ58" i="7"/>
  <c r="PI58" i="7"/>
  <c r="PH58" i="7"/>
  <c r="PG58" i="7"/>
  <c r="PF58" i="7"/>
  <c r="PE58" i="7"/>
  <c r="PD58" i="7"/>
  <c r="PC58" i="7"/>
  <c r="PB58" i="7"/>
  <c r="PA58" i="7"/>
  <c r="OZ58" i="7"/>
  <c r="OY58" i="7"/>
  <c r="OX58" i="7"/>
  <c r="OW58" i="7"/>
  <c r="OV58" i="7"/>
  <c r="OU58" i="7"/>
  <c r="OT58" i="7"/>
  <c r="OS58" i="7"/>
  <c r="OR58" i="7"/>
  <c r="OQ58" i="7"/>
  <c r="OP58" i="7"/>
  <c r="OO58" i="7"/>
  <c r="ON58" i="7"/>
  <c r="OM58" i="7"/>
  <c r="OL58" i="7"/>
  <c r="OK58" i="7"/>
  <c r="OJ58" i="7"/>
  <c r="OI58" i="7"/>
  <c r="OH58" i="7"/>
  <c r="OG58" i="7"/>
  <c r="OF58" i="7"/>
  <c r="OE58" i="7"/>
  <c r="OD58" i="7"/>
  <c r="OC58" i="7"/>
  <c r="OB58" i="7"/>
  <c r="OA58" i="7"/>
  <c r="NZ58" i="7"/>
  <c r="NY58" i="7"/>
  <c r="NX58" i="7"/>
  <c r="NW58" i="7"/>
  <c r="NV58" i="7"/>
  <c r="NU58" i="7"/>
  <c r="NT58" i="7"/>
  <c r="NS58" i="7"/>
  <c r="NR58" i="7"/>
  <c r="NQ58" i="7"/>
  <c r="NP58" i="7"/>
  <c r="NO58" i="7"/>
  <c r="NN58" i="7"/>
  <c r="NM58" i="7"/>
  <c r="NL58" i="7"/>
  <c r="NK58" i="7"/>
  <c r="NJ58" i="7"/>
  <c r="NI58" i="7"/>
  <c r="NH58" i="7"/>
  <c r="NG58" i="7"/>
  <c r="NF58" i="7"/>
  <c r="NE58" i="7"/>
  <c r="ND58" i="7"/>
  <c r="NC58" i="7"/>
  <c r="NB58" i="7"/>
  <c r="NA58" i="7"/>
  <c r="MZ58" i="7"/>
  <c r="MY58" i="7"/>
  <c r="MX58" i="7"/>
  <c r="MW58" i="7"/>
  <c r="MV58" i="7"/>
  <c r="MU58" i="7"/>
  <c r="MT58" i="7"/>
  <c r="MS58" i="7"/>
  <c r="MR58" i="7"/>
  <c r="MQ58" i="7"/>
  <c r="MP58" i="7"/>
  <c r="MO58" i="7"/>
  <c r="MN58" i="7"/>
  <c r="MM58" i="7"/>
  <c r="ML58" i="7"/>
  <c r="MK58" i="7"/>
  <c r="MJ58" i="7"/>
  <c r="MI58" i="7"/>
  <c r="MH58" i="7"/>
  <c r="MG58" i="7"/>
  <c r="MF58" i="7"/>
  <c r="ME58" i="7"/>
  <c r="MD58" i="7"/>
  <c r="MC58" i="7"/>
  <c r="MB58" i="7"/>
  <c r="MA58" i="7"/>
  <c r="LZ58" i="7"/>
  <c r="LY58" i="7"/>
  <c r="LX58" i="7"/>
  <c r="LW58" i="7"/>
  <c r="LV58" i="7"/>
  <c r="LU58" i="7"/>
  <c r="LT58" i="7"/>
  <c r="LS58" i="7"/>
  <c r="LR58" i="7"/>
  <c r="LQ58" i="7"/>
  <c r="LP58" i="7"/>
  <c r="LO58" i="7"/>
  <c r="LN58" i="7"/>
  <c r="LM58" i="7"/>
  <c r="LL58" i="7"/>
  <c r="LK58" i="7"/>
  <c r="LJ58" i="7"/>
  <c r="LI58" i="7"/>
  <c r="LH58" i="7"/>
  <c r="LG58" i="7"/>
  <c r="LF58" i="7"/>
  <c r="LE58" i="7"/>
  <c r="LD58" i="7"/>
  <c r="LC58" i="7"/>
  <c r="LB58" i="7"/>
  <c r="LA58" i="7"/>
  <c r="KZ58" i="7"/>
  <c r="KY58" i="7"/>
  <c r="KX58" i="7"/>
  <c r="KW58" i="7"/>
  <c r="KV58" i="7"/>
  <c r="KU58" i="7"/>
  <c r="KT58" i="7"/>
  <c r="KS58" i="7"/>
  <c r="KR58" i="7"/>
  <c r="KQ58" i="7"/>
  <c r="KP58" i="7"/>
  <c r="KO58" i="7"/>
  <c r="KN58" i="7"/>
  <c r="KM58" i="7"/>
  <c r="KL58" i="7"/>
  <c r="KK58" i="7"/>
  <c r="KJ58" i="7"/>
  <c r="KI58" i="7"/>
  <c r="KH58" i="7"/>
  <c r="KG58" i="7"/>
  <c r="KF58" i="7"/>
  <c r="KE58" i="7"/>
  <c r="KD58" i="7"/>
  <c r="KC58" i="7"/>
  <c r="KB58" i="7"/>
  <c r="KA58" i="7"/>
  <c r="JZ58" i="7"/>
  <c r="JY58" i="7"/>
  <c r="JX58" i="7"/>
  <c r="JW58" i="7"/>
  <c r="JV58" i="7"/>
  <c r="JU58" i="7"/>
  <c r="JT58" i="7"/>
  <c r="JS58" i="7"/>
  <c r="JR58" i="7"/>
  <c r="JQ58" i="7"/>
  <c r="JP58" i="7"/>
  <c r="JO58" i="7"/>
  <c r="JN58" i="7"/>
  <c r="JM58" i="7"/>
  <c r="JL58" i="7"/>
  <c r="JK58" i="7"/>
  <c r="JJ58" i="7"/>
  <c r="JI58" i="7"/>
  <c r="JH58" i="7"/>
  <c r="JG58" i="7"/>
  <c r="JF58" i="7"/>
  <c r="JE58" i="7"/>
  <c r="JD58" i="7"/>
  <c r="JC58" i="7"/>
  <c r="JB58" i="7"/>
  <c r="JA58" i="7"/>
  <c r="IZ58" i="7"/>
  <c r="IY58" i="7"/>
  <c r="IX58" i="7"/>
  <c r="IW58" i="7"/>
  <c r="IV58" i="7"/>
  <c r="IU58" i="7"/>
  <c r="IT58" i="7"/>
  <c r="IS58" i="7"/>
  <c r="IR58" i="7"/>
  <c r="IQ58" i="7"/>
  <c r="IP58" i="7"/>
  <c r="IO58" i="7"/>
  <c r="IN58" i="7"/>
  <c r="IM58" i="7"/>
  <c r="IL58" i="7"/>
  <c r="IK58" i="7"/>
  <c r="IJ58" i="7"/>
  <c r="II58" i="7"/>
  <c r="IH58" i="7"/>
  <c r="IG58" i="7"/>
  <c r="IF58" i="7"/>
  <c r="IE58" i="7"/>
  <c r="ID58" i="7"/>
  <c r="IC58" i="7"/>
  <c r="IB58" i="7"/>
  <c r="HZ58" i="7"/>
  <c r="HY58" i="7"/>
  <c r="HX58" i="7"/>
  <c r="HW58" i="7"/>
  <c r="HV58" i="7"/>
  <c r="HU58" i="7"/>
  <c r="HT58" i="7"/>
  <c r="HS58" i="7"/>
  <c r="HR58" i="7"/>
  <c r="HQ58" i="7"/>
  <c r="HP58" i="7"/>
  <c r="HO58" i="7"/>
  <c r="HN58" i="7"/>
  <c r="HM58" i="7"/>
  <c r="HL58" i="7"/>
  <c r="HK58" i="7"/>
  <c r="HJ58" i="7"/>
  <c r="HI58" i="7"/>
  <c r="HH58" i="7"/>
  <c r="HG58" i="7"/>
  <c r="HF58" i="7"/>
  <c r="HE58" i="7"/>
  <c r="HD58" i="7"/>
  <c r="HC58" i="7"/>
  <c r="HB58" i="7"/>
  <c r="HA58" i="7"/>
  <c r="GZ58" i="7"/>
  <c r="GY58" i="7"/>
  <c r="GX58" i="7"/>
  <c r="GW58" i="7"/>
  <c r="GV58" i="7"/>
  <c r="GU58" i="7"/>
  <c r="GT58" i="7"/>
  <c r="GS58" i="7"/>
  <c r="GR58" i="7"/>
  <c r="GQ58" i="7"/>
  <c r="GP58" i="7"/>
  <c r="GO58" i="7"/>
  <c r="GN58" i="7"/>
  <c r="GM58" i="7"/>
  <c r="GL58" i="7"/>
  <c r="GK58" i="7"/>
  <c r="GJ58" i="7"/>
  <c r="GI58" i="7"/>
  <c r="GH58" i="7"/>
  <c r="GG58" i="7"/>
  <c r="GF58" i="7"/>
  <c r="GE58" i="7"/>
  <c r="GD58" i="7"/>
  <c r="GC58" i="7"/>
  <c r="GB58" i="7"/>
  <c r="GA58" i="7"/>
  <c r="FZ58" i="7"/>
  <c r="FY58" i="7"/>
  <c r="FX58" i="7"/>
  <c r="FW58" i="7"/>
  <c r="FV58" i="7"/>
  <c r="FU58" i="7"/>
  <c r="FT58" i="7"/>
  <c r="FS58" i="7"/>
  <c r="FR58" i="7"/>
  <c r="FQ58" i="7"/>
  <c r="FP58" i="7"/>
  <c r="FO58" i="7"/>
  <c r="FM58" i="7"/>
  <c r="FL58" i="7"/>
  <c r="FK58" i="7"/>
  <c r="FJ58" i="7"/>
  <c r="FI58" i="7"/>
  <c r="FH58" i="7"/>
  <c r="FG58" i="7"/>
  <c r="FF58" i="7"/>
  <c r="FE58" i="7"/>
  <c r="FD58" i="7"/>
  <c r="FC58" i="7"/>
  <c r="FB58" i="7"/>
  <c r="FA58" i="7"/>
  <c r="EZ58" i="7"/>
  <c r="EY58" i="7"/>
  <c r="EX58" i="7"/>
  <c r="EW58" i="7"/>
  <c r="EV58" i="7"/>
  <c r="EU58" i="7"/>
  <c r="ET58" i="7"/>
  <c r="ES58" i="7"/>
  <c r="ER58" i="7"/>
  <c r="EQ58" i="7"/>
  <c r="EP58" i="7"/>
  <c r="EO58" i="7"/>
  <c r="EN58" i="7"/>
  <c r="EM58" i="7"/>
  <c r="EL58" i="7"/>
  <c r="EK58" i="7"/>
  <c r="EJ58" i="7"/>
  <c r="EI58" i="7"/>
  <c r="EH58" i="7"/>
  <c r="EG58" i="7"/>
  <c r="EF58" i="7"/>
  <c r="EE58" i="7"/>
  <c r="ED58" i="7"/>
  <c r="EC58" i="7"/>
  <c r="EB58" i="7"/>
  <c r="EA58" i="7"/>
  <c r="DZ58" i="7"/>
  <c r="DY58" i="7"/>
  <c r="DX58" i="7"/>
  <c r="DW58" i="7"/>
  <c r="DV58" i="7"/>
  <c r="DU58" i="7"/>
  <c r="DT58" i="7"/>
  <c r="DS58" i="7"/>
  <c r="DR58" i="7"/>
  <c r="DQ58" i="7"/>
  <c r="DP58" i="7"/>
  <c r="DO58" i="7"/>
  <c r="DN58" i="7"/>
  <c r="DM58" i="7"/>
  <c r="DL58" i="7"/>
  <c r="DK58" i="7"/>
  <c r="DJ58" i="7"/>
  <c r="DI58" i="7"/>
  <c r="DH58" i="7"/>
  <c r="DG58" i="7"/>
  <c r="DF58" i="7"/>
  <c r="DE58" i="7"/>
  <c r="DD58" i="7"/>
  <c r="DC58" i="7"/>
  <c r="DB58" i="7"/>
  <c r="DA58" i="7"/>
  <c r="CZ58" i="7"/>
  <c r="CY58" i="7"/>
  <c r="CX58" i="7"/>
  <c r="CW58" i="7"/>
  <c r="CV58" i="7"/>
  <c r="CU58" i="7"/>
  <c r="CT58" i="7"/>
  <c r="CS58" i="7"/>
  <c r="CR58" i="7"/>
  <c r="CQ58" i="7"/>
  <c r="CP58" i="7"/>
  <c r="CO58" i="7"/>
  <c r="CN58" i="7"/>
  <c r="CM58" i="7"/>
  <c r="CL58" i="7"/>
  <c r="CK58" i="7"/>
  <c r="CJ58" i="7"/>
  <c r="CI58" i="7"/>
  <c r="CH58" i="7"/>
  <c r="CG58" i="7"/>
  <c r="CF58" i="7"/>
  <c r="CE58" i="7"/>
  <c r="CD58" i="7"/>
  <c r="CC58" i="7"/>
  <c r="CB58" i="7"/>
  <c r="CA58" i="7"/>
  <c r="BZ58" i="7"/>
  <c r="BY58" i="7"/>
  <c r="BX58" i="7"/>
  <c r="BW58" i="7"/>
  <c r="BV58" i="7"/>
  <c r="BU58" i="7"/>
  <c r="BT58" i="7"/>
  <c r="BS58" i="7"/>
  <c r="BR58" i="7"/>
  <c r="BQ58" i="7"/>
  <c r="BP58" i="7"/>
  <c r="BO58" i="7"/>
  <c r="BN58" i="7"/>
  <c r="BM58" i="7"/>
  <c r="BL58" i="7"/>
  <c r="BK58" i="7"/>
  <c r="BJ58" i="7"/>
  <c r="BI58" i="7"/>
  <c r="BH58" i="7"/>
  <c r="BG58" i="7"/>
  <c r="BF58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DM48" i="7"/>
  <c r="SA47" i="7"/>
  <c r="RZ47" i="7"/>
  <c r="RY47" i="7"/>
  <c r="RX47" i="7"/>
  <c r="RW47" i="7"/>
  <c r="RV47" i="7"/>
  <c r="RU47" i="7"/>
  <c r="RT47" i="7"/>
  <c r="RS47" i="7"/>
  <c r="RR47" i="7"/>
  <c r="RQ47" i="7"/>
  <c r="RP47" i="7"/>
  <c r="RO47" i="7"/>
  <c r="RN47" i="7"/>
  <c r="RM47" i="7"/>
  <c r="RL47" i="7"/>
  <c r="RK47" i="7"/>
  <c r="RJ47" i="7"/>
  <c r="RI47" i="7"/>
  <c r="RH47" i="7"/>
  <c r="RG47" i="7"/>
  <c r="RF47" i="7"/>
  <c r="RE47" i="7"/>
  <c r="RD47" i="7"/>
  <c r="RC47" i="7"/>
  <c r="RB47" i="7"/>
  <c r="RA47" i="7"/>
  <c r="QZ47" i="7"/>
  <c r="QY47" i="7"/>
  <c r="QX47" i="7"/>
  <c r="QW47" i="7"/>
  <c r="QV47" i="7"/>
  <c r="QU47" i="7"/>
  <c r="QT47" i="7"/>
  <c r="QS47" i="7"/>
  <c r="QR47" i="7"/>
  <c r="QQ47" i="7"/>
  <c r="QP47" i="7"/>
  <c r="QO47" i="7"/>
  <c r="QN47" i="7"/>
  <c r="QM47" i="7"/>
  <c r="QL47" i="7"/>
  <c r="QK47" i="7"/>
  <c r="QJ47" i="7"/>
  <c r="QI47" i="7"/>
  <c r="QH47" i="7"/>
  <c r="QG47" i="7"/>
  <c r="QF47" i="7"/>
  <c r="QE47" i="7"/>
  <c r="QD47" i="7"/>
  <c r="QC47" i="7"/>
  <c r="QB47" i="7"/>
  <c r="QA47" i="7"/>
  <c r="PZ47" i="7"/>
  <c r="PY47" i="7"/>
  <c r="PX47" i="7"/>
  <c r="PT47" i="7"/>
  <c r="PP47" i="7"/>
  <c r="PO47" i="7"/>
  <c r="JG47" i="7"/>
  <c r="JE47" i="7"/>
  <c r="IB47" i="7"/>
  <c r="HZ47" i="7"/>
  <c r="FO47" i="7"/>
  <c r="FM47" i="7"/>
  <c r="DM47" i="7"/>
  <c r="DL47" i="7"/>
  <c r="DI47" i="7"/>
  <c r="IB45" i="7"/>
  <c r="PQ42" i="7"/>
  <c r="PP42" i="7"/>
  <c r="IB42" i="7"/>
  <c r="IA42" i="7"/>
  <c r="IA47" i="7" s="1"/>
  <c r="FO42" i="7"/>
  <c r="FN42" i="7"/>
  <c r="FN47" i="7" s="1"/>
  <c r="DK42" i="7"/>
  <c r="DJ42" i="7"/>
  <c r="DJ47" i="7" s="1"/>
  <c r="PX41" i="7"/>
  <c r="PW41" i="7"/>
  <c r="PV41" i="7"/>
  <c r="PU41" i="7"/>
  <c r="PT41" i="7"/>
  <c r="PS41" i="7"/>
  <c r="PR41" i="7"/>
  <c r="PQ41" i="7"/>
  <c r="IB41" i="7"/>
  <c r="FP41" i="7"/>
  <c r="FO41" i="7"/>
  <c r="DK41" i="7"/>
  <c r="PX40" i="7"/>
  <c r="PW40" i="7"/>
  <c r="PW47" i="7" s="1"/>
  <c r="PV40" i="7"/>
  <c r="PV47" i="7" s="1"/>
  <c r="PU40" i="7"/>
  <c r="PU47" i="7" s="1"/>
  <c r="PT40" i="7"/>
  <c r="PS40" i="7"/>
  <c r="PS47" i="7" s="1"/>
  <c r="PR40" i="7"/>
  <c r="PR47" i="7" s="1"/>
  <c r="PQ40" i="7"/>
  <c r="IB40" i="7"/>
  <c r="FP40" i="7"/>
  <c r="FP47" i="7" s="1"/>
  <c r="FO40" i="7"/>
  <c r="DK40" i="7"/>
  <c r="DK47" i="7" s="1"/>
  <c r="PQ39" i="7"/>
  <c r="IB39" i="7"/>
  <c r="FO39" i="7"/>
  <c r="PQ38" i="7"/>
  <c r="PQ47" i="7" s="1"/>
  <c r="IB38" i="7"/>
  <c r="FO38" i="7"/>
  <c r="SA35" i="7"/>
  <c r="RZ35" i="7"/>
  <c r="RY35" i="7"/>
  <c r="RX35" i="7"/>
  <c r="RW35" i="7"/>
  <c r="RV35" i="7"/>
  <c r="RU35" i="7"/>
  <c r="RT35" i="7"/>
  <c r="RS35" i="7"/>
  <c r="RR35" i="7"/>
  <c r="RQ35" i="7"/>
  <c r="RP35" i="7"/>
  <c r="RO35" i="7"/>
  <c r="RN35" i="7"/>
  <c r="RM35" i="7"/>
  <c r="RL35" i="7"/>
  <c r="RK35" i="7"/>
  <c r="RJ35" i="7"/>
  <c r="RI35" i="7"/>
  <c r="RH35" i="7"/>
  <c r="RG35" i="7"/>
  <c r="RF35" i="7"/>
  <c r="RE35" i="7"/>
  <c r="RD35" i="7"/>
  <c r="RC35" i="7"/>
  <c r="RB35" i="7"/>
  <c r="RA35" i="7"/>
  <c r="QZ35" i="7"/>
  <c r="QY35" i="7"/>
  <c r="QX35" i="7"/>
  <c r="QW35" i="7"/>
  <c r="QV35" i="7"/>
  <c r="QU35" i="7"/>
  <c r="QT35" i="7"/>
  <c r="QS35" i="7"/>
  <c r="QR35" i="7"/>
  <c r="QQ35" i="7"/>
  <c r="QP35" i="7"/>
  <c r="QO35" i="7"/>
  <c r="QN35" i="7"/>
  <c r="QM35" i="7"/>
  <c r="QL35" i="7"/>
  <c r="QK35" i="7"/>
  <c r="QJ35" i="7"/>
  <c r="QI35" i="7"/>
  <c r="QH35" i="7"/>
  <c r="QG35" i="7"/>
  <c r="QF35" i="7"/>
  <c r="QE35" i="7"/>
  <c r="QD35" i="7"/>
  <c r="QC35" i="7"/>
  <c r="QB35" i="7"/>
  <c r="QA35" i="7"/>
  <c r="PZ35" i="7"/>
  <c r="PY35" i="7"/>
  <c r="PP35" i="7"/>
  <c r="PO35" i="7"/>
  <c r="JG35" i="7"/>
  <c r="JE35" i="7"/>
  <c r="HZ35" i="7"/>
  <c r="FM35" i="7"/>
  <c r="DM35" i="7"/>
  <c r="DL35" i="7"/>
  <c r="DJ35" i="7"/>
  <c r="DI35" i="7"/>
  <c r="PQ30" i="7"/>
  <c r="PP30" i="7"/>
  <c r="IB30" i="7"/>
  <c r="IA30" i="7"/>
  <c r="IA35" i="7" s="1"/>
  <c r="FO30" i="7"/>
  <c r="FN30" i="7"/>
  <c r="FN35" i="7" s="1"/>
  <c r="DK30" i="7"/>
  <c r="DJ30" i="7"/>
  <c r="PX29" i="7"/>
  <c r="PW29" i="7"/>
  <c r="PV29" i="7"/>
  <c r="PU29" i="7"/>
  <c r="PT29" i="7"/>
  <c r="PS29" i="7"/>
  <c r="PR29" i="7"/>
  <c r="PQ29" i="7"/>
  <c r="IB29" i="7"/>
  <c r="FP29" i="7"/>
  <c r="FO29" i="7"/>
  <c r="DK29" i="7"/>
  <c r="PX28" i="7"/>
  <c r="PX35" i="7" s="1"/>
  <c r="PW28" i="7"/>
  <c r="PW35" i="7" s="1"/>
  <c r="PV28" i="7"/>
  <c r="PV35" i="7" s="1"/>
  <c r="PU28" i="7"/>
  <c r="PU35" i="7" s="1"/>
  <c r="PT28" i="7"/>
  <c r="PT35" i="7" s="1"/>
  <c r="PS28" i="7"/>
  <c r="PS35" i="7" s="1"/>
  <c r="PR28" i="7"/>
  <c r="PR35" i="7" s="1"/>
  <c r="PQ28" i="7"/>
  <c r="IB28" i="7"/>
  <c r="FP28" i="7"/>
  <c r="FP35" i="7" s="1"/>
  <c r="FO28" i="7"/>
  <c r="DK28" i="7"/>
  <c r="PQ26" i="7"/>
  <c r="IB26" i="7"/>
  <c r="FO26" i="7"/>
  <c r="PQ25" i="7"/>
  <c r="IB25" i="7"/>
  <c r="FO25" i="7"/>
  <c r="PQ24" i="7"/>
  <c r="IB24" i="7"/>
  <c r="FO24" i="7"/>
  <c r="IZ1" i="7"/>
  <c r="DJ2" i="4"/>
  <c r="DJ3" i="4"/>
  <c r="DJ4" i="4"/>
  <c r="DJ5" i="4"/>
  <c r="DJ6" i="4"/>
  <c r="DJ7" i="4"/>
  <c r="DJ8" i="4"/>
  <c r="DJ9" i="4"/>
  <c r="DJ10" i="4"/>
  <c r="DJ11" i="4"/>
  <c r="DJ12" i="4"/>
  <c r="DJ13" i="4"/>
  <c r="DJ14" i="4"/>
  <c r="DJ15" i="4"/>
  <c r="DJ16" i="4"/>
  <c r="DJ17" i="4"/>
  <c r="DJ18" i="4"/>
  <c r="DJ19" i="4"/>
  <c r="DJ20" i="4"/>
  <c r="DJ21" i="4"/>
  <c r="DJ22" i="4"/>
  <c r="DJ23" i="4"/>
  <c r="DJ24" i="4"/>
  <c r="DJ25" i="4"/>
  <c r="DJ26" i="4"/>
  <c r="DJ27" i="4"/>
  <c r="DJ28" i="4"/>
  <c r="DJ29" i="4"/>
  <c r="DJ30" i="4"/>
  <c r="DJ31" i="4"/>
  <c r="DJ32" i="4"/>
  <c r="DJ33" i="4"/>
  <c r="DJ34" i="4"/>
  <c r="DJ35" i="4"/>
  <c r="DJ36" i="4"/>
  <c r="DJ37" i="4"/>
  <c r="DJ38" i="4"/>
  <c r="DJ39" i="4"/>
  <c r="DJ40" i="4"/>
  <c r="DJ41" i="4"/>
  <c r="DJ42" i="4"/>
  <c r="DJ43" i="4"/>
  <c r="DJ44" i="4"/>
  <c r="DJ45" i="4"/>
  <c r="DJ46" i="4"/>
  <c r="DJ47" i="4"/>
  <c r="DJ48" i="4"/>
  <c r="DJ49" i="4"/>
  <c r="DJ50" i="4"/>
  <c r="DJ51" i="4"/>
  <c r="DJ52" i="4"/>
  <c r="DJ53" i="4"/>
  <c r="DJ54" i="4"/>
  <c r="DJ55" i="4"/>
  <c r="DJ56" i="4"/>
  <c r="DJ57" i="4"/>
  <c r="DJ58" i="4"/>
  <c r="DJ59" i="4"/>
  <c r="DJ60" i="4"/>
  <c r="DJ61" i="4"/>
  <c r="DJ62" i="4"/>
  <c r="DJ63" i="4"/>
  <c r="DJ64" i="4"/>
  <c r="DJ65" i="4"/>
  <c r="DJ66" i="4"/>
  <c r="DJ67" i="4"/>
  <c r="DJ68" i="4"/>
  <c r="DJ69" i="4"/>
  <c r="DJ70" i="4"/>
  <c r="DJ71" i="4"/>
  <c r="DJ72" i="4"/>
  <c r="DJ73" i="4"/>
  <c r="DJ74" i="4"/>
  <c r="DJ75" i="4"/>
  <c r="DJ76" i="4"/>
  <c r="DJ77" i="4"/>
  <c r="DJ78" i="4"/>
  <c r="DJ79" i="4"/>
  <c r="DJ80" i="4"/>
  <c r="DJ81" i="4"/>
  <c r="DJ82" i="4"/>
  <c r="DJ83" i="4"/>
  <c r="DJ84" i="4"/>
  <c r="DJ85" i="4"/>
  <c r="DJ86" i="4"/>
  <c r="DJ87" i="4"/>
  <c r="DJ88" i="4"/>
  <c r="DJ89" i="4"/>
  <c r="DJ90" i="4"/>
  <c r="DJ91" i="4"/>
  <c r="DJ92" i="4"/>
  <c r="DJ93" i="4"/>
  <c r="DJ94" i="4"/>
  <c r="DJ95" i="4"/>
  <c r="DJ96" i="4"/>
  <c r="DJ97" i="4"/>
  <c r="DJ98" i="4"/>
  <c r="DJ99" i="4"/>
  <c r="DJ100" i="4"/>
  <c r="DJ101" i="4"/>
  <c r="DJ102" i="4"/>
  <c r="DJ103" i="4"/>
  <c r="DJ104" i="4"/>
  <c r="DJ105" i="4"/>
  <c r="DJ106" i="4"/>
  <c r="DJ107" i="4"/>
  <c r="DJ108" i="4"/>
  <c r="DJ109" i="4"/>
  <c r="DJ110" i="4"/>
  <c r="DJ111" i="4"/>
  <c r="DJ112" i="4"/>
  <c r="DJ113" i="4"/>
  <c r="DJ114" i="4"/>
  <c r="DJ115" i="4"/>
  <c r="DJ116" i="4"/>
  <c r="DJ117" i="4"/>
  <c r="DJ118" i="4"/>
  <c r="DJ119" i="4"/>
  <c r="DJ120" i="4"/>
  <c r="DJ121" i="4"/>
  <c r="DJ122" i="4"/>
  <c r="DJ123" i="4"/>
  <c r="DJ124" i="4"/>
  <c r="DJ125" i="4"/>
  <c r="DJ126" i="4"/>
  <c r="DJ127" i="4"/>
  <c r="DJ128" i="4"/>
  <c r="DJ129" i="4"/>
  <c r="DJ130" i="4"/>
  <c r="DJ131" i="4"/>
  <c r="DJ132" i="4"/>
  <c r="DJ133" i="4"/>
  <c r="DJ134" i="4"/>
  <c r="DJ135" i="4"/>
  <c r="DJ136" i="4"/>
  <c r="DJ137" i="4"/>
  <c r="DJ138" i="4"/>
  <c r="DJ139" i="4"/>
  <c r="DJ140" i="4"/>
  <c r="DJ141" i="4"/>
  <c r="DJ142" i="4"/>
  <c r="DJ143" i="4"/>
  <c r="DJ144" i="4"/>
  <c r="DJ145" i="4"/>
  <c r="DJ146" i="4"/>
  <c r="DJ147" i="4"/>
  <c r="DJ148" i="4"/>
  <c r="DJ149" i="4"/>
  <c r="DJ150" i="4"/>
  <c r="DJ151" i="4"/>
  <c r="DJ152" i="4"/>
  <c r="DJ153" i="4"/>
  <c r="DJ154" i="4"/>
  <c r="DJ155" i="4"/>
  <c r="DJ156" i="4"/>
  <c r="DJ157" i="4"/>
  <c r="DJ158" i="4"/>
  <c r="DJ159" i="4"/>
  <c r="DJ160" i="4"/>
  <c r="DJ161" i="4"/>
  <c r="DJ162" i="4"/>
  <c r="DJ163" i="4"/>
  <c r="DJ164" i="4"/>
  <c r="DJ165" i="4"/>
  <c r="DJ166" i="4"/>
  <c r="DJ167" i="4"/>
  <c r="DJ168" i="4"/>
  <c r="DJ169" i="4"/>
  <c r="DJ170" i="4"/>
  <c r="DJ171" i="4"/>
  <c r="DJ172" i="4"/>
  <c r="DJ173" i="4"/>
  <c r="DJ174" i="4"/>
  <c r="DJ175" i="4"/>
  <c r="DJ176" i="4"/>
  <c r="DJ177" i="4"/>
  <c r="DJ178" i="4"/>
  <c r="DJ179" i="4"/>
  <c r="DJ180" i="4"/>
  <c r="DJ181" i="4"/>
  <c r="DJ182" i="4"/>
  <c r="DJ183" i="4"/>
  <c r="DJ184" i="4"/>
  <c r="DJ185" i="4"/>
  <c r="DJ186" i="4"/>
  <c r="DJ187" i="4"/>
  <c r="DJ188" i="4"/>
  <c r="DJ189" i="4"/>
  <c r="DJ190" i="4"/>
  <c r="DJ191" i="4"/>
  <c r="DJ192" i="4"/>
  <c r="DJ193" i="4"/>
  <c r="DJ194" i="4"/>
  <c r="DJ195" i="4"/>
  <c r="DJ196" i="4"/>
  <c r="DJ197" i="4"/>
  <c r="DJ198" i="4"/>
  <c r="DJ199" i="4"/>
  <c r="DJ200" i="4"/>
  <c r="DJ201" i="4"/>
  <c r="DJ202" i="4"/>
  <c r="DJ203" i="4"/>
  <c r="DJ204" i="4"/>
  <c r="DJ205" i="4"/>
  <c r="DJ206" i="4"/>
  <c r="DJ207" i="4"/>
  <c r="DJ208" i="4"/>
  <c r="DJ209" i="4"/>
  <c r="DJ210" i="4"/>
  <c r="DJ211" i="4"/>
  <c r="DJ212" i="4"/>
  <c r="DJ213" i="4"/>
  <c r="DJ214" i="4"/>
  <c r="DJ215" i="4"/>
  <c r="DJ216" i="4"/>
  <c r="DJ217" i="4"/>
  <c r="DJ218" i="4"/>
  <c r="DJ219" i="4"/>
  <c r="DJ220" i="4"/>
  <c r="DJ221" i="4"/>
  <c r="DJ222" i="4"/>
  <c r="DJ223" i="4"/>
  <c r="DJ224" i="4"/>
  <c r="DJ225" i="4"/>
  <c r="DJ226" i="4"/>
  <c r="DJ227" i="4"/>
  <c r="DJ228" i="4"/>
  <c r="DJ229" i="4"/>
  <c r="DJ230" i="4"/>
  <c r="DJ231" i="4"/>
  <c r="DJ232" i="4"/>
  <c r="DJ233" i="4"/>
  <c r="DJ234" i="4"/>
  <c r="DJ235" i="4"/>
  <c r="DJ236" i="4"/>
  <c r="DJ237" i="4"/>
  <c r="DJ238" i="4"/>
  <c r="DJ239" i="4"/>
  <c r="DJ240" i="4"/>
  <c r="DJ241" i="4"/>
  <c r="DJ242" i="4"/>
  <c r="DJ243" i="4"/>
  <c r="DJ244" i="4"/>
  <c r="DJ245" i="4"/>
  <c r="DJ246" i="4"/>
  <c r="DJ247" i="4"/>
  <c r="DJ248" i="4"/>
  <c r="DJ249" i="4"/>
  <c r="DJ250" i="4"/>
  <c r="DJ251" i="4"/>
  <c r="DJ252" i="4"/>
  <c r="DJ253" i="4"/>
  <c r="DJ254" i="4"/>
  <c r="DJ255" i="4"/>
  <c r="DJ256" i="4"/>
  <c r="DJ257" i="4"/>
  <c r="DJ258" i="4"/>
  <c r="DJ259" i="4"/>
  <c r="DJ260" i="4"/>
  <c r="DJ261" i="4"/>
  <c r="DJ262" i="4"/>
  <c r="DJ263" i="4"/>
  <c r="DJ264" i="4"/>
  <c r="DJ265" i="4"/>
  <c r="DJ266" i="4"/>
  <c r="DJ267" i="4"/>
  <c r="DJ268" i="4"/>
  <c r="DJ269" i="4"/>
  <c r="DJ270" i="4"/>
  <c r="DJ271" i="4"/>
  <c r="DJ272" i="4"/>
  <c r="DJ273" i="4"/>
  <c r="DJ274" i="4"/>
  <c r="DJ275" i="4"/>
  <c r="DJ276" i="4"/>
  <c r="DJ277" i="4"/>
  <c r="DJ278" i="4"/>
  <c r="DJ279" i="4"/>
  <c r="DJ280" i="4"/>
  <c r="DJ281" i="4"/>
  <c r="DJ282" i="4"/>
  <c r="DJ283" i="4"/>
  <c r="DJ284" i="4"/>
  <c r="DJ285" i="4"/>
  <c r="DJ286" i="4"/>
  <c r="DJ287" i="4"/>
  <c r="DJ288" i="4"/>
  <c r="DJ289" i="4"/>
  <c r="DJ290" i="4"/>
  <c r="DJ291" i="4"/>
  <c r="DJ292" i="4"/>
  <c r="DJ293" i="4"/>
  <c r="DJ294" i="4"/>
  <c r="DJ295" i="4"/>
  <c r="DJ296" i="4"/>
  <c r="DJ297" i="4"/>
  <c r="DJ298" i="4"/>
  <c r="DJ299" i="4"/>
  <c r="DJ300" i="4"/>
  <c r="DJ301" i="4"/>
  <c r="DJ302" i="4"/>
  <c r="DJ303" i="4"/>
  <c r="DJ304" i="4"/>
  <c r="DJ305" i="4"/>
  <c r="DJ306" i="4"/>
  <c r="DJ307" i="4"/>
  <c r="DJ308" i="4"/>
  <c r="DJ309" i="4"/>
  <c r="DJ310" i="4"/>
  <c r="DJ311" i="4"/>
  <c r="DJ312" i="4"/>
  <c r="DJ313" i="4"/>
  <c r="DJ314" i="4"/>
  <c r="DJ315" i="4"/>
  <c r="DJ316" i="4"/>
  <c r="DJ317" i="4"/>
  <c r="DJ318" i="4"/>
  <c r="DJ319" i="4"/>
  <c r="DJ320" i="4"/>
  <c r="DJ321" i="4"/>
  <c r="DJ322" i="4"/>
  <c r="DJ323" i="4"/>
  <c r="DJ324" i="4"/>
  <c r="DJ325" i="4"/>
  <c r="DJ326" i="4"/>
  <c r="DJ327" i="4"/>
  <c r="DJ328" i="4"/>
  <c r="DJ329" i="4"/>
  <c r="DJ330" i="4"/>
  <c r="DJ331" i="4"/>
  <c r="DJ332" i="4"/>
  <c r="DJ333" i="4"/>
  <c r="DJ334" i="4"/>
  <c r="DJ335" i="4"/>
  <c r="DJ336" i="4"/>
  <c r="DJ337" i="4"/>
  <c r="DJ338" i="4"/>
  <c r="DJ339" i="4"/>
  <c r="DJ340" i="4"/>
  <c r="DJ341" i="4"/>
  <c r="DJ342" i="4"/>
  <c r="DJ343" i="4"/>
  <c r="DJ344" i="4"/>
  <c r="DJ345" i="4"/>
  <c r="DJ346" i="4"/>
  <c r="DJ347" i="4"/>
  <c r="DJ348" i="4"/>
  <c r="DJ349" i="4"/>
  <c r="DJ350" i="4"/>
  <c r="DJ351" i="4"/>
  <c r="DJ352" i="4"/>
  <c r="DJ353" i="4"/>
  <c r="DJ354" i="4"/>
  <c r="DJ355" i="4"/>
  <c r="DJ356" i="4"/>
  <c r="DJ357" i="4"/>
  <c r="DJ358" i="4"/>
  <c r="DJ359" i="4"/>
  <c r="DJ360" i="4"/>
  <c r="DJ361" i="4"/>
  <c r="DJ362" i="4"/>
  <c r="RZ60" i="7"/>
  <c r="RV60" i="7"/>
  <c r="RR60" i="7"/>
  <c r="RN60" i="7"/>
  <c r="RJ60" i="7"/>
  <c r="RF60" i="7"/>
  <c r="RB60" i="7"/>
  <c r="QX60" i="7"/>
  <c r="QT60" i="7"/>
  <c r="QP60" i="7"/>
  <c r="QL60" i="7"/>
  <c r="QH60" i="7"/>
  <c r="QD60" i="7"/>
  <c r="PZ60" i="7"/>
  <c r="PV60" i="7"/>
  <c r="PR60" i="7"/>
  <c r="PN60" i="7"/>
  <c r="PJ60" i="7"/>
  <c r="PF60" i="7"/>
  <c r="PB60" i="7"/>
  <c r="OX60" i="7"/>
  <c r="OT60" i="7"/>
  <c r="OP60" i="7"/>
  <c r="OL60" i="7"/>
  <c r="OH60" i="7"/>
  <c r="OD60" i="7"/>
  <c r="NZ60" i="7"/>
  <c r="NV60" i="7"/>
  <c r="NR60" i="7"/>
  <c r="NN60" i="7"/>
  <c r="NJ60" i="7"/>
  <c r="NF60" i="7"/>
  <c r="NB60" i="7"/>
  <c r="MX60" i="7"/>
  <c r="MT60" i="7"/>
  <c r="MP60" i="7"/>
  <c r="ML60" i="7"/>
  <c r="MH60" i="7"/>
  <c r="MD60" i="7"/>
  <c r="LZ60" i="7"/>
  <c r="LV60" i="7"/>
  <c r="LR60" i="7"/>
  <c r="LN60" i="7"/>
  <c r="LJ60" i="7"/>
  <c r="LF60" i="7"/>
  <c r="LB60" i="7"/>
  <c r="KX60" i="7"/>
  <c r="KT60" i="7"/>
  <c r="KP60" i="7"/>
  <c r="KL60" i="7"/>
  <c r="KH60" i="7"/>
  <c r="KD60" i="7"/>
  <c r="JZ60" i="7"/>
  <c r="JV60" i="7"/>
  <c r="JR60" i="7"/>
  <c r="JN60" i="7"/>
  <c r="JJ60" i="7"/>
  <c r="JF60" i="7"/>
  <c r="JB60" i="7"/>
  <c r="IX60" i="7"/>
  <c r="IT60" i="7"/>
  <c r="IP60" i="7"/>
  <c r="IL60" i="7"/>
  <c r="IH60" i="7"/>
  <c r="ID60" i="7"/>
  <c r="HZ60" i="7"/>
  <c r="HV60" i="7"/>
  <c r="HR60" i="7"/>
  <c r="HN60" i="7"/>
  <c r="HJ60" i="7"/>
  <c r="HF60" i="7"/>
  <c r="HB60" i="7"/>
  <c r="GX60" i="7"/>
  <c r="GT60" i="7"/>
  <c r="GP60" i="7"/>
  <c r="GL60" i="7"/>
  <c r="GH60" i="7"/>
  <c r="GD60" i="7"/>
  <c r="FZ60" i="7"/>
  <c r="FV60" i="7"/>
  <c r="FR60" i="7"/>
  <c r="FJ60" i="7"/>
  <c r="FF60" i="7"/>
  <c r="FB60" i="7"/>
  <c r="EX60" i="7"/>
  <c r="ET60" i="7"/>
  <c r="EP60" i="7"/>
  <c r="EL60" i="7"/>
  <c r="EH60" i="7"/>
  <c r="ED60" i="7"/>
  <c r="DZ60" i="7"/>
  <c r="DV60" i="7"/>
  <c r="DR60" i="7"/>
  <c r="DN60" i="7"/>
  <c r="DF60" i="7"/>
  <c r="DB60" i="7"/>
  <c r="CX60" i="7"/>
  <c r="CT60" i="7"/>
  <c r="CP60" i="7"/>
  <c r="CL60" i="7"/>
  <c r="CH60" i="7"/>
  <c r="CD60" i="7"/>
  <c r="BZ60" i="7"/>
  <c r="BV60" i="7"/>
  <c r="BR60" i="7"/>
  <c r="BN60" i="7"/>
  <c r="BJ60" i="7"/>
  <c r="BF60" i="7"/>
  <c r="BB60" i="7"/>
  <c r="AX60" i="7"/>
  <c r="AT60" i="7"/>
  <c r="AP60" i="7"/>
  <c r="AL60" i="7"/>
  <c r="AH60" i="7"/>
  <c r="AD60" i="7"/>
  <c r="Z60" i="7"/>
  <c r="V60" i="7"/>
  <c r="R60" i="7"/>
  <c r="N60" i="7"/>
  <c r="J60" i="7"/>
  <c r="F60" i="7"/>
  <c r="B60" i="7"/>
  <c r="RY60" i="7"/>
  <c r="RU60" i="7"/>
  <c r="RQ60" i="7"/>
  <c r="RM60" i="7"/>
  <c r="RI60" i="7"/>
  <c r="RE60" i="7"/>
  <c r="RA60" i="7"/>
  <c r="QW60" i="7"/>
  <c r="QS60" i="7"/>
  <c r="QO60" i="7"/>
  <c r="QK60" i="7"/>
  <c r="QG60" i="7"/>
  <c r="QC60" i="7"/>
  <c r="PY60" i="7"/>
  <c r="PU60" i="7"/>
  <c r="PQ60" i="7"/>
  <c r="PM60" i="7"/>
  <c r="PI60" i="7"/>
  <c r="PE60" i="7"/>
  <c r="PA60" i="7"/>
  <c r="OW60" i="7"/>
  <c r="OS60" i="7"/>
  <c r="OO60" i="7"/>
  <c r="OK60" i="7"/>
  <c r="OG60" i="7"/>
  <c r="OC60" i="7"/>
  <c r="NY60" i="7"/>
  <c r="NU60" i="7"/>
  <c r="NQ60" i="7"/>
  <c r="NM60" i="7"/>
  <c r="NI60" i="7"/>
  <c r="NE60" i="7"/>
  <c r="NA60" i="7"/>
  <c r="MW60" i="7"/>
  <c r="MS60" i="7"/>
  <c r="MO60" i="7"/>
  <c r="MK60" i="7"/>
  <c r="MG60" i="7"/>
  <c r="MC60" i="7"/>
  <c r="LY60" i="7"/>
  <c r="LU60" i="7"/>
  <c r="LQ60" i="7"/>
  <c r="LM60" i="7"/>
  <c r="LI60" i="7"/>
  <c r="LE60" i="7"/>
  <c r="LA60" i="7"/>
  <c r="KW60" i="7"/>
  <c r="KS60" i="7"/>
  <c r="KO60" i="7"/>
  <c r="KK60" i="7"/>
  <c r="KG60" i="7"/>
  <c r="KC60" i="7"/>
  <c r="JY60" i="7"/>
  <c r="JU60" i="7"/>
  <c r="JQ60" i="7"/>
  <c r="JM60" i="7"/>
  <c r="JI60" i="7"/>
  <c r="JE60" i="7"/>
  <c r="JA60" i="7"/>
  <c r="IW60" i="7"/>
  <c r="IS60" i="7"/>
  <c r="IO60" i="7"/>
  <c r="IK60" i="7"/>
  <c r="IG60" i="7"/>
  <c r="IC60" i="7"/>
  <c r="HY60" i="7"/>
  <c r="HU60" i="7"/>
  <c r="HQ60" i="7"/>
  <c r="HM60" i="7"/>
  <c r="HI60" i="7"/>
  <c r="HE60" i="7"/>
  <c r="HA60" i="7"/>
  <c r="GW60" i="7"/>
  <c r="GS60" i="7"/>
  <c r="GO60" i="7"/>
  <c r="GK60" i="7"/>
  <c r="GG60" i="7"/>
  <c r="GC60" i="7"/>
  <c r="FY60" i="7"/>
  <c r="FU60" i="7"/>
  <c r="FQ60" i="7"/>
  <c r="FI60" i="7"/>
  <c r="FE60" i="7"/>
  <c r="FA60" i="7"/>
  <c r="EW60" i="7"/>
  <c r="ES60" i="7"/>
  <c r="EO60" i="7"/>
  <c r="EK60" i="7"/>
  <c r="EG60" i="7"/>
  <c r="EC60" i="7"/>
  <c r="DY60" i="7"/>
  <c r="DU60" i="7"/>
  <c r="DQ60" i="7"/>
  <c r="DM60" i="7"/>
  <c r="DE60" i="7"/>
  <c r="DA60" i="7"/>
  <c r="CW60" i="7"/>
  <c r="CS60" i="7"/>
  <c r="CO60" i="7"/>
  <c r="CK60" i="7"/>
  <c r="CG60" i="7"/>
  <c r="CC60" i="7"/>
  <c r="BY60" i="7"/>
  <c r="BU60" i="7"/>
  <c r="BQ60" i="7"/>
  <c r="BM60" i="7"/>
  <c r="BI60" i="7"/>
  <c r="BE60" i="7"/>
  <c r="BA60" i="7"/>
  <c r="AW60" i="7"/>
  <c r="AS60" i="7"/>
  <c r="AO60" i="7"/>
  <c r="AK60" i="7"/>
  <c r="AG60" i="7"/>
  <c r="AC60" i="7"/>
  <c r="Y60" i="7"/>
  <c r="U60" i="7"/>
  <c r="Q60" i="7"/>
  <c r="M60" i="7"/>
  <c r="I60" i="7"/>
  <c r="E60" i="7"/>
  <c r="RX60" i="7"/>
  <c r="RT60" i="7"/>
  <c r="RP60" i="7"/>
  <c r="RL60" i="7"/>
  <c r="RH60" i="7"/>
  <c r="RD60" i="7"/>
  <c r="QZ60" i="7"/>
  <c r="QV60" i="7"/>
  <c r="QR60" i="7"/>
  <c r="QN60" i="7"/>
  <c r="QJ60" i="7"/>
  <c r="QF60" i="7"/>
  <c r="QB60" i="7"/>
  <c r="PX60" i="7"/>
  <c r="PT60" i="7"/>
  <c r="PP60" i="7"/>
  <c r="PL60" i="7"/>
  <c r="PH60" i="7"/>
  <c r="PD60" i="7"/>
  <c r="OZ60" i="7"/>
  <c r="OV60" i="7"/>
  <c r="OR60" i="7"/>
  <c r="ON60" i="7"/>
  <c r="OJ60" i="7"/>
  <c r="OF60" i="7"/>
  <c r="OB60" i="7"/>
  <c r="NX60" i="7"/>
  <c r="NT60" i="7"/>
  <c r="NP60" i="7"/>
  <c r="NL60" i="7"/>
  <c r="NH60" i="7"/>
  <c r="ND60" i="7"/>
  <c r="MZ60" i="7"/>
  <c r="MV60" i="7"/>
  <c r="MR60" i="7"/>
  <c r="MN60" i="7"/>
  <c r="MJ60" i="7"/>
  <c r="MF60" i="7"/>
  <c r="MB60" i="7"/>
  <c r="LX60" i="7"/>
  <c r="LT60" i="7"/>
  <c r="LP60" i="7"/>
  <c r="LL60" i="7"/>
  <c r="LH60" i="7"/>
  <c r="LD60" i="7"/>
  <c r="KZ60" i="7"/>
  <c r="KV60" i="7"/>
  <c r="KR60" i="7"/>
  <c r="KN60" i="7"/>
  <c r="KJ60" i="7"/>
  <c r="KF60" i="7"/>
  <c r="KB60" i="7"/>
  <c r="JX60" i="7"/>
  <c r="JT60" i="7"/>
  <c r="JP60" i="7"/>
  <c r="JL60" i="7"/>
  <c r="JH60" i="7"/>
  <c r="JD60" i="7"/>
  <c r="IZ60" i="7"/>
  <c r="IV60" i="7"/>
  <c r="IR60" i="7"/>
  <c r="IN60" i="7"/>
  <c r="IJ60" i="7"/>
  <c r="IF60" i="7"/>
  <c r="IB60" i="7"/>
  <c r="HX60" i="7"/>
  <c r="HT60" i="7"/>
  <c r="HP60" i="7"/>
  <c r="HL60" i="7"/>
  <c r="HH60" i="7"/>
  <c r="HD60" i="7"/>
  <c r="GZ60" i="7"/>
  <c r="GV60" i="7"/>
  <c r="GR60" i="7"/>
  <c r="GN60" i="7"/>
  <c r="GJ60" i="7"/>
  <c r="GF60" i="7"/>
  <c r="GB60" i="7"/>
  <c r="FX60" i="7"/>
  <c r="FT60" i="7"/>
  <c r="FL60" i="7"/>
  <c r="FH60" i="7"/>
  <c r="FD60" i="7"/>
  <c r="EZ60" i="7"/>
  <c r="EV60" i="7"/>
  <c r="ER60" i="7"/>
  <c r="EN60" i="7"/>
  <c r="EJ60" i="7"/>
  <c r="EF60" i="7"/>
  <c r="EB60" i="7"/>
  <c r="DX60" i="7"/>
  <c r="DT60" i="7"/>
  <c r="DP60" i="7"/>
  <c r="DH60" i="7"/>
  <c r="DD60" i="7"/>
  <c r="CZ60" i="7"/>
  <c r="CV60" i="7"/>
  <c r="CR60" i="7"/>
  <c r="CN60" i="7"/>
  <c r="CJ60" i="7"/>
  <c r="CF60" i="7"/>
  <c r="CB60" i="7"/>
  <c r="BX60" i="7"/>
  <c r="BT60" i="7"/>
  <c r="BP60" i="7"/>
  <c r="BL60" i="7"/>
  <c r="BH60" i="7"/>
  <c r="BD60" i="7"/>
  <c r="AZ60" i="7"/>
  <c r="AV60" i="7"/>
  <c r="AR60" i="7"/>
  <c r="AN60" i="7"/>
  <c r="AJ60" i="7"/>
  <c r="AF60" i="7"/>
  <c r="AB60" i="7"/>
  <c r="X60" i="7"/>
  <c r="T60" i="7"/>
  <c r="P60" i="7"/>
  <c r="L60" i="7"/>
  <c r="H60" i="7"/>
  <c r="D60" i="7"/>
  <c r="RO60" i="7"/>
  <c r="QY60" i="7"/>
  <c r="QI60" i="7"/>
  <c r="PS60" i="7"/>
  <c r="PC60" i="7"/>
  <c r="OM60" i="7"/>
  <c r="NW60" i="7"/>
  <c r="NG60" i="7"/>
  <c r="MQ60" i="7"/>
  <c r="MA60" i="7"/>
  <c r="LK60" i="7"/>
  <c r="KU60" i="7"/>
  <c r="KE60" i="7"/>
  <c r="JO60" i="7"/>
  <c r="IY60" i="7"/>
  <c r="II60" i="7"/>
  <c r="HS60" i="7"/>
  <c r="HC60" i="7"/>
  <c r="GM60" i="7"/>
  <c r="FW60" i="7"/>
  <c r="FG60" i="7"/>
  <c r="EQ60" i="7"/>
  <c r="EA60" i="7"/>
  <c r="CU60" i="7"/>
  <c r="CE60" i="7"/>
  <c r="BO60" i="7"/>
  <c r="AY60" i="7"/>
  <c r="AI60" i="7"/>
  <c r="S60" i="7"/>
  <c r="C60" i="7"/>
  <c r="SA60" i="7"/>
  <c r="RK60" i="7"/>
  <c r="QU60" i="7"/>
  <c r="QE60" i="7"/>
  <c r="PO60" i="7"/>
  <c r="OY60" i="7"/>
  <c r="OI60" i="7"/>
  <c r="NS60" i="7"/>
  <c r="NC60" i="7"/>
  <c r="MM60" i="7"/>
  <c r="LW60" i="7"/>
  <c r="LG60" i="7"/>
  <c r="KQ60" i="7"/>
  <c r="KA60" i="7"/>
  <c r="JK60" i="7"/>
  <c r="IU60" i="7"/>
  <c r="IE60" i="7"/>
  <c r="HO60" i="7"/>
  <c r="GY60" i="7"/>
  <c r="GI60" i="7"/>
  <c r="FS60" i="7"/>
  <c r="FC60" i="7"/>
  <c r="EM60" i="7"/>
  <c r="DW60" i="7"/>
  <c r="DG60" i="7"/>
  <c r="CQ60" i="7"/>
  <c r="CA60" i="7"/>
  <c r="BK60" i="7"/>
  <c r="AU60" i="7"/>
  <c r="AE60" i="7"/>
  <c r="O60" i="7"/>
  <c r="RW60" i="7"/>
  <c r="RG60" i="7"/>
  <c r="QQ60" i="7"/>
  <c r="QA60" i="7"/>
  <c r="PK60" i="7"/>
  <c r="OU60" i="7"/>
  <c r="OE60" i="7"/>
  <c r="NO60" i="7"/>
  <c r="MY60" i="7"/>
  <c r="MI60" i="7"/>
  <c r="LS60" i="7"/>
  <c r="LC60" i="7"/>
  <c r="KM60" i="7"/>
  <c r="JW60" i="7"/>
  <c r="JG60" i="7"/>
  <c r="IQ60" i="7"/>
  <c r="IA60" i="7"/>
  <c r="HK60" i="7"/>
  <c r="GU60" i="7"/>
  <c r="GE60" i="7"/>
  <c r="EY60" i="7"/>
  <c r="EI60" i="7"/>
  <c r="DS60" i="7"/>
  <c r="DC60" i="7"/>
  <c r="CM60" i="7"/>
  <c r="BW60" i="7"/>
  <c r="BG60" i="7"/>
  <c r="AQ60" i="7"/>
  <c r="AA60" i="7"/>
  <c r="K60" i="7"/>
  <c r="PW60" i="7"/>
  <c r="NK60" i="7"/>
  <c r="KY60" i="7"/>
  <c r="IM60" i="7"/>
  <c r="GA60" i="7"/>
  <c r="DO60" i="7"/>
  <c r="BC60" i="7"/>
  <c r="JG5" i="7"/>
  <c r="HZ5" i="7"/>
  <c r="FM5" i="7"/>
  <c r="DI5" i="7"/>
  <c r="JE5" i="7"/>
  <c r="RS60" i="7"/>
  <c r="PG60" i="7"/>
  <c r="MU60" i="7"/>
  <c r="KI60" i="7"/>
  <c r="HW60" i="7"/>
  <c r="FK60" i="7"/>
  <c r="CY60" i="7"/>
  <c r="AM60" i="7"/>
  <c r="RC60" i="7"/>
  <c r="OQ60" i="7"/>
  <c r="ME60" i="7"/>
  <c r="JS60" i="7"/>
  <c r="HG60" i="7"/>
  <c r="EU60" i="7"/>
  <c r="CI60" i="7"/>
  <c r="W60" i="7"/>
  <c r="QM60" i="7"/>
  <c r="OA60" i="7"/>
  <c r="LO60" i="7"/>
  <c r="JC60" i="7"/>
  <c r="GQ60" i="7"/>
  <c r="EE60" i="7"/>
  <c r="BS60" i="7"/>
  <c r="G60" i="7"/>
  <c r="PO5" i="7"/>
  <c r="IA5" i="7"/>
  <c r="FN5" i="7"/>
  <c r="DJ5" i="7"/>
  <c r="FM60" i="7"/>
  <c r="DI60" i="7"/>
  <c r="PP5" i="7"/>
  <c r="IB5" i="7"/>
  <c r="FO5" i="7"/>
  <c r="FN60" i="7"/>
  <c r="DK5" i="7"/>
  <c r="DJ60" i="7"/>
  <c r="PQ5" i="7"/>
  <c r="FP5" i="7"/>
  <c r="FO60" i="7"/>
  <c r="DL5" i="7"/>
  <c r="DK60" i="7"/>
  <c r="PR5" i="7"/>
  <c r="FP60" i="7"/>
  <c r="DL60" i="7"/>
  <c r="PS5" i="7"/>
  <c r="PT5" i="7"/>
  <c r="PU5" i="7"/>
  <c r="PV5" i="7"/>
  <c r="PW5" i="7"/>
  <c r="PX5" i="7"/>
  <c r="PY5" i="7"/>
  <c r="PZ5" i="7"/>
  <c r="QA5" i="7"/>
  <c r="QB5" i="7"/>
  <c r="QC5" i="7"/>
  <c r="QD5" i="7"/>
  <c r="QE5" i="7"/>
  <c r="QF5" i="7"/>
  <c r="QG5" i="7"/>
  <c r="QH5" i="7"/>
  <c r="QI5" i="7"/>
  <c r="QJ5" i="7"/>
  <c r="QK5" i="7"/>
  <c r="QL5" i="7"/>
  <c r="QM5" i="7"/>
  <c r="QN5" i="7"/>
  <c r="QO5" i="7"/>
  <c r="QP5" i="7"/>
  <c r="QQ5" i="7"/>
  <c r="QR5" i="7"/>
  <c r="QS5" i="7"/>
  <c r="QT5" i="7"/>
  <c r="QU5" i="7"/>
  <c r="QV5" i="7"/>
  <c r="QW5" i="7"/>
  <c r="QX5" i="7"/>
  <c r="QY5" i="7"/>
  <c r="QZ5" i="7"/>
  <c r="RA5" i="7"/>
  <c r="RB5" i="7"/>
  <c r="RC5" i="7"/>
  <c r="RD5" i="7"/>
  <c r="RE5" i="7"/>
  <c r="RF5" i="7"/>
  <c r="RG5" i="7"/>
  <c r="RH5" i="7"/>
  <c r="RI5" i="7"/>
  <c r="RJ5" i="7"/>
  <c r="RK5" i="7"/>
  <c r="RL5" i="7"/>
  <c r="RM5" i="7"/>
  <c r="RN5" i="7"/>
  <c r="RO5" i="7"/>
  <c r="RP5" i="7"/>
  <c r="RQ5" i="7"/>
  <c r="RR5" i="7"/>
  <c r="RS5" i="7"/>
  <c r="RT5" i="7"/>
  <c r="RU5" i="7"/>
  <c r="RV5" i="7"/>
  <c r="RW5" i="7"/>
  <c r="RX5" i="7"/>
  <c r="RY5" i="7"/>
  <c r="RZ5" i="7"/>
  <c r="SA5" i="7"/>
  <c r="DM61" i="7" l="1"/>
  <c r="FQ61" i="7"/>
  <c r="PR61" i="7"/>
  <c r="PS61" i="7" s="1"/>
  <c r="PT61" i="7" s="1"/>
  <c r="PU61" i="7" s="1"/>
  <c r="PV61" i="7" s="1"/>
  <c r="PW61" i="7" s="1"/>
  <c r="PX61" i="7" s="1"/>
  <c r="PY61" i="7" s="1"/>
  <c r="PZ61" i="7" s="1"/>
  <c r="QA61" i="7" s="1"/>
  <c r="QB61" i="7" s="1"/>
  <c r="QC61" i="7" s="1"/>
  <c r="QD61" i="7" s="1"/>
  <c r="QE61" i="7" s="1"/>
  <c r="QF61" i="7" s="1"/>
  <c r="QG61" i="7" s="1"/>
  <c r="QH61" i="7" s="1"/>
  <c r="QI61" i="7" s="1"/>
  <c r="QJ61" i="7" s="1"/>
  <c r="QK61" i="7" s="1"/>
  <c r="QL61" i="7" s="1"/>
  <c r="QM61" i="7" s="1"/>
  <c r="QN61" i="7" s="1"/>
  <c r="QO61" i="7" s="1"/>
  <c r="QP61" i="7" s="1"/>
  <c r="QQ61" i="7" s="1"/>
  <c r="QR61" i="7" s="1"/>
  <c r="QS61" i="7" s="1"/>
  <c r="QT61" i="7" s="1"/>
  <c r="QU61" i="7" s="1"/>
  <c r="QV61" i="7" s="1"/>
  <c r="QW61" i="7" s="1"/>
  <c r="QX61" i="7" s="1"/>
  <c r="QY61" i="7" s="1"/>
  <c r="QZ61" i="7" s="1"/>
  <c r="RA61" i="7" s="1"/>
  <c r="RB61" i="7" s="1"/>
  <c r="RC61" i="7" s="1"/>
  <c r="RD61" i="7" s="1"/>
  <c r="RE61" i="7" s="1"/>
  <c r="RF61" i="7" s="1"/>
  <c r="RG61" i="7" s="1"/>
  <c r="RH61" i="7" s="1"/>
  <c r="RI61" i="7" s="1"/>
  <c r="RJ61" i="7" s="1"/>
  <c r="RK61" i="7" s="1"/>
  <c r="RL61" i="7" s="1"/>
  <c r="RM61" i="7" s="1"/>
  <c r="RN61" i="7" s="1"/>
  <c r="RO61" i="7" s="1"/>
  <c r="RP61" i="7" s="1"/>
  <c r="RQ61" i="7" s="1"/>
  <c r="RR61" i="7" s="1"/>
  <c r="RS61" i="7" s="1"/>
  <c r="RT61" i="7" s="1"/>
  <c r="RU61" i="7" s="1"/>
  <c r="RV61" i="7" s="1"/>
  <c r="RW61" i="7" s="1"/>
  <c r="RX61" i="7" s="1"/>
  <c r="RY61" i="7" s="1"/>
  <c r="RZ61" i="7" s="1"/>
  <c r="SA61" i="7" s="1"/>
  <c r="PR21" i="7"/>
  <c r="PR48" i="7" s="1"/>
  <c r="DL61" i="7"/>
  <c r="FP61" i="7"/>
  <c r="FP21" i="7"/>
  <c r="FP48" i="7" s="1"/>
  <c r="PQ61" i="7"/>
  <c r="PQ21" i="7"/>
  <c r="DK61" i="7"/>
  <c r="DK21" i="7"/>
  <c r="DK48" i="7" s="1"/>
  <c r="FO61" i="7"/>
  <c r="FO21" i="7"/>
  <c r="IB61" i="7"/>
  <c r="IB21" i="7"/>
  <c r="IB48" i="7" s="1"/>
  <c r="PP61" i="7"/>
  <c r="PP21" i="7"/>
  <c r="PP48" i="7" s="1"/>
  <c r="DJ61" i="7"/>
  <c r="DJ21" i="7"/>
  <c r="DJ48" i="7" s="1"/>
  <c r="FN61" i="7"/>
  <c r="FN21" i="7"/>
  <c r="FN48" i="7" s="1"/>
  <c r="IA61" i="7"/>
  <c r="IA21" i="7"/>
  <c r="IA48" i="7" s="1"/>
  <c r="PO61" i="7"/>
  <c r="PO21" i="7"/>
  <c r="PO48" i="7" s="1"/>
  <c r="G62" i="7"/>
  <c r="H61" i="7"/>
  <c r="BS62" i="7"/>
  <c r="BT61" i="7"/>
  <c r="EE62" i="7"/>
  <c r="EF61" i="7"/>
  <c r="GQ62" i="7"/>
  <c r="GR61" i="7"/>
  <c r="JC62" i="7"/>
  <c r="JD61" i="7"/>
  <c r="LO62" i="7"/>
  <c r="LP61" i="7"/>
  <c r="OA62" i="7"/>
  <c r="OB61" i="7"/>
  <c r="W62" i="7"/>
  <c r="X61" i="7"/>
  <c r="CI62" i="7"/>
  <c r="CJ61" i="7"/>
  <c r="EU62" i="7"/>
  <c r="EV61" i="7"/>
  <c r="HG62" i="7"/>
  <c r="HH61" i="7"/>
  <c r="JS62" i="7"/>
  <c r="JT61" i="7"/>
  <c r="ME62" i="7"/>
  <c r="MF61" i="7"/>
  <c r="OQ62" i="7"/>
  <c r="OR61" i="7"/>
  <c r="AM62" i="7"/>
  <c r="AN61" i="7"/>
  <c r="CY62" i="7"/>
  <c r="CZ61" i="7"/>
  <c r="FK62" i="7"/>
  <c r="FL61" i="7"/>
  <c r="HW62" i="7"/>
  <c r="HX61" i="7"/>
  <c r="KI62" i="7"/>
  <c r="KJ61" i="7"/>
  <c r="MU62" i="7"/>
  <c r="MV61" i="7"/>
  <c r="PG62" i="7"/>
  <c r="PH61" i="7"/>
  <c r="JE61" i="7"/>
  <c r="JE21" i="7"/>
  <c r="JE48" i="7" s="1"/>
  <c r="DI61" i="7"/>
  <c r="DI21" i="7"/>
  <c r="DI48" i="7" s="1"/>
  <c r="FM61" i="7"/>
  <c r="FM21" i="7"/>
  <c r="FM48" i="7" s="1"/>
  <c r="HZ61" i="7"/>
  <c r="HZ21" i="7"/>
  <c r="HZ48" i="7" s="1"/>
  <c r="JG61" i="7"/>
  <c r="JG21" i="7"/>
  <c r="JG48" i="7" s="1"/>
  <c r="BC62" i="7"/>
  <c r="BD61" i="7"/>
  <c r="DO62" i="7"/>
  <c r="DP61" i="7"/>
  <c r="GA62" i="7"/>
  <c r="GB61" i="7"/>
  <c r="IM62" i="7"/>
  <c r="IN61" i="7"/>
  <c r="KY62" i="7"/>
  <c r="KZ61" i="7"/>
  <c r="NK62" i="7"/>
  <c r="NL61" i="7"/>
  <c r="K62" i="7"/>
  <c r="L61" i="7"/>
  <c r="AA62" i="7"/>
  <c r="AB61" i="7"/>
  <c r="AQ62" i="7"/>
  <c r="AR61" i="7"/>
  <c r="BG62" i="7"/>
  <c r="BH61" i="7"/>
  <c r="BW62" i="7"/>
  <c r="BX61" i="7"/>
  <c r="CM62" i="7"/>
  <c r="CN61" i="7"/>
  <c r="DC62" i="7"/>
  <c r="DD61" i="7"/>
  <c r="DS62" i="7"/>
  <c r="DT61" i="7"/>
  <c r="EI62" i="7"/>
  <c r="EJ61" i="7"/>
  <c r="EY62" i="7"/>
  <c r="EZ61" i="7"/>
  <c r="GE62" i="7"/>
  <c r="GF61" i="7"/>
  <c r="GU62" i="7"/>
  <c r="GV61" i="7"/>
  <c r="HK62" i="7"/>
  <c r="HL61" i="7"/>
  <c r="IQ62" i="7"/>
  <c r="IR61" i="7"/>
  <c r="JH61" i="7"/>
  <c r="JW62" i="7"/>
  <c r="JX61" i="7"/>
  <c r="KM62" i="7"/>
  <c r="KN61" i="7"/>
  <c r="LC62" i="7"/>
  <c r="LD61" i="7"/>
  <c r="LS62" i="7"/>
  <c r="LT61" i="7"/>
  <c r="MI62" i="7"/>
  <c r="MJ61" i="7"/>
  <c r="MY62" i="7"/>
  <c r="MZ61" i="7"/>
  <c r="NO62" i="7"/>
  <c r="NP61" i="7"/>
  <c r="OE62" i="7"/>
  <c r="OF61" i="7"/>
  <c r="OU62" i="7"/>
  <c r="OV61" i="7"/>
  <c r="PK62" i="7"/>
  <c r="PL61" i="7"/>
  <c r="O62" i="7"/>
  <c r="P61" i="7"/>
  <c r="AE62" i="7"/>
  <c r="AF61" i="7"/>
  <c r="AU62" i="7"/>
  <c r="AV61" i="7"/>
  <c r="BK62" i="7"/>
  <c r="BL61" i="7"/>
  <c r="CA62" i="7"/>
  <c r="CB61" i="7"/>
  <c r="CQ62" i="7"/>
  <c r="CR61" i="7"/>
  <c r="DG62" i="7"/>
  <c r="DH61" i="7"/>
  <c r="DW62" i="7"/>
  <c r="DX61" i="7"/>
  <c r="EM62" i="7"/>
  <c r="EN61" i="7"/>
  <c r="FC62" i="7"/>
  <c r="FD61" i="7"/>
  <c r="FS62" i="7"/>
  <c r="FT61" i="7"/>
  <c r="GI62" i="7"/>
  <c r="GJ61" i="7"/>
  <c r="GY62" i="7"/>
  <c r="GZ61" i="7"/>
  <c r="HO62" i="7"/>
  <c r="HP61" i="7"/>
  <c r="IE62" i="7"/>
  <c r="IF61" i="7"/>
  <c r="IU62" i="7"/>
  <c r="IV61" i="7"/>
  <c r="JK62" i="7"/>
  <c r="JL61" i="7"/>
  <c r="KA62" i="7"/>
  <c r="KB61" i="7"/>
  <c r="KQ62" i="7"/>
  <c r="KR61" i="7"/>
  <c r="LG62" i="7"/>
  <c r="LH61" i="7"/>
  <c r="LW62" i="7"/>
  <c r="LX61" i="7"/>
  <c r="MM62" i="7"/>
  <c r="MN61" i="7"/>
  <c r="NC62" i="7"/>
  <c r="ND61" i="7"/>
  <c r="NS62" i="7"/>
  <c r="NT61" i="7"/>
  <c r="OI62" i="7"/>
  <c r="OJ61" i="7"/>
  <c r="OY62" i="7"/>
  <c r="OZ61" i="7"/>
  <c r="C62" i="7"/>
  <c r="D61" i="7"/>
  <c r="S62" i="7"/>
  <c r="T61" i="7"/>
  <c r="AI62" i="7"/>
  <c r="AJ61" i="7"/>
  <c r="AY62" i="7"/>
  <c r="AZ61" i="7"/>
  <c r="BO62" i="7"/>
  <c r="BP61" i="7"/>
  <c r="CE62" i="7"/>
  <c r="CF61" i="7"/>
  <c r="CU62" i="7"/>
  <c r="CV61" i="7"/>
  <c r="EA62" i="7"/>
  <c r="EB61" i="7"/>
  <c r="EQ62" i="7"/>
  <c r="ER61" i="7"/>
  <c r="FG62" i="7"/>
  <c r="FH61" i="7"/>
  <c r="FW62" i="7"/>
  <c r="FX61" i="7"/>
  <c r="GM62" i="7"/>
  <c r="GN61" i="7"/>
  <c r="HC62" i="7"/>
  <c r="HD61" i="7"/>
  <c r="HS62" i="7"/>
  <c r="HT61" i="7"/>
  <c r="II62" i="7"/>
  <c r="IJ61" i="7"/>
  <c r="IY62" i="7"/>
  <c r="IZ61" i="7"/>
  <c r="JO62" i="7"/>
  <c r="JP61" i="7"/>
  <c r="KE62" i="7"/>
  <c r="KF61" i="7"/>
  <c r="KU62" i="7"/>
  <c r="KV61" i="7"/>
  <c r="LK62" i="7"/>
  <c r="LL61" i="7"/>
  <c r="MA62" i="7"/>
  <c r="MB61" i="7"/>
  <c r="MQ62" i="7"/>
  <c r="MR61" i="7"/>
  <c r="NG62" i="7"/>
  <c r="NH61" i="7"/>
  <c r="NW62" i="7"/>
  <c r="NX61" i="7"/>
  <c r="OM62" i="7"/>
  <c r="ON61" i="7"/>
  <c r="PC62" i="7"/>
  <c r="PD61" i="7"/>
  <c r="D62" i="7"/>
  <c r="E61" i="7"/>
  <c r="H62" i="7"/>
  <c r="I61" i="7"/>
  <c r="L62" i="7"/>
  <c r="M61" i="7"/>
  <c r="P62" i="7"/>
  <c r="Q61" i="7"/>
  <c r="T62" i="7"/>
  <c r="U61" i="7"/>
  <c r="X62" i="7"/>
  <c r="Y61" i="7"/>
  <c r="AB62" i="7"/>
  <c r="AC61" i="7"/>
  <c r="AF62" i="7"/>
  <c r="AG61" i="7"/>
  <c r="AJ62" i="7"/>
  <c r="AK61" i="7"/>
  <c r="AN62" i="7"/>
  <c r="AO61" i="7"/>
  <c r="AR62" i="7"/>
  <c r="AS61" i="7"/>
  <c r="AV62" i="7"/>
  <c r="AW61" i="7"/>
  <c r="AZ62" i="7"/>
  <c r="BA61" i="7"/>
  <c r="BD62" i="7"/>
  <c r="BE61" i="7"/>
  <c r="BH62" i="7"/>
  <c r="BI61" i="7"/>
  <c r="BL62" i="7"/>
  <c r="BM61" i="7"/>
  <c r="BP62" i="7"/>
  <c r="BQ61" i="7"/>
  <c r="BT62" i="7"/>
  <c r="BU61" i="7"/>
  <c r="BX62" i="7"/>
  <c r="BY61" i="7"/>
  <c r="CB62" i="7"/>
  <c r="CC61" i="7"/>
  <c r="CF62" i="7"/>
  <c r="CG61" i="7"/>
  <c r="CJ62" i="7"/>
  <c r="CK61" i="7"/>
  <c r="CN62" i="7"/>
  <c r="CO61" i="7"/>
  <c r="CR62" i="7"/>
  <c r="CS61" i="7"/>
  <c r="CV62" i="7"/>
  <c r="CW61" i="7"/>
  <c r="CZ62" i="7"/>
  <c r="DA61" i="7"/>
  <c r="DD62" i="7"/>
  <c r="DE61" i="7"/>
  <c r="DH62" i="7"/>
  <c r="DP62" i="7"/>
  <c r="DQ61" i="7"/>
  <c r="DT62" i="7"/>
  <c r="DU61" i="7"/>
  <c r="DX62" i="7"/>
  <c r="DY61" i="7"/>
  <c r="EB62" i="7"/>
  <c r="EC61" i="7"/>
  <c r="EF62" i="7"/>
  <c r="EG61" i="7"/>
  <c r="EJ62" i="7"/>
  <c r="EK61" i="7"/>
  <c r="EN62" i="7"/>
  <c r="EO61" i="7"/>
  <c r="ER62" i="7"/>
  <c r="ES61" i="7"/>
  <c r="EV62" i="7"/>
  <c r="EW61" i="7"/>
  <c r="EZ62" i="7"/>
  <c r="FA61" i="7"/>
  <c r="FD62" i="7"/>
  <c r="FE61" i="7"/>
  <c r="FH62" i="7"/>
  <c r="FI61" i="7"/>
  <c r="FL62" i="7"/>
  <c r="FT62" i="7"/>
  <c r="FU61" i="7"/>
  <c r="FX62" i="7"/>
  <c r="FY61" i="7"/>
  <c r="GB62" i="7"/>
  <c r="GC61" i="7"/>
  <c r="GF62" i="7"/>
  <c r="GG61" i="7"/>
  <c r="GJ62" i="7"/>
  <c r="GK61" i="7"/>
  <c r="GN62" i="7"/>
  <c r="GO61" i="7"/>
  <c r="GR62" i="7"/>
  <c r="GS61" i="7"/>
  <c r="GV62" i="7"/>
  <c r="GW61" i="7"/>
  <c r="GZ62" i="7"/>
  <c r="HA61" i="7"/>
  <c r="HD62" i="7"/>
  <c r="HE61" i="7"/>
  <c r="HH62" i="7"/>
  <c r="HI61" i="7"/>
  <c r="HL62" i="7"/>
  <c r="HM61" i="7"/>
  <c r="HP62" i="7"/>
  <c r="HQ61" i="7"/>
  <c r="HT62" i="7"/>
  <c r="HU61" i="7"/>
  <c r="HX62" i="7"/>
  <c r="HY61" i="7"/>
  <c r="IC61" i="7"/>
  <c r="IF62" i="7"/>
  <c r="IG61" i="7"/>
  <c r="IJ62" i="7"/>
  <c r="IK61" i="7"/>
  <c r="IN62" i="7"/>
  <c r="IO61" i="7"/>
  <c r="IR62" i="7"/>
  <c r="IS61" i="7"/>
  <c r="IV62" i="7"/>
  <c r="IW61" i="7"/>
  <c r="IZ62" i="7"/>
  <c r="JA61" i="7"/>
  <c r="JD62" i="7"/>
  <c r="JH62" i="7"/>
  <c r="JI61" i="7"/>
  <c r="JL62" i="7"/>
  <c r="JM61" i="7"/>
  <c r="JP62" i="7"/>
  <c r="JQ61" i="7"/>
  <c r="JT62" i="7"/>
  <c r="JU61" i="7"/>
  <c r="JX62" i="7"/>
  <c r="JY61" i="7"/>
  <c r="KB62" i="7"/>
  <c r="KC61" i="7"/>
  <c r="KF62" i="7"/>
  <c r="KG61" i="7"/>
  <c r="KJ62" i="7"/>
  <c r="KK61" i="7"/>
  <c r="KN62" i="7"/>
  <c r="KO61" i="7"/>
  <c r="KR62" i="7"/>
  <c r="KS61" i="7"/>
  <c r="KV62" i="7"/>
  <c r="KW61" i="7"/>
  <c r="KZ62" i="7"/>
  <c r="LA61" i="7"/>
  <c r="LD62" i="7"/>
  <c r="LE61" i="7"/>
  <c r="LH62" i="7"/>
  <c r="LI61" i="7"/>
  <c r="LL62" i="7"/>
  <c r="LM61" i="7"/>
  <c r="LP62" i="7"/>
  <c r="LQ61" i="7"/>
  <c r="LT62" i="7"/>
  <c r="LU61" i="7"/>
  <c r="LX62" i="7"/>
  <c r="LY61" i="7"/>
  <c r="MB62" i="7"/>
  <c r="MC61" i="7"/>
  <c r="MF62" i="7"/>
  <c r="MG61" i="7"/>
  <c r="MJ62" i="7"/>
  <c r="MK61" i="7"/>
  <c r="MN62" i="7"/>
  <c r="MO61" i="7"/>
  <c r="MR62" i="7"/>
  <c r="MS61" i="7"/>
  <c r="MV62" i="7"/>
  <c r="MW61" i="7"/>
  <c r="MZ62" i="7"/>
  <c r="NA61" i="7"/>
  <c r="ND62" i="7"/>
  <c r="NE61" i="7"/>
  <c r="NH62" i="7"/>
  <c r="NI61" i="7"/>
  <c r="NL62" i="7"/>
  <c r="NM61" i="7"/>
  <c r="NP62" i="7"/>
  <c r="NQ61" i="7"/>
  <c r="NT62" i="7"/>
  <c r="NU61" i="7"/>
  <c r="NX62" i="7"/>
  <c r="NY61" i="7"/>
  <c r="OB62" i="7"/>
  <c r="OC61" i="7"/>
  <c r="OF62" i="7"/>
  <c r="OG61" i="7"/>
  <c r="OJ62" i="7"/>
  <c r="OK61" i="7"/>
  <c r="ON62" i="7"/>
  <c r="OO61" i="7"/>
  <c r="OR62" i="7"/>
  <c r="OS61" i="7"/>
  <c r="OV62" i="7"/>
  <c r="OW61" i="7"/>
  <c r="OZ62" i="7"/>
  <c r="PA61" i="7"/>
  <c r="PD62" i="7"/>
  <c r="PE61" i="7"/>
  <c r="PH62" i="7"/>
  <c r="PI61" i="7"/>
  <c r="PL62" i="7"/>
  <c r="PM61" i="7"/>
  <c r="E62" i="7"/>
  <c r="F61" i="7"/>
  <c r="I62" i="7"/>
  <c r="J61" i="7"/>
  <c r="M62" i="7"/>
  <c r="N61" i="7"/>
  <c r="Q62" i="7"/>
  <c r="R61" i="7"/>
  <c r="U62" i="7"/>
  <c r="V61" i="7"/>
  <c r="Y62" i="7"/>
  <c r="Z61" i="7"/>
  <c r="AC62" i="7"/>
  <c r="AD61" i="7"/>
  <c r="AG62" i="7"/>
  <c r="AH61" i="7"/>
  <c r="AK62" i="7"/>
  <c r="AL61" i="7"/>
  <c r="AO62" i="7"/>
  <c r="AP61" i="7"/>
  <c r="AS62" i="7"/>
  <c r="AT61" i="7"/>
  <c r="AW62" i="7"/>
  <c r="AX61" i="7"/>
  <c r="BA62" i="7"/>
  <c r="BB61" i="7"/>
  <c r="BE62" i="7"/>
  <c r="BF61" i="7"/>
  <c r="BI62" i="7"/>
  <c r="BJ61" i="7"/>
  <c r="BM62" i="7"/>
  <c r="BN61" i="7"/>
  <c r="BQ62" i="7"/>
  <c r="BR61" i="7"/>
  <c r="BU62" i="7"/>
  <c r="BV61" i="7"/>
  <c r="BY62" i="7"/>
  <c r="BZ61" i="7"/>
  <c r="CC62" i="7"/>
  <c r="CD61" i="7"/>
  <c r="CG62" i="7"/>
  <c r="CH61" i="7"/>
  <c r="CK62" i="7"/>
  <c r="CL61" i="7"/>
  <c r="CO62" i="7"/>
  <c r="CP61" i="7"/>
  <c r="CS62" i="7"/>
  <c r="CT61" i="7"/>
  <c r="CW62" i="7"/>
  <c r="CX61" i="7"/>
  <c r="DA62" i="7"/>
  <c r="DB61" i="7"/>
  <c r="DE62" i="7"/>
  <c r="DF61" i="7"/>
  <c r="DN61" i="7"/>
  <c r="DQ62" i="7"/>
  <c r="DR61" i="7"/>
  <c r="DU62" i="7"/>
  <c r="DV61" i="7"/>
  <c r="DY62" i="7"/>
  <c r="DZ61" i="7"/>
  <c r="EC62" i="7"/>
  <c r="ED61" i="7"/>
  <c r="EG62" i="7"/>
  <c r="EH61" i="7"/>
  <c r="EK62" i="7"/>
  <c r="EL61" i="7"/>
  <c r="EO62" i="7"/>
  <c r="EP61" i="7"/>
  <c r="ES62" i="7"/>
  <c r="ET61" i="7"/>
  <c r="EW62" i="7"/>
  <c r="EX61" i="7"/>
  <c r="FA62" i="7"/>
  <c r="FB61" i="7"/>
  <c r="FF61" i="7"/>
  <c r="FE62" i="7"/>
  <c r="FI62" i="7"/>
  <c r="FJ61" i="7"/>
  <c r="FQ62" i="7"/>
  <c r="FR61" i="7"/>
  <c r="FU62" i="7"/>
  <c r="FV61" i="7"/>
  <c r="FY62" i="7"/>
  <c r="FZ61" i="7"/>
  <c r="GC62" i="7"/>
  <c r="GD61" i="7"/>
  <c r="GG62" i="7"/>
  <c r="GH61" i="7"/>
  <c r="GK62" i="7"/>
  <c r="GL61" i="7"/>
  <c r="GP61" i="7"/>
  <c r="GO62" i="7"/>
  <c r="GS62" i="7"/>
  <c r="GT61" i="7"/>
  <c r="GW62" i="7"/>
  <c r="GX61" i="7"/>
  <c r="HA62" i="7"/>
  <c r="HB61" i="7"/>
  <c r="HF61" i="7"/>
  <c r="HE62" i="7"/>
  <c r="HI62" i="7"/>
  <c r="HJ61" i="7"/>
  <c r="HM62" i="7"/>
  <c r="HN61" i="7"/>
  <c r="HQ62" i="7"/>
  <c r="HR61" i="7"/>
  <c r="HU62" i="7"/>
  <c r="HV61" i="7"/>
  <c r="HY62" i="7"/>
  <c r="IC62" i="7"/>
  <c r="ID61" i="7"/>
  <c r="IG62" i="7"/>
  <c r="IH61" i="7"/>
  <c r="IK62" i="7"/>
  <c r="IL61" i="7"/>
  <c r="IO62" i="7"/>
  <c r="IP61" i="7"/>
  <c r="IS62" i="7"/>
  <c r="IT61" i="7"/>
  <c r="IW62" i="7"/>
  <c r="IX61" i="7"/>
  <c r="JB61" i="7"/>
  <c r="JA62" i="7"/>
  <c r="JF61" i="7"/>
  <c r="JI62" i="7"/>
  <c r="JJ61" i="7"/>
  <c r="JM62" i="7"/>
  <c r="JN61" i="7"/>
  <c r="JR61" i="7"/>
  <c r="JQ62" i="7"/>
  <c r="JU62" i="7"/>
  <c r="JV61" i="7"/>
  <c r="JY62" i="7"/>
  <c r="JZ61" i="7"/>
  <c r="KC62" i="7"/>
  <c r="KD61" i="7"/>
  <c r="KG62" i="7"/>
  <c r="KH61" i="7"/>
  <c r="KK62" i="7"/>
  <c r="KL61" i="7"/>
  <c r="KO62" i="7"/>
  <c r="KP61" i="7"/>
  <c r="KS62" i="7"/>
  <c r="KT61" i="7"/>
  <c r="KW62" i="7"/>
  <c r="KX61" i="7"/>
  <c r="LA62" i="7"/>
  <c r="LB61" i="7"/>
  <c r="LE62" i="7"/>
  <c r="LF61" i="7"/>
  <c r="LI62" i="7"/>
  <c r="LJ61" i="7"/>
  <c r="LN61" i="7"/>
  <c r="LM62" i="7"/>
  <c r="LQ62" i="7"/>
  <c r="LR61" i="7"/>
  <c r="LU62" i="7"/>
  <c r="LV61" i="7"/>
  <c r="LY62" i="7"/>
  <c r="LZ61" i="7"/>
  <c r="MD61" i="7"/>
  <c r="MC62" i="7"/>
  <c r="MG62" i="7"/>
  <c r="MH61" i="7"/>
  <c r="MK62" i="7"/>
  <c r="ML61" i="7"/>
  <c r="MO62" i="7"/>
  <c r="MP61" i="7"/>
  <c r="MS62" i="7"/>
  <c r="MT61" i="7"/>
  <c r="MW62" i="7"/>
  <c r="MX61" i="7"/>
  <c r="NA62" i="7"/>
  <c r="NB61" i="7"/>
  <c r="NE62" i="7"/>
  <c r="NF61" i="7"/>
  <c r="NI62" i="7"/>
  <c r="NJ61" i="7"/>
  <c r="NM62" i="7"/>
  <c r="NN61" i="7"/>
  <c r="NQ62" i="7"/>
  <c r="NR61" i="7"/>
  <c r="NU62" i="7"/>
  <c r="NV61" i="7"/>
  <c r="NZ61" i="7"/>
  <c r="NY62" i="7"/>
  <c r="OC62" i="7"/>
  <c r="OD61" i="7"/>
  <c r="OG62" i="7"/>
  <c r="OH61" i="7"/>
  <c r="OK62" i="7"/>
  <c r="OL61" i="7"/>
  <c r="OO62" i="7"/>
  <c r="OP61" i="7"/>
  <c r="OS62" i="7"/>
  <c r="OT61" i="7"/>
  <c r="OW62" i="7"/>
  <c r="OX61" i="7"/>
  <c r="PA62" i="7"/>
  <c r="PB61" i="7"/>
  <c r="PF61" i="7"/>
  <c r="PE62" i="7"/>
  <c r="PJ61" i="7"/>
  <c r="PI62" i="7"/>
  <c r="PM62" i="7"/>
  <c r="PN61" i="7"/>
  <c r="B62" i="7"/>
  <c r="C61" i="7"/>
  <c r="F62" i="7"/>
  <c r="G61" i="7"/>
  <c r="J62" i="7"/>
  <c r="K61" i="7"/>
  <c r="O61" i="7"/>
  <c r="N62" i="7"/>
  <c r="R62" i="7"/>
  <c r="S61" i="7"/>
  <c r="V62" i="7"/>
  <c r="W61" i="7"/>
  <c r="Z62" i="7"/>
  <c r="AA61" i="7"/>
  <c r="AE61" i="7"/>
  <c r="AD62" i="7"/>
  <c r="AH62" i="7"/>
  <c r="AI61" i="7"/>
  <c r="AL62" i="7"/>
  <c r="AM61" i="7"/>
  <c r="AP62" i="7"/>
  <c r="AQ61" i="7"/>
  <c r="AT62" i="7"/>
  <c r="AU61" i="7"/>
  <c r="AX62" i="7"/>
  <c r="AY61" i="7"/>
  <c r="BB62" i="7"/>
  <c r="BC61" i="7"/>
  <c r="BF62" i="7"/>
  <c r="BG61" i="7"/>
  <c r="BJ62" i="7"/>
  <c r="BK61" i="7"/>
  <c r="BN62" i="7"/>
  <c r="BO61" i="7"/>
  <c r="BR62" i="7"/>
  <c r="BS61" i="7"/>
  <c r="BV62" i="7"/>
  <c r="BW61" i="7"/>
  <c r="CA61" i="7"/>
  <c r="BZ62" i="7"/>
  <c r="CD62" i="7"/>
  <c r="CE61" i="7"/>
  <c r="CH62" i="7"/>
  <c r="CI61" i="7"/>
  <c r="CL62" i="7"/>
  <c r="CM61" i="7"/>
  <c r="CQ61" i="7"/>
  <c r="CP62" i="7"/>
  <c r="CT62" i="7"/>
  <c r="CU61" i="7"/>
  <c r="CX62" i="7"/>
  <c r="CY61" i="7"/>
  <c r="DB62" i="7"/>
  <c r="DC61" i="7"/>
  <c r="DF62" i="7"/>
  <c r="DG61" i="7"/>
  <c r="DN62" i="7"/>
  <c r="DO61" i="7"/>
  <c r="DR62" i="7"/>
  <c r="DS61" i="7"/>
  <c r="DV62" i="7"/>
  <c r="DW61" i="7"/>
  <c r="DZ62" i="7"/>
  <c r="EA61" i="7"/>
  <c r="ED62" i="7"/>
  <c r="EE61" i="7"/>
  <c r="EH62" i="7"/>
  <c r="EI61" i="7"/>
  <c r="EM61" i="7"/>
  <c r="EL62" i="7"/>
  <c r="EP62" i="7"/>
  <c r="EQ61" i="7"/>
  <c r="EU61" i="7"/>
  <c r="ET62" i="7"/>
  <c r="EX62" i="7"/>
  <c r="EY61" i="7"/>
  <c r="FB62" i="7"/>
  <c r="FC61" i="7"/>
  <c r="FF62" i="7"/>
  <c r="FG61" i="7"/>
  <c r="FJ62" i="7"/>
  <c r="FK61" i="7"/>
  <c r="FR62" i="7"/>
  <c r="FS61" i="7"/>
  <c r="FV62" i="7"/>
  <c r="FW61" i="7"/>
  <c r="FZ62" i="7"/>
  <c r="GA61" i="7"/>
  <c r="GD62" i="7"/>
  <c r="GE61" i="7"/>
  <c r="GH62" i="7"/>
  <c r="GI61" i="7"/>
  <c r="GL62" i="7"/>
  <c r="GM61" i="7"/>
  <c r="GP62" i="7"/>
  <c r="GQ61" i="7"/>
  <c r="GT62" i="7"/>
  <c r="GU61" i="7"/>
  <c r="GX62" i="7"/>
  <c r="GY61" i="7"/>
  <c r="HB62" i="7"/>
  <c r="HC61" i="7"/>
  <c r="HF62" i="7"/>
  <c r="HG61" i="7"/>
  <c r="HJ62" i="7"/>
  <c r="HK61" i="7"/>
  <c r="HN62" i="7"/>
  <c r="HO61" i="7"/>
  <c r="HR62" i="7"/>
  <c r="HS61" i="7"/>
  <c r="HV62" i="7"/>
  <c r="HW61" i="7"/>
  <c r="ID62" i="7"/>
  <c r="IE61" i="7"/>
  <c r="IH62" i="7"/>
  <c r="II61" i="7"/>
  <c r="IL62" i="7"/>
  <c r="IM61" i="7"/>
  <c r="IP62" i="7"/>
  <c r="IQ61" i="7"/>
  <c r="IT62" i="7"/>
  <c r="IU61" i="7"/>
  <c r="IX62" i="7"/>
  <c r="IY61" i="7"/>
  <c r="JB62" i="7"/>
  <c r="JC61" i="7"/>
  <c r="JF62" i="7"/>
  <c r="JJ62" i="7"/>
  <c r="JK61" i="7"/>
  <c r="JN62" i="7"/>
  <c r="JO61" i="7"/>
  <c r="JR62" i="7"/>
  <c r="JS61" i="7"/>
  <c r="JV62" i="7"/>
  <c r="JW61" i="7"/>
  <c r="JZ62" i="7"/>
  <c r="KA61" i="7"/>
  <c r="KD62" i="7"/>
  <c r="KE61" i="7"/>
  <c r="KH62" i="7"/>
  <c r="KI61" i="7"/>
  <c r="KL62" i="7"/>
  <c r="KM61" i="7"/>
  <c r="KP62" i="7"/>
  <c r="KQ61" i="7"/>
  <c r="KT62" i="7"/>
  <c r="KU61" i="7"/>
  <c r="KX62" i="7"/>
  <c r="KY61" i="7"/>
  <c r="LB62" i="7"/>
  <c r="LC61" i="7"/>
  <c r="LF62" i="7"/>
  <c r="LG61" i="7"/>
  <c r="LJ62" i="7"/>
  <c r="LK61" i="7"/>
  <c r="LN62" i="7"/>
  <c r="LO61" i="7"/>
  <c r="LR62" i="7"/>
  <c r="LS61" i="7"/>
  <c r="LV62" i="7"/>
  <c r="LW61" i="7"/>
  <c r="LZ62" i="7"/>
  <c r="MA61" i="7"/>
  <c r="MD62" i="7"/>
  <c r="ME61" i="7"/>
  <c r="MH62" i="7"/>
  <c r="MI61" i="7"/>
  <c r="ML62" i="7"/>
  <c r="MM61" i="7"/>
  <c r="MP62" i="7"/>
  <c r="MQ61" i="7"/>
  <c r="MT62" i="7"/>
  <c r="MU61" i="7"/>
  <c r="MX62" i="7"/>
  <c r="MY61" i="7"/>
  <c r="NB62" i="7"/>
  <c r="NC61" i="7"/>
  <c r="NF62" i="7"/>
  <c r="NG61" i="7"/>
  <c r="NJ62" i="7"/>
  <c r="NK61" i="7"/>
  <c r="NN62" i="7"/>
  <c r="NO61" i="7"/>
  <c r="NR62" i="7"/>
  <c r="NS61" i="7"/>
  <c r="NV62" i="7"/>
  <c r="NW61" i="7"/>
  <c r="NZ62" i="7"/>
  <c r="OA61" i="7"/>
  <c r="OD62" i="7"/>
  <c r="OE61" i="7"/>
  <c r="OH62" i="7"/>
  <c r="OI61" i="7"/>
  <c r="OL62" i="7"/>
  <c r="OM61" i="7"/>
  <c r="OP62" i="7"/>
  <c r="OQ61" i="7"/>
  <c r="OT62" i="7"/>
  <c r="OU61" i="7"/>
  <c r="OX62" i="7"/>
  <c r="OY61" i="7"/>
  <c r="PB62" i="7"/>
  <c r="PC61" i="7"/>
  <c r="PF62" i="7"/>
  <c r="PG61" i="7"/>
  <c r="PJ62" i="7"/>
  <c r="PK61" i="7"/>
  <c r="PN62" i="7"/>
  <c r="DM62" i="7"/>
  <c r="IB35" i="7"/>
  <c r="DK35" i="7"/>
  <c r="PP58" i="7"/>
  <c r="PQ35" i="7"/>
  <c r="DL48" i="7"/>
  <c r="FN58" i="7"/>
  <c r="FO35" i="7"/>
  <c r="IA58" i="7"/>
  <c r="PR17" i="7"/>
  <c r="FP14" i="7"/>
  <c r="PQ17" i="7"/>
  <c r="DK17" i="7"/>
  <c r="FO17" i="7"/>
  <c r="IB11" i="7"/>
  <c r="DJ14" i="7"/>
  <c r="IA17" i="7"/>
  <c r="PO14" i="7"/>
  <c r="JE11" i="7"/>
  <c r="DI14" i="7"/>
  <c r="FM14" i="7"/>
  <c r="HZ17" i="7"/>
  <c r="JG11" i="7"/>
  <c r="FP11" i="7"/>
  <c r="FO11" i="7"/>
  <c r="PR14" i="7"/>
  <c r="DL17" i="7"/>
  <c r="PQ11" i="7"/>
  <c r="DK14" i="7"/>
  <c r="FO14" i="7"/>
  <c r="IB17" i="7"/>
  <c r="PP11" i="7"/>
  <c r="DJ17" i="7"/>
  <c r="FN17" i="7"/>
  <c r="PO11" i="7"/>
  <c r="DI11" i="7"/>
  <c r="HZ14" i="7"/>
  <c r="JG17" i="7"/>
  <c r="PQ14" i="7"/>
  <c r="PP14" i="7"/>
  <c r="PO17" i="7"/>
  <c r="JE14" i="7"/>
  <c r="FM17" i="7"/>
  <c r="PR11" i="7"/>
  <c r="DL14" i="7"/>
  <c r="FP17" i="7"/>
  <c r="DK11" i="7"/>
  <c r="IB14" i="7"/>
  <c r="PP17" i="7"/>
  <c r="DJ11" i="7"/>
  <c r="FN11" i="7"/>
  <c r="IA14" i="7"/>
  <c r="JE17" i="7"/>
  <c r="FM11" i="7"/>
  <c r="JG14" i="7"/>
  <c r="DL11" i="7"/>
  <c r="FN14" i="7"/>
  <c r="IA11" i="7"/>
  <c r="DI17" i="7"/>
  <c r="HZ11" i="7"/>
  <c r="HZ13" i="7" l="1"/>
  <c r="DI19" i="7"/>
  <c r="IA13" i="7"/>
  <c r="DL13" i="7"/>
  <c r="DL16" i="7" s="1"/>
  <c r="FM13" i="7"/>
  <c r="JE19" i="7"/>
  <c r="FN13" i="7"/>
  <c r="DJ13" i="7"/>
  <c r="DJ16" i="7" s="1"/>
  <c r="PP19" i="7"/>
  <c r="DK13" i="7"/>
  <c r="DK16" i="7" s="1"/>
  <c r="FP19" i="7"/>
  <c r="PR13" i="7"/>
  <c r="PS11" i="7" s="1"/>
  <c r="PS13" i="7" s="1"/>
  <c r="PT11" i="7" s="1"/>
  <c r="PT13" i="7" s="1"/>
  <c r="PU11" i="7" s="1"/>
  <c r="PU13" i="7" s="1"/>
  <c r="PV11" i="7" s="1"/>
  <c r="PV13" i="7" s="1"/>
  <c r="PW11" i="7" s="1"/>
  <c r="PW13" i="7" s="1"/>
  <c r="PX11" i="7" s="1"/>
  <c r="PX13" i="7" s="1"/>
  <c r="PY11" i="7" s="1"/>
  <c r="PY13" i="7" s="1"/>
  <c r="PZ11" i="7" s="1"/>
  <c r="PZ13" i="7" s="1"/>
  <c r="QA11" i="7" s="1"/>
  <c r="QA13" i="7" s="1"/>
  <c r="QB11" i="7" s="1"/>
  <c r="QB13" i="7" s="1"/>
  <c r="QC11" i="7" s="1"/>
  <c r="QC13" i="7" s="1"/>
  <c r="QD11" i="7" s="1"/>
  <c r="QD13" i="7" s="1"/>
  <c r="QE11" i="7" s="1"/>
  <c r="QE13" i="7" s="1"/>
  <c r="QF11" i="7" s="1"/>
  <c r="QF13" i="7" s="1"/>
  <c r="QG11" i="7" s="1"/>
  <c r="QG13" i="7" s="1"/>
  <c r="QH11" i="7" s="1"/>
  <c r="QH13" i="7" s="1"/>
  <c r="QI11" i="7" s="1"/>
  <c r="QI13" i="7" s="1"/>
  <c r="QJ11" i="7" s="1"/>
  <c r="QJ13" i="7" s="1"/>
  <c r="QK11" i="7" s="1"/>
  <c r="QK13" i="7" s="1"/>
  <c r="QL11" i="7" s="1"/>
  <c r="QL13" i="7" s="1"/>
  <c r="QM11" i="7" s="1"/>
  <c r="QM13" i="7" s="1"/>
  <c r="QN11" i="7" s="1"/>
  <c r="QN13" i="7" s="1"/>
  <c r="QO11" i="7" s="1"/>
  <c r="QO13" i="7" s="1"/>
  <c r="QP11" i="7" s="1"/>
  <c r="QP13" i="7" s="1"/>
  <c r="QQ11" i="7" s="1"/>
  <c r="QQ13" i="7" s="1"/>
  <c r="QR11" i="7" s="1"/>
  <c r="QR13" i="7" s="1"/>
  <c r="QS11" i="7" s="1"/>
  <c r="QS13" i="7" s="1"/>
  <c r="QT11" i="7" s="1"/>
  <c r="QT13" i="7" s="1"/>
  <c r="QU11" i="7" s="1"/>
  <c r="QU13" i="7" s="1"/>
  <c r="QV11" i="7" s="1"/>
  <c r="QV13" i="7" s="1"/>
  <c r="QW11" i="7" s="1"/>
  <c r="QW13" i="7" s="1"/>
  <c r="QX11" i="7" s="1"/>
  <c r="QX13" i="7" s="1"/>
  <c r="QY11" i="7" s="1"/>
  <c r="QY13" i="7" s="1"/>
  <c r="QZ11" i="7" s="1"/>
  <c r="QZ13" i="7" s="1"/>
  <c r="RA11" i="7" s="1"/>
  <c r="RA13" i="7" s="1"/>
  <c r="RB11" i="7" s="1"/>
  <c r="RB13" i="7" s="1"/>
  <c r="RC11" i="7" s="1"/>
  <c r="RC13" i="7" s="1"/>
  <c r="RD11" i="7" s="1"/>
  <c r="RD13" i="7" s="1"/>
  <c r="RE11" i="7" s="1"/>
  <c r="RE13" i="7" s="1"/>
  <c r="RF11" i="7" s="1"/>
  <c r="RF13" i="7" s="1"/>
  <c r="RG11" i="7" s="1"/>
  <c r="RG13" i="7" s="1"/>
  <c r="RH11" i="7" s="1"/>
  <c r="RH13" i="7" s="1"/>
  <c r="RI11" i="7" s="1"/>
  <c r="RI13" i="7" s="1"/>
  <c r="RJ11" i="7" s="1"/>
  <c r="RJ13" i="7" s="1"/>
  <c r="RK11" i="7" s="1"/>
  <c r="RK13" i="7" s="1"/>
  <c r="RL11" i="7" s="1"/>
  <c r="RL13" i="7" s="1"/>
  <c r="RM11" i="7" s="1"/>
  <c r="RM13" i="7" s="1"/>
  <c r="RN11" i="7" s="1"/>
  <c r="RN13" i="7" s="1"/>
  <c r="RO11" i="7" s="1"/>
  <c r="RO13" i="7" s="1"/>
  <c r="RP11" i="7" s="1"/>
  <c r="RP13" i="7" s="1"/>
  <c r="RQ11" i="7" s="1"/>
  <c r="RQ13" i="7" s="1"/>
  <c r="RR11" i="7" s="1"/>
  <c r="RR13" i="7" s="1"/>
  <c r="RS11" i="7" s="1"/>
  <c r="RS13" i="7" s="1"/>
  <c r="RT11" i="7" s="1"/>
  <c r="RT13" i="7" s="1"/>
  <c r="RU11" i="7" s="1"/>
  <c r="RU13" i="7" s="1"/>
  <c r="RV11" i="7" s="1"/>
  <c r="RV13" i="7" s="1"/>
  <c r="RW11" i="7" s="1"/>
  <c r="RW13" i="7" s="1"/>
  <c r="RX11" i="7" s="1"/>
  <c r="RX13" i="7" s="1"/>
  <c r="RY11" i="7" s="1"/>
  <c r="RY13" i="7" s="1"/>
  <c r="RZ11" i="7" s="1"/>
  <c r="RZ13" i="7" s="1"/>
  <c r="SA11" i="7" s="1"/>
  <c r="SA13" i="7" s="1"/>
  <c r="FM19" i="7"/>
  <c r="PO19" i="7"/>
  <c r="JG19" i="7"/>
  <c r="DI13" i="7"/>
  <c r="DI16" i="7" s="1"/>
  <c r="PO13" i="7"/>
  <c r="FN19" i="7"/>
  <c r="DJ19" i="7"/>
  <c r="PP13" i="7"/>
  <c r="PP16" i="7" s="1"/>
  <c r="IB19" i="7"/>
  <c r="PQ13" i="7"/>
  <c r="DL19" i="7"/>
  <c r="PS14" i="7"/>
  <c r="PT14" i="7" s="1"/>
  <c r="PU14" i="7" s="1"/>
  <c r="PV14" i="7" s="1"/>
  <c r="PW14" i="7" s="1"/>
  <c r="PX14" i="7" s="1"/>
  <c r="PY14" i="7" s="1"/>
  <c r="PZ14" i="7" s="1"/>
  <c r="QA14" i="7" s="1"/>
  <c r="QB14" i="7" s="1"/>
  <c r="QC14" i="7" s="1"/>
  <c r="QD14" i="7" s="1"/>
  <c r="QE14" i="7" s="1"/>
  <c r="QF14" i="7" s="1"/>
  <c r="QG14" i="7" s="1"/>
  <c r="QH14" i="7" s="1"/>
  <c r="QI14" i="7" s="1"/>
  <c r="QJ14" i="7" s="1"/>
  <c r="QK14" i="7" s="1"/>
  <c r="QL14" i="7" s="1"/>
  <c r="QM14" i="7" s="1"/>
  <c r="QN14" i="7" s="1"/>
  <c r="QO14" i="7" s="1"/>
  <c r="QP14" i="7" s="1"/>
  <c r="QQ14" i="7" s="1"/>
  <c r="QR14" i="7" s="1"/>
  <c r="QS14" i="7" s="1"/>
  <c r="QT14" i="7" s="1"/>
  <c r="QU14" i="7" s="1"/>
  <c r="QV14" i="7" s="1"/>
  <c r="QW14" i="7" s="1"/>
  <c r="QX14" i="7" s="1"/>
  <c r="QY14" i="7" s="1"/>
  <c r="QZ14" i="7" s="1"/>
  <c r="RA14" i="7" s="1"/>
  <c r="RB14" i="7" s="1"/>
  <c r="RC14" i="7" s="1"/>
  <c r="RD14" i="7" s="1"/>
  <c r="RE14" i="7" s="1"/>
  <c r="RF14" i="7" s="1"/>
  <c r="RG14" i="7" s="1"/>
  <c r="RH14" i="7" s="1"/>
  <c r="RI14" i="7" s="1"/>
  <c r="RJ14" i="7" s="1"/>
  <c r="RK14" i="7" s="1"/>
  <c r="RL14" i="7" s="1"/>
  <c r="RM14" i="7" s="1"/>
  <c r="RN14" i="7" s="1"/>
  <c r="RO14" i="7" s="1"/>
  <c r="RP14" i="7" s="1"/>
  <c r="RQ14" i="7" s="1"/>
  <c r="RR14" i="7" s="1"/>
  <c r="RS14" i="7" s="1"/>
  <c r="RT14" i="7" s="1"/>
  <c r="RU14" i="7" s="1"/>
  <c r="RV14" i="7" s="1"/>
  <c r="RW14" i="7" s="1"/>
  <c r="RX14" i="7" s="1"/>
  <c r="RY14" i="7" s="1"/>
  <c r="RZ14" i="7" s="1"/>
  <c r="SA14" i="7" s="1"/>
  <c r="FO13" i="7"/>
  <c r="FP13" i="7"/>
  <c r="JG13" i="7"/>
  <c r="HZ19" i="7"/>
  <c r="JE13" i="7"/>
  <c r="IA19" i="7"/>
  <c r="IB13" i="7"/>
  <c r="FO19" i="7"/>
  <c r="DK19" i="7"/>
  <c r="PQ19" i="7"/>
  <c r="PR19" i="7"/>
  <c r="PS17" i="7" s="1"/>
  <c r="PS19" i="7" s="1"/>
  <c r="PT17" i="7" s="1"/>
  <c r="PT19" i="7" s="1"/>
  <c r="PU17" i="7" s="1"/>
  <c r="PU19" i="7" s="1"/>
  <c r="PV17" i="7" s="1"/>
  <c r="PV19" i="7" s="1"/>
  <c r="PW17" i="7" s="1"/>
  <c r="PW19" i="7" s="1"/>
  <c r="PX17" i="7" s="1"/>
  <c r="PX19" i="7" s="1"/>
  <c r="PY17" i="7" s="1"/>
  <c r="PY19" i="7" s="1"/>
  <c r="PZ17" i="7" s="1"/>
  <c r="PZ19" i="7" s="1"/>
  <c r="QA17" i="7" s="1"/>
  <c r="QA19" i="7" s="1"/>
  <c r="QB17" i="7" s="1"/>
  <c r="QB19" i="7" s="1"/>
  <c r="QC17" i="7" s="1"/>
  <c r="QC19" i="7" s="1"/>
  <c r="QD17" i="7" s="1"/>
  <c r="QD19" i="7" s="1"/>
  <c r="QE17" i="7" s="1"/>
  <c r="QE19" i="7" s="1"/>
  <c r="QF17" i="7" s="1"/>
  <c r="QF19" i="7" s="1"/>
  <c r="QG17" i="7" s="1"/>
  <c r="QG19" i="7" s="1"/>
  <c r="QH17" i="7" s="1"/>
  <c r="QH19" i="7" s="1"/>
  <c r="QI17" i="7" s="1"/>
  <c r="QI19" i="7" s="1"/>
  <c r="QJ17" i="7" s="1"/>
  <c r="QJ19" i="7" s="1"/>
  <c r="QK17" i="7" s="1"/>
  <c r="QK19" i="7" s="1"/>
  <c r="QL17" i="7" s="1"/>
  <c r="QL19" i="7" s="1"/>
  <c r="QM17" i="7" s="1"/>
  <c r="QM19" i="7" s="1"/>
  <c r="QN17" i="7" s="1"/>
  <c r="QN19" i="7" s="1"/>
  <c r="QO17" i="7" s="1"/>
  <c r="QO19" i="7" s="1"/>
  <c r="QP17" i="7" s="1"/>
  <c r="QP19" i="7" s="1"/>
  <c r="QQ17" i="7" s="1"/>
  <c r="QQ19" i="7" s="1"/>
  <c r="QR17" i="7" s="1"/>
  <c r="QR19" i="7" s="1"/>
  <c r="QS17" i="7" s="1"/>
  <c r="QS19" i="7" s="1"/>
  <c r="QT17" i="7" s="1"/>
  <c r="QT19" i="7" s="1"/>
  <c r="QU17" i="7" s="1"/>
  <c r="QU19" i="7" s="1"/>
  <c r="QV17" i="7" s="1"/>
  <c r="QV19" i="7" s="1"/>
  <c r="QW17" i="7" s="1"/>
  <c r="QW19" i="7" s="1"/>
  <c r="QX17" i="7" s="1"/>
  <c r="QX19" i="7" s="1"/>
  <c r="QY17" i="7" s="1"/>
  <c r="QY19" i="7" s="1"/>
  <c r="QZ17" i="7" s="1"/>
  <c r="QZ19" i="7" s="1"/>
  <c r="RA17" i="7" s="1"/>
  <c r="RA19" i="7" s="1"/>
  <c r="RB17" i="7" s="1"/>
  <c r="RB19" i="7" s="1"/>
  <c r="RC17" i="7" s="1"/>
  <c r="RC19" i="7" s="1"/>
  <c r="RD17" i="7" s="1"/>
  <c r="RD19" i="7" s="1"/>
  <c r="RE17" i="7" s="1"/>
  <c r="RE19" i="7" s="1"/>
  <c r="RF17" i="7" s="1"/>
  <c r="RF19" i="7" s="1"/>
  <c r="RG17" i="7" s="1"/>
  <c r="RG19" i="7" s="1"/>
  <c r="RH17" i="7" s="1"/>
  <c r="RH19" i="7" s="1"/>
  <c r="RI17" i="7" s="1"/>
  <c r="RI19" i="7" s="1"/>
  <c r="RJ17" i="7" s="1"/>
  <c r="RJ19" i="7" s="1"/>
  <c r="RK17" i="7" s="1"/>
  <c r="RK19" i="7" s="1"/>
  <c r="RL17" i="7" s="1"/>
  <c r="RL19" i="7" s="1"/>
  <c r="RM17" i="7" s="1"/>
  <c r="RM19" i="7" s="1"/>
  <c r="RN17" i="7" s="1"/>
  <c r="RN19" i="7" s="1"/>
  <c r="RO17" i="7" s="1"/>
  <c r="RO19" i="7" s="1"/>
  <c r="RP17" i="7" s="1"/>
  <c r="RP19" i="7" s="1"/>
  <c r="RQ17" i="7" s="1"/>
  <c r="RQ19" i="7" s="1"/>
  <c r="RR17" i="7" s="1"/>
  <c r="RR19" i="7" s="1"/>
  <c r="RS17" i="7" s="1"/>
  <c r="RS19" i="7" s="1"/>
  <c r="RT17" i="7" s="1"/>
  <c r="RT19" i="7" s="1"/>
  <c r="RU17" i="7" s="1"/>
  <c r="RU19" i="7" s="1"/>
  <c r="RV17" i="7" s="1"/>
  <c r="RV19" i="7" s="1"/>
  <c r="RW17" i="7" s="1"/>
  <c r="RW19" i="7" s="1"/>
  <c r="RX17" i="7" s="1"/>
  <c r="RX19" i="7" s="1"/>
  <c r="RY17" i="7" s="1"/>
  <c r="RY19" i="7" s="1"/>
  <c r="RZ17" i="7" s="1"/>
  <c r="RZ19" i="7" s="1"/>
  <c r="SA17" i="7" s="1"/>
  <c r="SA19" i="7" s="1"/>
  <c r="IB62" i="7"/>
  <c r="IB51" i="7"/>
  <c r="IB16" i="7"/>
  <c r="DK62" i="7"/>
  <c r="DK51" i="7"/>
  <c r="HZ62" i="7"/>
  <c r="HZ51" i="7"/>
  <c r="HZ16" i="7"/>
  <c r="DI62" i="7"/>
  <c r="DI51" i="7"/>
  <c r="PO62" i="7"/>
  <c r="PO51" i="7"/>
  <c r="PO16" i="7"/>
  <c r="FO48" i="7"/>
  <c r="PQ48" i="7"/>
  <c r="JG62" i="7"/>
  <c r="JG51" i="7"/>
  <c r="JG16" i="7"/>
  <c r="PR62" i="7"/>
  <c r="PR51" i="7"/>
  <c r="FM62" i="7"/>
  <c r="FM51" i="7"/>
  <c r="FM16" i="7"/>
  <c r="JE62" i="7"/>
  <c r="JE51" i="7"/>
  <c r="JE16" i="7"/>
  <c r="IA62" i="7"/>
  <c r="IA51" i="7"/>
  <c r="IA16" i="7"/>
  <c r="FP62" i="7"/>
  <c r="FP51" i="7"/>
  <c r="FP16" i="7"/>
  <c r="PS21" i="7"/>
  <c r="PS48" i="7" s="1"/>
  <c r="DJ62" i="7"/>
  <c r="DJ51" i="7"/>
  <c r="DL62" i="7"/>
  <c r="DL51" i="7"/>
  <c r="FN62" i="7"/>
  <c r="FN51" i="7"/>
  <c r="FN16" i="7"/>
  <c r="PP62" i="7"/>
  <c r="PP51" i="7"/>
  <c r="PQ62" i="7" l="1"/>
  <c r="PQ51" i="7"/>
  <c r="PQ16" i="7"/>
  <c r="PS62" i="7"/>
  <c r="PS51" i="7"/>
  <c r="PS16" i="7"/>
  <c r="PT21" i="7"/>
  <c r="PT48" i="7" s="1"/>
  <c r="FO62" i="7"/>
  <c r="FO51" i="7"/>
  <c r="FO16" i="7"/>
  <c r="PR16" i="7"/>
  <c r="PT62" i="7" l="1"/>
  <c r="PT51" i="7"/>
  <c r="PT16" i="7"/>
  <c r="PU21" i="7"/>
  <c r="PU48" i="7" s="1"/>
  <c r="PU62" i="7" l="1"/>
  <c r="PU51" i="7"/>
  <c r="PU16" i="7"/>
  <c r="PV21" i="7"/>
  <c r="PV48" i="7" s="1"/>
  <c r="PV62" i="7" l="1"/>
  <c r="PV51" i="7"/>
  <c r="PV16" i="7"/>
  <c r="PW21" i="7"/>
  <c r="PW48" i="7" s="1"/>
  <c r="PW62" i="7" l="1"/>
  <c r="PW51" i="7"/>
  <c r="PW16" i="7"/>
  <c r="PX21" i="7"/>
  <c r="PX48" i="7" s="1"/>
  <c r="PX62" i="7" l="1"/>
  <c r="PX51" i="7"/>
  <c r="PX16" i="7"/>
  <c r="PY21" i="7"/>
  <c r="PY48" i="7" s="1"/>
  <c r="PY62" i="7" l="1"/>
  <c r="PY51" i="7"/>
  <c r="PY16" i="7"/>
  <c r="PZ21" i="7"/>
  <c r="PZ48" i="7" s="1"/>
  <c r="PZ62" i="7" l="1"/>
  <c r="PZ51" i="7"/>
  <c r="PZ16" i="7"/>
  <c r="QA21" i="7"/>
  <c r="QA48" i="7" s="1"/>
  <c r="QA62" i="7" l="1"/>
  <c r="QA51" i="7"/>
  <c r="QA16" i="7"/>
  <c r="QB21" i="7"/>
  <c r="QB48" i="7" s="1"/>
  <c r="QB62" i="7" l="1"/>
  <c r="QB51" i="7"/>
  <c r="QB16" i="7"/>
  <c r="QC21" i="7"/>
  <c r="QC48" i="7" s="1"/>
  <c r="QC62" i="7" l="1"/>
  <c r="QC51" i="7"/>
  <c r="QC16" i="7"/>
  <c r="QD21" i="7"/>
  <c r="QD48" i="7" s="1"/>
  <c r="QD62" i="7" l="1"/>
  <c r="QD51" i="7"/>
  <c r="QD16" i="7"/>
  <c r="QE21" i="7"/>
  <c r="QE48" i="7" s="1"/>
  <c r="QE62" i="7" l="1"/>
  <c r="QE51" i="7"/>
  <c r="QE16" i="7"/>
  <c r="QF21" i="7"/>
  <c r="QF48" i="7" s="1"/>
  <c r="QF62" i="7" l="1"/>
  <c r="QF51" i="7"/>
  <c r="QF16" i="7"/>
  <c r="QG21" i="7"/>
  <c r="QG48" i="7" s="1"/>
  <c r="QG62" i="7" l="1"/>
  <c r="QG51" i="7"/>
  <c r="QG16" i="7"/>
  <c r="QH21" i="7"/>
  <c r="QH48" i="7" s="1"/>
  <c r="QH62" i="7" l="1"/>
  <c r="QH51" i="7"/>
  <c r="QH16" i="7"/>
  <c r="QI21" i="7"/>
  <c r="QI48" i="7" s="1"/>
  <c r="QI62" i="7" l="1"/>
  <c r="QI51" i="7"/>
  <c r="QI16" i="7"/>
  <c r="QJ21" i="7"/>
  <c r="QJ48" i="7" s="1"/>
  <c r="QJ62" i="7" l="1"/>
  <c r="QJ51" i="7"/>
  <c r="QJ16" i="7"/>
  <c r="QK21" i="7"/>
  <c r="QK48" i="7" s="1"/>
  <c r="QK62" i="7" l="1"/>
  <c r="QK51" i="7"/>
  <c r="QK16" i="7"/>
  <c r="QL21" i="7"/>
  <c r="QL48" i="7" s="1"/>
  <c r="QL62" i="7" l="1"/>
  <c r="QL51" i="7"/>
  <c r="QL16" i="7"/>
  <c r="QM21" i="7"/>
  <c r="QM48" i="7" s="1"/>
  <c r="QM62" i="7" l="1"/>
  <c r="QM51" i="7"/>
  <c r="QM16" i="7"/>
  <c r="QN21" i="7"/>
  <c r="QN48" i="7" s="1"/>
  <c r="QN62" i="7" l="1"/>
  <c r="QN51" i="7"/>
  <c r="QN16" i="7"/>
  <c r="QO21" i="7"/>
  <c r="QO48" i="7" s="1"/>
  <c r="QO62" i="7" l="1"/>
  <c r="QO51" i="7"/>
  <c r="QO16" i="7"/>
  <c r="QP21" i="7"/>
  <c r="QP48" i="7" s="1"/>
  <c r="QP62" i="7" l="1"/>
  <c r="QP51" i="7"/>
  <c r="QP16" i="7"/>
  <c r="QQ21" i="7"/>
  <c r="QQ48" i="7" s="1"/>
  <c r="QQ62" i="7" l="1"/>
  <c r="QQ51" i="7"/>
  <c r="QQ16" i="7"/>
  <c r="QR21" i="7"/>
  <c r="QR48" i="7" s="1"/>
  <c r="QR62" i="7" l="1"/>
  <c r="QR51" i="7"/>
  <c r="QR16" i="7"/>
  <c r="QS21" i="7"/>
  <c r="QS48" i="7" s="1"/>
  <c r="QS62" i="7" l="1"/>
  <c r="QS51" i="7"/>
  <c r="QS16" i="7"/>
  <c r="QT21" i="7"/>
  <c r="QT48" i="7" s="1"/>
  <c r="QT62" i="7" l="1"/>
  <c r="QT51" i="7"/>
  <c r="QT16" i="7"/>
  <c r="QU21" i="7"/>
  <c r="QU48" i="7" s="1"/>
  <c r="QU62" i="7" l="1"/>
  <c r="QU51" i="7"/>
  <c r="QU16" i="7"/>
  <c r="QV21" i="7"/>
  <c r="QV48" i="7" s="1"/>
  <c r="QV62" i="7" l="1"/>
  <c r="QV51" i="7"/>
  <c r="QV16" i="7"/>
  <c r="QW21" i="7"/>
  <c r="QW48" i="7" s="1"/>
  <c r="QW62" i="7" l="1"/>
  <c r="QW51" i="7"/>
  <c r="QW16" i="7"/>
  <c r="QX21" i="7"/>
  <c r="QX48" i="7" s="1"/>
  <c r="QX62" i="7" l="1"/>
  <c r="QX51" i="7"/>
  <c r="QX16" i="7"/>
  <c r="QY21" i="7"/>
  <c r="QY48" i="7" s="1"/>
  <c r="QY62" i="7" l="1"/>
  <c r="QY51" i="7"/>
  <c r="QY16" i="7"/>
  <c r="QZ21" i="7"/>
  <c r="QZ48" i="7" s="1"/>
  <c r="QZ62" i="7" l="1"/>
  <c r="QZ51" i="7"/>
  <c r="QZ16" i="7"/>
  <c r="RA21" i="7"/>
  <c r="RA48" i="7" s="1"/>
  <c r="RA62" i="7" l="1"/>
  <c r="RA51" i="7"/>
  <c r="RA16" i="7"/>
  <c r="RB21" i="7"/>
  <c r="RB48" i="7" s="1"/>
  <c r="RB62" i="7" l="1"/>
  <c r="RB51" i="7"/>
  <c r="RB16" i="7"/>
  <c r="RC21" i="7"/>
  <c r="RC48" i="7" s="1"/>
  <c r="RC62" i="7" l="1"/>
  <c r="RC51" i="7"/>
  <c r="RC16" i="7"/>
  <c r="RD21" i="7"/>
  <c r="RD48" i="7" s="1"/>
  <c r="RD62" i="7" l="1"/>
  <c r="RD51" i="7"/>
  <c r="RD16" i="7"/>
  <c r="RE21" i="7"/>
  <c r="RE48" i="7" s="1"/>
  <c r="RE62" i="7" l="1"/>
  <c r="RE51" i="7"/>
  <c r="RE16" i="7"/>
  <c r="RF21" i="7"/>
  <c r="RF48" i="7" s="1"/>
  <c r="RF62" i="7" l="1"/>
  <c r="RF51" i="7"/>
  <c r="RF16" i="7"/>
  <c r="RG21" i="7"/>
  <c r="RG48" i="7" s="1"/>
  <c r="RG62" i="7" l="1"/>
  <c r="RG51" i="7"/>
  <c r="RG16" i="7"/>
  <c r="RH21" i="7"/>
  <c r="RH48" i="7" s="1"/>
  <c r="RH62" i="7" l="1"/>
  <c r="RH51" i="7"/>
  <c r="RH16" i="7"/>
  <c r="RI21" i="7"/>
  <c r="RI48" i="7" s="1"/>
  <c r="RI62" i="7" l="1"/>
  <c r="RI51" i="7"/>
  <c r="RI16" i="7"/>
  <c r="RJ21" i="7"/>
  <c r="RJ48" i="7" s="1"/>
  <c r="RJ62" i="7" l="1"/>
  <c r="RJ51" i="7"/>
  <c r="RJ16" i="7"/>
  <c r="RK21" i="7"/>
  <c r="RK48" i="7" s="1"/>
  <c r="RK62" i="7" l="1"/>
  <c r="RK51" i="7"/>
  <c r="RK16" i="7"/>
  <c r="RL21" i="7"/>
  <c r="RL48" i="7" s="1"/>
  <c r="RL62" i="7" l="1"/>
  <c r="RL51" i="7"/>
  <c r="RL16" i="7"/>
  <c r="RM21" i="7"/>
  <c r="RM48" i="7" s="1"/>
  <c r="RM62" i="7" l="1"/>
  <c r="RM51" i="7"/>
  <c r="RM16" i="7"/>
  <c r="RN21" i="7"/>
  <c r="RN48" i="7" s="1"/>
  <c r="RN62" i="7" l="1"/>
  <c r="RN51" i="7"/>
  <c r="RN16" i="7"/>
  <c r="RO21" i="7"/>
  <c r="RO48" i="7" s="1"/>
  <c r="RO62" i="7" l="1"/>
  <c r="RO16" i="7"/>
  <c r="RO51" i="7"/>
  <c r="RP21" i="7"/>
  <c r="RP48" i="7" s="1"/>
  <c r="RP62" i="7" l="1"/>
  <c r="RP51" i="7"/>
  <c r="RP16" i="7"/>
  <c r="RQ21" i="7"/>
  <c r="RQ48" i="7" s="1"/>
  <c r="RQ62" i="7" l="1"/>
  <c r="RQ51" i="7"/>
  <c r="RQ16" i="7"/>
  <c r="RR21" i="7"/>
  <c r="RR48" i="7" s="1"/>
  <c r="RR62" i="7" l="1"/>
  <c r="RR51" i="7"/>
  <c r="RR16" i="7"/>
  <c r="RS21" i="7"/>
  <c r="RS48" i="7" s="1"/>
  <c r="RS62" i="7" l="1"/>
  <c r="RS51" i="7"/>
  <c r="RS16" i="7"/>
  <c r="RT21" i="7"/>
  <c r="RT48" i="7" s="1"/>
  <c r="RT62" i="7" l="1"/>
  <c r="RT51" i="7"/>
  <c r="RT16" i="7"/>
  <c r="RU21" i="7"/>
  <c r="RU48" i="7" s="1"/>
  <c r="RU62" i="7" l="1"/>
  <c r="RU51" i="7"/>
  <c r="RU16" i="7"/>
  <c r="RV21" i="7"/>
  <c r="RV48" i="7" s="1"/>
  <c r="RV62" i="7" l="1"/>
  <c r="RV51" i="7"/>
  <c r="RV16" i="7"/>
  <c r="RW21" i="7"/>
  <c r="RW48" i="7" s="1"/>
  <c r="RW62" i="7" l="1"/>
  <c r="RW51" i="7"/>
  <c r="RW16" i="7"/>
  <c r="RX21" i="7"/>
  <c r="RX48" i="7" s="1"/>
  <c r="RX62" i="7" l="1"/>
  <c r="RX51" i="7"/>
  <c r="RX16" i="7"/>
  <c r="RY21" i="7"/>
  <c r="RY48" i="7" s="1"/>
  <c r="RY62" i="7" l="1"/>
  <c r="RY51" i="7"/>
  <c r="RY16" i="7"/>
  <c r="RZ21" i="7"/>
  <c r="RZ48" i="7" s="1"/>
  <c r="RZ62" i="7" l="1"/>
  <c r="RZ51" i="7"/>
  <c r="RZ16" i="7"/>
  <c r="SA21" i="7"/>
  <c r="SA48" i="7" s="1"/>
  <c r="SA62" i="7" l="1"/>
  <c r="SA51" i="7"/>
  <c r="SA16" i="7"/>
  <c r="A2" i="7" l="1"/>
  <c r="A3" i="7" s="1"/>
  <c r="C1" i="2" l="1"/>
  <c r="D1" i="2"/>
  <c r="B40" i="3" l="1"/>
  <c r="B39" i="3"/>
  <c r="B38" i="3"/>
  <c r="B37" i="3"/>
  <c r="D20" i="3"/>
  <c r="D19" i="3"/>
  <c r="D18" i="3"/>
  <c r="C2" i="3"/>
  <c r="E1" i="2"/>
  <c r="F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PIMPRAPHON THONGPRASERT</author>
    <author>EAKALUCK KRASAESIAN</author>
    <author>THANAKORN CHITTALARN</author>
    <author>PIYASAK DUANGBUNDITKUN</author>
  </authors>
  <commentList>
    <comment ref="EX34" authorId="0" shapeId="0" xr:uid="{0E7AE99E-1082-4788-A42A-9C8E3A7B5282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Proposed Transaction CB17831A</t>
        </r>
      </text>
    </comment>
    <comment ref="GE34" authorId="1" shapeId="0" xr:uid="{A6753ACF-21A0-4661-9A8E-2322D320822E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cimbt 1.17 </t>
        </r>
      </text>
    </comment>
    <comment ref="GX34" authorId="1" shapeId="0" xr:uid="{BDE37C2C-10AB-45B6-AD7E-70D735E5A0CE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cimbt 1000 mb 1.20</t>
        </r>
      </text>
    </comment>
    <comment ref="AM45" authorId="2" shapeId="0" xr:uid="{CA7B8B94-D54C-4DC7-ACC1-D6F5A9F20CA3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CCB 6M 100m 3486m</t>
        </r>
      </text>
    </comment>
    <comment ref="AQ45" authorId="2" shapeId="0" xr:uid="{63301713-F952-485E-9EBE-0D3F9809E001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NCD SCB 500m</t>
        </r>
      </text>
    </comment>
    <comment ref="AS45" authorId="2" shapeId="0" xr:uid="{6634CE94-BE50-4A33-BABB-DE1B45E0F519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MPSC BE 1000m</t>
        </r>
      </text>
    </comment>
    <comment ref="AT45" authorId="2" shapeId="0" xr:uid="{AB21B5C7-9D15-4D1F-9578-7D2DBEB2CB62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F12GHB 2000m</t>
        </r>
      </text>
    </comment>
    <comment ref="BA45" authorId="2" shapeId="0" xr:uid="{E2E0EE9F-CE97-4E4A-A0ED-B0D5BCD5BEDA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BOC 3M (USD100m) 3530m</t>
        </r>
      </text>
    </comment>
    <comment ref="BD45" authorId="2" shapeId="0" xr:uid="{12FD264D-7A3F-481C-884F-C99D8E29B4F3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MBKM BE6M 500m</t>
        </r>
      </text>
    </comment>
    <comment ref="BO45" authorId="2" shapeId="0" xr:uid="{8A84B0F1-A70E-436E-B1AE-BCCB11A3ACD7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TBANK 12M</t>
        </r>
      </text>
    </comment>
    <comment ref="BP45" authorId="2" shapeId="0" xr:uid="{3849CEE1-249B-449B-93D0-7AFC14C6D7C6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GHB 12M
CCB 3M USD 100mio</t>
        </r>
      </text>
    </comment>
    <comment ref="BQ45" authorId="2" shapeId="0" xr:uid="{3BB1D198-1403-4CF8-9D9A-4DF969A59D7B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GHB 12M</t>
        </r>
      </text>
    </comment>
    <comment ref="BR45" authorId="2" shapeId="0" xr:uid="{83DED993-626C-4BDA-96D0-87340E4EC866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GHB 12M</t>
        </r>
      </text>
    </comment>
    <comment ref="BS45" authorId="2" shapeId="0" xr:uid="{315963A4-A038-4D6E-9A15-410CF0A6B21F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GHB 12M</t>
        </r>
      </text>
    </comment>
    <comment ref="BT45" authorId="2" shapeId="0" xr:uid="{098ED39B-B68B-4F90-8C66-3E19AB90491B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MPSC17515A 400m @1.58</t>
        </r>
      </text>
    </comment>
    <comment ref="BX45" authorId="2" shapeId="0" xr:uid="{D9F2F08A-F1F1-4127-AFB0-D9A52A31A600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ABC HKD785m (3438m)
CD GHB 2000m</t>
        </r>
      </text>
    </comment>
    <comment ref="BY45" authorId="2" shapeId="0" xr:uid="{2B1022A3-FC6D-48AC-9D9C-C6B023084527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CDTBANK 2000m
AP17629C 500m</t>
        </r>
      </text>
    </comment>
    <comment ref="CC45" authorId="2" shapeId="0" xr:uid="{C3A9A49C-5C39-4512-868C-CCA213519FD5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BE CPF6M 300m
BOC6M USD100m 3422m
TBANK12M 1650</t>
        </r>
      </text>
    </comment>
    <comment ref="CH45" authorId="2" shapeId="0" xr:uid="{14A1BACF-DBD1-4297-BB68-ACCF42A0EE40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KTC17530B 300m</t>
        </r>
      </text>
    </comment>
    <comment ref="CK45" authorId="2" shapeId="0" xr:uid="{BC0ED89B-A97E-4E64-B4BE-89EF086267F6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KSL17815A 500m</t>
        </r>
      </text>
    </comment>
    <comment ref="CN45" authorId="1" shapeId="0" xr:uid="{29AF239F-2FEC-4B34-89C1-37C80D27222B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ab c 50*4.41
</t>
        </r>
      </text>
    </comment>
    <comment ref="CO45" authorId="2" shapeId="0" xr:uid="{8B1DE97C-15D1-45DF-BEC9-905401B76B8B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ABCHK HKD12M 200m(THB878m) </t>
        </r>
      </text>
    </comment>
    <comment ref="CU45" authorId="2" shapeId="0" xr:uid="{E0BBA71E-98AC-4DA7-BCCB-1961F5BC51BD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BOCMC USD deposit 30USD 1029.6THB</t>
        </r>
      </text>
    </comment>
    <comment ref="CZ45" authorId="2" shapeId="0" xr:uid="{A59FA87A-6559-4738-A258-CC94E3A15DB1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BOC 6M USD30M THB1017.6m</t>
        </r>
      </text>
    </comment>
    <comment ref="DL45" authorId="2" shapeId="0" xr:uid="{7B6B4707-5655-4131-B1CD-1735CCC537E9}">
      <text>
        <r>
          <rPr>
            <b/>
            <sz val="9"/>
            <color indexed="81"/>
            <rFont val="Tahoma"/>
            <family val="2"/>
          </rPr>
          <t>THANAKORN CHITTALARN:</t>
        </r>
        <r>
          <rPr>
            <sz val="9"/>
            <color indexed="81"/>
            <rFont val="Tahoma"/>
            <family val="2"/>
          </rPr>
          <t xml:space="preserve">
BE BANPU17D20A</t>
        </r>
      </text>
    </comment>
    <comment ref="ES45" authorId="1" shapeId="0" xr:uid="{B731068A-3701-493A-AD5B-986B1BA08E89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mpsc 1.495 / 1000 mb </t>
        </r>
      </text>
    </comment>
    <comment ref="EX45" authorId="0" shapeId="0" xr:uid="{1DBE1C66-2A8A-4EA2-AD06-72C72F03D5B0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KTC</t>
        </r>
      </text>
    </comment>
    <comment ref="FE45" authorId="0" shapeId="0" xr:uid="{A48F0DF1-C261-4F3B-A323-446782B37CCE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TBANK deposit </t>
        </r>
      </text>
    </comment>
    <comment ref="FI45" authorId="0" shapeId="0" xr:uid="{0E457C84-C2B9-42C5-A203-F50A1F1C0BCF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 MC 20M USD </t>
        </r>
      </text>
    </comment>
    <comment ref="FT45" authorId="0" shapeId="0" xr:uid="{03FAD63E-E65D-4C66-8E41-769F77B04D15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 macau</t>
        </r>
      </text>
    </comment>
    <comment ref="HS45" authorId="1" shapeId="0" xr:uid="{FB61D0D0-1B2F-4ECD-AF53-6B0EEF6DF763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cimbt 2000 </t>
        </r>
      </text>
    </comment>
    <comment ref="HX45" authorId="1" shapeId="0" xr:uid="{66FF2AEF-73A9-4180-A95F-34BBA6EC8E7A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cimbt</t>
        </r>
      </text>
    </comment>
    <comment ref="IK45" authorId="1" shapeId="0" xr:uid="{731ABFCF-9051-4C0F-AF2D-120B3F8C53B7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scb 2000</t>
        </r>
      </text>
    </comment>
    <comment ref="IL45" authorId="1" shapeId="0" xr:uid="{6637B711-83B4-4C88-BF13-E777C87355AE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cimbt  2000</t>
        </r>
      </text>
    </comment>
    <comment ref="JS45" authorId="0" shapeId="0" xr:uid="{498A14A0-BF20-4588-B22D-080A3AAD744A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cimbt</t>
        </r>
      </text>
    </comment>
    <comment ref="KG45" authorId="0" shapeId="0" xr:uid="{C7D19DC8-E7EB-40F5-AD3F-D5A389EA6679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BOCMC</t>
        </r>
      </text>
    </comment>
    <comment ref="KJ45" authorId="0" shapeId="0" xr:uid="{8BE33E85-F812-42B0-A148-EAD3ED6AEC6D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Buy BAY186</t>
        </r>
      </text>
    </comment>
    <comment ref="KK45" authorId="0" shapeId="0" xr:uid="{54DFEFC4-CF22-40FA-AB16-98F63AA04097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BOCMC 6M 40 EUR</t>
        </r>
      </text>
    </comment>
    <comment ref="KL45" authorId="3" shapeId="0" xr:uid="{FC55A65D-3896-49FA-B70C-3C55F86E6FCA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F6MABCHK130918a</t>
        </r>
      </text>
    </comment>
    <comment ref="KM45" authorId="3" shapeId="0" xr:uid="{7F3BF90E-FB67-4A15-8310-43A034F658EA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MBKET18920A</t>
        </r>
      </text>
    </comment>
    <comment ref="KO45" authorId="0" shapeId="0" xr:uid="{81C3D2CB-F294-4FBF-B491-5A10D3AAB8AC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BOCMC 6M 30 mio EUR</t>
        </r>
      </text>
    </comment>
    <comment ref="LA45" authorId="0" shapeId="0" xr:uid="{C358B5CD-9F80-4AB2-BDB9-45B9BEA2E5A6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BOCMC CNH deposit 1Y</t>
        </r>
      </text>
    </comment>
    <comment ref="LC45" authorId="1" shapeId="0" xr:uid="{0F64AA3C-88E7-40E2-9A00-1A6F4761B37B}">
      <text>
        <r>
          <rPr>
            <b/>
            <sz val="9"/>
            <color indexed="81"/>
            <rFont val="Tahoma"/>
            <family val="2"/>
          </rPr>
          <t>EAKALUCK KRASAESIAN:</t>
        </r>
        <r>
          <rPr>
            <sz val="9"/>
            <color indexed="81"/>
            <rFont val="Tahoma"/>
            <family val="2"/>
          </rPr>
          <t xml:space="preserve">
boc 400 cnh</t>
        </r>
      </text>
    </comment>
    <comment ref="LK45" authorId="3" shapeId="0" xr:uid="{E2E452AA-F0BD-4AD8-A562-6CD3EF2F47DA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F12MBOMC250419</t>
        </r>
      </text>
    </comment>
    <comment ref="LM45" authorId="3" shapeId="0" xr:uid="{29955DE4-4E91-44F6-AB72-B2E69A9B0000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F12MABCHK260419</t>
        </r>
      </text>
    </comment>
    <comment ref="LP45" authorId="0" shapeId="0" xr:uid="{8225E4DF-9462-4C23-9F5D-3ED49EBF9D83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BOCMC 6M </t>
        </r>
      </text>
    </comment>
    <comment ref="LU45" authorId="0" shapeId="0" xr:uid="{1F9048FA-17BB-4EB4-BD0B-DD6DD67E5FE8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MPSC 3M</t>
        </r>
      </text>
    </comment>
    <comment ref="MA45" authorId="0" shapeId="0" xr:uid="{F58E644C-7195-4D62-95F5-4AC4107C0C21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1Y 1.65 TCAP </t>
        </r>
      </text>
    </comment>
    <comment ref="ME45" authorId="3" shapeId="0" xr:uid="{A6439108-C90F-4F3D-8559-BD5D3E7B66CA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SPALI19218A</t>
        </r>
      </text>
    </comment>
    <comment ref="MH45" authorId="3" shapeId="0" xr:uid="{DD0D87D3-D8DE-40E4-88B9-55962D118913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รายการหลัง 4 โมง</t>
        </r>
      </text>
    </comment>
    <comment ref="MY45" authorId="3" shapeId="0" xr:uid="{D09AC410-D994-42D0-BCAF-2EEB45A3893F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SCB 1m deposit
issue 22 Jun 18
mature 24 Jul 18</t>
        </r>
      </text>
    </comment>
    <comment ref="NM45" authorId="0" shapeId="0" xr:uid="{753779FB-6593-4395-9E37-11A604F1F864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ABCHK 3M deposit</t>
        </r>
      </text>
    </comment>
    <comment ref="OB45" authorId="0" shapeId="0" xr:uid="{A506D2D6-6BB1-4533-9017-D33AE33181B3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GHB 1.7 1Y </t>
        </r>
      </text>
    </comment>
    <comment ref="OD45" authorId="0" shapeId="0" xr:uid="{AB5AADE1-4F42-452F-9F3E-D16795A99591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MPSC BE </t>
        </r>
      </text>
    </comment>
    <comment ref="OE45" authorId="0" shapeId="0" xr:uid="{85926871-03D2-4738-8A1D-DEEEB20EF683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MPSC BE </t>
        </r>
      </text>
    </comment>
    <comment ref="OK45" authorId="3" shapeId="0" xr:uid="{2944B75D-C15B-4CEB-9156-CB6797909989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BE KTC18904A</t>
        </r>
      </text>
    </comment>
    <comment ref="OW45" authorId="0" shapeId="0" xr:uid="{BCE7ED39-B60B-467F-AE83-C7B6507ACF42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TCAP deposit </t>
        </r>
      </text>
    </comment>
    <comment ref="PB45" authorId="1" shapeId="0" xr:uid="{44BC36C4-5D04-430B-A7CF-87E450182154}">
      <text>
        <r>
          <rPr>
            <b/>
            <sz val="9"/>
            <color indexed="81"/>
            <rFont val="Tahoma"/>
            <family val="2"/>
          </rPr>
          <t>EAKALUCK KRASAESIANOUT
OUT 16.00</t>
        </r>
      </text>
    </comment>
    <comment ref="PC45" authorId="0" shapeId="0" xr:uid="{DDA593F4-CFB7-42B5-BF1A-26FBBF547E8C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BE KTC </t>
        </r>
      </text>
    </comment>
    <comment ref="PH45" authorId="0" shapeId="0" xr:uid="{3ADEA0C3-2C45-4D4B-8EEB-F54C21B9CAC9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MBKET18D18A +BOCMC 6M</t>
        </r>
      </text>
    </comment>
    <comment ref="LU46" authorId="0" shapeId="0" xr:uid="{03A10011-CE04-425D-B30E-0E86F98B09FC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ABCHK 1Y EUR</t>
        </r>
      </text>
    </comment>
    <comment ref="OE46" authorId="3" shapeId="0" xr:uid="{3C5DE8DD-A40E-42C9-8C4C-AD9CFD0A4D41}">
      <text>
        <r>
          <rPr>
            <b/>
            <sz val="9"/>
            <color indexed="81"/>
            <rFont val="Tahoma"/>
            <family val="2"/>
          </rPr>
          <t>PIYASAK DUANGBUNDITKUN:</t>
        </r>
        <r>
          <rPr>
            <sz val="9"/>
            <color indexed="81"/>
            <rFont val="Tahoma"/>
            <family val="2"/>
          </rPr>
          <t xml:space="preserve">
F12MGHB090819</t>
        </r>
      </text>
    </comment>
    <comment ref="PH46" authorId="0" shapeId="0" xr:uid="{02E52DE4-50F0-4DEE-BFC0-01EF3491ADC7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SCB depo 1.5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PIMPRAPHON THONGPRASERT</author>
  </authors>
  <commentList>
    <comment ref="B1" authorId="0" shapeId="0" xr:uid="{DAFCBED9-076E-4ED4-BF25-D56DB8A9F2B7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&lt; link with file port, MTM Sec., cell D55</t>
        </r>
      </text>
    </comment>
    <comment ref="B16" authorId="0" shapeId="0" xr:uid="{CA5A4A53-9565-4B3A-8334-BAEC0A07EACE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only for SCBSFF SCBSFFP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PIMPRAPHON THONGPRASERT</author>
  </authors>
  <commentList>
    <comment ref="D16" authorId="0" shapeId="0" xr:uid="{A48847D8-8757-4C61-8261-E3BA17763ABD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ยอดเงิน T+2 </t>
        </r>
      </text>
    </comment>
    <comment ref="A17" authorId="0" shapeId="0" xr:uid="{A3DBB6BC-E5FD-4E11-8155-0FD78060F1A7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only for SCBSFF SCBSFFP </t>
        </r>
      </text>
    </comment>
    <comment ref="D19" authorId="0" shapeId="0" xr:uid="{DD4A3485-B672-4E1A-8F36-3C7EC01245BD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If possible auction size &gt; 2% NAV then select possible auction size to cal PV01</t>
        </r>
      </text>
    </comment>
    <comment ref="A22" authorId="0" shapeId="0" xr:uid="{F25D2044-9B83-43C9-BA0A-13EB29D01F2C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สามารถระบุ change of yield scenario ได้</t>
        </r>
      </text>
    </comment>
    <comment ref="A23" authorId="0" shapeId="0" xr:uid="{9618DE02-161D-4F89-947C-2EE3AC286914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สามารถระบุ%ที่อยากเข้าของ NAV ได้</t>
        </r>
      </text>
    </comment>
    <comment ref="A27" authorId="0" shapeId="0" xr:uid="{53732A47-28FE-4550-BEF0-15F0BC4A5182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&lt; link with file port, MTM Sec., cell D55</t>
        </r>
      </text>
    </comment>
    <comment ref="C27" authorId="0" shapeId="0" xr:uid="{8EEFF1E6-C49E-4F31-B707-1E81FFFEF285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สามารถใส่เองได้</t>
        </r>
      </text>
    </comment>
    <comment ref="A28" authorId="0" shapeId="0" xr:uid="{A1A445C2-45C1-44FB-BC92-0671EC27CB13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&lt;link with file port , MTM Sec. tab, cell G49</t>
        </r>
      </text>
    </comment>
    <comment ref="C29" authorId="0" shapeId="0" xr:uid="{3EAF10C3-0634-418A-BC9A-B727C3A4933B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สามารถใส่เองได้</t>
        </r>
      </text>
    </comment>
    <comment ref="C31" authorId="0" shapeId="0" xr:uid="{6D3DD0C9-EDB5-4C71-83B2-0B404B21FD71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สามารถใส่เองได้</t>
        </r>
      </text>
    </comment>
    <comment ref="C33" authorId="0" shapeId="0" xr:uid="{79D4DEA4-8055-4344-8FEF-A34B964683D1}">
      <text>
        <r>
          <rPr>
            <b/>
            <sz val="9"/>
            <color indexed="81"/>
            <rFont val="Tahoma"/>
            <family val="2"/>
          </rPr>
          <t>PIMPRAPHON THONGPRASERT:</t>
        </r>
        <r>
          <rPr>
            <sz val="9"/>
            <color indexed="81"/>
            <rFont val="Tahoma"/>
            <family val="2"/>
          </rPr>
          <t xml:space="preserve">
สามารถใส่เองได้</t>
        </r>
      </text>
    </comment>
  </commentList>
</comments>
</file>

<file path=xl/sharedStrings.xml><?xml version="1.0" encoding="utf-8"?>
<sst xmlns="http://schemas.openxmlformats.org/spreadsheetml/2006/main" count="17266" uniqueCount="1096">
  <si>
    <t>HLD_Date</t>
  </si>
  <si>
    <t>HLD_Portfolio</t>
  </si>
  <si>
    <t>Group1</t>
  </si>
  <si>
    <t>Group2</t>
  </si>
  <si>
    <t>Group3</t>
  </si>
  <si>
    <t>HLD_SecCode</t>
  </si>
  <si>
    <t>SCBSFF</t>
  </si>
  <si>
    <t>FIXED INCOME</t>
  </si>
  <si>
    <t>CUSTODIAN BANK</t>
  </si>
  <si>
    <t>MTF</t>
  </si>
  <si>
    <t>CASH</t>
  </si>
  <si>
    <t>TERM &amp; SAVING DEPOSIT</t>
  </si>
  <si>
    <t>A</t>
  </si>
  <si>
    <t>F12MGHB090819</t>
  </si>
  <si>
    <t>F12MGHB180119</t>
  </si>
  <si>
    <t>TREASURY BILL</t>
  </si>
  <si>
    <t>BOT BOND</t>
  </si>
  <si>
    <t>CB18D06C</t>
  </si>
  <si>
    <t>CB18D13B</t>
  </si>
  <si>
    <t>CB18D20B</t>
  </si>
  <si>
    <t>CB18N01B</t>
  </si>
  <si>
    <t>CB18N08A</t>
  </si>
  <si>
    <t>CB18N08B</t>
  </si>
  <si>
    <t>CB18N15B</t>
  </si>
  <si>
    <t>CB18N22B</t>
  </si>
  <si>
    <t>CB18N29B</t>
  </si>
  <si>
    <t>CB18O04A</t>
  </si>
  <si>
    <t>CB18O04B</t>
  </si>
  <si>
    <t>CB18O09A</t>
  </si>
  <si>
    <t>CB18O11A</t>
  </si>
  <si>
    <t>CB18O11B</t>
  </si>
  <si>
    <t>CB18O18A</t>
  </si>
  <si>
    <t>CB18O18B</t>
  </si>
  <si>
    <t>CB18O25A</t>
  </si>
  <si>
    <t>CB18O25B</t>
  </si>
  <si>
    <t>CB19103B</t>
  </si>
  <si>
    <t>DEBENTURE</t>
  </si>
  <si>
    <t>BOND</t>
  </si>
  <si>
    <t>ACCRUED PAYABLE</t>
  </si>
  <si>
    <t>BUY SECURITY</t>
  </si>
  <si>
    <t>Settle Date :04/10/2018</t>
  </si>
  <si>
    <t>AUDITING FEE</t>
  </si>
  <si>
    <t>TAX</t>
  </si>
  <si>
    <t>MANAGEMENT FEE</t>
  </si>
  <si>
    <t>CUSTODIAN FEE</t>
  </si>
  <si>
    <t>FEES</t>
  </si>
  <si>
    <t>SCBSFFPLUS</t>
  </si>
  <si>
    <t>KBANK</t>
  </si>
  <si>
    <t>F12MGHB260719</t>
  </si>
  <si>
    <t>TB18N14A</t>
  </si>
  <si>
    <t>CB18D27B</t>
  </si>
  <si>
    <t>CB18N01A</t>
  </si>
  <si>
    <t>CB18O16A</t>
  </si>
  <si>
    <t>TISCO18NA</t>
  </si>
  <si>
    <t>SCBTMF</t>
  </si>
  <si>
    <t>F12MGHB090419</t>
  </si>
  <si>
    <t>SCBTMFPLUS</t>
  </si>
  <si>
    <t>กองทุนเปิดไทยพาณิชย์ตราสารรัฐตลาดเงิน พลัส</t>
  </si>
  <si>
    <t>SCB TREASURY MONEY PLUS OPEN END FUND</t>
  </si>
  <si>
    <t>F12MGHB071218</t>
  </si>
  <si>
    <t>INVSKTBtmfplus</t>
  </si>
  <si>
    <t>INVSUOBTtmfplus</t>
  </si>
  <si>
    <t>CB18D06A</t>
  </si>
  <si>
    <t>GHB18DA</t>
  </si>
  <si>
    <t>BAY193A</t>
  </si>
  <si>
    <t>Cash inflow</t>
  </si>
  <si>
    <t>Inflow from system</t>
  </si>
  <si>
    <t>Maturity</t>
  </si>
  <si>
    <t>Corp.</t>
  </si>
  <si>
    <t>Gov.</t>
  </si>
  <si>
    <t>Foreign inv.</t>
  </si>
  <si>
    <t>Deposit</t>
  </si>
  <si>
    <t>Coupon</t>
  </si>
  <si>
    <t>Cash outflow</t>
  </si>
  <si>
    <t>Outflow from system</t>
  </si>
  <si>
    <t>Debt buy</t>
  </si>
  <si>
    <t xml:space="preserve">Proposed Item </t>
  </si>
  <si>
    <t xml:space="preserve">Ending cash </t>
  </si>
  <si>
    <t>keep</t>
  </si>
  <si>
    <t>possible Auction size</t>
  </si>
  <si>
    <t>Auction 2% NAV</t>
  </si>
  <si>
    <t>PV01</t>
  </si>
  <si>
    <t>T+1</t>
  </si>
  <si>
    <t>T+3</t>
  </si>
  <si>
    <t>3M</t>
  </si>
  <si>
    <t>T+0 (Tuesday)</t>
  </si>
  <si>
    <t>T+2 (Thursday)</t>
  </si>
  <si>
    <t>Beginning</t>
  </si>
  <si>
    <t>but if possible auction amount is lower than 2% of NAV then suggest an amount of 2% of NAV</t>
  </si>
  <si>
    <t>NAV</t>
  </si>
  <si>
    <t xml:space="preserve">tab show AI per day of each fund </t>
  </si>
  <si>
    <t>Limit (PV01 no larger than…)</t>
  </si>
  <si>
    <t>&lt;&lt;&lt; set warning ไว้ถ้าเงินที่บอกว่าจะเข้า auctionห้ามทำให้ PV01เกิน</t>
  </si>
  <si>
    <t>Current PV01</t>
  </si>
  <si>
    <t>สุดท้ายถ้าเกินให้ suggest เป็น เข้าประมูล work กลับตามamount ที่ไม่ทำให้ PV01 เกิน</t>
  </si>
  <si>
    <t xml:space="preserve">สำหรับ 4 กอง </t>
  </si>
  <si>
    <t>1. หาเงินที่สามารถเอาเข้าประมูลได้ (SFF และ SFFPLUSให้หักออก 1000 ล้านเพื่อเบไว้สำหรับเงินออก )</t>
  </si>
  <si>
    <t>2. critiria 1 คือวัดว่า 2% of NAV มีปริมาณเท่าไหร่ ถ้าเงิน possible auction size มีมากกว่าให้ไปเข้า critiria 2 แต่ถ้าน้อยกว่าให้เลือก Final auction size เท่ากับ Auction 2% Nav</t>
  </si>
  <si>
    <t>3. กรณีที่มีเงินเยอะมาก จะให้เข้า critiria 2 เพื่อ Test หา PV01 ถ้าเงินที่เหลืออยู่ให้ PV01 ไม่เกินจากจำนวนที่ลิมิตไว้ ให้เลือก amount นั้นเป็น Final Auction Size</t>
  </si>
  <si>
    <t>4. กรณีที่ PV01 เกินกว่าที่ระบุไว้ให้ เลือกamount ที่เราระบุ PV01 ที่ต้องการไว้เป็น Final Auction size</t>
  </si>
  <si>
    <t>(blank)</t>
  </si>
  <si>
    <t>(All)</t>
  </si>
  <si>
    <t>Sum of HLD_Yield</t>
  </si>
  <si>
    <t>Sum of HLD_MarketValue</t>
  </si>
  <si>
    <t>Sum of HLD_YieldCost</t>
  </si>
  <si>
    <t>Sum of HLD_ModDuration</t>
  </si>
  <si>
    <t>Sum of HLD_Quantity</t>
  </si>
  <si>
    <t>Sum of HLD_MaturityDate</t>
  </si>
  <si>
    <t>Sum of Term</t>
  </si>
  <si>
    <t>Sum of HLD_CouponRate</t>
  </si>
  <si>
    <t>Portfolio</t>
  </si>
  <si>
    <t>DescTh</t>
  </si>
  <si>
    <t>DescEng</t>
  </si>
  <si>
    <t>Custodian</t>
  </si>
  <si>
    <t>CusFullName</t>
  </si>
  <si>
    <t>CustCurAcct</t>
  </si>
  <si>
    <t>CustSavAcct</t>
  </si>
  <si>
    <t>SCBCurAcct</t>
  </si>
  <si>
    <t>SCBSavAcct</t>
  </si>
  <si>
    <t>ProjDate</t>
  </si>
  <si>
    <t>EquityBuy</t>
  </si>
  <si>
    <t>EquitySell</t>
  </si>
  <si>
    <t>EquityDividend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</si>
  <si>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</si>
  <si>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</si>
  <si>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</si>
  <si>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</si>
  <si>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</si>
  <si>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</si>
  <si>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</si>
  <si>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</si>
  <si>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</si>
  <si>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</si>
  <si>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</si>
  <si>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</si>
  <si>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</si>
  <si>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Remark</t>
  </si>
  <si>
    <t>FundManager</t>
  </si>
  <si>
    <t>FundNameTh</t>
  </si>
  <si>
    <t>FundNameEng</t>
  </si>
  <si>
    <t>DataIndex</t>
  </si>
  <si>
    <t>StatusT</t>
  </si>
  <si>
    <t>EquityBuy_BahtNet</t>
  </si>
  <si>
    <t>EquitySell_BahtNet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</si>
  <si>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</si>
  <si>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</si>
  <si>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</si>
  <si>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</si>
  <si>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</si>
  <si>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</si>
  <si>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</si>
  <si>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</si>
  <si>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</si>
  <si>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</si>
  <si>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SwIn_SCB_BahtNet</t>
  </si>
  <si>
    <t>SwIn_Other_BahtNet</t>
  </si>
  <si>
    <t>SwIn_SCB_Cheque</t>
  </si>
  <si>
    <t>SwIn_Other_Cheque</t>
  </si>
  <si>
    <t>OPSECCODE</t>
  </si>
  <si>
    <t>OPSECNAME</t>
  </si>
  <si>
    <t>OPSECDATE</t>
  </si>
  <si>
    <t>OPSECTIME</t>
  </si>
  <si>
    <t>CashForBahtNet1</t>
  </si>
  <si>
    <t>CashBal_SCB</t>
  </si>
  <si>
    <t>PortClass</t>
  </si>
  <si>
    <t>ธนาคารกสิกรไทย จำกัด (มหาชน)</t>
  </si>
  <si>
    <t xml:space="preserve">   </t>
  </si>
  <si>
    <t>745-2-67119-5</t>
  </si>
  <si>
    <t>086-3-02242-9</t>
  </si>
  <si>
    <t>Pawaret</t>
  </si>
  <si>
    <t>ปวเรศร์ ตั้งอภิชาติเจริญ</t>
  </si>
  <si>
    <t>Pawaret Tangaphichartcharoen</t>
  </si>
  <si>
    <t>S53095</t>
  </si>
  <si>
    <t>03/10/2018</t>
  </si>
  <si>
    <t>09:12:47 PM</t>
  </si>
  <si>
    <t>09:12:48 PM</t>
  </si>
  <si>
    <t>Portfolio List</t>
  </si>
  <si>
    <t>HLD_SecRating</t>
  </si>
  <si>
    <t>HLD_Issuer</t>
  </si>
  <si>
    <t>HLD_IssType</t>
  </si>
  <si>
    <t>HLD_IssIndustry</t>
  </si>
  <si>
    <t>HLD_Rating</t>
  </si>
  <si>
    <t>HLD_Aval</t>
  </si>
  <si>
    <t>HLD_Recourse</t>
  </si>
  <si>
    <t>HLD_MaturityDate</t>
  </si>
  <si>
    <t>HLD_SecDTM</t>
  </si>
  <si>
    <t>HLD_CouponRate</t>
  </si>
  <si>
    <t>HLD_Yield</t>
  </si>
  <si>
    <t>HLD_Quantity</t>
  </si>
  <si>
    <t>HLD_Price</t>
  </si>
  <si>
    <t>HLD_MarketValue</t>
  </si>
  <si>
    <t>HLD_AI</t>
  </si>
  <si>
    <t>HLD_Cost</t>
  </si>
  <si>
    <t>HLD_ModDuration</t>
  </si>
  <si>
    <t>HLD_Principal</t>
  </si>
  <si>
    <t>HLD_Remark</t>
  </si>
  <si>
    <t>HLD_PriceCost</t>
  </si>
  <si>
    <t>HLD_YieldCost</t>
  </si>
  <si>
    <t>HLD_Ratio</t>
  </si>
  <si>
    <t>SEC_Code1</t>
  </si>
  <si>
    <t>SEC_Code2</t>
  </si>
  <si>
    <t>SEC_Desc</t>
  </si>
  <si>
    <t>SEC_THDesc</t>
  </si>
  <si>
    <t>SEC_THDescFull</t>
  </si>
  <si>
    <t>SEC_Class</t>
  </si>
  <si>
    <t>SEC_Issuer</t>
  </si>
  <si>
    <t>SEC_SecType</t>
  </si>
  <si>
    <t>SEC_UDFSecType</t>
  </si>
  <si>
    <t>SEC_UDFSecType2</t>
  </si>
  <si>
    <t>SEC_Industry</t>
  </si>
  <si>
    <t>SEC_GroupIndustry</t>
  </si>
  <si>
    <t>SEC_FundPolicy</t>
  </si>
  <si>
    <t>SEC_Exchange</t>
  </si>
  <si>
    <t>SEC_Currency</t>
  </si>
  <si>
    <t>SEC_SnPRate</t>
  </si>
  <si>
    <t>SEC_MoodyRate</t>
  </si>
  <si>
    <t>SEC_DistributionChnnel</t>
  </si>
  <si>
    <t>SEC_LiquidityType</t>
  </si>
  <si>
    <t>SEC_MTMMethod</t>
  </si>
  <si>
    <t>SEC_Rating</t>
  </si>
  <si>
    <t>SEC_RatingLevel</t>
  </si>
  <si>
    <t>SEC_ISS_IssDescEng</t>
  </si>
  <si>
    <t>SEC_ISS_IssDescTh</t>
  </si>
  <si>
    <t>SEC_ISS_IssType</t>
  </si>
  <si>
    <t>SEC_ISS_TRIS_Rating</t>
  </si>
  <si>
    <t>SEC_ISS_FITCH_Rating</t>
  </si>
  <si>
    <t>SEC_ISS_IssNonFinance</t>
  </si>
  <si>
    <t>SEC_ISS_SnP_Rating</t>
  </si>
  <si>
    <t>SEC_ISS_Moody_Rating</t>
  </si>
  <si>
    <t>SEC_ISS_IssRating</t>
  </si>
  <si>
    <t>SEC_ISS_IssRatingLevel</t>
  </si>
  <si>
    <t>SEC_ISS_Code1</t>
  </si>
  <si>
    <t>SEC_ISS_Code2</t>
  </si>
  <si>
    <t>AVAL_Code1</t>
  </si>
  <si>
    <t>AVAL_Code2</t>
  </si>
  <si>
    <t>AVAL_IssDescEng</t>
  </si>
  <si>
    <t>AVAL_IssDescTh</t>
  </si>
  <si>
    <t>AVAL_IssType</t>
  </si>
  <si>
    <t>AVAL_TRIS_Rating</t>
  </si>
  <si>
    <t>AVAL_FITCH_Rating</t>
  </si>
  <si>
    <t>AVAL_IssNonFinance</t>
  </si>
  <si>
    <t>AVAL_SnP_Rating</t>
  </si>
  <si>
    <t>AVAL_Moody_Rating</t>
  </si>
  <si>
    <t>AVAL_IssRating</t>
  </si>
  <si>
    <t>AVAL_IssRatingLevel</t>
  </si>
  <si>
    <t>AVAL_IssPNOutstand</t>
  </si>
  <si>
    <t>Recourse_Code1</t>
  </si>
  <si>
    <t>Recourse_Code2</t>
  </si>
  <si>
    <t>Recourse_IssDescEng</t>
  </si>
  <si>
    <t>Recourse_IssDescTh</t>
  </si>
  <si>
    <t>Recourse_IssType</t>
  </si>
  <si>
    <t>Recourse_TRIS_Rating</t>
  </si>
  <si>
    <t>Recourse_FITCH_Rating</t>
  </si>
  <si>
    <t>Recourse_IssNonFinance</t>
  </si>
  <si>
    <t>Recourse_SnP_Rating</t>
  </si>
  <si>
    <t>Recourse_Moody_Rating</t>
  </si>
  <si>
    <t>Recourse_IssRating</t>
  </si>
  <si>
    <t>Recourse_IssRatingLevel</t>
  </si>
  <si>
    <t>Recourse_IssPNOutstand</t>
  </si>
  <si>
    <t>Portfolio_NameTH</t>
  </si>
  <si>
    <t>Portfolio_NameEN</t>
  </si>
  <si>
    <t>Porfolio_Class</t>
  </si>
  <si>
    <t>SEC_Issue_Date</t>
  </si>
  <si>
    <t>Structure_Note</t>
  </si>
  <si>
    <t>SecCountry</t>
  </si>
  <si>
    <t>SEC_ISS_Country1</t>
  </si>
  <si>
    <t>SEC_ISS_ISO_Country1</t>
  </si>
  <si>
    <t>SEC_UnderlyingAsset</t>
  </si>
  <si>
    <t>TOTDepositLimit</t>
  </si>
  <si>
    <t>SEC_isAtCall</t>
  </si>
  <si>
    <t>SEC_Transferable</t>
  </si>
  <si>
    <t>SEC_ISS_Country2</t>
  </si>
  <si>
    <t>SEC_ISS_ISO_Country2</t>
  </si>
  <si>
    <t>IsAmor</t>
  </si>
  <si>
    <t>IsFloat</t>
  </si>
  <si>
    <t>FwdDealtRate</t>
  </si>
  <si>
    <t>SpotRate</t>
  </si>
  <si>
    <t>ISIN</t>
  </si>
  <si>
    <t>DR_Cost</t>
  </si>
  <si>
    <t>DR_Market</t>
  </si>
  <si>
    <t>DR_Underlying</t>
  </si>
  <si>
    <t>DR_NotionalAmount</t>
  </si>
  <si>
    <t>DR_CurrencyCode</t>
  </si>
  <si>
    <t>DR_CurrencyRate</t>
  </si>
  <si>
    <t>-CNY CASH-</t>
  </si>
  <si>
    <t>SCB</t>
  </si>
  <si>
    <t>LISTED</t>
  </si>
  <si>
    <t>BANKING</t>
  </si>
  <si>
    <t>AA+(tha)</t>
  </si>
  <si>
    <t>Cash Bal</t>
  </si>
  <si>
    <t>Cash Balance</t>
  </si>
  <si>
    <t>CASH CUST</t>
  </si>
  <si>
    <t xml:space="preserve"> </t>
  </si>
  <si>
    <t>OTHER</t>
  </si>
  <si>
    <t>CNHbb</t>
  </si>
  <si>
    <t>Liquid</t>
  </si>
  <si>
    <t>THE SIAM COMMERCIAL BANK PLC.</t>
  </si>
  <si>
    <t>ธนาคารไทยพาณิชย์  จำกัด (มหาชน)</t>
  </si>
  <si>
    <t>BBB+</t>
  </si>
  <si>
    <t>Baa1</t>
  </si>
  <si>
    <t>0</t>
  </si>
  <si>
    <t>กองทุนเปิดไทยพาณิชย์ตราสารหนี้ระยะสั้น</t>
  </si>
  <si>
    <t>SCB Short Term Fixed Income Fund</t>
  </si>
  <si>
    <t>THAILAND</t>
  </si>
  <si>
    <t>TH</t>
  </si>
  <si>
    <t>-EUR CASH-</t>
  </si>
  <si>
    <t>EURO Cash Balance</t>
  </si>
  <si>
    <t>EURbb</t>
  </si>
  <si>
    <t>LUXEMBOURG</t>
  </si>
  <si>
    <t>-HKD CASH-</t>
  </si>
  <si>
    <t>HKDbb</t>
  </si>
  <si>
    <t>NONTRANSFERABLE</t>
  </si>
  <si>
    <t>-SACON SFF</t>
  </si>
  <si>
    <t>BBB</t>
  </si>
  <si>
    <t>SAVING CONTRIBUTION</t>
  </si>
  <si>
    <t>เงินฝากออมทรัพย์ ธนาคารไทยพาณิชย์ จำกัด (มหาชน)</t>
  </si>
  <si>
    <t>SIAM COMMERCIAL BANK</t>
  </si>
  <si>
    <t>INVEST SAVING</t>
  </si>
  <si>
    <t>THB</t>
  </si>
  <si>
    <t>-US CASH-</t>
  </si>
  <si>
    <t>US Cash Balance</t>
  </si>
  <si>
    <t>USDbb</t>
  </si>
  <si>
    <t>U.S.A.</t>
  </si>
  <si>
    <t>BAY</t>
  </si>
  <si>
    <t>-CASH SAVINGS-</t>
  </si>
  <si>
    <t>CD12MTBANK14519</t>
  </si>
  <si>
    <t>TBANK</t>
  </si>
  <si>
    <t>AA-</t>
  </si>
  <si>
    <t>Negotiable Certificate Of Deposit TBANK</t>
  </si>
  <si>
    <t>บัตรเงินฝาก 12 เดือน บมจ.ธนาคาร ธนชาต</t>
  </si>
  <si>
    <t>Bond</t>
  </si>
  <si>
    <t>TERM AC365 U</t>
  </si>
  <si>
    <t>FIXED</t>
  </si>
  <si>
    <t>NO MARKET</t>
  </si>
  <si>
    <t>P/O</t>
  </si>
  <si>
    <t>P/N</t>
  </si>
  <si>
    <t>THANACHART BANK PLC.</t>
  </si>
  <si>
    <t>ธนาคารธนชาต จำกัด (มหาชน)</t>
  </si>
  <si>
    <t>AA-(tha)</t>
  </si>
  <si>
    <t>CD9MTBANK11619</t>
  </si>
  <si>
    <t>CD 9 Month TBANK</t>
  </si>
  <si>
    <t>ใบรับฝากเงิน 9 เดือน บมจ.ธนาคาร ธนชาต</t>
  </si>
  <si>
    <t>F12MABCHK100519</t>
  </si>
  <si>
    <t>ABCHK</t>
  </si>
  <si>
    <t>LISTEDFOREIGN</t>
  </si>
  <si>
    <t>FIXED 12 MONTH AGRICULTURAL BANK OF CHINA (HONGKONG)</t>
  </si>
  <si>
    <t>เงินฝากประจำ 12 เดือน Agricultural Bank of China (HongKong)</t>
  </si>
  <si>
    <t>TERM AC360 U</t>
  </si>
  <si>
    <t>P/P</t>
  </si>
  <si>
    <t>Agricultural Bank of China (HONGKONG)</t>
  </si>
  <si>
    <t>A1</t>
  </si>
  <si>
    <t>HONGKONG</t>
  </si>
  <si>
    <t>HK</t>
  </si>
  <si>
    <t>F12MABCHK250419</t>
  </si>
  <si>
    <t>F1</t>
  </si>
  <si>
    <t>A-1</t>
  </si>
  <si>
    <t>P1</t>
  </si>
  <si>
    <t>F12MADCB061118b</t>
  </si>
  <si>
    <t>ADCB</t>
  </si>
  <si>
    <t>A+</t>
  </si>
  <si>
    <t>FIXED 12 MONTH ADCB</t>
  </si>
  <si>
    <t>เงินฝากประจำ 12 เดือน Abu Dhabi Commercial Bank</t>
  </si>
  <si>
    <t>Abu Dhabi Commercial Bank</t>
  </si>
  <si>
    <t>UAE</t>
  </si>
  <si>
    <t>AE</t>
  </si>
  <si>
    <t>F12MADCB161018</t>
  </si>
  <si>
    <t>F12MBOCMC040419</t>
  </si>
  <si>
    <t>BOC MACAU</t>
  </si>
  <si>
    <t>FIXED 12 MONTH BANK OF CHINA  MACAU</t>
  </si>
  <si>
    <t>เงินฝากประจำ 12 เดือน BANK OF CHINA  MACAU</t>
  </si>
  <si>
    <t>BANK OF CHINA MACAU BRANCH</t>
  </si>
  <si>
    <t>MACAO</t>
  </si>
  <si>
    <t>MO</t>
  </si>
  <si>
    <t>F12MBOCMC110419</t>
  </si>
  <si>
    <t>เงินฝากประจำ 12 เดือน BANK OF CHINA MACAU</t>
  </si>
  <si>
    <t>F12MBOCMC250419</t>
  </si>
  <si>
    <t>F12MGHB020819a</t>
  </si>
  <si>
    <t>GHB</t>
  </si>
  <si>
    <t>SPECIALIZE F.I.</t>
  </si>
  <si>
    <t>AAA(tha)</t>
  </si>
  <si>
    <t>FIXED 12 MTH GHB</t>
  </si>
  <si>
    <t>เงินฝากประจำ 12 เดือน ธนาคารอาคารสงเคราะห์</t>
  </si>
  <si>
    <t>TERM ACAC U</t>
  </si>
  <si>
    <t>GOVERNMENT HOUSING BANK</t>
  </si>
  <si>
    <t>ธนาคารอาคารสงเคราะห์</t>
  </si>
  <si>
    <t>F12MGHB060819</t>
  </si>
  <si>
    <t>F12MGHB141218</t>
  </si>
  <si>
    <t>F12MGHB160119</t>
  </si>
  <si>
    <t>F1+(tha)</t>
  </si>
  <si>
    <t>P2</t>
  </si>
  <si>
    <t>F12MGHB170119</t>
  </si>
  <si>
    <t>F12MGHB210119</t>
  </si>
  <si>
    <t>F3MABCHK161018</t>
  </si>
  <si>
    <t>FIXED 3 MONTH AGRICULTURAL BANK OF CHINA (HONGKONG)</t>
  </si>
  <si>
    <t>เงินฝากประจำ 3 เดือน Agricultural Bank of China (HongKong)</t>
  </si>
  <si>
    <t>F6MBOCMC051118</t>
  </si>
  <si>
    <t>FIXED 6 MONTH BANK OF CHINA  MACAU</t>
  </si>
  <si>
    <t xml:space="preserve">เงินฝากประจำ 6 เดือน BANK OF CHINA MACAU BRANCH </t>
  </si>
  <si>
    <t>F6MBOCMC190319</t>
  </si>
  <si>
    <t>INVCTISCOsff1</t>
  </si>
  <si>
    <t>TISCOB</t>
  </si>
  <si>
    <t>INV.CURRENT</t>
  </si>
  <si>
    <t>เงินฝากกระแสรายวันพิเศษ บมจ. ธนาคารทิสโก้</t>
  </si>
  <si>
    <t>บมจ.ธนาคารทิสโก้</t>
  </si>
  <si>
    <t>SAVING U</t>
  </si>
  <si>
    <t>*BOND</t>
  </si>
  <si>
    <t>TISCO BANK PLC.</t>
  </si>
  <si>
    <t>INVSKTBsff</t>
  </si>
  <si>
    <t>KTB</t>
  </si>
  <si>
    <t>INV.SAVING</t>
  </si>
  <si>
    <t>เงินฝากออมทรัพย์ ธนาคาร กรุงไทย จำกัด (มหาชน)</t>
  </si>
  <si>
    <t>KRUNG THAI BANK PLC.</t>
  </si>
  <si>
    <t>ธนาคารกรุงไทย  จำกัด (มหาชน)</t>
  </si>
  <si>
    <t>INVSUOBTsff</t>
  </si>
  <si>
    <t>UOBT</t>
  </si>
  <si>
    <t>UNLISTED</t>
  </si>
  <si>
    <t>เงินฝากออมทรัพย์ ธ.ยูโอบี จำกัด (มหาชน)</t>
  </si>
  <si>
    <t>UNITED OVERSEAS BANK (THAI) PLC.</t>
  </si>
  <si>
    <t>ธนาคาร ยูโอบี จำกัด (มหาชน)</t>
  </si>
  <si>
    <t>SINGAPORE</t>
  </si>
  <si>
    <t>SG</t>
  </si>
  <si>
    <t>S4MSCB030119</t>
  </si>
  <si>
    <t>SAVING PLUS DEPOSIT OF SCB</t>
  </si>
  <si>
    <t>เงินฝากออมทรัพย์-แบบฝากต่อเนื่อง ธ.ไทยพาณิชย์ จำกัด (มหาชน)</t>
  </si>
  <si>
    <t>BILL OF EXCHANGE</t>
  </si>
  <si>
    <t>MBKET18D18A</t>
  </si>
  <si>
    <t>MBKET</t>
  </si>
  <si>
    <t>FIN &amp; SEC.</t>
  </si>
  <si>
    <t>BILL OF EXCHANGE OF MAYBANK KIM ENG SECURITIES (THAILAND) PUBLIC COMPANY LIMITED</t>
  </si>
  <si>
    <t>ตั๋วแลกเงิน บริษัท หลักทรัพย์เมย์แบงก์ กิมเอ็ง (ประเทศไทย) จำกัด (มหาชน)</t>
  </si>
  <si>
    <t xml:space="preserve">ตั๋วแลกเงิน บริษัทหลักทรัพย์ เมย์แบงก์ กิมเอ็ง (ประเทศไทย) จำกัด (มหาชน) มูลค่า 1,000.00 ล้านบาท ครบกำหนดไถ่ถอนวันที่ 18 ธันวาคม 2561 </t>
  </si>
  <si>
    <t>0DisAc365</t>
  </si>
  <si>
    <t>B/E CORP.</t>
  </si>
  <si>
    <t>FINANCIALS</t>
  </si>
  <si>
    <t>ThaiBMA</t>
  </si>
  <si>
    <t>DISCOUNT</t>
  </si>
  <si>
    <t>MAYBANK KIM ENG SECURITIES (THAILAND) PLC.</t>
  </si>
  <si>
    <t>บมจ.หลักทรัพย์ เมย์แบงก์ กิมเอ็ง (ประเทศไทย)</t>
  </si>
  <si>
    <t>YES</t>
  </si>
  <si>
    <t>TRANSFERABLE</t>
  </si>
  <si>
    <t>MPSC18O09B</t>
  </si>
  <si>
    <t>MP</t>
  </si>
  <si>
    <t>AGRIBUSINE</t>
  </si>
  <si>
    <t>MITR PHOL SUGAR CORPORATION LIMITED.</t>
  </si>
  <si>
    <t xml:space="preserve">ตั๋วแลกเงิน บริษัท น้ำตาลมิตรผล จำกัด </t>
  </si>
  <si>
    <t>ตั๋วแลกเงิน บริษัท น้ำตาลมิตรผล จำกัด มูลค่า 2,400.00 ล้านบาท ครบกำหนดไถ่ถอนวันที่ 9 ตุลาคม 2561</t>
  </si>
  <si>
    <t>AGRIBUSINESS</t>
  </si>
  <si>
    <t>AGRO &amp; FOOD</t>
  </si>
  <si>
    <t>MITR PHOL SUGAR CO.,LTD.</t>
  </si>
  <si>
    <t>บจก.น้ำตาลมิตรผล</t>
  </si>
  <si>
    <t>MPSC18O09C</t>
  </si>
  <si>
    <t>ตั๋วแลกเงิน บริษัท น้ำตาลมิตรผล จำกัด</t>
  </si>
  <si>
    <t xml:space="preserve">ตั๋วแลกเงิน บริษัท น้ำตาลมิตรผล จำกัด มูลค่า 500.00 ล้านบาท ครบกำหนดไถ่ถอนวันที่ 9 ตุลาคม 2561 </t>
  </si>
  <si>
    <t>SPALI19218A</t>
  </si>
  <si>
    <t>SPALI</t>
  </si>
  <si>
    <t>PROPERTY</t>
  </si>
  <si>
    <t>SUPALAI PUBLIC COMPANY LIMITED</t>
  </si>
  <si>
    <t xml:space="preserve">ตั๋วแลกเงิน บริษัท ศุภาลัย จำกัด (มหาชน) มูลค่า 1,000.00 ล้านบาท </t>
  </si>
  <si>
    <t xml:space="preserve">ตั๋วแลกเงิน บริษัท ศุภาลัย จำกัด (มหาชน) มูลค่า 1,000.00 ล้านบาท ครบกำหนดไถ่ถอนวันที่ 18 กุมภาพันธ์ 2562 </t>
  </si>
  <si>
    <t>SUPALAI PLC.</t>
  </si>
  <si>
    <t>บมจ.ศุภาลัย</t>
  </si>
  <si>
    <t>TB19403A</t>
  </si>
  <si>
    <t>GOVERNMENT</t>
  </si>
  <si>
    <t>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</t>
  </si>
  <si>
    <t>0DisAc365U</t>
  </si>
  <si>
    <t>GOVERNMENT OF THAILAND</t>
  </si>
  <si>
    <t>รัฐบาลประเทศไทย</t>
  </si>
  <si>
    <t>TH062307T485</t>
  </si>
  <si>
    <t>BOT</t>
  </si>
  <si>
    <t>Bank of Thailand Bond</t>
  </si>
  <si>
    <t>พันธบัตรธนาคารแห่งประเทศไทยงวดที่ 36/91/61</t>
  </si>
  <si>
    <t>BANK OF THAILAND</t>
  </si>
  <si>
    <t>ธนาคารแห่งประเทศไทย</t>
  </si>
  <si>
    <t>TH0655E7SC85</t>
  </si>
  <si>
    <t>พันธบัตรธนาคารแห่งประเทศไทยงวดที่ 37/91/61</t>
  </si>
  <si>
    <t>TH0655F7SC82</t>
  </si>
  <si>
    <t>พันธบัตรธนาคารแห่งประเทศไทยงวดที่ 38/91/61</t>
  </si>
  <si>
    <t>TH0655G7SC80</t>
  </si>
  <si>
    <t>พันธบัตรธนาคารแห่งประเทศไทยงวดที่ 31/91/61</t>
  </si>
  <si>
    <t>TH0655E7SB86</t>
  </si>
  <si>
    <t xml:space="preserve">พันธบัตรธนาคารแห่งประเทศไทยงวดที่ 19/182/61 </t>
  </si>
  <si>
    <t>TH0655A7SB84</t>
  </si>
  <si>
    <t>พันธบัตรธนาคารแห่งประเทศไทยงวดที่ 32/91/61</t>
  </si>
  <si>
    <t>TH0655F7SB83</t>
  </si>
  <si>
    <t>พันธบัตรธนาคารแห่งประเทศไทยงวดที่ 33/91/61</t>
  </si>
  <si>
    <t>TH0655G7SB81</t>
  </si>
  <si>
    <t>CB18N22A</t>
  </si>
  <si>
    <t xml:space="preserve">พันธบัตรธนาคารแห่งประเทศไทยงวดที่ 21/182/61 </t>
  </si>
  <si>
    <t>TH0655C7SB80</t>
  </si>
  <si>
    <t>พันธบัตรธนาคารแห่งประเทศไทยงวดที่ 34/91/61</t>
  </si>
  <si>
    <t>TH0655H7SB89</t>
  </si>
  <si>
    <t>CB18N29A</t>
  </si>
  <si>
    <t xml:space="preserve">พันธบัตรธนาคารแห่งประเทศไทยงวดที่ 22/182/61 </t>
  </si>
  <si>
    <t>TH0655D7SB88</t>
  </si>
  <si>
    <t>พันธบัตรธนาคารแห่งประเทศไทยงวดที่ 35/91/61</t>
  </si>
  <si>
    <t>TH0655I7SB87</t>
  </si>
  <si>
    <t>พันธบัตรธนาคารแห่งประเทศไทยงวดที่ 14/182/61</t>
  </si>
  <si>
    <t>TH065507SA88</t>
  </si>
  <si>
    <t>พันธบัตรธนาคารแห่งประเทศไทยงวดที่ 27/91/61</t>
  </si>
  <si>
    <t>TH0655D7SA89</t>
  </si>
  <si>
    <t>พันธบัตรธนาคารแห่งประเทศไทยงวดที่ พ.38/14/61</t>
  </si>
  <si>
    <t>TH0655I7SA88</t>
  </si>
  <si>
    <t>พันธบัตรธนาคารแห่งประเทศไทยงวดที่ 15/182/61</t>
  </si>
  <si>
    <t>TH0655A7SA85</t>
  </si>
  <si>
    <t>พันธบัตรธนาคารแห่งประเทศไทยงวดที่ 28/91/61</t>
  </si>
  <si>
    <t>TH0655E7SA87</t>
  </si>
  <si>
    <t>พันธบัตรธนาคารแห่งประเทศไทยงวดที่ 16/182/61</t>
  </si>
  <si>
    <t>TH0655B7SA83</t>
  </si>
  <si>
    <t>พันธบัตรธนาคารแห่งประเทศไทยงวดที่ 29/91/61</t>
  </si>
  <si>
    <t>TH0655F7SA84</t>
  </si>
  <si>
    <t>พันธบัตรธนาคารแห่งประเทศไทยงวดที่ 17/182/61</t>
  </si>
  <si>
    <t>TH0655C7SA81</t>
  </si>
  <si>
    <t>พันธบัตรธนาคารแห่งประเทศไทยงวดที่ 30/91/61</t>
  </si>
  <si>
    <t>TH0655G7SA82</t>
  </si>
  <si>
    <t>BOT61/40/91D</t>
  </si>
  <si>
    <t>พันธบัตรธนาคารแห่งประเทศไทยงวดที่ 40/91/61</t>
  </si>
  <si>
    <t>CPALL18OB</t>
  </si>
  <si>
    <t>A(tha)</t>
  </si>
  <si>
    <t>CPALL</t>
  </si>
  <si>
    <t>COMMERCE</t>
  </si>
  <si>
    <t>CP ALL PLC.</t>
  </si>
  <si>
    <t>หุ้นกู้บริษัท ซีพี ออลล์ จำกัด (มหาชน) ครั้งที่ 1/2556 ชุดที่ 6</t>
  </si>
  <si>
    <t>หุ้นกู้บริษัท ซีพี ออลล์ จำกัด (มหาชน) ครั้งที่ 1/2556 ชุดที่ 6 ครบกำหนดไถ่ถอนปี พ.ศ. 2561 ซึ่งใช้หุ้นในบริษัทอื่นเป็นการประกันการชำระหนี้</t>
  </si>
  <si>
    <t>1FxAc365P2B</t>
  </si>
  <si>
    <t>SERVICES</t>
  </si>
  <si>
    <t>C.P.SEVEN ELEVEN PLC.</t>
  </si>
  <si>
    <t>บมจ.ซีพี ออลล์</t>
  </si>
  <si>
    <t>TH0737A3SA02</t>
  </si>
  <si>
    <t>DERIVATIVE</t>
  </si>
  <si>
    <t>FORWARD</t>
  </si>
  <si>
    <t>FWCNHTHB19404A</t>
  </si>
  <si>
    <t>FWD SCBSFF SCB</t>
  </si>
  <si>
    <t>สัญญาซื้อขายล่วงหน้า/FORWARD</t>
  </si>
  <si>
    <t>Future</t>
  </si>
  <si>
    <t>Forward FX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</si>
  <si>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</si>
  <si>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</si>
  <si>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</si>
  <si>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</si>
  <si>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</si>
  <si>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</si>
  <si>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</si>
  <si>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FWD SCBSFF KKP</t>
  </si>
  <si>
    <t>KIATNAKIN BANK PLC.</t>
  </si>
  <si>
    <t>ธนาคารเกียรตินาคิน  จำกัด (มหาชน)</t>
  </si>
  <si>
    <t>FWUSDTHB18N06C</t>
  </si>
  <si>
    <t>FWD SFF KKP</t>
  </si>
  <si>
    <t>FWUSDTHB18O16A</t>
  </si>
  <si>
    <t>FWD SFF SCB</t>
  </si>
  <si>
    <t>FWUSDTHB18O16C</t>
  </si>
  <si>
    <t>FWUSDTHB19425A</t>
  </si>
  <si>
    <t>ACCRUED RECEIVE</t>
  </si>
  <si>
    <t>A/R FROM SUB.</t>
  </si>
  <si>
    <t>Settle Date :05/10/2018</t>
  </si>
  <si>
    <t>REGISTRAR FEE</t>
  </si>
  <si>
    <t>A NEWSPAPER_NAV</t>
  </si>
  <si>
    <t>-AED CASH-</t>
  </si>
  <si>
    <t>-CASH-</t>
  </si>
  <si>
    <t>AEDbb</t>
  </si>
  <si>
    <t>!!!</t>
  </si>
  <si>
    <t>กองทุนเปิดไทยพาณิชย์ตราสารหนี้ระยะสั้น พลัส</t>
  </si>
  <si>
    <t>SCB Short Term Fixed Income Plus Fund</t>
  </si>
  <si>
    <t>-GBP CASH-</t>
  </si>
  <si>
    <t>GBPbb</t>
  </si>
  <si>
    <t>KASIKORNBANK PLC.</t>
  </si>
  <si>
    <t>ธนาคารกสิกรไทย  จำกัด (มหาชน)</t>
  </si>
  <si>
    <t>-JPY CASH-</t>
  </si>
  <si>
    <t>JPYbb</t>
  </si>
  <si>
    <t>JAPAN</t>
  </si>
  <si>
    <t>CD12MCMBL010219</t>
  </si>
  <si>
    <t>CMBLUX</t>
  </si>
  <si>
    <t>CD</t>
  </si>
  <si>
    <t>CD 12 MONTH DEPOSIT CHINA MERCHANTS BANK, LUXEMBOURG</t>
  </si>
  <si>
    <t>บัตรเงินฝาก 12 เดือน CHINA MERCHANTS BANK, LUXEMBOURG</t>
  </si>
  <si>
    <t>IAMAct/360    U</t>
  </si>
  <si>
    <t>CHINA MERCHANTS BANK, LUXEMBOURG BRANCH</t>
  </si>
  <si>
    <t>ธนาคาร CHINA MERCHANTS BANK, LUXEMBOURG BRANCH</t>
  </si>
  <si>
    <t>A3</t>
  </si>
  <si>
    <t>LU</t>
  </si>
  <si>
    <t>XS1768707702</t>
  </si>
  <si>
    <t>CD12MICBCD16119</t>
  </si>
  <si>
    <t>ICBCDUBAI</t>
  </si>
  <si>
    <t>CD 12 MONTH DEPOSIT ICBC, DUBAI BRANCH</t>
  </si>
  <si>
    <t>บัตรเงินฝาก 12 เดือน ธนาคาร ICBC ,DUBAI BRANCH</t>
  </si>
  <si>
    <t>INDUSTRIAL AND COMMERCIAL BANK OF CHINA LTD. ,DUBAI BRANCH</t>
  </si>
  <si>
    <t>XS1750990340</t>
  </si>
  <si>
    <t>CD12MTBANK17519</t>
  </si>
  <si>
    <t>CD1YBOCHK060319</t>
  </si>
  <si>
    <t>BOC HK</t>
  </si>
  <si>
    <t>CD 12 Month Bank of China Hong Kong Branch</t>
  </si>
  <si>
    <t>ใบรับฝากเงิน 12 เดือน ธนาคาร Bank of China (Hong Kong)</t>
  </si>
  <si>
    <t>BANK OF CHINA  HONGKONG BRANCH</t>
  </si>
  <si>
    <t>HK0000403979</t>
  </si>
  <si>
    <t>CD1YBOCHK071218</t>
  </si>
  <si>
    <t>HK0000380458</t>
  </si>
  <si>
    <t>CD1YICBCSE08219</t>
  </si>
  <si>
    <t>ICBCSEOUL</t>
  </si>
  <si>
    <t>CD 12 MONTH DEPOSIT ICBC, SEOUL BRANCH</t>
  </si>
  <si>
    <t>บัตรเงินฝาก 12 เดือน ธนาคาร ICBC Seoul Branch</t>
  </si>
  <si>
    <t>INDUSTRIAL AND COMMERCIAL BANK OF CHINA LTD. ,SEOUL BRANCH</t>
  </si>
  <si>
    <t>S.KOREA</t>
  </si>
  <si>
    <t>KR</t>
  </si>
  <si>
    <t>XS1769981488</t>
  </si>
  <si>
    <t>F12MABCHK130219</t>
  </si>
  <si>
    <t>FIXED 12 MONTH AGRICULTURAL BANK OF CHINA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</si>
  <si>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</si>
  <si>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</si>
  <si>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</si>
  <si>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</si>
  <si>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</si>
  <si>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</si>
  <si>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</si>
  <si>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</si>
  <si>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</si>
  <si>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</si>
  <si>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</si>
  <si>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</si>
  <si>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</si>
  <si>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</si>
  <si>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</si>
  <si>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</si>
  <si>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F12MUNB011019</t>
  </si>
  <si>
    <t>UNB</t>
  </si>
  <si>
    <t>FIXED 12 MONTH DEPOSIT UNB</t>
  </si>
  <si>
    <t>เงินฝากประจำ 12 เดือน UNION NATIONAL BANK</t>
  </si>
  <si>
    <t>Union National Bank (UNB)</t>
  </si>
  <si>
    <t>Union National Bank</t>
  </si>
  <si>
    <t>F12MUNB021019a</t>
  </si>
  <si>
    <t>F12MUNB041018</t>
  </si>
  <si>
    <t>F3MABCHK221018</t>
  </si>
  <si>
    <t>F6MABCHK120319</t>
  </si>
  <si>
    <t>FIXED 6 MONTH AGRICULTURAL BANK OF CHINA (HONGKONG)</t>
  </si>
  <si>
    <t>เงินฝากประจำ 6 เดือน Agricultural Bank of China (HongKong)</t>
  </si>
  <si>
    <t>F6MADCB251018</t>
  </si>
  <si>
    <t>FIXED 6 MONTH DEPOSIT ADCB</t>
  </si>
  <si>
    <t>เงินฝากประจำ 6 เดือน Abu Dhabi Commercial Bank</t>
  </si>
  <si>
    <t>F6MADCB261118</t>
  </si>
  <si>
    <t>F6MBOCMC191118</t>
  </si>
  <si>
    <t>F6MBOCMC201118</t>
  </si>
  <si>
    <t>INVSKTBsffplus</t>
  </si>
  <si>
    <t>INVSSCBCYsffp</t>
  </si>
  <si>
    <t>เงินฝากออมทรัพย์ บมจ. ธนาคารไทยพาณิชย์</t>
  </si>
  <si>
    <t>FCD ACCOUNT</t>
  </si>
  <si>
    <t>INVSSCBUSsffp</t>
  </si>
  <si>
    <t>INVSUOBTsffplus</t>
  </si>
  <si>
    <t>BANPU19206A</t>
  </si>
  <si>
    <t>BANPU</t>
  </si>
  <si>
    <t>ENERGY</t>
  </si>
  <si>
    <t>BANPU PLC.</t>
  </si>
  <si>
    <t>ตั๋วแลกเงิน บริษัท บ้านปู จำกัด (มหาชน)</t>
  </si>
  <si>
    <t>ตั๋วแลกเงิน บริษัท บ้านปู จำกัด (มหาชน) มูลค่า 1,500.00 ล้านบาท ครบกำหนดไถ่ถอนวันที่ 6 กุมภาพันธ์ 2562</t>
  </si>
  <si>
    <t>RESOURCES</t>
  </si>
  <si>
    <t>บมจ.บ้านปู</t>
  </si>
  <si>
    <t>BTSG18N20A</t>
  </si>
  <si>
    <t>BTS</t>
  </si>
  <si>
    <t>TRANSPORTA</t>
  </si>
  <si>
    <t>BTS GROUP HOLDINGS PLC.</t>
  </si>
  <si>
    <t xml:space="preserve">ตั๋วแลกเงิน บริษัท บีทีเอส กรุ๊ป โฮลดิ้งส์ จำกัด (มหาชน) ครั้งที่ 65/2018 </t>
  </si>
  <si>
    <t xml:space="preserve">ตั๋วแลกเงิน บริษัท บีทีเอส กรุ๊ป โฮลดิ้งส์ จำกัด (มหาชน) ครั้งที่ 65/2018 มูลค่า 500.00 ล้านบาท ครบกำหนดไถ่ถอนวันที่ 20 พฤศจิกายน 2561 </t>
  </si>
  <si>
    <t>TRANSPORTATION</t>
  </si>
  <si>
    <t>บมจ.บีทีเอส กรุ๊ป โฮลดิ้งส์</t>
  </si>
  <si>
    <t>CPF18D13A</t>
  </si>
  <si>
    <t>CPF</t>
  </si>
  <si>
    <t>FOOD &amp; BEV</t>
  </si>
  <si>
    <t>CHAROEN POKPHAND FOODS PLC.</t>
  </si>
  <si>
    <t>ตั๋วแลกเงิน บริษัท เจริญโภคภัณฑ์อาหาร จำกัด (มหาชน) ครั้งที่ 7/2561</t>
  </si>
  <si>
    <t xml:space="preserve">ตั๋วแลกเงิน บริษัท เจริญโภคภัณฑ์อาหาร จำกัด (มหาชน) ครั้งที่ 7/2561 มูลค่า 2,000.00 ล้านบาท ครบกำหนดไถ่ถอนวันที่ 13 ธันวาคม 2561 </t>
  </si>
  <si>
    <t>CHAROEN POKPHAND FOOD PLC.</t>
  </si>
  <si>
    <t>บมจ.เจริญโภคภัณฑ์อาหาร</t>
  </si>
  <si>
    <t>CPF19129A</t>
  </si>
  <si>
    <t>ตั๋วแลกเงิน บริษัท เจริญโภคภัณฑ์อาหาร จำกัด (มหาชน) ครั้งที่ 17/2561</t>
  </si>
  <si>
    <t xml:space="preserve">ตั๋วแลกเงิน บริษัท เจริญโภคภัณฑ์อาหาร จำกัด (มหาชน) ครั้งที่ 17/2561 มูลค่า 1,200.00 ล้านบาท ครบกำหนดไถ่ถอนวันที่ 29 มกราคม 2562 </t>
  </si>
  <si>
    <t>FOOD &amp; BEVERAGE</t>
  </si>
  <si>
    <t>CPFTH18D06A</t>
  </si>
  <si>
    <t>CPFTH</t>
  </si>
  <si>
    <t>CPF (THAILAND) PLC.</t>
  </si>
  <si>
    <t>ตั๋วแลกเงิน บริษัท ซีพีเอฟ (ประเทศไทย) จำกัด (มหาชน) ครั้งที่ 7/2561</t>
  </si>
  <si>
    <t xml:space="preserve">ตั๋วแลกเงิน บริษัท ซีพีเอฟ (ประเทศไทย) จำกัด (มหาชน) ครั้งที่ 7/2561 มูลค่า 1,900.00 ล้านบาท ครบกำหนดไถ่ถอนวันที่ 6 ธันวาคม 2561 </t>
  </si>
  <si>
    <t>บริษัท ซีพีเอฟ (ประเทศไทย) จำกัด (มหาชน)</t>
  </si>
  <si>
    <t>CPFTH19326B</t>
  </si>
  <si>
    <t>ตั๋วแลกเงิน บริษัท ซีพีเอฟ (ประเทศไทย) จำกัด (มหาชน) ครั้งที่ 35/2561</t>
  </si>
  <si>
    <t xml:space="preserve">ตั๋วแลกเงิน บริษัท ซีพีเอฟ (ประเทศไทย) จำกัด (มหาชน) ครั้งที่ 35/2561 มูลค่า 1,000.00 ล้านบาท ครบกำหนดไถ่ถอนวันที่ 26 มีนาคม 2562 </t>
  </si>
  <si>
    <t>CPN18N13A</t>
  </si>
  <si>
    <t>CPN</t>
  </si>
  <si>
    <t>AA</t>
  </si>
  <si>
    <t>CENTRAL PATTANA PLC.</t>
  </si>
  <si>
    <t>ตั๋วแลกเงิน บริษัท เซ็นทรัลพัฒนา จำกัด (มหาชน)</t>
  </si>
  <si>
    <t xml:space="preserve">ตั๋วแลกเงิน บริษัท เซ็นทรัลพัฒนา จำกัด (มหาชน) มูลค่า 2,000.00 ล้านบาท ครบกำหนดไถ่ถอนวันที่ 13 พฤศจิกายน 2561 </t>
  </si>
  <si>
    <t>PROPERTY &amp; CON</t>
  </si>
  <si>
    <t>บมจ.เซ็นทรัลพัฒนา</t>
  </si>
  <si>
    <t>SIRI18O24A</t>
  </si>
  <si>
    <t>SIRI</t>
  </si>
  <si>
    <t>SANSIRI PLC.</t>
  </si>
  <si>
    <t xml:space="preserve">ตั๋วแลกเงิน บริษัท แสนสิริ จำกัด (มหาชน) </t>
  </si>
  <si>
    <t>ตั๋วแลกเงิน บริษัท แสนสิริ จำกัด (มหาชน) มูลค่า 100.00 ล้านบาท ครบกำหนดไถ่ถอนวันที่ 24 ตุลาคม 2561</t>
  </si>
  <si>
    <t xml:space="preserve">บมจ.แสนสิริ </t>
  </si>
  <si>
    <t>SPALI19131A</t>
  </si>
  <si>
    <t xml:space="preserve">ตั๋วแลกเงิน บริษัท ศุภาลัย จำกัด (มหาชน) </t>
  </si>
  <si>
    <t xml:space="preserve">ตั๋วแลกเงิน บริษัท ศุภาลัย จำกัด (มหาชน) มูลค่า 1,000.00 ล้านบาท ครบกำหนดไถ่ถอนวันที่ 31 มกราคม 2562 </t>
  </si>
  <si>
    <t>0DisAc365p10</t>
  </si>
  <si>
    <t>TISCOG18O08A</t>
  </si>
  <si>
    <t>TISCO</t>
  </si>
  <si>
    <t>TISCO FINANCIAL GROUP PLC.</t>
  </si>
  <si>
    <t xml:space="preserve">ตั๋วแลกเงิน บริษัท ทิสโก้ไฟแนนเชียลกรุ๊ป จำกัด (มหาชน) ครั้งที่ 20/2561 </t>
  </si>
  <si>
    <t xml:space="preserve">ตั๋วแลกเงิน บริษัท ทิสโก้ไฟแนนเชียลกรุ๊ป จำกัด (มหาชน) ครั้งที่ 20/2561 มูลค่า 1,000.00 ล้านบาท ครบกำหนดไถ่ถอนวันที่ 8 ตุลาคม 2561 </t>
  </si>
  <si>
    <t>0SdAc365C</t>
  </si>
  <si>
    <t>บมจ.ทิสโก้ไฟแนนเชียลกรุ๊ป</t>
  </si>
  <si>
    <t>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</t>
  </si>
  <si>
    <t>TH062307SB86</t>
  </si>
  <si>
    <t>CB18D13A</t>
  </si>
  <si>
    <t>พันธบัตรธนาคารแห่งประเทศไทยงวดที่ 24/182/61</t>
  </si>
  <si>
    <t>TH0655B7SC81</t>
  </si>
  <si>
    <t>พันธบัตรธนาคารแห่งประเทศไทยงวดที่ 39/91/61</t>
  </si>
  <si>
    <t>TH0655H7SC88</t>
  </si>
  <si>
    <t>พันธบัตรธนาคารแห่งประเทศไทยงวดที่ 18/182/61</t>
  </si>
  <si>
    <t>TH065507SB87</t>
  </si>
  <si>
    <t>CB18N15A</t>
  </si>
  <si>
    <t>พันธบัตรธนาคารแห่งประเทศไทยงวดที่ 20/182/61</t>
  </si>
  <si>
    <t>TH0655B7SB82</t>
  </si>
  <si>
    <t>BOT61/39/14D</t>
  </si>
  <si>
    <t>พันธบัตรธนาคารแห่งประเทศไทยงวดที่ พ.39/14/61</t>
  </si>
  <si>
    <t>CB19103A</t>
  </si>
  <si>
    <t>พันธบัตรธนาคารแห่งประเทศไทยงวดที่ 27/182/61</t>
  </si>
  <si>
    <t>TH065507T180</t>
  </si>
  <si>
    <t>BH18DA</t>
  </si>
  <si>
    <t>BH</t>
  </si>
  <si>
    <t>HEALTH</t>
  </si>
  <si>
    <t>BUMRUNGRAD HOSPITAL PCL</t>
  </si>
  <si>
    <t>หุ้นกู้ของ บมจ. โรงพยาบาลบำรุงราษฎร์ ครั้งที่ 1/2554 ชุดที่ 2</t>
  </si>
  <si>
    <t xml:space="preserve">หุ้นกู้ของ บมจ. โรงพยาบาลบำรุงราษฎร์ ครั้งที่ 1/2554 ชุดที่ 2 ครบกำหนดไถ่ถอนปี พ.ศ. 2561 </t>
  </si>
  <si>
    <t>BUMRUNGRAD HOSPITAL PLC.</t>
  </si>
  <si>
    <t>บมจ.โรงพยาบาลบำรุงราษฎร์</t>
  </si>
  <si>
    <t>TH016803SC07</t>
  </si>
  <si>
    <t>BJC206A</t>
  </si>
  <si>
    <t>BJC</t>
  </si>
  <si>
    <t>BERLI JUCKER PLC.</t>
  </si>
  <si>
    <t>หุ้นกู้ของบริษัท เบอร์ลี่ ยุคเกอร์ จำกัด (มหาชน) ครั้งที่ 2/2559</t>
  </si>
  <si>
    <t>หุ้นกู้ของบริษัท เบอร์ลี่ ยุคเกอร์ จำกัด (มหาชน) ครั้งที่ 2/2559 ชุดที่ 1 ครบกำหนดไถ่ถอนปี พ.ศ. 2563</t>
  </si>
  <si>
    <t>บมจ.เบอร์ลี่ ยุคเกอร์</t>
  </si>
  <si>
    <t>TH000203U604</t>
  </si>
  <si>
    <t>BTG19NA</t>
  </si>
  <si>
    <t>BTG</t>
  </si>
  <si>
    <t>BETAGRO PLC.</t>
  </si>
  <si>
    <t>หุ้นกู้ของ บมจ. เบทาโกร ครั้งที่ 1/2557 ชุดที่ 2</t>
  </si>
  <si>
    <t>หุ้นกู้ของ บมจ. เบทาโกร ครั้งที่ 1/2557 ชุดที่ 2 ครบกำหนดไถ่ถอนปี พ.ศ. 2562</t>
  </si>
  <si>
    <t xml:space="preserve">บริษัท เบทาโกร จำกัด (มหาชน) </t>
  </si>
  <si>
    <t>TH061203TB09</t>
  </si>
  <si>
    <t>CPALL193A</t>
  </si>
  <si>
    <t>หุ้นกู้บริษัท ซีพี ออลล์ จำกัด (มหาชน) ครั้งที่ 1/2557 ชุดที่ 2</t>
  </si>
  <si>
    <t>หุ้นกู้บริษัท ซีพี ออลล์ จำกัด (มหาชน) ครั้งที่ 1/2557 ชุดที่ 2 ครบกำหนดไถ่ถอนปี พ.ศ. 2562 ซึ่งใช้หุ้นในบริษัทอื่นเป็นการประกันการชำระหนี้</t>
  </si>
  <si>
    <t>TH073703T300</t>
  </si>
  <si>
    <t>DMT18NB</t>
  </si>
  <si>
    <t>DMT</t>
  </si>
  <si>
    <t>DON MUANG TOLLWAY PUBLIC COMPANY LIMITED</t>
  </si>
  <si>
    <t xml:space="preserve">หุ้นกู้ของบริษัท ทางยกระดับดอนเมือง จำกัด (มหาชน) ครั้งที่ 1/2560 ชุดที่ 1 </t>
  </si>
  <si>
    <t>หุ้นกู้ของบริษัท ทางยกระดับดอนเมือง จำกัด (มหาชน) ครั้งที่ 1/2560 ชุดที่ 1 ครบกำหนดไถ่ถอนปี พ.ศ. 2561</t>
  </si>
  <si>
    <t>DON MUANG TOLLWAY PLC.</t>
  </si>
  <si>
    <t>บริษัท ทางยกระดับดอนเมือง จำกัด (มหาชน)</t>
  </si>
  <si>
    <t>TH105407SB09</t>
  </si>
  <si>
    <t>DMT20NA</t>
  </si>
  <si>
    <t xml:space="preserve">หุ้นกู้ของบริษัท ทางยกระดับดอนเมือง จำกัด (มหาชน) ครั้งที่ 1/2560 ชุดที่ 2 </t>
  </si>
  <si>
    <t>หุ้นกู้ของบริษัท ทางยกระดับดอนเมือง จำกัด (มหาชน) ครั้งที่ 1/2560 ชุดที่ 2 ครบกำหนดไถ่ถอนปี พ.ศ. 2563</t>
  </si>
  <si>
    <t>TH105403UB09</t>
  </si>
  <si>
    <t>GOLD19NA</t>
  </si>
  <si>
    <t>GOLD</t>
  </si>
  <si>
    <t>GOLDEN LAND PROPERTY DEVELOPMENT PLC.</t>
  </si>
  <si>
    <t>หุ้นกู้ของบริษัท แผ่นดินทอง พร็อพเพอร์ตี้ ดีเวลลอปเม้นท์ จำกัด (มหาชน) ครั้งที่ 1/2559</t>
  </si>
  <si>
    <t>หุ้นกู้ของบริษัท แผ่นดินทอง พร็อพเพอร์ตี้ ดีเวลลอปเม้นท์ จำกัด (มหาชน) ครั้งที่ 1/2559 ครบกำหนดไถ่ถอนปี พ.ศ. 2562</t>
  </si>
  <si>
    <t>บมจ.แผ่นดินทอง พร็อพเพอร์ตี้ ดีเวลลอปเม้นท์</t>
  </si>
  <si>
    <t>TH040003TB05</t>
  </si>
  <si>
    <t>ICBCTL19NA</t>
  </si>
  <si>
    <t>ICBCTL</t>
  </si>
  <si>
    <t>ICBC (Thai) Leasing Company Limited</t>
  </si>
  <si>
    <t xml:space="preserve">หุ้นกู้ของ บริษัท ลีสซิ่งไอซีบีซี (ไทย) จำกัด ครั้งที่ 1/2560 ชุดที่ 1 </t>
  </si>
  <si>
    <t>หุ้นกู้ของ บริษัท ลีสซิ่งไอซีบีซี (ไทย) จำกัด ครั้งที่ 1/2560 ชุดที่ 1 ครบกำหนดไถ่ถอนปี พ.ศ. 2562</t>
  </si>
  <si>
    <t>ICBC (THAI) LEASING COMPANY LIMITED</t>
  </si>
  <si>
    <t>บริษัท ลีสซิ่งไอซีบีซี (ไทย) จำกัด</t>
  </si>
  <si>
    <t>TH386103TB01</t>
  </si>
  <si>
    <t>KK18N15A</t>
  </si>
  <si>
    <t>หุ้นกู้ระยะสั้น ธนาคารเกียรตินาคิน จำกัด (มหาชน) ครั้งที่ 30/2561</t>
  </si>
  <si>
    <t xml:space="preserve">หุ้นกู้ระยะสั้น ธนาคารเกียรตินาคิน จำกัด (มหาชน) ครั้งที่ 30/2561 มูลค่า 500.00 ล้านบาท ครบกำหนดไถ่ถอนวันที่ 15 พฤศจิกายน 2561 </t>
  </si>
  <si>
    <t>KK18N20A</t>
  </si>
  <si>
    <t>หุ้นกู้ระยะสั้น ธนาคารเกียรตินาคิน จำกัด (มหาชน) ครั้งที่ 31/2561</t>
  </si>
  <si>
    <t xml:space="preserve">หุ้นกู้ระยะสั้น ธนาคารเกียรตินาคิน จำกัด (มหาชน) ครั้งที่ 31/2561 มูลค่า 500.00 ล้านบาท ครบกำหนดไถ่ถอนวันที่ 20 พฤศจิกายน 2561 </t>
  </si>
  <si>
    <t>KK18N22A</t>
  </si>
  <si>
    <t xml:space="preserve">หุ้นกู้ระยะสั้น ธนาคารเกียรตินาคิน จำกัด (มหาชน) ครั้งที่ 32/2561 มูลค่า 500.00 ล้านบาท </t>
  </si>
  <si>
    <t>หุ้นกู้ระยะสั้น ธนาคารเกียรตินาคิน จำกัด (มหาชน) ครั้งที่ 32/2561 มูลค่า 500.00 ล้านบาท ครบกำหนดไถ่ถอนวันที่ 22 พฤศจิกายน 2561</t>
  </si>
  <si>
    <t>KK18N23A</t>
  </si>
  <si>
    <t xml:space="preserve">หุ้นกู้ระยะสั้น ธนาคารเกียรตินาคิน จำกัด (มหาชน) ครั้งที่ 33/2561 มูลค่า 500.00 ล้านบาท </t>
  </si>
  <si>
    <t>หุ้นกู้ระยะสั้น ธนาคารเกียรตินาคิน จำกัด (มหาชน) ครั้งที่ 33/2561 มูลค่า 500.00 ล้านบาท ครบกำหนดไถ่ถอนวันที่ 23 พฤศจิกายน 2561</t>
  </si>
  <si>
    <t>KK18N30B</t>
  </si>
  <si>
    <t>หุ้นกู้ระยะสั้น ธนาคารเกียรตินาคิน จำกัด (มหาชน) ครั้งที่ 44/2561</t>
  </si>
  <si>
    <t xml:space="preserve">หุ้นกู้ระยะสั้น ธนาคารเกียรตินาคิน จำกัด (มหาชน) ครั้งที่ 44/2561 มูลค่า 130.00 ล้านบาท ครบกำหนดไถ่ถอนวันที่ 30 พฤศจิกายน 2561 </t>
  </si>
  <si>
    <t>KK19118A</t>
  </si>
  <si>
    <t xml:space="preserve">หุ้นกู้ระยะสั้น ธนาคารเกียรตินาคิน จำกัด (มหาชน) ครั้งที่ 77/2561 มูลค่า 200.00 ล้านบาท </t>
  </si>
  <si>
    <t>หุ้นกู้ระยะสั้น ธนาคารเกียรตินาคิน จำกัด (มหาชน) ครั้งที่ 77/2561 มูลค่า 200.00 ล้านบาท ครบกำหนดไถ่ถอนวันที่ 18 มกราคม 2562</t>
  </si>
  <si>
    <t>KK19118B</t>
  </si>
  <si>
    <t xml:space="preserve">หุ้นกู้ระยะสั้น ธนาคารเกียรตินาคิน จำกัด (มหาชน) ครั้งที่ 78/2561 มูลค่า 1,000.00 ล้านบาท </t>
  </si>
  <si>
    <t>หุ้นกู้ระยะสั้น ธนาคารเกียรตินาคิน จำกัด (มหาชน) ครั้งที่ 78/2561 มูลค่า 1,000.00 ล้านบาท ครบกำหนดไถ่ถอนวันที่ 18 มกราคม 2562</t>
  </si>
  <si>
    <t>KK203A</t>
  </si>
  <si>
    <t xml:space="preserve">หุ้นกู้ของธนาคารเกียรตินาคิน จำกัด (มหาชน) ครั้งที่ 2/2561 </t>
  </si>
  <si>
    <t>หุ้นกู้ของธนาคารเกียรตินาคิน จำกัด (มหาชน) ครั้งที่ 2/2561 ครบกำหนดไถ่ถอนปี พ.ศ. 2563</t>
  </si>
  <si>
    <t>TH012103U305</t>
  </si>
  <si>
    <t>LHBANK199A</t>
  </si>
  <si>
    <t>LHB</t>
  </si>
  <si>
    <t>LAND AND HOUSES BANK PLC.</t>
  </si>
  <si>
    <t xml:space="preserve">หุ้นกู้ไม่ด้อยสิทธิ และไม่มีประกันของ ธนาคารแลนด์ แอนด์ เฮ้าส์ จำกัด (มหาชน) ครั้งที่ 1/2561 ชุดที่ 1 </t>
  </si>
  <si>
    <t>หุ้นกู้ไม่ด้อยสิทธิ และไม่มีประกันของ ธนาคารแลนด์ แอนด์ เฮ้าส์ จำกัด (มหาชน) ครั้งที่ 1/2561 ชุดที่ 1 ครบกำหนดไถ่ถอนปี พ.ศ.2562</t>
  </si>
  <si>
    <t>LAND &amp; HOUSES BANK PLC.</t>
  </si>
  <si>
    <t>บมจ.ธนาคารแลนด์ แอนด์ เฮ้าส์</t>
  </si>
  <si>
    <t>LHBANK203A</t>
  </si>
  <si>
    <t xml:space="preserve">หุ้นกู้ไม่ด้อยสิทธิ และไม่มีประกันของ ธนาคารแลนด์ แอนด์ เฮ้าส์ จำกัด (มหาชน) ครั้งที่ 1/2561 ชุดที่ 2 </t>
  </si>
  <si>
    <t>หุ้นกู้ไม่ด้อยสิทธิ และไม่มีประกันของ ธนาคารแลนด์ แอนด์ เฮ้าส์ จำกัด (มหาชน) ครั้งที่ 1/2561 ชุดที่ 2 ครบกำหนดไถ่ถอนปี พ.ศ.2563</t>
  </si>
  <si>
    <t>MPSC18OA</t>
  </si>
  <si>
    <t>หุ้นกู้ของบริษัท น้ำตาลมิตรผล จำกัด ครั้งที่ 3/2556 ชุดที่ 2</t>
  </si>
  <si>
    <t xml:space="preserve">หุ้นกู้ของบริษัท น้ำตาลมิตรผล จำกัด ครั้งที่ 3/2556 ชุดที่ 2 ครบกำหนดไถ่ถอนปี พ.ศ. 2561 </t>
  </si>
  <si>
    <t>TH096903SA00</t>
  </si>
  <si>
    <t>PS18NA</t>
  </si>
  <si>
    <t>PS</t>
  </si>
  <si>
    <t>PREUKSA REAL ESTATE PLC.</t>
  </si>
  <si>
    <t>หุ้นกู้ของ บริษัท พฤกษา เรียลเอสเตท จำกัด (มหาชน) ครั้งที่ 1/2558 ชุดที่ 1</t>
  </si>
  <si>
    <t>หุ้นกู้ของ บริษัท พฤกษา เรียลเอสเตท จำกัด (มหาชน) ครั้งที่ 1/2558 ชุดที่ 1 ครบกำหนดไถ่ถอนปี พ.ศ. 2561</t>
  </si>
  <si>
    <t>1FxAc365P4B</t>
  </si>
  <si>
    <t>PREUKSA REAL ESTATE CO.,LTD.</t>
  </si>
  <si>
    <t>บมจ.พฤกษา เรียลเอสเตท</t>
  </si>
  <si>
    <t>TH087803SB09</t>
  </si>
  <si>
    <t>QH213A</t>
  </si>
  <si>
    <t>QH</t>
  </si>
  <si>
    <t>QUALITY HOUSES PLC.</t>
  </si>
  <si>
    <t>หุ้นกู้ไม่ด้อยสิทธิและไม่มีประกันของบริษัท ควอลิตี้เฮ้าส์ จำกัด (มหาชน) ครั้งที่ 1/2561</t>
  </si>
  <si>
    <t>หุ้นกู้ไม่ด้อยสิทธิและไม่มีประกันของบริษัท ควอลิตี้เฮ้าส์ จำกัด (มหาชน) ครั้งที่ 1/2561 ครบกำหนดไถ่ถอนปี 2564</t>
  </si>
  <si>
    <t>บมจ.ควอลิตี้เฮ้าส์</t>
  </si>
  <si>
    <t>TH0256031301</t>
  </si>
  <si>
    <t>SCB19218A</t>
  </si>
  <si>
    <t>SIAM COMMERCIAL BANK PLC.</t>
  </si>
  <si>
    <t>หุ้นกู้ระยะสั้นของธนาคารไทยพาณิชย์ จำกัด (มหาชน) ชุดที่ 1</t>
  </si>
  <si>
    <t xml:space="preserve">หุ้นกู้ระยะสั้นของธนาคารไทยพาณิชย์ จำกัด (มหาชน) ชุดที่ 1 ครบกำหนดไถ่ถอน วันที่ 18 กุมภาพันธ์ พ.ศ. 2562 </t>
  </si>
  <si>
    <t>SPALI213A</t>
  </si>
  <si>
    <t>หุ้นกู้ของบริษัท ศุภาลัย จำกัด (มหาชน)  ครั้งที่ 1/2561</t>
  </si>
  <si>
    <t>หุ้นกู้ของบริษัท ศุภาลัย จำกัด (มหาชน) ครั้งที่ 1/2561 ครบกำหนดไถ่ถอนปี พ.ศ. 2564</t>
  </si>
  <si>
    <t>TH0371031301</t>
  </si>
  <si>
    <t>TBEV203A</t>
  </si>
  <si>
    <t>THBEV</t>
  </si>
  <si>
    <t>THAI BEVERAGE PLC.</t>
  </si>
  <si>
    <t xml:space="preserve">หุ้นกู้ของบริษัท ไทยเบฟเวอเรจ จำกัด (มหาชน) ครั้งที่ 1/2561 ชุดที่ 1 </t>
  </si>
  <si>
    <t>หุ้นกู้ของบริษัท ไทยเบฟเวอเรจ จำกัด (มหาชน) ครั้งที่ 1/2561 ชุดที่ 1 ครบกำหนดไถ่ถอนปี พ.ศ. 2563</t>
  </si>
  <si>
    <t>THAI BEVERAGE PLC</t>
  </si>
  <si>
    <t>บจก.ไทยเบฟเวอเรจ</t>
  </si>
  <si>
    <t>AA(tha)</t>
  </si>
  <si>
    <t>Baa3</t>
  </si>
  <si>
    <t>TBEV213A</t>
  </si>
  <si>
    <t xml:space="preserve">หุ้นกู้ของบริษัท ไทยเบฟเวอเรจ จำกัด (มหาชน) ครั้งที่ 1/2561 ชุดที่ 2 </t>
  </si>
  <si>
    <t>หุ้นกู้ของบริษัท ไทยเบฟเวอเรจ จำกัด (มหาชน) ครั้งที่ 1/2561 ชุดที่ 2 ครบกำหนดไถ่ถอนปี พ.ศ. 2564</t>
  </si>
  <si>
    <t>TH0902031309</t>
  </si>
  <si>
    <t>THCOM19OB</t>
  </si>
  <si>
    <t>THCOM</t>
  </si>
  <si>
    <t>COMMUNICAT</t>
  </si>
  <si>
    <t>THAICOM PLC.</t>
  </si>
  <si>
    <t>หุ้นกู้ของ บริษัท ไทยคม จำกัด (มหาชน) ครั้งที่ 1/2557 ชุดที่ 3</t>
  </si>
  <si>
    <t>COMMUNICATION</t>
  </si>
  <si>
    <t>TECHNOLOGY</t>
  </si>
  <si>
    <t>บมจ.ไทยคม</t>
  </si>
  <si>
    <t>หุ้นกู้ธนาคารทิสโก้ จำกัด (มหาชน) ครั้งที่ 3/2560 ชุดที่ 1</t>
  </si>
  <si>
    <t>หุ้นกู้ธนาคารทิสโก้ จำกัด (มหาชน) ครั้งที่ 3/2560 ชุดที่ 1 ครบกำหนดไถ่ถอน ปี พ.ศ. 2561</t>
  </si>
  <si>
    <t>TH059703SB09</t>
  </si>
  <si>
    <t>TISCO198A</t>
  </si>
  <si>
    <t>หุ้นกู้ธนาคารทิสโก้ จำกัด (มหาชน) ครั้งที่ 2/2561 ชุดที่ 1</t>
  </si>
  <si>
    <t>หุ้นกู้ธนาคารทิสโก้ จำกัด (มหาชน) ครั้งที่ 2/2561 ชุดที่ 1 ครบกำหนดไถ่ถอน ปี พ.ศ. 2562</t>
  </si>
  <si>
    <t>TISCO205B</t>
  </si>
  <si>
    <t>หุ้นกู้ธนาคารทิสโก้ จำกัด (มหาชน) ครั้งที่ 4/2561 ชุดที่ 1</t>
  </si>
  <si>
    <t>หุ้นกู้ธนาคารทิสโก้ จำกัด (มหาชน) ครั้งที่ 4/2561 ชุดที่ 1 ครบกำหนดไถ่ถอนปี พ.ศ. 2563</t>
  </si>
  <si>
    <t>TRUE192B</t>
  </si>
  <si>
    <t>TRUE</t>
  </si>
  <si>
    <t>TRUE CORPORATION PLC.</t>
  </si>
  <si>
    <t>หุ้นกู้ของบริษัท ทรู คอร์ปอเรชั่น จำกัด (มหาชน)</t>
  </si>
  <si>
    <t>หุ้นกู้ของบริษัท ทรู คอร์ปอเรชั่น จำกัด (มหาชน) ครั้งที่ 1/2561 ชุดที่ 2 ครบกำหนดไถ่ถอนปี พ.ศ. 2562</t>
  </si>
  <si>
    <t>บมจ.ทรู คอร์ปอเรชั่น</t>
  </si>
  <si>
    <t>TUC19129B</t>
  </si>
  <si>
    <t>TUC</t>
  </si>
  <si>
    <t>TRUE MOVE H UNIVERSAL COMMUNICATION CO.</t>
  </si>
  <si>
    <t>หุ้นกู้ระยะสั้นของบริษัท ทรู มูฟ เอช ยูนิเวอร์แซล คอมมิวนิเคชั่น จำกัด ชุดที่ 5</t>
  </si>
  <si>
    <t xml:space="preserve">หุ้นกู้ระยะสั้นของบริษัท ทรู มูฟ เอช ยูนิเวอร์แซล คอมมิวนิเคชั่น จำกัด ชุดที่ 5 ครบกำหนดไถ่ถอนวันที่ 29 มกราคม พ.ศ. 2562 </t>
  </si>
  <si>
    <t>TRUE MOVE H UNIVERSAL COMMUNICATION CO., LTD.</t>
  </si>
  <si>
    <t>บริษัท ทรู มูฟ เอช ยูนิเวอร์แซล คอมมิวนิเคชั่น จำกัด</t>
  </si>
  <si>
    <t>TUC218A</t>
  </si>
  <si>
    <t>หุ้นกู้ของ บริษัท ทรู มูฟ เอช ยูนิเวอร์แซล คอมมิวนิเคชั่น จำกัด ครั้งที่ 1/2561 ชุดที่ 1</t>
  </si>
  <si>
    <t>หุ้นกู้ของ บริษัท ทรู มูฟ เอช ยูนิเวอร์แซล คอมมิวนิเคชั่น จำกัด ครั้งที่ 1/2561 ชุดที่ 1 ครบกำหนดไถ่ถอนปี พ.ศ. 2564</t>
  </si>
  <si>
    <t>TH6692031805</t>
  </si>
  <si>
    <t>WHA214A</t>
  </si>
  <si>
    <t>WHA</t>
  </si>
  <si>
    <t>WHA CORPORATION PLC.</t>
  </si>
  <si>
    <t xml:space="preserve">หุ้นกู้ของบริษัท ดับบลิวเอชเอ คอร์ปอเรชั่น จำกัด (มหาชน) ครั้งที่ 1/2561 ชุดที่ 1 </t>
  </si>
  <si>
    <t>หุ้นกู้ของบริษัท ดับบลิวเอชเอ คอร์ปอเรชั่น จำกัด (มหาชน) ครั้งที่ 1/2561 ชุดที่ 1 ครบกำหนดไถ่ถอนปี พ.ศ. 2564</t>
  </si>
  <si>
    <t>บมจ. ดับบลิวเอชเอ คอร์ปอเรชั่น</t>
  </si>
  <si>
    <t>WHART213A</t>
  </si>
  <si>
    <t>WHART</t>
  </si>
  <si>
    <t>PFUND</t>
  </si>
  <si>
    <t>WHA PREMIUM GROWTH FREEHOLD AND LEASEHOLD REAL ESTATE INVESTMENT TRUST</t>
  </si>
  <si>
    <t>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</t>
  </si>
  <si>
    <t>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 ครบกำหนดไถ่ถอนปี พ.ศ. 2564</t>
  </si>
  <si>
    <t>ทรัสต์เพื่อการลงทุนในอสังหาริมทรัพย์และสิทธิการเช่าดับบลิวเอชเอ พรีเมี่ยม โกรท</t>
  </si>
  <si>
    <t>TH8497031303</t>
  </si>
  <si>
    <t>WHAUP208A</t>
  </si>
  <si>
    <t>WHAUP</t>
  </si>
  <si>
    <t>WHA UTILITIES AND POWER PLC.</t>
  </si>
  <si>
    <t>หุ้นกู้ของบริษัท ดับบลิวเอชเอ ยูทิลิตี้ส์ แอนด์ พาวเวอร์ จำกัด (มหาชน) ครั้งที่ 1/2560 ชุดที่ 1</t>
  </si>
  <si>
    <t xml:space="preserve">หุ้นกู้ของบริษัท ดับบลิวเอชเอ ยูทิลิตี้ส์ แอนด์ พาวเวอร์ จำกัด (มหาชน) ครั้งที่ 1/2560 ชุดที่ 1 ครบกำหนดไถ่ถอนปี พ.ศ. 2563 </t>
  </si>
  <si>
    <t>บมจ.ดับบลิวเอชเอ ยูทิลิตี้ส์ แอนด์ พาวเวอร์</t>
  </si>
  <si>
    <t>TH784603U805</t>
  </si>
  <si>
    <t>COMMERCIAL PAPER</t>
  </si>
  <si>
    <t>EMTNMASQ070319</t>
  </si>
  <si>
    <t>MASQ</t>
  </si>
  <si>
    <t>MASHREQ BANK</t>
  </si>
  <si>
    <t>ตราสารหนี้ธนาคาร MASHREQ BANK</t>
  </si>
  <si>
    <t>BondAct/360P1</t>
  </si>
  <si>
    <t>CP</t>
  </si>
  <si>
    <t>XS1789167340</t>
  </si>
  <si>
    <t>EMTNMASQ080519</t>
  </si>
  <si>
    <t>BondAc/360P1.2M</t>
  </si>
  <si>
    <t>XS1819596492</t>
  </si>
  <si>
    <t>EMTNMASQ090419</t>
  </si>
  <si>
    <t>XS1805072565</t>
  </si>
  <si>
    <t>EMTNMASQ130519</t>
  </si>
  <si>
    <t>XS1821402523</t>
  </si>
  <si>
    <t>EMTNMASQ210319</t>
  </si>
  <si>
    <t>Bond 30/360P1</t>
  </si>
  <si>
    <t>XS1797108112</t>
  </si>
  <si>
    <t>FWAEDTHB18D18A</t>
  </si>
  <si>
    <t>FWD SFFPLUS SCB</t>
  </si>
  <si>
    <t>FWAEDTHB18O04A</t>
  </si>
  <si>
    <t>FWEURTHB18D07B</t>
  </si>
  <si>
    <t>FWEURTHB18N05A</t>
  </si>
  <si>
    <t>FWD SCBSFFPLUS SCB</t>
  </si>
  <si>
    <t>FWEURTHB19131A</t>
  </si>
  <si>
    <t>FWEURTHB19201A</t>
  </si>
  <si>
    <t>FWEURTHB19213A</t>
  </si>
  <si>
    <t>FWEURTHB19306A</t>
  </si>
  <si>
    <t>FWEURTHB19321A</t>
  </si>
  <si>
    <t>FWEURTHB19322A</t>
  </si>
  <si>
    <t>FWD SCBSFFPLUS KKP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</si>
  <si>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</si>
  <si>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</si>
  <si>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</si>
  <si>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</si>
  <si>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</si>
  <si>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</si>
  <si>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</si>
  <si>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</si>
  <si>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</si>
  <si>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FWD SFFPLUS CIMBT</t>
  </si>
  <si>
    <t>CIMB THAI BANK PLC.</t>
  </si>
  <si>
    <t>ธนาคาร ซีไอเอ็มบี ไทย  จำกัด (มหาชน)</t>
  </si>
  <si>
    <t>Baa2</t>
  </si>
  <si>
    <t>FWUSDTHB18N06D</t>
  </si>
  <si>
    <t>FWD SFFPLUS KKP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</si>
  <si>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</si>
  <si>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</si>
  <si>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</si>
  <si>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</si>
  <si>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</si>
  <si>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</si>
  <si>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</si>
  <si>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</si>
  <si>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</si>
  <si>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</si>
  <si>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</si>
  <si>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</si>
  <si>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</si>
  <si>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</si>
  <si>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</si>
  <si>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</si>
  <si>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</si>
  <si>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</si>
  <si>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</si>
  <si>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Settle Date :08/10/2018</t>
  </si>
  <si>
    <t>UNSETTLE AMOR.</t>
  </si>
  <si>
    <t>AR/AP</t>
  </si>
  <si>
    <t>SCBAM</t>
  </si>
  <si>
    <t>UNIT TRUST</t>
  </si>
  <si>
    <t>ADJ.</t>
  </si>
  <si>
    <t>A/R</t>
  </si>
  <si>
    <t>SCB Asset Mangment Co.,Ltd.</t>
  </si>
  <si>
    <t>บลจ. ไทยพาณิชย์ จำกัด</t>
  </si>
  <si>
    <t>กองทุนเปิดไทยพาณิชย์ตราสารรัฐตลาดเงิน</t>
  </si>
  <si>
    <t>SCB TREASURY MONEY OPEN END FUND</t>
  </si>
  <si>
    <t>INVSUOBTtmf</t>
  </si>
  <si>
    <t>SELL SECURITY</t>
  </si>
  <si>
    <t>พันธบัตรธนาคารแห่งประเทศไทยงวดที่ 4/364/60</t>
  </si>
  <si>
    <t>TH065507SC86</t>
  </si>
  <si>
    <t>พันธบัตรธนาคารอาคารสงเคราะห์ พ.ศ. 2558 ครั้งที่ 2</t>
  </si>
  <si>
    <t>TH065203SC00</t>
  </si>
  <si>
    <t>AAA</t>
  </si>
  <si>
    <t>BANK OF AYUDHYA PLC.</t>
  </si>
  <si>
    <t>หุ้นกู้ของ บมจ. ธนาคารกรุงศรีอยุธยา ครั้งที่ 1/2559</t>
  </si>
  <si>
    <t>หุ้นกู้ของ บมจ. ธนาคารกรุงศรีอยุธยา ครั้งที่ 1/2559 ครบกำหนดไถ่ถอนปี พ.ศ. 2562</t>
  </si>
  <si>
    <t>3FxAc365P2B</t>
  </si>
  <si>
    <t>ธนาคารกรุงศรีอยุธยา จำกัด (มหาชน)</t>
  </si>
  <si>
    <t>TH002303T305</t>
  </si>
  <si>
    <t xml:space="preserve">777-0-03841-6  </t>
  </si>
  <si>
    <t>777-1-26715-5</t>
  </si>
  <si>
    <t>001-3-48817-4</t>
  </si>
  <si>
    <t>001-5-77100-2</t>
  </si>
  <si>
    <t>naree</t>
  </si>
  <si>
    <t>นรี พฤกษยาภัย</t>
  </si>
  <si>
    <t>naree pruksayaphai</t>
  </si>
  <si>
    <t>09:12:33 PM</t>
  </si>
  <si>
    <t>09:12:34 PM</t>
  </si>
  <si>
    <t xml:space="preserve">777-0-90197-5  </t>
  </si>
  <si>
    <t>777-1-90215-4</t>
  </si>
  <si>
    <t>001-353006-0</t>
  </si>
  <si>
    <t>Mitraporn</t>
  </si>
  <si>
    <t>มิตราภรณ์ วีรวรรณ</t>
  </si>
  <si>
    <t>Mitraporn Viravan</t>
  </si>
  <si>
    <t>09:12:35 PM</t>
  </si>
  <si>
    <t xml:space="preserve">  </t>
  </si>
  <si>
    <t>745-2-57586-2</t>
  </si>
  <si>
    <t>086-3-02241-1</t>
  </si>
  <si>
    <t>09:12:46 PM</t>
  </si>
  <si>
    <t>Term</t>
  </si>
  <si>
    <t>DAILY CASH PROJECTION</t>
  </si>
  <si>
    <t>เตรียมเงินประมาณ 4000 - 5000</t>
  </si>
  <si>
    <t xml:space="preserve"> ราชวง -1670</t>
  </si>
  <si>
    <t>//6992</t>
  </si>
  <si>
    <t>//5335</t>
  </si>
  <si>
    <t>//2115</t>
  </si>
  <si>
    <t>//2756</t>
  </si>
  <si>
    <t>//890</t>
  </si>
  <si>
    <t>//4313</t>
  </si>
  <si>
    <t xml:space="preserve"> T+ 16259 </t>
  </si>
  <si>
    <t xml:space="preserve"> t+7279 </t>
  </si>
  <si>
    <t xml:space="preserve"> t+10317 </t>
  </si>
  <si>
    <t xml:space="preserve"> t+13172 </t>
  </si>
  <si>
    <t xml:space="preserve"> t+2635 </t>
  </si>
  <si>
    <t xml:space="preserve"> t+1022 </t>
  </si>
  <si>
    <t xml:space="preserve"> t+3964 </t>
  </si>
  <si>
    <t xml:space="preserve"> t+919 </t>
  </si>
  <si>
    <t xml:space="preserve"> t+4883 </t>
  </si>
  <si>
    <t>t+7144.99</t>
  </si>
  <si>
    <t>t+7308.83</t>
  </si>
  <si>
    <t>t+3844.01</t>
  </si>
  <si>
    <t>t+12442.54</t>
  </si>
  <si>
    <t>t+4883, -2565</t>
  </si>
  <si>
    <t>t+2717</t>
  </si>
  <si>
    <t>t+25362.55</t>
  </si>
  <si>
    <t>t+22996.93</t>
  </si>
  <si>
    <t>t+7695.46</t>
  </si>
  <si>
    <t>t+8605 - 710</t>
  </si>
  <si>
    <t>t+1000</t>
  </si>
  <si>
    <t>t+2113.20</t>
  </si>
  <si>
    <t>t+4289.46</t>
  </si>
  <si>
    <t>t+8041.34</t>
  </si>
  <si>
    <t>t+5052.83</t>
  </si>
  <si>
    <t>t+4896.51</t>
  </si>
  <si>
    <t>DATE</t>
  </si>
  <si>
    <t>TRANSACTION</t>
  </si>
  <si>
    <t>Other Scheduled Pay-In/Out</t>
  </si>
  <si>
    <t>Matured Term Funds</t>
  </si>
  <si>
    <t>Fund Account - SCB</t>
  </si>
  <si>
    <r>
      <t>SCB: + Deposit/</t>
    </r>
    <r>
      <rPr>
        <b/>
        <sz val="10"/>
        <color rgb="FFFF0000"/>
        <rFont val="Tahoma"/>
        <family val="2"/>
      </rPr>
      <t>- Withdraw</t>
    </r>
  </si>
  <si>
    <t>Ending SCB</t>
  </si>
  <si>
    <t>Fund Account - BAY</t>
  </si>
  <si>
    <t>BAY: + Deposit/- Withdraw</t>
  </si>
  <si>
    <t>Ending BAY</t>
  </si>
  <si>
    <t>Fund Account - UOBT</t>
  </si>
  <si>
    <t>UOBT: + Deposit/- Withdraw</t>
  </si>
  <si>
    <t>Ending UOBT</t>
  </si>
  <si>
    <t>BEGINNING BALANCE</t>
  </si>
  <si>
    <t>Cash Inflow</t>
  </si>
  <si>
    <t>Application (BN)</t>
  </si>
  <si>
    <t>Application (Not BN)</t>
  </si>
  <si>
    <t>Switch-in (T+1)</t>
  </si>
  <si>
    <t>Switch-in (Others)</t>
  </si>
  <si>
    <t>Debt Mature &amp; Sell (BN)</t>
  </si>
  <si>
    <t>Debt Mature &amp; Sell (Not BN)</t>
  </si>
  <si>
    <t>Deposit (BN)</t>
  </si>
  <si>
    <t>Deposit (Not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</si>
  <si>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</si>
  <si>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</si>
  <si>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</si>
  <si>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</si>
  <si>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</si>
  <si>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</si>
  <si>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</si>
  <si>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</si>
  <si>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(Not BN)</t>
  </si>
  <si>
    <t>Fee &amp; Expenses</t>
  </si>
  <si>
    <t>Total Cash Outflow</t>
  </si>
  <si>
    <t>ENDING CASH BALANCE (Cal.)</t>
  </si>
  <si>
    <t>Cash Balance (DataStream)</t>
  </si>
  <si>
    <t>Different Amount</t>
  </si>
  <si>
    <t>Cash for Use</t>
  </si>
  <si>
    <t>Cash for Bahtnet</t>
  </si>
  <si>
    <t>Today Buy-Sell</t>
  </si>
  <si>
    <t>DataStream NAV</t>
  </si>
  <si>
    <t>Expected NAV</t>
  </si>
  <si>
    <t>% Cash holding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</si>
</sst>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9" formatCode="_-* #,##0.00_-;\-* #,##0.00_-;_-* &quot;-&quot;??_-;_-@_-"/>
    <numFmt numFmtId="190" formatCode="ddd\ dd\-mmm\-yy"/>
    <numFmt numFmtId="191" formatCode="#,##0.00_ ;[Red]\-#,##0.00\ "/>
    <numFmt numFmtId="192" formatCode="#,##0.00;[Red]\(#,##0.00\)"/>
    <numFmt numFmtId="193" formatCode="_-* #,##0.00000_-;\-* #,##0.00000_-;_-* &quot;-&quot;??_-;_-@_-"/>
  </numFmts>
  <fonts count="16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b/>
      <i/>
      <sz val="11"/>
      <color theme="1"/>
      <name val="Tahoma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12"/>
      <name val="Arial"/>
      <family val="2"/>
    </font>
    <font>
      <sz val="10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sz val="10"/>
      <color rgb="FFFF0000"/>
      <name val="Tahoma"/>
      <family val="2"/>
    </font>
    <font>
      <b/>
      <u/>
      <sz val="10"/>
      <name val="Tahoma"/>
      <family val="2"/>
    </font>
    <font>
      <sz val="10"/>
      <color indexed="12"/>
      <name val="Tahoma"/>
      <family val="2"/>
    </font>
    <font>
      <sz val="10"/>
      <color theme="3" tint="-0.499984740745262"/>
      <name val="Tahoma"/>
      <family val="2"/>
    </font>
    <font>
      <b/>
      <sz val="10"/>
      <color indexed="55"/>
      <name val="Tahoma"/>
      <family val="2"/>
    </font>
    <font>
      <sz val="10"/>
      <color indexed="55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/>
  </cellStyleXfs>
  <cellXfs count="95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43" fontId="0" fillId="0" borderId="0" xfId="1" applyFont="1"/>
    <xf numFmtId="10" fontId="2" fillId="0" borderId="0" xfId="0" applyNumberFormat="1" applyFont="1"/>
    <xf numFmtId="9" fontId="0" fillId="0" borderId="0" xfId="0" applyNumberFormat="1"/>
    <xf numFmtId="0" fontId="0" fillId="0" borderId="0" xfId="0" pivotButton="1"/>
    <xf numFmtId="0" fontId="0" fillId="0" borderId="0" xfId="0" applyNumberFormat="1"/>
    <xf numFmtId="14" fontId="2" fillId="0" borderId="0" xfId="0" applyNumberFormat="1" applyFont="1"/>
    <xf numFmtId="0" fontId="6" fillId="0" borderId="0" xfId="0" applyFont="1" applyAlignment="1"/>
    <xf numFmtId="0" fontId="7" fillId="0" borderId="0" xfId="0" applyFont="1"/>
    <xf numFmtId="43" fontId="7" fillId="0" borderId="0" xfId="1" applyFont="1"/>
    <xf numFmtId="14" fontId="7" fillId="3" borderId="0" xfId="0" applyNumberFormat="1" applyFont="1" applyFill="1"/>
    <xf numFmtId="189" fontId="7" fillId="0" borderId="0" xfId="0" applyNumberFormat="1" applyFont="1"/>
    <xf numFmtId="4" fontId="7" fillId="0" borderId="0" xfId="0" applyNumberFormat="1" applyFont="1"/>
    <xf numFmtId="40" fontId="7" fillId="0" borderId="0" xfId="0" applyNumberFormat="1" applyFont="1"/>
    <xf numFmtId="0" fontId="8" fillId="2" borderId="0" xfId="0" applyFont="1" applyFill="1" applyAlignment="1">
      <alignment horizontal="center"/>
    </xf>
    <xf numFmtId="0" fontId="7" fillId="3" borderId="0" xfId="0" applyFont="1" applyFill="1"/>
    <xf numFmtId="0" fontId="8" fillId="0" borderId="0" xfId="0" applyFont="1"/>
    <xf numFmtId="189" fontId="0" fillId="0" borderId="1" xfId="0" applyNumberFormat="1" applyBorder="1"/>
    <xf numFmtId="43" fontId="0" fillId="0" borderId="1" xfId="1" applyFont="1" applyBorder="1"/>
    <xf numFmtId="43" fontId="7" fillId="0" borderId="0" xfId="1" quotePrefix="1" applyFont="1" applyAlignment="1">
      <alignment horizontal="center" vertical="center"/>
    </xf>
    <xf numFmtId="0" fontId="9" fillId="0" borderId="0" xfId="0" applyFont="1"/>
    <xf numFmtId="43" fontId="7" fillId="4" borderId="0" xfId="1" applyFont="1" applyFill="1"/>
    <xf numFmtId="43" fontId="7" fillId="0" borderId="0" xfId="0" applyNumberFormat="1" applyFont="1"/>
    <xf numFmtId="43" fontId="9" fillId="0" borderId="0" xfId="1" applyFont="1" applyBorder="1" applyAlignment="1">
      <alignment horizontal="center" vertical="center"/>
    </xf>
    <xf numFmtId="0" fontId="9" fillId="0" borderId="2" xfId="0" applyFont="1" applyBorder="1" applyAlignment="1">
      <alignment horizontal="right" wrapText="1"/>
    </xf>
    <xf numFmtId="190" fontId="9" fillId="0" borderId="3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wrapText="1"/>
    </xf>
    <xf numFmtId="190" fontId="9" fillId="0" borderId="5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wrapText="1"/>
    </xf>
    <xf numFmtId="190" fontId="9" fillId="0" borderId="7" xfId="0" applyNumberFormat="1" applyFont="1" applyBorder="1" applyAlignment="1">
      <alignment horizontal="center" vertical="center"/>
    </xf>
    <xf numFmtId="0" fontId="9" fillId="5" borderId="1" xfId="0" applyFont="1" applyFill="1" applyBorder="1" applyAlignment="1">
      <alignment wrapText="1"/>
    </xf>
    <xf numFmtId="191" fontId="7" fillId="5" borderId="8" xfId="1" applyNumberFormat="1" applyFont="1" applyFill="1" applyBorder="1"/>
    <xf numFmtId="0" fontId="7" fillId="5" borderId="8" xfId="0" applyFont="1" applyFill="1" applyBorder="1"/>
    <xf numFmtId="0" fontId="9" fillId="6" borderId="1" xfId="0" applyFont="1" applyFill="1" applyBorder="1" applyAlignment="1">
      <alignment wrapText="1"/>
    </xf>
    <xf numFmtId="43" fontId="7" fillId="6" borderId="8" xfId="1" applyFont="1" applyFill="1" applyBorder="1" applyAlignment="1">
      <alignment horizontal="center" vertical="center"/>
    </xf>
    <xf numFmtId="0" fontId="7" fillId="6" borderId="8" xfId="0" applyFont="1" applyFill="1" applyBorder="1"/>
    <xf numFmtId="0" fontId="9" fillId="0" borderId="9" xfId="0" applyFont="1" applyBorder="1" applyAlignment="1">
      <alignment wrapText="1"/>
    </xf>
    <xf numFmtId="190" fontId="9" fillId="0" borderId="0" xfId="0" applyNumberFormat="1" applyFont="1" applyBorder="1" applyAlignment="1">
      <alignment horizontal="center" vertical="center"/>
    </xf>
    <xf numFmtId="0" fontId="9" fillId="7" borderId="1" xfId="0" applyFont="1" applyFill="1" applyBorder="1"/>
    <xf numFmtId="191" fontId="7" fillId="7" borderId="8" xfId="1" applyNumberFormat="1" applyFont="1" applyFill="1" applyBorder="1"/>
    <xf numFmtId="43" fontId="7" fillId="7" borderId="8" xfId="1" applyFont="1" applyFill="1" applyBorder="1"/>
    <xf numFmtId="43" fontId="9" fillId="8" borderId="7" xfId="1" applyFont="1" applyFill="1" applyBorder="1" applyAlignment="1">
      <alignment horizontal="right"/>
    </xf>
    <xf numFmtId="0" fontId="7" fillId="0" borderId="0" xfId="0" applyFont="1" applyBorder="1"/>
    <xf numFmtId="0" fontId="7" fillId="7" borderId="8" xfId="0" applyFont="1" applyFill="1" applyBorder="1"/>
    <xf numFmtId="0" fontId="9" fillId="9" borderId="1" xfId="0" applyFont="1" applyFill="1" applyBorder="1"/>
    <xf numFmtId="191" fontId="7" fillId="8" borderId="8" xfId="1" applyNumberFormat="1" applyFont="1" applyFill="1" applyBorder="1"/>
    <xf numFmtId="43" fontId="7" fillId="8" borderId="8" xfId="1" applyFont="1" applyFill="1" applyBorder="1"/>
    <xf numFmtId="190" fontId="8" fillId="0" borderId="7" xfId="0" applyNumberFormat="1" applyFont="1" applyBorder="1" applyAlignment="1">
      <alignment horizontal="center" vertical="center"/>
    </xf>
    <xf numFmtId="0" fontId="7" fillId="0" borderId="8" xfId="0" applyFont="1" applyBorder="1"/>
    <xf numFmtId="0" fontId="9" fillId="10" borderId="1" xfId="0" applyFont="1" applyFill="1" applyBorder="1"/>
    <xf numFmtId="191" fontId="7" fillId="10" borderId="8" xfId="1" applyNumberFormat="1" applyFont="1" applyFill="1" applyBorder="1"/>
    <xf numFmtId="0" fontId="7" fillId="10" borderId="8" xfId="0" applyFont="1" applyFill="1" applyBorder="1"/>
    <xf numFmtId="43" fontId="7" fillId="0" borderId="7" xfId="1" applyFont="1" applyBorder="1" applyAlignment="1">
      <alignment horizontal="center" vertical="center"/>
    </xf>
    <xf numFmtId="43" fontId="10" fillId="0" borderId="7" xfId="1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192" fontId="7" fillId="0" borderId="7" xfId="1" applyNumberFormat="1" applyFont="1" applyBorder="1" applyAlignment="1">
      <alignment vertical="center"/>
    </xf>
    <xf numFmtId="192" fontId="9" fillId="0" borderId="10" xfId="1" applyNumberFormat="1" applyFont="1" applyBorder="1" applyAlignment="1">
      <alignment horizontal="center" vertical="center"/>
    </xf>
    <xf numFmtId="0" fontId="11" fillId="0" borderId="11" xfId="0" applyFont="1" applyBorder="1"/>
    <xf numFmtId="192" fontId="7" fillId="0" borderId="10" xfId="1" applyNumberFormat="1" applyFont="1" applyBorder="1"/>
    <xf numFmtId="0" fontId="12" fillId="0" borderId="11" xfId="0" applyFont="1" applyBorder="1"/>
    <xf numFmtId="192" fontId="7" fillId="0" borderId="10" xfId="1" applyNumberFormat="1" applyFont="1" applyFill="1" applyBorder="1"/>
    <xf numFmtId="192" fontId="7" fillId="2" borderId="10" xfId="1" applyNumberFormat="1" applyFont="1" applyFill="1" applyBorder="1"/>
    <xf numFmtId="192" fontId="10" fillId="0" borderId="10" xfId="1" applyNumberFormat="1" applyFont="1" applyFill="1" applyBorder="1"/>
    <xf numFmtId="0" fontId="7" fillId="0" borderId="11" xfId="0" applyFont="1" applyBorder="1"/>
    <xf numFmtId="0" fontId="7" fillId="11" borderId="11" xfId="0" applyFont="1" applyFill="1" applyBorder="1"/>
    <xf numFmtId="192" fontId="7" fillId="0" borderId="7" xfId="1" applyNumberFormat="1" applyFont="1" applyBorder="1"/>
    <xf numFmtId="0" fontId="9" fillId="0" borderId="12" xfId="0" applyFont="1" applyBorder="1"/>
    <xf numFmtId="192" fontId="7" fillId="0" borderId="1" xfId="1" applyNumberFormat="1" applyFont="1" applyBorder="1"/>
    <xf numFmtId="0" fontId="7" fillId="0" borderId="6" xfId="0" applyFont="1" applyBorder="1"/>
    <xf numFmtId="192" fontId="7" fillId="0" borderId="13" xfId="1" applyNumberFormat="1" applyFont="1" applyFill="1" applyBorder="1"/>
    <xf numFmtId="40" fontId="7" fillId="0" borderId="10" xfId="1" applyNumberFormat="1" applyFont="1" applyFill="1" applyBorder="1"/>
    <xf numFmtId="192" fontId="7" fillId="11" borderId="10" xfId="1" applyNumberFormat="1" applyFont="1" applyFill="1" applyBorder="1"/>
    <xf numFmtId="43" fontId="7" fillId="11" borderId="0" xfId="1" applyFont="1" applyFill="1"/>
    <xf numFmtId="192" fontId="10" fillId="11" borderId="10" xfId="1" applyNumberFormat="1" applyFont="1" applyFill="1" applyBorder="1"/>
    <xf numFmtId="0" fontId="7" fillId="11" borderId="0" xfId="0" applyFont="1" applyFill="1"/>
    <xf numFmtId="0" fontId="9" fillId="0" borderId="1" xfId="0" applyFont="1" applyBorder="1"/>
    <xf numFmtId="192" fontId="9" fillId="0" borderId="1" xfId="1" applyNumberFormat="1" applyFont="1" applyBorder="1"/>
    <xf numFmtId="0" fontId="9" fillId="0" borderId="0" xfId="0" applyFont="1" applyBorder="1"/>
    <xf numFmtId="192" fontId="13" fillId="12" borderId="7" xfId="1" applyNumberFormat="1" applyFont="1" applyFill="1" applyBorder="1"/>
    <xf numFmtId="0" fontId="9" fillId="13" borderId="6" xfId="0" applyFont="1" applyFill="1" applyBorder="1"/>
    <xf numFmtId="192" fontId="9" fillId="13" borderId="7" xfId="1" applyNumberFormat="1" applyFont="1" applyFill="1" applyBorder="1"/>
    <xf numFmtId="192" fontId="7" fillId="13" borderId="7" xfId="1" applyNumberFormat="1" applyFont="1" applyFill="1" applyBorder="1"/>
    <xf numFmtId="39" fontId="14" fillId="0" borderId="6" xfId="1" applyNumberFormat="1" applyFont="1" applyBorder="1"/>
    <xf numFmtId="39" fontId="15" fillId="0" borderId="7" xfId="1" applyNumberFormat="1" applyFont="1" applyBorder="1"/>
    <xf numFmtId="39" fontId="15" fillId="0" borderId="0" xfId="1" applyNumberFormat="1" applyFont="1" applyBorder="1"/>
    <xf numFmtId="39" fontId="14" fillId="0" borderId="6" xfId="1" applyNumberFormat="1" applyFont="1" applyFill="1" applyBorder="1"/>
    <xf numFmtId="39" fontId="15" fillId="0" borderId="7" xfId="1" applyNumberFormat="1" applyFont="1" applyFill="1" applyBorder="1"/>
    <xf numFmtId="39" fontId="15" fillId="0" borderId="4" xfId="1" applyNumberFormat="1" applyFont="1" applyBorder="1"/>
    <xf numFmtId="43" fontId="7" fillId="14" borderId="0" xfId="1" applyFont="1" applyFill="1" applyBorder="1"/>
    <xf numFmtId="16" fontId="7" fillId="0" borderId="0" xfId="0" applyNumberFormat="1" applyFont="1"/>
    <xf numFmtId="193" fontId="7" fillId="0" borderId="0" xfId="1" applyNumberFormat="1" applyFont="1"/>
    <xf numFmtId="0" fontId="7" fillId="0" borderId="0" xfId="2" applyFont="1"/>
  </cellXfs>
  <cellStyles count="3">
    <cellStyle name="Comma" xfId="1" builtinId="3"/>
    <cellStyle name="Normal" xfId="0" builtinId="0"/>
    <cellStyle name="Normal 3" xfId="2" xr:uid="{C74FC625-0ECD-46B9-A2E7-AA66CDAF7B01}"/>
  </cellStyles>
  <dxfs count="1755"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numFmt numFmtId="0" formatCode="General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152400</xdr:rowOff>
    </xdr:from>
    <xdr:to>
      <xdr:col>0</xdr:col>
      <xdr:colOff>1743075</xdr:colOff>
      <xdr:row>5</xdr:row>
      <xdr:rowOff>161925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011625E-94A1-45C2-8541-06033C6C42CD}"/>
            </a:ext>
          </a:extLst>
        </xdr:cNvPr>
        <xdr:cNvSpPr>
          <a:spLocks noChangeShapeType="1"/>
        </xdr:cNvSpPr>
      </xdr:nvSpPr>
      <xdr:spPr bwMode="auto">
        <a:xfrm>
          <a:off x="9525" y="638175"/>
          <a:ext cx="173355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293</xdr:col>
      <xdr:colOff>627531</xdr:colOff>
      <xdr:row>62</xdr:row>
      <xdr:rowOff>145677</xdr:rowOff>
    </xdr:from>
    <xdr:to>
      <xdr:col>295</xdr:col>
      <xdr:colOff>1299883</xdr:colOff>
      <xdr:row>85</xdr:row>
      <xdr:rowOff>100853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FA3AE8-B24C-4FC7-8CEF-BC7742D6D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04100" y="10004052"/>
          <a:ext cx="0" cy="3679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CASH%20Projection%20MM%20V2.2.4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GetGroup1Dtl"/>
      <definedName name="SCBAM_GetSecDtl"/>
      <definedName name="SCBAM_NextBusinessDay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ash intraday2"/>
      <sheetName val="Holding"/>
      <sheetName val="ITD"/>
      <sheetName val="Cash intraday"/>
      <sheetName val="Fx maturity"/>
      <sheetName val="DS CashProjection"/>
      <sheetName val="SCBRF"/>
      <sheetName val="SCBRM1"/>
      <sheetName val="SCBRM2"/>
      <sheetName val="SCBSFF"/>
      <sheetName val="SCBSFFPLUS"/>
      <sheetName val="SCBTMF"/>
      <sheetName val="SCBTMFPLUS"/>
      <sheetName val="SCBFPFUND"/>
      <sheetName val="SCBFIXED"/>
      <sheetName val="SCBPLUS"/>
      <sheetName val="DDE"/>
      <sheetName val="BIDDING BE"/>
      <sheetName val="Note"/>
    </sheetNames>
    <sheetDataSet>
      <sheetData sheetId="0">
        <row r="1">
          <cell r="B1">
            <v>43376</v>
          </cell>
          <cell r="Q1" t="str">
            <v>Fund</v>
          </cell>
          <cell r="S1" t="str">
            <v>Settle Date</v>
          </cell>
          <cell r="T1" t="str">
            <v>B/S</v>
          </cell>
          <cell r="AH1" t="str">
            <v>Net Settlement</v>
          </cell>
          <cell r="AI1" t="str">
            <v>Payment</v>
          </cell>
        </row>
        <row r="2">
          <cell r="S2">
            <v>42997</v>
          </cell>
          <cell r="T2" t="str">
            <v>B</v>
          </cell>
          <cell r="AH2">
            <v>0</v>
          </cell>
          <cell r="AI2" t="str">
            <v>BAHTNET</v>
          </cell>
        </row>
        <row r="3">
          <cell r="Q3" t="str">
            <v>SCBSFF</v>
          </cell>
          <cell r="S3">
            <v>43377</v>
          </cell>
          <cell r="T3" t="str">
            <v>B</v>
          </cell>
          <cell r="AH3">
            <v>1992795900</v>
          </cell>
          <cell r="AI3" t="str">
            <v>BAHTNET</v>
          </cell>
        </row>
        <row r="4">
          <cell r="Q4" t="str">
            <v>SCBSFFPLUS</v>
          </cell>
          <cell r="S4">
            <v>43377</v>
          </cell>
          <cell r="T4" t="str">
            <v>B</v>
          </cell>
          <cell r="AH4">
            <v>5978387700</v>
          </cell>
          <cell r="AI4" t="str">
            <v>BAHTNET</v>
          </cell>
        </row>
        <row r="5">
          <cell r="Q5" t="str">
            <v>SCBTMF</v>
          </cell>
          <cell r="S5">
            <v>43377</v>
          </cell>
          <cell r="T5" t="str">
            <v>B</v>
          </cell>
          <cell r="AH5">
            <v>149459692.5</v>
          </cell>
          <cell r="AI5" t="str">
            <v>BAHTNET</v>
          </cell>
        </row>
        <row r="6">
          <cell r="Q6" t="str">
            <v>SCBTMFPLUS</v>
          </cell>
          <cell r="S6">
            <v>43377</v>
          </cell>
          <cell r="T6" t="str">
            <v>B</v>
          </cell>
          <cell r="AH6">
            <v>448379077.5</v>
          </cell>
          <cell r="AI6" t="str">
            <v>BAHTNET</v>
          </cell>
        </row>
        <row r="7">
          <cell r="Q7" t="str">
            <v>SCBSFF</v>
          </cell>
          <cell r="S7">
            <v>43378</v>
          </cell>
          <cell r="T7" t="str">
            <v>B</v>
          </cell>
          <cell r="AH7">
            <v>996437400</v>
          </cell>
          <cell r="AI7" t="str">
            <v>BAHTNET</v>
          </cell>
        </row>
        <row r="8">
          <cell r="Q8" t="str">
            <v>SCBSFF</v>
          </cell>
          <cell r="S8">
            <v>43376</v>
          </cell>
          <cell r="T8" t="str">
            <v>S</v>
          </cell>
          <cell r="AH8">
            <v>499668715</v>
          </cell>
          <cell r="AI8" t="str">
            <v>BAHTNET</v>
          </cell>
        </row>
        <row r="9">
          <cell r="Q9" t="str">
            <v>SCBSFFPLUS</v>
          </cell>
          <cell r="S9">
            <v>43376</v>
          </cell>
          <cell r="T9" t="str">
            <v>S</v>
          </cell>
          <cell r="AH9">
            <v>499668715</v>
          </cell>
          <cell r="AI9" t="str">
            <v>BAHTNET</v>
          </cell>
        </row>
      </sheetData>
      <sheetData sheetId="1"/>
      <sheetData sheetId="2"/>
      <sheetData sheetId="3"/>
      <sheetData sheetId="4">
        <row r="2">
          <cell r="AA2" t="str">
            <v>Row Labels</v>
          </cell>
          <cell r="AB2" t="str">
            <v>1.1. Subscription</v>
          </cell>
          <cell r="AC2" t="str">
            <v>1.1. Subscription (Chq)</v>
          </cell>
          <cell r="AD2" t="str">
            <v>1.2. Switch-in</v>
          </cell>
          <cell r="AE2" t="str">
            <v>2.1. Redemption</v>
          </cell>
          <cell r="AF2" t="str">
            <v>2.2. Switch-out</v>
          </cell>
        </row>
        <row r="3">
          <cell r="AA3" t="str">
            <v>SCBFPFUND</v>
          </cell>
          <cell r="AB3">
            <v>55081333.82</v>
          </cell>
          <cell r="AD3">
            <v>2344819.65</v>
          </cell>
          <cell r="AE3">
            <v>-81723917.140000001</v>
          </cell>
          <cell r="AF3">
            <v>-37574874.840000004</v>
          </cell>
        </row>
        <row r="4">
          <cell r="AA4" t="str">
            <v>SCBPLUS</v>
          </cell>
          <cell r="AB4">
            <v>13035000</v>
          </cell>
          <cell r="AD4">
            <v>36931006.079999998</v>
          </cell>
        </row>
        <row r="5">
          <cell r="AA5" t="str">
            <v>SCBRF</v>
          </cell>
          <cell r="AB5">
            <v>31000</v>
          </cell>
        </row>
        <row r="6">
          <cell r="AA6" t="str">
            <v>SCBRM1</v>
          </cell>
          <cell r="AB6">
            <v>1088504.3200000001</v>
          </cell>
          <cell r="AC6">
            <v>900250</v>
          </cell>
          <cell r="AD6">
            <v>6640078.6500000004</v>
          </cell>
          <cell r="AE6">
            <v>-945712.77</v>
          </cell>
          <cell r="AF6">
            <v>-6864634.3700000001</v>
          </cell>
        </row>
        <row r="7">
          <cell r="AA7" t="str">
            <v>SCBRM2</v>
          </cell>
          <cell r="AB7">
            <v>153000</v>
          </cell>
          <cell r="AC7">
            <v>892000</v>
          </cell>
          <cell r="AD7">
            <v>796938.96</v>
          </cell>
          <cell r="AE7">
            <v>-1347479.57</v>
          </cell>
          <cell r="AF7">
            <v>-5418201.96</v>
          </cell>
        </row>
        <row r="8">
          <cell r="AA8" t="str">
            <v>SCBSFF</v>
          </cell>
          <cell r="AB8">
            <v>125907900.81</v>
          </cell>
          <cell r="AC8">
            <v>199541000</v>
          </cell>
          <cell r="AD8">
            <v>73892568.890000001</v>
          </cell>
          <cell r="AE8">
            <v>-140353275.84</v>
          </cell>
          <cell r="AF8">
            <v>-217305889.06999999</v>
          </cell>
        </row>
        <row r="9">
          <cell r="AA9" t="str">
            <v>SCBSFFPLUS</v>
          </cell>
          <cell r="AB9">
            <v>624703891.51999998</v>
          </cell>
          <cell r="AC9">
            <v>76443000</v>
          </cell>
          <cell r="AD9">
            <v>275197999.72000003</v>
          </cell>
          <cell r="AE9">
            <v>-802588252.04999995</v>
          </cell>
          <cell r="AF9">
            <v>-334030903.61000001</v>
          </cell>
        </row>
        <row r="10">
          <cell r="AA10" t="str">
            <v>SCBTMF</v>
          </cell>
          <cell r="AB10">
            <v>14387618.710000001</v>
          </cell>
          <cell r="AD10">
            <v>1146823.58</v>
          </cell>
          <cell r="AE10">
            <v>-3347624.03</v>
          </cell>
          <cell r="AF10">
            <v>-417000</v>
          </cell>
        </row>
        <row r="11">
          <cell r="AA11" t="str">
            <v>SCBTMFPLUS</v>
          </cell>
          <cell r="AB11">
            <v>65946469.390000001</v>
          </cell>
          <cell r="AC11">
            <v>3550000</v>
          </cell>
          <cell r="AE11">
            <v>-3633181.38</v>
          </cell>
          <cell r="AF11">
            <v>-100000</v>
          </cell>
        </row>
        <row r="12">
          <cell r="AA12" t="str">
            <v>SCBFIXED</v>
          </cell>
          <cell r="AB12">
            <v>158700</v>
          </cell>
          <cell r="AD12">
            <v>150000</v>
          </cell>
          <cell r="AE12">
            <v>-1525285.38</v>
          </cell>
          <cell r="AF12">
            <v>-26017.18</v>
          </cell>
        </row>
      </sheetData>
      <sheetData sheetId="5"/>
      <sheetData sheetId="6"/>
      <sheetData sheetId="7"/>
      <sheetData sheetId="8"/>
      <sheetData sheetId="9"/>
      <sheetData sheetId="10">
        <row r="5">
          <cell r="DK5">
            <v>42905</v>
          </cell>
          <cell r="FO5">
            <v>42986</v>
          </cell>
          <cell r="FP5">
            <v>42989</v>
          </cell>
          <cell r="IB5">
            <v>43084</v>
          </cell>
          <cell r="PQ5">
            <v>43376</v>
          </cell>
          <cell r="PR5">
            <v>43377</v>
          </cell>
          <cell r="PS5">
            <v>43378</v>
          </cell>
          <cell r="PT5">
            <v>43381</v>
          </cell>
          <cell r="PU5">
            <v>43382</v>
          </cell>
          <cell r="PV5">
            <v>43383</v>
          </cell>
          <cell r="PW5">
            <v>43384</v>
          </cell>
          <cell r="PX5">
            <v>43385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MPONG PANTUWORN" refreshedDate="43377.638858564816" createdVersion="6" refreshedVersion="6" minRefreshableVersion="3" recordCount="672" xr:uid="{30AD657E-E349-42FB-B14C-2767AF1EBAFB}">
  <cacheSource type="worksheet">
    <worksheetSource name="DataTable"/>
  </cacheSource>
  <cacheFields count="114">
    <cacheField name="HLD_Date" numFmtId="14">
      <sharedItems containsSemiMixedTypes="0" containsNonDate="0" containsDate="1" containsString="0" minDate="2018-10-03T00:00:00" maxDate="2018-10-04T00:00:00" count="1">
        <d v="2018-10-03T00:00:00"/>
      </sharedItems>
    </cacheField>
    <cacheField name="HLD_Portfolio" numFmtId="0">
      <sharedItems count="4">
        <s v="SCBSFF"/>
        <s v="SCBSFFPLUS"/>
        <s v="SCBTMF"/>
        <s v="SCBTMFPLUS"/>
      </sharedItems>
    </cacheField>
    <cacheField name="Group1" numFmtId="0">
      <sharedItems count="5">
        <s v="FIXED INCOME"/>
        <s v="DERIVATIVE"/>
        <s v="ACCRUED RECEIVE"/>
        <s v="ACCRUED PAYABLE"/>
        <s v="FEES"/>
      </sharedItems>
    </cacheField>
    <cacheField name="Group2" numFmtId="0">
      <sharedItems count="19">
        <s v="CUSTODIAN BANK"/>
        <s v="TERM &amp; SAVING DEPOSIT"/>
        <s v="BILL OF EXCHANGE"/>
        <s v="TREASURY BILL"/>
        <s v="BOT BOND"/>
        <s v="DEBENTURE"/>
        <s v="FORWARD"/>
        <s v="A/R FROM SUB."/>
        <s v="BUY SECURITY"/>
        <s v="AUDITING FEE"/>
        <s v="TAX"/>
        <s v="REGISTRAR FEE"/>
        <s v="A NEWSPAPER_NAV"/>
        <s v="MANAGEMENT FEE"/>
        <s v="CUSTODIAN FEE"/>
        <s v="COMMERCIAL PAPER"/>
        <s v="UNSETTLE AMOR."/>
        <s v="SELL SECURITY"/>
        <s v="BOND"/>
      </sharedItems>
    </cacheField>
    <cacheField name="Group3" numFmtId="0">
      <sharedItems containsBlank="1" count="10">
        <m/>
        <s v="Settle Date :04/10/2018"/>
        <s v="Settle Date :05/10/2018"/>
        <s v="AUDITING FEE"/>
        <s v="REGISTRAR FEE"/>
        <s v="A NEWSPAPER_NAV"/>
        <s v="MANAGEMENT FEE"/>
        <s v="CUSTODIAN FEE"/>
        <s v="Settle Date :08/10/2018"/>
        <s v="AR/AP"/>
      </sharedItems>
    </cacheField>
    <cacheField name="HLD_SecCode" numFmtId="0">
      <sharedItems containsBlank="1" count="214">
        <s v="-CNY CASH-"/>
        <s v="-EUR CASH-"/>
        <s v="-HKD CASH-"/>
        <s v="-SACON SFF"/>
        <s v="-US CASH-"/>
        <s v="CASH"/>
        <s v="CD12MTBANK14519"/>
        <s v="CD9MTBANK11619"/>
        <s v="F12MABCHK100519"/>
        <s v="F12MABCHK250419"/>
        <s v="F12MADCB061118b"/>
        <s v="F12MADCB161018"/>
        <s v="F12MBOCMC040419"/>
        <s v="F12MBOCMC110419"/>
        <s v="F12MBOCMC250419"/>
        <s v="F12MGHB020819a"/>
        <s v="F12MGHB060819"/>
        <s v="F12MGHB090819"/>
        <s v="F12MGHB141218"/>
        <s v="F12MGHB160119"/>
        <s v="F12MGHB170119"/>
        <s v="F12MGHB180119"/>
        <s v="F12MGHB210119"/>
        <s v="F3MABCHK161018"/>
        <s v="F6MBOCMC051118"/>
        <s v="F6MBOCMC190319"/>
        <s v="INVCTISCOsff1"/>
        <s v="INVSKTBsff"/>
        <s v="INVSUOBTsff"/>
        <s v="S4MSCB030119"/>
        <s v="MBKET18D18A"/>
        <s v="MPSC18O09B"/>
        <s v="MPSC18O09C"/>
        <s v="SPALI19218A"/>
        <s v="TB19403A"/>
        <s v="CB18D06C"/>
        <s v="CB18D13B"/>
        <s v="CB18D20B"/>
        <s v="CB18N01B"/>
        <s v="CB18N08A"/>
        <s v="CB18N08B"/>
        <s v="CB18N15B"/>
        <s v="CB18N22A"/>
        <s v="CB18N22B"/>
        <s v="CB18N29A"/>
        <s v="CB18N29B"/>
        <s v="CB18O04A"/>
        <s v="CB18O04B"/>
        <s v="CB18O09A"/>
        <s v="CB18O11A"/>
        <s v="CB18O11B"/>
        <s v="CB18O18A"/>
        <s v="CB18O18B"/>
        <s v="CB18O25A"/>
        <s v="CB18O25B"/>
        <s v="CB19103B"/>
        <s v="CPALL18OB"/>
        <s v="FWCNHTHB19404A"/>
        <s v="FWCNHTHB19411A"/>
        <s v="FWEURTHB18N05B"/>
        <s v="FWEURTHB19319B"/>
        <s v="FWEURTHB19425A"/>
        <s v="FWEURTHB19510A"/>
        <s v="FWUSDTHB18N06C"/>
        <s v="FWUSDTHB18O16A"/>
        <s v="FWUSDTHB18O16C"/>
        <s v="FWUSDTHB19425A"/>
        <s v="AUDITING FEE"/>
        <m/>
        <s v="A NEWSPAPER_NAV"/>
        <s v="-AED CASH-"/>
        <s v="-GBP CASH-"/>
        <s v="-JPY CASH-"/>
        <s v="CD12MCMBL010219"/>
        <s v="CD12MICBCD16119"/>
        <s v="CD12MTBANK17519"/>
        <s v="CD1YBOCHK060319"/>
        <s v="CD1YBOCHK071218"/>
        <s v="CD1YICBCSE08219"/>
        <s v="F12MABCHK130219"/>
        <s v="F12MABCHK220319"/>
        <s v="F12MABCHK230519"/>
        <s v="F12MABCHK250619"/>
        <s v="F12MABCHK260419"/>
        <s v="F12MABCHK270319"/>
        <s v="F12MABCHK280319"/>
        <s v="F12MABCHK310119"/>
        <s v="F12MABCHK310519"/>
        <s v="F12MADCB181218a"/>
        <s v="F12MBOCMC02519b"/>
        <s v="F12MBOCMC080119"/>
        <s v="F12MBOCMC090119"/>
        <s v="F12MBOCMC181218"/>
        <s v="F12MBOCMC280619"/>
        <s v="F12MGHB010819"/>
        <s v="F12MGHB020819"/>
        <s v="F12MGHB260719"/>
        <s v="F12MUNB011019"/>
        <s v="F12MUNB021019a"/>
        <s v="F12MUNB041018"/>
        <s v="F3MABCHK221018"/>
        <s v="F6MABCHK120319"/>
        <s v="F6MADCB251018"/>
        <s v="F6MADCB261118"/>
        <s v="F6MBOCMC191118"/>
        <s v="F6MBOCMC201118"/>
        <s v="INVSKTBsffplus"/>
        <s v="INVSSCBCYsffp"/>
        <s v="INVSSCBUSsffp"/>
        <s v="INVSUOBTsffplus"/>
        <s v="BANPU19206A"/>
        <s v="BTSG18N20A"/>
        <s v="CPF18D13A"/>
        <s v="CPF19129A"/>
        <s v="CPFTH18D06A"/>
        <s v="CPFTH19326B"/>
        <s v="CPN18N13A"/>
        <s v="SIRI18O24A"/>
        <s v="SPALI19131A"/>
        <s v="TISCOG18O08A"/>
        <s v="TB18N14A"/>
        <s v="CB18D13A"/>
        <s v="CB18D27B"/>
        <s v="CB18N01A"/>
        <s v="CB18N15A"/>
        <s v="CB18O16A"/>
        <s v="CB19103A"/>
        <s v="BH18DA"/>
        <s v="BJC206A"/>
        <s v="BTG19NA"/>
        <s v="CPALL193A"/>
        <s v="DMT18NB"/>
        <s v="DMT20NA"/>
        <s v="GOLD19NA"/>
        <s v="ICBCTL19NA"/>
        <s v="KK18N15A"/>
        <s v="KK18N20A"/>
        <s v="KK18N22A"/>
        <s v="KK18N23A"/>
        <s v="KK18N30B"/>
        <s v="KK19118A"/>
        <s v="KK19118B"/>
        <s v="KK203A"/>
        <s v="LHBANK199A"/>
        <s v="LHBANK203A"/>
        <s v="MPSC18OA"/>
        <s v="PS18NA"/>
        <s v="QH213A"/>
        <s v="SCB19218A"/>
        <s v="SPALI213A"/>
        <s v="TBEV203A"/>
        <s v="TBEV213A"/>
        <s v="THCOM19OB"/>
        <s v="TISCO18NA"/>
        <s v="TISCO198A"/>
        <s v="TISCO205B"/>
        <s v="TRUE192B"/>
        <s v="TUC19129B"/>
        <s v="TUC218A"/>
        <s v="WHA214A"/>
        <s v="WHART213A"/>
        <s v="WHAUP208A"/>
        <s v="EMTNMASQ070319"/>
        <s v="EMTNMASQ080519"/>
        <s v="EMTNMASQ090419"/>
        <s v="EMTNMASQ130519"/>
        <s v="EMTNMASQ210319"/>
        <s v="FWAEDTHB18D18A"/>
        <s v="FWAEDTHB18O04A"/>
        <s v="FWEURTHB18D07B"/>
        <s v="FWEURTHB18N05A"/>
        <s v="FWEURTHB19131A"/>
        <s v="FWEURTHB19201A"/>
        <s v="FWEURTHB19213A"/>
        <s v="FWEURTHB19306A"/>
        <s v="FWEURTHB19321A"/>
        <s v="FWEURTHB19322A"/>
        <s v="FWEURTHB19327A"/>
        <s v="FWEURTHB19328A"/>
        <s v="FWEURTHB19502B"/>
        <s v="FWEURTHB19523A"/>
        <s v="FWEURTHB19531A"/>
        <s v="FWHKDTHB18O22A"/>
        <s v="FWHKDTHB19312A"/>
        <s v="FWUSDTHB18D18B"/>
        <s v="FWUSDTHB18N06D"/>
        <s v="FWUSDTHB18N19A"/>
        <s v="FWUSDTHB18N20A"/>
        <s v="FWUSDTHB18N26A"/>
        <s v="FWUSDTHB18O16B"/>
        <s v="FWUSDTHB18O16D"/>
        <s v="FWUSDTHB18O25A"/>
        <s v="FWUSDTHB19108A"/>
        <s v="FWUSDTHB19109A"/>
        <s v="FWUSDTHB19116B"/>
        <s v="FWUSDTHB19208A"/>
        <s v="FWUSDTHB19307A"/>
        <s v="FWUSDTHB19409A"/>
        <s v="FWUSDTHB19426A"/>
        <s v="FWUSDTHB19508A"/>
        <s v="FWUSDTHB19513B"/>
        <s v="FWUSDTHB19625A"/>
        <s v="FWUSDTHB19628A"/>
        <s v="FWUSDTHB19O01A"/>
        <s v="FWUSDTHB19O02B"/>
        <s v="UNSETTLE AMOR."/>
        <s v="F12MGHB090419"/>
        <s v="INVSUOBTtmf"/>
        <s v="F12MGHB071218"/>
        <s v="INVSKTBtmfplus"/>
        <s v="INVSUOBTtmfplus"/>
        <s v="CB18D06A"/>
        <s v="GHB18DA"/>
        <s v="BAY193A"/>
      </sharedItems>
    </cacheField>
    <cacheField name="HLD_SecRating" numFmtId="0">
      <sharedItems containsBlank="1"/>
    </cacheField>
    <cacheField name="HLD_Issuer" numFmtId="0">
      <sharedItems containsBlank="1"/>
    </cacheField>
    <cacheField name="HLD_IssType" numFmtId="0">
      <sharedItems containsBlank="1"/>
    </cacheField>
    <cacheField name="HLD_IssIndustry" numFmtId="0">
      <sharedItems containsBlank="1"/>
    </cacheField>
    <cacheField name="HLD_Rating" numFmtId="0">
      <sharedItems containsBlank="1"/>
    </cacheField>
    <cacheField name="HLD_Aval" numFmtId="0">
      <sharedItems containsNonDate="0" containsString="0" containsBlank="1"/>
    </cacheField>
    <cacheField name="HLD_Recourse" numFmtId="0">
      <sharedItems containsNonDate="0" containsString="0" containsBlank="1"/>
    </cacheField>
    <cacheField name="HLD_MaturityDate" numFmtId="14">
      <sharedItems containsNonDate="0" containsDate="1" containsString="0" containsBlank="1" minDate="2018-10-04T00:00:00" maxDate="2051-01-01T00:00:00"/>
    </cacheField>
    <cacheField name="HLD_SecDTM" numFmtId="0">
      <sharedItems containsString="0" containsBlank="1" containsNumber="1" containsInteger="1" minValue="1" maxValue="11777"/>
    </cacheField>
    <cacheField name="HLD_CouponRate" numFmtId="0">
      <sharedItems containsString="0" containsBlank="1" containsNumber="1" minValue="0.04" maxValue="4.7"/>
    </cacheField>
    <cacheField name="HLD_Yield" numFmtId="0">
      <sharedItems containsString="0" containsBlank="1" containsNumber="1" minValue="-0.01" maxValue="3.7081689999999998"/>
    </cacheField>
    <cacheField name="HLD_Quantity" numFmtId="0">
      <sharedItems containsString="0" containsBlank="1" containsNumber="1" containsInteger="1" minValue="0" maxValue="100000000"/>
    </cacheField>
    <cacheField name="HLD_Price" numFmtId="0">
      <sharedItems containsString="0" containsBlank="1" containsNumber="1" minValue="0" maxValue="9395089.8000000007"/>
    </cacheField>
    <cacheField name="HLD_MarketValue" numFmtId="0">
      <sharedItems containsSemiMixedTypes="0" containsString="0" containsNumber="1" minValue="-6394236863.75" maxValue="8162204754.5200005"/>
    </cacheField>
    <cacheField name="HLD_AI" numFmtId="0">
      <sharedItems containsString="0" containsBlank="1" containsNumber="1" minValue="0" maxValue="94226794"/>
    </cacheField>
    <cacheField name="HLD_Cost" numFmtId="0">
      <sharedItems containsString="0" containsBlank="1" containsNumber="1" minValue="-6394236863.75" maxValue="8162194373.54"/>
    </cacheField>
    <cacheField name="HLD_ModDuration" numFmtId="0">
      <sharedItems containsString="0" containsBlank="1" containsNumber="1" minValue="0" maxValue="2.6580889999999999"/>
    </cacheField>
    <cacheField name="HLD_Principal" numFmtId="0">
      <sharedItems containsString="0" containsBlank="1" containsNumber="1" minValue="0" maxValue="8174000000"/>
    </cacheField>
    <cacheField name="HLD_Remark" numFmtId="0">
      <sharedItems containsNonDate="0" containsString="0" containsBlank="1"/>
    </cacheField>
    <cacheField name="HLD_PriceCost" numFmtId="0">
      <sharedItems containsSemiMixedTypes="0" containsString="0" containsNumber="1" minValue="0" maxValue="8148989774.6300001"/>
    </cacheField>
    <cacheField name="HLD_YieldCost" numFmtId="0">
      <sharedItems containsSemiMixedTypes="0" containsString="0" containsNumber="1" minValue="-0.01" maxValue="4.5"/>
    </cacheField>
    <cacheField name="HLD_Ratio" numFmtId="0">
      <sharedItems containsSemiMixedTypes="0" containsString="0" containsNumber="1" minValue="-3.8923210200000002E-2" maxValue="0.15100714630000001"/>
    </cacheField>
    <cacheField name="SEC_Code1" numFmtId="0">
      <sharedItems containsBlank="1"/>
    </cacheField>
    <cacheField name="SEC_Code2" numFmtId="0">
      <sharedItems containsNonDate="0" containsString="0" containsBlank="1"/>
    </cacheField>
    <cacheField name="SEC_Desc" numFmtId="0">
      <sharedItems containsBlank="1"/>
    </cacheField>
    <cacheField name="SEC_THDesc" numFmtId="0">
      <sharedItems containsBlank="1"/>
    </cacheField>
    <cacheField name="SEC_THDescFull" numFmtId="0">
      <sharedItems containsBlank="1"/>
    </cacheField>
    <cacheField name="SEC_Class" numFmtId="0">
      <sharedItems containsBlank="1"/>
    </cacheField>
    <cacheField name="SEC_Issuer" numFmtId="0">
      <sharedItems containsBlank="1"/>
    </cacheField>
    <cacheField name="SEC_SecType" numFmtId="0">
      <sharedItems containsBlank="1"/>
    </cacheField>
    <cacheField name="SEC_UDFSecType" numFmtId="0">
      <sharedItems containsBlank="1"/>
    </cacheField>
    <cacheField name="SEC_UDFSecType2" numFmtId="0">
      <sharedItems containsBlank="1"/>
    </cacheField>
    <cacheField name="SEC_Industry" numFmtId="0">
      <sharedItems containsBlank="1"/>
    </cacheField>
    <cacheField name="SEC_GroupIndustry" numFmtId="0">
      <sharedItems containsBlank="1"/>
    </cacheField>
    <cacheField name="SEC_FundPolicy" numFmtId="0">
      <sharedItems containsBlank="1"/>
    </cacheField>
    <cacheField name="SEC_Exchange" numFmtId="0">
      <sharedItems containsBlank="1"/>
    </cacheField>
    <cacheField name="SEC_Currency" numFmtId="0">
      <sharedItems containsBlank="1"/>
    </cacheField>
    <cacheField name="SEC_SnPRate" numFmtId="0">
      <sharedItems containsBlank="1"/>
    </cacheField>
    <cacheField name="SEC_MoodyRate" numFmtId="0">
      <sharedItems containsBlank="1"/>
    </cacheField>
    <cacheField name="SEC_DistributionChnnel" numFmtId="0">
      <sharedItems containsBlank="1"/>
    </cacheField>
    <cacheField name="SEC_LiquidityType" numFmtId="0">
      <sharedItems containsBlank="1"/>
    </cacheField>
    <cacheField name="SEC_MTMMethod" numFmtId="0">
      <sharedItems containsBlank="1"/>
    </cacheField>
    <cacheField name="SEC_Rating" numFmtId="0">
      <sharedItems containsBlank="1"/>
    </cacheField>
    <cacheField name="SEC_RatingLevel" numFmtId="0">
      <sharedItems containsString="0" containsBlank="1" containsNumber="1" containsInteger="1" minValue="1" maxValue="8"/>
    </cacheField>
    <cacheField name="SEC_ISS_IssDescEng" numFmtId="0">
      <sharedItems containsBlank="1"/>
    </cacheField>
    <cacheField name="SEC_ISS_IssDescTh" numFmtId="0">
      <sharedItems containsBlank="1"/>
    </cacheField>
    <cacheField name="SEC_ISS_IssType" numFmtId="0">
      <sharedItems containsBlank="1"/>
    </cacheField>
    <cacheField name="SEC_ISS_TRIS_Rating" numFmtId="0">
      <sharedItems containsBlank="1"/>
    </cacheField>
    <cacheField name="SEC_ISS_FITCH_Rating" numFmtId="0">
      <sharedItems containsBlank="1"/>
    </cacheField>
    <cacheField name="SEC_ISS_IssNonFinance" numFmtId="0">
      <sharedItems containsBlank="1"/>
    </cacheField>
    <cacheField name="SEC_ISS_SnP_Rating" numFmtId="0">
      <sharedItems containsBlank="1"/>
    </cacheField>
    <cacheField name="SEC_ISS_Moody_Rating" numFmtId="0">
      <sharedItems containsBlank="1"/>
    </cacheField>
    <cacheField name="SEC_ISS_IssRating" numFmtId="0">
      <sharedItems containsBlank="1"/>
    </cacheField>
    <cacheField name="SEC_ISS_IssRatingLevel" numFmtId="0">
      <sharedItems containsString="0" containsBlank="1" containsNumber="1" containsInteger="1" minValue="1" maxValue="9"/>
    </cacheField>
    <cacheField name="SEC_ISS_Code1" numFmtId="0">
      <sharedItems containsBlank="1"/>
    </cacheField>
    <cacheField name="SEC_ISS_Code2" numFmtId="0">
      <sharedItems containsBlank="1"/>
    </cacheField>
    <cacheField name="AVAL_Code1" numFmtId="0">
      <sharedItems containsNonDate="0" containsString="0" containsBlank="1"/>
    </cacheField>
    <cacheField name="AVAL_Code2" numFmtId="0">
      <sharedItems containsNonDate="0" containsString="0" containsBlank="1"/>
    </cacheField>
    <cacheField name="AVAL_IssDescEng" numFmtId="0">
      <sharedItems containsNonDate="0" containsString="0" containsBlank="1"/>
    </cacheField>
    <cacheField name="AVAL_IssDescTh" numFmtId="0">
      <sharedItems containsNonDate="0" containsString="0" containsBlank="1"/>
    </cacheField>
    <cacheField name="AVAL_IssType" numFmtId="0">
      <sharedItems containsNonDate="0" containsString="0" containsBlank="1"/>
    </cacheField>
    <cacheField name="AVAL_TRIS_Rating" numFmtId="0">
      <sharedItems containsNonDate="0" containsString="0" containsBlank="1"/>
    </cacheField>
    <cacheField name="AVAL_FITCH_Rating" numFmtId="0">
      <sharedItems containsNonDate="0" containsString="0" containsBlank="1"/>
    </cacheField>
    <cacheField name="AVAL_IssNonFinance" numFmtId="0">
      <sharedItems containsNonDate="0" containsString="0" containsBlank="1"/>
    </cacheField>
    <cacheField name="AVAL_SnP_Rating" numFmtId="0">
      <sharedItems containsNonDate="0" containsString="0" containsBlank="1"/>
    </cacheField>
    <cacheField name="AVAL_Moody_Rating" numFmtId="0">
      <sharedItems containsNonDate="0" containsString="0" containsBlank="1"/>
    </cacheField>
    <cacheField name="AVAL_IssRating" numFmtId="0">
      <sharedItems containsNonDate="0" containsString="0" containsBlank="1"/>
    </cacheField>
    <cacheField name="AVAL_IssRatingLevel" numFmtId="0">
      <sharedItems containsNonDate="0" containsString="0" containsBlank="1"/>
    </cacheField>
    <cacheField name="AVAL_IssPNOutstand" numFmtId="0">
      <sharedItems containsNonDate="0" containsString="0" containsBlank="1"/>
    </cacheField>
    <cacheField name="Recourse_Code1" numFmtId="0">
      <sharedItems containsNonDate="0" containsString="0" containsBlank="1"/>
    </cacheField>
    <cacheField name="Recourse_Code2" numFmtId="0">
      <sharedItems containsNonDate="0" containsString="0" containsBlank="1"/>
    </cacheField>
    <cacheField name="Recourse_IssDescEng" numFmtId="0">
      <sharedItems containsNonDate="0" containsString="0" containsBlank="1"/>
    </cacheField>
    <cacheField name="Recourse_IssDescTh" numFmtId="0">
      <sharedItems containsNonDate="0" containsString="0" containsBlank="1"/>
    </cacheField>
    <cacheField name="Recourse_IssType" numFmtId="0">
      <sharedItems containsNonDate="0" containsString="0" containsBlank="1"/>
    </cacheField>
    <cacheField name="Recourse_TRIS_Rating" numFmtId="0">
      <sharedItems containsNonDate="0" containsString="0" containsBlank="1"/>
    </cacheField>
    <cacheField name="Recourse_FITCH_Rating" numFmtId="0">
      <sharedItems containsNonDate="0" containsString="0" containsBlank="1"/>
    </cacheField>
    <cacheField name="Recourse_IssNonFinance" numFmtId="0">
      <sharedItems containsNonDate="0" containsString="0" containsBlank="1"/>
    </cacheField>
    <cacheField name="Recourse_SnP_Rating" numFmtId="0">
      <sharedItems containsNonDate="0" containsString="0" containsBlank="1"/>
    </cacheField>
    <cacheField name="Recourse_Moody_Rating" numFmtId="0">
      <sharedItems containsNonDate="0" containsString="0" containsBlank="1"/>
    </cacheField>
    <cacheField name="Recourse_IssRating" numFmtId="0">
      <sharedItems containsNonDate="0" containsString="0" containsBlank="1"/>
    </cacheField>
    <cacheField name="Recourse_IssRatingLevel" numFmtId="0">
      <sharedItems containsNonDate="0" containsString="0" containsBlank="1"/>
    </cacheField>
    <cacheField name="Recourse_IssPNOutstand" numFmtId="0">
      <sharedItems containsNonDate="0" containsString="0" containsBlank="1"/>
    </cacheField>
    <cacheField name="Portfolio_NameTH" numFmtId="0">
      <sharedItems/>
    </cacheField>
    <cacheField name="Portfolio_NameEN" numFmtId="0">
      <sharedItems/>
    </cacheField>
    <cacheField name="Porfolio_Class" numFmtId="0">
      <sharedItems/>
    </cacheField>
    <cacheField name="SEC_Issue_Date" numFmtId="0">
      <sharedItems containsString="0" containsBlank="1" containsNumber="1" containsInteger="1" minValue="2" maxValue="43377"/>
    </cacheField>
    <cacheField name="Structure_Note" numFmtId="0">
      <sharedItems containsBlank="1"/>
    </cacheField>
    <cacheField name="SecCountry" numFmtId="0">
      <sharedItems containsBlank="1"/>
    </cacheField>
    <cacheField name="SEC_ISS_Country1" numFmtId="0">
      <sharedItems containsBlank="1"/>
    </cacheField>
    <cacheField name="SEC_ISS_ISO_Country1" numFmtId="0">
      <sharedItems containsBlank="1"/>
    </cacheField>
    <cacheField name="SEC_UnderlyingAsset" numFmtId="0">
      <sharedItems containsBlank="1"/>
    </cacheField>
    <cacheField name="TOTDepositLimit" numFmtId="0">
      <sharedItems containsString="0" containsBlank="1" containsNumber="1" containsInteger="1" minValue="0" maxValue="100000"/>
    </cacheField>
    <cacheField name="SEC_isAtCall" numFmtId="0">
      <sharedItems containsBlank="1"/>
    </cacheField>
    <cacheField name="SEC_Transferable" numFmtId="0">
      <sharedItems containsBlank="1"/>
    </cacheField>
    <cacheField name="SEC_ISS_Country2" numFmtId="0">
      <sharedItems containsBlank="1"/>
    </cacheField>
    <cacheField name="SEC_ISS_ISO_Country2" numFmtId="0">
      <sharedItems containsBlank="1"/>
    </cacheField>
    <cacheField name="IsAmor" numFmtId="0">
      <sharedItems containsBlank="1"/>
    </cacheField>
    <cacheField name="IsFloat" numFmtId="0">
      <sharedItems containsBlank="1"/>
    </cacheField>
    <cacheField name="FwdDealtRate" numFmtId="0">
      <sharedItems containsNonDate="0" containsString="0" containsBlank="1"/>
    </cacheField>
    <cacheField name="SpotRate" numFmtId="0">
      <sharedItems containsNonDate="0" containsString="0" containsBlank="1"/>
    </cacheField>
    <cacheField name="ISIN" numFmtId="0">
      <sharedItems containsBlank="1"/>
    </cacheField>
    <cacheField name="DR_Cost" numFmtId="0">
      <sharedItems containsString="0" containsBlank="1" containsNumber="1" minValue="-522500000" maxValue="3880000000.04"/>
    </cacheField>
    <cacheField name="DR_Market" numFmtId="0">
      <sharedItems containsString="0" containsBlank="1" containsNumber="1" minValue="-180853397.33000001" maxValue="139689716.74000001"/>
    </cacheField>
    <cacheField name="DR_Underlying" numFmtId="0">
      <sharedItems containsBlank="1"/>
    </cacheField>
    <cacheField name="DR_NotionalAmount" numFmtId="0">
      <sharedItems containsString="0" containsBlank="1" containsNumber="1" minValue="0" maxValue="522500000"/>
    </cacheField>
    <cacheField name="DR_CurrencyCode" numFmtId="0">
      <sharedItems containsBlank="1"/>
    </cacheField>
    <cacheField name="DR_CurrencyRate" numFmtId="0">
      <sharedItems containsString="0" containsBlank="1" containsNumber="1" minValue="0.28421000000000002" maxValue="42.116999999999997"/>
    </cacheField>
    <cacheField name="Term" numFmtId="0" formula="HLD_MaturityDate-SEC_Issue_D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2">
  <r>
    <x v="0"/>
    <x v="0"/>
    <x v="0"/>
    <x v="0"/>
    <x v="0"/>
    <x v="0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CNY CASH-"/>
    <m/>
    <s v="-CNY CASH-"/>
    <m/>
    <m/>
    <s v="Cash Bal"/>
    <s v="SCB"/>
    <s v="Cash Balance"/>
    <s v="CASH CUST"/>
    <m/>
    <s v="BANKING"/>
    <s v=" "/>
    <s v=" "/>
    <s v="OTHER"/>
    <s v="CNH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 "/>
    <n v="52000"/>
    <b v="1"/>
    <s v=" "/>
    <s v=" "/>
    <s v=" "/>
    <b v="0"/>
    <b v="0"/>
    <m/>
    <m/>
    <s v=" "/>
    <n v="0"/>
    <n v="0"/>
    <m/>
    <n v="0"/>
    <s v="CNHbb"/>
    <n v="4.6978"/>
  </r>
  <r>
    <x v="0"/>
    <x v="0"/>
    <x v="0"/>
    <x v="0"/>
    <x v="0"/>
    <x v="1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EUR CASH-"/>
    <m/>
    <s v="EURO Cash Balance"/>
    <m/>
    <m/>
    <s v="Cash Bal"/>
    <s v="SCB"/>
    <s v="Cash Balance"/>
    <s v="CASH CUST"/>
    <m/>
    <s v="BANKING"/>
    <s v=" "/>
    <s v=" "/>
    <s v="OTHER"/>
    <s v="EUR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LUXEMBOURG"/>
    <s v="THAILAND"/>
    <s v="TH"/>
    <s v=" "/>
    <n v="52000"/>
    <b v="1"/>
    <s v=" "/>
    <s v=" "/>
    <s v=" "/>
    <b v="0"/>
    <b v="0"/>
    <m/>
    <m/>
    <s v=" "/>
    <n v="0"/>
    <n v="0"/>
    <m/>
    <n v="0"/>
    <s v="EURbb"/>
    <n v="37.445099999999996"/>
  </r>
  <r>
    <x v="0"/>
    <x v="0"/>
    <x v="0"/>
    <x v="0"/>
    <x v="0"/>
    <x v="2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HKD CASH-"/>
    <m/>
    <s v="-HKD CASH-"/>
    <m/>
    <m/>
    <s v="Cash Bal"/>
    <s v="SCB"/>
    <s v="Cash Balance"/>
    <s v="CASH CUST"/>
    <m/>
    <s v="BANKING"/>
    <s v=" "/>
    <s v=" "/>
    <s v="OTHER"/>
    <s v="HKD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 "/>
    <n v="52000"/>
    <b v="1"/>
    <s v="NONTRANSFERABLE"/>
    <s v=" "/>
    <s v=" "/>
    <b v="0"/>
    <b v="0"/>
    <m/>
    <m/>
    <s v=" "/>
    <n v="0"/>
    <n v="0"/>
    <m/>
    <n v="0"/>
    <s v="HKDbb"/>
    <n v="4.1292"/>
  </r>
  <r>
    <x v="0"/>
    <x v="0"/>
    <x v="0"/>
    <x v="0"/>
    <x v="0"/>
    <x v="3"/>
    <s v="BBB"/>
    <s v="SCB"/>
    <s v="LISTED"/>
    <s v="BANKING"/>
    <s v="AA+(tha)"/>
    <m/>
    <m/>
    <m/>
    <m/>
    <n v="0.375"/>
    <m/>
    <m/>
    <m/>
    <n v="342790.48"/>
    <n v="352.18"/>
    <n v="342790.48"/>
    <n v="0"/>
    <n v="0"/>
    <m/>
    <n v="342790.48"/>
    <n v="0"/>
    <n v="4.5894999999999999E-6"/>
    <s v="-SACON SFF"/>
    <m/>
    <s v="SAVING CONTRIBUTION"/>
    <s v="เงินฝากออมทรัพย์ ธนาคารไทยพาณิชย์ จำกัด (มหาชน)"/>
    <s v="SIAM COMMERCIAL BANK"/>
    <s v="Cash Bal"/>
    <s v="SCB"/>
    <s v="Cash Balance"/>
    <s v="CASH CUST"/>
    <s v="INVEST SAVING"/>
    <s v=" "/>
    <m/>
    <s v=" "/>
    <s v=" "/>
    <s v="THB"/>
    <s v="BBB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 "/>
    <n v="52000"/>
    <b v="1"/>
    <s v=" "/>
    <s v=" "/>
    <s v=" "/>
    <b v="0"/>
    <b v="0"/>
    <m/>
    <m/>
    <s v=" "/>
    <m/>
    <m/>
    <m/>
    <m/>
    <m/>
    <m/>
  </r>
  <r>
    <x v="0"/>
    <x v="0"/>
    <x v="0"/>
    <x v="0"/>
    <x v="0"/>
    <x v="4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US CASH-"/>
    <m/>
    <s v="US Cash Balance"/>
    <m/>
    <m/>
    <s v="Cash Bal"/>
    <s v="SCB"/>
    <s v="Cash Balance"/>
    <s v="CASH CUST"/>
    <m/>
    <s v="BANKING"/>
    <s v=" "/>
    <s v=" "/>
    <s v="OTHER"/>
    <s v="USD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U.S.A."/>
    <s v="THAILAND"/>
    <s v="TH"/>
    <s v=" "/>
    <n v="52000"/>
    <b v="1"/>
    <s v=" "/>
    <s v=" "/>
    <s v=" "/>
    <b v="0"/>
    <b v="0"/>
    <m/>
    <m/>
    <s v=" "/>
    <n v="0"/>
    <n v="0"/>
    <m/>
    <n v="0"/>
    <s v="USDbb"/>
    <n v="32.356999999999999"/>
  </r>
  <r>
    <x v="0"/>
    <x v="0"/>
    <x v="0"/>
    <x v="0"/>
    <x v="0"/>
    <x v="5"/>
    <m/>
    <s v="BAY"/>
    <m/>
    <s v="BANKING"/>
    <m/>
    <m/>
    <m/>
    <m/>
    <m/>
    <m/>
    <m/>
    <m/>
    <m/>
    <n v="747953546.60000002"/>
    <n v="4879614.8899999997"/>
    <n v="747953546.60000002"/>
    <n v="0"/>
    <n v="0"/>
    <m/>
    <n v="747953546.60000002"/>
    <n v="0"/>
    <n v="1.0069144299999999E-2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0"/>
    <x v="0"/>
    <x v="1"/>
    <x v="0"/>
    <x v="6"/>
    <m/>
    <s v="TBANK"/>
    <s v="LISTED"/>
    <s v="BANKING"/>
    <s v="AA-"/>
    <m/>
    <m/>
    <d v="2019-05-14T00:00:00"/>
    <n v="223"/>
    <n v="1.65"/>
    <m/>
    <m/>
    <m/>
    <n v="3000000000"/>
    <n v="18850684.93"/>
    <n v="3000000000"/>
    <n v="0.60489899999999996"/>
    <n v="3000000000"/>
    <m/>
    <n v="3000000000"/>
    <n v="1.65"/>
    <n v="4.0377130900000002E-2"/>
    <s v="CD12MTBANK14519"/>
    <m/>
    <s v="Negotiable Certificate Of Deposit TBANK"/>
    <s v="บัตรเงินฝาก 12 เดือน บมจ.ธนาคาร ธนชาต"/>
    <s v="บัตรเงินฝาก 12 เดือน บมจ.ธนาคาร ธนชาต"/>
    <s v="Bond"/>
    <s v="TBANK"/>
    <s v="TERM AC365 U"/>
    <s v="FIXED"/>
    <m/>
    <s v="BANKING"/>
    <s v=" "/>
    <s v=" "/>
    <s v="NO MARKET"/>
    <s v="THB"/>
    <s v=" "/>
    <s v=" "/>
    <s v="P/O"/>
    <s v=" "/>
    <s v="P/N"/>
    <m/>
    <m/>
    <s v="THANACHART BANK PLC."/>
    <s v="ธนาคารธนชาต จำกัด (มหาชน)"/>
    <s v="LISTED"/>
    <s v="AA-"/>
    <s v="AA-(tha)"/>
    <s v=" "/>
    <s v=" "/>
    <s v=" "/>
    <s v="AA-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38"/>
    <s v=" "/>
    <s v="THAILAND"/>
    <s v="THAILAND"/>
    <s v="TH"/>
    <s v=" "/>
    <n v="4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7"/>
    <m/>
    <s v="TBANK"/>
    <s v="LISTED"/>
    <s v="BANKING"/>
    <s v="AA-"/>
    <m/>
    <m/>
    <d v="2019-06-11T00:00:00"/>
    <n v="251"/>
    <n v="1.65"/>
    <m/>
    <m/>
    <m/>
    <n v="370000000"/>
    <n v="485054.79"/>
    <n v="370000000"/>
    <n v="0.67996599999999996"/>
    <n v="370000000"/>
    <m/>
    <n v="370000000"/>
    <n v="1.65"/>
    <n v="4.9552379999999998E-3"/>
    <s v="CD9MTBANK11619"/>
    <m/>
    <s v="CD 9 Month TBANK"/>
    <s v="ใบรับฝากเงิน 9 เดือน บมจ.ธนาคาร ธนชาต"/>
    <s v="ใบรับฝากเงิน 9 เดือน บมจ.ธนาคาร ธนชาต"/>
    <s v="Bond"/>
    <s v="TBANK"/>
    <s v="TERM AC365 U"/>
    <s v="FIXED"/>
    <m/>
    <s v="BANKING"/>
    <s v=" "/>
    <s v=" "/>
    <s v="NO MARKET"/>
    <s v="THB"/>
    <s v=" "/>
    <s v=" "/>
    <s v="P/O"/>
    <s v=" "/>
    <s v="P/N"/>
    <m/>
    <m/>
    <s v="THANACHART BANK PLC."/>
    <s v="ธนาคารธนชาต จำกัด (มหาชน)"/>
    <s v="LISTED"/>
    <s v="AA-"/>
    <s v="AA-(tha)"/>
    <s v=" "/>
    <s v=" "/>
    <s v=" "/>
    <s v="AA-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48"/>
    <s v=" "/>
    <s v="THAILAND"/>
    <s v="THAILAND"/>
    <s v="TH"/>
    <s v=" "/>
    <n v="4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8"/>
    <m/>
    <s v="ABCHK"/>
    <s v="LISTEDFOREIGN"/>
    <s v="BANKING"/>
    <s v="A"/>
    <m/>
    <m/>
    <d v="2019-05-10T00:00:00"/>
    <n v="219"/>
    <n v="0.05"/>
    <m/>
    <m/>
    <m/>
    <n v="1872255000"/>
    <n v="382252.06"/>
    <n v="1899500000"/>
    <n v="0.60814800000000002"/>
    <n v="50000000"/>
    <m/>
    <n v="1899500000"/>
    <n v="0.05"/>
    <n v="2.5046525100000001E-2"/>
    <s v="F12MABCHK1005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30"/>
    <s v=" "/>
    <s v="HONGKONG"/>
    <s v="HONGKONG"/>
    <s v="HK"/>
    <s v=" "/>
    <n v="80000"/>
    <b v="0"/>
    <s v="NONTRANSFERABLE"/>
    <s v=" "/>
    <s v=" "/>
    <b v="0"/>
    <b v="0"/>
    <m/>
    <m/>
    <s v=" "/>
    <n v="1899500000.02"/>
    <n v="0"/>
    <m/>
    <n v="0"/>
    <s v="EURbb"/>
    <n v="37.445099999999996"/>
  </r>
  <r>
    <x v="0"/>
    <x v="0"/>
    <x v="0"/>
    <x v="1"/>
    <x v="0"/>
    <x v="9"/>
    <s v="F1"/>
    <s v="ABCHK"/>
    <s v="LISTEDFOREIGN"/>
    <s v="BANKING"/>
    <s v="A"/>
    <m/>
    <m/>
    <d v="2019-04-25T00:00:00"/>
    <n v="204"/>
    <n v="3.17"/>
    <m/>
    <m/>
    <m/>
    <n v="970710000"/>
    <n v="13676225.33"/>
    <n v="946500000"/>
    <n v="0.55680300000000005"/>
    <n v="30000000"/>
    <m/>
    <n v="946500000"/>
    <n v="3.17"/>
    <n v="1.3166166700000001E-2"/>
    <s v="F12MABCHK2504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USDbb"/>
    <s v="A-1"/>
    <s v="P1"/>
    <s v="P/P"/>
    <s v=" "/>
    <s v="P/N"/>
    <s v="F1"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17"/>
    <s v=" "/>
    <s v="HONGKONG"/>
    <s v="HONGKONG"/>
    <s v="HK"/>
    <s v=" "/>
    <n v="80000"/>
    <b v="0"/>
    <s v="NONTRANSFERABLE"/>
    <s v=" "/>
    <s v=" "/>
    <b v="0"/>
    <b v="0"/>
    <m/>
    <m/>
    <s v=" "/>
    <n v="946499999.99000001"/>
    <n v="0"/>
    <m/>
    <n v="0"/>
    <s v="USDbb"/>
    <n v="32.356999999999999"/>
  </r>
  <r>
    <x v="0"/>
    <x v="0"/>
    <x v="0"/>
    <x v="1"/>
    <x v="0"/>
    <x v="10"/>
    <s v="F1"/>
    <s v="ADCB"/>
    <s v="LISTEDFOREIGN"/>
    <s v="BANKING"/>
    <s v="A+"/>
    <m/>
    <m/>
    <d v="2018-11-06T00:00:00"/>
    <n v="34"/>
    <n v="2.4066999999999998"/>
    <m/>
    <m/>
    <m/>
    <n v="1132495000"/>
    <n v="24984444.07"/>
    <n v="1158500000"/>
    <n v="9.4234999999999999E-2"/>
    <n v="35000000"/>
    <m/>
    <n v="1158500000"/>
    <n v="2.4066999999999998"/>
    <n v="1.54812887E-2"/>
    <s v="F12MADCB061118b"/>
    <m/>
    <s v="FIXED 12 MONTH ADCB"/>
    <s v="เงินฝากประจำ 12 เดือน Abu Dhabi Commercial Bank"/>
    <s v="เงินฝากประจำ 12 เดือน Abu Dhabi Commercial Bank"/>
    <s v="Bond"/>
    <s v="ADCB"/>
    <s v="TERM AC360 U"/>
    <s v="CASH"/>
    <m/>
    <s v="BANKING"/>
    <s v=" "/>
    <s v=" "/>
    <s v="NO MARKET"/>
    <s v="USDbb"/>
    <s v="A-1"/>
    <s v="P1"/>
    <s v="P/P"/>
    <s v=" "/>
    <s v="P/N"/>
    <s v="F1"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047"/>
    <s v=" "/>
    <s v="UAE"/>
    <s v="UAE"/>
    <s v="AE"/>
    <s v=" "/>
    <n v="40000"/>
    <b v="0"/>
    <s v="NONTRANSFERABLE"/>
    <s v=" "/>
    <s v=" "/>
    <b v="0"/>
    <b v="0"/>
    <m/>
    <m/>
    <s v=" "/>
    <n v="1158499999.98"/>
    <n v="0"/>
    <m/>
    <n v="0"/>
    <s v="USDbb"/>
    <n v="32.356999999999999"/>
  </r>
  <r>
    <x v="0"/>
    <x v="0"/>
    <x v="0"/>
    <x v="1"/>
    <x v="0"/>
    <x v="11"/>
    <s v="F1"/>
    <s v="ADCB"/>
    <s v="LISTEDFOREIGN"/>
    <s v="BANKING"/>
    <s v="A+"/>
    <m/>
    <m/>
    <d v="2018-10-16T00:00:00"/>
    <n v="13"/>
    <n v="2.4"/>
    <m/>
    <m/>
    <m/>
    <n v="1617850000"/>
    <n v="37749833.329999998"/>
    <n v="1654000000"/>
    <n v="3.6080000000000001E-2"/>
    <n v="50000000"/>
    <m/>
    <n v="1654000000"/>
    <n v="2.4"/>
    <n v="2.21436494E-2"/>
    <s v="F12MADCB161018"/>
    <m/>
    <s v="FIXED 12 MONTH ADCB"/>
    <s v="เงินฝากประจำ 12 เดือน Abu Dhabi Commercial Bank"/>
    <s v="เงินฝากประจำ 12 เดือน Abu Dhabi Commercial Bank"/>
    <s v="Bond"/>
    <s v="ADCB"/>
    <s v="TERM AC360 U"/>
    <s v="CASH"/>
    <m/>
    <s v="BANKING"/>
    <s v=" "/>
    <s v=" "/>
    <s v="NO MARKET"/>
    <s v="USDbb"/>
    <s v="A-1"/>
    <s v="P1"/>
    <s v="P/P"/>
    <s v=" "/>
    <s v="P/N"/>
    <s v="F1"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027"/>
    <s v=" "/>
    <s v="UAE"/>
    <s v="UAE"/>
    <s v="AE"/>
    <s v=" "/>
    <n v="40000"/>
    <b v="0"/>
    <s v="NONTRANSFERABLE"/>
    <s v=" "/>
    <s v=" "/>
    <b v="0"/>
    <b v="0"/>
    <m/>
    <m/>
    <s v=" "/>
    <n v="1654000000.01"/>
    <n v="0"/>
    <m/>
    <n v="0"/>
    <s v="USDbb"/>
    <n v="32.356999999999999"/>
  </r>
  <r>
    <x v="0"/>
    <x v="0"/>
    <x v="0"/>
    <x v="1"/>
    <x v="0"/>
    <x v="12"/>
    <m/>
    <s v="BOC MACAU"/>
    <s v="LISTEDFOREIGN"/>
    <s v="BANKING"/>
    <s v="A"/>
    <m/>
    <m/>
    <d v="2019-04-04T00:00:00"/>
    <n v="183"/>
    <n v="4.5"/>
    <m/>
    <m/>
    <m/>
    <n v="2348900000"/>
    <n v="52263025"/>
    <n v="2477500000"/>
    <n v="0.49720599999999998"/>
    <n v="500000000"/>
    <m/>
    <n v="2477500000"/>
    <n v="4.5"/>
    <n v="3.21155578E-2"/>
    <s v="F12MBOCMC040419"/>
    <m/>
    <s v="FIXED 12 MONTH BANK OF CHINA  MACAU"/>
    <s v="เงินฝากประจำ 12 เดือน BANK OF CHINA  MACAU"/>
    <s v="เงินฝากประจำ 12 เดือน BANK OF CHINA  MACAU"/>
    <s v="Bond"/>
    <s v="BOC MACAU"/>
    <s v="TERM AC360 U"/>
    <s v="CASH"/>
    <m/>
    <s v="BANKING"/>
    <s v=" "/>
    <s v=" "/>
    <s v="NO MARKET"/>
    <s v="CNH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99"/>
    <s v=" "/>
    <s v="MACAO"/>
    <s v="MACAO"/>
    <s v="MO"/>
    <s v=" "/>
    <n v="100000"/>
    <b v="0"/>
    <s v="NONTRANSFERABLE"/>
    <s v=" "/>
    <s v=" "/>
    <b v="0"/>
    <b v="0"/>
    <m/>
    <m/>
    <s v=" "/>
    <n v="2477500000"/>
    <n v="0"/>
    <m/>
    <n v="0"/>
    <s v="CNHbb"/>
    <n v="4.6978"/>
  </r>
  <r>
    <x v="0"/>
    <x v="0"/>
    <x v="0"/>
    <x v="1"/>
    <x v="0"/>
    <x v="13"/>
    <m/>
    <s v="BOC MACAU"/>
    <s v="LISTEDFOREIGN"/>
    <s v="BANKING"/>
    <s v="A"/>
    <m/>
    <m/>
    <d v="2019-04-11T00:00:00"/>
    <n v="190"/>
    <n v="4.45"/>
    <m/>
    <m/>
    <m/>
    <n v="1879120000"/>
    <n v="40881299.560000002"/>
    <n v="1981400000"/>
    <n v="0.51591699999999996"/>
    <n v="400000000"/>
    <m/>
    <n v="1981400000"/>
    <n v="4.45"/>
    <n v="2.5680019299999999E-2"/>
    <s v="F12MBOCMC110419"/>
    <m/>
    <s v="FIXED 12 MONTH BANK OF CHINA  MACAU"/>
    <s v="เงินฝากประจำ 12 เดือน BANK OF CHINA MACAU"/>
    <s v="เงินฝากประจำ 12 เดือน BANK OF CHINA MACAU"/>
    <s v="Bond"/>
    <s v="BOC MACAU"/>
    <s v="TERM AC360 U"/>
    <s v="CASH"/>
    <m/>
    <s v="BANKING"/>
    <s v=" "/>
    <s v=" "/>
    <s v="NO MARKET"/>
    <s v="CNH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01"/>
    <s v=" "/>
    <s v="MACAO"/>
    <s v="MACAO"/>
    <s v="MO"/>
    <s v=" "/>
    <n v="100000"/>
    <b v="0"/>
    <s v="NONTRANSFERABLE"/>
    <s v=" "/>
    <s v=" "/>
    <b v="0"/>
    <b v="0"/>
    <m/>
    <m/>
    <s v=" "/>
    <n v="1981400000"/>
    <n v="0"/>
    <m/>
    <n v="0"/>
    <s v="CNHbb"/>
    <n v="4.6978"/>
  </r>
  <r>
    <x v="0"/>
    <x v="0"/>
    <x v="0"/>
    <x v="1"/>
    <x v="0"/>
    <x v="14"/>
    <m/>
    <s v="BOC MACAU"/>
    <s v="LISTEDFOREIGN"/>
    <s v="BANKING"/>
    <s v="A"/>
    <m/>
    <m/>
    <d v="2019-04-25T00:00:00"/>
    <n v="204"/>
    <n v="0.06"/>
    <m/>
    <m/>
    <m/>
    <n v="2621157000"/>
    <n v="707712.39"/>
    <n v="2691500000"/>
    <n v="0.56647400000000003"/>
    <n v="70000000"/>
    <m/>
    <n v="2691500000"/>
    <n v="0.06"/>
    <n v="3.5067443099999998E-2"/>
    <s v="F12MBOCMC250419"/>
    <m/>
    <s v="FIXED 12 MONTH BANK OF CHINA  MACAU"/>
    <s v="เงินฝากประจำ 12 เดือน BANK OF CHINA MACAU"/>
    <s v="เงินฝากประจำ 12 เดือน BANK OF CHINA MACAU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15"/>
    <s v=" "/>
    <s v="MACAO"/>
    <s v="MACAO"/>
    <s v="MO"/>
    <s v=" "/>
    <n v="100000"/>
    <b v="0"/>
    <s v="NONTRANSFERABLE"/>
    <s v=" "/>
    <s v=" "/>
    <b v="0"/>
    <b v="0"/>
    <m/>
    <m/>
    <s v=" "/>
    <n v="2691499999.9699998"/>
    <n v="0"/>
    <m/>
    <n v="0"/>
    <s v="EURbb"/>
    <n v="37.445099999999996"/>
  </r>
  <r>
    <x v="0"/>
    <x v="0"/>
    <x v="0"/>
    <x v="1"/>
    <x v="0"/>
    <x v="15"/>
    <m/>
    <s v="GHB"/>
    <s v="SPECIALIZE F.I."/>
    <s v="BANKING"/>
    <s v="AAA(tha)"/>
    <m/>
    <m/>
    <d v="2019-08-02T00:00:00"/>
    <n v="303"/>
    <n v="1.7"/>
    <m/>
    <m/>
    <m/>
    <n v="300000000"/>
    <n v="866301.37"/>
    <n v="300000000"/>
    <n v="0.81861700000000004"/>
    <n v="300000000"/>
    <m/>
    <n v="300000000"/>
    <n v="1.7"/>
    <n v="4.0240870999999996E-3"/>
    <s v="F12MGHB020819a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15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16"/>
    <m/>
    <s v="GHB"/>
    <s v="SPECIALIZE F.I."/>
    <s v="BANKING"/>
    <s v="AAA(tha)"/>
    <m/>
    <m/>
    <d v="2019-08-06T00:00:00"/>
    <n v="307"/>
    <n v="1.7"/>
    <m/>
    <m/>
    <m/>
    <n v="650000000"/>
    <n v="1786164.38"/>
    <n v="650000000"/>
    <n v="0.82926999999999995"/>
    <n v="650000000"/>
    <m/>
    <n v="650000000"/>
    <n v="1.7"/>
    <n v="8.7176405999999998E-3"/>
    <s v="F12MGHB06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18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17"/>
    <m/>
    <s v="GHB"/>
    <s v="SPECIALIZE F.I."/>
    <s v="BANKING"/>
    <s v="AAA(tha)"/>
    <m/>
    <m/>
    <d v="2019-08-09T00:00:00"/>
    <n v="310"/>
    <n v="1.7"/>
    <m/>
    <m/>
    <m/>
    <n v="150000000"/>
    <n v="391232.88"/>
    <n v="150000000"/>
    <n v="0.83725700000000003"/>
    <n v="150000000"/>
    <m/>
    <n v="150000000"/>
    <n v="1.7"/>
    <n v="2.0114829000000001E-3"/>
    <s v="F12MGHB09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21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18"/>
    <m/>
    <s v="GHB"/>
    <s v="SPECIALIZE F.I."/>
    <s v="BANKING"/>
    <s v="AAA(tha)"/>
    <m/>
    <m/>
    <d v="2018-12-14T00:00:00"/>
    <n v="72"/>
    <n v="1.6"/>
    <m/>
    <m/>
    <m/>
    <n v="70000000"/>
    <n v="902136.99"/>
    <n v="70000000"/>
    <n v="0.19664000000000001"/>
    <n v="70000000"/>
    <m/>
    <n v="70000000"/>
    <n v="1.6"/>
    <n v="9.4831620000000001E-4"/>
    <s v="F12MGHB141218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083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19"/>
    <s v="F1+(tha)"/>
    <s v="GHB"/>
    <s v="SPECIALIZE F.I."/>
    <s v="BANKING"/>
    <s v="AAA(tha)"/>
    <m/>
    <m/>
    <d v="2019-01-16T00:00:00"/>
    <n v="105"/>
    <n v="1.6"/>
    <m/>
    <m/>
    <m/>
    <n v="68000000"/>
    <n v="777994.52"/>
    <n v="68000000"/>
    <n v="0.28635300000000002"/>
    <n v="68000000"/>
    <m/>
    <n v="68000000"/>
    <n v="1.6"/>
    <n v="9.1990569999999996E-4"/>
    <s v="F12MGHB16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P2"/>
    <s v="P/O"/>
    <s v=" "/>
    <s v="P/N"/>
    <s v="F1+(tha)"/>
    <n v="1"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16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20"/>
    <s v="F1+(tha)"/>
    <s v="GHB"/>
    <s v="SPECIALIZE F.I."/>
    <s v="BANKING"/>
    <s v="AAA(tha)"/>
    <m/>
    <m/>
    <d v="2019-01-17T00:00:00"/>
    <n v="106"/>
    <n v="1.6"/>
    <m/>
    <m/>
    <m/>
    <n v="200000000"/>
    <n v="2279452.0499999998"/>
    <n v="200000000"/>
    <n v="0.28906799999999999"/>
    <n v="200000000"/>
    <m/>
    <n v="200000000"/>
    <n v="1.6"/>
    <n v="2.7054879000000002E-3"/>
    <s v="F12MGHB17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P2"/>
    <s v="P/O"/>
    <s v=" "/>
    <s v="P/N"/>
    <s v="F1+(tha)"/>
    <n v="1"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17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21"/>
    <m/>
    <s v="GHB"/>
    <s v="SPECIALIZE F.I."/>
    <s v="BANKING"/>
    <s v="AAA(tha)"/>
    <m/>
    <m/>
    <d v="2019-01-18T00:00:00"/>
    <n v="107"/>
    <n v="1.6"/>
    <m/>
    <m/>
    <m/>
    <n v="157000000"/>
    <n v="1782487.67"/>
    <n v="157000000"/>
    <n v="0.29178199999999999"/>
    <n v="157000000"/>
    <m/>
    <n v="157000000"/>
    <n v="1.6"/>
    <n v="2.1237158999999999E-3"/>
    <s v="F12MGHB18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18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22"/>
    <m/>
    <s v="GHB"/>
    <s v="SPECIALIZE F.I."/>
    <s v="BANKING"/>
    <s v="AAA(tha)"/>
    <m/>
    <m/>
    <d v="2019-01-21T00:00:00"/>
    <n v="110"/>
    <n v="1.6"/>
    <m/>
    <m/>
    <m/>
    <n v="300000000"/>
    <n v="3392876.71"/>
    <n v="300000000"/>
    <n v="0.29992400000000002"/>
    <n v="300000000"/>
    <m/>
    <n v="300000000"/>
    <n v="1.6"/>
    <n v="4.0578799999999998E-3"/>
    <s v="F12MGHB21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19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0"/>
    <x v="0"/>
    <x v="1"/>
    <x v="0"/>
    <x v="23"/>
    <m/>
    <s v="ABCHK"/>
    <s v="LISTEDFOREIGN"/>
    <s v="BANKING"/>
    <s v="A"/>
    <m/>
    <m/>
    <d v="2018-10-16T00:00:00"/>
    <n v="13"/>
    <n v="2.81"/>
    <m/>
    <m/>
    <m/>
    <n v="1294280000"/>
    <n v="8486162.5299999993"/>
    <n v="1326400000"/>
    <n v="3.6075000000000003E-2"/>
    <n v="40000000"/>
    <m/>
    <n v="1326400000"/>
    <n v="2.81"/>
    <n v="1.7424498699999999E-2"/>
    <s v="F3MABCHK161018"/>
    <m/>
    <s v="FIXED 3 MONTH AGRICULTURAL BANK OF CHINA (HONGKONG)"/>
    <s v="เงินฝากประจำ 3 เดือน Agricultural Bank of China (HongKong)"/>
    <s v="เงินฝากประจำ 3 เดือน Agricultural Bank of China (HongKong)"/>
    <s v="Bond"/>
    <s v="ABCHK"/>
    <s v="TERM AC360 U"/>
    <s v="CASH"/>
    <m/>
    <s v="BANKING"/>
    <s v=" "/>
    <s v=" "/>
    <s v="NO MARKET"/>
    <s v="US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93"/>
    <s v=" "/>
    <s v="HONGKONG"/>
    <s v="HONGKONG"/>
    <s v="HK"/>
    <s v=" "/>
    <n v="80000"/>
    <b v="0"/>
    <s v="NONTRANSFERABLE"/>
    <s v=" "/>
    <s v=" "/>
    <b v="0"/>
    <b v="0"/>
    <m/>
    <m/>
    <s v=" "/>
    <n v="1326400000.01"/>
    <n v="0"/>
    <m/>
    <n v="0"/>
    <s v="USDbb"/>
    <n v="32.356999999999999"/>
  </r>
  <r>
    <x v="0"/>
    <x v="0"/>
    <x v="0"/>
    <x v="1"/>
    <x v="0"/>
    <x v="24"/>
    <m/>
    <s v="BOC MACAU"/>
    <s v="LISTEDFOREIGN"/>
    <s v="BANKING"/>
    <s v="A"/>
    <m/>
    <m/>
    <d v="2018-11-05T00:00:00"/>
    <n v="33"/>
    <n v="0.04"/>
    <m/>
    <m/>
    <m/>
    <n v="936127500"/>
    <n v="160181.82"/>
    <n v="950000000"/>
    <n v="9.1662999999999994E-2"/>
    <n v="25000000"/>
    <m/>
    <n v="950000000"/>
    <n v="0.04"/>
    <n v="1.25228487E-2"/>
    <s v="F6MBOCMC05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23"/>
    <s v=" "/>
    <s v="MACAO"/>
    <s v="MACAO"/>
    <s v="MO"/>
    <s v=" "/>
    <n v="100000"/>
    <b v="0"/>
    <s v="NONTRANSFERABLE"/>
    <s v=" "/>
    <s v=" "/>
    <b v="0"/>
    <b v="0"/>
    <m/>
    <m/>
    <s v=" "/>
    <n v="949999999.99000001"/>
    <n v="0"/>
    <m/>
    <n v="0"/>
    <s v="EURbb"/>
    <n v="37.445099999999996"/>
  </r>
  <r>
    <x v="0"/>
    <x v="0"/>
    <x v="0"/>
    <x v="1"/>
    <x v="0"/>
    <x v="25"/>
    <m/>
    <s v="BOC MACAU"/>
    <s v="LISTEDFOREIGN"/>
    <s v="BANKING"/>
    <s v="A"/>
    <m/>
    <m/>
    <d v="2019-03-19T00:00:00"/>
    <n v="167"/>
    <n v="0.05"/>
    <m/>
    <m/>
    <m/>
    <n v="374451000"/>
    <n v="7280.99"/>
    <n v="380000000"/>
    <n v="0.463781"/>
    <n v="10000000"/>
    <m/>
    <n v="380000000"/>
    <n v="0.05"/>
    <n v="5.0083799000000002E-3"/>
    <s v="F6MBOCMC190319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63"/>
    <s v=" "/>
    <s v="MACAO"/>
    <s v="MACAO"/>
    <s v="MO"/>
    <s v=" "/>
    <n v="100000"/>
    <b v="0"/>
    <s v="NONTRANSFERABLE"/>
    <s v=" "/>
    <s v=" "/>
    <b v="0"/>
    <b v="0"/>
    <m/>
    <m/>
    <s v=" "/>
    <n v="380000000"/>
    <n v="0"/>
    <m/>
    <n v="0"/>
    <s v="EURbb"/>
    <n v="37.445099999999996"/>
  </r>
  <r>
    <x v="0"/>
    <x v="0"/>
    <x v="0"/>
    <x v="1"/>
    <x v="0"/>
    <x v="26"/>
    <m/>
    <s v="TISCOB"/>
    <s v="LISTED"/>
    <s v="BANKING"/>
    <s v="A"/>
    <m/>
    <m/>
    <d v="2020-12-31T00:00:00"/>
    <n v="820"/>
    <n v="0.75"/>
    <m/>
    <m/>
    <m/>
    <n v="347165.51"/>
    <n v="720.49"/>
    <n v="347165.51"/>
    <n v="0"/>
    <n v="347165.51"/>
    <m/>
    <n v="347165.51"/>
    <n v="0"/>
    <n v="4.6530000000000002E-6"/>
    <s v="INVCTISCOsff1"/>
    <m/>
    <s v="INV.CURRENT"/>
    <s v="เงินฝากกระแสรายวันพิเศษ บมจ. ธนาคารทิสโก้"/>
    <s v="บมจ.ธนาคารทิสโก้"/>
    <s v="Bond"/>
    <s v="TISCOB"/>
    <s v="SAVING U"/>
    <s v="CASH"/>
    <s v="INVEST SAVING"/>
    <s v="*BOND"/>
    <s v=" "/>
    <s v=" "/>
    <s v="NO MARKET"/>
    <s v="THB"/>
    <s v=" "/>
    <s v=" "/>
    <s v=" "/>
    <s v=" "/>
    <s v="P/N"/>
    <m/>
    <m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2066"/>
    <s v=" "/>
    <s v="THAILAND"/>
    <s v="THAILAND"/>
    <s v="TH"/>
    <s v=" "/>
    <n v="8900"/>
    <b v="1"/>
    <s v=" "/>
    <s v=" "/>
    <s v=" "/>
    <b v="0"/>
    <b v="0"/>
    <m/>
    <m/>
    <s v=" "/>
    <m/>
    <m/>
    <m/>
    <m/>
    <m/>
    <m/>
  </r>
  <r>
    <x v="0"/>
    <x v="0"/>
    <x v="0"/>
    <x v="1"/>
    <x v="0"/>
    <x v="27"/>
    <m/>
    <s v="KTB"/>
    <s v="LISTED"/>
    <s v="BANKING"/>
    <s v="AA+(tha)"/>
    <m/>
    <m/>
    <d v="2020-12-31T00:00:00"/>
    <n v="820"/>
    <n v="0.375"/>
    <m/>
    <m/>
    <m/>
    <n v="287668.24"/>
    <n v="280.77"/>
    <n v="287668.24"/>
    <n v="0"/>
    <n v="287668.24"/>
    <m/>
    <n v="287668.24"/>
    <n v="0"/>
    <n v="3.8512999999999999E-6"/>
    <s v="INVSKTBsff"/>
    <m/>
    <s v="INV.SAVING"/>
    <s v="เงินฝากออมทรัพย์ ธนาคาร กรุงไทย จำกัด (มหาชน)"/>
    <m/>
    <s v="Bond"/>
    <s v="KTB"/>
    <s v="SAVING U"/>
    <s v="CASH"/>
    <s v="INVEST SAVING"/>
    <s v="BANKING"/>
    <s v=" "/>
    <s v=" "/>
    <s v="NO MARKET"/>
    <s v="THB"/>
    <s v=" "/>
    <s v=" "/>
    <s v=" "/>
    <s v="Liquid"/>
    <s v="P/N"/>
    <m/>
    <m/>
    <s v="KRUNG THAI BANK PLC."/>
    <s v="ธนาคารกรุงไทย  จำกัด (มหาชน)"/>
    <s v="LISTED"/>
    <s v=" "/>
    <s v="AA+(tha)"/>
    <s v=" "/>
    <s v="BBB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39535"/>
    <s v=" "/>
    <s v="THAILAND"/>
    <s v="THAILAND"/>
    <s v="TH"/>
    <s v=" "/>
    <n v="39000"/>
    <b v="1"/>
    <s v=" "/>
    <s v=" "/>
    <s v=" "/>
    <b v="0"/>
    <b v="0"/>
    <m/>
    <m/>
    <s v=" "/>
    <m/>
    <m/>
    <m/>
    <m/>
    <m/>
    <m/>
  </r>
  <r>
    <x v="0"/>
    <x v="0"/>
    <x v="0"/>
    <x v="1"/>
    <x v="0"/>
    <x v="28"/>
    <m/>
    <s v="UOBT"/>
    <s v="UNLISTED"/>
    <s v="BANKING"/>
    <s v="AAA(tha)"/>
    <m/>
    <m/>
    <d v="2020-12-31T00:00:00"/>
    <n v="820"/>
    <n v="0.85"/>
    <m/>
    <m/>
    <m/>
    <n v="497966.31"/>
    <n v="1101.67"/>
    <n v="497966.31"/>
    <n v="0"/>
    <n v="497966.31"/>
    <m/>
    <n v="497966.31"/>
    <n v="0"/>
    <n v="6.6749999999999996E-6"/>
    <s v="INVSUOBTsff"/>
    <m/>
    <m/>
    <s v="เงินฝากออมทรัพย์ ธ.ยูโอบี จำกัด (มหาชน)"/>
    <m/>
    <s v="Bond"/>
    <s v="UOBT"/>
    <s v="SAVING U"/>
    <s v="CASH"/>
    <s v="INVEST SAVING"/>
    <s v="*BOND"/>
    <m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38594"/>
    <s v=" "/>
    <s v="THAILAND"/>
    <s v="THAILAND"/>
    <s v="TH"/>
    <s v=" "/>
    <n v="17000"/>
    <b v="1"/>
    <s v=" "/>
    <s v="SINGAPORE"/>
    <s v="SG"/>
    <b v="0"/>
    <b v="0"/>
    <m/>
    <m/>
    <s v=" "/>
    <m/>
    <m/>
    <m/>
    <m/>
    <m/>
    <m/>
  </r>
  <r>
    <x v="0"/>
    <x v="0"/>
    <x v="0"/>
    <x v="1"/>
    <x v="0"/>
    <x v="29"/>
    <m/>
    <s v="SCB"/>
    <s v="LISTED"/>
    <s v="BANKING"/>
    <s v="AA+(tha)"/>
    <m/>
    <m/>
    <d v="2019-01-03T00:00:00"/>
    <n v="92"/>
    <n v="1.5"/>
    <m/>
    <m/>
    <m/>
    <n v="1500000000"/>
    <n v="863013.7"/>
    <n v="1500000000"/>
    <n v="0.251106"/>
    <n v="1500000000"/>
    <m/>
    <n v="1500000000"/>
    <n v="1.5"/>
    <n v="2.00740443E-2"/>
    <s v="S4MSCB030119"/>
    <m/>
    <s v="SAVING PLUS DEPOSIT OF SCB"/>
    <s v="เงินฝากออมทรัพย์-แบบฝากต่อเนื่อง ธ.ไทยพาณิชย์ จำกัด (มหาชน)"/>
    <s v="เงินฝากออมทรัพย์-แบบฝากต่อเนื่อง ธ.ไทยพาณิชย์ จำกัด (มหาชน)"/>
    <s v="Bond"/>
    <s v="SCB"/>
    <s v="TERM AC365 U"/>
    <s v="CASH"/>
    <m/>
    <s v="BANKING"/>
    <s v=" "/>
    <s v=" "/>
    <s v="NO MARKET"/>
    <s v="THB"/>
    <s v=" "/>
    <s v=" "/>
    <s v="P/O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63"/>
    <s v=" "/>
    <s v="THAILAND"/>
    <s v="THAILAND"/>
    <s v="TH"/>
    <s v=" "/>
    <n v="52000"/>
    <b v="0"/>
    <s v="NONTRANSFERABLE"/>
    <s v=" "/>
    <s v=" "/>
    <b v="0"/>
    <b v="0"/>
    <m/>
    <m/>
    <s v=" "/>
    <m/>
    <m/>
    <m/>
    <m/>
    <m/>
    <m/>
  </r>
  <r>
    <x v="0"/>
    <x v="0"/>
    <x v="0"/>
    <x v="2"/>
    <x v="0"/>
    <x v="30"/>
    <m/>
    <s v="MBKET"/>
    <s v="LISTED"/>
    <s v="FIN &amp; SEC."/>
    <s v="AA+(tha)"/>
    <m/>
    <m/>
    <d v="2018-12-18T00:00:00"/>
    <n v="76"/>
    <m/>
    <n v="1.7"/>
    <m/>
    <m/>
    <n v="996519010"/>
    <m/>
    <n v="996519010"/>
    <n v="0.204764"/>
    <n v="1000000000"/>
    <m/>
    <n v="995871910"/>
    <n v="1.7"/>
    <n v="1.33284427E-2"/>
    <s v="MBKET18D18A"/>
    <m/>
    <s v="BILL OF EXCHANGE OF MAYBANK KIM ENG SECURITIES (THAILAND) PUBLIC COMPANY LIMITED"/>
    <s v="ตั๋วแลกเงิน บริษัท หลักทรัพย์เมย์แบงก์ กิมเอ็ง (ประเทศไทย) จำกัด (มหาชน)"/>
    <s v="ตั๋วแลกเงิน บริษัทหลักทรัพย์ เมย์แบงก์ กิมเอ็ง (ประเทศไทย) จำกัด (มหาชน) มูลค่า 1,000.00 ล้านบาท ครบกำหนดไถ่ถอนวันที่ 18 ธันวาคม 2561 "/>
    <s v="Bond"/>
    <s v="MBKET"/>
    <s v="0DisAc365"/>
    <s v="B/E CORP."/>
    <m/>
    <s v="FIN &amp; SEC."/>
    <s v="FINANCIALS"/>
    <s v=" "/>
    <s v="ThaiBMA"/>
    <s v="THB"/>
    <s v=" "/>
    <s v=" "/>
    <s v="P/P"/>
    <s v=" "/>
    <s v="DISCOUNT"/>
    <m/>
    <m/>
    <s v="MAYBANK KIM ENG SECURITIES (THAILAND) PLC."/>
    <s v="บมจ.หลักทรัพย์ เมย์แบงก์ กิมเอ็ง (ประเทศไทย)"/>
    <s v="LISTED"/>
    <s v=" "/>
    <s v="AA+(tha)"/>
    <s v="YES"/>
    <s v=" "/>
    <s v=" 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63"/>
    <s v=" "/>
    <s v="THAILAND"/>
    <s v="THAILAND"/>
    <s v="TH"/>
    <s v=" "/>
    <n v="1100"/>
    <b v="0"/>
    <s v="TRANSFERABLE"/>
    <s v=" "/>
    <s v=" "/>
    <b v="0"/>
    <b v="0"/>
    <m/>
    <m/>
    <s v=" "/>
    <m/>
    <m/>
    <m/>
    <m/>
    <m/>
    <m/>
  </r>
  <r>
    <x v="0"/>
    <x v="0"/>
    <x v="0"/>
    <x v="2"/>
    <x v="0"/>
    <x v="31"/>
    <m/>
    <s v="MP"/>
    <s v="UNLISTED"/>
    <s v="AGRIBUSINE"/>
    <s v="A+"/>
    <m/>
    <m/>
    <d v="2018-10-09T00:00:00"/>
    <n v="6"/>
    <m/>
    <n v="1.58"/>
    <m/>
    <m/>
    <n v="1199740332"/>
    <m/>
    <n v="1199740332"/>
    <n v="1.3696E-2"/>
    <n v="1200000000"/>
    <m/>
    <n v="1196788020"/>
    <n v="1.58"/>
    <n v="1.6046528099999999E-2"/>
    <s v="MPSC18O09B"/>
    <m/>
    <s v="MITR PHOL SUGAR CORPORATION LIMITED."/>
    <s v="ตั๋วแลกเงิน บริษัท น้ำตาลมิตรผล จำกัด "/>
    <s v="ตั๋วแลกเงิน บริษัท น้ำตาลมิตรผล จำกัด มูลค่า 2,400.00 ล้านบาท ครบกำหนดไถ่ถอนวันที่ 9 ตุลาคม 2561"/>
    <s v="Bond"/>
    <s v="MP"/>
    <s v="0DisAc365"/>
    <s v="B/E CORP."/>
    <m/>
    <s v="AGRIBUSINESS"/>
    <s v="AGRO &amp; FOOD"/>
    <s v=" "/>
    <s v="ThaiBMA"/>
    <s v="THB"/>
    <s v=" "/>
    <s v=" "/>
    <s v="P/P"/>
    <s v=" "/>
    <s v="DISCOUNT"/>
    <m/>
    <m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20"/>
    <s v=" "/>
    <s v="THAILAND"/>
    <s v="THAILAND"/>
    <s v="TH"/>
    <s v=" "/>
    <n v="17000"/>
    <b v="0"/>
    <s v="TRANSFERABLE"/>
    <s v=" "/>
    <s v=" "/>
    <b v="0"/>
    <b v="0"/>
    <m/>
    <m/>
    <s v=" "/>
    <m/>
    <m/>
    <m/>
    <m/>
    <m/>
    <m/>
  </r>
  <r>
    <x v="0"/>
    <x v="0"/>
    <x v="0"/>
    <x v="2"/>
    <x v="0"/>
    <x v="32"/>
    <m/>
    <s v="MP"/>
    <s v="UNLISTED"/>
    <s v="AGRIBUSINE"/>
    <s v="A+"/>
    <m/>
    <m/>
    <d v="2018-10-09T00:00:00"/>
    <n v="6"/>
    <m/>
    <n v="1.58"/>
    <m/>
    <m/>
    <n v="499891805"/>
    <m/>
    <n v="499891805"/>
    <n v="1.3696E-2"/>
    <n v="500000000"/>
    <m/>
    <n v="498683205"/>
    <n v="1.58"/>
    <n v="6.6860534000000001E-3"/>
    <s v="MPSC18O09C"/>
    <m/>
    <s v="MITR PHOL SUGAR CORPORATION LIMITED."/>
    <s v="ตั๋วแลกเงิน บริษัท น้ำตาลมิตรผล จำกัด"/>
    <s v="ตั๋วแลกเงิน บริษัท น้ำตาลมิตรผล จำกัด มูลค่า 500.00 ล้านบาท ครบกำหนดไถ่ถอนวันที่ 9 ตุลาคม 2561 "/>
    <s v="Bond"/>
    <s v="MP"/>
    <s v="0DisAc365"/>
    <s v="B/E CORP."/>
    <m/>
    <s v="AGRIBUSINESS"/>
    <s v="AGRO &amp; FOOD"/>
    <s v=" "/>
    <s v="ThaiBMA"/>
    <s v="THB"/>
    <s v=" "/>
    <s v=" "/>
    <s v="P/P"/>
    <s v=" "/>
    <s v="DISCOUNT"/>
    <m/>
    <m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21"/>
    <s v=" "/>
    <s v="THAILAND"/>
    <s v="THAILAND"/>
    <s v="TH"/>
    <s v=" "/>
    <n v="17000"/>
    <b v="0"/>
    <s v="TRANSFERABLE"/>
    <s v=" "/>
    <s v=" "/>
    <b v="0"/>
    <b v="0"/>
    <m/>
    <m/>
    <s v=" "/>
    <m/>
    <m/>
    <m/>
    <m/>
    <m/>
    <m/>
  </r>
  <r>
    <x v="0"/>
    <x v="0"/>
    <x v="0"/>
    <x v="2"/>
    <x v="0"/>
    <x v="33"/>
    <m/>
    <s v="SPALI"/>
    <s v="LISTED"/>
    <s v="PROPERTY"/>
    <s v="A"/>
    <m/>
    <m/>
    <d v="2019-02-18T00:00:00"/>
    <n v="138"/>
    <m/>
    <n v="1.5995360000000001"/>
    <m/>
    <m/>
    <n v="149104813.5"/>
    <m/>
    <n v="149060064"/>
    <n v="0.37310199999999999"/>
    <n v="150000000"/>
    <m/>
    <n v="148158772.5"/>
    <n v="1.68"/>
    <n v="1.994277E-3"/>
    <s v="SPALI19218A"/>
    <m/>
    <s v="SUPALAI PUBLIC COMPANY LIMITED"/>
    <s v="ตั๋วแลกเงิน บริษัท ศุภาลัย จำกัด (มหาชน) มูลค่า 1,000.00 ล้านบาท "/>
    <s v="ตั๋วแลกเงิน บริษัท ศุภาลัย จำกัด (มหาชน) มูลค่า 1,000.00 ล้านบาท ครบกำหนดไถ่ถอนวันที่ 18 กุมภาพันธ์ 2562 "/>
    <s v="Bond"/>
    <s v="SPALI"/>
    <s v="0DisAc365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44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0"/>
    <x v="0"/>
    <x v="3"/>
    <x v="0"/>
    <x v="34"/>
    <m/>
    <s v="GOVERNMENT"/>
    <s v="OTHER"/>
    <s v="GOVERNMENT"/>
    <s v="BBB+"/>
    <m/>
    <m/>
    <d v="2019-04-03T00:00:00"/>
    <n v="182"/>
    <m/>
    <n v="1.5805450000000001"/>
    <m/>
    <m/>
    <n v="9922231.8000000007"/>
    <m/>
    <n v="9921282.0999999996"/>
    <n v="0.49203400000000003"/>
    <n v="10000000"/>
    <m/>
    <n v="9867638.5"/>
    <n v="1.6"/>
    <n v="1.3270989999999999E-4"/>
    <s v="TB19403A"/>
    <m/>
    <s v="TREASURY BILL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94"/>
    <s v=" "/>
    <s v="THAILAND"/>
    <s v="THAILAND"/>
    <s v="TH"/>
    <s v=" "/>
    <n v="0"/>
    <b v="0"/>
    <s v="TRANSFERABLE"/>
    <s v=" "/>
    <s v=" "/>
    <b v="0"/>
    <b v="0"/>
    <m/>
    <m/>
    <s v="TH062307T485"/>
    <m/>
    <m/>
    <m/>
    <m/>
    <m/>
    <m/>
  </r>
  <r>
    <x v="0"/>
    <x v="0"/>
    <x v="0"/>
    <x v="4"/>
    <x v="0"/>
    <x v="35"/>
    <m/>
    <s v="BOT"/>
    <m/>
    <s v="GOVERNMENT"/>
    <m/>
    <m/>
    <m/>
    <d v="2018-12-06T00:00:00"/>
    <n v="64"/>
    <m/>
    <n v="1.3"/>
    <m/>
    <m/>
    <n v="3991044760"/>
    <m/>
    <n v="3990751920"/>
    <n v="0.17222399999999999"/>
    <n v="4000000000"/>
    <m/>
    <n v="3986655357.7199998"/>
    <n v="1.3426089999999999"/>
    <n v="5.3380227600000003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0"/>
    <x v="0"/>
    <x v="4"/>
    <x v="0"/>
    <x v="36"/>
    <m/>
    <s v="BOT"/>
    <m/>
    <s v="GOVERNMENT"/>
    <m/>
    <m/>
    <m/>
    <d v="2018-12-13T00:00:00"/>
    <n v="71"/>
    <m/>
    <n v="1.152879"/>
    <m/>
    <m/>
    <n v="5996741218.8000002"/>
    <m/>
    <n v="5996609840.1999998"/>
    <n v="0.19130800000000001"/>
    <n v="6010000000"/>
    <m/>
    <n v="5992611916.6700001"/>
    <n v="1.1643289999999999"/>
    <n v="8.0206419700000003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0"/>
    <x v="0"/>
    <x v="4"/>
    <x v="0"/>
    <x v="37"/>
    <m/>
    <s v="BOT"/>
    <m/>
    <s v="GOVERNMENT"/>
    <m/>
    <m/>
    <m/>
    <d v="2018-12-20T00:00:00"/>
    <n v="78"/>
    <m/>
    <n v="1.2549999999999999"/>
    <m/>
    <m/>
    <n v="2493398650"/>
    <m/>
    <n v="2492759025"/>
    <n v="0.21034700000000001"/>
    <n v="2500000000"/>
    <m/>
    <n v="2491474412.4899998"/>
    <n v="1.376952"/>
    <n v="3.3349209400000003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0"/>
    <x v="0"/>
    <x v="4"/>
    <x v="0"/>
    <x v="38"/>
    <m/>
    <s v="BOT"/>
    <m/>
    <s v="GOVERNMENT"/>
    <m/>
    <m/>
    <m/>
    <d v="2018-11-01T00:00:00"/>
    <n v="29"/>
    <m/>
    <n v="1.28694"/>
    <m/>
    <m/>
    <n v="3656390251.8000002"/>
    <m/>
    <n v="3656368584.5999999"/>
    <n v="7.6643000000000003E-2"/>
    <n v="3660000000"/>
    <m/>
    <n v="3648378530.3299999"/>
    <n v="1.2946709999999999"/>
    <n v="4.8904223199999999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0"/>
    <x v="0"/>
    <x v="4"/>
    <x v="0"/>
    <x v="39"/>
    <m/>
    <s v="BOT"/>
    <m/>
    <s v="GOVERNMENT"/>
    <m/>
    <m/>
    <m/>
    <d v="2018-11-08T00:00:00"/>
    <n v="36"/>
    <m/>
    <n v="1.1000000000000001"/>
    <m/>
    <m/>
    <n v="600366738.32000005"/>
    <m/>
    <n v="600366738.32000005"/>
    <n v="9.5782000000000006E-2"/>
    <n v="601000000"/>
    <m/>
    <n v="599987417.16999996"/>
    <n v="1.1000000000000001"/>
    <n v="8.0299056999999993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0"/>
    <x v="0"/>
    <x v="4"/>
    <x v="0"/>
    <x v="40"/>
    <m/>
    <s v="BOT"/>
    <m/>
    <s v="GOVERNMENT"/>
    <m/>
    <m/>
    <m/>
    <d v="2018-11-08T00:00:00"/>
    <n v="36"/>
    <m/>
    <n v="1.2749999999999999"/>
    <m/>
    <m/>
    <n v="3995115560"/>
    <m/>
    <n v="3995082800"/>
    <n v="9.5780000000000004E-2"/>
    <n v="4000000000"/>
    <m/>
    <n v="3987240358.5799999"/>
    <n v="1.2835639999999999"/>
    <n v="5.3434674600000003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0"/>
    <x v="0"/>
    <x v="4"/>
    <x v="0"/>
    <x v="41"/>
    <m/>
    <s v="BOT"/>
    <m/>
    <s v="GOVERNMENT"/>
    <m/>
    <m/>
    <m/>
    <d v="2018-11-15T00:00:00"/>
    <n v="43"/>
    <m/>
    <n v="1.2625"/>
    <m/>
    <m/>
    <n v="2496373425"/>
    <m/>
    <n v="2496370225"/>
    <n v="0.114912"/>
    <n v="2500000000"/>
    <m/>
    <n v="2492148802.5700002"/>
    <n v="1.263611"/>
    <n v="3.3388996999999997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0"/>
    <x v="0"/>
    <x v="4"/>
    <x v="0"/>
    <x v="42"/>
    <m/>
    <s v="BOT"/>
    <m/>
    <s v="GOVERNMENT"/>
    <m/>
    <m/>
    <m/>
    <d v="2018-11-22T00:00:00"/>
    <n v="50"/>
    <m/>
    <n v="1.2226189999999999"/>
    <m/>
    <m/>
    <n v="1048279438.5"/>
    <m/>
    <n v="1048279438.5"/>
    <n v="0.134023"/>
    <n v="1050000000"/>
    <m/>
    <n v="1047040930"/>
    <n v="1.2226189999999999"/>
    <n v="1.4020738499999999E-2"/>
    <s v="CB18N22A"/>
    <m/>
    <s v="Bank of Thailand Bond"/>
    <s v="พันธบัตรธนาคารแห่งประเทศไทยงวดที่ 21/182/61 "/>
    <s v="พันธบัตรธนาคารแห่งประเทศไทยงวดที่ 21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44"/>
    <s v=" "/>
    <s v="THAILAND"/>
    <s v="THAILAND"/>
    <s v="TH"/>
    <s v=" "/>
    <n v="0"/>
    <b v="0"/>
    <s v="TRANSFERABLE"/>
    <s v=" "/>
    <s v=" "/>
    <b v="0"/>
    <b v="0"/>
    <m/>
    <m/>
    <s v="TH0655C7SB80"/>
    <m/>
    <m/>
    <m/>
    <m/>
    <m/>
    <m/>
  </r>
  <r>
    <x v="0"/>
    <x v="0"/>
    <x v="0"/>
    <x v="4"/>
    <x v="0"/>
    <x v="43"/>
    <m/>
    <s v="BOT"/>
    <m/>
    <s v="GOVERNMENT"/>
    <m/>
    <m/>
    <m/>
    <d v="2018-11-22T00:00:00"/>
    <n v="50"/>
    <m/>
    <n v="1.2549999999999999"/>
    <m/>
    <m/>
    <n v="3993272160"/>
    <m/>
    <n v="3993125640"/>
    <n v="0.13402800000000001"/>
    <n v="4000000000"/>
    <m/>
    <n v="3987252078.1799998"/>
    <n v="1.282381"/>
    <n v="5.3410019099999997E-2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0"/>
    <x v="0"/>
    <x v="4"/>
    <x v="0"/>
    <x v="44"/>
    <m/>
    <s v="BOT"/>
    <m/>
    <s v="GOVERNMENT"/>
    <m/>
    <m/>
    <m/>
    <d v="2018-11-29T00:00:00"/>
    <n v="57"/>
    <m/>
    <n v="1.1346480000000001"/>
    <m/>
    <m/>
    <n v="1445483665.5999999"/>
    <m/>
    <n v="1445483665.5999999"/>
    <n v="0.15312899999999999"/>
    <n v="1448000000"/>
    <m/>
    <n v="1444440054.1400001"/>
    <n v="1.1346480000000001"/>
    <n v="1.9333345500000002E-2"/>
    <s v="CB18N29A"/>
    <m/>
    <s v="Bank of Thailand Bond"/>
    <s v="พันธบัตรธนาคารแห่งประเทศไทยงวดที่ 22/182/61 "/>
    <s v="พันธบัตรธนาคารแห่งประเทศไทยงวดที่ 22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51"/>
    <s v=" "/>
    <s v="THAILAND"/>
    <s v="THAILAND"/>
    <s v="TH"/>
    <s v=" "/>
    <n v="0"/>
    <b v="0"/>
    <s v="TRANSFERABLE"/>
    <s v=" "/>
    <s v=" "/>
    <b v="0"/>
    <b v="0"/>
    <m/>
    <m/>
    <s v="TH0655D7SB88"/>
    <m/>
    <m/>
    <m/>
    <m/>
    <m/>
    <m/>
  </r>
  <r>
    <x v="0"/>
    <x v="0"/>
    <x v="0"/>
    <x v="4"/>
    <x v="0"/>
    <x v="45"/>
    <m/>
    <s v="BOT"/>
    <m/>
    <s v="GOVERNMENT"/>
    <m/>
    <m/>
    <m/>
    <d v="2018-11-29T00:00:00"/>
    <n v="57"/>
    <m/>
    <n v="1.19"/>
    <m/>
    <m/>
    <n v="2994532710"/>
    <m/>
    <n v="2994289170"/>
    <n v="0.153145"/>
    <n v="3000000000"/>
    <m/>
    <n v="2990730944.1399999"/>
    <n v="1.2431099999999999"/>
    <n v="4.0051877899999998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0"/>
    <x v="0"/>
    <x v="4"/>
    <x v="0"/>
    <x v="46"/>
    <m/>
    <s v="BOT"/>
    <m/>
    <s v="GOVERNMENT"/>
    <m/>
    <m/>
    <m/>
    <d v="2018-10-04T00:00:00"/>
    <n v="1"/>
    <m/>
    <n v="1.1299999999999999"/>
    <m/>
    <m/>
    <n v="5000000"/>
    <m/>
    <n v="5000000"/>
    <n v="2.7399999999999998E-3"/>
    <n v="5000000"/>
    <m/>
    <n v="4998452.55"/>
    <n v="1.1299999999999999"/>
    <n v="6.6874999999999999E-5"/>
    <s v="CB18O04A"/>
    <m/>
    <s v="Bank of Thailand Bond"/>
    <s v="พันธบัตรธนาคารแห่งประเทศไทยงวดที่ 14/182/61"/>
    <s v="พันธบัตรธนาคารแห่งประเทศไทยงวดที่ 1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195"/>
    <s v=" "/>
    <s v="THAILAND"/>
    <s v="THAILAND"/>
    <s v="TH"/>
    <s v=" "/>
    <n v="0"/>
    <b v="0"/>
    <s v="TRANSFERABLE"/>
    <s v=" "/>
    <s v=" "/>
    <b v="0"/>
    <b v="0"/>
    <m/>
    <m/>
    <s v="TH065507SA88"/>
    <m/>
    <m/>
    <m/>
    <m/>
    <m/>
    <m/>
  </r>
  <r>
    <x v="0"/>
    <x v="0"/>
    <x v="0"/>
    <x v="4"/>
    <x v="0"/>
    <x v="47"/>
    <m/>
    <s v="BOT"/>
    <m/>
    <s v="GOVERNMENT"/>
    <m/>
    <m/>
    <m/>
    <d v="2018-10-04T00:00:00"/>
    <n v="1"/>
    <m/>
    <n v="1.2999099999999999"/>
    <m/>
    <m/>
    <n v="2947000000"/>
    <m/>
    <n v="2947000000"/>
    <n v="2.7399999999999998E-3"/>
    <n v="2947000000"/>
    <m/>
    <n v="2937754154.4299998"/>
    <n v="1.37025"/>
    <n v="3.94161279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0"/>
    <x v="0"/>
    <x v="4"/>
    <x v="0"/>
    <x v="48"/>
    <m/>
    <s v="BOT"/>
    <m/>
    <s v="GOVERNMENT"/>
    <m/>
    <m/>
    <m/>
    <d v="2018-10-09T00:00:00"/>
    <n v="6"/>
    <m/>
    <n v="1.16547"/>
    <m/>
    <m/>
    <n v="1262798387.3099999"/>
    <m/>
    <n v="1262798387.3099999"/>
    <n v="1.3697000000000001E-2"/>
    <n v="1263000000"/>
    <m/>
    <n v="1262435653.71"/>
    <n v="1.16547"/>
    <n v="1.68899297E-2"/>
    <s v="CB18O09A"/>
    <m/>
    <s v="Bank of Thailand Bond"/>
    <s v="พันธบัตรธนาคารแห่งประเทศไทยงวดที่ พ.38/14/61"/>
    <s v="พันธบัตรธนาคารแห่งประเทศไทยงวดที่ พ.38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68"/>
    <s v=" "/>
    <s v="THAILAND"/>
    <s v="THAILAND"/>
    <s v="TH"/>
    <s v=" "/>
    <n v="0"/>
    <b v="0"/>
    <s v="TRANSFERABLE"/>
    <s v=" "/>
    <s v=" "/>
    <b v="0"/>
    <b v="0"/>
    <m/>
    <m/>
    <s v="TH0655I7SA88"/>
    <m/>
    <m/>
    <m/>
    <m/>
    <m/>
    <m/>
  </r>
  <r>
    <x v="0"/>
    <x v="0"/>
    <x v="0"/>
    <x v="4"/>
    <x v="0"/>
    <x v="49"/>
    <m/>
    <s v="BOT"/>
    <m/>
    <s v="GOVERNMENT"/>
    <m/>
    <m/>
    <m/>
    <d v="2018-10-11T00:00:00"/>
    <n v="8"/>
    <m/>
    <n v="1.1682079999999999"/>
    <m/>
    <m/>
    <n v="758829991.59000003"/>
    <m/>
    <n v="758829991.59000003"/>
    <n v="1.9174E-2"/>
    <n v="759000000"/>
    <m/>
    <n v="758633687.57000005"/>
    <n v="1.1682079999999999"/>
    <n v="1.0149351900000001E-2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0"/>
    <x v="0"/>
    <x v="4"/>
    <x v="0"/>
    <x v="50"/>
    <m/>
    <s v="BOT"/>
    <m/>
    <s v="GOVERNMENT"/>
    <m/>
    <m/>
    <m/>
    <d v="2018-10-11T00:00:00"/>
    <n v="8"/>
    <m/>
    <n v="1.3136570000000001"/>
    <m/>
    <m/>
    <n v="3647081178.2399998"/>
    <m/>
    <n v="3647080849.9200001"/>
    <n v="1.9174E-2"/>
    <n v="3648000000"/>
    <m/>
    <n v="3637653594.2199998"/>
    <n v="1.3141229999999999"/>
    <n v="4.87797144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0"/>
    <x v="0"/>
    <x v="4"/>
    <x v="0"/>
    <x v="51"/>
    <m/>
    <s v="BOT"/>
    <m/>
    <s v="GOVERNMENT"/>
    <m/>
    <m/>
    <m/>
    <d v="2018-10-18T00:00:00"/>
    <n v="15"/>
    <m/>
    <n v="1.1299999999999999"/>
    <m/>
    <m/>
    <n v="377836235.27999997"/>
    <m/>
    <n v="377836235.27999997"/>
    <n v="3.8338999999999998E-2"/>
    <n v="378000000"/>
    <m/>
    <n v="377723152.05000001"/>
    <n v="1.1299999999999999"/>
    <n v="5.0535600000000003E-3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0"/>
    <x v="0"/>
    <x v="4"/>
    <x v="0"/>
    <x v="52"/>
    <m/>
    <s v="BOT"/>
    <m/>
    <s v="GOVERNMENT"/>
    <m/>
    <m/>
    <m/>
    <d v="2018-10-18T00:00:00"/>
    <n v="15"/>
    <m/>
    <n v="1.302297"/>
    <m/>
    <m/>
    <n v="2647677460.2600002"/>
    <m/>
    <n v="2647652003.3699999"/>
    <n v="3.8338999999999998E-2"/>
    <n v="2649000000"/>
    <m/>
    <n v="2641712492.3200002"/>
    <n v="1.3273680000000001"/>
    <n v="3.5412688599999999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0"/>
    <x v="0"/>
    <x v="4"/>
    <x v="0"/>
    <x v="53"/>
    <m/>
    <s v="BOT"/>
    <m/>
    <s v="GOVERNMENT"/>
    <m/>
    <m/>
    <m/>
    <d v="2018-10-25T00:00:00"/>
    <n v="22"/>
    <m/>
    <n v="1.1713070000000001"/>
    <m/>
    <m/>
    <n v="741500300.10000002"/>
    <m/>
    <n v="741500300.10000002"/>
    <n v="5.7495999999999998E-2"/>
    <n v="742000000"/>
    <m/>
    <n v="741277308.58000004"/>
    <n v="1.1713070000000001"/>
    <n v="9.9175671999999996E-3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0"/>
    <x v="0"/>
    <x v="4"/>
    <x v="0"/>
    <x v="54"/>
    <m/>
    <s v="BOT"/>
    <m/>
    <s v="GOVERNMENT"/>
    <m/>
    <m/>
    <m/>
    <d v="2018-10-25T00:00:00"/>
    <n v="22"/>
    <m/>
    <n v="1.240003"/>
    <m/>
    <m/>
    <n v="3595434913.8400002"/>
    <m/>
    <n v="3595347410.48"/>
    <n v="5.7495999999999998E-2"/>
    <n v="3598000000"/>
    <m/>
    <n v="3588331300.0900002"/>
    <n v="1.2823359999999999"/>
    <n v="4.8088945500000001E-2"/>
    <s v="CB18O25B"/>
    <m/>
    <s v="Bank of Thailand Bond"/>
    <s v="พันธบัตรธนาคารแห่งประเทศไทยงวดที่ 30/91/61"/>
    <s v="พันธบัตรธนาคารแห่งประเทศไทยงวดที่ 3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07"/>
    <s v=" "/>
    <s v="THAILAND"/>
    <s v="THAILAND"/>
    <s v="TH"/>
    <s v=" "/>
    <n v="0"/>
    <b v="0"/>
    <s v="TRANSFERABLE"/>
    <s v=" "/>
    <s v=" "/>
    <b v="0"/>
    <b v="0"/>
    <m/>
    <m/>
    <s v="TH0655G7SA82"/>
    <m/>
    <m/>
    <m/>
    <m/>
    <m/>
    <m/>
  </r>
  <r>
    <x v="0"/>
    <x v="0"/>
    <x v="0"/>
    <x v="4"/>
    <x v="0"/>
    <x v="55"/>
    <m/>
    <s v="BOT"/>
    <m/>
    <s v="GOVERNMENT"/>
    <m/>
    <m/>
    <m/>
    <d v="2019-01-03T00:00:00"/>
    <n v="92"/>
    <m/>
    <n v="1.490442"/>
    <m/>
    <m/>
    <n v="2988934109.27"/>
    <m/>
    <n v="2988934109.27"/>
    <n v="0.25205499999999997"/>
    <n v="3000000000"/>
    <m/>
    <n v="2988934109.27"/>
    <n v="1.490442"/>
    <n v="3.9976996700000003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0"/>
    <x v="0"/>
    <x v="5"/>
    <x v="0"/>
    <x v="56"/>
    <s v="A(tha)"/>
    <s v="CPALL"/>
    <s v="LISTED"/>
    <s v="COMMERCE"/>
    <s v="A+"/>
    <m/>
    <m/>
    <d v="2018-10-31T00:00:00"/>
    <n v="28"/>
    <n v="4.7"/>
    <n v="1.5"/>
    <n v="100000"/>
    <n v="1002.1527599999999"/>
    <n v="100215276"/>
    <n v="2021644"/>
    <n v="100215276"/>
    <n v="7.3421E-2"/>
    <n v="100000000"/>
    <m/>
    <n v="100693533"/>
    <n v="1.5"/>
    <n v="1.3674188999999999E-3"/>
    <s v="CPALL18OB"/>
    <m/>
    <s v="CP ALL PLC."/>
    <s v="หุ้นกู้บริษัท ซีพี ออลล์ จำกัด (มหาชน) ครั้งที่ 1/2556 ชุดที่ 6"/>
    <s v="หุ้นกู้บริษัท ซีพี ออลล์ จำกัด (มหาชน) ครั้งที่ 1/2556 ชุดที่ 6 ครบกำหนดไถ่ถอนปี พ.ศ. 2561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1578"/>
    <s v=" "/>
    <s v="THAILAND"/>
    <s v="THAILAND"/>
    <s v="TH"/>
    <s v=" "/>
    <n v="10000"/>
    <b v="0"/>
    <s v="TRANSFERABLE"/>
    <s v=" "/>
    <s v=" "/>
    <b v="0"/>
    <b v="0"/>
    <m/>
    <m/>
    <s v="TH0737A3SA02"/>
    <m/>
    <m/>
    <m/>
    <m/>
    <m/>
    <m/>
  </r>
  <r>
    <x v="0"/>
    <x v="0"/>
    <x v="1"/>
    <x v="6"/>
    <x v="0"/>
    <x v="57"/>
    <m/>
    <s v="SCB"/>
    <s v="LISTED"/>
    <s v="BANKING"/>
    <s v="AA+(tha)"/>
    <m/>
    <m/>
    <d v="2019-04-04T00:00:00"/>
    <m/>
    <m/>
    <m/>
    <n v="1"/>
    <m/>
    <n v="101261719.17"/>
    <m/>
    <n v="0"/>
    <n v="0"/>
    <n v="0"/>
    <m/>
    <n v="0"/>
    <n v="0"/>
    <n v="1.3543756000000001E-3"/>
    <s v="FWCNHTHB19404A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BOCMC040419"/>
    <n v="52000"/>
    <b v="0"/>
    <s v=" "/>
    <s v=" "/>
    <s v=" "/>
    <b v="0"/>
    <b v="0"/>
    <m/>
    <m/>
    <s v=" "/>
    <n v="-522500000"/>
    <n v="-101261719.17"/>
    <s v="F12MBOCMC040419"/>
    <n v="522500000"/>
    <s v="THB"/>
    <n v="1"/>
  </r>
  <r>
    <x v="0"/>
    <x v="0"/>
    <x v="1"/>
    <x v="6"/>
    <x v="0"/>
    <x v="58"/>
    <m/>
    <s v="SCB"/>
    <s v="LISTED"/>
    <s v="BANKING"/>
    <s v="AA+(tha)"/>
    <m/>
    <m/>
    <d v="2019-04-11T00:00:00"/>
    <m/>
    <m/>
    <m/>
    <n v="1"/>
    <m/>
    <n v="81495728.969999999"/>
    <m/>
    <n v="0"/>
    <n v="0"/>
    <n v="0"/>
    <m/>
    <n v="0"/>
    <n v="0"/>
    <n v="1.0900055E-3"/>
    <s v="FWCNHTHB19411A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BOCMC110419"/>
    <n v="52000"/>
    <b v="0"/>
    <s v=" "/>
    <s v=" "/>
    <s v=" "/>
    <b v="0"/>
    <b v="0"/>
    <m/>
    <m/>
    <s v=" "/>
    <n v="-418047222.22000003"/>
    <n v="-81495728.969999999"/>
    <s v="F12MBOCMC110419"/>
    <n v="418047222.22000003"/>
    <s v="THB"/>
    <n v="1"/>
  </r>
  <r>
    <x v="0"/>
    <x v="0"/>
    <x v="1"/>
    <x v="6"/>
    <x v="0"/>
    <x v="59"/>
    <m/>
    <s v="SCB"/>
    <s v="LISTED"/>
    <s v="BANKING"/>
    <s v="AA+(tha)"/>
    <m/>
    <m/>
    <d v="2018-11-05T00:00:00"/>
    <m/>
    <m/>
    <m/>
    <n v="1"/>
    <m/>
    <n v="20330625.530000001"/>
    <m/>
    <n v="0"/>
    <n v="0"/>
    <n v="0"/>
    <m/>
    <n v="0"/>
    <n v="0"/>
    <n v="2.719221E-4"/>
    <s v="FWEURTHB18N05B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6MBOCMC051118"/>
    <n v="52000"/>
    <b v="0"/>
    <s v=" "/>
    <s v=" "/>
    <s v=" "/>
    <b v="0"/>
    <b v="0"/>
    <m/>
    <m/>
    <s v=" "/>
    <n v="-25005166.670000002"/>
    <n v="-20330625.530000001"/>
    <s v="F6MBOCMC051118"/>
    <n v="25005166.670000002"/>
    <s v="THB"/>
    <n v="1"/>
  </r>
  <r>
    <x v="0"/>
    <x v="0"/>
    <x v="1"/>
    <x v="6"/>
    <x v="0"/>
    <x v="60"/>
    <m/>
    <s v="SCB"/>
    <s v="LISTED"/>
    <s v="BANKING"/>
    <s v="AA+(tha)"/>
    <m/>
    <m/>
    <d v="2019-03-19T00:00:00"/>
    <m/>
    <m/>
    <m/>
    <n v="1"/>
    <m/>
    <n v="5824622.46"/>
    <m/>
    <n v="0"/>
    <n v="0"/>
    <n v="0"/>
    <m/>
    <n v="0"/>
    <n v="0"/>
    <n v="7.7904299999999999E-5"/>
    <s v="FWEURTHB19319B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6MBOCMC190319"/>
    <n v="52000"/>
    <b v="0"/>
    <s v=" "/>
    <s v=" "/>
    <s v=" "/>
    <b v="0"/>
    <b v="0"/>
    <m/>
    <m/>
    <s v=" "/>
    <n v="-10002500"/>
    <n v="-5824622.46"/>
    <s v="F6MBOCMC190319"/>
    <n v="10002500"/>
    <s v="THB"/>
    <n v="1"/>
  </r>
  <r>
    <x v="0"/>
    <x v="0"/>
    <x v="1"/>
    <x v="6"/>
    <x v="0"/>
    <x v="61"/>
    <m/>
    <s v="SCB"/>
    <s v="LISTED"/>
    <s v="BANKING"/>
    <s v="AA+(tha)"/>
    <m/>
    <m/>
    <d v="2019-04-25T00:00:00"/>
    <m/>
    <m/>
    <m/>
    <n v="1"/>
    <m/>
    <n v="90651663.579999998"/>
    <m/>
    <n v="0"/>
    <n v="0"/>
    <n v="0"/>
    <m/>
    <n v="0"/>
    <n v="0"/>
    <n v="1.2124661E-3"/>
    <s v="FWEURTHB19425A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BOCMC250419"/>
    <n v="52000"/>
    <b v="0"/>
    <s v=" "/>
    <s v=" "/>
    <s v=" "/>
    <b v="0"/>
    <b v="0"/>
    <m/>
    <m/>
    <s v=" "/>
    <n v="-70042583.329999998"/>
    <n v="-90651663.579999998"/>
    <s v="F12MBOCMC250419"/>
    <n v="70042583.329999998"/>
    <s v="THB"/>
    <n v="1"/>
  </r>
  <r>
    <x v="0"/>
    <x v="0"/>
    <x v="1"/>
    <x v="6"/>
    <x v="0"/>
    <x v="62"/>
    <m/>
    <s v="KKP"/>
    <s v="LISTED"/>
    <s v="BANKING"/>
    <s v="A-"/>
    <m/>
    <m/>
    <d v="2019-05-10T00:00:00"/>
    <m/>
    <m/>
    <m/>
    <n v="1"/>
    <m/>
    <n v="40398812.969999999"/>
    <m/>
    <n v="0"/>
    <n v="0"/>
    <n v="0"/>
    <m/>
    <n v="0"/>
    <n v="0"/>
    <n v="5.4033420000000002E-4"/>
    <s v="FWEURTHB19510A"/>
    <m/>
    <s v="FWD SCBSFF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ABCHK100519"/>
    <n v="16000"/>
    <b v="0"/>
    <s v=" "/>
    <s v=" "/>
    <s v=" "/>
    <b v="0"/>
    <b v="0"/>
    <m/>
    <m/>
    <s v=" "/>
    <n v="-50025347.219999999"/>
    <n v="-40398812.969999999"/>
    <s v="F12MABCHK100519"/>
    <n v="50025347.219999999"/>
    <s v="THB"/>
    <n v="1"/>
  </r>
  <r>
    <x v="0"/>
    <x v="0"/>
    <x v="1"/>
    <x v="6"/>
    <x v="0"/>
    <x v="63"/>
    <m/>
    <s v="KKP"/>
    <s v="LISTED"/>
    <s v="BANKING"/>
    <s v="A-"/>
    <m/>
    <m/>
    <d v="2018-11-06T00:00:00"/>
    <m/>
    <m/>
    <m/>
    <n v="1"/>
    <m/>
    <n v="22154907.289999999"/>
    <m/>
    <n v="0"/>
    <n v="0"/>
    <n v="0"/>
    <m/>
    <n v="0"/>
    <n v="0"/>
    <n v="2.9632189999999998E-4"/>
    <s v="FWUSDTHB18N06C"/>
    <m/>
    <s v="FWD SFF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ADCB061118b"/>
    <n v="16000"/>
    <b v="0"/>
    <s v=" "/>
    <s v=" "/>
    <s v=" "/>
    <b v="0"/>
    <b v="0"/>
    <m/>
    <m/>
    <s v=" "/>
    <n v="-35849364.539999999"/>
    <n v="-22154907.289999999"/>
    <s v="F12MADCB061118b"/>
    <n v="35849364.539999999"/>
    <s v="THB"/>
    <n v="1"/>
  </r>
  <r>
    <x v="0"/>
    <x v="0"/>
    <x v="1"/>
    <x v="6"/>
    <x v="0"/>
    <x v="64"/>
    <m/>
    <s v="SCB"/>
    <s v="LISTED"/>
    <s v="BANKING"/>
    <s v="AA+(tha)"/>
    <m/>
    <m/>
    <d v="2018-10-16T00:00:00"/>
    <m/>
    <m/>
    <m/>
    <n v="1"/>
    <m/>
    <n v="30809014.390000001"/>
    <m/>
    <n v="0"/>
    <n v="0"/>
    <n v="0"/>
    <m/>
    <n v="0"/>
    <n v="0"/>
    <n v="4.1207059999999999E-4"/>
    <s v="FWUSDTHB18O16A"/>
    <m/>
    <s v="FWD 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ADCB161018"/>
    <n v="52000"/>
    <b v="0"/>
    <s v=" "/>
    <s v=" "/>
    <s v=" "/>
    <b v="0"/>
    <b v="0"/>
    <m/>
    <m/>
    <s v=" "/>
    <n v="-51206666.670000002"/>
    <n v="-30809014.390000001"/>
    <s v="F12MADCB161018"/>
    <n v="51206666.670000002"/>
    <s v="THB"/>
    <n v="1"/>
  </r>
  <r>
    <x v="0"/>
    <x v="0"/>
    <x v="1"/>
    <x v="6"/>
    <x v="0"/>
    <x v="65"/>
    <m/>
    <s v="SCB"/>
    <s v="LISTED"/>
    <s v="BANKING"/>
    <s v="AA+(tha)"/>
    <m/>
    <m/>
    <d v="2018-10-16T00:00:00"/>
    <m/>
    <m/>
    <m/>
    <n v="1"/>
    <m/>
    <n v="28982560.719999999"/>
    <m/>
    <n v="0"/>
    <n v="0"/>
    <n v="0"/>
    <m/>
    <n v="0"/>
    <n v="0"/>
    <n v="3.8764179999999999E-4"/>
    <s v="FWUSDTHB18O16C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3MABCHK161018"/>
    <n v="52000"/>
    <b v="0"/>
    <s v=" "/>
    <s v=" "/>
    <s v=" "/>
    <b v="0"/>
    <b v="0"/>
    <m/>
    <m/>
    <s v=" "/>
    <n v="-40299733.329999998"/>
    <n v="-28982560.719999999"/>
    <s v="F3MABCHK161018"/>
    <n v="40299733.329999998"/>
    <s v="THB"/>
    <n v="1"/>
  </r>
  <r>
    <x v="0"/>
    <x v="0"/>
    <x v="1"/>
    <x v="6"/>
    <x v="0"/>
    <x v="66"/>
    <m/>
    <s v="SCB"/>
    <s v="LISTED"/>
    <s v="BANKING"/>
    <s v="AA+(tha)"/>
    <m/>
    <m/>
    <d v="2019-04-25T00:00:00"/>
    <m/>
    <m/>
    <m/>
    <n v="1"/>
    <m/>
    <n v="-30803789.23"/>
    <m/>
    <n v="0"/>
    <n v="0"/>
    <n v="0"/>
    <m/>
    <n v="0"/>
    <n v="0"/>
    <n v="-4.1200070000000001E-4"/>
    <s v="FWUSDTHB19425A"/>
    <m/>
    <s v="FWD SCBSFF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s v="THAILAND"/>
    <s v="TH"/>
    <s v="F12MABCHK250419"/>
    <n v="52000"/>
    <b v="0"/>
    <s v=" "/>
    <s v=" "/>
    <s v=" "/>
    <b v="0"/>
    <b v="0"/>
    <m/>
    <m/>
    <s v=" "/>
    <n v="-30958925"/>
    <n v="30803789.23"/>
    <s v="F12MABCHK250419"/>
    <n v="30958925"/>
    <s v="THB"/>
    <n v="1"/>
  </r>
  <r>
    <x v="0"/>
    <x v="0"/>
    <x v="2"/>
    <x v="7"/>
    <x v="1"/>
    <x v="5"/>
    <m/>
    <m/>
    <m/>
    <m/>
    <m/>
    <m/>
    <m/>
    <m/>
    <m/>
    <m/>
    <m/>
    <n v="0"/>
    <n v="0"/>
    <n v="7248223.9100000001"/>
    <m/>
    <n v="7248223.9100000001"/>
    <n v="0"/>
    <m/>
    <m/>
    <n v="24"/>
    <n v="0"/>
    <n v="9.6945000000000001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0"/>
    <x v="3"/>
    <x v="8"/>
    <x v="1"/>
    <x v="55"/>
    <m/>
    <m/>
    <m/>
    <m/>
    <m/>
    <m/>
    <m/>
    <m/>
    <m/>
    <m/>
    <m/>
    <n v="0"/>
    <n v="99.629731000000007"/>
    <n v="-1992594629.27"/>
    <m/>
    <n v="-1992594629.27"/>
    <m/>
    <m/>
    <m/>
    <n v="7"/>
    <n v="0"/>
    <n v="-2.6650955099999998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0"/>
    <x v="3"/>
    <x v="8"/>
    <x v="2"/>
    <x v="55"/>
    <m/>
    <m/>
    <m/>
    <m/>
    <m/>
    <m/>
    <m/>
    <m/>
    <m/>
    <m/>
    <m/>
    <n v="0"/>
    <n v="99.633948000000004"/>
    <n v="-996339480"/>
    <m/>
    <n v="-996339480"/>
    <m/>
    <m/>
    <m/>
    <n v="7"/>
    <n v="0"/>
    <n v="-1.33260415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0"/>
    <x v="3"/>
    <x v="9"/>
    <x v="3"/>
    <x v="67"/>
    <m/>
    <m/>
    <m/>
    <m/>
    <m/>
    <m/>
    <m/>
    <m/>
    <m/>
    <m/>
    <m/>
    <m/>
    <m/>
    <n v="-173863.3"/>
    <m/>
    <m/>
    <m/>
    <m/>
    <m/>
    <n v="0"/>
    <n v="0"/>
    <n v="-2.3253999999999998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9"/>
    <x v="3"/>
    <x v="67"/>
    <m/>
    <m/>
    <m/>
    <m/>
    <m/>
    <m/>
    <m/>
    <m/>
    <m/>
    <m/>
    <m/>
    <m/>
    <m/>
    <n v="-1149.44"/>
    <m/>
    <m/>
    <m/>
    <m/>
    <m/>
    <n v="0"/>
    <n v="0"/>
    <n v="-1.5399999999999999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0"/>
    <x v="0"/>
    <x v="68"/>
    <m/>
    <m/>
    <m/>
    <m/>
    <m/>
    <m/>
    <m/>
    <m/>
    <m/>
    <m/>
    <m/>
    <m/>
    <m/>
    <n v="-1628535.17"/>
    <n v="0"/>
    <m/>
    <m/>
    <m/>
    <m/>
    <n v="0"/>
    <n v="0"/>
    <n v="-2.1781699999999998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1"/>
    <x v="4"/>
    <x v="68"/>
    <m/>
    <m/>
    <m/>
    <m/>
    <m/>
    <m/>
    <m/>
    <m/>
    <m/>
    <m/>
    <m/>
    <m/>
    <m/>
    <n v="0"/>
    <m/>
    <n v="0"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2"/>
    <x v="5"/>
    <x v="69"/>
    <m/>
    <m/>
    <m/>
    <m/>
    <m/>
    <m/>
    <m/>
    <m/>
    <m/>
    <m/>
    <m/>
    <m/>
    <m/>
    <n v="-4182.17"/>
    <m/>
    <m/>
    <m/>
    <m/>
    <m/>
    <n v="0"/>
    <n v="0"/>
    <n v="-5.58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2"/>
    <x v="5"/>
    <x v="69"/>
    <m/>
    <m/>
    <m/>
    <m/>
    <m/>
    <m/>
    <m/>
    <m/>
    <m/>
    <m/>
    <m/>
    <m/>
    <m/>
    <n v="-424.95"/>
    <m/>
    <m/>
    <m/>
    <m/>
    <m/>
    <n v="0"/>
    <n v="0"/>
    <n v="-5.6999999999999998E-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3"/>
    <x v="6"/>
    <x v="68"/>
    <m/>
    <m/>
    <m/>
    <m/>
    <m/>
    <m/>
    <m/>
    <m/>
    <m/>
    <m/>
    <m/>
    <m/>
    <m/>
    <n v="-57632079.109999999"/>
    <m/>
    <n v="-57632079.109999999"/>
    <m/>
    <m/>
    <m/>
    <n v="0"/>
    <n v="0"/>
    <n v="-7.7082910000000004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3"/>
    <x v="14"/>
    <x v="7"/>
    <x v="68"/>
    <m/>
    <m/>
    <m/>
    <m/>
    <m/>
    <m/>
    <m/>
    <m/>
    <m/>
    <m/>
    <m/>
    <m/>
    <m/>
    <n v="-740029.92"/>
    <m/>
    <n v="-740029.92"/>
    <m/>
    <m/>
    <m/>
    <n v="0"/>
    <n v="0"/>
    <n v="-9.8979000000000006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4"/>
    <x v="14"/>
    <x v="7"/>
    <x v="68"/>
    <m/>
    <m/>
    <m/>
    <m/>
    <m/>
    <m/>
    <m/>
    <m/>
    <m/>
    <m/>
    <m/>
    <m/>
    <m/>
    <n v="-21918.31"/>
    <m/>
    <n v="-21918.31"/>
    <m/>
    <m/>
    <m/>
    <n v="0"/>
    <n v="0"/>
    <n v="-2.932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4"/>
    <x v="13"/>
    <x v="6"/>
    <x v="68"/>
    <m/>
    <m/>
    <m/>
    <m/>
    <m/>
    <m/>
    <m/>
    <m/>
    <m/>
    <m/>
    <m/>
    <m/>
    <m/>
    <n v="-1706955.23"/>
    <m/>
    <n v="-1706955.23"/>
    <m/>
    <m/>
    <m/>
    <n v="0"/>
    <n v="0"/>
    <n v="-2.2830500000000001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0"/>
    <x v="4"/>
    <x v="11"/>
    <x v="4"/>
    <x v="68"/>
    <m/>
    <m/>
    <m/>
    <m/>
    <m/>
    <m/>
    <m/>
    <m/>
    <m/>
    <m/>
    <m/>
    <m/>
    <m/>
    <n v="0"/>
    <m/>
    <n v="0"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"/>
    <s v="SCB Short Term Fixed Income Fund"/>
    <s v="MTF"/>
    <m/>
    <m/>
    <m/>
    <m/>
    <m/>
    <m/>
    <m/>
    <m/>
    <m/>
    <m/>
    <m/>
    <m/>
    <m/>
    <m/>
    <m/>
    <m/>
    <m/>
    <m/>
    <m/>
    <m/>
    <m/>
    <m/>
  </r>
  <r>
    <x v="0"/>
    <x v="1"/>
    <x v="0"/>
    <x v="0"/>
    <x v="0"/>
    <x v="70"/>
    <s v="BBB"/>
    <s v="-CASH-"/>
    <m/>
    <m/>
    <m/>
    <m/>
    <m/>
    <m/>
    <m/>
    <m/>
    <m/>
    <m/>
    <m/>
    <n v="0"/>
    <m/>
    <n v="0"/>
    <n v="0"/>
    <n v="0"/>
    <m/>
    <n v="0"/>
    <n v="0"/>
    <n v="0"/>
    <s v="-AED CASH-"/>
    <m/>
    <s v="-AED CASH-"/>
    <m/>
    <m/>
    <s v="Cash Bal"/>
    <s v="-CASH-"/>
    <s v="Cash Balance"/>
    <s v="CASH CUST"/>
    <m/>
    <s v="BANKING"/>
    <s v=" "/>
    <s v=" "/>
    <s v="OTHER"/>
    <s v="AEDbb"/>
    <s v="BBB"/>
    <s v=" "/>
    <s v=" "/>
    <s v="Liquid"/>
    <s v=" "/>
    <m/>
    <m/>
    <s v=" "/>
    <s v="!!!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UAE"/>
    <s v=" "/>
    <s v=" "/>
    <s v=" "/>
    <n v="0"/>
    <b v="1"/>
    <s v=" "/>
    <s v=" "/>
    <s v=" "/>
    <b v="0"/>
    <b v="0"/>
    <m/>
    <m/>
    <s v=" "/>
    <n v="0"/>
    <n v="0"/>
    <m/>
    <n v="0"/>
    <s v="AEDbb"/>
    <n v="8.8091799999999996"/>
  </r>
  <r>
    <x v="0"/>
    <x v="1"/>
    <x v="0"/>
    <x v="0"/>
    <x v="0"/>
    <x v="0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CNY CASH-"/>
    <m/>
    <s v="-CNY CASH-"/>
    <m/>
    <m/>
    <s v="Cash Bal"/>
    <s v="SCB"/>
    <s v="Cash Balance"/>
    <s v="CASH CUST"/>
    <m/>
    <s v="BANKING"/>
    <s v=" "/>
    <s v=" "/>
    <s v="OTHER"/>
    <s v="CNH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52000"/>
    <b v="1"/>
    <s v=" "/>
    <s v=" "/>
    <s v=" "/>
    <b v="0"/>
    <b v="0"/>
    <m/>
    <m/>
    <s v=" "/>
    <n v="0"/>
    <n v="0"/>
    <m/>
    <n v="0"/>
    <s v="CNHbb"/>
    <n v="4.6978"/>
  </r>
  <r>
    <x v="0"/>
    <x v="1"/>
    <x v="0"/>
    <x v="0"/>
    <x v="0"/>
    <x v="1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EUR CASH-"/>
    <m/>
    <s v="EURO Cash Balance"/>
    <m/>
    <m/>
    <s v="Cash Bal"/>
    <s v="SCB"/>
    <s v="Cash Balance"/>
    <s v="CASH CUST"/>
    <m/>
    <s v="BANKING"/>
    <s v=" "/>
    <s v=" "/>
    <s v="OTHER"/>
    <s v="EUR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LUXEMBOURG"/>
    <s v="THAILAND"/>
    <s v="TH"/>
    <s v=" "/>
    <n v="52000"/>
    <b v="1"/>
    <s v=" "/>
    <s v=" "/>
    <s v=" "/>
    <b v="0"/>
    <b v="0"/>
    <m/>
    <m/>
    <s v=" "/>
    <n v="0"/>
    <n v="0"/>
    <m/>
    <n v="0"/>
    <s v="EURbb"/>
    <n v="37.445099999999996"/>
  </r>
  <r>
    <x v="0"/>
    <x v="1"/>
    <x v="0"/>
    <x v="0"/>
    <x v="0"/>
    <x v="71"/>
    <m/>
    <s v="KBANK"/>
    <s v="LISTED"/>
    <s v="BANKING"/>
    <s v="AA+(tha)"/>
    <m/>
    <m/>
    <m/>
    <m/>
    <m/>
    <m/>
    <m/>
    <m/>
    <n v="0"/>
    <m/>
    <n v="0"/>
    <n v="0"/>
    <n v="0"/>
    <m/>
    <n v="0"/>
    <n v="0"/>
    <n v="0"/>
    <s v="-GBP CASH-"/>
    <m/>
    <s v="-GBP CASH-"/>
    <m/>
    <m/>
    <s v="Cash Bal"/>
    <s v="KBANK"/>
    <s v="Cash Balance"/>
    <s v="CASH CUST"/>
    <m/>
    <s v="BANKING"/>
    <s v=" "/>
    <s v=" "/>
    <s v="OTHER"/>
    <s v="GBPbb"/>
    <s v=" "/>
    <s v=" "/>
    <s v=" "/>
    <s v="Liquid"/>
    <s v=" "/>
    <m/>
    <m/>
    <s v="KASIKORNBANK PLC."/>
    <s v="ธนาคารกสิกรไทย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39000"/>
    <b v="1"/>
    <s v="NONTRANSFERABLE"/>
    <s v=" "/>
    <s v=" "/>
    <b v="0"/>
    <b v="0"/>
    <m/>
    <m/>
    <s v=" "/>
    <n v="0"/>
    <n v="0"/>
    <m/>
    <n v="0"/>
    <s v="GBPbb"/>
    <n v="42.116999999999997"/>
  </r>
  <r>
    <x v="0"/>
    <x v="1"/>
    <x v="0"/>
    <x v="0"/>
    <x v="0"/>
    <x v="2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HKD CASH-"/>
    <m/>
    <s v="-HKD CASH-"/>
    <m/>
    <m/>
    <s v="Cash Bal"/>
    <s v="SCB"/>
    <s v="Cash Balance"/>
    <s v="CASH CUST"/>
    <m/>
    <s v="BANKING"/>
    <s v=" "/>
    <s v=" "/>
    <s v="OTHER"/>
    <s v="HKD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52000"/>
    <b v="1"/>
    <s v="NONTRANSFERABLE"/>
    <s v=" "/>
    <s v=" "/>
    <b v="0"/>
    <b v="0"/>
    <m/>
    <m/>
    <s v=" "/>
    <n v="0"/>
    <n v="0"/>
    <m/>
    <n v="0"/>
    <s v="HKDbb"/>
    <n v="4.1292"/>
  </r>
  <r>
    <x v="0"/>
    <x v="1"/>
    <x v="0"/>
    <x v="0"/>
    <x v="0"/>
    <x v="72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JPY CASH-"/>
    <m/>
    <s v="US Cash Balance"/>
    <m/>
    <m/>
    <s v="Cash Bal"/>
    <s v="SCB"/>
    <s v="Cash Balance"/>
    <s v="CASH CUST"/>
    <m/>
    <s v="BANKING"/>
    <s v=" "/>
    <s v=" "/>
    <s v="OTHER"/>
    <s v="JPY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JAPAN"/>
    <s v="THAILAND"/>
    <s v="TH"/>
    <s v=" "/>
    <n v="52000"/>
    <b v="1"/>
    <s v=" "/>
    <s v=" "/>
    <s v=" "/>
    <b v="0"/>
    <b v="0"/>
    <m/>
    <m/>
    <s v=" "/>
    <n v="0"/>
    <n v="0"/>
    <m/>
    <n v="0"/>
    <s v="JPYbb"/>
    <n v="0.28421000000000002"/>
  </r>
  <r>
    <x v="0"/>
    <x v="1"/>
    <x v="0"/>
    <x v="0"/>
    <x v="0"/>
    <x v="4"/>
    <m/>
    <s v="SCB"/>
    <s v="LISTED"/>
    <s v="BANKING"/>
    <s v="AA+(tha)"/>
    <m/>
    <m/>
    <m/>
    <m/>
    <m/>
    <m/>
    <m/>
    <m/>
    <n v="0"/>
    <m/>
    <n v="0"/>
    <n v="0"/>
    <n v="0"/>
    <m/>
    <n v="0"/>
    <n v="0"/>
    <n v="0"/>
    <s v="-US CASH-"/>
    <m/>
    <s v="US Cash Balance"/>
    <m/>
    <m/>
    <s v="Cash Bal"/>
    <s v="SCB"/>
    <s v="Cash Balance"/>
    <s v="CASH CUST"/>
    <m/>
    <s v="BANKING"/>
    <s v=" "/>
    <s v=" "/>
    <s v="OTHER"/>
    <s v="USDbb"/>
    <s v=" "/>
    <s v=" "/>
    <s v=" "/>
    <s v="Liquid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U.S.A."/>
    <s v="THAILAND"/>
    <s v="TH"/>
    <s v=" "/>
    <n v="52000"/>
    <b v="1"/>
    <s v=" "/>
    <s v=" "/>
    <s v=" "/>
    <b v="0"/>
    <b v="0"/>
    <m/>
    <m/>
    <s v=" "/>
    <n v="0"/>
    <n v="0"/>
    <m/>
    <n v="0"/>
    <s v="USDbb"/>
    <n v="32.356999999999999"/>
  </r>
  <r>
    <x v="0"/>
    <x v="1"/>
    <x v="0"/>
    <x v="0"/>
    <x v="0"/>
    <x v="5"/>
    <m/>
    <s v="BAY"/>
    <m/>
    <s v="BANKING"/>
    <m/>
    <m/>
    <m/>
    <m/>
    <m/>
    <m/>
    <m/>
    <m/>
    <m/>
    <n v="9573199.4299999997"/>
    <n v="571165.38"/>
    <n v="9573199.4299999997"/>
    <n v="0"/>
    <n v="0"/>
    <m/>
    <n v="9573199.4299999997"/>
    <n v="0"/>
    <n v="4.69456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0"/>
    <x v="1"/>
    <x v="0"/>
    <x v="73"/>
    <m/>
    <s v="CMBLUX"/>
    <s v="LISTEDFOREIGN"/>
    <s v="BANKING"/>
    <s v="BBB"/>
    <m/>
    <m/>
    <d v="2019-02-01T00:00:00"/>
    <n v="121"/>
    <m/>
    <n v="0.14000000000000001"/>
    <n v="100000000"/>
    <n v="1402.1355140000001"/>
    <n v="3744510000"/>
    <m/>
    <n v="3742763377.0900002"/>
    <m/>
    <n v="100000000"/>
    <m/>
    <n v="3864574569.5999999"/>
    <n v="0.14000000000000001"/>
    <n v="1.7328675299999999E-2"/>
    <s v="CD"/>
    <m/>
    <s v="CD 12 MONTH DEPOSIT CHINA MERCHANTS BANK, LUXEMBOURG"/>
    <s v="บัตรเงินฝาก 12 เดือน CHINA MERCHANTS BANK, LUXEMBOURG"/>
    <s v="บัตรเงินฝาก 12 เดือน CHINA MERCHANTS BANK, LUXEMBOURG"/>
    <s v="Bond"/>
    <s v="CMBLUX"/>
    <s v="IAMAct/360    U"/>
    <s v="FIXED"/>
    <m/>
    <s v="BANKING"/>
    <s v=" "/>
    <s v=" "/>
    <s v="NO MARKET"/>
    <s v="EURbb"/>
    <s v=" "/>
    <s v=" "/>
    <s v="P/P"/>
    <s v=" "/>
    <s v="BOND"/>
    <m/>
    <m/>
    <s v="CHINA MERCHANTS BANK, LUXEMBOURG BRANCH"/>
    <s v="ธนาคาร CHINA MERCHANTS BANK, LUXEMBOURG BRANCH"/>
    <s v="LISTEDFOREIGN"/>
    <s v=" "/>
    <s v="BBB"/>
    <s v=" "/>
    <s v="BBB+"/>
    <s v="A3"/>
    <s v="BBB"/>
    <n v="9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36"/>
    <s v=" "/>
    <s v="LUXEMBOURG"/>
    <s v="LUXEMBOURG"/>
    <s v="LU"/>
    <s v=" "/>
    <n v="20000"/>
    <b v="0"/>
    <s v="NONTRANSFERABLE"/>
    <s v=" "/>
    <s v=" "/>
    <b v="0"/>
    <b v="0"/>
    <m/>
    <m/>
    <s v="XS1768707702"/>
    <n v="3864574569.5500002"/>
    <n v="0"/>
    <m/>
    <n v="0"/>
    <s v="EURbb"/>
    <n v="37.445099999999996"/>
  </r>
  <r>
    <x v="0"/>
    <x v="1"/>
    <x v="0"/>
    <x v="1"/>
    <x v="0"/>
    <x v="74"/>
    <s v="F1"/>
    <s v="ICBCDUBAI"/>
    <s v="LISTEDFOREIGN"/>
    <s v="BANKING"/>
    <s v="A"/>
    <m/>
    <m/>
    <d v="2019-01-16T00:00:00"/>
    <n v="105"/>
    <n v="2.5"/>
    <n v="2.6850000000000001"/>
    <n v="30000000"/>
    <n v="1046.1378689999999"/>
    <n v="969933432"/>
    <n v="17594118.75"/>
    <n v="970059779.61000001"/>
    <m/>
    <n v="30000000"/>
    <m/>
    <n v="964236093.65999997"/>
    <n v="2.6850000000000001"/>
    <n v="4.5700356999999999E-3"/>
    <s v="CD"/>
    <m/>
    <s v="CD 12 MONTH DEPOSIT ICBC, DUBAI BRANCH"/>
    <s v="บัตรเงินฝาก 12 เดือน ธนาคาร ICBC ,DUBAI BRANCH"/>
    <s v="บัตรเงินฝาก 12 เดือน ธนาคาร ICBC ,DUBAI BRANCH"/>
    <s v="Bond"/>
    <s v="ICBCDUBAI"/>
    <s v="IAMAct/360    U"/>
    <s v="FIXED"/>
    <m/>
    <s v="BANKING"/>
    <s v=" "/>
    <s v=" "/>
    <s v="NO MARKET"/>
    <s v="USDbb"/>
    <s v="A-1"/>
    <s v="P1"/>
    <s v="P/P"/>
    <s v=" "/>
    <s v="BOND"/>
    <s v="F1"/>
    <m/>
    <s v="INDUSTRIAL AND COMMERCIAL BANK OF CHINA LTD. ,DUBAI BRANCH"/>
    <s v="INDUSTRIAL AND COMMERCIAL BANK OF CHINA LTD. ,DUBAI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16"/>
    <s v=" "/>
    <s v="UAE"/>
    <s v="UAE"/>
    <s v="AE"/>
    <s v=" "/>
    <n v="40000"/>
    <b v="0"/>
    <s v="NONTRANSFERABLE"/>
    <s v=" "/>
    <s v=" "/>
    <b v="0"/>
    <b v="0"/>
    <m/>
    <m/>
    <s v="XS1750990340"/>
    <n v="964236093.65999997"/>
    <n v="0"/>
    <m/>
    <n v="0"/>
    <s v="USDbb"/>
    <n v="32.356999999999999"/>
  </r>
  <r>
    <x v="0"/>
    <x v="1"/>
    <x v="0"/>
    <x v="1"/>
    <x v="0"/>
    <x v="75"/>
    <m/>
    <s v="TBANK"/>
    <s v="LISTED"/>
    <s v="BANKING"/>
    <s v="AA-"/>
    <m/>
    <m/>
    <d v="2019-05-17T00:00:00"/>
    <n v="226"/>
    <n v="1.65"/>
    <m/>
    <m/>
    <m/>
    <n v="2000000000"/>
    <n v="12657534.25"/>
    <n v="2000000000"/>
    <n v="0.61295500000000003"/>
    <n v="2000000000"/>
    <m/>
    <n v="2000000000"/>
    <n v="1.65"/>
    <n v="9.3140862000000001E-3"/>
    <s v="CD12MTBANK17519"/>
    <m/>
    <s v="Negotiable Certificate Of Deposit TBANK"/>
    <s v="บัตรเงินฝาก 12 เดือน บมจ.ธนาคาร ธนชาต"/>
    <s v="บัตรเงินฝาก 12 เดือน บมจ.ธนาคาร ธนชาต"/>
    <s v="Bond"/>
    <s v="TBANK"/>
    <s v="TERM AC365 U"/>
    <s v="FIXED"/>
    <m/>
    <s v="BANKING"/>
    <s v=" "/>
    <s v=" "/>
    <s v="NO MARKET"/>
    <s v="THB"/>
    <s v=" "/>
    <s v=" "/>
    <s v="P/O"/>
    <s v=" "/>
    <s v="P/N"/>
    <m/>
    <m/>
    <s v="THANACHART BANK PLC."/>
    <s v="ธนาคารธนชาต จำกัด (มหาชน)"/>
    <s v="LISTED"/>
    <s v="AA-"/>
    <s v="AA-(tha)"/>
    <s v=" "/>
    <s v=" "/>
    <s v=" "/>
    <s v="AA-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40000"/>
    <b v="0"/>
    <s v="NONTRANSFERABLE"/>
    <s v=" "/>
    <s v=" "/>
    <b v="0"/>
    <b v="0"/>
    <m/>
    <m/>
    <s v=" "/>
    <m/>
    <m/>
    <m/>
    <m/>
    <m/>
    <m/>
  </r>
  <r>
    <x v="0"/>
    <x v="1"/>
    <x v="0"/>
    <x v="1"/>
    <x v="0"/>
    <x v="76"/>
    <m/>
    <s v="BOC HK"/>
    <s v="LISTEDFOREIGN"/>
    <s v="BANKING"/>
    <s v="A"/>
    <m/>
    <m/>
    <d v="2019-03-06T00:00:00"/>
    <n v="154"/>
    <m/>
    <n v="0"/>
    <n v="100000000"/>
    <n v="1402.1355140000001"/>
    <n v="3744510000"/>
    <m/>
    <n v="3744510000"/>
    <m/>
    <n v="100000000"/>
    <m/>
    <n v="3845000000"/>
    <n v="0"/>
    <n v="1.7328675299999999E-2"/>
    <s v="CD"/>
    <m/>
    <s v="CD 12 Month Bank of China Hong Kong Branch"/>
    <s v="ใบรับฝากเงิน 12 เดือน ธนาคาร Bank of China (Hong Kong)"/>
    <s v="ใบรับฝากเงิน 12 เดือน ธนาคาร Bank of China (Hong Kong)"/>
    <s v="Bond"/>
    <s v="BOC HK"/>
    <s v="TERM AC360 U"/>
    <s v="FIXED"/>
    <m/>
    <s v="BANKING"/>
    <s v=" "/>
    <s v=" "/>
    <s v="NO MARKET"/>
    <s v="EURbb"/>
    <s v=" "/>
    <s v=" "/>
    <s v="P/P"/>
    <s v=" "/>
    <s v="BOND"/>
    <m/>
    <m/>
    <s v="BANK OF CHINA  HONGKONG BRANCH"/>
    <s v="BANK OF CHINA  HONGKONG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5"/>
    <s v=" "/>
    <s v="HONGKONG"/>
    <s v="HONGKONG"/>
    <s v="HK"/>
    <s v=" "/>
    <n v="0"/>
    <b v="0"/>
    <s v="NONTRANSFERABLE"/>
    <s v=" "/>
    <s v=" "/>
    <b v="0"/>
    <b v="0"/>
    <m/>
    <m/>
    <s v="HK0000403979"/>
    <n v="3844999999.96"/>
    <n v="0"/>
    <m/>
    <n v="0"/>
    <s v="EURbb"/>
    <n v="37.445099999999996"/>
  </r>
  <r>
    <x v="0"/>
    <x v="1"/>
    <x v="0"/>
    <x v="1"/>
    <x v="0"/>
    <x v="77"/>
    <s v="F1"/>
    <s v="BOC HK"/>
    <s v="LISTEDFOREIGN"/>
    <s v="BANKING"/>
    <s v="A"/>
    <m/>
    <m/>
    <d v="2018-12-07T00:00:00"/>
    <n v="65"/>
    <m/>
    <n v="-0.01"/>
    <n v="50000000"/>
    <n v="1402.1355140000001"/>
    <n v="1872255000"/>
    <m/>
    <n v="1872288285.1300001"/>
    <m/>
    <n v="50000000"/>
    <m/>
    <n v="1944197121.5999999"/>
    <n v="-0.01"/>
    <n v="8.6643377000000001E-3"/>
    <s v="CD"/>
    <m/>
    <s v="CD 12 Month Bank of China Hong Kong Branch"/>
    <s v="ใบรับฝากเงิน 12 เดือน ธนาคาร Bank of China (Hong Kong)"/>
    <s v="ใบรับฝากเงิน 12 เดือน ธนาคาร Bank of China (Hong Kong)"/>
    <s v="Bond"/>
    <s v="BOC HK"/>
    <s v="IAMAct/360    U"/>
    <s v="FIXED"/>
    <m/>
    <s v="BANKING"/>
    <s v=" "/>
    <s v=" "/>
    <s v="NO MARKET"/>
    <s v="EURbb"/>
    <s v="A-1"/>
    <s v="P1"/>
    <s v="P/P"/>
    <s v=" "/>
    <s v="BOND"/>
    <s v="F1"/>
    <m/>
    <s v="BANK OF CHINA  HONGKONG BRANCH"/>
    <s v="BANK OF CHINA  HONGKONG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76"/>
    <s v=" "/>
    <s v="HONGKONG"/>
    <s v="HONGKONG"/>
    <s v="HK"/>
    <s v=" "/>
    <n v="0"/>
    <b v="0"/>
    <s v="NONTRANSFERABLE"/>
    <s v=" "/>
    <s v=" "/>
    <b v="0"/>
    <b v="0"/>
    <m/>
    <m/>
    <s v="HK0000380458"/>
    <n v="1944197121.5999999"/>
    <n v="0"/>
    <m/>
    <n v="0"/>
    <s v="EURbb"/>
    <n v="37.445099999999996"/>
  </r>
  <r>
    <x v="0"/>
    <x v="1"/>
    <x v="0"/>
    <x v="1"/>
    <x v="0"/>
    <x v="78"/>
    <s v="F1"/>
    <s v="ICBCSEOUL"/>
    <s v="LISTEDFOREIGN"/>
    <s v="BANKING"/>
    <s v="A"/>
    <m/>
    <m/>
    <d v="2019-02-08T00:00:00"/>
    <n v="128"/>
    <n v="2.8"/>
    <n v="0"/>
    <n v="50000000"/>
    <n v="1046.975449"/>
    <n v="1617850000"/>
    <n v="29822368.329999998"/>
    <n v="1617850000"/>
    <m/>
    <n v="50000000"/>
    <m/>
    <n v="1583000000"/>
    <n v="2.8"/>
    <n v="7.6250242000000003E-3"/>
    <s v="CD"/>
    <m/>
    <s v="CD 12 MONTH DEPOSIT ICBC, SEOUL BRANCH"/>
    <s v="บัตรเงินฝาก 12 เดือน ธนาคาร ICBC Seoul Branch"/>
    <s v="บัตรเงินฝาก 12 เดือน ธนาคาร ICBC Seoul Branch"/>
    <s v="Bond"/>
    <s v="ICBCSEOUL"/>
    <s v="TERM AC360 U"/>
    <s v="FIXED"/>
    <m/>
    <s v="BANKING"/>
    <s v=" "/>
    <s v=" "/>
    <s v="NO MARKET"/>
    <s v="USDbb"/>
    <s v="A-1"/>
    <s v="P1"/>
    <s v="P/P"/>
    <s v=" "/>
    <s v="BOND"/>
    <s v="F1"/>
    <m/>
    <s v="INDUSTRIAL AND COMMERCIAL BANK OF CHINA LTD. ,SEOUL BRANCH"/>
    <s v="INDUSTRIAL AND COMMERCIAL BANK OF CHINA LTD. ,SEOUL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40"/>
    <s v=" "/>
    <s v="S.KOREA"/>
    <s v="S.KOREA"/>
    <s v="KR"/>
    <s v=" "/>
    <n v="40000"/>
    <b v="0"/>
    <s v="NONTRANSFERABLE"/>
    <s v=" "/>
    <s v=" "/>
    <b v="0"/>
    <b v="0"/>
    <m/>
    <m/>
    <s v="XS1769981488"/>
    <n v="1582999999.99"/>
    <n v="0"/>
    <m/>
    <n v="0"/>
    <s v="USDbb"/>
    <n v="32.356999999999999"/>
  </r>
  <r>
    <x v="0"/>
    <x v="1"/>
    <x v="0"/>
    <x v="1"/>
    <x v="0"/>
    <x v="79"/>
    <m/>
    <s v="ABCHK"/>
    <s v="LISTEDFOREIGN"/>
    <s v="BANKING"/>
    <s v="A"/>
    <m/>
    <m/>
    <d v="2019-02-13T00:00:00"/>
    <n v="133"/>
    <n v="0.05"/>
    <m/>
    <m/>
    <m/>
    <n v="3744510000"/>
    <n v="1211765.04"/>
    <n v="3865000000"/>
    <n v="0.36937599999999998"/>
    <n v="100000000"/>
    <m/>
    <n v="3865000000"/>
    <n v="0.05"/>
    <n v="1.73342831E-2"/>
    <s v="F12MABCHK130219"/>
    <m/>
    <s v="FIXED 12 MONTH AGRICULTURAL BANK OF CHINA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44"/>
    <s v=" "/>
    <s v="HONGKONG"/>
    <s v="HONGKONG"/>
    <s v="HK"/>
    <s v=" "/>
    <n v="80000"/>
    <b v="0"/>
    <s v="NONTRANSFERABLE"/>
    <s v=" "/>
    <s v=" "/>
    <b v="0"/>
    <b v="0"/>
    <m/>
    <m/>
    <s v=" "/>
    <n v="3865000000.0100002"/>
    <n v="0"/>
    <m/>
    <n v="0"/>
    <s v="EURbb"/>
    <n v="37.445099999999996"/>
  </r>
  <r>
    <x v="0"/>
    <x v="1"/>
    <x v="0"/>
    <x v="1"/>
    <x v="0"/>
    <x v="80"/>
    <s v="F1"/>
    <s v="ABCHK"/>
    <s v="LISTEDFOREIGN"/>
    <s v="BANKING"/>
    <s v="A"/>
    <m/>
    <m/>
    <d v="2019-03-22T00:00:00"/>
    <n v="170"/>
    <n v="0.04"/>
    <m/>
    <m/>
    <m/>
    <n v="1123353000"/>
    <n v="244641.32"/>
    <n v="1140000000"/>
    <n v="0.47213300000000002"/>
    <n v="30000000"/>
    <m/>
    <n v="1140000000"/>
    <n v="0.04"/>
    <n v="5.1997346999999999E-3"/>
    <s v="F12MABCHK2203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A-1"/>
    <s v="P1"/>
    <s v="P/P"/>
    <s v=" "/>
    <s v="P/N"/>
    <s v="F1"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HONGKONG"/>
    <s v="HONGKONG"/>
    <s v="HK"/>
    <s v=" "/>
    <n v="80000"/>
    <b v="0"/>
    <s v="NONTRANSFERABLE"/>
    <s v=" "/>
    <s v=" "/>
    <b v="0"/>
    <b v="0"/>
    <m/>
    <m/>
    <s v=" "/>
    <n v="1139999999.99"/>
    <n v="0"/>
    <m/>
    <n v="0"/>
    <s v="EURbb"/>
    <n v="37.445099999999996"/>
  </r>
  <r>
    <x v="0"/>
    <x v="1"/>
    <x v="0"/>
    <x v="1"/>
    <x v="0"/>
    <x v="81"/>
    <m/>
    <s v="ABCHK"/>
    <s v="LISTEDFOREIGN"/>
    <s v="BANKING"/>
    <s v="A"/>
    <m/>
    <m/>
    <d v="2019-05-23T00:00:00"/>
    <n v="232"/>
    <n v="0.14000000000000001"/>
    <m/>
    <m/>
    <m/>
    <n v="2995608000"/>
    <n v="1549395.03"/>
    <n v="3010400000"/>
    <n v="0.64386399999999999"/>
    <n v="80000000"/>
    <m/>
    <n v="3010400000"/>
    <n v="0.14000000000000001"/>
    <n v="1.3870110499999999E-2"/>
    <s v="F12MABCHK2305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HONGKONG"/>
    <s v="HONGKONG"/>
    <s v="HK"/>
    <s v=" "/>
    <n v="80000"/>
    <b v="0"/>
    <s v="NONTRANSFERABLE"/>
    <s v=" "/>
    <s v=" "/>
    <b v="0"/>
    <b v="0"/>
    <m/>
    <m/>
    <s v=" "/>
    <n v="3010400000.02"/>
    <n v="0"/>
    <m/>
    <n v="0"/>
    <s v="EURbb"/>
    <n v="37.445099999999996"/>
  </r>
  <r>
    <x v="0"/>
    <x v="1"/>
    <x v="0"/>
    <x v="1"/>
    <x v="0"/>
    <x v="82"/>
    <m/>
    <s v="ABCHK"/>
    <s v="LISTEDFOREIGN"/>
    <s v="BANKING"/>
    <s v="A"/>
    <m/>
    <m/>
    <d v="2019-06-25T00:00:00"/>
    <n v="265"/>
    <n v="3.32"/>
    <m/>
    <m/>
    <m/>
    <n v="2750345000"/>
    <n v="25617935.710000001"/>
    <n v="2803725000"/>
    <n v="0.71870699999999998"/>
    <n v="85000000"/>
    <m/>
    <n v="2803725000"/>
    <n v="3.32"/>
    <n v="1.28464767E-2"/>
    <s v="F12MABCHK2506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US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76"/>
    <s v=" "/>
    <s v="HONGKONG"/>
    <s v="HONGKONG"/>
    <s v="HK"/>
    <s v=" "/>
    <n v="80000"/>
    <b v="0"/>
    <s v="NONTRANSFERABLE"/>
    <s v=" "/>
    <s v=" "/>
    <b v="0"/>
    <b v="0"/>
    <m/>
    <m/>
    <s v=" "/>
    <n v="2803724999.96"/>
    <n v="0"/>
    <m/>
    <n v="0"/>
    <s v="USDbb"/>
    <n v="32.356999999999999"/>
  </r>
  <r>
    <x v="0"/>
    <x v="1"/>
    <x v="0"/>
    <x v="1"/>
    <x v="0"/>
    <x v="83"/>
    <m/>
    <s v="ABCHK"/>
    <s v="LISTEDFOREIGN"/>
    <s v="BANKING"/>
    <s v="A"/>
    <m/>
    <m/>
    <d v="2019-04-26T00:00:00"/>
    <n v="205"/>
    <n v="3.17"/>
    <m/>
    <m/>
    <m/>
    <n v="1941420000"/>
    <n v="27523403.48"/>
    <n v="1887600000"/>
    <n v="0.55948500000000001"/>
    <n v="60000000"/>
    <m/>
    <n v="1887600000"/>
    <n v="3.17"/>
    <n v="9.1117878999999995E-3"/>
    <s v="F12MABCHK2604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US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HONGKONG"/>
    <s v="HONGKONG"/>
    <s v="HK"/>
    <s v=" "/>
    <n v="80000"/>
    <b v="0"/>
    <s v="NONTRANSFERABLE"/>
    <s v=" "/>
    <s v=" "/>
    <b v="0"/>
    <b v="0"/>
    <m/>
    <m/>
    <s v=" "/>
    <n v="1887599999.99"/>
    <n v="0"/>
    <m/>
    <n v="0"/>
    <s v="USDbb"/>
    <n v="32.356999999999999"/>
  </r>
  <r>
    <x v="0"/>
    <x v="1"/>
    <x v="0"/>
    <x v="1"/>
    <x v="0"/>
    <x v="84"/>
    <m/>
    <s v="ABCHK"/>
    <s v="LISTEDFOREIGN"/>
    <s v="BANKING"/>
    <s v="A"/>
    <m/>
    <m/>
    <d v="2019-03-27T00:00:00"/>
    <n v="175"/>
    <n v="0.11"/>
    <m/>
    <m/>
    <m/>
    <n v="2995608000"/>
    <n v="1748270.11"/>
    <n v="3051200000"/>
    <n v="0.48585099999999998"/>
    <n v="80000000"/>
    <m/>
    <n v="3051200000"/>
    <n v="0.11"/>
    <n v="1.38710308E-2"/>
    <s v="F12MABCHK2703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6"/>
    <s v=" "/>
    <s v="HONGKONG"/>
    <s v="HONGKONG"/>
    <s v="HK"/>
    <s v=" "/>
    <n v="80000"/>
    <b v="0"/>
    <s v="NONTRANSFERABLE"/>
    <s v=" "/>
    <s v=" "/>
    <b v="0"/>
    <b v="0"/>
    <m/>
    <m/>
    <s v=" "/>
    <n v="3051199999.9899998"/>
    <n v="0"/>
    <m/>
    <n v="0"/>
    <s v="EURbb"/>
    <n v="37.445099999999996"/>
  </r>
  <r>
    <x v="0"/>
    <x v="1"/>
    <x v="0"/>
    <x v="1"/>
    <x v="0"/>
    <x v="85"/>
    <m/>
    <s v="ABCHK"/>
    <s v="LISTEDFOREIGN"/>
    <s v="BANKING"/>
    <s v="A"/>
    <m/>
    <m/>
    <d v="2019-03-28T00:00:00"/>
    <n v="176"/>
    <n v="0.105"/>
    <m/>
    <m/>
    <m/>
    <n v="2995608000"/>
    <n v="1660066.1"/>
    <n v="3065600000"/>
    <n v="0.48863800000000002"/>
    <n v="80000000"/>
    <m/>
    <n v="3065600000"/>
    <n v="0.105"/>
    <n v="1.38706226E-2"/>
    <s v="F12MABCHK2803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7"/>
    <s v=" "/>
    <s v="HONGKONG"/>
    <s v="HONGKONG"/>
    <s v="HK"/>
    <s v=" "/>
    <n v="80000"/>
    <b v="0"/>
    <s v="NONTRANSFERABLE"/>
    <s v=" "/>
    <s v=" "/>
    <b v="0"/>
    <b v="0"/>
    <m/>
    <m/>
    <s v=" "/>
    <n v="3065599999.9899998"/>
    <n v="0"/>
    <m/>
    <n v="0"/>
    <s v="EURbb"/>
    <n v="37.445099999999996"/>
  </r>
  <r>
    <x v="0"/>
    <x v="1"/>
    <x v="0"/>
    <x v="1"/>
    <x v="0"/>
    <x v="86"/>
    <s v="F1"/>
    <s v="ABCHK"/>
    <s v="LISTEDFOREIGN"/>
    <s v="BANKING"/>
    <s v="A"/>
    <m/>
    <m/>
    <d v="2019-01-31T00:00:00"/>
    <n v="120"/>
    <n v="0.15"/>
    <m/>
    <m/>
    <m/>
    <n v="3744510000"/>
    <n v="3838122.75"/>
    <n v="3880000000"/>
    <n v="0.33316699999999999"/>
    <n v="100000000"/>
    <m/>
    <n v="3880000000"/>
    <n v="0.15"/>
    <n v="1.7346437199999998E-2"/>
    <s v="F12MABCHK3101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A-1"/>
    <s v="P1"/>
    <s v="P/P"/>
    <s v=" "/>
    <s v="P/N"/>
    <s v="F1"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31"/>
    <s v=" "/>
    <s v="HONGKONG"/>
    <s v="HONGKONG"/>
    <s v="HK"/>
    <s v=" "/>
    <n v="80000"/>
    <b v="0"/>
    <s v="NONTRANSFERABLE"/>
    <s v=" "/>
    <s v=" "/>
    <b v="0"/>
    <b v="0"/>
    <m/>
    <m/>
    <s v=" "/>
    <n v="3880000000.04"/>
    <n v="0"/>
    <m/>
    <n v="0"/>
    <s v="EURbb"/>
    <n v="37.445099999999996"/>
  </r>
  <r>
    <x v="0"/>
    <x v="1"/>
    <x v="0"/>
    <x v="1"/>
    <x v="0"/>
    <x v="87"/>
    <m/>
    <s v="ABCHK"/>
    <s v="LISTEDFOREIGN"/>
    <s v="BANKING"/>
    <s v="A"/>
    <m/>
    <m/>
    <d v="2019-05-31T00:00:00"/>
    <n v="240"/>
    <n v="0.14000000000000001"/>
    <m/>
    <m/>
    <m/>
    <n v="1872255000"/>
    <n v="924685.94"/>
    <n v="1855000000"/>
    <n v="0.666045"/>
    <n v="50000000"/>
    <m/>
    <n v="1855000000"/>
    <n v="0.14000000000000001"/>
    <n v="8.6686169000000004E-3"/>
    <s v="F12MABCHK310519"/>
    <m/>
    <s v="FIXED 12 MONTH AGRICULTURAL BANK OF CHINA (HONGKONG)"/>
    <s v="เงินฝากประจำ 12 เดือน Agricultural Bank of China (HongKong)"/>
    <s v="เงินฝากประจำ 12 เดือน Agricultural Bank of China (HongKong)"/>
    <s v="Bond"/>
    <s v="ABCHK"/>
    <s v="TERM AC360 U"/>
    <s v="CASH"/>
    <m/>
    <s v="BANKING"/>
    <s v=" "/>
    <s v=" "/>
    <s v="NO MARKET"/>
    <s v="EUR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50"/>
    <s v=" "/>
    <s v="HONGKONG"/>
    <s v="HONGKONG"/>
    <s v="HK"/>
    <s v=" "/>
    <n v="80000"/>
    <b v="0"/>
    <s v="NONTRANSFERABLE"/>
    <s v=" "/>
    <s v=" "/>
    <b v="0"/>
    <b v="0"/>
    <m/>
    <m/>
    <s v=" "/>
    <n v="1854999999.97"/>
    <n v="0"/>
    <m/>
    <n v="0"/>
    <s v="EURbb"/>
    <n v="37.445099999999996"/>
  </r>
  <r>
    <x v="0"/>
    <x v="1"/>
    <x v="0"/>
    <x v="1"/>
    <x v="0"/>
    <x v="10"/>
    <s v="F1"/>
    <s v="ADCB"/>
    <s v="LISTEDFOREIGN"/>
    <s v="BANKING"/>
    <s v="A+"/>
    <m/>
    <m/>
    <d v="2018-11-06T00:00:00"/>
    <n v="34"/>
    <n v="2.4066999999999998"/>
    <m/>
    <m/>
    <m/>
    <n v="1132495000"/>
    <n v="24984444.07"/>
    <n v="1158500000"/>
    <n v="9.4234999999999999E-2"/>
    <n v="35000000"/>
    <m/>
    <n v="1158500000"/>
    <n v="2.4066999999999998"/>
    <n v="5.3565313999999996E-3"/>
    <s v="F12MADCB061118b"/>
    <m/>
    <s v="FIXED 12 MONTH ADCB"/>
    <s v="เงินฝากประจำ 12 เดือน Abu Dhabi Commercial Bank"/>
    <s v="เงินฝากประจำ 12 เดือน Abu Dhabi Commercial Bank"/>
    <s v="Bond"/>
    <s v="ADCB"/>
    <s v="TERM AC360 U"/>
    <s v="CASH"/>
    <m/>
    <s v="BANKING"/>
    <s v=" "/>
    <s v=" "/>
    <s v="NO MARKET"/>
    <s v="USDbb"/>
    <s v="A-1"/>
    <s v="P1"/>
    <s v="P/P"/>
    <s v=" "/>
    <s v="P/N"/>
    <s v="F1"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47"/>
    <s v=" "/>
    <s v="UAE"/>
    <s v="UAE"/>
    <s v="AE"/>
    <s v=" "/>
    <n v="40000"/>
    <b v="0"/>
    <s v="NONTRANSFERABLE"/>
    <s v=" "/>
    <s v=" "/>
    <b v="0"/>
    <b v="0"/>
    <m/>
    <m/>
    <s v=" "/>
    <n v="1158499999.98"/>
    <n v="0"/>
    <m/>
    <n v="0"/>
    <s v="USDbb"/>
    <n v="32.356999999999999"/>
  </r>
  <r>
    <x v="0"/>
    <x v="1"/>
    <x v="0"/>
    <x v="1"/>
    <x v="0"/>
    <x v="11"/>
    <s v="F1"/>
    <s v="ADCB"/>
    <s v="LISTEDFOREIGN"/>
    <s v="BANKING"/>
    <s v="A+"/>
    <m/>
    <m/>
    <d v="2018-10-16T00:00:00"/>
    <n v="13"/>
    <n v="2.4"/>
    <m/>
    <m/>
    <m/>
    <n v="1617850000"/>
    <n v="37749833.329999998"/>
    <n v="1654000000"/>
    <n v="3.6080000000000001E-2"/>
    <n v="50000000"/>
    <m/>
    <n v="1654000000"/>
    <n v="2.4"/>
    <n v="7.6617105999999997E-3"/>
    <s v="F12MADCB161018"/>
    <m/>
    <s v="FIXED 12 MONTH ADCB"/>
    <s v="เงินฝากประจำ 12 เดือน Abu Dhabi Commercial Bank"/>
    <s v="เงินฝากประจำ 12 เดือน Abu Dhabi Commercial Bank"/>
    <s v="Bond"/>
    <s v="ADCB"/>
    <s v="TERM AC360 U"/>
    <s v="CASH"/>
    <m/>
    <s v="BANKING"/>
    <s v=" "/>
    <s v=" "/>
    <s v="NO MARKET"/>
    <s v="USDbb"/>
    <s v="A-1"/>
    <s v="P1"/>
    <s v="P/P"/>
    <s v=" "/>
    <s v="P/N"/>
    <s v="F1"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27"/>
    <s v=" "/>
    <s v="UAE"/>
    <s v="UAE"/>
    <s v="AE"/>
    <s v=" "/>
    <n v="40000"/>
    <b v="0"/>
    <s v="NONTRANSFERABLE"/>
    <s v=" "/>
    <s v=" "/>
    <b v="0"/>
    <b v="0"/>
    <m/>
    <m/>
    <s v=" "/>
    <n v="1654000000.01"/>
    <n v="0"/>
    <m/>
    <n v="0"/>
    <s v="USDbb"/>
    <n v="32.356999999999999"/>
  </r>
  <r>
    <x v="0"/>
    <x v="1"/>
    <x v="0"/>
    <x v="1"/>
    <x v="0"/>
    <x v="88"/>
    <m/>
    <s v="ADCB"/>
    <s v="LISTEDFOREIGN"/>
    <s v="BANKING"/>
    <s v="A+"/>
    <m/>
    <m/>
    <d v="2018-12-18T00:00:00"/>
    <n v="76"/>
    <n v="2.9"/>
    <m/>
    <m/>
    <m/>
    <n v="3523672120"/>
    <n v="82316895.909999996"/>
    <n v="3542000000"/>
    <n v="0.20985599999999999"/>
    <n v="400000000"/>
    <m/>
    <n v="3542000000"/>
    <n v="2.9"/>
    <n v="1.6687634100000001E-2"/>
    <s v="F12MADCB181218a"/>
    <m/>
    <s v="FIXED 12 MONTH ADCB"/>
    <s v="เงินฝากประจำ 12 เดือน Abu Dhabi Commercial Bank"/>
    <s v="เงินฝากประจำ 12 เดือน Abu Dhabi Commercial Bank"/>
    <s v="Bond"/>
    <s v="ADCB"/>
    <s v="TERM AC360 U"/>
    <s v="CASH"/>
    <m/>
    <s v="BANKING"/>
    <s v=" "/>
    <s v=" "/>
    <s v="NO MARKET"/>
    <s v="AEDbb"/>
    <s v=" "/>
    <s v=" "/>
    <s v="P/P"/>
    <s v=" "/>
    <s v="P/N"/>
    <m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87"/>
    <s v=" "/>
    <s v="UAE"/>
    <s v="UAE"/>
    <s v="AE"/>
    <s v=" "/>
    <n v="40000"/>
    <b v="0"/>
    <s v="NONTRANSFERABLE"/>
    <s v=" "/>
    <s v=" "/>
    <b v="0"/>
    <b v="0"/>
    <m/>
    <m/>
    <s v=" "/>
    <n v="3542000000"/>
    <n v="0"/>
    <m/>
    <n v="0"/>
    <s v="AEDbb"/>
    <n v="8.8091799999999996"/>
  </r>
  <r>
    <x v="0"/>
    <x v="1"/>
    <x v="0"/>
    <x v="1"/>
    <x v="0"/>
    <x v="89"/>
    <m/>
    <s v="BOC MACAU"/>
    <s v="LISTEDFOREIGN"/>
    <s v="BANKING"/>
    <s v="A"/>
    <m/>
    <m/>
    <d v="2019-05-02T00:00:00"/>
    <n v="211"/>
    <n v="0.06"/>
    <m/>
    <m/>
    <m/>
    <n v="2621157000"/>
    <n v="668395.04"/>
    <n v="2660000000"/>
    <n v="0.58590500000000001"/>
    <n v="70000000"/>
    <m/>
    <n v="2660000000"/>
    <n v="0.06"/>
    <n v="1.2133165899999999E-2"/>
    <s v="F12MBOCMC02519b"/>
    <m/>
    <s v="FIXED 12 MONTH BANK OF CHINA  MACAU"/>
    <s v="เงินฝากประจำ 12 เดือน BANK OF CHINA  MACAU"/>
    <s v="เงินฝากประจำ 12 เดือน BANK OF CHINA  MACAU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4"/>
    <s v=" "/>
    <s v="MACAO"/>
    <s v="MACAO"/>
    <s v="MO"/>
    <s v=" "/>
    <n v="100000"/>
    <b v="0"/>
    <s v="NONTRANSFERABLE"/>
    <s v=" "/>
    <s v=" "/>
    <b v="0"/>
    <b v="0"/>
    <m/>
    <m/>
    <s v=" "/>
    <n v="2659999999.9699998"/>
    <n v="0"/>
    <m/>
    <n v="0"/>
    <s v="EURbb"/>
    <n v="37.445099999999996"/>
  </r>
  <r>
    <x v="0"/>
    <x v="1"/>
    <x v="0"/>
    <x v="1"/>
    <x v="0"/>
    <x v="90"/>
    <m/>
    <s v="BOC MACAU"/>
    <s v="LISTEDFOREIGN"/>
    <s v="BANKING"/>
    <s v="A"/>
    <m/>
    <m/>
    <d v="2019-01-08T00:00:00"/>
    <n v="97"/>
    <n v="2.67"/>
    <m/>
    <m/>
    <m/>
    <n v="3235700000"/>
    <n v="64554911.420000002"/>
    <n v="3230500000"/>
    <n v="0.26755699999999999"/>
    <n v="100000000"/>
    <m/>
    <n v="3230500000"/>
    <n v="2.67"/>
    <n v="1.5272771500000001E-2"/>
    <s v="F12MBOCMC080119"/>
    <m/>
    <s v="FIXED 12 MONTH BANK OF CHINA  MACAU"/>
    <s v="เงินฝากประจำ 12 เดือน BANK OF CHINA  MACAU"/>
    <s v="เงินฝากประจำ 12 เดือน BANK OF CHINA  MACAU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08"/>
    <s v=" "/>
    <s v="MACAO"/>
    <s v="MACAO"/>
    <s v="MO"/>
    <s v=" "/>
    <n v="100000"/>
    <b v="0"/>
    <s v="NONTRANSFERABLE"/>
    <s v=" "/>
    <s v=" "/>
    <b v="0"/>
    <b v="0"/>
    <m/>
    <m/>
    <s v=" "/>
    <n v="3230500000.04"/>
    <n v="0"/>
    <m/>
    <n v="0"/>
    <s v="USDbb"/>
    <n v="32.356999999999999"/>
  </r>
  <r>
    <x v="0"/>
    <x v="1"/>
    <x v="0"/>
    <x v="1"/>
    <x v="0"/>
    <x v="91"/>
    <m/>
    <s v="BOC MACAU"/>
    <s v="LISTEDFOREIGN"/>
    <s v="BANKING"/>
    <s v="A"/>
    <m/>
    <m/>
    <d v="2019-01-09T00:00:00"/>
    <n v="98"/>
    <n v="2.67"/>
    <m/>
    <m/>
    <m/>
    <n v="3170986000"/>
    <n v="63028631.729999997"/>
    <n v="3155600000"/>
    <n v="0.27029599999999998"/>
    <n v="98000000"/>
    <m/>
    <n v="3155600000"/>
    <n v="2.67"/>
    <n v="1.4966227800000001E-2"/>
    <s v="F12MBOCMC090119"/>
    <m/>
    <s v="FIXED 12 MONTH BANK OF CHINA  MACAU"/>
    <s v="เงินฝากประจำ 12 เดือน BANK OF CHINA MACAU"/>
    <s v="เงินฝากประจำ 12 เดือน BANK OF CHINA MACAU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09"/>
    <s v=" "/>
    <s v="MACAO"/>
    <s v="MACAO"/>
    <s v="MO"/>
    <s v=" "/>
    <n v="100000"/>
    <b v="0"/>
    <s v="NONTRANSFERABLE"/>
    <s v=" "/>
    <s v=" "/>
    <b v="0"/>
    <b v="0"/>
    <m/>
    <m/>
    <s v=" "/>
    <n v="3155600000.0100002"/>
    <n v="0"/>
    <m/>
    <n v="0"/>
    <s v="USDbb"/>
    <n v="32.356999999999999"/>
  </r>
  <r>
    <x v="0"/>
    <x v="1"/>
    <x v="0"/>
    <x v="1"/>
    <x v="0"/>
    <x v="92"/>
    <m/>
    <s v="BOC MACAU"/>
    <s v="LISTEDFOREIGN"/>
    <s v="BANKING"/>
    <s v="A"/>
    <m/>
    <m/>
    <d v="2018-12-18T00:00:00"/>
    <n v="76"/>
    <n v="2.7"/>
    <m/>
    <m/>
    <m/>
    <n v="2912130000"/>
    <n v="62683598.25"/>
    <n v="2945700000"/>
    <n v="0.20993999999999999"/>
    <n v="90000000"/>
    <m/>
    <n v="2945700000"/>
    <n v="2.7"/>
    <n v="1.3766708799999999E-2"/>
    <s v="F12MBOCMC181218"/>
    <m/>
    <s v="FIXED 12 MONTH BANK OF CHINA  MACAU"/>
    <s v="เงินฝากประจำ 12 เดือน BANK OF CHINA MACAU"/>
    <s v="เงินฝากประจำ 12 เดือน BANK OF CHINA MACAU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90"/>
    <s v=" "/>
    <s v="MACAO"/>
    <s v="MACAO"/>
    <s v="MO"/>
    <s v=" "/>
    <n v="100000"/>
    <b v="0"/>
    <s v="NONTRANSFERABLE"/>
    <s v=" "/>
    <s v=" "/>
    <b v="0"/>
    <b v="0"/>
    <m/>
    <m/>
    <s v=" "/>
    <n v="2945700000.04"/>
    <n v="0"/>
    <m/>
    <n v="0"/>
    <s v="USDbb"/>
    <n v="32.356999999999999"/>
  </r>
  <r>
    <x v="0"/>
    <x v="1"/>
    <x v="0"/>
    <x v="1"/>
    <x v="0"/>
    <x v="93"/>
    <m/>
    <s v="BOC MACAU"/>
    <s v="LISTEDFOREIGN"/>
    <s v="BANKING"/>
    <s v="A"/>
    <m/>
    <m/>
    <d v="2019-06-28T00:00:00"/>
    <n v="268"/>
    <n v="3.4"/>
    <m/>
    <m/>
    <m/>
    <n v="2750345000"/>
    <n v="25455970.940000001"/>
    <n v="2805637500"/>
    <n v="0.72606700000000002"/>
    <n v="85000000"/>
    <m/>
    <n v="2805637500"/>
    <n v="3.4"/>
    <n v="1.2845727100000001E-2"/>
    <s v="F12MBOCMC280619"/>
    <m/>
    <s v="FIXED 12 MONTH BANK OF CHINA  MACAU"/>
    <s v="เงินฝากประจำ 12 เดือน BANK OF CHINA MACAU"/>
    <s v="เงินฝากประจำ 12 เดือน BANK OF CHINA MACAU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79"/>
    <s v=" "/>
    <s v="MACAO"/>
    <s v="MACAO"/>
    <s v="MO"/>
    <s v=" "/>
    <n v="100000"/>
    <b v="0"/>
    <s v="NONTRANSFERABLE"/>
    <s v=" "/>
    <s v=" "/>
    <b v="0"/>
    <b v="0"/>
    <m/>
    <m/>
    <s v=" "/>
    <n v="2805637499.96"/>
    <n v="0"/>
    <m/>
    <n v="0"/>
    <s v="USDbb"/>
    <n v="32.356999999999999"/>
  </r>
  <r>
    <x v="0"/>
    <x v="1"/>
    <x v="0"/>
    <x v="1"/>
    <x v="0"/>
    <x v="94"/>
    <m/>
    <s v="GHB"/>
    <s v="SPECIALIZE F.I."/>
    <s v="BANKING"/>
    <s v="AAA(tha)"/>
    <m/>
    <m/>
    <d v="2019-08-01T00:00:00"/>
    <n v="302"/>
    <n v="1.7"/>
    <m/>
    <m/>
    <m/>
    <n v="670000000"/>
    <n v="1997150.68"/>
    <n v="670000000"/>
    <n v="0.81595399999999996"/>
    <n v="670000000"/>
    <m/>
    <n v="670000000"/>
    <n v="1.7"/>
    <n v="3.1098382999999999E-3"/>
    <s v="F12MGHB01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3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1"/>
    <x v="0"/>
    <x v="1"/>
    <x v="0"/>
    <x v="95"/>
    <m/>
    <s v="GHB"/>
    <s v="SPECIALIZE F.I."/>
    <s v="BANKING"/>
    <s v="AAA(tha)"/>
    <m/>
    <m/>
    <d v="2019-08-02T00:00:00"/>
    <n v="303"/>
    <n v="1.7"/>
    <m/>
    <m/>
    <m/>
    <n v="1000000000"/>
    <n v="2934246.58"/>
    <n v="1000000000"/>
    <n v="0.81861799999999996"/>
    <n v="1000000000"/>
    <m/>
    <n v="1000000000"/>
    <n v="1.7"/>
    <n v="4.6413341E-3"/>
    <s v="F12MGHB02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1"/>
    <x v="0"/>
    <x v="1"/>
    <x v="0"/>
    <x v="15"/>
    <m/>
    <s v="GHB"/>
    <s v="SPECIALIZE F.I."/>
    <s v="BANKING"/>
    <s v="AAA(tha)"/>
    <m/>
    <m/>
    <d v="2019-08-02T00:00:00"/>
    <n v="303"/>
    <n v="1.7"/>
    <m/>
    <m/>
    <m/>
    <n v="700000000"/>
    <n v="2021369.86"/>
    <n v="700000000"/>
    <n v="0.81861700000000004"/>
    <n v="700000000"/>
    <m/>
    <n v="700000000"/>
    <n v="1.7"/>
    <n v="3.2487829999999999E-3"/>
    <s v="F12MGHB020819a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5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1"/>
    <x v="0"/>
    <x v="1"/>
    <x v="0"/>
    <x v="96"/>
    <m/>
    <s v="GHB"/>
    <s v="SPECIALIZE F.I."/>
    <s v="BANKING"/>
    <s v="AAA(tha)"/>
    <m/>
    <m/>
    <d v="2019-07-26T00:00:00"/>
    <n v="296"/>
    <n v="1.7"/>
    <m/>
    <m/>
    <m/>
    <n v="160000000"/>
    <n v="521643.84"/>
    <n v="160000000"/>
    <n v="0.79996599999999995"/>
    <n v="160000000"/>
    <m/>
    <n v="160000000"/>
    <n v="1.7"/>
    <n v="7.4285490000000002E-4"/>
    <s v="F12MGHB2607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7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1"/>
    <x v="0"/>
    <x v="1"/>
    <x v="0"/>
    <x v="97"/>
    <m/>
    <s v="UNB"/>
    <s v="LISTEDFOREIGN"/>
    <s v="BANKING"/>
    <s v="A+"/>
    <m/>
    <m/>
    <d v="2019-10-01T00:00:00"/>
    <n v="363"/>
    <n v="3.4"/>
    <m/>
    <m/>
    <m/>
    <n v="2912130000"/>
    <n v="2475310.5"/>
    <n v="2914650000"/>
    <n v="0.974935"/>
    <n v="90000000"/>
    <m/>
    <n v="2914650000"/>
    <n v="3.4"/>
    <n v="1.3488079599999999E-2"/>
    <s v="F12MUNB011019"/>
    <m/>
    <s v="FIXED 12 MONTH DEPOSIT UNB"/>
    <s v="เงินฝากประจำ 12 เดือน UNION NATIONAL BANK"/>
    <s v="เงินฝากประจำ 12 เดือน UNION NATIONAL BANK"/>
    <s v="Bond"/>
    <s v="UNB"/>
    <s v="TERM AC360 U"/>
    <s v="CASH"/>
    <m/>
    <s v="BANKING"/>
    <s v=" "/>
    <s v=" "/>
    <s v="NO MARKET"/>
    <s v="USDbb"/>
    <s v=" "/>
    <s v=" "/>
    <s v="P/P"/>
    <s v=" "/>
    <s v="P/N"/>
    <m/>
    <m/>
    <s v="Union National Bank (UNB)"/>
    <s v="Union National Bank"/>
    <s v="LISTEDFOREIGN"/>
    <s v=" "/>
    <s v="A+"/>
    <s v=" "/>
    <s v=" 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8"/>
    <s v=" "/>
    <s v="UAE"/>
    <s v="UAE"/>
    <s v="AE"/>
    <s v=" "/>
    <n v="27000"/>
    <b v="0"/>
    <s v="NONTRANSFERABLE"/>
    <s v=" "/>
    <s v=" "/>
    <b v="0"/>
    <b v="0"/>
    <m/>
    <m/>
    <s v=" "/>
    <n v="2914649999.96"/>
    <n v="0"/>
    <m/>
    <n v="0"/>
    <s v="USDbb"/>
    <n v="32.356999999999999"/>
  </r>
  <r>
    <x v="0"/>
    <x v="1"/>
    <x v="0"/>
    <x v="1"/>
    <x v="0"/>
    <x v="98"/>
    <m/>
    <s v="UNB"/>
    <s v="LISTEDFOREIGN"/>
    <s v="BANKING"/>
    <s v="A+"/>
    <m/>
    <m/>
    <d v="2019-10-02T00:00:00"/>
    <n v="364"/>
    <n v="3.4"/>
    <m/>
    <m/>
    <m/>
    <n v="2912130000"/>
    <n v="2200276"/>
    <n v="2922750000"/>
    <n v="0.97752799999999995"/>
    <n v="90000000"/>
    <m/>
    <n v="2922750000"/>
    <n v="3.4"/>
    <n v="1.3486806800000001E-2"/>
    <s v="F12MUNB021019a"/>
    <m/>
    <s v="FIXED 12 MONTH DEPOSIT UNB"/>
    <s v="เงินฝากประจำ 12 เดือน UNION NATIONAL BANK"/>
    <s v="เงินฝากประจำ 12 เดือน UNION NATIONAL BANK"/>
    <s v="Bond"/>
    <s v="UNB"/>
    <s v="TERM AC360 U"/>
    <s v="CASH"/>
    <m/>
    <s v="BANKING"/>
    <s v=" "/>
    <s v=" "/>
    <s v="NO MARKET"/>
    <s v="USDbb"/>
    <s v=" "/>
    <s v=" "/>
    <s v="P/P"/>
    <s v=" "/>
    <s v="P/N"/>
    <m/>
    <m/>
    <s v="Union National Bank (UNB)"/>
    <s v="Union National Bank"/>
    <s v="LISTEDFOREIGN"/>
    <s v=" "/>
    <s v="A+"/>
    <s v=" "/>
    <s v=" 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9"/>
    <s v=" "/>
    <s v="UAE"/>
    <s v="UAE"/>
    <s v="AE"/>
    <s v=" "/>
    <n v="27000"/>
    <b v="0"/>
    <s v="NONTRANSFERABLE"/>
    <s v=" "/>
    <s v=" "/>
    <b v="0"/>
    <b v="0"/>
    <m/>
    <m/>
    <s v=" "/>
    <n v="2922749999.9899998"/>
    <n v="0"/>
    <m/>
    <n v="0"/>
    <s v="USDbb"/>
    <n v="32.356999999999999"/>
  </r>
  <r>
    <x v="0"/>
    <x v="1"/>
    <x v="0"/>
    <x v="1"/>
    <x v="0"/>
    <x v="99"/>
    <s v="F1"/>
    <s v="UNB"/>
    <s v="LISTEDFOREIGN"/>
    <s v="BANKING"/>
    <s v="A+"/>
    <m/>
    <m/>
    <d v="2018-10-04T00:00:00"/>
    <n v="1"/>
    <n v="2.8"/>
    <m/>
    <m/>
    <m/>
    <n v="3083213105"/>
    <n v="88967827.040000007"/>
    <n v="3150350000"/>
    <n v="2.7780000000000001E-3"/>
    <n v="350000000"/>
    <m/>
    <n v="3150350000"/>
    <n v="2.8"/>
    <n v="1.46800765E-2"/>
    <s v="F12MUNB041018"/>
    <m/>
    <s v="FIXED 12 MONTH DEPOSIT UNB"/>
    <s v="เงินฝากประจำ 12 เดือน UNION NATIONAL BANK"/>
    <m/>
    <s v="Bond"/>
    <s v="UNB"/>
    <s v="TERM AC360 U"/>
    <s v="CASH"/>
    <m/>
    <s v="BANKING"/>
    <s v=" "/>
    <s v=" "/>
    <s v="NO MARKET"/>
    <s v="AEDbb"/>
    <s v=" "/>
    <s v="P1"/>
    <s v="P/P"/>
    <s v=" "/>
    <s v="P/N"/>
    <s v="F1"/>
    <m/>
    <s v="Union National Bank (UNB)"/>
    <s v="Union National Bank"/>
    <s v="LISTEDFOREIGN"/>
    <s v=" "/>
    <s v="A+"/>
    <s v=" "/>
    <s v=" 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06"/>
    <s v=" "/>
    <s v="UAE"/>
    <s v="UAE"/>
    <s v="AE"/>
    <s v=" "/>
    <n v="27000"/>
    <b v="0"/>
    <s v="NONTRANSFERABLE"/>
    <s v=" "/>
    <s v=" "/>
    <b v="0"/>
    <b v="0"/>
    <m/>
    <m/>
    <s v=" "/>
    <n v="3150349999.9899998"/>
    <n v="0"/>
    <m/>
    <n v="0"/>
    <s v="AEDbb"/>
    <n v="8.8091799999999996"/>
  </r>
  <r>
    <x v="0"/>
    <x v="1"/>
    <x v="0"/>
    <x v="1"/>
    <x v="0"/>
    <x v="23"/>
    <m/>
    <s v="ABCHK"/>
    <s v="LISTEDFOREIGN"/>
    <s v="BANKING"/>
    <s v="A"/>
    <m/>
    <m/>
    <d v="2018-10-16T00:00:00"/>
    <n v="13"/>
    <n v="2.81"/>
    <m/>
    <m/>
    <m/>
    <n v="1294280000"/>
    <n v="8486162.5299999993"/>
    <n v="1326400000"/>
    <n v="3.6075000000000003E-2"/>
    <n v="40000000"/>
    <m/>
    <n v="1326400000"/>
    <n v="2.81"/>
    <n v="6.0288827999999996E-3"/>
    <s v="F3MABCHK161018"/>
    <m/>
    <s v="FIXED 3 MONTH AGRICULTURAL BANK OF CHINA (HONGKONG)"/>
    <s v="เงินฝากประจำ 3 เดือน Agricultural Bank of China (HongKong)"/>
    <s v="เงินฝากประจำ 3 เดือน Agricultural Bank of China (HongKong)"/>
    <s v="Bond"/>
    <s v="ABCHK"/>
    <s v="TERM AC360 U"/>
    <s v="CASH"/>
    <m/>
    <s v="BANKING"/>
    <s v=" "/>
    <s v=" "/>
    <s v="NO MARKET"/>
    <s v="US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HONGKONG"/>
    <s v="HONGKONG"/>
    <s v="HK"/>
    <s v=" "/>
    <n v="80000"/>
    <b v="0"/>
    <s v="NONTRANSFERABLE"/>
    <s v=" "/>
    <s v=" "/>
    <b v="0"/>
    <b v="0"/>
    <m/>
    <m/>
    <s v=" "/>
    <n v="1326400000.01"/>
    <n v="0"/>
    <m/>
    <n v="0"/>
    <s v="USDbb"/>
    <n v="32.356999999999999"/>
  </r>
  <r>
    <x v="0"/>
    <x v="1"/>
    <x v="0"/>
    <x v="1"/>
    <x v="0"/>
    <x v="100"/>
    <m/>
    <s v="ABCHK"/>
    <s v="LISTEDFOREIGN"/>
    <s v="BANKING"/>
    <s v="A"/>
    <m/>
    <m/>
    <d v="2018-10-22T00:00:00"/>
    <n v="19"/>
    <n v="2.36"/>
    <m/>
    <m/>
    <m/>
    <n v="1651680000"/>
    <n v="8116310.2699999996"/>
    <n v="1698400000"/>
    <n v="5.1991000000000002E-2"/>
    <n v="400000000"/>
    <m/>
    <n v="1698400000"/>
    <n v="2.36"/>
    <n v="7.6811309000000003E-3"/>
    <s v="F3MABCHK221018"/>
    <m/>
    <s v="FIXED 3 MONTH AGRICULTURAL BANK OF CHINA (HONGKONG)"/>
    <s v="เงินฝากประจำ 3 เดือน Agricultural Bank of China (HongKong)"/>
    <s v="เงินฝากประจำ 3 เดือน Agricultural Bank of China (HongKong)"/>
    <s v="Bond"/>
    <s v="ABCHK"/>
    <s v="TERM AC365 U"/>
    <s v="CASH"/>
    <m/>
    <s v="BANKING"/>
    <s v=" "/>
    <s v=" "/>
    <s v="NO MARKET"/>
    <s v="HK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1"/>
    <s v=" "/>
    <s v="HONGKONG"/>
    <s v="HONGKONG"/>
    <s v="HK"/>
    <s v=" "/>
    <n v="80000"/>
    <b v="0"/>
    <s v="NONTRANSFERABLE"/>
    <s v=" "/>
    <s v=" "/>
    <b v="0"/>
    <b v="0"/>
    <m/>
    <m/>
    <s v=" "/>
    <n v="1698400000"/>
    <n v="0"/>
    <m/>
    <n v="0"/>
    <s v="HKDbb"/>
    <n v="4.1292"/>
  </r>
  <r>
    <x v="0"/>
    <x v="1"/>
    <x v="0"/>
    <x v="1"/>
    <x v="0"/>
    <x v="101"/>
    <m/>
    <s v="ABCHK"/>
    <s v="LISTEDFOREIGN"/>
    <s v="BANKING"/>
    <s v="A"/>
    <m/>
    <m/>
    <d v="2019-03-12T00:00:00"/>
    <n v="160"/>
    <n v="2.5499999999999998"/>
    <m/>
    <m/>
    <m/>
    <n v="1280052000"/>
    <n v="1788565.81"/>
    <n v="1296265000"/>
    <n v="0.43351699999999999"/>
    <n v="310000000"/>
    <m/>
    <n v="1296265000"/>
    <n v="2.5499999999999998"/>
    <n v="5.9320442000000001E-3"/>
    <s v="F6MABCHK120319"/>
    <m/>
    <s v="FIXED 6 MONTH AGRICULTURAL BANK OF CHINA (HONGKONG)"/>
    <s v="เงินฝากประจำ 6 เดือน Agricultural Bank of China (HongKong)"/>
    <s v="เงินฝากประจำ 6 เดือน Agricultural Bank of China (HongKong)"/>
    <s v="Bond"/>
    <s v="ABCHK"/>
    <s v="TERM AC365 U"/>
    <s v="CASH"/>
    <m/>
    <s v="BANKING"/>
    <s v=" "/>
    <s v=" "/>
    <s v="NO MARKET"/>
    <s v="HK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57"/>
    <s v=" "/>
    <s v="HONGKONG"/>
    <s v="HONGKONG"/>
    <s v="HK"/>
    <s v=" "/>
    <n v="80000"/>
    <b v="0"/>
    <s v="NONTRANSFERABLE"/>
    <s v=" "/>
    <s v=" "/>
    <b v="0"/>
    <b v="0"/>
    <m/>
    <m/>
    <s v=" "/>
    <n v="1296265000"/>
    <n v="0"/>
    <m/>
    <n v="0"/>
    <s v="HKDbb"/>
    <n v="4.1292"/>
  </r>
  <r>
    <x v="0"/>
    <x v="1"/>
    <x v="0"/>
    <x v="1"/>
    <x v="0"/>
    <x v="102"/>
    <m/>
    <s v="ADCB"/>
    <s v="LISTEDFOREIGN"/>
    <s v="BANKING"/>
    <s v="A+"/>
    <m/>
    <m/>
    <d v="2018-10-25T00:00:00"/>
    <n v="22"/>
    <n v="3"/>
    <m/>
    <m/>
    <m/>
    <n v="1294280000"/>
    <n v="17472780"/>
    <n v="1258000000"/>
    <n v="6.1001E-2"/>
    <n v="40000000"/>
    <m/>
    <n v="1258000000"/>
    <n v="3"/>
    <n v="6.0704705999999999E-3"/>
    <s v="F6MADCB251018"/>
    <m/>
    <s v="FIXED 6 MONTH DEPOSIT ADCB"/>
    <s v="เงินฝากประจำ 6 เดือน Abu Dhabi Commercial Bank"/>
    <s v="เงินฝากประจำ 6 เดือน Abu Dhabi Commercial Bank"/>
    <s v="Bond"/>
    <s v="ADCB"/>
    <s v="TERM AC360 U"/>
    <s v="CASH"/>
    <m/>
    <s v="BANKING"/>
    <s v=" "/>
    <s v=" "/>
    <s v="NO MARKET"/>
    <s v="USDbb"/>
    <s v=" "/>
    <s v=" "/>
    <s v="P/P"/>
    <s v=" "/>
    <s v="P/N"/>
    <m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5"/>
    <s v=" "/>
    <s v="UAE"/>
    <s v="UAE"/>
    <s v="AE"/>
    <s v=" "/>
    <n v="40000"/>
    <b v="0"/>
    <s v="NONTRANSFERABLE"/>
    <s v=" "/>
    <s v=" "/>
    <b v="0"/>
    <b v="0"/>
    <m/>
    <m/>
    <s v=" "/>
    <n v="1257999999.99"/>
    <n v="0"/>
    <m/>
    <n v="0"/>
    <s v="USDbb"/>
    <n v="32.356999999999999"/>
  </r>
  <r>
    <x v="0"/>
    <x v="1"/>
    <x v="0"/>
    <x v="1"/>
    <x v="0"/>
    <x v="103"/>
    <m/>
    <s v="ADCB"/>
    <s v="LISTEDFOREIGN"/>
    <s v="BANKING"/>
    <s v="A+"/>
    <m/>
    <m/>
    <d v="2018-11-26T00:00:00"/>
    <n v="54"/>
    <n v="3"/>
    <m/>
    <m/>
    <m/>
    <n v="1617850000"/>
    <n v="17931170.829999998"/>
    <n v="1603000000"/>
    <n v="0.149335"/>
    <n v="50000000"/>
    <m/>
    <n v="1603000000"/>
    <n v="3"/>
    <n v="7.5699946999999998E-3"/>
    <s v="F6MADCB261118"/>
    <m/>
    <s v="FIXED 6 MONTH DEPOSIT ADCB"/>
    <s v="เงินฝากประจำ 6 เดือน Abu Dhabi Commercial Bank"/>
    <s v="เงินฝากประจำ 6 เดือน Abu Dhabi Commercial Bank"/>
    <s v="Bond"/>
    <s v="ADCB"/>
    <s v="TERM AC360 U"/>
    <s v="CASH"/>
    <m/>
    <s v="BANKING"/>
    <s v=" "/>
    <s v=" "/>
    <s v="NO MARKET"/>
    <s v="USDbb"/>
    <s v=" "/>
    <s v=" "/>
    <s v="P/P"/>
    <s v=" "/>
    <s v="P/N"/>
    <m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UAE"/>
    <s v="UAE"/>
    <s v="AE"/>
    <s v=" "/>
    <n v="40000"/>
    <b v="0"/>
    <s v="NONTRANSFERABLE"/>
    <s v=" "/>
    <s v=" "/>
    <b v="0"/>
    <b v="0"/>
    <m/>
    <m/>
    <s v=" "/>
    <n v="1602999999.98"/>
    <n v="0"/>
    <m/>
    <n v="0"/>
    <s v="USDbb"/>
    <n v="32.356999999999999"/>
  </r>
  <r>
    <x v="0"/>
    <x v="1"/>
    <x v="0"/>
    <x v="1"/>
    <x v="0"/>
    <x v="24"/>
    <m/>
    <s v="BOC MACAU"/>
    <s v="LISTEDFOREIGN"/>
    <s v="BANKING"/>
    <s v="A"/>
    <m/>
    <m/>
    <d v="2018-11-05T00:00:00"/>
    <n v="33"/>
    <n v="0.04"/>
    <m/>
    <m/>
    <m/>
    <n v="2808382500"/>
    <n v="480545.45"/>
    <n v="2850000000"/>
    <n v="9.1662999999999994E-2"/>
    <n v="75000000"/>
    <m/>
    <n v="2850000000"/>
    <n v="0.04"/>
    <n v="1.2998730300000001E-2"/>
    <s v="F6MBOCMC05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MACAO"/>
    <s v="MACAO"/>
    <s v="MO"/>
    <s v=" "/>
    <n v="100000"/>
    <b v="0"/>
    <s v="NONTRANSFERABLE"/>
    <s v=" "/>
    <s v=" "/>
    <b v="0"/>
    <b v="0"/>
    <m/>
    <m/>
    <s v=" "/>
    <n v="2849999999.9699998"/>
    <n v="0"/>
    <m/>
    <n v="0"/>
    <s v="EURbb"/>
    <n v="37.445099999999996"/>
  </r>
  <r>
    <x v="0"/>
    <x v="1"/>
    <x v="0"/>
    <x v="1"/>
    <x v="0"/>
    <x v="104"/>
    <m/>
    <s v="BOC MACAU"/>
    <s v="LISTEDFOREIGN"/>
    <s v="BANKING"/>
    <s v="A"/>
    <m/>
    <m/>
    <d v="2018-11-19T00:00:00"/>
    <n v="47"/>
    <n v="2.92"/>
    <m/>
    <m/>
    <m/>
    <n v="1617850000"/>
    <n v="18371585.559999999"/>
    <n v="1596250000"/>
    <n v="0.13006499999999999"/>
    <n v="50000000"/>
    <m/>
    <n v="1596250000"/>
    <n v="2.92"/>
    <n v="7.5720327999999996E-3"/>
    <s v="F6MBOCMC19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MACAO"/>
    <s v="MACAO"/>
    <s v="MO"/>
    <s v=" "/>
    <n v="100000"/>
    <b v="0"/>
    <s v="NONTRANSFERABLE"/>
    <s v=" "/>
    <s v=" "/>
    <b v="0"/>
    <b v="0"/>
    <m/>
    <m/>
    <s v=" "/>
    <n v="1596250000.01"/>
    <n v="0"/>
    <m/>
    <n v="0"/>
    <s v="USDbb"/>
    <n v="32.356999999999999"/>
  </r>
  <r>
    <x v="0"/>
    <x v="1"/>
    <x v="0"/>
    <x v="1"/>
    <x v="0"/>
    <x v="105"/>
    <m/>
    <s v="BOC MACAU"/>
    <s v="LISTEDFOREIGN"/>
    <s v="BANKING"/>
    <s v="A"/>
    <m/>
    <m/>
    <d v="2018-11-20T00:00:00"/>
    <n v="48"/>
    <n v="2.92"/>
    <m/>
    <m/>
    <m/>
    <n v="452998000"/>
    <n v="5107300.78"/>
    <n v="449330000"/>
    <n v="0.132822"/>
    <n v="14000000"/>
    <m/>
    <n v="449330000"/>
    <n v="2.92"/>
    <n v="2.1199991E-3"/>
    <s v="F6MBOCMC20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8"/>
    <s v=" "/>
    <s v="MACAO"/>
    <s v="MACAO"/>
    <s v="MO"/>
    <s v=" "/>
    <n v="100000"/>
    <b v="0"/>
    <s v="NONTRANSFERABLE"/>
    <s v=" "/>
    <s v=" "/>
    <b v="0"/>
    <b v="0"/>
    <m/>
    <m/>
    <s v=" "/>
    <n v="449330000.00999999"/>
    <n v="0"/>
    <m/>
    <n v="0"/>
    <s v="USDbb"/>
    <n v="32.356999999999999"/>
  </r>
  <r>
    <x v="0"/>
    <x v="1"/>
    <x v="0"/>
    <x v="1"/>
    <x v="0"/>
    <x v="106"/>
    <m/>
    <s v="KTB"/>
    <s v="LISTED"/>
    <s v="BANKING"/>
    <s v="AA+(tha)"/>
    <m/>
    <m/>
    <d v="2020-12-31T00:00:00"/>
    <n v="820"/>
    <n v="0.375"/>
    <m/>
    <m/>
    <m/>
    <n v="9535.0499999999993"/>
    <n v="9.31"/>
    <n v="9535.0499999999993"/>
    <n v="0"/>
    <n v="9535.0499999999993"/>
    <m/>
    <n v="9535.0499999999993"/>
    <n v="0"/>
    <n v="4.4199999999999999E-8"/>
    <s v="INVSKTBsffplus"/>
    <m/>
    <s v="INV.SAVING"/>
    <s v="เงินฝากออมทรัพย์ ธนาคาร กรุงไทย จำกัด (มหาชน)"/>
    <s v="เงินฝากออมทรัพย์ ธนาคาร กรุงไทย จำกัด (มหาชน)"/>
    <s v="Bond"/>
    <s v="KTB"/>
    <s v="SAVING U"/>
    <s v="CASH"/>
    <s v="INVEST SAVING"/>
    <s v="BANKING"/>
    <s v=" "/>
    <s v=" "/>
    <s v="NO MARKET"/>
    <s v="THB"/>
    <s v=" "/>
    <s v=" "/>
    <s v=" "/>
    <s v=" "/>
    <s v="P/N"/>
    <m/>
    <m/>
    <s v="KRUNG THAI BANK PLC."/>
    <s v="ธนาคารกรุงไทย  จำกัด (มหาชน)"/>
    <s v="LISTED"/>
    <s v=" "/>
    <s v="AA+(tha)"/>
    <s v=" "/>
    <s v="BBB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46"/>
    <s v=" "/>
    <s v="THAILAND"/>
    <s v="THAILAND"/>
    <s v="TH"/>
    <s v=" "/>
    <n v="39000"/>
    <b v="1"/>
    <s v=" "/>
    <s v=" "/>
    <s v=" "/>
    <b v="0"/>
    <b v="0"/>
    <m/>
    <m/>
    <s v=" "/>
    <m/>
    <m/>
    <m/>
    <m/>
    <m/>
    <m/>
  </r>
  <r>
    <x v="0"/>
    <x v="1"/>
    <x v="0"/>
    <x v="1"/>
    <x v="0"/>
    <x v="107"/>
    <m/>
    <s v="SCB"/>
    <s v="LISTED"/>
    <s v="BANKING"/>
    <s v="AA+(tha)"/>
    <m/>
    <m/>
    <d v="2020-12-31T00:00:00"/>
    <n v="820"/>
    <n v="0.25"/>
    <m/>
    <m/>
    <m/>
    <n v="73728200.260000005"/>
    <n v="48640.13"/>
    <n v="85887038.310000002"/>
    <n v="0"/>
    <n v="15694197.34"/>
    <m/>
    <n v="85887038.310000002"/>
    <n v="0"/>
    <n v="3.4142120000000002E-4"/>
    <s v="INVSSCBCY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s v=" "/>
    <s v=" "/>
    <s v="NO MARKET"/>
    <s v="CNHbb"/>
    <s v=" "/>
    <s v=" "/>
    <s v="P/P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4"/>
    <s v="FCD ACCOUNT"/>
    <s v="THAILAND"/>
    <s v="THAILAND"/>
    <s v="TH"/>
    <s v=" "/>
    <n v="52000"/>
    <b v="1"/>
    <s v="NONTRANSFERABLE"/>
    <s v=" "/>
    <s v=" "/>
    <b v="0"/>
    <b v="0"/>
    <m/>
    <m/>
    <s v=" "/>
    <n v="85887038.310000002"/>
    <n v="0"/>
    <m/>
    <n v="0"/>
    <s v="CNHbb"/>
    <n v="4.6978"/>
  </r>
  <r>
    <x v="0"/>
    <x v="1"/>
    <x v="0"/>
    <x v="1"/>
    <x v="0"/>
    <x v="108"/>
    <m/>
    <s v="SCB"/>
    <s v="LISTED"/>
    <s v="BANKING"/>
    <s v="AA+(tha)"/>
    <m/>
    <m/>
    <d v="2020-12-31T00:00:00"/>
    <n v="820"/>
    <n v="0.05"/>
    <m/>
    <m/>
    <m/>
    <n v="121631587.64"/>
    <n v="16048.75"/>
    <n v="129319397.17"/>
    <n v="0"/>
    <n v="3759050.21"/>
    <m/>
    <n v="129319397.17"/>
    <n v="0"/>
    <n v="5.6295550000000003E-4"/>
    <s v="INVSSCBUS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m/>
    <s v=" "/>
    <s v="NO MARKET"/>
    <s v="USDbb"/>
    <s v=" "/>
    <s v=" "/>
    <s v=" 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7"/>
    <s v=" "/>
    <s v="THAILAND"/>
    <s v="THAILAND"/>
    <s v="TH"/>
    <s v=" "/>
    <n v="52000"/>
    <b v="1"/>
    <s v="NONTRANSFERABLE"/>
    <s v=" "/>
    <s v=" "/>
    <b v="0"/>
    <b v="0"/>
    <m/>
    <m/>
    <s v=" "/>
    <n v="129319397.17"/>
    <n v="0"/>
    <m/>
    <n v="0"/>
    <s v="USDbb"/>
    <n v="32.356999999999999"/>
  </r>
  <r>
    <x v="0"/>
    <x v="1"/>
    <x v="0"/>
    <x v="1"/>
    <x v="0"/>
    <x v="109"/>
    <m/>
    <s v="UOBT"/>
    <s v="UNLISTED"/>
    <s v="BANKING"/>
    <s v="AAA(tha)"/>
    <m/>
    <m/>
    <d v="2020-12-31T00:00:00"/>
    <n v="820"/>
    <n v="0.85"/>
    <m/>
    <m/>
    <m/>
    <n v="92730392.329999998"/>
    <n v="1407469.29"/>
    <n v="92730392.329999998"/>
    <n v="0"/>
    <n v="92730392.329999998"/>
    <m/>
    <n v="92730392.329999998"/>
    <n v="0"/>
    <n v="4.35647E-4"/>
    <s v="INVSUOBTsffplus"/>
    <m/>
    <s v="INV.SAVING"/>
    <s v="เงินฝากออมทรัพย์ ธ.ยูโอบี จำกัด (มหาชน)"/>
    <s v="เงินฝากออมทรัพย์ ธ.ยูโอบี จำกัด (มหาชน)"/>
    <s v="Bond"/>
    <s v="UOBT"/>
    <s v="SAVING U"/>
    <s v="CASH"/>
    <s v="INVEST SAVING"/>
    <s v="*BOND"/>
    <m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52"/>
    <s v=" "/>
    <s v="THAILAND"/>
    <s v="THAILAND"/>
    <s v="TH"/>
    <s v=" "/>
    <n v="17000"/>
    <b v="1"/>
    <s v=" "/>
    <s v="SINGAPORE"/>
    <s v="SG"/>
    <b v="0"/>
    <b v="0"/>
    <m/>
    <m/>
    <s v=" "/>
    <m/>
    <m/>
    <m/>
    <m/>
    <m/>
    <m/>
  </r>
  <r>
    <x v="0"/>
    <x v="1"/>
    <x v="0"/>
    <x v="1"/>
    <x v="0"/>
    <x v="29"/>
    <m/>
    <s v="SCB"/>
    <s v="LISTED"/>
    <s v="BANKING"/>
    <s v="AA+(tha)"/>
    <m/>
    <m/>
    <d v="2019-01-03T00:00:00"/>
    <n v="92"/>
    <n v="1.5"/>
    <m/>
    <m/>
    <m/>
    <n v="1500000000"/>
    <n v="863013.7"/>
    <n v="1500000000"/>
    <n v="0.251106"/>
    <n v="1500000000"/>
    <m/>
    <n v="1500000000"/>
    <n v="1.5"/>
    <n v="6.9456264999999996E-3"/>
    <s v="S4MSCB030119"/>
    <m/>
    <s v="SAVING PLUS DEPOSIT OF SCB"/>
    <s v="เงินฝากออมทรัพย์-แบบฝากต่อเนื่อง ธ.ไทยพาณิชย์ จำกัด (มหาชน)"/>
    <s v="เงินฝากออมทรัพย์-แบบฝากต่อเนื่อง ธ.ไทยพาณิชย์ จำกัด (มหาชน)"/>
    <s v="Bond"/>
    <s v="SCB"/>
    <s v="TERM AC365 U"/>
    <s v="CASH"/>
    <m/>
    <s v="BANKING"/>
    <s v=" "/>
    <s v=" "/>
    <s v="NO MARKET"/>
    <s v="THB"/>
    <s v=" "/>
    <s v=" "/>
    <s v="P/O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52000"/>
    <b v="0"/>
    <s v="NONTRANSFERABLE"/>
    <s v=" "/>
    <s v=" "/>
    <b v="0"/>
    <b v="0"/>
    <m/>
    <m/>
    <s v=" "/>
    <m/>
    <m/>
    <m/>
    <m/>
    <m/>
    <m/>
  </r>
  <r>
    <x v="0"/>
    <x v="1"/>
    <x v="0"/>
    <x v="2"/>
    <x v="0"/>
    <x v="110"/>
    <m/>
    <s v="BANPU"/>
    <s v="LISTED"/>
    <s v="ENERGY"/>
    <s v="A+"/>
    <m/>
    <m/>
    <d v="2019-02-06T00:00:00"/>
    <n v="126"/>
    <m/>
    <n v="1.650558"/>
    <m/>
    <m/>
    <n v="1352355684.8"/>
    <m/>
    <n v="1352128020.8"/>
    <n v="0.34054099999999998"/>
    <n v="1360000000"/>
    <m/>
    <n v="1348444025.5999999"/>
    <n v="1.7"/>
    <n v="6.2583709E-3"/>
    <s v="BANPU19206A"/>
    <m/>
    <s v="BANPU PLC."/>
    <s v="ตั๋วแลกเงิน บริษัท บ้านปู จำกัด (มหาชน)"/>
    <s v="ตั๋วแลกเงิน บริษัท บ้านปู จำกัด (มหาชน) มูลค่า 1,500.00 ล้านบาท ครบกำหนดไถ่ถอนวันที่ 6 กุมภาพันธ์ 2562"/>
    <s v="Bond"/>
    <s v="BANPU"/>
    <s v="0DisAc365"/>
    <s v="B/E CORP."/>
    <m/>
    <s v="ENERGY"/>
    <s v="RESOURCES"/>
    <s v=" "/>
    <s v="ThaiBMA"/>
    <s v="THB"/>
    <s v=" "/>
    <s v=" "/>
    <s v="P/P"/>
    <s v=" "/>
    <s v="DISCOUNT"/>
    <m/>
    <m/>
    <s v="BANPU PLC."/>
    <s v="บมจ.บ้านปู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8"/>
    <s v=" "/>
    <s v="THAILAND"/>
    <s v="THAILAND"/>
    <s v="TH"/>
    <s v=" "/>
    <n v="10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1"/>
    <m/>
    <s v="BTS"/>
    <s v="LISTED"/>
    <s v="TRANSPORTA"/>
    <s v="A"/>
    <m/>
    <m/>
    <d v="2018-11-20T00:00:00"/>
    <n v="48"/>
    <m/>
    <n v="1.7755890000000001"/>
    <m/>
    <m/>
    <n v="299315652"/>
    <m/>
    <n v="299325492"/>
    <n v="0.12848100000000001"/>
    <n v="300000000"/>
    <m/>
    <n v="298625505"/>
    <n v="1.75"/>
    <n v="1.3851594999999999E-3"/>
    <s v="BTSG18N20A"/>
    <m/>
    <s v="BTS GROUP HOLDINGS PLC."/>
    <s v="ตั๋วแลกเงิน บริษัท บีทีเอส กรุ๊ป โฮลดิ้งส์ จำกัด (มหาชน) ครั้งที่ 65/2018 "/>
    <s v="ตั๋วแลกเงิน บริษัท บีทีเอส กรุ๊ป โฮลดิ้งส์ จำกัด (มหาชน) ครั้งที่ 65/2018 มูลค่า 500.00 ล้านบาท ครบกำหนดไถ่ถอนวันที่ 20 พฤศจิกายน 2561 "/>
    <s v="Bond"/>
    <s v="BTS"/>
    <s v="0DisAc365"/>
    <s v="B/E CORP."/>
    <m/>
    <s v="TRANSPORTATION"/>
    <s v="SERVICES"/>
    <s v=" "/>
    <s v="ThaiBMA"/>
    <s v="THB"/>
    <s v=" "/>
    <s v=" "/>
    <s v="P/P"/>
    <s v=" "/>
    <s v="DISCOUNT"/>
    <m/>
    <m/>
    <s v="BTS GROUP HOLDINGS PLC."/>
    <s v="บมจ.บีทีเอส กรุ๊ป โฮลดิ้งส์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6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2"/>
    <m/>
    <s v="CPF"/>
    <s v="LISTED"/>
    <s v="FOOD &amp; BEV"/>
    <s v="A+"/>
    <m/>
    <m/>
    <d v="2018-12-13T00:00:00"/>
    <n v="71"/>
    <m/>
    <n v="1.598085"/>
    <m/>
    <m/>
    <n v="1993889080"/>
    <m/>
    <n v="1993938980"/>
    <n v="0.19118299999999999"/>
    <n v="2000000000"/>
    <m/>
    <n v="1979371160"/>
    <n v="1.585"/>
    <n v="9.2272303999999996E-3"/>
    <s v="CPF18D13A"/>
    <m/>
    <s v="CHAROEN POKPHAND FOODS PLC."/>
    <s v="ตั๋วแลกเงิน บริษัท เจริญโภคภัณฑ์อาหาร จำกัด (มหาชน) ครั้งที่ 7/2561"/>
    <s v="ตั๋วแลกเงิน บริษัท เจริญโภคภัณฑ์อาหาร จำกัด (มหาชน) ครั้งที่ 7/2561 มูลค่า 2,000.00 ล้านบาท ครบกำหนดไถ่ถอนวันที่ 13 ธันวาคม 2561 "/>
    <s v="Bond"/>
    <s v="CPF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7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3"/>
    <m/>
    <s v="CPF"/>
    <s v="LISTED"/>
    <s v="FOOD &amp; BEV"/>
    <s v="A+"/>
    <m/>
    <m/>
    <d v="2019-01-29T00:00:00"/>
    <n v="118"/>
    <m/>
    <n v="1.7504690000000001"/>
    <m/>
    <m/>
    <n v="397768088"/>
    <m/>
    <n v="397641928"/>
    <n v="0.31875900000000001"/>
    <n v="400000000"/>
    <m/>
    <n v="397301616"/>
    <n v="1.85"/>
    <n v="1.8407733000000001E-3"/>
    <s v="CPF19129A"/>
    <m/>
    <s v="CHAROEN POKPHAND FOODS PLC."/>
    <s v="ตั๋วแลกเงิน บริษัท เจริญโภคภัณฑ์อาหาร จำกัด (มหาชน) ครั้งที่ 17/2561"/>
    <s v="ตั๋วแลกเงิน บริษัท เจริญโภคภัณฑ์อาหาร จำกัด (มหาชน) ครั้งที่ 17/2561 มูลค่า 1,200.00 ล้านบาท ครบกำหนดไถ่ถอนวันที่ 29 มกราคม 2562 "/>
    <s v="Bond"/>
    <s v="CPF"/>
    <s v="0DisAc365"/>
    <s v="B/E CORP."/>
    <m/>
    <s v="FOOD &amp; BEVERAGE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0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4"/>
    <m/>
    <s v="CPFTH"/>
    <s v="UNLISTED"/>
    <s v="AGRIBUSINE"/>
    <s v="A+"/>
    <m/>
    <m/>
    <d v="2018-12-06T00:00:00"/>
    <n v="64"/>
    <m/>
    <n v="1.5607260000000001"/>
    <m/>
    <m/>
    <n v="1396238732"/>
    <m/>
    <n v="1396024196"/>
    <n v="0.17213800000000001"/>
    <n v="1400000000"/>
    <m/>
    <n v="1383365508"/>
    <n v="1.65"/>
    <n v="6.4614509000000004E-3"/>
    <s v="CPFTH18D06A"/>
    <m/>
    <s v="CPF (THAILAND) PLC."/>
    <s v="ตั๋วแลกเงิน บริษัท ซีพีเอฟ (ประเทศไทย) จำกัด (มหาชน) ครั้งที่ 7/2561"/>
    <s v="ตั๋วแลกเงิน บริษัท ซีพีเอฟ (ประเทศไทย) จำกัด (มหาชน) ครั้งที่ 7/2561 มูลค่า 1,900.00 ล้านบาท ครบกำหนดไถ่ถอนวันที่ 6 ธันวาคม 2561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5"/>
    <m/>
    <s v="CPFTH"/>
    <s v="UNLISTED"/>
    <s v="AGRIBUSINE"/>
    <s v="A+"/>
    <m/>
    <m/>
    <d v="2019-03-26T00:00:00"/>
    <n v="174"/>
    <m/>
    <n v="1.8464320000000001"/>
    <m/>
    <m/>
    <n v="991324340"/>
    <m/>
    <n v="991773710"/>
    <n v="0.46986099999999997"/>
    <n v="1000000000"/>
    <m/>
    <n v="989374390"/>
    <n v="1.75"/>
    <n v="4.5876062999999998E-3"/>
    <s v="CPFTH19326B"/>
    <m/>
    <s v="CPF (THAILAND) PLC."/>
    <s v="ตั๋วแลกเงิน บริษัท ซีพีเอฟ (ประเทศไทย) จำกัด (มหาชน) ครั้งที่ 35/2561"/>
    <s v="ตั๋วแลกเงิน บริษัท ซีพีเอฟ (ประเทศไทย) จำกัด (มหาชน) ครั้งที่ 35/2561 มูลค่า 1,000.00 ล้านบาท ครบกำหนดไถ่ถอนวันที่ 26 มีนาคม 2562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6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6"/>
    <m/>
    <s v="CPN"/>
    <s v="LISTED"/>
    <s v="PROPERTY"/>
    <s v="AA"/>
    <m/>
    <m/>
    <d v="2018-11-13T00:00:00"/>
    <n v="41"/>
    <m/>
    <n v="1.6"/>
    <m/>
    <m/>
    <n v="1497374460"/>
    <m/>
    <n v="1497374460"/>
    <n v="0.109403"/>
    <n v="1500000000"/>
    <m/>
    <n v="1494235935"/>
    <n v="1.6"/>
    <n v="6.9294823000000004E-3"/>
    <s v="CPN18N13A"/>
    <m/>
    <s v="CENTRAL PATTANA PLC."/>
    <s v="ตั๋วแลกเงิน บริษัท เซ็นทรัลพัฒนา จำกัด (มหาชน)"/>
    <s v="ตั๋วแลกเงิน บริษัท เซ็นทรัลพัฒนา จำกัด (มหาชน) มูลค่า 2,000.00 ล้านบาท ครบกำหนดไถ่ถอนวันที่ 13 พฤศจิกายน 2561 "/>
    <s v="Bond"/>
    <s v="CPN"/>
    <s v="0DisAc365"/>
    <s v="B/E CORP."/>
    <m/>
    <s v="PROPERTY"/>
    <s v="PROPERTY &amp; CON"/>
    <s v=" "/>
    <s v="ThaiBMA"/>
    <s v="THB"/>
    <s v=" "/>
    <s v=" "/>
    <s v="P/P"/>
    <s v=" "/>
    <s v="DISCOUNT"/>
    <m/>
    <m/>
    <s v="CENTRAL PATTANA PLC."/>
    <s v="บมจ.เซ็นทรัลพัฒนา"/>
    <s v="LISTED"/>
    <s v="AA"/>
    <s v=" "/>
    <s v=" "/>
    <s v=" "/>
    <s v=" 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1"/>
    <m/>
    <s v="MP"/>
    <s v="UNLISTED"/>
    <s v="AGRIBUSINE"/>
    <s v="A+"/>
    <m/>
    <m/>
    <d v="2018-10-09T00:00:00"/>
    <n v="6"/>
    <m/>
    <n v="1.58"/>
    <m/>
    <m/>
    <n v="1199740332"/>
    <m/>
    <n v="1199740332"/>
    <n v="1.3696E-2"/>
    <n v="1200000000"/>
    <m/>
    <n v="1196788020"/>
    <n v="1.58"/>
    <n v="5.5521045000000002E-3"/>
    <s v="MPSC18O09B"/>
    <m/>
    <s v="MITR PHOL SUGAR CORPORATION LIMITED."/>
    <s v="ตั๋วแลกเงิน บริษัท น้ำตาลมิตรผล จำกัด "/>
    <s v="ตั๋วแลกเงิน บริษัท น้ำตาลมิตรผล จำกัด มูลค่า 2,400.00 ล้านบาท ครบกำหนดไถ่ถอนวันที่ 9 ตุลาคม 2561"/>
    <s v="Bond"/>
    <s v="MP"/>
    <s v="0DisAc365"/>
    <s v="B/E CORP."/>
    <m/>
    <s v="AGRIBUSINESS"/>
    <s v="AGRO &amp; FOOD"/>
    <s v=" "/>
    <s v="ThaiBMA"/>
    <s v="THB"/>
    <s v=" "/>
    <s v=" "/>
    <s v="P/P"/>
    <s v=" "/>
    <s v="DISCOUNT"/>
    <m/>
    <m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1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7"/>
    <m/>
    <s v="SIRI"/>
    <s v="LISTED"/>
    <s v="PROPERTY"/>
    <s v="BBB+"/>
    <m/>
    <m/>
    <d v="2018-10-24T00:00:00"/>
    <n v="21"/>
    <m/>
    <n v="1.868609"/>
    <m/>
    <m/>
    <n v="99897715"/>
    <m/>
    <n v="99885064"/>
    <n v="5.4739000000000003E-2"/>
    <n v="100000000"/>
    <m/>
    <n v="98929931"/>
    <n v="2.1"/>
    <n v="4.6230220000000001E-4"/>
    <s v="SIRI18O24A"/>
    <m/>
    <s v="SANSIRI PLC."/>
    <s v="ตั๋วแลกเงิน บริษัท แสนสิริ จำกัด (มหาชน) "/>
    <s v="ตั๋วแลกเงิน บริษัท แสนสิริ จำกัด (มหาชน) มูลค่า 100.00 ล้านบาท ครบกำหนดไถ่ถอนวันที่ 24 ตุลาคม 2561"/>
    <s v="Bond"/>
    <s v="SIRI"/>
    <s v="0DisAc365"/>
    <s v="B/E CORP."/>
    <m/>
    <s v="PROPERTY"/>
    <s v="PROPERTY &amp; CON"/>
    <s v=" "/>
    <s v="ThaiBMA"/>
    <s v="THB"/>
    <s v=" "/>
    <s v=" "/>
    <s v="P/P"/>
    <s v=" "/>
    <s v="DISCOUNT"/>
    <m/>
    <m/>
    <s v="SANSIRI PLC."/>
    <s v="บมจ.แสนสิริ 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8"/>
    <m/>
    <s v="SPALI"/>
    <s v="LISTED"/>
    <s v="PROPERTY"/>
    <s v="A"/>
    <m/>
    <m/>
    <d v="2019-01-31T00:00:00"/>
    <n v="120"/>
    <m/>
    <n v="1.5489010000000001"/>
    <m/>
    <m/>
    <n v="696482871.80999994"/>
    <m/>
    <n v="696423910.91999996"/>
    <n v="0.32438899999999998"/>
    <n v="700000000"/>
    <m/>
    <n v="691967955"/>
    <n v="1.575"/>
    <n v="3.2231522E-3"/>
    <s v="SPALI19131A"/>
    <m/>
    <s v="SUPALAI PUBLIC COMPANY LIMITED"/>
    <s v="ตั๋วแลกเงิน บริษัท ศุภาลัย จำกัด (มหาชน) "/>
    <s v="ตั๋วแลกเงิน บริษัท ศุภาลัย จำกัด (มหาชน) มูลค่า 1,000.00 ล้านบาท ครบกำหนดไถ่ถอนวันที่ 31 มกราคม 2562 "/>
    <s v="Bond"/>
    <s v="SPALI"/>
    <s v="0DisAc365p10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7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3"/>
    <m/>
    <s v="SPALI"/>
    <s v="LISTED"/>
    <s v="PROPERTY"/>
    <s v="A"/>
    <m/>
    <m/>
    <d v="2019-02-18T00:00:00"/>
    <n v="138"/>
    <m/>
    <n v="1.5995360000000001"/>
    <m/>
    <m/>
    <n v="844927276.5"/>
    <m/>
    <n v="844673696"/>
    <n v="0.37310199999999999"/>
    <n v="850000000"/>
    <m/>
    <n v="839566377.5"/>
    <n v="1.68"/>
    <n v="3.9101164999999997E-3"/>
    <s v="SPALI19218A"/>
    <m/>
    <s v="SUPALAI PUBLIC COMPANY LIMITED"/>
    <s v="ตั๋วแลกเงิน บริษัท ศุภาลัย จำกัด (มหาชน) มูลค่า 1,000.00 ล้านบาท "/>
    <s v="ตั๋วแลกเงิน บริษัท ศุภาลัย จำกัด (มหาชน) มูลค่า 1,000.00 ล้านบาท ครบกำหนดไถ่ถอนวันที่ 18 กุมภาพันธ์ 2562 "/>
    <s v="Bond"/>
    <s v="SPALI"/>
    <s v="0DisAc365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9"/>
    <m/>
    <s v="TISCO"/>
    <s v="LISTED"/>
    <s v="FIN &amp; SEC."/>
    <s v="A-"/>
    <m/>
    <m/>
    <d v="2018-10-08T00:00:00"/>
    <n v="5"/>
    <n v="1.58"/>
    <n v="1.58"/>
    <n v="1000000"/>
    <n v="999.99956999999995"/>
    <n v="999999570"/>
    <n v="2467400"/>
    <n v="1000000000"/>
    <n v="1.0957E-2"/>
    <n v="1000000000"/>
    <m/>
    <n v="1000000000"/>
    <n v="1.58"/>
    <n v="4.6391716000000003E-3"/>
    <s v="TISCOG18O08A"/>
    <m/>
    <s v="TISCO FINANCIAL GROUP PLC."/>
    <s v="ตั๋วแลกเงิน บริษัท ทิสโก้ไฟแนนเชียลกรุ๊ป จำกัด (มหาชน) ครั้งที่ 20/2561 "/>
    <s v="ตั๋วแลกเงิน บริษัท ทิสโก้ไฟแนนเชียลกรุ๊ป จำกัด (มหาชน) ครั้งที่ 20/2561 มูลค่า 1,000.00 ล้านบาท ครบกำหนดไถ่ถอนวันที่ 8 ตุลาคม 2561 "/>
    <s v="Bond"/>
    <s v="TISCO"/>
    <s v="0SdAc365C"/>
    <s v="B/E CORP."/>
    <m/>
    <s v="FIN &amp; SEC."/>
    <s v="FINANCIALS"/>
    <s v=" "/>
    <s v="ThaiBMA"/>
    <s v="THB"/>
    <s v=" "/>
    <s v=" "/>
    <s v="P/P"/>
    <s v=" "/>
    <s v="BOND"/>
    <m/>
    <m/>
    <s v="TISCO BANK PLC."/>
    <s v="บมจ.ทิสโก้ไฟแนนเชียลกรุ๊ป"/>
    <s v="LISTED"/>
    <s v="A-"/>
    <s v=" "/>
    <s v="YES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3"/>
    <x v="0"/>
    <x v="120"/>
    <m/>
    <s v="GOVERNMENT"/>
    <s v="OTHER"/>
    <s v="GOVERNMENT"/>
    <s v="BBB+"/>
    <m/>
    <m/>
    <d v="2018-11-14T00:00:00"/>
    <n v="42"/>
    <m/>
    <n v="1.231587"/>
    <m/>
    <m/>
    <n v="787909980.72000003"/>
    <m/>
    <n v="787882484.07000005"/>
    <n v="0.112179"/>
    <n v="789000000"/>
    <m/>
    <n v="786038997.53999996"/>
    <n v="1.2626999999999999"/>
    <n v="3.6462544E-3"/>
    <s v="TB18N14A"/>
    <m/>
    <s v="TREASURY BILL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54"/>
    <s v=" "/>
    <s v="THAILAND"/>
    <s v="THAILAND"/>
    <s v="TH"/>
    <s v=" "/>
    <n v="0"/>
    <b v="0"/>
    <s v="TRANSFERABLE"/>
    <s v=" "/>
    <s v=" "/>
    <b v="0"/>
    <b v="0"/>
    <m/>
    <m/>
    <s v="TH062307SB86"/>
    <m/>
    <m/>
    <m/>
    <m/>
    <m/>
    <m/>
  </r>
  <r>
    <x v="0"/>
    <x v="1"/>
    <x v="0"/>
    <x v="3"/>
    <x v="0"/>
    <x v="34"/>
    <m/>
    <s v="GOVERNMENT"/>
    <s v="OTHER"/>
    <s v="GOVERNMENT"/>
    <s v="BBB+"/>
    <m/>
    <m/>
    <d v="2019-04-03T00:00:00"/>
    <n v="182"/>
    <m/>
    <n v="1.5805450000000001"/>
    <m/>
    <m/>
    <n v="1180745584.2"/>
    <m/>
    <n v="1182307352.0999999"/>
    <n v="0.49203400000000003"/>
    <n v="1190000000"/>
    <m/>
    <n v="1174650707.47"/>
    <n v="1.312079"/>
    <n v="5.4642014000000003E-3"/>
    <s v="TB19403A"/>
    <m/>
    <s v="TREASURY BILL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4"/>
    <s v=" "/>
    <s v="THAILAND"/>
    <s v="THAILAND"/>
    <s v="TH"/>
    <s v=" "/>
    <n v="0"/>
    <b v="0"/>
    <s v="TRANSFERABLE"/>
    <s v=" "/>
    <s v=" "/>
    <b v="0"/>
    <b v="0"/>
    <m/>
    <m/>
    <s v="TH062307T485"/>
    <m/>
    <m/>
    <m/>
    <m/>
    <m/>
    <m/>
  </r>
  <r>
    <x v="0"/>
    <x v="1"/>
    <x v="0"/>
    <x v="4"/>
    <x v="0"/>
    <x v="35"/>
    <m/>
    <s v="BOT"/>
    <m/>
    <s v="GOVERNMENT"/>
    <m/>
    <m/>
    <m/>
    <d v="2018-12-06T00:00:00"/>
    <n v="64"/>
    <m/>
    <n v="1.3"/>
    <m/>
    <m/>
    <n v="6984328330"/>
    <m/>
    <n v="6983815860"/>
    <n v="0.17222399999999999"/>
    <n v="7000000000"/>
    <m/>
    <n v="6976646860.5299997"/>
    <n v="1.3426100000000001"/>
    <n v="3.23217612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1"/>
    <x v="0"/>
    <x v="4"/>
    <x v="0"/>
    <x v="121"/>
    <m/>
    <s v="BOT"/>
    <m/>
    <s v="GOVERNMENT"/>
    <m/>
    <m/>
    <m/>
    <d v="2018-12-13T00:00:00"/>
    <n v="71"/>
    <m/>
    <n v="1.261633"/>
    <m/>
    <m/>
    <n v="549670034.76999998"/>
    <m/>
    <n v="549670034.76999998"/>
    <n v="0.19128600000000001"/>
    <n v="551000000"/>
    <m/>
    <n v="549553219.5"/>
    <n v="1.261633"/>
    <n v="2.5437382999999999E-3"/>
    <s v="CB18D13A"/>
    <m/>
    <s v="Bank of Thailand Bond"/>
    <s v="พันธบัตรธนาคารแห่งประเทศไทยงวดที่ 24/182/61"/>
    <s v="พันธบัตรธนาคารแห่งประเทศไทยงวดที่ 2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65"/>
    <s v=" "/>
    <s v="THAILAND"/>
    <s v="THAILAND"/>
    <s v="TH"/>
    <s v=" "/>
    <n v="0"/>
    <b v="0"/>
    <s v="TRANSFERABLE"/>
    <s v=" "/>
    <s v=" "/>
    <b v="0"/>
    <b v="0"/>
    <m/>
    <m/>
    <s v="TH0655B7SC81"/>
    <m/>
    <m/>
    <m/>
    <m/>
    <m/>
    <m/>
  </r>
  <r>
    <x v="0"/>
    <x v="1"/>
    <x v="0"/>
    <x v="4"/>
    <x v="0"/>
    <x v="36"/>
    <m/>
    <s v="BOT"/>
    <m/>
    <s v="GOVERNMENT"/>
    <m/>
    <m/>
    <m/>
    <d v="2018-12-13T00:00:00"/>
    <n v="71"/>
    <m/>
    <n v="1.1536930000000001"/>
    <m/>
    <m/>
    <n v="5125659147.8400002"/>
    <m/>
    <n v="5125547931.79"/>
    <n v="0.19130800000000001"/>
    <n v="5137000000"/>
    <m/>
    <n v="5122151604.2799997"/>
    <n v="1.165035"/>
    <n v="2.3720295299999999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1"/>
    <x v="0"/>
    <x v="4"/>
    <x v="0"/>
    <x v="37"/>
    <m/>
    <s v="BOT"/>
    <m/>
    <s v="GOVERNMENT"/>
    <m/>
    <m/>
    <m/>
    <d v="2018-12-20T00:00:00"/>
    <n v="78"/>
    <m/>
    <n v="1.2549999999999999"/>
    <m/>
    <m/>
    <n v="4487120210.54"/>
    <m/>
    <n v="4485969411.3299999"/>
    <n v="0.21034700000000001"/>
    <n v="4499000000"/>
    <m/>
    <n v="4483657709.3699999"/>
    <n v="1.376922"/>
    <n v="2.07652935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1"/>
    <x v="0"/>
    <x v="4"/>
    <x v="0"/>
    <x v="122"/>
    <m/>
    <s v="BOT"/>
    <m/>
    <s v="GOVERNMENT"/>
    <m/>
    <m/>
    <m/>
    <d v="2018-12-27T00:00:00"/>
    <n v="85"/>
    <m/>
    <n v="1.38"/>
    <m/>
    <m/>
    <n v="847309036"/>
    <m/>
    <n v="847087500.5"/>
    <n v="0.229406"/>
    <n v="850000000"/>
    <m/>
    <n v="846845701"/>
    <n v="1.494"/>
    <n v="3.9211387E-3"/>
    <s v="CB18D27B"/>
    <m/>
    <s v="Bank of Thailand Bond"/>
    <s v="พันธบัตรธนาคารแห่งประเทศไทยงวดที่ 39/91/61"/>
    <s v="พันธบัตรธนาคารแห่งประเทศไทยงวดที่ 3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0"/>
    <s v=" "/>
    <s v="THAILAND"/>
    <s v="THAILAND"/>
    <s v="TH"/>
    <s v=" "/>
    <n v="0"/>
    <b v="0"/>
    <s v="TRANSFERABLE"/>
    <s v=" "/>
    <s v=" "/>
    <b v="0"/>
    <b v="0"/>
    <m/>
    <m/>
    <s v="TH0655H7SC88"/>
    <m/>
    <m/>
    <m/>
    <m/>
    <m/>
    <m/>
  </r>
  <r>
    <x v="0"/>
    <x v="1"/>
    <x v="0"/>
    <x v="4"/>
    <x v="0"/>
    <x v="123"/>
    <m/>
    <s v="BOT"/>
    <m/>
    <s v="GOVERNMENT"/>
    <m/>
    <m/>
    <m/>
    <d v="2018-11-01T00:00:00"/>
    <n v="29"/>
    <m/>
    <n v="1.140522"/>
    <m/>
    <m/>
    <n v="621456272.48000002"/>
    <m/>
    <n v="621456272.48000002"/>
    <n v="7.6644000000000004E-2"/>
    <n v="622000000"/>
    <m/>
    <n v="621051648.87"/>
    <n v="1.140523"/>
    <n v="2.8759473999999999E-3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0"/>
    <x v="4"/>
    <x v="0"/>
    <x v="38"/>
    <m/>
    <s v="BOT"/>
    <m/>
    <s v="GOVERNMENT"/>
    <m/>
    <m/>
    <m/>
    <d v="2018-11-01T00:00:00"/>
    <n v="29"/>
    <m/>
    <n v="1.2874129999999999"/>
    <m/>
    <m/>
    <n v="3571472797.75"/>
    <m/>
    <n v="3571451133.25"/>
    <n v="7.6643000000000003E-2"/>
    <n v="3575000000"/>
    <m/>
    <n v="3563632675.1599998"/>
    <n v="1.295328"/>
    <n v="1.6527901500000001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0"/>
    <x v="4"/>
    <x v="0"/>
    <x v="39"/>
    <m/>
    <s v="BOT"/>
    <m/>
    <s v="GOVERNMENT"/>
    <m/>
    <m/>
    <m/>
    <d v="2018-11-08T00:00:00"/>
    <n v="36"/>
    <m/>
    <n v="1.2126969999999999"/>
    <m/>
    <m/>
    <n v="698188104.50999999"/>
    <m/>
    <n v="698188104.50999999"/>
    <n v="9.5782000000000006E-2"/>
    <n v="699000000"/>
    <m/>
    <n v="697692970.89999998"/>
    <n v="1.2126969999999999"/>
    <n v="3.2310436000000001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0"/>
    <x v="4"/>
    <x v="0"/>
    <x v="40"/>
    <m/>
    <s v="BOT"/>
    <m/>
    <s v="GOVERNMENT"/>
    <m/>
    <m/>
    <m/>
    <d v="2018-11-08T00:00:00"/>
    <n v="36"/>
    <m/>
    <n v="1.2616039999999999"/>
    <m/>
    <m/>
    <n v="5692113898.3000002"/>
    <m/>
    <n v="5692080787.1099997"/>
    <n v="9.5780000000000004E-2"/>
    <n v="5699000000"/>
    <m/>
    <n v="5682815104.3900003"/>
    <n v="1.267687"/>
    <n v="2.6341709200000001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1"/>
    <x v="0"/>
    <x v="4"/>
    <x v="0"/>
    <x v="124"/>
    <m/>
    <s v="BOT"/>
    <m/>
    <s v="GOVERNMENT"/>
    <m/>
    <m/>
    <m/>
    <d v="2018-11-15T00:00:00"/>
    <n v="43"/>
    <m/>
    <n v="1.1621809999999999"/>
    <m/>
    <m/>
    <n v="579225398.39999998"/>
    <m/>
    <n v="579225398.39999998"/>
    <n v="0.11491"/>
    <n v="580000000"/>
    <m/>
    <n v="578862047.82000005"/>
    <n v="1.1621809999999999"/>
    <n v="2.6805132999999999E-3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0"/>
    <x v="4"/>
    <x v="0"/>
    <x v="41"/>
    <m/>
    <s v="BOT"/>
    <m/>
    <s v="GOVERNMENT"/>
    <m/>
    <m/>
    <m/>
    <d v="2018-11-15T00:00:00"/>
    <n v="43"/>
    <m/>
    <n v="1.2558640000000001"/>
    <m/>
    <m/>
    <n v="8162204754.5200005"/>
    <m/>
    <n v="8162194373.54"/>
    <n v="0.114912"/>
    <n v="8174000000"/>
    <m/>
    <n v="8148989774.6300001"/>
    <n v="1.2569760000000001"/>
    <n v="3.7772684799999998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0"/>
    <x v="4"/>
    <x v="0"/>
    <x v="42"/>
    <m/>
    <s v="BOT"/>
    <m/>
    <s v="GOVERNMENT"/>
    <m/>
    <m/>
    <m/>
    <d v="2018-11-22T00:00:00"/>
    <n v="50"/>
    <m/>
    <n v="1.23"/>
    <m/>
    <m/>
    <n v="2646629799.9899998"/>
    <m/>
    <n v="2646629799.9899998"/>
    <n v="0.134023"/>
    <n v="2651000000"/>
    <m/>
    <n v="2643553683.0700002"/>
    <n v="1.23"/>
    <n v="1.2247954599999999E-2"/>
    <s v="CB18N22A"/>
    <m/>
    <s v="Bank of Thailand Bond"/>
    <s v="พันธบัตรธนาคารแห่งประเทศไทยงวดที่ 21/182/61 "/>
    <s v="พันธบัตรธนาคารแห่งประเทศไทยงวดที่ 21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0"/>
    <b v="0"/>
    <s v="TRANSFERABLE"/>
    <s v=" "/>
    <s v=" "/>
    <b v="0"/>
    <b v="0"/>
    <m/>
    <m/>
    <s v="TH0655C7SB80"/>
    <m/>
    <m/>
    <m/>
    <m/>
    <m/>
    <m/>
  </r>
  <r>
    <x v="0"/>
    <x v="1"/>
    <x v="0"/>
    <x v="4"/>
    <x v="0"/>
    <x v="43"/>
    <m/>
    <s v="BOT"/>
    <m/>
    <s v="GOVERNMENT"/>
    <m/>
    <m/>
    <m/>
    <d v="2018-11-22T00:00:00"/>
    <n v="50"/>
    <m/>
    <n v="1.250019"/>
    <m/>
    <m/>
    <n v="4737050701.5"/>
    <m/>
    <n v="4736904175.8999996"/>
    <n v="0.13402800000000001"/>
    <n v="4745000000"/>
    <m/>
    <n v="4730369862.3100004"/>
    <n v="1.273101"/>
    <n v="2.19219106E-2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1"/>
    <x v="0"/>
    <x v="4"/>
    <x v="0"/>
    <x v="44"/>
    <m/>
    <s v="BOT"/>
    <m/>
    <s v="GOVERNMENT"/>
    <m/>
    <m/>
    <m/>
    <d v="2018-11-29T00:00:00"/>
    <n v="57"/>
    <m/>
    <n v="1.2233229999999999"/>
    <m/>
    <m/>
    <n v="605862870.48000002"/>
    <m/>
    <n v="605863125.41999996"/>
    <n v="0.15312899999999999"/>
    <n v="607000000"/>
    <m/>
    <n v="605392262.88"/>
    <n v="1.2230479999999999"/>
    <n v="2.803785E-3"/>
    <s v="CB18N29A"/>
    <m/>
    <s v="Bank of Thailand Bond"/>
    <s v="พันธบัตรธนาคารแห่งประเทศไทยงวดที่ 22/182/61 "/>
    <s v="พันธบัตรธนาคารแห่งประเทศไทยงวดที่ 22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51"/>
    <s v=" "/>
    <s v="THAILAND"/>
    <s v="THAILAND"/>
    <s v="TH"/>
    <s v=" "/>
    <n v="0"/>
    <b v="0"/>
    <s v="TRANSFERABLE"/>
    <s v=" "/>
    <s v=" "/>
    <b v="0"/>
    <b v="0"/>
    <m/>
    <m/>
    <s v="TH0655D7SB88"/>
    <m/>
    <m/>
    <m/>
    <m/>
    <m/>
    <m/>
  </r>
  <r>
    <x v="0"/>
    <x v="1"/>
    <x v="0"/>
    <x v="4"/>
    <x v="0"/>
    <x v="45"/>
    <m/>
    <s v="BOT"/>
    <m/>
    <s v="GOVERNMENT"/>
    <m/>
    <m/>
    <m/>
    <d v="2018-11-29T00:00:00"/>
    <n v="57"/>
    <m/>
    <n v="1.190833"/>
    <m/>
    <m/>
    <n v="7046126501.6999998"/>
    <m/>
    <n v="7045559875.7700005"/>
    <n v="0.153145"/>
    <n v="7059000000"/>
    <m/>
    <n v="7037257223.54"/>
    <n v="1.2433479999999999"/>
    <n v="3.2607747999999999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1"/>
    <x v="0"/>
    <x v="4"/>
    <x v="0"/>
    <x v="46"/>
    <m/>
    <s v="BOT"/>
    <m/>
    <s v="GOVERNMENT"/>
    <m/>
    <m/>
    <m/>
    <d v="2018-10-04T00:00:00"/>
    <n v="1"/>
    <m/>
    <n v="1.3106910000000001"/>
    <m/>
    <m/>
    <n v="2224000000"/>
    <m/>
    <n v="2224000000"/>
    <n v="2.7399999999999998E-3"/>
    <n v="2224000000"/>
    <m/>
    <n v="2212166177.6100001"/>
    <n v="1.1718999999999999"/>
    <n v="1.02921274E-2"/>
    <s v="CB18O04A"/>
    <m/>
    <s v="Bank of Thailand Bond"/>
    <s v="พันธบัตรธนาคารแห่งประเทศไทยงวดที่ 14/182/61"/>
    <s v="พันธบัตรธนาคารแห่งประเทศไทยงวดที่ 1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5"/>
    <s v=" "/>
    <s v="THAILAND"/>
    <s v="THAILAND"/>
    <s v="TH"/>
    <s v=" "/>
    <n v="0"/>
    <b v="0"/>
    <s v="TRANSFERABLE"/>
    <s v=" "/>
    <s v=" "/>
    <b v="0"/>
    <b v="0"/>
    <m/>
    <m/>
    <s v="TH065507SA88"/>
    <m/>
    <m/>
    <m/>
    <m/>
    <m/>
    <m/>
  </r>
  <r>
    <x v="0"/>
    <x v="1"/>
    <x v="0"/>
    <x v="4"/>
    <x v="0"/>
    <x v="47"/>
    <m/>
    <s v="BOT"/>
    <m/>
    <s v="GOVERNMENT"/>
    <m/>
    <m/>
    <m/>
    <d v="2018-10-04T00:00:00"/>
    <n v="1"/>
    <m/>
    <n v="1.245725"/>
    <m/>
    <m/>
    <n v="6391000000"/>
    <m/>
    <n v="6391000000"/>
    <n v="2.7399999999999998E-3"/>
    <n v="6391000000"/>
    <m/>
    <n v="6376471089.5100002"/>
    <n v="1.288675"/>
    <n v="2.9575982899999999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1"/>
    <x v="0"/>
    <x v="4"/>
    <x v="0"/>
    <x v="48"/>
    <m/>
    <s v="BOT"/>
    <m/>
    <s v="GOVERNMENT"/>
    <m/>
    <m/>
    <m/>
    <d v="2018-10-09T00:00:00"/>
    <n v="6"/>
    <m/>
    <n v="1.16547"/>
    <m/>
    <m/>
    <n v="946848830.38999999"/>
    <m/>
    <n v="946848830.38999999"/>
    <n v="1.3697000000000001E-2"/>
    <n v="947000000"/>
    <m/>
    <n v="946576851.99000001"/>
    <n v="1.16547"/>
    <n v="4.3817845000000003E-3"/>
    <s v="CB18O09A"/>
    <m/>
    <s v="Bank of Thailand Bond"/>
    <s v="พันธบัตรธนาคารแห่งประเทศไทยงวดที่ พ.38/14/61"/>
    <s v="พันธบัตรธนาคารแห่งประเทศไทยงวดที่ พ.38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8"/>
    <s v=" "/>
    <s v="THAILAND"/>
    <s v="THAILAND"/>
    <s v="TH"/>
    <s v=" "/>
    <n v="0"/>
    <b v="0"/>
    <s v="TRANSFERABLE"/>
    <s v=" "/>
    <s v=" "/>
    <b v="0"/>
    <b v="0"/>
    <m/>
    <m/>
    <s v="TH0655I7SA88"/>
    <m/>
    <m/>
    <m/>
    <m/>
    <m/>
    <m/>
  </r>
  <r>
    <x v="0"/>
    <x v="1"/>
    <x v="0"/>
    <x v="4"/>
    <x v="0"/>
    <x v="49"/>
    <m/>
    <s v="BOT"/>
    <m/>
    <s v="GOVERNMENT"/>
    <m/>
    <m/>
    <m/>
    <d v="2018-10-11T00:00:00"/>
    <n v="8"/>
    <m/>
    <n v="1.1412450000000001"/>
    <m/>
    <m/>
    <n v="451901093.36000001"/>
    <m/>
    <n v="451901093.36000001"/>
    <n v="1.9174E-2"/>
    <n v="452000000"/>
    <m/>
    <n v="451786093.20999998"/>
    <n v="1.1412439999999999"/>
    <n v="2.0912876E-3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0"/>
    <x v="4"/>
    <x v="0"/>
    <x v="50"/>
    <m/>
    <s v="BOT"/>
    <m/>
    <s v="GOVERNMENT"/>
    <m/>
    <m/>
    <m/>
    <d v="2018-10-11T00:00:00"/>
    <n v="8"/>
    <m/>
    <n v="1.309429"/>
    <m/>
    <m/>
    <n v="5124713066.4399996"/>
    <m/>
    <n v="5124712656.3599997"/>
    <n v="1.9174E-2"/>
    <n v="5126000000"/>
    <m/>
    <n v="5111320349.04"/>
    <n v="1.309858"/>
    <n v="2.3715917100000001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0"/>
    <x v="4"/>
    <x v="0"/>
    <x v="125"/>
    <m/>
    <s v="BOT"/>
    <m/>
    <s v="GOVERNMENT"/>
    <m/>
    <m/>
    <m/>
    <d v="2018-10-16T00:00:00"/>
    <n v="13"/>
    <m/>
    <n v="1.1120859999999999"/>
    <m/>
    <m/>
    <n v="5272072458.4799995"/>
    <m/>
    <n v="5272072458.4799995"/>
    <n v="3.2864999999999998E-2"/>
    <n v="5274000000"/>
    <m/>
    <n v="5271920064.8000002"/>
    <n v="1.1120859999999999"/>
    <n v="2.4397860300000001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4"/>
    <x v="0"/>
    <x v="51"/>
    <m/>
    <s v="BOT"/>
    <m/>
    <s v="GOVERNMENT"/>
    <m/>
    <m/>
    <m/>
    <d v="2018-10-18T00:00:00"/>
    <n v="15"/>
    <m/>
    <n v="1.1626540000000001"/>
    <m/>
    <m/>
    <n v="568746368.25"/>
    <m/>
    <n v="568746368.25"/>
    <n v="3.8338999999999998E-2"/>
    <n v="569000000"/>
    <m/>
    <n v="568517424.82000005"/>
    <n v="1.1626540000000001"/>
    <n v="2.6320189000000002E-3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1"/>
    <x v="0"/>
    <x v="4"/>
    <x v="0"/>
    <x v="52"/>
    <m/>
    <s v="BOT"/>
    <m/>
    <s v="GOVERNMENT"/>
    <m/>
    <m/>
    <m/>
    <d v="2018-10-18T00:00:00"/>
    <n v="15"/>
    <m/>
    <n v="1.318235"/>
    <m/>
    <m/>
    <n v="6013959188.71"/>
    <m/>
    <n v="6013894686.4700003"/>
    <n v="3.8338999999999998E-2"/>
    <n v="6017000000"/>
    <m/>
    <n v="5998593757.8100004"/>
    <n v="1.346217"/>
    <n v="2.7831130400000001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0"/>
    <x v="4"/>
    <x v="0"/>
    <x v="53"/>
    <m/>
    <s v="BOT"/>
    <m/>
    <s v="GOVERNMENT"/>
    <m/>
    <m/>
    <m/>
    <d v="2018-10-25T00:00:00"/>
    <n v="22"/>
    <m/>
    <n v="1.1568210000000001"/>
    <m/>
    <m/>
    <n v="409727296.69999999"/>
    <m/>
    <n v="409727296.69999999"/>
    <n v="5.7495999999999998E-2"/>
    <n v="410000000"/>
    <m/>
    <n v="409565806.44"/>
    <n v="1.1568210000000001"/>
    <n v="1.8961176000000001E-3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0"/>
    <x v="4"/>
    <x v="0"/>
    <x v="54"/>
    <m/>
    <s v="BOT"/>
    <m/>
    <s v="GOVERNMENT"/>
    <m/>
    <m/>
    <m/>
    <d v="2018-10-25T00:00:00"/>
    <n v="22"/>
    <m/>
    <n v="1.2516830000000001"/>
    <m/>
    <m/>
    <n v="7014948197.3999996"/>
    <m/>
    <n v="7014735000"/>
    <n v="5.7495999999999998E-2"/>
    <n v="7020000000"/>
    <m/>
    <n v="6998153843.1099997"/>
    <n v="1.304557"/>
    <n v="3.2463462399999997E-2"/>
    <s v="CB18O25B"/>
    <m/>
    <s v="Bank of Thailand Bond"/>
    <s v="พันธบัตรธนาคารแห่งประเทศไทยงวดที่ 30/91/61"/>
    <s v="พันธบัตรธนาคารแห่งประเทศไทยงวดที่ 3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7"/>
    <s v=" "/>
    <s v="THAILAND"/>
    <s v="THAILAND"/>
    <s v="TH"/>
    <s v=" "/>
    <n v="0"/>
    <b v="0"/>
    <s v="TRANSFERABLE"/>
    <s v=" "/>
    <s v=" "/>
    <b v="0"/>
    <b v="0"/>
    <m/>
    <m/>
    <s v="TH0655G7SA82"/>
    <m/>
    <m/>
    <m/>
    <m/>
    <m/>
    <m/>
  </r>
  <r>
    <x v="0"/>
    <x v="1"/>
    <x v="0"/>
    <x v="4"/>
    <x v="0"/>
    <x v="126"/>
    <m/>
    <s v="BOT"/>
    <m/>
    <s v="GOVERNMENT"/>
    <m/>
    <m/>
    <m/>
    <d v="2019-01-03T00:00:00"/>
    <n v="92"/>
    <m/>
    <n v="1.49"/>
    <m/>
    <m/>
    <n v="301878581.85000002"/>
    <m/>
    <n v="301875663.95999998"/>
    <n v="0.248392"/>
    <n v="303000000"/>
    <m/>
    <n v="301875662.52999997"/>
    <n v="1.4938940000000001"/>
    <n v="1.3970202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0"/>
    <x v="4"/>
    <x v="0"/>
    <x v="55"/>
    <m/>
    <s v="BOT"/>
    <m/>
    <s v="GOVERNMENT"/>
    <m/>
    <m/>
    <m/>
    <d v="2019-01-03T00:00:00"/>
    <n v="92"/>
    <m/>
    <n v="1.490618"/>
    <m/>
    <m/>
    <n v="6394236863.75"/>
    <m/>
    <n v="6394236863.75"/>
    <n v="0.25205499999999997"/>
    <n v="6418000000"/>
    <m/>
    <n v="6394236863.75"/>
    <n v="1.490618"/>
    <n v="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27"/>
    <s v="A+"/>
    <s v="BH"/>
    <s v="LISTED"/>
    <s v="HEALTH"/>
    <s v="A+"/>
    <m/>
    <m/>
    <d v="2018-12-20T00:00:00"/>
    <n v="78"/>
    <n v="4.59"/>
    <n v="1.5007159999999999"/>
    <n v="15000"/>
    <n v="1006.39876"/>
    <n v="15095981.4"/>
    <n v="199947.9"/>
    <n v="15080976.15"/>
    <n v="0.20937"/>
    <n v="15000000"/>
    <m/>
    <n v="15802862.25"/>
    <n v="1.97"/>
    <n v="7.0785799999999996E-5"/>
    <s v="BH18DA"/>
    <m/>
    <s v="BUMRUNGRAD HOSPITAL PCL"/>
    <s v="หุ้นกู้ของ บมจ. โรงพยาบาลบำรุงราษฎร์ ครั้งที่ 1/2554 ชุดที่ 2"/>
    <s v="หุ้นกู้ของ บมจ. โรงพยาบาลบำรุงราษฎร์ ครั้งที่ 1/2554 ชุดที่ 2 ครบกำหนดไถ่ถอนปี พ.ศ. 2561 "/>
    <s v="Bond"/>
    <s v="BH"/>
    <s v="1FxAc365P2B"/>
    <s v="DEBENTURE"/>
    <m/>
    <s v="HEALTH"/>
    <s v="SERVICES"/>
    <s v=" "/>
    <s v="ThaiBMA"/>
    <s v="THB"/>
    <s v=" "/>
    <s v=" "/>
    <s v="P/P"/>
    <s v=" "/>
    <s v="BOND"/>
    <s v="A+"/>
    <n v="5"/>
    <s v="BUMRUNGRAD HOSPITAL PLC."/>
    <s v="บมจ.โรงพยาบาลบำรุงราษฎร์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0897"/>
    <s v=" "/>
    <s v="THAILAND"/>
    <s v="THAILAND"/>
    <s v="TH"/>
    <s v=" "/>
    <n v="1500"/>
    <b v="0"/>
    <s v="TRANSFERABLE"/>
    <s v=" "/>
    <s v=" "/>
    <b v="0"/>
    <b v="0"/>
    <m/>
    <m/>
    <s v="TH016803SC07"/>
    <m/>
    <m/>
    <m/>
    <m/>
    <m/>
    <m/>
  </r>
  <r>
    <x v="0"/>
    <x v="1"/>
    <x v="0"/>
    <x v="5"/>
    <x v="0"/>
    <x v="128"/>
    <s v="A+"/>
    <s v="BJC"/>
    <s v="LISTED"/>
    <s v="COMMERCE"/>
    <s v="A+"/>
    <m/>
    <m/>
    <d v="2020-06-08T00:00:00"/>
    <n v="614"/>
    <n v="2.71"/>
    <n v="2.6794190000000002"/>
    <n v="50000"/>
    <n v="1000.44073"/>
    <n v="50022036.5"/>
    <n v="438055"/>
    <n v="50750401.5"/>
    <n v="1.616687"/>
    <n v="50000000"/>
    <m/>
    <n v="51013648"/>
    <n v="1.7949999999999999"/>
    <n v="2.335169E-4"/>
    <s v="BJC206A"/>
    <m/>
    <s v="BERLI JUCKER PLC."/>
    <s v="หุ้นกู้ของบริษัท เบอร์ลี่ ยุคเกอร์ จำกัด (มหาชน) ครั้งที่ 2/2559"/>
    <s v="หุ้นกู้ของบริษัท เบอร์ลี่ ยุคเกอร์ จำกัด (มหาชน) ครั้งที่ 2/2559 ชุดที่ 1 ครบกำหนดไถ่ถอนปี พ.ศ. 2563"/>
    <s v="Bond"/>
    <s v="BJC"/>
    <s v="1FxAc365P2B"/>
    <s v="DEBENTURE"/>
    <m/>
    <s v="COMMERCE"/>
    <s v="SERVICES"/>
    <s v=" "/>
    <s v="ThaiBMA"/>
    <s v="THB"/>
    <s v=" "/>
    <s v=" "/>
    <s v="P/P"/>
    <s v=" "/>
    <s v="BOND"/>
    <s v="A+"/>
    <n v="5"/>
    <s v="BERLI JUCKER PLC."/>
    <s v="บมจ.เบอร์ลี่ ยุคเกอร์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712"/>
    <s v=" "/>
    <s v="THAILAND"/>
    <s v="THAILAND"/>
    <s v="TH"/>
    <s v=" "/>
    <n v="10000"/>
    <b v="0"/>
    <s v="TRANSFERABLE"/>
    <s v=" "/>
    <s v=" "/>
    <b v="0"/>
    <b v="0"/>
    <m/>
    <m/>
    <s v="TH000203U604"/>
    <m/>
    <m/>
    <m/>
    <m/>
    <m/>
    <m/>
  </r>
  <r>
    <x v="0"/>
    <x v="1"/>
    <x v="0"/>
    <x v="5"/>
    <x v="0"/>
    <x v="129"/>
    <s v="A"/>
    <s v="BTG"/>
    <s v="UNLISTED"/>
    <s v="AGRIBUSINE"/>
    <s v="A"/>
    <m/>
    <m/>
    <d v="2019-11-14T00:00:00"/>
    <n v="407"/>
    <n v="3.52"/>
    <n v="1.99163"/>
    <n v="8000"/>
    <n v="1016.57147"/>
    <n v="8132571.7599999998"/>
    <n v="110325.44"/>
    <n v="8154046.6399999997"/>
    <n v="1.0761309999999999"/>
    <n v="8000000"/>
    <m/>
    <n v="8202076.3200000003"/>
    <n v="1.75"/>
    <n v="3.8146099999999997E-5"/>
    <s v="BTG19NA"/>
    <m/>
    <s v="BETAGRO PLC."/>
    <s v="หุ้นกู้ของ บมจ. เบทาโกร ครั้งที่ 1/2557 ชุดที่ 2"/>
    <s v="หุ้นกู้ของ บมจ. เบทาโกร ครั้งที่ 1/2557 ชุดที่ 2 ครบกำหนดไถ่ถอนปี พ.ศ. 2562"/>
    <s v="Bond"/>
    <s v="BTG"/>
    <s v="1FxAc365P2B"/>
    <s v="DEBENTURE"/>
    <m/>
    <s v="AGRIBUSINESS"/>
    <s v=" "/>
    <s v=" "/>
    <s v="ThaiBMA"/>
    <s v="THB"/>
    <s v=" "/>
    <s v=" "/>
    <s v="P/P"/>
    <s v=" "/>
    <s v="BOND"/>
    <s v="A"/>
    <n v="6"/>
    <s v="BETAGRO PLC."/>
    <s v="บริษัท เบทาโกร จำกัด (มหาชน) "/>
    <s v="UN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57"/>
    <s v=" "/>
    <s v="THAILAND"/>
    <s v="THAILAND"/>
    <s v="TH"/>
    <s v=" "/>
    <n v="4000"/>
    <b v="0"/>
    <s v="TRANSFERABLE"/>
    <s v=" "/>
    <s v=" "/>
    <b v="0"/>
    <b v="0"/>
    <m/>
    <m/>
    <s v="TH061203TB09"/>
    <m/>
    <m/>
    <m/>
    <m/>
    <m/>
    <m/>
  </r>
  <r>
    <x v="0"/>
    <x v="1"/>
    <x v="0"/>
    <x v="5"/>
    <x v="0"/>
    <x v="56"/>
    <s v="A(tha)"/>
    <s v="CPALL"/>
    <s v="LISTED"/>
    <s v="COMMERCE"/>
    <s v="A+"/>
    <m/>
    <m/>
    <d v="2018-10-31T00:00:00"/>
    <n v="28"/>
    <n v="4.7"/>
    <n v="1.544748"/>
    <n v="40000"/>
    <n v="1002.1191700000001"/>
    <n v="40084766.799999997"/>
    <n v="808657.6"/>
    <n v="40059156.399999999"/>
    <n v="7.3421E-2"/>
    <n v="40000000"/>
    <m/>
    <n v="41756343.200000003"/>
    <n v="2.4"/>
    <n v="1.8924480000000001E-4"/>
    <s v="CPALL18OB"/>
    <m/>
    <s v="CP ALL PLC."/>
    <s v="หุ้นกู้บริษัท ซีพี ออลล์ จำกัด (มหาชน) ครั้งที่ 1/2556 ชุดที่ 6"/>
    <s v="หุ้นกู้บริษัท ซีพี ออลล์ จำกัด (มหาชน) ครั้งที่ 1/2556 ชุดที่ 6 ครบกำหนดไถ่ถอนปี พ.ศ. 2561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78"/>
    <s v=" "/>
    <s v="THAILAND"/>
    <s v="THAILAND"/>
    <s v="TH"/>
    <s v=" "/>
    <n v="10000"/>
    <b v="0"/>
    <s v="TRANSFERABLE"/>
    <s v=" "/>
    <s v=" "/>
    <b v="0"/>
    <b v="0"/>
    <m/>
    <m/>
    <s v="TH0737A3SA02"/>
    <m/>
    <m/>
    <m/>
    <m/>
    <m/>
    <m/>
  </r>
  <r>
    <x v="0"/>
    <x v="1"/>
    <x v="0"/>
    <x v="5"/>
    <x v="0"/>
    <x v="130"/>
    <s v="A(tha)"/>
    <s v="CPALL"/>
    <s v="LISTED"/>
    <s v="COMMERCE"/>
    <s v="A+"/>
    <m/>
    <m/>
    <d v="2019-03-27T00:00:00"/>
    <n v="175"/>
    <n v="4.3"/>
    <n v="1.847267"/>
    <n v="1000"/>
    <n v="1011.76028"/>
    <n v="1011760.28"/>
    <n v="824.66"/>
    <n v="1008173.07"/>
    <n v="0.47234999999999999"/>
    <n v="1000000"/>
    <m/>
    <n v="1035830.77"/>
    <n v="2.6"/>
    <n v="4.6859999999999997E-6"/>
    <s v="CPALL193A"/>
    <m/>
    <s v="CP ALL PLC."/>
    <s v="หุ้นกู้บริษัท ซีพี ออลล์ จำกัด (มหาชน) ครั้งที่ 1/2557 ชุดที่ 2"/>
    <s v="หุ้นกู้บริษัท ซีพี ออลล์ จำกัด (มหาชน) ครั้งที่ 1/2557 ชุดที่ 2 ครบกำหนดไถ่ถอนปี พ.ศ. 2562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725"/>
    <s v=" "/>
    <s v="THAILAND"/>
    <s v="THAILAND"/>
    <s v="TH"/>
    <s v=" "/>
    <n v="10000"/>
    <b v="0"/>
    <s v="TRANSFERABLE"/>
    <s v=" "/>
    <s v=" "/>
    <b v="0"/>
    <b v="0"/>
    <m/>
    <m/>
    <s v="TH073703T300"/>
    <m/>
    <m/>
    <m/>
    <m/>
    <m/>
    <m/>
  </r>
  <r>
    <x v="0"/>
    <x v="1"/>
    <x v="0"/>
    <x v="5"/>
    <x v="0"/>
    <x v="131"/>
    <s v="BBB+"/>
    <s v="DMT"/>
    <s v="LISTED"/>
    <s v="TRANSPORTA"/>
    <s v="BBB+"/>
    <m/>
    <m/>
    <d v="2018-11-30T00:00:00"/>
    <n v="58"/>
    <n v="2.33"/>
    <n v="1.8622840000000001"/>
    <n v="70000"/>
    <n v="1000.61862"/>
    <n v="70043303.400000006"/>
    <n v="567498.4"/>
    <n v="70000000"/>
    <n v="0.15474299999999999"/>
    <n v="70000000"/>
    <m/>
    <n v="70000000"/>
    <n v="2.33"/>
    <n v="3.2676949999999998E-4"/>
    <s v="DMT18NB"/>
    <m/>
    <s v="DON MUANG TOLLWAY PUBLIC COMPANY LIMITED"/>
    <s v="หุ้นกู้ของบริษัท ทางยกระดับดอนเมือง จำกัด (มหาชน) ครั้งที่ 1/2560 ชุดที่ 1 "/>
    <s v="หุ้นกู้ของบริษัท ทางยกระดับดอนเมือง จำกัด (มหาชน) ครั้งที่ 1/2560 ชุดที่ 1 ครบกำหนดไถ่ถอนปี พ.ศ. 2561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7SB09"/>
    <m/>
    <m/>
    <m/>
    <m/>
    <m/>
    <m/>
  </r>
  <r>
    <x v="0"/>
    <x v="1"/>
    <x v="0"/>
    <x v="5"/>
    <x v="0"/>
    <x v="132"/>
    <s v="BBB+"/>
    <s v="DMT"/>
    <s v="LISTED"/>
    <s v="TRANSPORTA"/>
    <s v="BBB+"/>
    <m/>
    <m/>
    <d v="2020-11-30T00:00:00"/>
    <n v="789"/>
    <n v="3.08"/>
    <n v="3.4115500000000001"/>
    <n v="69000"/>
    <n v="993.00928999999996"/>
    <n v="68517641.010000005"/>
    <n v="739452.99"/>
    <n v="69000000"/>
    <n v="2.0462199999999999"/>
    <n v="69000000"/>
    <m/>
    <n v="69000000"/>
    <n v="3.08"/>
    <n v="3.2050489999999997E-4"/>
    <s v="DMT20NA"/>
    <m/>
    <s v="DON MUANG TOLLWAY PUBLIC COMPANY LIMITED"/>
    <s v="หุ้นกู้ของบริษัท ทางยกระดับดอนเมือง จำกัด (มหาชน) ครั้งที่ 1/2560 ชุดที่ 2 "/>
    <s v="หุ้นกู้ของบริษัท ทางยกระดับดอนเมือง จำกัด (มหาชน) ครั้งที่ 1/2560 ชุดที่ 2 ครบกำหนดไถ่ถอนปี พ.ศ. 2563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3UB09"/>
    <m/>
    <m/>
    <m/>
    <m/>
    <m/>
    <m/>
  </r>
  <r>
    <x v="0"/>
    <x v="1"/>
    <x v="0"/>
    <x v="5"/>
    <x v="0"/>
    <x v="133"/>
    <m/>
    <s v="GOLD"/>
    <s v="LISTED"/>
    <s v="PROPERTY"/>
    <s v="BBB+"/>
    <m/>
    <m/>
    <d v="2019-11-23T00:00:00"/>
    <n v="416"/>
    <n v="3.35"/>
    <n v="2.873605"/>
    <n v="313000"/>
    <n v="1005.13024"/>
    <n v="314605765.12"/>
    <n v="3849471.19"/>
    <n v="313000000"/>
    <n v="1.096746"/>
    <n v="313000000"/>
    <m/>
    <n v="313000000"/>
    <n v="3.35"/>
    <n v="1.4737328E-3"/>
    <s v="GOLD19NA"/>
    <m/>
    <s v="GOLDEN LAND PROPERTY DEVELOPMENT PLC."/>
    <s v="หุ้นกู้ของบริษัท แผ่นดินทอง พร็อพเพอร์ตี้ ดีเวลลอปเม้นท์ จำกัด (มหาชน) ครั้งที่ 1/2559"/>
    <s v="หุ้นกู้ของบริษัท แผ่นดินทอง พร็อพเพอร์ตี้ ดีเวลลอปเม้นท์ จำกัด (มหาชน) ครั้งที่ 1/2559 ครบกำหนดไถ่ถอนปี พ.ศ. 2562"/>
    <s v="Bond"/>
    <s v="GOLD"/>
    <s v="1FxAc365P2B"/>
    <s v="DEBENTURE"/>
    <m/>
    <s v="PROPERTY"/>
    <s v="PROPERTY &amp; CON"/>
    <s v=" "/>
    <s v="ThaiBMA"/>
    <s v="THB"/>
    <s v=" "/>
    <s v=" "/>
    <s v="P/P"/>
    <s v=" "/>
    <s v="BOND"/>
    <m/>
    <m/>
    <s v="GOLDEN LAND PROPERTY DEVELOPMENT PLC."/>
    <s v="บมจ.แผ่นดินทอง พร็อพเพอร์ตี้ ดีเวลลอปเม้นท์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697"/>
    <s v=" "/>
    <s v="THAILAND"/>
    <s v="THAILAND"/>
    <s v="TH"/>
    <s v=" "/>
    <n v="3400"/>
    <b v="0"/>
    <s v="TRANSFERABLE"/>
    <s v=" "/>
    <s v=" "/>
    <b v="0"/>
    <b v="0"/>
    <m/>
    <m/>
    <s v="TH040003TB05"/>
    <m/>
    <m/>
    <m/>
    <m/>
    <m/>
    <m/>
  </r>
  <r>
    <x v="0"/>
    <x v="1"/>
    <x v="0"/>
    <x v="5"/>
    <x v="0"/>
    <x v="134"/>
    <s v="AAA(tha)"/>
    <s v="ICBCTL"/>
    <s v="UNLISTED"/>
    <s v="FIN &amp; SEC."/>
    <s v="AAA(tha)"/>
    <m/>
    <m/>
    <d v="2019-11-26T00:00:00"/>
    <n v="419"/>
    <n v="2.15"/>
    <n v="2.108511"/>
    <n v="10000"/>
    <n v="1000.36703"/>
    <n v="10003670.300000001"/>
    <n v="77164.399999999994"/>
    <n v="10070288.1"/>
    <n v="1.117532"/>
    <n v="10000000"/>
    <m/>
    <n v="10101613.1"/>
    <n v="1.52"/>
    <n v="4.6651599999999999E-5"/>
    <s v="ICBCTL19NA"/>
    <m/>
    <s v="ICBC (Thai) Leasing Company Limited"/>
    <s v="หุ้นกู้ของ บริษัท ลีสซิ่งไอซีบีซี (ไทย) จำกัด ครั้งที่ 1/2560 ชุดที่ 1 "/>
    <s v="หุ้นกู้ของ บริษัท ลีสซิ่งไอซีบีซี (ไทย) จำกัด ครั้งที่ 1/2560 ชุดที่ 1 ครบกำหนดไถ่ถอนปี พ.ศ. 2562"/>
    <s v="Bond"/>
    <s v="ICBCTL"/>
    <s v="1FxAc365P2B"/>
    <s v="DEBENTURE"/>
    <m/>
    <s v="FIN &amp; SEC."/>
    <s v="FINANCIALS"/>
    <s v=" "/>
    <s v="ThaiBMA"/>
    <s v="THB"/>
    <s v=" "/>
    <s v=" "/>
    <s v="P/P"/>
    <s v=" "/>
    <s v="BOND"/>
    <s v="AAA(tha)"/>
    <n v="1"/>
    <s v="ICBC (THAI) LEASING COMPANY LIMITED"/>
    <s v="บริษัท ลีสซิ่งไอซีบีซี (ไทย) จำกัด"/>
    <s v="UNLISTED"/>
    <s v=" "/>
    <s v="AAA(tha)"/>
    <s v="YES"/>
    <s v=" "/>
    <s v=" 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1"/>
    <s v=" "/>
    <s v="THAILAND"/>
    <s v="THAILAND"/>
    <s v="TH"/>
    <s v=" "/>
    <n v="1100"/>
    <b v="0"/>
    <s v="TRANSFERABLE"/>
    <s v=" "/>
    <s v=" "/>
    <b v="0"/>
    <b v="0"/>
    <m/>
    <m/>
    <s v="TH386103TB01"/>
    <m/>
    <m/>
    <m/>
    <m/>
    <m/>
    <m/>
  </r>
  <r>
    <x v="0"/>
    <x v="1"/>
    <x v="0"/>
    <x v="5"/>
    <x v="0"/>
    <x v="135"/>
    <m/>
    <s v="KKP"/>
    <s v="LISTED"/>
    <s v="BANKING"/>
    <s v="A-"/>
    <m/>
    <m/>
    <d v="2018-11-15T00:00:00"/>
    <n v="43"/>
    <n v="1.6"/>
    <n v="1.481109"/>
    <n v="500000"/>
    <n v="1000.11987"/>
    <n v="500059935"/>
    <n v="4909590"/>
    <n v="500000000"/>
    <n v="0.114885"/>
    <n v="500000000"/>
    <m/>
    <n v="500000000"/>
    <n v="1.6"/>
    <n v="2.3368753000000001E-3"/>
    <s v="KK18N15A"/>
    <m/>
    <s v="KIATNAKIN BANK PLC."/>
    <s v="หุ้นกู้ระยะสั้น ธนาคารเกียรตินาคิน จำกัด (มหาชน) ครั้งที่ 30/2561"/>
    <s v="หุ้นกู้ระยะสั้น ธนาคารเกียรตินาคิน จำกัด (มหาชน) ครั้งที่ 30/2561 มูลค่า 500.00 ล้านบาท ครบกำหนดไถ่ถอนวันที่ 15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3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6"/>
    <m/>
    <s v="KKP"/>
    <s v="LISTED"/>
    <s v="BANKING"/>
    <s v="A-"/>
    <m/>
    <m/>
    <d v="2018-11-20T00:00:00"/>
    <n v="48"/>
    <n v="1.6"/>
    <n v="1.47966"/>
    <n v="500000"/>
    <n v="1000.13632"/>
    <n v="500068160"/>
    <n v="4821920"/>
    <n v="500000000"/>
    <n v="0.12853500000000001"/>
    <n v="500000000"/>
    <m/>
    <n v="500000000"/>
    <n v="1.6"/>
    <n v="2.3365077000000001E-3"/>
    <s v="KK18N20A"/>
    <m/>
    <s v="KIATNAKIN BANK PLC."/>
    <s v="หุ้นกู้ระยะสั้น ธนาคารเกียรตินาคิน จำกัด (มหาชน) ครั้งที่ 31/2561"/>
    <s v="หุ้นกู้ระยะสั้น ธนาคารเกียรตินาคิน จำกัด (มหาชน) ครั้งที่ 31/2561 มูลค่า 500.00 ล้านบาท ครบกำหนดไถ่ถอนวันที่ 2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7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7"/>
    <m/>
    <s v="KKP"/>
    <s v="LISTED"/>
    <s v="BANKING"/>
    <s v="A-"/>
    <m/>
    <m/>
    <d v="2018-11-22T00:00:00"/>
    <n v="50"/>
    <n v="1.6"/>
    <n v="1.48692"/>
    <n v="500000"/>
    <n v="1000.13238"/>
    <n v="500066190"/>
    <n v="4800000"/>
    <n v="500000000"/>
    <n v="0.133994"/>
    <n v="500000000"/>
    <m/>
    <n v="500000000"/>
    <n v="1.6"/>
    <n v="2.3363971000000001E-3"/>
    <s v="KK18N22A"/>
    <m/>
    <s v="KIATNAKIN BANK PLC."/>
    <s v="หุ้นกู้ระยะสั้น ธนาคารเกียรตินาคิน จำกัด (มหาชน) ครั้งที่ 32/2561 มูลค่า 500.00 ล้านบาท "/>
    <s v="หุ้นกู้ระยะสั้น ธนาคารเกียรตินาคิน จำกัด (มหาชน) ครั้งที่ 32/2561 มูลค่า 500.00 ล้านบาท ครบกำหนดไถ่ถอนวันที่ 22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8"/>
    <m/>
    <s v="KKP"/>
    <s v="LISTED"/>
    <s v="BANKING"/>
    <s v="A-"/>
    <m/>
    <m/>
    <d v="2018-11-23T00:00:00"/>
    <n v="51"/>
    <n v="1.6"/>
    <n v="1.489452"/>
    <n v="500000"/>
    <n v="1000.13158"/>
    <n v="500065790"/>
    <n v="4800000"/>
    <n v="500000000"/>
    <n v="0.13672300000000001"/>
    <n v="500000000"/>
    <m/>
    <n v="500000000"/>
    <n v="1.6"/>
    <n v="2.3363951999999999E-3"/>
    <s v="KK18N23A"/>
    <m/>
    <s v="KIATNAKIN BANK PLC."/>
    <s v="หุ้นกู้ระยะสั้น ธนาคารเกียรตินาคิน จำกัด (มหาชน) ครั้งที่ 33/2561 มูลค่า 500.00 ล้านบาท "/>
    <s v="หุ้นกู้ระยะสั้น ธนาคารเกียรตินาคิน จำกัด (มหาชน) ครั้งที่ 33/2561 มูลค่า 500.00 ล้านบาท ครบกำหนดไถ่ถอนวันที่ 23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9"/>
    <m/>
    <s v="KKP"/>
    <s v="LISTED"/>
    <s v="BANKING"/>
    <s v="A-"/>
    <m/>
    <m/>
    <d v="2018-11-30T00:00:00"/>
    <n v="58"/>
    <n v="1.6"/>
    <n v="1.468547"/>
    <n v="130000"/>
    <n v="1000.18364"/>
    <n v="130023873.2"/>
    <n v="1202411.6000000001"/>
    <n v="130000000"/>
    <n v="0.15581700000000001"/>
    <n v="130000000"/>
    <m/>
    <n v="130000000"/>
    <n v="1.6"/>
    <n v="6.0728310000000005E-4"/>
    <s v="KK18N30B"/>
    <m/>
    <s v="KIATNAKIN BANK PLC."/>
    <s v="หุ้นกู้ระยะสั้น ธนาคารเกียรตินาคิน จำกัด (มหาชน) ครั้งที่ 44/2561"/>
    <s v="หุ้นกู้ระยะสั้น ธนาคารเกียรตินาคิน จำกัด (มหาชน) ครั้งที่ 44/2561 มูลค่า 130.00 ล้านบาท ครบกำหนดไถ่ถอนวันที่ 3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0"/>
    <m/>
    <s v="KKP"/>
    <s v="LISTED"/>
    <s v="BANKING"/>
    <s v="A-"/>
    <m/>
    <m/>
    <d v="2019-01-18T00:00:00"/>
    <n v="107"/>
    <n v="1.6"/>
    <n v="1.5710409999999999"/>
    <n v="200000"/>
    <n v="1000.05126"/>
    <n v="200010252"/>
    <n v="1429042"/>
    <n v="200000000"/>
    <n v="0.28909200000000002"/>
    <n v="200000000"/>
    <m/>
    <n v="200000000"/>
    <n v="1.6"/>
    <n v="9.3221169999999998E-4"/>
    <s v="KK19118A"/>
    <m/>
    <s v="KIATNAKIN BANK PLC."/>
    <s v="หุ้นกู้ระยะสั้น ธนาคารเกียรตินาคิน จำกัด (มหาชน) ครั้งที่ 77/2561 มูลค่า 200.00 ล้านบาท "/>
    <s v="หุ้นกู้ระยะสั้น ธนาคารเกียรตินาคิน จำกัด (มหาชน) ครั้งที่ 77/2561 มูลค่า 2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4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1"/>
    <m/>
    <s v="KKP"/>
    <s v="LISTED"/>
    <s v="BANKING"/>
    <s v="A-"/>
    <m/>
    <m/>
    <d v="2019-01-18T00:00:00"/>
    <n v="107"/>
    <n v="1.6"/>
    <n v="1.5710409999999999"/>
    <n v="850000"/>
    <n v="1000.05147"/>
    <n v="850043749.5"/>
    <n v="6036164.5"/>
    <n v="850000000"/>
    <n v="0.28909200000000002"/>
    <n v="850000000"/>
    <m/>
    <n v="850000000"/>
    <n v="1.6"/>
    <n v="3.9617282000000004E-3"/>
    <s v="KK19118B"/>
    <m/>
    <s v="KIATNAKIN BANK PLC."/>
    <s v="หุ้นกู้ระยะสั้น ธนาคารเกียรตินาคิน จำกัด (มหาชน) ครั้งที่ 78/2561 มูลค่า 1,000.00 ล้านบาท "/>
    <s v="หุ้นกู้ระยะสั้น ธนาคารเกียรตินาคิน จำกัด (มหาชน) ครั้งที่ 78/2561 มูลค่า 1,0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5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2"/>
    <s v="A-"/>
    <s v="KKP"/>
    <s v="LISTED"/>
    <s v="BANKING"/>
    <s v="A-"/>
    <m/>
    <m/>
    <d v="2020-03-20T00:00:00"/>
    <n v="534"/>
    <n v="1.72"/>
    <n v="2.2653089999999998"/>
    <n v="925000"/>
    <n v="992.29187000000002"/>
    <n v="917869979.75"/>
    <n v="610250.25"/>
    <n v="925000000"/>
    <n v="1.4285429999999999"/>
    <n v="925000000"/>
    <m/>
    <n v="925000000"/>
    <n v="1.72"/>
    <n v="4.2505015999999996E-3"/>
    <s v="KK203A"/>
    <m/>
    <s v="KIATNAKIN BANK PLC."/>
    <s v="หุ้นกู้ของธนาคารเกียรตินาคิน จำกัด (มหาชน) ครั้งที่ 2/2561 "/>
    <s v="หุ้นกู้ของธนาคารเกียรตินาคิน จำกัด (มหาชน) ครั้งที่ 2/2561 ครบกำหนดไถ่ถอนปี พ.ศ. 2563"/>
    <s v="Bond"/>
    <s v="KKP"/>
    <s v="1FxAc365P2B"/>
    <s v="DEBENTURE"/>
    <m/>
    <s v="BANKING"/>
    <s v="FINANCIALS"/>
    <s v=" "/>
    <s v="ThaiBMA"/>
    <s v="THB"/>
    <s v=" "/>
    <s v=" "/>
    <s v="P/P"/>
    <s v=" "/>
    <s v="BOND"/>
    <s v="A-"/>
    <n v="7"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9"/>
    <s v=" "/>
    <s v="THAILAND"/>
    <s v="THAILAND"/>
    <s v="TH"/>
    <s v=" "/>
    <n v="16000"/>
    <b v="0"/>
    <s v="TRANSFERABLE"/>
    <s v=" "/>
    <s v=" "/>
    <b v="0"/>
    <b v="0"/>
    <m/>
    <m/>
    <s v="TH012103U305"/>
    <m/>
    <m/>
    <m/>
    <m/>
    <m/>
    <m/>
  </r>
  <r>
    <x v="0"/>
    <x v="1"/>
    <x v="0"/>
    <x v="5"/>
    <x v="0"/>
    <x v="143"/>
    <m/>
    <s v="LHB"/>
    <s v="UNLISTED"/>
    <s v="BANKING"/>
    <s v="A-"/>
    <m/>
    <m/>
    <d v="2019-09-30T00:00:00"/>
    <n v="362"/>
    <n v="1.7"/>
    <n v="2.1571600000000002"/>
    <n v="1159000"/>
    <n v="995.63692000000003"/>
    <n v="1153943190.28"/>
    <n v="215921.7"/>
    <n v="1159000000"/>
    <n v="0.97024299999999997"/>
    <n v="1159000000"/>
    <m/>
    <n v="1159000000"/>
    <n v="1.7"/>
    <n v="5.3411657E-3"/>
    <s v="LHBANK199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ครบกำหนดไถ่ถอนปี พ.ศ.2562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4"/>
    <m/>
    <s v="LHB"/>
    <s v="UNLISTED"/>
    <s v="BANKING"/>
    <s v="A-"/>
    <m/>
    <m/>
    <d v="2020-03-30T00:00:00"/>
    <n v="544"/>
    <n v="1.75"/>
    <n v="2.281263"/>
    <n v="160000"/>
    <n v="992.35686999999996"/>
    <n v="158777099.19999999"/>
    <n v="30684.799999999999"/>
    <n v="160000000"/>
    <n v="1.4553020000000001"/>
    <n v="160000000"/>
    <m/>
    <n v="160000000"/>
    <n v="1.75"/>
    <n v="7.3492350000000002E-4"/>
    <s v="LHBANK203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ครบกำหนดไถ่ถอนปี พ.ศ.2563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5"/>
    <s v="A+"/>
    <s v="MP"/>
    <s v="UNLISTED"/>
    <s v="AGRIBUSINE"/>
    <s v="A+"/>
    <m/>
    <m/>
    <d v="2018-10-17T00:00:00"/>
    <n v="14"/>
    <n v="4.53"/>
    <n v="1.5024999999999999"/>
    <n v="70000"/>
    <n v="1001.0063"/>
    <n v="70070441"/>
    <n v="1476904.1"/>
    <n v="70056386.400000006"/>
    <n v="3.5357E-2"/>
    <n v="70000000"/>
    <m/>
    <n v="73246362"/>
    <n v="2.0590000000000002"/>
    <n v="3.3110360000000001E-4"/>
    <s v="MPSC18OA"/>
    <m/>
    <s v="MITR PHOL SUGAR CORPORATION LIMITED."/>
    <s v="หุ้นกู้ของบริษัท น้ำตาลมิตรผล จำกัด ครั้งที่ 3/2556 ชุดที่ 2"/>
    <s v="หุ้นกู้ของบริษัท น้ำตาลมิตรผล จำกัด ครั้งที่ 3/2556 ชุดที่ 2 ครบกำหนดไถ่ถอนปี พ.ศ. 2561 "/>
    <s v="Bond"/>
    <s v="MP"/>
    <s v="1FxAc365P2B"/>
    <s v="DEBENTURE"/>
    <m/>
    <s v="AGRIBUSINESS"/>
    <s v="AGRO &amp; FOOD"/>
    <s v=" "/>
    <s v="ThaiBMA"/>
    <s v="THB"/>
    <s v=" "/>
    <s v=" "/>
    <s v="P/P"/>
    <s v=" "/>
    <s v="BOND"/>
    <s v="A+"/>
    <n v="5"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64"/>
    <s v=" "/>
    <s v="THAILAND"/>
    <s v="THAILAND"/>
    <s v="TH"/>
    <s v=" "/>
    <n v="17000"/>
    <b v="0"/>
    <s v="TRANSFERABLE"/>
    <s v=" "/>
    <s v=" "/>
    <b v="0"/>
    <b v="0"/>
    <m/>
    <m/>
    <s v="TH096903SA00"/>
    <m/>
    <m/>
    <m/>
    <m/>
    <m/>
    <m/>
  </r>
  <r>
    <x v="0"/>
    <x v="1"/>
    <x v="0"/>
    <x v="5"/>
    <x v="0"/>
    <x v="146"/>
    <s v="A"/>
    <s v="PS"/>
    <s v="LISTED"/>
    <s v="PROPERTY"/>
    <s v="A"/>
    <m/>
    <m/>
    <d v="2018-11-13T00:00:00"/>
    <n v="41"/>
    <n v="2.68"/>
    <n v="1.459903"/>
    <n v="13500"/>
    <n v="1001.27552"/>
    <n v="13517219.52"/>
    <n v="51544.08"/>
    <n v="13506786.720000001"/>
    <n v="0.109195"/>
    <n v="13500000"/>
    <m/>
    <n v="13623817.58"/>
    <n v="2.1649630000000002"/>
    <n v="6.27929E-5"/>
    <s v="PS18NA"/>
    <m/>
    <s v="PREUKSA REAL ESTATE PLC."/>
    <s v="หุ้นกู้ของ บริษัท พฤกษา เรียลเอสเตท จำกัด (มหาชน) ครั้งที่ 1/2558 ชุดที่ 1"/>
    <s v="หุ้นกู้ของ บริษัท พฤกษา เรียลเอสเตท จำกัด (มหาชน) ครั้งที่ 1/2558 ชุดที่ 1 ครบกำหนดไถ่ถอนปี พ.ศ. 2561"/>
    <s v="Bond"/>
    <s v="PS"/>
    <s v="1FxAc365P4B"/>
    <s v="DEBENTURE"/>
    <m/>
    <s v="PROPERTY"/>
    <s v="PROPERTY &amp; CON"/>
    <s v=" "/>
    <s v="ThaiBMA"/>
    <s v="THB"/>
    <s v=" "/>
    <s v=" "/>
    <s v="P/O"/>
    <s v=" "/>
    <s v="BOND"/>
    <s v="A"/>
    <n v="6"/>
    <s v="PREUKSA REAL ESTATE CO.,LTD."/>
    <s v="บมจ.พฤกษา เรียลเอสเตท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137"/>
    <s v=" "/>
    <s v="THAILAND"/>
    <s v="THAILAND"/>
    <s v="TH"/>
    <s v=" "/>
    <n v="7000"/>
    <b v="0"/>
    <s v="TRANSFERABLE"/>
    <s v=" "/>
    <s v=" "/>
    <b v="0"/>
    <b v="0"/>
    <m/>
    <m/>
    <s v="TH087803SB09"/>
    <m/>
    <m/>
    <m/>
    <m/>
    <m/>
    <m/>
  </r>
  <r>
    <x v="0"/>
    <x v="1"/>
    <x v="0"/>
    <x v="5"/>
    <x v="0"/>
    <x v="147"/>
    <s v="A-"/>
    <s v="QH"/>
    <s v="LISTED"/>
    <s v="PROPERTY"/>
    <s v="A-"/>
    <m/>
    <m/>
    <d v="2021-03-05T00:00:00"/>
    <n v="884"/>
    <n v="2.16"/>
    <n v="2.6300370000000002"/>
    <n v="363000"/>
    <n v="989.14369999999997"/>
    <n v="359059163.10000002"/>
    <n v="622966.07999999996"/>
    <n v="363000000"/>
    <n v="2.3325520000000002"/>
    <n v="363000000"/>
    <m/>
    <n v="363000000"/>
    <n v="2.16"/>
    <n v="1.6645207999999999E-3"/>
    <s v="QH213A"/>
    <m/>
    <s v="QUALITY HOUSES PLC."/>
    <s v="หุ้นกู้ไม่ด้อยสิทธิและไม่มีประกันของบริษัท ควอลิตี้เฮ้าส์ จำกัด (มหาชน) ครั้งที่ 1/2561"/>
    <s v="หุ้นกู้ไม่ด้อยสิทธิและไม่มีประกันของบริษัท ควอลิตี้เฮ้าส์ จำกัด (มหาชน) ครั้งที่ 1/2561 ครบกำหนดไถ่ถอนปี 2564"/>
    <s v="Bond"/>
    <s v="QH"/>
    <s v="1FxAc365P2B"/>
    <s v="DEBENTURE"/>
    <m/>
    <s v="PROPERTY"/>
    <s v="PROPERTY &amp; CON"/>
    <s v=" "/>
    <s v="ThaiBMA"/>
    <s v="THB"/>
    <s v=" "/>
    <s v=" "/>
    <s v="P/P"/>
    <s v=" "/>
    <s v="BOND"/>
    <s v="A-"/>
    <n v="7"/>
    <s v="QUALITY HOUSES PLC."/>
    <s v="บมจ.ควอลิตี้เฮ้าส์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4"/>
    <s v=" "/>
    <s v="THAILAND"/>
    <s v="THAILAND"/>
    <s v="TH"/>
    <s v=" "/>
    <n v="3000"/>
    <b v="0"/>
    <s v="TRANSFERABLE"/>
    <s v=" "/>
    <s v=" "/>
    <b v="0"/>
    <b v="0"/>
    <m/>
    <m/>
    <s v="TH0256031301"/>
    <m/>
    <m/>
    <m/>
    <m/>
    <m/>
    <m/>
  </r>
  <r>
    <x v="0"/>
    <x v="1"/>
    <x v="0"/>
    <x v="5"/>
    <x v="0"/>
    <x v="148"/>
    <s v="F1+(tha)"/>
    <s v="SCB"/>
    <s v="LISTED"/>
    <s v="BANKING"/>
    <s v="AA+(tha)"/>
    <m/>
    <m/>
    <d v="2019-02-18T00:00:00"/>
    <n v="138"/>
    <n v="1.6"/>
    <n v="1.565096"/>
    <n v="616000"/>
    <n v="1000.11796"/>
    <n v="616072663.36000001"/>
    <n v="1296131.76"/>
    <n v="616000000"/>
    <n v="0.37314999999999998"/>
    <n v="616000000"/>
    <m/>
    <n v="616000000"/>
    <n v="1.6"/>
    <n v="2.8570316000000001E-3"/>
    <s v="SCB19218A"/>
    <m/>
    <s v="SIAM COMMERCIAL BANK PLC."/>
    <s v="หุ้นกู้ระยะสั้นของธนาคารไทยพาณิชย์ จำกัด (มหาชน) ชุดที่ 1"/>
    <s v="หุ้นกู้ระยะสั้นของธนาคารไทยพาณิชย์ จำกัด (มหาชน) ชุดที่ 1 ครบกำหนดไถ่ถอน วันที่ 18 กุมภาพันธ์ พ.ศ. 2562 "/>
    <s v="Bond"/>
    <s v="SCB"/>
    <s v="0SdAc365C"/>
    <s v="DEBENTURE"/>
    <m/>
    <s v="BANKING"/>
    <s v="FINANCIALS"/>
    <s v=" "/>
    <s v="ThaiBMA"/>
    <s v="THB"/>
    <s v=" "/>
    <s v=" "/>
    <s v="P/P"/>
    <s v=" "/>
    <s v="BOND"/>
    <s v="F1+(tha)"/>
    <n v="1"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9"/>
    <s v="A"/>
    <s v="SPALI"/>
    <s v="LISTED"/>
    <s v="PROPERTY"/>
    <s v="A"/>
    <m/>
    <m/>
    <d v="2021-03-15T00:00:00"/>
    <n v="894"/>
    <n v="2.09"/>
    <n v="2.47255"/>
    <n v="113000"/>
    <n v="991.06142"/>
    <n v="111989940.45999999"/>
    <n v="122938.35"/>
    <n v="113000000"/>
    <n v="2.3631609999999998"/>
    <n v="113000000"/>
    <m/>
    <n v="113000000"/>
    <n v="2.09"/>
    <n v="5.1883090000000005E-4"/>
    <s v="SPALI213A"/>
    <m/>
    <s v="SUPALAI PUBLIC COMPANY LIMITED"/>
    <s v="หุ้นกู้ของบริษัท ศุภาลัย จำกัด (มหาชน)  ครั้งที่ 1/2561"/>
    <s v="หุ้นกู้ของบริษัท ศุภาลัย จำกัด (มหาชน) ครั้งที่ 1/2561 ครบกำหนดไถ่ถอนปี พ.ศ. 2564"/>
    <s v="Bond"/>
    <s v="SPALI"/>
    <s v="1FxAc365P2B"/>
    <s v="DEBENTURE"/>
    <m/>
    <s v="PROPERTY"/>
    <s v="PROPERTY &amp; CON"/>
    <s v=" "/>
    <s v="ThaiBMA"/>
    <s v="THB"/>
    <s v=" "/>
    <s v=" "/>
    <s v="P/P"/>
    <s v=" "/>
    <s v="BOND"/>
    <s v="A"/>
    <n v="6"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7000"/>
    <b v="0"/>
    <s v="TRANSFERABLE"/>
    <s v=" "/>
    <s v=" "/>
    <b v="0"/>
    <b v="0"/>
    <m/>
    <m/>
    <s v="TH0371031301"/>
    <m/>
    <m/>
    <m/>
    <m/>
    <m/>
    <m/>
  </r>
  <r>
    <x v="0"/>
    <x v="1"/>
    <x v="0"/>
    <x v="5"/>
    <x v="0"/>
    <x v="150"/>
    <s v="AA"/>
    <s v="THBEV"/>
    <s v="UNLISTED"/>
    <s v="FOOD &amp; BEV"/>
    <s v="AA"/>
    <m/>
    <m/>
    <d v="2020-03-22T00:00:00"/>
    <n v="536"/>
    <n v="1.79"/>
    <n v="2.318921"/>
    <n v="450000"/>
    <n v="992.50468000000001"/>
    <n v="446627106"/>
    <n v="264820.5"/>
    <n v="450000000"/>
    <n v="1.433074"/>
    <n v="450000000"/>
    <m/>
    <n v="450000000"/>
    <n v="1.79"/>
    <n v="2.0681063999999998E-3"/>
    <s v="TBEV203A"/>
    <m/>
    <s v="THAI BEVERAGE PLC."/>
    <s v="หุ้นกู้ของบริษัท ไทยเบฟเวอเรจ จำกัด (มหาชน) ครั้งที่ 1/2561 ชุดที่ 1 "/>
    <s v="หุ้นกู้ของบริษัท ไทยเบฟเวอเรจ จำกัด (มหาชน) ครั้งที่ 1/2561 ชุดที่ 1 ครบกำหนดไถ่ถอนปี พ.ศ. 2563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1"/>
    <s v="AA"/>
    <s v="THBEV"/>
    <s v="UNLISTED"/>
    <s v="FOOD &amp; BEV"/>
    <s v="AA"/>
    <m/>
    <m/>
    <d v="2021-03-22T00:00:00"/>
    <n v="901"/>
    <n v="2.1"/>
    <n v="2.6102599999999998"/>
    <n v="1498000"/>
    <n v="987.98560999999995"/>
    <n v="1480002443.78"/>
    <n v="1034234.18"/>
    <n v="1498139194.1600001"/>
    <n v="2.3801540000000001"/>
    <n v="1498000000"/>
    <m/>
    <n v="1498014104.3"/>
    <n v="2.0995659999999998"/>
    <n v="6.8538751000000002E-3"/>
    <s v="TBEV213A"/>
    <m/>
    <s v="THAI BEVERAGE PLC."/>
    <s v="หุ้นกู้ของบริษัท ไทยเบฟเวอเรจ จำกัด (มหาชน) ครั้งที่ 1/2561 ชุดที่ 2 "/>
    <s v="หุ้นกู้ของบริษัท ไทยเบฟเวอเรจ จำกัด (มหาชน) ครั้งที่ 1/2561 ชุดที่ 2 ครบกำหนดไถ่ถอนปี พ.ศ. 2564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TH0902031309"/>
    <m/>
    <m/>
    <m/>
    <m/>
    <m/>
    <m/>
  </r>
  <r>
    <x v="0"/>
    <x v="1"/>
    <x v="0"/>
    <x v="5"/>
    <x v="0"/>
    <x v="152"/>
    <s v="A-"/>
    <s v="THCOM"/>
    <s v="LISTED"/>
    <s v="COMMUNICAT"/>
    <s v="A-"/>
    <m/>
    <m/>
    <d v="2019-10-02T00:00:00"/>
    <n v="364"/>
    <n v="4.28"/>
    <n v="2.0836600000000001"/>
    <n v="161900"/>
    <n v="1021.53541"/>
    <n v="165386582.88"/>
    <n v="37968.79"/>
    <n v="166005643.15000001"/>
    <n v="0.97265199999999996"/>
    <n v="161900000"/>
    <m/>
    <n v="168533556.22"/>
    <n v="1.7"/>
    <n v="7.6554430000000005E-4"/>
    <s v="THCOM19OB"/>
    <m/>
    <s v="THAICOM PLC."/>
    <s v="หุ้นกู้ของ บริษัท ไทยคม จำกัด (มหาชน) ครั้งที่ 1/2557 ชุดที่ 3"/>
    <s v="หุ้นกู้ของ บริษัท ไทยคม จำกัด (มหาชน) ครั้งที่ 1/2557 ชุดที่ 3"/>
    <s v="Bond"/>
    <s v="THCOM"/>
    <s v="1FxAc365P2B"/>
    <s v="DEBENTURE"/>
    <m/>
    <s v="COMMUNICATION"/>
    <s v="TECHNOLOGY"/>
    <s v=" "/>
    <s v="ThaiBMA"/>
    <s v="THB"/>
    <s v=" "/>
    <s v=" "/>
    <s v="P/P"/>
    <s v=" "/>
    <s v="BOND"/>
    <s v="A-"/>
    <n v="7"/>
    <s v="THAICOM PLC."/>
    <s v="บมจ.ไทยคม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14"/>
    <s v=" "/>
    <s v="THAILAND"/>
    <s v="THAILAND"/>
    <s v="TH"/>
    <s v=" "/>
    <n v="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3"/>
    <s v="A"/>
    <s v="TISCOB"/>
    <s v="LISTED"/>
    <s v="BANKING"/>
    <s v="A"/>
    <m/>
    <m/>
    <d v="2018-11-29T00:00:00"/>
    <n v="57"/>
    <n v="1.85"/>
    <n v="1.4454370000000001"/>
    <n v="300000"/>
    <n v="1000.53467"/>
    <n v="300160401"/>
    <n v="1946301"/>
    <n v="300000000"/>
    <n v="0.15229799999999999"/>
    <n v="300000000"/>
    <m/>
    <n v="300000000"/>
    <n v="1.85"/>
    <n v="1.3980758E-3"/>
    <s v="TISCO18NA"/>
    <m/>
    <s v="TISCO BANK PLC."/>
    <s v="หุ้นกู้ธนาคารทิสโก้ จำกัด (มหาชน) ครั้งที่ 3/2560 ชุดที่ 1"/>
    <s v="หุ้นกู้ธนาคารทิสโก้ จำกัด (มหาชน) ครั้งที่ 3/2560 ชุดที่ 1 ครบกำหนดไถ่ถอน ปี พ.ศ. 2561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4"/>
    <s v=" "/>
    <s v="THAILAND"/>
    <s v="THAILAND"/>
    <s v="TH"/>
    <s v=" "/>
    <n v="8900"/>
    <b v="0"/>
    <s v="TRANSFERABLE"/>
    <s v=" "/>
    <s v=" "/>
    <b v="0"/>
    <b v="0"/>
    <m/>
    <m/>
    <s v="TH059703SB09"/>
    <m/>
    <m/>
    <m/>
    <m/>
    <m/>
    <m/>
  </r>
  <r>
    <x v="0"/>
    <x v="1"/>
    <x v="0"/>
    <x v="5"/>
    <x v="0"/>
    <x v="154"/>
    <s v="A"/>
    <s v="TISCOB"/>
    <s v="LISTED"/>
    <s v="BANKING"/>
    <s v="A"/>
    <m/>
    <m/>
    <d v="2019-08-09T00:00:00"/>
    <n v="310"/>
    <n v="1.68"/>
    <n v="2.0084680000000001"/>
    <n v="625000"/>
    <n v="997.16539"/>
    <n v="623228368.75"/>
    <n v="1610956.25"/>
    <n v="625000000"/>
    <n v="0.83809699999999998"/>
    <n v="625000000"/>
    <m/>
    <n v="625000000"/>
    <n v="1.68"/>
    <n v="2.8916034000000001E-3"/>
    <s v="TISCO198A"/>
    <m/>
    <s v="TISCO BANK PLC."/>
    <s v="หุ้นกู้ธนาคารทิสโก้ จำกัด (มหาชน) ครั้งที่ 2/2561 ชุดที่ 1"/>
    <s v="หุ้นกู้ธนาคารทิสโก้ จำกัด (มหาชน) ครั้งที่ 2/2561 ชุดที่ 1 ครบกำหนดไถ่ถอน ปี พ.ศ. 2562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40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5"/>
    <s v="A"/>
    <s v="TISCOB"/>
    <s v="LISTED"/>
    <s v="BANKING"/>
    <s v="A"/>
    <m/>
    <m/>
    <d v="2020-05-21T00:00:00"/>
    <n v="596"/>
    <n v="1.75"/>
    <n v="2.0527350000000002"/>
    <n v="19000"/>
    <n v="995.08641"/>
    <n v="18906641.789999999"/>
    <n v="123890.45"/>
    <n v="19000000"/>
    <n v="1.589234"/>
    <n v="19000000"/>
    <m/>
    <n v="19000000"/>
    <n v="1.75"/>
    <n v="8.8068599999999999E-5"/>
    <s v="TISCO205B"/>
    <m/>
    <s v="TISCO BANK PLC."/>
    <s v="หุ้นกู้ธนาคารทิสโก้ จำกัด (มหาชน) ครั้งที่ 4/2561 ชุดที่ 1"/>
    <s v="หุ้นกู้ธนาคารทิสโก้ จำกัด (มหาชน) ครั้งที่ 4/2561 ชุดที่ 1 ครบกำหนดไถ่ถอนปี พ.ศ. 2563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1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6"/>
    <m/>
    <s v="TRUE"/>
    <s v="LISTED"/>
    <s v="COMMUNICAT"/>
    <s v="BBB+"/>
    <m/>
    <m/>
    <d v="2019-02-22T00:00:00"/>
    <n v="142"/>
    <n v="2.78"/>
    <n v="2.6818249999999999"/>
    <n v="5450000"/>
    <n v="1000.19808"/>
    <n v="5451079536"/>
    <n v="94226794"/>
    <n v="5450000000"/>
    <n v="0.38234000000000001"/>
    <n v="5450000000"/>
    <m/>
    <n v="5450000000"/>
    <n v="2.78"/>
    <n v="2.5662319699999998E-2"/>
    <s v="TRUE192B"/>
    <m/>
    <s v="TRUE CORPORATION PLC."/>
    <s v="หุ้นกู้ของบริษัท ทรู คอร์ปอเรชั่น จำกัด (มหาชน)"/>
    <s v="หุ้นกู้ของบริษัท ทรู คอร์ปอเรชั่น จำกัด (มหาชน) ครั้งที่ 1/2561 ชุดที่ 2 ครบกำหนดไถ่ถอนปี พ.ศ. 2562"/>
    <s v="Bond"/>
    <s v="TRUE"/>
    <s v="0SdAc365C"/>
    <s v="DEBENTURE"/>
    <m/>
    <s v="COMMUNICATION"/>
    <s v="TECHNOLOGY"/>
    <s v=" "/>
    <s v="ThaiBMA"/>
    <s v="THB"/>
    <s v=" "/>
    <s v=" "/>
    <s v="P/P"/>
    <s v=" "/>
    <s v="BOND"/>
    <m/>
    <m/>
    <s v="TRUE CORPORATION PLC."/>
    <s v="บมจ.ทรู คอร์ปอเรชั่น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0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7"/>
    <m/>
    <s v="TUC"/>
    <s v="UNLISTED"/>
    <s v="COMMUNICAT"/>
    <s v="BBB+"/>
    <m/>
    <m/>
    <d v="2019-01-29T00:00:00"/>
    <n v="118"/>
    <n v="2.2999999999999998"/>
    <n v="2.2032859999999999"/>
    <n v="498000"/>
    <n v="1000.25083"/>
    <n v="498124913.33999997"/>
    <n v="4048127.46"/>
    <n v="498000000"/>
    <n v="0.31830000000000003"/>
    <n v="498000000"/>
    <m/>
    <n v="498000000"/>
    <n v="2.2999999999999998"/>
    <n v="2.3239339000000001E-3"/>
    <s v="TUC19129B"/>
    <m/>
    <s v="TRUE MOVE H UNIVERSAL COMMUNICATION CO."/>
    <s v="หุ้นกู้ระยะสั้นของบริษัท ทรู มูฟ เอช ยูนิเวอร์แซล คอมมิวนิเคชั่น จำกัด ชุดที่ 5"/>
    <s v="หุ้นกู้ระยะสั้นของบริษัท ทรู มูฟ เอช ยูนิเวอร์แซล คอมมิวนิเคชั่น จำกัด ชุดที่ 5 ครบกำหนดไถ่ถอนวันที่ 29 มกราคม พ.ศ. 2562 "/>
    <s v="Bond"/>
    <s v="TUC"/>
    <s v="0SdAc365C"/>
    <s v="DEBENTURE"/>
    <m/>
    <s v="COMMUNICATION"/>
    <s v="TECHNOLOGY"/>
    <s v=" "/>
    <s v="ThaiBMA"/>
    <s v="THB"/>
    <s v=" "/>
    <s v=" "/>
    <s v="P/P"/>
    <s v=" "/>
    <s v="BOND"/>
    <m/>
    <m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8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8"/>
    <s v="BBB+"/>
    <s v="TUC"/>
    <s v="UNLISTED"/>
    <s v="COMMUNICAT"/>
    <s v="BBB+"/>
    <m/>
    <m/>
    <d v="2021-08-02T00:00:00"/>
    <n v="1034"/>
    <n v="3.7"/>
    <n v="3.7081689999999998"/>
    <n v="1368000"/>
    <n v="999.69624999999996"/>
    <n v="1367584470"/>
    <n v="8736458.4000000004"/>
    <n v="1368000000"/>
    <n v="2.6580889999999999"/>
    <n v="1368000000"/>
    <m/>
    <n v="1368000000"/>
    <n v="3.7"/>
    <n v="6.3692762000000002E-3"/>
    <s v="TUC218A"/>
    <m/>
    <s v="TRUE MOVE H UNIVERSAL COMMUNICATION CO., LTD."/>
    <s v="หุ้นกู้ของ บริษัท ทรู มูฟ เอช ยูนิเวอร์แซล คอมมิวนิเคชั่น จำกัด ครั้งที่ 1/2561 ชุดที่ 1"/>
    <s v="หุ้นกู้ของ บริษัท ทรู มูฟ เอช ยูนิเวอร์แซล คอมมิวนิเคชั่น จำกัด ครั้งที่ 1/2561 ชุดที่ 1 ครบกำหนดไถ่ถอนปี พ.ศ. 2564"/>
    <s v="Bond"/>
    <s v="TUC"/>
    <s v="1FxAc365P4B"/>
    <s v="DEBENTURE"/>
    <m/>
    <s v="COMMUNICATION"/>
    <s v="TECHNOLOGY"/>
    <s v=" "/>
    <s v="ThaiBMA"/>
    <s v="THB"/>
    <s v=" "/>
    <s v=" "/>
    <s v="P/O"/>
    <s v=" "/>
    <s v="BOND"/>
    <s v="BBB+"/>
    <n v="8"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22000"/>
    <b v="0"/>
    <s v="TRANSFERABLE"/>
    <s v=" "/>
    <s v=" "/>
    <b v="0"/>
    <b v="0"/>
    <m/>
    <m/>
    <s v="TH6692031805"/>
    <m/>
    <m/>
    <m/>
    <m/>
    <m/>
    <m/>
  </r>
  <r>
    <x v="0"/>
    <x v="1"/>
    <x v="0"/>
    <x v="5"/>
    <x v="0"/>
    <x v="159"/>
    <s v="A-"/>
    <s v="WHA"/>
    <s v="LISTED"/>
    <s v="PROPERTY"/>
    <s v="A-"/>
    <m/>
    <m/>
    <d v="2021-04-27T00:00:00"/>
    <n v="937"/>
    <n v="2.39"/>
    <n v="2.696904"/>
    <n v="70000"/>
    <n v="992.37144999999998"/>
    <n v="69466001.5"/>
    <n v="316265.59999999998"/>
    <n v="70000000"/>
    <n v="2.4657469999999999"/>
    <n v="70000000"/>
    <m/>
    <n v="70000000"/>
    <n v="2.39"/>
    <n v="3.2293520000000001E-4"/>
    <s v="WHA214A"/>
    <m/>
    <s v="WHA CORPORATION PLC."/>
    <s v="หุ้นกู้ของบริษัท ดับบลิวเอชเอ คอร์ปอเรชั่น จำกัด (มหาชน) ครั้งที่ 1/2561 ชุดที่ 1 "/>
    <s v="หุ้นกู้ของบริษัท ดับบลิวเอชเอ คอร์ปอเรชั่น จำกัด (มหาชน) ครั้งที่ 1/2561 ชุดที่ 1 ครบกำหนดไถ่ถอนปี พ.ศ. 2564"/>
    <s v="Bond"/>
    <s v="WHA"/>
    <s v="1FxAc365P4B"/>
    <s v="DEBENTURE"/>
    <m/>
    <s v="PROPERTY"/>
    <s v="PROPERTY &amp; CON"/>
    <s v=" "/>
    <s v="ThaiBMA"/>
    <s v="THB"/>
    <s v=" "/>
    <s v=" "/>
    <s v="P/P"/>
    <s v=" "/>
    <s v="BOND"/>
    <s v="A-"/>
    <n v="7"/>
    <s v="WHA CORPORATION PLC."/>
    <s v="บมจ. ดับบลิวเอชเอ คอร์ปอเรชั่น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7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60"/>
    <s v="A"/>
    <s v="WHART"/>
    <s v="LISTED"/>
    <s v="PFUND"/>
    <s v="A"/>
    <m/>
    <m/>
    <d v="2021-03-30T00:00:00"/>
    <n v="909"/>
    <n v="2.2599999999999998"/>
    <n v="2.5347200000000001"/>
    <n v="262000"/>
    <n v="993.41004999999996"/>
    <n v="260273433.09999999"/>
    <n v="64889.54"/>
    <n v="262000000"/>
    <n v="2.4105530000000002"/>
    <n v="262000000"/>
    <m/>
    <n v="262000000"/>
    <n v="2.2599999999999998"/>
    <n v="1.2047819999999999E-3"/>
    <s v="WHART213A"/>
    <m/>
    <s v="WHA PREMIUM GROWTH FREEHOLD AND LEASEHOLD REAL ESTATE INVESTMENT TRUST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 ครบกำหนดไถ่ถอนปี พ.ศ. 2564"/>
    <s v="Bond"/>
    <s v="WHART"/>
    <s v="1FxAc365P4B"/>
    <s v="DEBENTURE"/>
    <m/>
    <s v="PFUND"/>
    <s v="PROPERTY &amp; CON"/>
    <s v=" "/>
    <s v="ThaiBMA"/>
    <s v="THB"/>
    <s v=" "/>
    <s v=" "/>
    <s v="P/P"/>
    <s v=" "/>
    <s v="BOND"/>
    <s v="A"/>
    <n v="6"/>
    <s v="WHA PREMIUM GROWTH FREEHOLD AND LEASEHOLD REAL ESTATE INVESTMENT TRUST"/>
    <s v="ทรัสต์เพื่อการลงทุนในอสังหาริมทรัพย์และสิทธิการเช่าดับบลิวเอชเอ พรีเมี่ยม โกรท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2600"/>
    <b v="0"/>
    <s v="TRANSFERABLE"/>
    <s v=" "/>
    <s v=" "/>
    <b v="0"/>
    <b v="0"/>
    <m/>
    <m/>
    <s v="TH8497031303"/>
    <m/>
    <m/>
    <m/>
    <m/>
    <m/>
    <m/>
  </r>
  <r>
    <x v="0"/>
    <x v="1"/>
    <x v="0"/>
    <x v="5"/>
    <x v="0"/>
    <x v="161"/>
    <s v="A-"/>
    <s v="WHAUP"/>
    <s v="LISTED"/>
    <s v="ENERGY"/>
    <s v="A-"/>
    <m/>
    <m/>
    <d v="2020-08-18T00:00:00"/>
    <n v="685"/>
    <n v="3.33"/>
    <n v="2.810095"/>
    <n v="390000"/>
    <n v="1009.27459"/>
    <n v="393617090.10000002"/>
    <n v="1672300.5"/>
    <n v="390000000"/>
    <n v="1.8017080000000001"/>
    <n v="390000000"/>
    <m/>
    <n v="390000000"/>
    <n v="3.33"/>
    <n v="1.8293025000000001E-3"/>
    <s v="WHAUP208A"/>
    <m/>
    <s v="WHA UTILITIES AND POWER PLC."/>
    <s v="หุ้นกู้ของบริษัท ดับบลิวเอชเอ ยูทิลิตี้ส์ แอนด์ พาวเวอร์ จำกัด (มหาชน) ครั้งที่ 1/2560 ชุดที่ 1"/>
    <s v="หุ้นกู้ของบริษัท ดับบลิวเอชเอ ยูทิลิตี้ส์ แอนด์ พาวเวอร์ จำกัด (มหาชน) ครั้งที่ 1/2560 ชุดที่ 1 ครบกำหนดไถ่ถอนปี พ.ศ. 2563 "/>
    <s v="Bond"/>
    <s v="WHAUP"/>
    <s v="1FxAc365P2B"/>
    <s v="DEBENTURE"/>
    <m/>
    <s v="ENERGY"/>
    <s v="RESOURCES"/>
    <s v=" "/>
    <s v="ThaiBMA"/>
    <s v="THB"/>
    <s v=" "/>
    <s v=" "/>
    <s v="P/P"/>
    <s v=" "/>
    <s v="BOND"/>
    <s v="A-"/>
    <n v="7"/>
    <s v="WHA UTILITIES AND POWER PLC."/>
    <s v="บมจ.ดับบลิวเอชเอ ยูทิลิตี้ส์ แอนด์ พาวเวอร์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965"/>
    <s v=" "/>
    <s v="THAILAND"/>
    <s v="THAILAND"/>
    <s v="TH"/>
    <s v=" "/>
    <n v="2000"/>
    <b v="0"/>
    <s v="TRANSFERABLE"/>
    <s v=" "/>
    <s v=" "/>
    <b v="0"/>
    <b v="0"/>
    <m/>
    <m/>
    <s v="TH784603U805"/>
    <m/>
    <m/>
    <m/>
    <m/>
    <m/>
    <m/>
  </r>
  <r>
    <x v="0"/>
    <x v="1"/>
    <x v="0"/>
    <x v="15"/>
    <x v="0"/>
    <x v="162"/>
    <m/>
    <s v="MASQ"/>
    <s v="LISTEDFOREIGN"/>
    <s v="BANKING"/>
    <s v="A"/>
    <m/>
    <m/>
    <d v="2019-03-07T00:00:00"/>
    <n v="155"/>
    <n v="2.93"/>
    <m/>
    <n v="100000"/>
    <n v="1046975.449"/>
    <n v="3235700000"/>
    <n v="55566855.859999999"/>
    <n v="3235700000"/>
    <n v="0.42519200000000001"/>
    <n v="100000000"/>
    <m/>
    <n v="3150000000"/>
    <n v="2.93"/>
    <n v="1.5231177E-2"/>
    <s v="EMTNMASQ0703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NO MARKET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UAE"/>
    <s v="UAE"/>
    <s v="AE"/>
    <s v=" "/>
    <n v="25000"/>
    <b v="0"/>
    <s v="NONTRANSFERABLE"/>
    <s v=" "/>
    <s v=" "/>
    <b v="0"/>
    <b v="0"/>
    <m/>
    <m/>
    <s v="XS1789167340"/>
    <n v="3150000000"/>
    <n v="0"/>
    <m/>
    <n v="0"/>
    <s v="USDbb"/>
    <n v="32.356999999999999"/>
  </r>
  <r>
    <x v="0"/>
    <x v="1"/>
    <x v="0"/>
    <x v="15"/>
    <x v="0"/>
    <x v="163"/>
    <m/>
    <s v="MASQ"/>
    <s v="LISTEDFOREIGN"/>
    <s v="BANKING"/>
    <s v="A"/>
    <m/>
    <m/>
    <d v="2019-05-08T00:00:00"/>
    <n v="217"/>
    <n v="3.28"/>
    <n v="3.28"/>
    <n v="400"/>
    <n v="9395089.8000000007"/>
    <n v="2588560000"/>
    <n v="35141140.090000004"/>
    <n v="2588560000"/>
    <n v="0.59109100000000003"/>
    <n v="80000000"/>
    <m/>
    <n v="2534400000"/>
    <n v="3.28"/>
    <n v="1.21418464E-2"/>
    <s v="EMTNMASQ0805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8"/>
    <s v=" "/>
    <s v="UAE"/>
    <s v="UAE"/>
    <s v="AE"/>
    <s v=" "/>
    <n v="25000"/>
    <b v="0"/>
    <s v="TRANSFERABLE"/>
    <s v=" "/>
    <s v=" "/>
    <b v="0"/>
    <b v="0"/>
    <m/>
    <m/>
    <s v="XS1819596492"/>
    <n v="2534399999.9699998"/>
    <n v="0"/>
    <m/>
    <n v="0"/>
    <s v="USDbb"/>
    <n v="32.356999999999999"/>
  </r>
  <r>
    <x v="0"/>
    <x v="1"/>
    <x v="0"/>
    <x v="15"/>
    <x v="0"/>
    <x v="164"/>
    <m/>
    <s v="MASQ"/>
    <s v="LISTEDFOREIGN"/>
    <s v="BANKING"/>
    <s v="A"/>
    <m/>
    <m/>
    <d v="2019-04-09T00:00:00"/>
    <n v="188"/>
    <n v="3.16"/>
    <m/>
    <n v="500"/>
    <n v="9395089.8000000007"/>
    <n v="3235700000"/>
    <n v="50556014.890000001"/>
    <n v="3235700000"/>
    <n v="0.51374399999999998"/>
    <n v="100000000"/>
    <m/>
    <n v="3120000000"/>
    <n v="3.16"/>
    <n v="1.52079881E-2"/>
    <s v="EMTNMASQ0904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9"/>
    <s v=" "/>
    <s v="UAE"/>
    <s v="UAE"/>
    <s v="AE"/>
    <s v=" "/>
    <n v="25000"/>
    <b v="0"/>
    <s v="TRANSFERABLE"/>
    <s v=" "/>
    <s v=" "/>
    <b v="0"/>
    <b v="0"/>
    <m/>
    <m/>
    <s v="XS1805072565"/>
    <n v="3120000000.0300002"/>
    <n v="0"/>
    <m/>
    <n v="0"/>
    <s v="USDbb"/>
    <n v="32.356999999999999"/>
  </r>
  <r>
    <x v="0"/>
    <x v="1"/>
    <x v="0"/>
    <x v="15"/>
    <x v="0"/>
    <x v="165"/>
    <m/>
    <s v="MASQ"/>
    <s v="LISTEDFOREIGN"/>
    <s v="BANKING"/>
    <s v="A"/>
    <m/>
    <m/>
    <d v="2019-05-13T00:00:00"/>
    <n v="222"/>
    <n v="3.3"/>
    <n v="0"/>
    <n v="80000"/>
    <n v="1046975.449"/>
    <n v="2588560000"/>
    <n v="34880846"/>
    <n v="2588560000"/>
    <n v="0.60436800000000002"/>
    <n v="80000000"/>
    <m/>
    <n v="2549200000"/>
    <n v="3.3"/>
    <n v="1.2140641799999999E-2"/>
    <s v="EMTNMASQ1305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UAE"/>
    <s v="UAE"/>
    <s v="AE"/>
    <s v=" "/>
    <n v="25000"/>
    <b v="0"/>
    <s v="TRANSFERABLE"/>
    <s v=" "/>
    <s v=" "/>
    <b v="0"/>
    <b v="0"/>
    <m/>
    <m/>
    <s v="XS1821402523"/>
    <n v="2549199999.98"/>
    <n v="0"/>
    <m/>
    <n v="0"/>
    <s v="USDbb"/>
    <n v="32.356999999999999"/>
  </r>
  <r>
    <x v="0"/>
    <x v="1"/>
    <x v="0"/>
    <x v="15"/>
    <x v="0"/>
    <x v="166"/>
    <m/>
    <s v="MASQ"/>
    <s v="LISTEDFOREIGN"/>
    <s v="BANKING"/>
    <s v="A"/>
    <m/>
    <m/>
    <d v="2019-03-21T00:00:00"/>
    <n v="169"/>
    <n v="0.05"/>
    <n v="0"/>
    <n v="80000"/>
    <n v="1402135.51401"/>
    <n v="2995608000"/>
    <n v="802989.37"/>
    <n v="2995608000"/>
    <n v="0.46655799999999997"/>
    <n v="80000000"/>
    <m/>
    <n v="3041600000"/>
    <n v="0.05"/>
    <n v="1.38666563E-2"/>
    <s v="EMTNMASQ210319"/>
    <m/>
    <s v="MASHREQ BANK"/>
    <s v="ตราสารหนี้ธนาคาร MASHREQ BANK"/>
    <s v="ตราสารหนี้ธนาคาร MASHREQ BANK"/>
    <s v="Bond"/>
    <s v="MASQ"/>
    <s v="Bond 30/360P1"/>
    <s v="CP"/>
    <m/>
    <s v="BANKING"/>
    <s v=" "/>
    <s v=" "/>
    <s v="NO MARKET"/>
    <s v="EUR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0"/>
    <s v=" "/>
    <s v="UAE"/>
    <s v="UAE"/>
    <s v="AE"/>
    <s v=" "/>
    <n v="25000"/>
    <b v="0"/>
    <s v="NONTRANSFERABLE"/>
    <s v=" "/>
    <s v=" "/>
    <b v="0"/>
    <b v="0"/>
    <m/>
    <m/>
    <s v="XS1797108112"/>
    <n v="3041600000"/>
    <n v="0"/>
    <m/>
    <n v="0"/>
    <s v="EURbb"/>
    <n v="37.445099999999996"/>
  </r>
  <r>
    <x v="0"/>
    <x v="1"/>
    <x v="1"/>
    <x v="6"/>
    <x v="0"/>
    <x v="167"/>
    <m/>
    <s v="SCB"/>
    <s v="LISTED"/>
    <s v="BANKING"/>
    <s v="AA+(tha)"/>
    <m/>
    <m/>
    <d v="2018-12-18T00:00:00"/>
    <m/>
    <m/>
    <m/>
    <n v="1"/>
    <m/>
    <n v="-7959747.8300000001"/>
    <m/>
    <n v="0"/>
    <n v="0"/>
    <n v="0"/>
    <m/>
    <n v="0"/>
    <n v="0"/>
    <n v="-3.6835799999999997E-5"/>
    <s v="FWAEDTHB18D1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81218a"/>
    <n v="52000"/>
    <b v="0"/>
    <s v=" "/>
    <s v=" "/>
    <s v=" "/>
    <b v="0"/>
    <b v="0"/>
    <m/>
    <m/>
    <s v=" "/>
    <n v="-411761111.11000001"/>
    <n v="7959747.8300000001"/>
    <s v="F12MADCB181218a"/>
    <n v="411761111.11000001"/>
    <s v="THB"/>
    <n v="1"/>
  </r>
  <r>
    <x v="0"/>
    <x v="1"/>
    <x v="1"/>
    <x v="6"/>
    <x v="0"/>
    <x v="168"/>
    <m/>
    <s v="SCB"/>
    <s v="LISTED"/>
    <s v="BANKING"/>
    <s v="AA+(tha)"/>
    <m/>
    <m/>
    <d v="2018-10-04T00:00:00"/>
    <m/>
    <m/>
    <m/>
    <n v="1"/>
    <m/>
    <n v="45811743.289999999"/>
    <m/>
    <n v="0"/>
    <n v="0"/>
    <n v="0"/>
    <m/>
    <n v="0"/>
    <n v="0"/>
    <n v="2.1200550000000001E-4"/>
    <s v="FWAEDTHB18O04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41018"/>
    <n v="52000"/>
    <b v="0"/>
    <s v=" "/>
    <s v=" "/>
    <s v=" "/>
    <b v="0"/>
    <b v="0"/>
    <m/>
    <m/>
    <s v=" "/>
    <n v="-360099444.44"/>
    <n v="-45811743.289999999"/>
    <s v="F12MUNB041018"/>
    <n v="360099444.44"/>
    <s v="THB"/>
    <n v="1"/>
  </r>
  <r>
    <x v="0"/>
    <x v="1"/>
    <x v="1"/>
    <x v="6"/>
    <x v="0"/>
    <x v="169"/>
    <m/>
    <s v="SCB"/>
    <s v="LISTED"/>
    <s v="BANKING"/>
    <s v="AA+(tha)"/>
    <m/>
    <m/>
    <d v="2018-12-07T00:00:00"/>
    <m/>
    <m/>
    <m/>
    <n v="1"/>
    <m/>
    <n v="101420301.37"/>
    <m/>
    <n v="0"/>
    <n v="0"/>
    <n v="0"/>
    <m/>
    <n v="0"/>
    <n v="0"/>
    <n v="4.6934830000000001E-4"/>
    <s v="FWEURTHB18D07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71218"/>
    <n v="52000"/>
    <b v="0"/>
    <s v=" "/>
    <s v=" "/>
    <s v=" "/>
    <b v="0"/>
    <b v="0"/>
    <m/>
    <m/>
    <s v=" "/>
    <n v="-50000000"/>
    <n v="-101420301.37"/>
    <s v="CD1YBOCHK071218"/>
    <n v="50000000"/>
    <s v="THB"/>
    <n v="1"/>
  </r>
  <r>
    <x v="0"/>
    <x v="1"/>
    <x v="1"/>
    <x v="6"/>
    <x v="0"/>
    <x v="170"/>
    <m/>
    <s v="SCB"/>
    <s v="LISTED"/>
    <s v="BANKING"/>
    <s v="AA+(tha)"/>
    <m/>
    <m/>
    <d v="2018-11-05T00:00:00"/>
    <m/>
    <m/>
    <m/>
    <n v="1"/>
    <m/>
    <n v="60991876.579999998"/>
    <m/>
    <n v="0"/>
    <n v="0"/>
    <n v="0"/>
    <m/>
    <n v="0"/>
    <n v="0"/>
    <n v="2.8225549999999998E-4"/>
    <s v="FWEURTHB18N0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051118"/>
    <n v="52000"/>
    <b v="0"/>
    <s v=" "/>
    <s v=" "/>
    <s v=" "/>
    <b v="0"/>
    <b v="0"/>
    <m/>
    <m/>
    <s v=" "/>
    <n v="-75015500"/>
    <n v="-60991876.579999998"/>
    <s v="F6MBOCMC051118"/>
    <n v="75015500"/>
    <s v="THB"/>
    <n v="1"/>
  </r>
  <r>
    <x v="0"/>
    <x v="1"/>
    <x v="1"/>
    <x v="6"/>
    <x v="0"/>
    <x v="171"/>
    <m/>
    <s v="SCB"/>
    <s v="LISTED"/>
    <s v="BANKING"/>
    <s v="AA+(tha)"/>
    <m/>
    <m/>
    <d v="2019-01-31T00:00:00"/>
    <m/>
    <m/>
    <m/>
    <n v="1"/>
    <m/>
    <n v="180853397.33000001"/>
    <m/>
    <n v="0"/>
    <n v="0"/>
    <n v="0"/>
    <m/>
    <n v="0"/>
    <n v="0"/>
    <n v="8.3694520000000003E-4"/>
    <s v="FWEURTHB191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119"/>
    <n v="52000"/>
    <b v="0"/>
    <s v=" "/>
    <s v=" "/>
    <s v=" "/>
    <b v="0"/>
    <b v="0"/>
    <m/>
    <m/>
    <s v=" "/>
    <n v="-100152083.33"/>
    <n v="-180853397.33000001"/>
    <s v="F12MABCHK310119"/>
    <n v="100152083.33"/>
    <s v="THB"/>
    <n v="1"/>
  </r>
  <r>
    <x v="0"/>
    <x v="1"/>
    <x v="1"/>
    <x v="6"/>
    <x v="0"/>
    <x v="172"/>
    <m/>
    <s v="SCB"/>
    <s v="LISTED"/>
    <s v="BANKING"/>
    <s v="AA+(tha)"/>
    <m/>
    <m/>
    <d v="2019-02-01T00:00:00"/>
    <m/>
    <m/>
    <m/>
    <n v="1"/>
    <m/>
    <n v="172288060.94"/>
    <m/>
    <n v="0"/>
    <n v="0"/>
    <n v="0"/>
    <m/>
    <n v="0"/>
    <n v="0"/>
    <n v="7.9730700000000003E-4"/>
    <s v="FWEURTHB192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CMBL010219"/>
    <n v="52000"/>
    <b v="0"/>
    <s v=" "/>
    <s v=" "/>
    <s v=" "/>
    <b v="0"/>
    <b v="0"/>
    <m/>
    <m/>
    <s v=" "/>
    <n v="-100000000"/>
    <n v="-172288060.94"/>
    <s v="CD12MCMBL010219"/>
    <n v="100000000"/>
    <s v="THB"/>
    <n v="1"/>
  </r>
  <r>
    <x v="0"/>
    <x v="1"/>
    <x v="1"/>
    <x v="6"/>
    <x v="0"/>
    <x v="173"/>
    <m/>
    <s v="SCB"/>
    <s v="LISTED"/>
    <s v="BANKING"/>
    <s v="AA+(tha)"/>
    <m/>
    <m/>
    <d v="2019-02-13T00:00:00"/>
    <m/>
    <m/>
    <m/>
    <n v="1"/>
    <m/>
    <n v="163853570.50999999"/>
    <m/>
    <n v="0"/>
    <n v="0"/>
    <n v="0"/>
    <m/>
    <n v="0"/>
    <n v="0"/>
    <n v="7.5827420000000004E-4"/>
    <s v="FWEURTHB1921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130219"/>
    <n v="52000"/>
    <b v="0"/>
    <s v=" "/>
    <s v=" "/>
    <s v=" "/>
    <b v="0"/>
    <b v="0"/>
    <m/>
    <m/>
    <s v=" "/>
    <n v="-100050694.44"/>
    <n v="-163853570.50999999"/>
    <s v="F12MABCHK130219"/>
    <n v="100050694.44"/>
    <s v="THB"/>
    <n v="1"/>
  </r>
  <r>
    <x v="0"/>
    <x v="1"/>
    <x v="1"/>
    <x v="6"/>
    <x v="0"/>
    <x v="174"/>
    <m/>
    <s v="SCB"/>
    <s v="LISTED"/>
    <s v="BANKING"/>
    <s v="AA+(tha)"/>
    <m/>
    <m/>
    <d v="2019-03-06T00:00:00"/>
    <m/>
    <m/>
    <m/>
    <n v="1"/>
    <m/>
    <n v="136721671.22999999"/>
    <m/>
    <n v="0"/>
    <n v="0"/>
    <n v="0"/>
    <m/>
    <n v="0"/>
    <n v="0"/>
    <n v="6.3271439999999996E-4"/>
    <s v="FWEURTHB1930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60319"/>
    <n v="52000"/>
    <b v="0"/>
    <s v=" "/>
    <s v=" "/>
    <s v=" "/>
    <b v="0"/>
    <b v="0"/>
    <m/>
    <m/>
    <s v=" "/>
    <n v="-100000000"/>
    <n v="-136721671.22999999"/>
    <s v="CD1YBOCHK060319"/>
    <n v="100000000"/>
    <s v="THB"/>
    <n v="1"/>
  </r>
  <r>
    <x v="0"/>
    <x v="1"/>
    <x v="1"/>
    <x v="6"/>
    <x v="0"/>
    <x v="175"/>
    <m/>
    <s v="SCB"/>
    <s v="LISTED"/>
    <s v="BANKING"/>
    <s v="AA+(tha)"/>
    <m/>
    <m/>
    <d v="2019-03-21T00:00:00"/>
    <m/>
    <m/>
    <m/>
    <n v="1"/>
    <m/>
    <n v="74021342.859999999"/>
    <m/>
    <n v="0"/>
    <n v="0"/>
    <n v="0"/>
    <m/>
    <n v="0"/>
    <n v="0"/>
    <n v="3.4255260000000002E-4"/>
    <s v="FWEURTHB1932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210319"/>
    <n v="52000"/>
    <b v="0"/>
    <s v=" "/>
    <s v=" "/>
    <s v=" "/>
    <b v="0"/>
    <b v="0"/>
    <m/>
    <m/>
    <s v=" "/>
    <n v="-80040000"/>
    <n v="-74021342.859999999"/>
    <s v="EMTNMASQ210319"/>
    <n v="80040000"/>
    <s v="THB"/>
    <n v="1"/>
  </r>
  <r>
    <x v="0"/>
    <x v="1"/>
    <x v="1"/>
    <x v="6"/>
    <x v="0"/>
    <x v="176"/>
    <m/>
    <s v="KKP"/>
    <s v="LISTED"/>
    <s v="BANKING"/>
    <s v="A-"/>
    <m/>
    <m/>
    <d v="2019-03-22T00:00:00"/>
    <m/>
    <m/>
    <m/>
    <n v="1"/>
    <m/>
    <n v="26782734.719999999"/>
    <m/>
    <n v="0"/>
    <n v="0"/>
    <n v="0"/>
    <m/>
    <n v="0"/>
    <n v="0"/>
    <n v="1.2394390000000001E-4"/>
    <s v="FWEURTHB19322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20319"/>
    <n v="16000"/>
    <b v="0"/>
    <s v=" "/>
    <s v=" "/>
    <s v=" "/>
    <b v="0"/>
    <b v="0"/>
    <m/>
    <m/>
    <s v=" "/>
    <n v="-30012166.670000002"/>
    <n v="-26782734.719999999"/>
    <s v="F12MABCHK220319"/>
    <n v="30012166.670000002"/>
    <s v="THB"/>
    <n v="1"/>
  </r>
  <r>
    <x v="0"/>
    <x v="1"/>
    <x v="1"/>
    <x v="6"/>
    <x v="0"/>
    <x v="177"/>
    <m/>
    <s v="SCB"/>
    <s v="LISTED"/>
    <s v="BANKING"/>
    <s v="AA+(tha)"/>
    <m/>
    <m/>
    <d v="2019-03-27T00:00:00"/>
    <m/>
    <m/>
    <m/>
    <n v="1"/>
    <m/>
    <n v="82656421.900000006"/>
    <m/>
    <n v="0"/>
    <n v="0"/>
    <n v="0"/>
    <m/>
    <n v="0"/>
    <n v="0"/>
    <n v="3.8251369999999998E-4"/>
    <s v="FWEURTHB19327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70319"/>
    <n v="52000"/>
    <b v="0"/>
    <s v=" "/>
    <s v=" "/>
    <s v=" "/>
    <b v="0"/>
    <b v="0"/>
    <m/>
    <m/>
    <s v=" "/>
    <n v="-80089222.219999999"/>
    <n v="-82656421.900000006"/>
    <s v="F12MABCHK270319"/>
    <n v="80089222.219999999"/>
    <s v="THB"/>
    <n v="1"/>
  </r>
  <r>
    <x v="0"/>
    <x v="1"/>
    <x v="1"/>
    <x v="6"/>
    <x v="0"/>
    <x v="178"/>
    <m/>
    <s v="SCB"/>
    <s v="LISTED"/>
    <s v="BANKING"/>
    <s v="AA+(tha)"/>
    <m/>
    <m/>
    <d v="2019-03-28T00:00:00"/>
    <m/>
    <m/>
    <m/>
    <n v="1"/>
    <m/>
    <n v="97413951.150000006"/>
    <m/>
    <n v="0"/>
    <n v="0"/>
    <n v="0"/>
    <m/>
    <n v="0"/>
    <n v="0"/>
    <n v="4.5080789999999999E-4"/>
    <s v="FWEURTHB193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80319"/>
    <n v="52000"/>
    <b v="0"/>
    <s v=" "/>
    <s v=" "/>
    <s v=" "/>
    <b v="0"/>
    <b v="0"/>
    <m/>
    <m/>
    <s v=" "/>
    <n v="-80085166.670000002"/>
    <n v="-97413951.150000006"/>
    <s v="F12MABCHK280319"/>
    <n v="80085166.670000002"/>
    <s v="THB"/>
    <n v="1"/>
  </r>
  <r>
    <x v="0"/>
    <x v="1"/>
    <x v="1"/>
    <x v="6"/>
    <x v="0"/>
    <x v="179"/>
    <m/>
    <s v="KKP"/>
    <s v="LISTED"/>
    <s v="BANKING"/>
    <s v="A-"/>
    <m/>
    <m/>
    <d v="2019-05-02T00:00:00"/>
    <m/>
    <m/>
    <m/>
    <n v="1"/>
    <m/>
    <n v="58855833.189999998"/>
    <m/>
    <n v="0"/>
    <n v="0"/>
    <n v="0"/>
    <m/>
    <n v="0"/>
    <n v="0"/>
    <n v="2.723704E-4"/>
    <s v="FWEURTHB19502B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2519b"/>
    <n v="16000"/>
    <b v="0"/>
    <s v=" "/>
    <s v=" "/>
    <s v=" "/>
    <b v="0"/>
    <b v="0"/>
    <m/>
    <m/>
    <s v=" "/>
    <n v="-70042350"/>
    <n v="-58855833.189999998"/>
    <s v="F12MBOCMC02519b"/>
    <n v="70042350"/>
    <s v="THB"/>
    <n v="1"/>
  </r>
  <r>
    <x v="0"/>
    <x v="1"/>
    <x v="1"/>
    <x v="6"/>
    <x v="0"/>
    <x v="180"/>
    <m/>
    <s v="SCB"/>
    <s v="LISTED"/>
    <s v="BANKING"/>
    <s v="AA+(tha)"/>
    <m/>
    <m/>
    <d v="2019-05-23T00:00:00"/>
    <m/>
    <m/>
    <m/>
    <n v="1"/>
    <m/>
    <n v="34501384.969999999"/>
    <m/>
    <n v="0"/>
    <n v="0"/>
    <n v="0"/>
    <m/>
    <n v="0"/>
    <n v="0"/>
    <n v="1.5966400000000001E-4"/>
    <s v="FWEURTHB1952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30519"/>
    <n v="52000"/>
    <b v="0"/>
    <s v=" "/>
    <s v=" "/>
    <s v=" "/>
    <b v="0"/>
    <b v="0"/>
    <m/>
    <m/>
    <s v=" "/>
    <n v="-80113244.439999998"/>
    <n v="-34501384.969999999"/>
    <s v="F12MABCHK230519"/>
    <n v="80113244.439999998"/>
    <s v="THB"/>
    <n v="1"/>
  </r>
  <r>
    <x v="0"/>
    <x v="1"/>
    <x v="1"/>
    <x v="6"/>
    <x v="0"/>
    <x v="181"/>
    <m/>
    <s v="SCB"/>
    <s v="LISTED"/>
    <s v="BANKING"/>
    <s v="AA+(tha)"/>
    <m/>
    <m/>
    <d v="2019-05-31T00:00:00"/>
    <m/>
    <m/>
    <m/>
    <n v="1"/>
    <m/>
    <n v="-6081745.1399999997"/>
    <m/>
    <n v="0"/>
    <n v="0"/>
    <n v="0"/>
    <m/>
    <n v="0"/>
    <n v="0"/>
    <n v="-2.8144799999999999E-5"/>
    <s v="FWEURTHB195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519"/>
    <n v="52000"/>
    <b v="0"/>
    <s v=" "/>
    <s v=" "/>
    <s v=" "/>
    <b v="0"/>
    <b v="0"/>
    <m/>
    <m/>
    <s v=" "/>
    <n v="-50071166.670000002"/>
    <n v="6081745.1399999997"/>
    <s v="F12MABCHK310519"/>
    <n v="50071166.670000002"/>
    <s v="THB"/>
    <n v="1"/>
  </r>
  <r>
    <x v="0"/>
    <x v="1"/>
    <x v="1"/>
    <x v="6"/>
    <x v="0"/>
    <x v="182"/>
    <m/>
    <s v="SCB"/>
    <s v="LISTED"/>
    <s v="BANKING"/>
    <s v="AA+(tha)"/>
    <m/>
    <m/>
    <d v="2018-10-22T00:00:00"/>
    <m/>
    <m/>
    <m/>
    <n v="1"/>
    <m/>
    <n v="45484478.030000001"/>
    <m/>
    <n v="0"/>
    <n v="0"/>
    <n v="0"/>
    <m/>
    <n v="0"/>
    <n v="0"/>
    <n v="2.1049099999999999E-4"/>
    <s v="FWHKDTHB18O2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221018"/>
    <n v="52000"/>
    <b v="0"/>
    <s v=" "/>
    <s v=" "/>
    <s v=" "/>
    <b v="0"/>
    <b v="0"/>
    <m/>
    <m/>
    <s v=" "/>
    <n v="-402431123.29000002"/>
    <n v="-45484478.030000001"/>
    <s v="F3MABCHK221018"/>
    <n v="402431123.29000002"/>
    <s v="THB"/>
    <n v="1"/>
  </r>
  <r>
    <x v="0"/>
    <x v="1"/>
    <x v="1"/>
    <x v="6"/>
    <x v="0"/>
    <x v="183"/>
    <m/>
    <s v="SCB"/>
    <s v="LISTED"/>
    <s v="BANKING"/>
    <s v="AA+(tha)"/>
    <m/>
    <m/>
    <d v="2019-03-12T00:00:00"/>
    <m/>
    <m/>
    <m/>
    <n v="1"/>
    <m/>
    <n v="15984390.07"/>
    <m/>
    <n v="0"/>
    <n v="0"/>
    <n v="0"/>
    <m/>
    <n v="0"/>
    <n v="0"/>
    <n v="7.3971800000000002E-5"/>
    <s v="FWHKDTHB1931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BCHK120319"/>
    <n v="52000"/>
    <b v="0"/>
    <s v=" "/>
    <s v=" "/>
    <s v=" "/>
    <b v="0"/>
    <b v="0"/>
    <m/>
    <m/>
    <s v=" "/>
    <n v="-313876698.63"/>
    <n v="-15984390.07"/>
    <s v="F6MABCHK120319"/>
    <n v="313876698.63"/>
    <s v="THB"/>
    <n v="1"/>
  </r>
  <r>
    <x v="0"/>
    <x v="1"/>
    <x v="1"/>
    <x v="6"/>
    <x v="0"/>
    <x v="184"/>
    <m/>
    <s v="CIMBT"/>
    <s v="LISTED"/>
    <s v="BANKING"/>
    <s v="AA-(tha)"/>
    <m/>
    <m/>
    <d v="2018-12-18T00:00:00"/>
    <m/>
    <m/>
    <m/>
    <n v="1"/>
    <m/>
    <n v="15478508.529999999"/>
    <m/>
    <n v="0"/>
    <n v="0"/>
    <n v="0"/>
    <m/>
    <n v="0"/>
    <n v="0"/>
    <n v="7.1630699999999998E-5"/>
    <s v="FWUSDTHB18D18B"/>
    <m/>
    <s v="FWD SFFPLUS CIMBT"/>
    <s v="สัญญาซื้อขายล่วงหน้า/FORWARD"/>
    <s v="สัญญาซื้อขายล่วงหน้า/FORWARD"/>
    <s v="Future"/>
    <s v="CIMBT"/>
    <s v="Forward FX"/>
    <s v="FORWARD"/>
    <m/>
    <s v="BANKING"/>
    <s v="FINANCIALS"/>
    <s v=" "/>
    <s v="NO MARKET"/>
    <s v="THB"/>
    <s v=" "/>
    <s v=" "/>
    <s v=" "/>
    <s v=" "/>
    <s v=" "/>
    <m/>
    <m/>
    <s v="CIMB THAI BANK PLC."/>
    <s v="ธนาคาร ซีไอเอ็มบี ไทย  จำกัด (มหาชน)"/>
    <s v="LISTED"/>
    <s v=" "/>
    <s v="AA-(tha)"/>
    <s v=" "/>
    <s v=" "/>
    <s v="Baa2"/>
    <s v="AA-(tha)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181218"/>
    <n v="15000"/>
    <b v="0"/>
    <s v=" "/>
    <s v=" "/>
    <s v=" "/>
    <b v="0"/>
    <b v="0"/>
    <m/>
    <m/>
    <s v=" "/>
    <n v="-92443500"/>
    <n v="-15478508.529999999"/>
    <s v="F12MBOCMC181218"/>
    <n v="92443500"/>
    <s v="THB"/>
    <n v="1"/>
  </r>
  <r>
    <x v="0"/>
    <x v="1"/>
    <x v="1"/>
    <x v="6"/>
    <x v="0"/>
    <x v="185"/>
    <m/>
    <s v="KKP"/>
    <s v="LISTED"/>
    <s v="BANKING"/>
    <s v="A-"/>
    <m/>
    <m/>
    <d v="2018-11-06T00:00:00"/>
    <m/>
    <m/>
    <m/>
    <n v="1"/>
    <m/>
    <n v="22154907.289999999"/>
    <m/>
    <n v="0"/>
    <n v="0"/>
    <n v="0"/>
    <m/>
    <n v="0"/>
    <n v="0"/>
    <n v="1.025275E-4"/>
    <s v="FWUSDTHB18N06D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061118b"/>
    <n v="16000"/>
    <b v="0"/>
    <s v=" "/>
    <s v=" "/>
    <s v=" "/>
    <b v="0"/>
    <b v="0"/>
    <m/>
    <m/>
    <s v=" "/>
    <n v="-35849364.539999999"/>
    <n v="-22154907.289999999"/>
    <s v="F12MADCB061118b"/>
    <n v="35849364.539999999"/>
    <s v="THB"/>
    <n v="1"/>
  </r>
  <r>
    <x v="0"/>
    <x v="1"/>
    <x v="1"/>
    <x v="6"/>
    <x v="0"/>
    <x v="186"/>
    <m/>
    <s v="SCB"/>
    <s v="LISTED"/>
    <s v="BANKING"/>
    <s v="AA+(tha)"/>
    <m/>
    <m/>
    <d v="2018-11-19T00:00:00"/>
    <m/>
    <m/>
    <m/>
    <n v="1"/>
    <m/>
    <n v="-29520466.649999999"/>
    <m/>
    <n v="0"/>
    <n v="0"/>
    <n v="0"/>
    <m/>
    <n v="0"/>
    <n v="0"/>
    <n v="-1.3661350000000001E-4"/>
    <s v="FWUSDTHB18N1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191118"/>
    <n v="52000"/>
    <b v="0"/>
    <s v=" "/>
    <s v=" "/>
    <s v=" "/>
    <b v="0"/>
    <b v="0"/>
    <m/>
    <m/>
    <s v=" "/>
    <n v="-50754333.329999998"/>
    <n v="29520466.649999999"/>
    <s v="F6MBOCMC191118"/>
    <n v="50754333.329999998"/>
    <s v="THB"/>
    <n v="1"/>
  </r>
  <r>
    <x v="0"/>
    <x v="1"/>
    <x v="1"/>
    <x v="6"/>
    <x v="0"/>
    <x v="187"/>
    <m/>
    <s v="SCB"/>
    <s v="LISTED"/>
    <s v="BANKING"/>
    <s v="AA+(tha)"/>
    <m/>
    <m/>
    <d v="2018-11-20T00:00:00"/>
    <m/>
    <m/>
    <m/>
    <n v="1"/>
    <m/>
    <n v="-5838883.29"/>
    <m/>
    <n v="0"/>
    <n v="0"/>
    <n v="0"/>
    <m/>
    <n v="0"/>
    <n v="0"/>
    <n v="-2.7020900000000001E-5"/>
    <s v="FWUSDTHB18N20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201118"/>
    <n v="52000"/>
    <b v="0"/>
    <s v=" "/>
    <s v=" "/>
    <s v=" "/>
    <b v="0"/>
    <b v="0"/>
    <m/>
    <m/>
    <s v=" "/>
    <n v="-14211213.33"/>
    <n v="5838883.29"/>
    <s v="F6MBOCMC201118"/>
    <n v="14211213.33"/>
    <s v="THB"/>
    <n v="1"/>
  </r>
  <r>
    <x v="0"/>
    <x v="1"/>
    <x v="1"/>
    <x v="6"/>
    <x v="0"/>
    <x v="188"/>
    <m/>
    <s v="SCB"/>
    <s v="LISTED"/>
    <s v="BANKING"/>
    <s v="AA+(tha)"/>
    <m/>
    <m/>
    <d v="2018-11-26T00:00:00"/>
    <m/>
    <m/>
    <m/>
    <n v="1"/>
    <m/>
    <n v="-22250778.829999998"/>
    <m/>
    <n v="0"/>
    <n v="0"/>
    <n v="0"/>
    <m/>
    <n v="0"/>
    <n v="0"/>
    <n v="-1.029712E-4"/>
    <s v="FWUSDTHB18N2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61118"/>
    <n v="52000"/>
    <b v="0"/>
    <s v=" "/>
    <s v=" "/>
    <s v=" "/>
    <b v="0"/>
    <b v="0"/>
    <m/>
    <m/>
    <s v=" "/>
    <n v="-50775000"/>
    <n v="22250778.829999998"/>
    <s v="F6MADCB261118"/>
    <n v="50775000"/>
    <s v="THB"/>
    <n v="1"/>
  </r>
  <r>
    <x v="0"/>
    <x v="1"/>
    <x v="1"/>
    <x v="6"/>
    <x v="0"/>
    <x v="189"/>
    <m/>
    <s v="SCB"/>
    <s v="LISTED"/>
    <s v="BANKING"/>
    <s v="AA+(tha)"/>
    <m/>
    <m/>
    <d v="2018-10-16T00:00:00"/>
    <m/>
    <m/>
    <m/>
    <n v="1"/>
    <m/>
    <n v="30809014.390000001"/>
    <m/>
    <n v="0"/>
    <n v="0"/>
    <n v="0"/>
    <m/>
    <n v="0"/>
    <n v="0"/>
    <n v="1.4257660000000001E-4"/>
    <s v="FWUSDTHB18O16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61018"/>
    <n v="52000"/>
    <b v="0"/>
    <s v=" "/>
    <s v=" "/>
    <s v=" "/>
    <b v="0"/>
    <b v="0"/>
    <m/>
    <m/>
    <s v=" "/>
    <n v="-51206666.670000002"/>
    <n v="-30809014.390000001"/>
    <s v="F12MADCB161018"/>
    <n v="51206666.670000002"/>
    <s v="THB"/>
    <n v="1"/>
  </r>
  <r>
    <x v="0"/>
    <x v="1"/>
    <x v="1"/>
    <x v="6"/>
    <x v="0"/>
    <x v="190"/>
    <m/>
    <s v="SCB"/>
    <s v="LISTED"/>
    <s v="BANKING"/>
    <s v="AA+(tha)"/>
    <m/>
    <m/>
    <d v="2018-10-16T00:00:00"/>
    <m/>
    <m/>
    <m/>
    <n v="1"/>
    <m/>
    <n v="28982560.719999999"/>
    <m/>
    <n v="0"/>
    <n v="0"/>
    <n v="0"/>
    <m/>
    <n v="0"/>
    <n v="0"/>
    <n v="1.3412419999999999E-4"/>
    <s v="FWUSDTHB18O16D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161018"/>
    <n v="52000"/>
    <b v="0"/>
    <s v=" "/>
    <s v=" "/>
    <s v=" "/>
    <b v="0"/>
    <b v="0"/>
    <m/>
    <m/>
    <s v=" "/>
    <n v="-40299733.329999998"/>
    <n v="-28982560.719999999"/>
    <s v="F3MABCHK161018"/>
    <n v="40299733.329999998"/>
    <s v="THB"/>
    <n v="1"/>
  </r>
  <r>
    <x v="0"/>
    <x v="1"/>
    <x v="1"/>
    <x v="6"/>
    <x v="0"/>
    <x v="191"/>
    <m/>
    <s v="SCB"/>
    <s v="LISTED"/>
    <s v="BANKING"/>
    <s v="AA+(tha)"/>
    <m/>
    <m/>
    <d v="2018-10-25T00:00:00"/>
    <m/>
    <m/>
    <m/>
    <n v="1"/>
    <m/>
    <n v="-44274886.07"/>
    <m/>
    <n v="0"/>
    <n v="0"/>
    <n v="0"/>
    <m/>
    <n v="0"/>
    <n v="0"/>
    <n v="-2.0489330000000001E-4"/>
    <s v="FWUSDTHB18O2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51018"/>
    <n v="52000"/>
    <b v="0"/>
    <s v=" "/>
    <s v=" "/>
    <s v=" "/>
    <b v="0"/>
    <b v="0"/>
    <m/>
    <m/>
    <s v=" "/>
    <n v="-40610000"/>
    <n v="44274886.07"/>
    <s v="F6MADCB251018"/>
    <n v="40610000"/>
    <s v="THB"/>
    <n v="1"/>
  </r>
  <r>
    <x v="0"/>
    <x v="1"/>
    <x v="1"/>
    <x v="6"/>
    <x v="0"/>
    <x v="192"/>
    <m/>
    <s v="SCB"/>
    <s v="LISTED"/>
    <s v="BANKING"/>
    <s v="AA+(tha)"/>
    <m/>
    <m/>
    <d v="2019-01-08T00:00:00"/>
    <m/>
    <m/>
    <m/>
    <n v="1"/>
    <m/>
    <n v="-24983286.98"/>
    <m/>
    <n v="0"/>
    <n v="0"/>
    <n v="0"/>
    <m/>
    <n v="0"/>
    <n v="0"/>
    <n v="-1.1561649999999999E-4"/>
    <s v="FWUSDTHB1910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80119"/>
    <n v="52000"/>
    <b v="0"/>
    <s v=" "/>
    <s v=" "/>
    <s v=" "/>
    <b v="0"/>
    <b v="0"/>
    <m/>
    <m/>
    <s v=" "/>
    <n v="-102707083.33"/>
    <n v="24983286.98"/>
    <s v="F12MBOCMC080119"/>
    <n v="102707083.33"/>
    <s v="THB"/>
    <n v="1"/>
  </r>
  <r>
    <x v="0"/>
    <x v="1"/>
    <x v="1"/>
    <x v="6"/>
    <x v="0"/>
    <x v="193"/>
    <m/>
    <s v="SCB"/>
    <s v="LISTED"/>
    <s v="BANKING"/>
    <s v="AA+(tha)"/>
    <m/>
    <m/>
    <d v="2019-01-09T00:00:00"/>
    <m/>
    <m/>
    <m/>
    <n v="1"/>
    <m/>
    <n v="-36939078.07"/>
    <m/>
    <n v="0"/>
    <n v="0"/>
    <n v="0"/>
    <m/>
    <n v="0"/>
    <n v="0"/>
    <n v="-1.7094500000000001E-4"/>
    <s v="FWUSDTHB19109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90119"/>
    <n v="52000"/>
    <b v="0"/>
    <s v=" "/>
    <s v=" "/>
    <s v=" "/>
    <b v="0"/>
    <b v="0"/>
    <m/>
    <m/>
    <s v=" "/>
    <n v="-100652941.66"/>
    <n v="36939078.07"/>
    <s v="F12MBOCMC090119"/>
    <n v="100652941.66"/>
    <s v="THB"/>
    <n v="1"/>
  </r>
  <r>
    <x v="0"/>
    <x v="1"/>
    <x v="1"/>
    <x v="6"/>
    <x v="0"/>
    <x v="194"/>
    <m/>
    <s v="KKP"/>
    <s v="LISTED"/>
    <s v="BANKING"/>
    <s v="A-"/>
    <m/>
    <m/>
    <d v="2019-01-16T00:00:00"/>
    <m/>
    <m/>
    <m/>
    <n v="1"/>
    <m/>
    <n v="-11098190"/>
    <m/>
    <n v="0"/>
    <n v="0"/>
    <n v="0"/>
    <m/>
    <n v="0"/>
    <n v="0"/>
    <n v="-5.1359700000000002E-5"/>
    <s v="FWUSDTHB19116B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ICBCD16119"/>
    <n v="16000"/>
    <b v="0"/>
    <s v=" "/>
    <s v=" "/>
    <s v=" "/>
    <b v="0"/>
    <b v="0"/>
    <m/>
    <m/>
    <s v=" "/>
    <n v="-30760416.670000002"/>
    <n v="11098190"/>
    <s v="CD12MICBCD16119"/>
    <n v="30760416.670000002"/>
    <s v="THB"/>
    <n v="1"/>
  </r>
  <r>
    <x v="0"/>
    <x v="1"/>
    <x v="1"/>
    <x v="6"/>
    <x v="0"/>
    <x v="195"/>
    <m/>
    <s v="KKP"/>
    <s v="LISTED"/>
    <s v="BANKING"/>
    <s v="A-"/>
    <m/>
    <m/>
    <d v="2019-02-08T00:00:00"/>
    <m/>
    <m/>
    <m/>
    <n v="1"/>
    <m/>
    <n v="-45879624.899999999"/>
    <m/>
    <n v="0"/>
    <n v="0"/>
    <n v="0"/>
    <m/>
    <n v="0"/>
    <n v="0"/>
    <n v="-2.1231970000000001E-4"/>
    <s v="FWUSDTHB19208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ICBCSE08219"/>
    <n v="16000"/>
    <b v="0"/>
    <s v=" "/>
    <s v=" "/>
    <s v=" "/>
    <b v="0"/>
    <b v="0"/>
    <m/>
    <m/>
    <s v=" "/>
    <n v="-51415555.560000002"/>
    <n v="45879624.899999999"/>
    <s v="CD1YICBCSE08219"/>
    <n v="51415555.560000002"/>
    <s v="THB"/>
    <n v="1"/>
  </r>
  <r>
    <x v="0"/>
    <x v="1"/>
    <x v="1"/>
    <x v="6"/>
    <x v="0"/>
    <x v="196"/>
    <m/>
    <s v="KKP"/>
    <s v="LISTED"/>
    <s v="BANKING"/>
    <s v="A-"/>
    <m/>
    <m/>
    <d v="2019-03-07T00:00:00"/>
    <m/>
    <m/>
    <m/>
    <n v="1"/>
    <m/>
    <n v="-113097792.22"/>
    <m/>
    <n v="0"/>
    <n v="0"/>
    <n v="0"/>
    <m/>
    <n v="0"/>
    <n v="0"/>
    <n v="-5.2338890000000005E-4"/>
    <s v="FWUSDTHB19307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70319"/>
    <n v="16000"/>
    <b v="0"/>
    <s v=" "/>
    <s v=" "/>
    <s v=" "/>
    <b v="0"/>
    <b v="0"/>
    <m/>
    <m/>
    <s v=" "/>
    <n v="-102970694.44"/>
    <n v="113097792.22"/>
    <s v="EMTNMASQ070319"/>
    <n v="102970694.44"/>
    <s v="THB"/>
    <n v="1"/>
  </r>
  <r>
    <x v="0"/>
    <x v="1"/>
    <x v="1"/>
    <x v="6"/>
    <x v="0"/>
    <x v="197"/>
    <m/>
    <s v="SCB"/>
    <s v="LISTED"/>
    <s v="BANKING"/>
    <s v="AA+(tha)"/>
    <m/>
    <m/>
    <d v="2019-04-09T00:00:00"/>
    <m/>
    <m/>
    <m/>
    <n v="1"/>
    <m/>
    <n v="-139689716.74000001"/>
    <m/>
    <n v="0"/>
    <n v="0"/>
    <n v="0"/>
    <m/>
    <n v="0"/>
    <n v="0"/>
    <n v="-6.4644979999999995E-4"/>
    <s v="FWUSDTHB1940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90419"/>
    <n v="52000"/>
    <b v="0"/>
    <s v=" "/>
    <s v=" "/>
    <s v=" "/>
    <b v="0"/>
    <b v="0"/>
    <m/>
    <m/>
    <s v=" "/>
    <n v="-103203890"/>
    <n v="139689716.74000001"/>
    <s v="EMTNMASQ090419"/>
    <n v="103203890"/>
    <s v="THB"/>
    <n v="1"/>
  </r>
  <r>
    <x v="0"/>
    <x v="1"/>
    <x v="1"/>
    <x v="6"/>
    <x v="0"/>
    <x v="198"/>
    <m/>
    <s v="KKP"/>
    <s v="LISTED"/>
    <s v="BANKING"/>
    <s v="A-"/>
    <m/>
    <m/>
    <d v="2019-04-26T00:00:00"/>
    <m/>
    <m/>
    <m/>
    <n v="1"/>
    <m/>
    <n v="-67454264.400000006"/>
    <m/>
    <n v="0"/>
    <n v="0"/>
    <n v="0"/>
    <m/>
    <n v="0"/>
    <n v="0"/>
    <n v="-3.1216179999999998E-4"/>
    <s v="FWUSDTHB19426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60419"/>
    <n v="16000"/>
    <b v="0"/>
    <s v=" "/>
    <s v=" "/>
    <s v=" "/>
    <b v="0"/>
    <b v="0"/>
    <m/>
    <m/>
    <s v=" "/>
    <n v="-61928416.670000002"/>
    <n v="67454264.400000006"/>
    <s v="F12MABCHK260419"/>
    <n v="61928416.670000002"/>
    <s v="THB"/>
    <n v="1"/>
  </r>
  <r>
    <x v="0"/>
    <x v="1"/>
    <x v="1"/>
    <x v="6"/>
    <x v="0"/>
    <x v="199"/>
    <m/>
    <s v="SCB"/>
    <s v="LISTED"/>
    <s v="BANKING"/>
    <s v="AA+(tha)"/>
    <m/>
    <m/>
    <d v="2019-05-08T00:00:00"/>
    <m/>
    <m/>
    <m/>
    <n v="1"/>
    <m/>
    <n v="-69870223.650000006"/>
    <m/>
    <n v="0"/>
    <n v="0"/>
    <n v="0"/>
    <m/>
    <n v="0"/>
    <n v="0"/>
    <n v="-3.233423E-4"/>
    <s v="FWUSDTHB1950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80519"/>
    <n v="52000"/>
    <b v="0"/>
    <s v=" "/>
    <s v=" "/>
    <s v=" "/>
    <b v="0"/>
    <b v="0"/>
    <m/>
    <m/>
    <s v=" "/>
    <n v="-82660444"/>
    <n v="69870223.650000006"/>
    <s v="EMTNMASQ080519"/>
    <n v="82660444"/>
    <s v="THB"/>
    <n v="1"/>
  </r>
  <r>
    <x v="0"/>
    <x v="1"/>
    <x v="1"/>
    <x v="6"/>
    <x v="0"/>
    <x v="200"/>
    <m/>
    <s v="SCB"/>
    <s v="LISTED"/>
    <s v="BANKING"/>
    <s v="AA+(tha)"/>
    <m/>
    <m/>
    <d v="2019-05-13T00:00:00"/>
    <m/>
    <m/>
    <m/>
    <n v="1"/>
    <m/>
    <n v="-54991691.920000002"/>
    <m/>
    <n v="0"/>
    <n v="0"/>
    <n v="0"/>
    <m/>
    <n v="0"/>
    <n v="0"/>
    <n v="-2.5448810000000001E-4"/>
    <s v="FWUSDTHB19513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130519"/>
    <n v="52000"/>
    <b v="0"/>
    <s v=" "/>
    <s v=" "/>
    <s v=" "/>
    <b v="0"/>
    <b v="0"/>
    <m/>
    <m/>
    <s v=" "/>
    <n v="-82698666.670000002"/>
    <n v="54991691.920000002"/>
    <s v="EMTNMASQ130519"/>
    <n v="82698666.670000002"/>
    <s v="THB"/>
    <n v="1"/>
  </r>
  <r>
    <x v="0"/>
    <x v="1"/>
    <x v="1"/>
    <x v="6"/>
    <x v="0"/>
    <x v="201"/>
    <m/>
    <s v="KKP"/>
    <s v="LISTED"/>
    <s v="BANKING"/>
    <s v="A-"/>
    <m/>
    <m/>
    <d v="2019-06-25T00:00:00"/>
    <m/>
    <m/>
    <m/>
    <n v="1"/>
    <m/>
    <n v="44070985.700000003"/>
    <m/>
    <n v="0"/>
    <n v="0"/>
    <n v="0"/>
    <m/>
    <n v="0"/>
    <n v="0"/>
    <n v="2.039497E-4"/>
    <s v="FWUSDTHB19625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50619"/>
    <n v="16000"/>
    <b v="0"/>
    <s v=" "/>
    <s v=" "/>
    <s v=" "/>
    <b v="0"/>
    <b v="0"/>
    <m/>
    <m/>
    <s v=" "/>
    <n v="-87861194.439999998"/>
    <n v="-44070985.700000003"/>
    <s v="F12MABCHK250619"/>
    <n v="87861194.439999998"/>
    <s v="THB"/>
    <n v="1"/>
  </r>
  <r>
    <x v="0"/>
    <x v="1"/>
    <x v="1"/>
    <x v="6"/>
    <x v="0"/>
    <x v="202"/>
    <m/>
    <s v="SCB"/>
    <s v="LISTED"/>
    <s v="BANKING"/>
    <s v="AA+(tha)"/>
    <m/>
    <m/>
    <d v="2019-06-28T00:00:00"/>
    <m/>
    <m/>
    <m/>
    <n v="1"/>
    <m/>
    <n v="46232342.049999997"/>
    <m/>
    <n v="0"/>
    <n v="0"/>
    <n v="0"/>
    <m/>
    <n v="0"/>
    <n v="0"/>
    <n v="2.13952E-4"/>
    <s v="FWUSDTHB196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280619"/>
    <n v="52000"/>
    <b v="0"/>
    <s v=" "/>
    <s v=" "/>
    <s v=" "/>
    <b v="0"/>
    <b v="0"/>
    <m/>
    <m/>
    <s v=" "/>
    <n v="-87930138.890000001"/>
    <n v="-46232342.049999997"/>
    <s v="F12MBOCMC280619"/>
    <n v="87930138.890000001"/>
    <s v="THB"/>
    <n v="1"/>
  </r>
  <r>
    <x v="0"/>
    <x v="1"/>
    <x v="1"/>
    <x v="6"/>
    <x v="0"/>
    <x v="203"/>
    <m/>
    <s v="SCB"/>
    <s v="LISTED"/>
    <s v="BANKING"/>
    <s v="AA+(tha)"/>
    <m/>
    <m/>
    <d v="2019-10-01T00:00:00"/>
    <m/>
    <m/>
    <m/>
    <n v="1"/>
    <m/>
    <n v="1629809.62"/>
    <m/>
    <n v="0"/>
    <n v="0"/>
    <n v="0"/>
    <m/>
    <n v="0"/>
    <n v="0"/>
    <n v="7.5424E-6"/>
    <s v="FWUSDTHB19O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11019"/>
    <n v="52000"/>
    <b v="0"/>
    <s v=" "/>
    <s v=" "/>
    <s v=" "/>
    <b v="0"/>
    <b v="0"/>
    <m/>
    <m/>
    <s v=" "/>
    <n v="-93153500"/>
    <n v="-1629809.62"/>
    <s v="F12MUNB011019"/>
    <n v="93153500"/>
    <s v="THB"/>
    <n v="1"/>
  </r>
  <r>
    <x v="0"/>
    <x v="1"/>
    <x v="1"/>
    <x v="6"/>
    <x v="0"/>
    <x v="204"/>
    <m/>
    <s v="SCB"/>
    <s v="LISTED"/>
    <s v="BANKING"/>
    <s v="AA+(tha)"/>
    <m/>
    <m/>
    <d v="2019-10-02T00:00:00"/>
    <m/>
    <m/>
    <m/>
    <n v="1"/>
    <m/>
    <n v="10126362.949999999"/>
    <m/>
    <n v="0"/>
    <n v="0"/>
    <n v="0"/>
    <m/>
    <n v="0"/>
    <n v="0"/>
    <n v="4.68623E-5"/>
    <s v="FWUSDTHB19O02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21019a"/>
    <n v="52000"/>
    <b v="0"/>
    <s v=" "/>
    <s v=" "/>
    <s v=" "/>
    <b v="0"/>
    <b v="0"/>
    <m/>
    <m/>
    <s v=" "/>
    <n v="-93153500"/>
    <n v="-10126362.949999999"/>
    <s v="F12MUNB021019a"/>
    <n v="93153500"/>
    <s v="THB"/>
    <n v="1"/>
  </r>
  <r>
    <x v="0"/>
    <x v="1"/>
    <x v="2"/>
    <x v="7"/>
    <x v="1"/>
    <x v="5"/>
    <m/>
    <m/>
    <m/>
    <m/>
    <m/>
    <m/>
    <m/>
    <m/>
    <m/>
    <m/>
    <m/>
    <n v="0"/>
    <n v="0"/>
    <n v="4093829.41"/>
    <m/>
    <n v="4093829.41"/>
    <n v="0"/>
    <m/>
    <m/>
    <n v="24"/>
    <n v="0"/>
    <n v="1.8945199999999999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7"/>
    <x v="8"/>
    <x v="5"/>
    <m/>
    <m/>
    <m/>
    <m/>
    <m/>
    <m/>
    <m/>
    <m/>
    <m/>
    <m/>
    <m/>
    <n v="0"/>
    <n v="0"/>
    <n v="2384466.21"/>
    <m/>
    <n v="2384466.21"/>
    <n v="0"/>
    <m/>
    <m/>
    <n v="24"/>
    <n v="0"/>
    <n v="1.10347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16"/>
    <x v="9"/>
    <x v="205"/>
    <m/>
    <s v="SCBAM"/>
    <s v="UNLISTED"/>
    <s v="UNIT TRUST"/>
    <m/>
    <m/>
    <m/>
    <m/>
    <m/>
    <m/>
    <m/>
    <m/>
    <n v="0"/>
    <n v="1279.9000000000001"/>
    <m/>
    <n v="1279.9000000000001"/>
    <n v="0"/>
    <n v="0"/>
    <m/>
    <n v="0"/>
    <n v="0"/>
    <n v="5.8999999999999999E-9"/>
    <s v="UNSETTLE AMOR."/>
    <m/>
    <s v="ADJ."/>
    <m/>
    <m/>
    <s v="Cash Bal"/>
    <s v="SCBAM"/>
    <s v="Cash Balance"/>
    <s v="A/R"/>
    <m/>
    <s v=" "/>
    <s v=" "/>
    <s v=" "/>
    <s v=" "/>
    <s v="THB"/>
    <s v=" "/>
    <s v=" "/>
    <s v=" "/>
    <s v="Liquid"/>
    <s v=" "/>
    <m/>
    <m/>
    <s v="SCB Asset Mangment Co.,Ltd."/>
    <s v="บลจ. ไทยพาณิชย์ จำกัด"/>
    <s v="UNLISTED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0"/>
    <b v="0"/>
    <s v=" "/>
    <s v=" "/>
    <s v=" "/>
    <b v="0"/>
    <b v="0"/>
    <m/>
    <m/>
    <s v=" "/>
    <m/>
    <m/>
    <m/>
    <m/>
    <m/>
    <m/>
  </r>
  <r>
    <x v="0"/>
    <x v="1"/>
    <x v="3"/>
    <x v="8"/>
    <x v="1"/>
    <x v="123"/>
    <m/>
    <m/>
    <m/>
    <m/>
    <m/>
    <m/>
    <m/>
    <m/>
    <m/>
    <m/>
    <m/>
    <n v="0"/>
    <n v="99.912623999999994"/>
    <n v="-46958933.280000001"/>
    <m/>
    <n v="-46958933.280000001"/>
    <m/>
    <m/>
    <m/>
    <n v="7"/>
    <n v="0"/>
    <n v="-2.173144E-4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3"/>
    <x v="8"/>
    <x v="1"/>
    <x v="38"/>
    <m/>
    <m/>
    <m/>
    <m/>
    <m/>
    <m/>
    <m/>
    <m/>
    <m/>
    <m/>
    <m/>
    <n v="0"/>
    <n v="99.912623999999994"/>
    <n v="-24978156"/>
    <m/>
    <n v="-24978156"/>
    <m/>
    <m/>
    <m/>
    <n v="7"/>
    <n v="0"/>
    <n v="-1.155928E-4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3"/>
    <x v="8"/>
    <x v="1"/>
    <x v="39"/>
    <m/>
    <m/>
    <m/>
    <m/>
    <m/>
    <m/>
    <m/>
    <m/>
    <m/>
    <m/>
    <m/>
    <n v="0"/>
    <n v="99.889978999999997"/>
    <n v="-61931786.840000004"/>
    <m/>
    <n v="-61931786.840000004"/>
    <m/>
    <m/>
    <m/>
    <n v="7"/>
    <n v="0"/>
    <n v="-2.8660509999999998E-4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3"/>
    <x v="8"/>
    <x v="1"/>
    <x v="124"/>
    <m/>
    <m/>
    <m/>
    <m/>
    <m/>
    <m/>
    <m/>
    <m/>
    <m/>
    <m/>
    <m/>
    <n v="0"/>
    <n v="99.864976999999996"/>
    <n v="-72901433.209999993"/>
    <m/>
    <n v="-72901433.209999993"/>
    <m/>
    <m/>
    <m/>
    <n v="7"/>
    <n v="0"/>
    <n v="-3.3736999999999998E-4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3"/>
    <x v="8"/>
    <x v="1"/>
    <x v="41"/>
    <m/>
    <m/>
    <m/>
    <m/>
    <m/>
    <m/>
    <m/>
    <m/>
    <m/>
    <m/>
    <m/>
    <n v="0"/>
    <n v="99.864976999999996"/>
    <n v="-18974345.629999999"/>
    <m/>
    <n v="-18974345.629999999"/>
    <m/>
    <m/>
    <m/>
    <n v="7"/>
    <n v="0"/>
    <n v="-8.7808599999999998E-5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3"/>
    <x v="8"/>
    <x v="1"/>
    <x v="49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1"/>
    <x v="50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3"/>
    <x v="8"/>
    <x v="1"/>
    <x v="125"/>
    <m/>
    <m/>
    <m/>
    <m/>
    <m/>
    <m/>
    <m/>
    <m/>
    <m/>
    <m/>
    <m/>
    <n v="0"/>
    <n v="99.963483999999994"/>
    <n v="-2772987059.8000002"/>
    <m/>
    <n v="-2772987059.8000002"/>
    <m/>
    <m/>
    <m/>
    <n v="7"/>
    <n v="0"/>
    <n v="-1.2832705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1"/>
    <x v="53"/>
    <m/>
    <m/>
    <m/>
    <m/>
    <m/>
    <m/>
    <m/>
    <m/>
    <m/>
    <m/>
    <m/>
    <n v="0"/>
    <n v="99.933879000000005"/>
    <n v="-129914042.7"/>
    <m/>
    <n v="-129914042.7"/>
    <m/>
    <m/>
    <m/>
    <n v="7"/>
    <n v="0"/>
    <n v="-6.0121040000000005E-4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3"/>
    <x v="8"/>
    <x v="1"/>
    <x v="126"/>
    <m/>
    <m/>
    <m/>
    <m/>
    <m/>
    <m/>
    <m/>
    <m/>
    <m/>
    <m/>
    <m/>
    <n v="0"/>
    <n v="99.628932000000006"/>
    <n v="-301875662.52999997"/>
    <m/>
    <n v="-301875662.52999997"/>
    <m/>
    <m/>
    <m/>
    <n v="7"/>
    <n v="0"/>
    <n v="-1.3970066000000001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3"/>
    <x v="8"/>
    <x v="1"/>
    <x v="55"/>
    <m/>
    <m/>
    <m/>
    <m/>
    <m/>
    <m/>
    <m/>
    <m/>
    <m/>
    <m/>
    <m/>
    <n v="0"/>
    <n v="99.629741999999993"/>
    <n v="-6394236863.75"/>
    <m/>
    <n v="-6394236863.75"/>
    <m/>
    <m/>
    <m/>
    <n v="7"/>
    <n v="0"/>
    <n v="-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2"/>
    <x v="49"/>
    <m/>
    <m/>
    <m/>
    <m/>
    <m/>
    <m/>
    <m/>
    <m/>
    <m/>
    <m/>
    <m/>
    <n v="0"/>
    <n v="99.981263999999996"/>
    <n v="-23995503.359999999"/>
    <m/>
    <n v="-23995503.359999999"/>
    <m/>
    <m/>
    <m/>
    <n v="7"/>
    <n v="0"/>
    <n v="-1.110453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2"/>
    <x v="52"/>
    <m/>
    <m/>
    <m/>
    <m/>
    <m/>
    <m/>
    <m/>
    <m/>
    <m/>
    <m/>
    <m/>
    <n v="0"/>
    <n v="99.959413999999995"/>
    <n v="-16993100.379999999"/>
    <m/>
    <n v="-16993100.379999999"/>
    <m/>
    <m/>
    <m/>
    <n v="7"/>
    <n v="0"/>
    <n v="-7.8639899999999999E-5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3958.99"/>
    <m/>
    <m/>
    <m/>
    <m/>
    <m/>
    <n v="0"/>
    <n v="0"/>
    <n v="-1.1089999999999999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55000"/>
    <m/>
    <m/>
    <m/>
    <m/>
    <m/>
    <n v="0"/>
    <n v="0"/>
    <n v="-1.1800999999999999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10000"/>
    <m/>
    <m/>
    <m/>
    <m/>
    <m/>
    <n v="0"/>
    <n v="0"/>
    <n v="-4.62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0"/>
    <x v="0"/>
    <x v="68"/>
    <m/>
    <m/>
    <m/>
    <m/>
    <m/>
    <m/>
    <m/>
    <m/>
    <m/>
    <m/>
    <m/>
    <m/>
    <m/>
    <n v="-2151301.63"/>
    <n v="0"/>
    <m/>
    <m/>
    <m/>
    <m/>
    <n v="0"/>
    <n v="0"/>
    <n v="-9.9557000000000002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182.17"/>
    <m/>
    <m/>
    <m/>
    <m/>
    <m/>
    <n v="0"/>
    <n v="0"/>
    <n v="-1.93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24.95"/>
    <m/>
    <m/>
    <m/>
    <m/>
    <m/>
    <n v="0"/>
    <n v="0"/>
    <n v="-2.0000000000000001E-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4"/>
    <x v="7"/>
    <x v="68"/>
    <m/>
    <m/>
    <m/>
    <m/>
    <m/>
    <m/>
    <m/>
    <m/>
    <m/>
    <m/>
    <m/>
    <m/>
    <m/>
    <n v="-3691405.22"/>
    <m/>
    <n v="-3691405.22"/>
    <m/>
    <m/>
    <m/>
    <n v="0"/>
    <n v="0"/>
    <n v="-1.7082899999999999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3"/>
    <x v="6"/>
    <x v="68"/>
    <m/>
    <m/>
    <m/>
    <m/>
    <m/>
    <m/>
    <m/>
    <m/>
    <m/>
    <m/>
    <m/>
    <m/>
    <m/>
    <n v="-75526589.790000007"/>
    <m/>
    <n v="-75526589.790000007"/>
    <m/>
    <m/>
    <m/>
    <n v="0"/>
    <n v="0"/>
    <n v="-3.4951859999999998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4"/>
    <x v="7"/>
    <x v="68"/>
    <m/>
    <m/>
    <m/>
    <m/>
    <m/>
    <m/>
    <m/>
    <m/>
    <m/>
    <m/>
    <m/>
    <m/>
    <m/>
    <n v="-110857.09"/>
    <m/>
    <n v="-110857.09"/>
    <m/>
    <m/>
    <m/>
    <n v="0"/>
    <n v="0"/>
    <n v="-5.13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3"/>
    <x v="6"/>
    <x v="68"/>
    <m/>
    <m/>
    <m/>
    <m/>
    <m/>
    <m/>
    <m/>
    <m/>
    <m/>
    <m/>
    <m/>
    <m/>
    <m/>
    <n v="-2323243.7400000002"/>
    <m/>
    <n v="-2323243.7400000002"/>
    <m/>
    <m/>
    <m/>
    <n v="0"/>
    <n v="0"/>
    <n v="-1.07514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2"/>
    <x v="0"/>
    <x v="0"/>
    <x v="0"/>
    <x v="5"/>
    <m/>
    <s v="KBANK"/>
    <m/>
    <s v="BANKING"/>
    <m/>
    <m/>
    <m/>
    <m/>
    <m/>
    <m/>
    <m/>
    <m/>
    <m/>
    <n v="2361430.83"/>
    <n v="5778.85"/>
    <n v="2361430.83"/>
    <n v="0"/>
    <n v="0"/>
    <m/>
    <n v="2361430.83"/>
    <n v="0"/>
    <n v="6.1654549999999998E-4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2"/>
    <x v="0"/>
    <x v="1"/>
    <x v="0"/>
    <x v="206"/>
    <m/>
    <s v="GHB"/>
    <s v="SPECIALIZE F.I."/>
    <s v="BANKING"/>
    <s v="AAA(tha)"/>
    <m/>
    <m/>
    <d v="2019-04-09T00:00:00"/>
    <n v="188"/>
    <n v="1.5"/>
    <m/>
    <m/>
    <m/>
    <n v="60000000"/>
    <n v="438904.11"/>
    <n v="60000000"/>
    <n v="0.51114800000000005"/>
    <n v="60000000"/>
    <m/>
    <n v="60000000"/>
    <n v="1.5"/>
    <n v="1.5741458999999999E-2"/>
    <s v="F12MGHB0904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199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2"/>
    <x v="0"/>
    <x v="1"/>
    <x v="0"/>
    <x v="17"/>
    <m/>
    <s v="GHB"/>
    <s v="SPECIALIZE F.I."/>
    <s v="BANKING"/>
    <s v="AAA(tha)"/>
    <m/>
    <m/>
    <d v="2019-08-09T00:00:00"/>
    <n v="310"/>
    <n v="1.7"/>
    <m/>
    <m/>
    <m/>
    <n v="20000000"/>
    <n v="52164.38"/>
    <n v="20000000"/>
    <n v="0.83725700000000003"/>
    <n v="20000000"/>
    <m/>
    <n v="20000000"/>
    <n v="1.7"/>
    <n v="5.2226347999999997E-3"/>
    <s v="F12MGHB09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21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2"/>
    <x v="0"/>
    <x v="1"/>
    <x v="0"/>
    <x v="18"/>
    <m/>
    <s v="GHB"/>
    <s v="SPECIALIZE F.I."/>
    <s v="BANKING"/>
    <s v="AAA(tha)"/>
    <m/>
    <m/>
    <d v="2018-12-14T00:00:00"/>
    <n v="72"/>
    <n v="1.6"/>
    <m/>
    <m/>
    <m/>
    <n v="50000000"/>
    <n v="644383.56000000006"/>
    <n v="50000000"/>
    <n v="0.19664000000000001"/>
    <n v="50000000"/>
    <m/>
    <n v="50000000"/>
    <n v="1.6"/>
    <n v="1.31904524E-2"/>
    <s v="F12MGHB141218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083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2"/>
    <x v="0"/>
    <x v="1"/>
    <x v="0"/>
    <x v="21"/>
    <m/>
    <s v="GHB"/>
    <s v="SPECIALIZE F.I."/>
    <s v="BANKING"/>
    <s v="AAA(tha)"/>
    <m/>
    <m/>
    <d v="2019-01-18T00:00:00"/>
    <n v="107"/>
    <n v="1.6"/>
    <m/>
    <m/>
    <m/>
    <n v="50000000"/>
    <n v="567671.23"/>
    <n v="50000000"/>
    <n v="0.29178199999999999"/>
    <n v="50000000"/>
    <m/>
    <n v="50000000"/>
    <n v="1.6"/>
    <n v="1.3170472500000001E-2"/>
    <s v="F12MGHB18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118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2"/>
    <x v="0"/>
    <x v="1"/>
    <x v="0"/>
    <x v="96"/>
    <m/>
    <s v="GHB"/>
    <s v="SPECIALIZE F.I."/>
    <s v="BANKING"/>
    <s v="AAA(tha)"/>
    <m/>
    <m/>
    <d v="2019-07-26T00:00:00"/>
    <n v="296"/>
    <n v="1.7"/>
    <m/>
    <m/>
    <m/>
    <n v="30000000"/>
    <n v="97808.22"/>
    <n v="30000000"/>
    <n v="0.79996599999999995"/>
    <n v="30000000"/>
    <m/>
    <n v="30000000"/>
    <n v="1.7"/>
    <n v="7.8390470999999996E-3"/>
    <s v="F12MGHB2607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07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2"/>
    <x v="0"/>
    <x v="1"/>
    <x v="0"/>
    <x v="207"/>
    <m/>
    <s v="UOBT"/>
    <s v="UNLISTED"/>
    <s v="BANKING"/>
    <s v="AAA(tha)"/>
    <m/>
    <m/>
    <d v="2020-12-31T00:00:00"/>
    <n v="820"/>
    <n v="0.85"/>
    <m/>
    <m/>
    <m/>
    <n v="18275021.050000001"/>
    <n v="45670.080000000002"/>
    <n v="18275021.050000001"/>
    <n v="0"/>
    <n v="18275021.050000001"/>
    <m/>
    <n v="18275021.050000001"/>
    <n v="0"/>
    <n v="4.7716683999999999E-3"/>
    <s v="INVSUOBTtmf"/>
    <m/>
    <s v="INV.SAVING"/>
    <s v="เงินฝากออมทรัพย์ ธ.ยูโอบี จำกัด (มหาชน)"/>
    <m/>
    <s v="Bond"/>
    <s v="UOBT"/>
    <s v="SAVING U"/>
    <s v="CASH"/>
    <s v="INVEST SAVING"/>
    <s v="*BOND"/>
    <m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0212"/>
    <s v=" "/>
    <s v="THAILAND"/>
    <s v="THAILAND"/>
    <s v="TH"/>
    <s v=" "/>
    <n v="17000"/>
    <b v="1"/>
    <s v=" "/>
    <s v="SINGAPORE"/>
    <s v="SG"/>
    <b v="0"/>
    <b v="0"/>
    <m/>
    <m/>
    <s v=" "/>
    <m/>
    <m/>
    <m/>
    <m/>
    <m/>
    <m/>
  </r>
  <r>
    <x v="0"/>
    <x v="2"/>
    <x v="0"/>
    <x v="4"/>
    <x v="0"/>
    <x v="35"/>
    <m/>
    <s v="BOT"/>
    <m/>
    <s v="GOVERNMENT"/>
    <m/>
    <m/>
    <m/>
    <d v="2018-12-06T00:00:00"/>
    <n v="64"/>
    <m/>
    <n v="1.3"/>
    <m/>
    <m/>
    <n v="149664178.5"/>
    <m/>
    <n v="149653198.5"/>
    <n v="0.17222399999999999"/>
    <n v="150000000"/>
    <m/>
    <n v="149499579.34999999"/>
    <n v="1.3426"/>
    <n v="3.8980397799999997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2"/>
    <x v="0"/>
    <x v="4"/>
    <x v="0"/>
    <x v="36"/>
    <m/>
    <s v="BOT"/>
    <m/>
    <s v="GOVERNMENT"/>
    <m/>
    <m/>
    <m/>
    <d v="2018-12-13T00:00:00"/>
    <n v="71"/>
    <m/>
    <n v="1.1525000000000001"/>
    <m/>
    <m/>
    <n v="119735352"/>
    <m/>
    <n v="119732716.8"/>
    <n v="0.19130800000000001"/>
    <n v="120000000"/>
    <m/>
    <n v="119652764.75"/>
    <n v="1.1639999999999999"/>
    <n v="3.1185362500000001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2"/>
    <x v="0"/>
    <x v="4"/>
    <x v="0"/>
    <x v="37"/>
    <m/>
    <s v="BOT"/>
    <m/>
    <s v="GOVERNMENT"/>
    <m/>
    <m/>
    <m/>
    <d v="2018-12-20T00:00:00"/>
    <n v="78"/>
    <m/>
    <n v="1.2549999999999999"/>
    <m/>
    <m/>
    <n v="200469251.46000001"/>
    <m/>
    <n v="200418050.72999999"/>
    <n v="0.21034700000000001"/>
    <n v="201000000"/>
    <m/>
    <n v="200314829.05000001"/>
    <n v="1.3764179999999999"/>
    <n v="5.2212702100000001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2"/>
    <x v="0"/>
    <x v="4"/>
    <x v="0"/>
    <x v="122"/>
    <m/>
    <s v="BOT"/>
    <m/>
    <s v="GOVERNMENT"/>
    <m/>
    <m/>
    <m/>
    <d v="2018-12-27T00:00:00"/>
    <n v="85"/>
    <m/>
    <n v="1.38"/>
    <m/>
    <m/>
    <n v="99683416"/>
    <m/>
    <n v="99657353"/>
    <n v="0.229406"/>
    <n v="100000000"/>
    <m/>
    <n v="99628906"/>
    <n v="1.494"/>
    <n v="2.59627872E-2"/>
    <s v="CB18D27B"/>
    <m/>
    <s v="Bank of Thailand Bond"/>
    <s v="พันธบัตรธนาคารแห่งประเทศไทยงวดที่ 39/91/61"/>
    <s v="พันธบัตรธนาคารแห่งประเทศไทยงวดที่ 3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70"/>
    <s v=" "/>
    <s v="THAILAND"/>
    <s v="THAILAND"/>
    <s v="TH"/>
    <s v=" "/>
    <n v="0"/>
    <b v="0"/>
    <s v="TRANSFERABLE"/>
    <s v=" "/>
    <s v=" "/>
    <b v="0"/>
    <b v="0"/>
    <m/>
    <m/>
    <s v="TH0655H7SC88"/>
    <m/>
    <m/>
    <m/>
    <m/>
    <m/>
    <m/>
  </r>
  <r>
    <x v="0"/>
    <x v="2"/>
    <x v="0"/>
    <x v="4"/>
    <x v="0"/>
    <x v="123"/>
    <m/>
    <s v="BOT"/>
    <m/>
    <s v="GOVERNMENT"/>
    <m/>
    <m/>
    <m/>
    <d v="2018-11-01T00:00:00"/>
    <n v="29"/>
    <m/>
    <n v="1.125"/>
    <m/>
    <m/>
    <n v="59948263.799999997"/>
    <m/>
    <n v="59948263.799999997"/>
    <n v="7.6644000000000004E-2"/>
    <n v="60000000"/>
    <m/>
    <n v="59918740.200000003"/>
    <n v="1.125"/>
    <n v="1.5613670499999999E-2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2"/>
    <x v="0"/>
    <x v="4"/>
    <x v="0"/>
    <x v="38"/>
    <m/>
    <s v="BOT"/>
    <m/>
    <s v="GOVERNMENT"/>
    <m/>
    <m/>
    <m/>
    <d v="2018-11-01T00:00:00"/>
    <n v="29"/>
    <m/>
    <n v="1.29"/>
    <m/>
    <m/>
    <n v="199802278"/>
    <m/>
    <n v="199801038"/>
    <n v="7.6643000000000003E-2"/>
    <n v="200000000"/>
    <m/>
    <n v="199354818.78999999"/>
    <n v="1.298095"/>
    <n v="5.2038987299999999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2"/>
    <x v="0"/>
    <x v="4"/>
    <x v="0"/>
    <x v="39"/>
    <m/>
    <s v="BOT"/>
    <m/>
    <s v="GOVERNMENT"/>
    <m/>
    <m/>
    <m/>
    <d v="2018-11-08T00:00:00"/>
    <n v="36"/>
    <m/>
    <n v="1.2649999999999999"/>
    <m/>
    <m/>
    <n v="19975769.199999999"/>
    <m/>
    <n v="19975769.199999999"/>
    <n v="9.5782000000000006E-2"/>
    <n v="20000000"/>
    <m/>
    <n v="19942633.600000001"/>
    <n v="1.2649999999999999"/>
    <n v="5.2027375000000004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2"/>
    <x v="0"/>
    <x v="4"/>
    <x v="0"/>
    <x v="40"/>
    <m/>
    <s v="BOT"/>
    <m/>
    <s v="GOVERNMENT"/>
    <m/>
    <m/>
    <m/>
    <d v="2018-11-08T00:00:00"/>
    <n v="36"/>
    <m/>
    <n v="1.255833"/>
    <m/>
    <m/>
    <n v="239711332.80000001"/>
    <m/>
    <n v="239709693.59999999"/>
    <n v="9.5780000000000004E-2"/>
    <n v="240000000"/>
    <m/>
    <n v="239296017.16"/>
    <n v="1.2629790000000001"/>
    <n v="6.2433397299999999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2"/>
    <x v="0"/>
    <x v="4"/>
    <x v="0"/>
    <x v="41"/>
    <m/>
    <s v="BOT"/>
    <m/>
    <s v="GOVERNMENT"/>
    <m/>
    <m/>
    <m/>
    <d v="2018-11-15T00:00:00"/>
    <n v="43"/>
    <m/>
    <n v="1.2625"/>
    <m/>
    <m/>
    <n v="199709874"/>
    <m/>
    <n v="199709618"/>
    <n v="0.114912"/>
    <n v="200000000"/>
    <m/>
    <n v="199371904.80000001"/>
    <n v="1.2636099999999999"/>
    <n v="5.2014920399999998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2"/>
    <x v="0"/>
    <x v="4"/>
    <x v="0"/>
    <x v="43"/>
    <m/>
    <s v="BOT"/>
    <m/>
    <s v="GOVERNMENT"/>
    <m/>
    <m/>
    <m/>
    <d v="2018-11-22T00:00:00"/>
    <n v="50"/>
    <m/>
    <n v="1.2554689999999999"/>
    <m/>
    <m/>
    <n v="447246199.68000001"/>
    <m/>
    <n v="447238874.88"/>
    <n v="0.13402800000000001"/>
    <n v="448000000"/>
    <m/>
    <n v="446772323.07999998"/>
    <n v="1.267692"/>
    <n v="0.11648635609999999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2"/>
    <x v="0"/>
    <x v="4"/>
    <x v="0"/>
    <x v="44"/>
    <m/>
    <s v="BOT"/>
    <m/>
    <s v="GOVERNMENT"/>
    <m/>
    <m/>
    <m/>
    <d v="2018-11-29T00:00:00"/>
    <n v="57"/>
    <m/>
    <n v="1.0900000000000001"/>
    <m/>
    <m/>
    <n v="69883132.200000003"/>
    <m/>
    <n v="69883132.200000003"/>
    <n v="0.15312899999999999"/>
    <n v="70000000"/>
    <m/>
    <n v="69839407.400000006"/>
    <n v="1.0900000000000001"/>
    <n v="1.82012311E-2"/>
    <s v="CB18N29A"/>
    <m/>
    <s v="Bank of Thailand Bond"/>
    <s v="พันธบัตรธนาคารแห่งประเทศไทยงวดที่ 22/182/61 "/>
    <s v="พันธบัตรธนาคารแห่งประเทศไทยงวดที่ 22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51"/>
    <s v=" "/>
    <s v="THAILAND"/>
    <s v="THAILAND"/>
    <s v="TH"/>
    <s v=" "/>
    <n v="0"/>
    <b v="0"/>
    <s v="TRANSFERABLE"/>
    <s v=" "/>
    <s v=" "/>
    <b v="0"/>
    <b v="0"/>
    <m/>
    <m/>
    <s v="TH0655D7SB88"/>
    <m/>
    <m/>
    <m/>
    <m/>
    <m/>
    <m/>
  </r>
  <r>
    <x v="0"/>
    <x v="2"/>
    <x v="0"/>
    <x v="4"/>
    <x v="0"/>
    <x v="45"/>
    <m/>
    <s v="BOT"/>
    <m/>
    <s v="GOVERNMENT"/>
    <m/>
    <m/>
    <m/>
    <d v="2018-11-29T00:00:00"/>
    <n v="57"/>
    <m/>
    <n v="1.19"/>
    <m/>
    <m/>
    <n v="199635514"/>
    <m/>
    <n v="199619278"/>
    <n v="0.153145"/>
    <n v="200000000"/>
    <m/>
    <n v="199382062.94"/>
    <n v="1.2431099999999999"/>
    <n v="5.1995553200000003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2"/>
    <x v="0"/>
    <x v="4"/>
    <x v="0"/>
    <x v="47"/>
    <m/>
    <s v="BOT"/>
    <m/>
    <s v="GOVERNMENT"/>
    <m/>
    <m/>
    <m/>
    <d v="2018-10-04T00:00:00"/>
    <n v="1"/>
    <m/>
    <n v="1.244167"/>
    <m/>
    <m/>
    <n v="150000000"/>
    <m/>
    <n v="150000000"/>
    <n v="2.7399999999999998E-3"/>
    <n v="150000000"/>
    <m/>
    <n v="149612274.66"/>
    <n v="1.2973870000000001"/>
    <n v="3.9067863299999998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2"/>
    <x v="0"/>
    <x v="4"/>
    <x v="0"/>
    <x v="49"/>
    <m/>
    <s v="BOT"/>
    <m/>
    <s v="GOVERNMENT"/>
    <m/>
    <m/>
    <m/>
    <d v="2018-10-11T00:00:00"/>
    <n v="8"/>
    <m/>
    <n v="1.1421429999999999"/>
    <m/>
    <m/>
    <n v="139969341.40000001"/>
    <m/>
    <n v="139969341.40000001"/>
    <n v="1.9174E-2"/>
    <n v="140000000"/>
    <m/>
    <n v="139811068.40000001"/>
    <n v="1.1421429999999999"/>
    <n v="3.6455354000000002E-2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2"/>
    <x v="0"/>
    <x v="4"/>
    <x v="0"/>
    <x v="50"/>
    <m/>
    <s v="BOT"/>
    <m/>
    <s v="GOVERNMENT"/>
    <m/>
    <m/>
    <m/>
    <d v="2018-10-11T00:00:00"/>
    <n v="8"/>
    <m/>
    <n v="1.252041"/>
    <m/>
    <m/>
    <n v="97976474.120000005"/>
    <m/>
    <n v="97976469.219999999"/>
    <n v="1.9174E-2"/>
    <n v="98000000"/>
    <m/>
    <n v="97818607.939999998"/>
    <n v="1.2522960000000001"/>
    <n v="2.551821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2"/>
    <x v="0"/>
    <x v="4"/>
    <x v="0"/>
    <x v="125"/>
    <m/>
    <s v="BOT"/>
    <m/>
    <s v="GOVERNMENT"/>
    <m/>
    <m/>
    <m/>
    <d v="2018-10-16T00:00:00"/>
    <n v="13"/>
    <m/>
    <n v="1.11304"/>
    <m/>
    <m/>
    <n v="579787836"/>
    <m/>
    <n v="579787836"/>
    <n v="3.2864999999999998E-2"/>
    <n v="580000000"/>
    <m/>
    <n v="579752492.85000002"/>
    <n v="1.11304"/>
    <n v="0.15100714630000001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2"/>
    <x v="0"/>
    <x v="4"/>
    <x v="0"/>
    <x v="51"/>
    <m/>
    <s v="BOT"/>
    <m/>
    <s v="GOVERNMENT"/>
    <m/>
    <m/>
    <m/>
    <d v="2018-10-18T00:00:00"/>
    <n v="15"/>
    <m/>
    <n v="1.1707350000000001"/>
    <m/>
    <m/>
    <n v="271877912.80000001"/>
    <m/>
    <n v="271877912.80000001"/>
    <n v="3.8338999999999998E-2"/>
    <n v="272000000"/>
    <m/>
    <n v="271760455.24000001"/>
    <n v="1.1707350000000001"/>
    <n v="7.0811260900000006E-2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2"/>
    <x v="0"/>
    <x v="4"/>
    <x v="0"/>
    <x v="52"/>
    <m/>
    <s v="BOT"/>
    <m/>
    <s v="GOVERNMENT"/>
    <m/>
    <m/>
    <m/>
    <d v="2018-10-18T00:00:00"/>
    <n v="15"/>
    <m/>
    <n v="1.34"/>
    <m/>
    <m/>
    <n v="164915237.84999999"/>
    <m/>
    <n v="164913139.05000001"/>
    <n v="3.8338999999999998E-2"/>
    <n v="165000000"/>
    <m/>
    <n v="164437030.16"/>
    <n v="1.37321"/>
    <n v="4.2952573199999997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2"/>
    <x v="0"/>
    <x v="4"/>
    <x v="0"/>
    <x v="53"/>
    <m/>
    <s v="BOT"/>
    <m/>
    <s v="GOVERNMENT"/>
    <m/>
    <m/>
    <m/>
    <d v="2018-10-25T00:00:00"/>
    <n v="22"/>
    <m/>
    <n v="1.2273689999999999"/>
    <m/>
    <m/>
    <n v="189865924.59999999"/>
    <m/>
    <n v="189865924.59999999"/>
    <n v="5.7495999999999998E-2"/>
    <n v="190000000"/>
    <m/>
    <n v="189573270.80000001"/>
    <n v="1.227368"/>
    <n v="4.9451040000000002E-2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2"/>
    <x v="0"/>
    <x v="4"/>
    <x v="0"/>
    <x v="55"/>
    <m/>
    <s v="BOT"/>
    <m/>
    <s v="GOVERNMENT"/>
    <m/>
    <m/>
    <m/>
    <d v="2019-01-03T00:00:00"/>
    <n v="92"/>
    <m/>
    <n v="1.4906330000000001"/>
    <m/>
    <m/>
    <n v="149444608.02000001"/>
    <m/>
    <n v="149444608.02000001"/>
    <n v="0.25205499999999997"/>
    <n v="150000000"/>
    <m/>
    <n v="149444608.02000001"/>
    <n v="1.4906330000000001"/>
    <n v="3.8923210200000002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2"/>
    <x v="2"/>
    <x v="17"/>
    <x v="1"/>
    <x v="52"/>
    <m/>
    <m/>
    <m/>
    <m/>
    <m/>
    <m/>
    <m/>
    <m/>
    <m/>
    <m/>
    <m/>
    <n v="0"/>
    <n v="99.956293000000002"/>
    <n v="9995629.3000000007"/>
    <m/>
    <n v="9995629.3000000007"/>
    <m/>
    <m/>
    <m/>
    <n v="7"/>
    <n v="0"/>
    <n v="2.6033859E-3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2"/>
    <x v="3"/>
    <x v="8"/>
    <x v="1"/>
    <x v="55"/>
    <m/>
    <m/>
    <m/>
    <m/>
    <m/>
    <m/>
    <m/>
    <m/>
    <m/>
    <m/>
    <m/>
    <n v="0"/>
    <n v="99.629739000000001"/>
    <n v="-149444608.02000001"/>
    <m/>
    <n v="-149444608.02000001"/>
    <m/>
    <m/>
    <m/>
    <n v="7"/>
    <n v="0"/>
    <n v="-3.8923210200000002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2"/>
    <x v="3"/>
    <x v="9"/>
    <x v="3"/>
    <x v="67"/>
    <m/>
    <m/>
    <m/>
    <m/>
    <m/>
    <m/>
    <m/>
    <m/>
    <m/>
    <m/>
    <m/>
    <m/>
    <m/>
    <n v="-20164.48"/>
    <m/>
    <m/>
    <m/>
    <m/>
    <m/>
    <n v="0"/>
    <n v="0"/>
    <n v="-5.2518999999999996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0"/>
    <x v="0"/>
    <x v="68"/>
    <m/>
    <m/>
    <m/>
    <m/>
    <m/>
    <m/>
    <m/>
    <m/>
    <m/>
    <m/>
    <m/>
    <m/>
    <m/>
    <n v="-76513.100000000006"/>
    <n v="0"/>
    <m/>
    <m/>
    <m/>
    <m/>
    <n v="0"/>
    <n v="0"/>
    <n v="-1.9928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4"/>
    <x v="7"/>
    <x v="68"/>
    <m/>
    <m/>
    <m/>
    <m/>
    <m/>
    <m/>
    <m/>
    <m/>
    <m/>
    <m/>
    <m/>
    <m/>
    <m/>
    <n v="-89723.520000000004"/>
    <m/>
    <n v="-89723.520000000004"/>
    <m/>
    <m/>
    <m/>
    <n v="0"/>
    <n v="0"/>
    <n v="-2.3368699999999999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2"/>
    <x v="5"/>
    <x v="69"/>
    <m/>
    <m/>
    <m/>
    <m/>
    <m/>
    <m/>
    <m/>
    <m/>
    <m/>
    <m/>
    <m/>
    <m/>
    <m/>
    <n v="-4182.17"/>
    <m/>
    <m/>
    <m/>
    <m/>
    <m/>
    <n v="0"/>
    <n v="0"/>
    <n v="-1.0893000000000001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2"/>
    <x v="5"/>
    <x v="69"/>
    <m/>
    <m/>
    <m/>
    <m/>
    <m/>
    <m/>
    <m/>
    <m/>
    <m/>
    <m/>
    <m/>
    <m/>
    <m/>
    <n v="-424.95"/>
    <m/>
    <m/>
    <m/>
    <m/>
    <m/>
    <n v="0"/>
    <n v="0"/>
    <n v="-1.1070000000000001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3"/>
    <x v="6"/>
    <x v="68"/>
    <m/>
    <m/>
    <m/>
    <m/>
    <m/>
    <m/>
    <m/>
    <m/>
    <m/>
    <m/>
    <m/>
    <m/>
    <m/>
    <n v="-2593747.67"/>
    <m/>
    <n v="-2593747.67"/>
    <m/>
    <m/>
    <m/>
    <n v="0"/>
    <n v="0"/>
    <n v="-6.7554789999999996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3"/>
    <x v="11"/>
    <x v="4"/>
    <x v="68"/>
    <m/>
    <m/>
    <m/>
    <m/>
    <m/>
    <m/>
    <m/>
    <m/>
    <m/>
    <m/>
    <m/>
    <m/>
    <m/>
    <n v="0"/>
    <m/>
    <n v="0"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4"/>
    <x v="14"/>
    <x v="7"/>
    <x v="68"/>
    <m/>
    <m/>
    <m/>
    <m/>
    <m/>
    <m/>
    <m/>
    <m/>
    <m/>
    <m/>
    <m/>
    <m/>
    <m/>
    <n v="-2813.92"/>
    <m/>
    <n v="-2813.92"/>
    <m/>
    <m/>
    <m/>
    <n v="0"/>
    <n v="0"/>
    <n v="-7.329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4"/>
    <x v="13"/>
    <x v="6"/>
    <x v="68"/>
    <m/>
    <m/>
    <m/>
    <m/>
    <m/>
    <m/>
    <m/>
    <m/>
    <m/>
    <m/>
    <m/>
    <m/>
    <m/>
    <n v="-81345.490000000005"/>
    <m/>
    <n v="-81345.490000000005"/>
    <m/>
    <m/>
    <m/>
    <n v="0"/>
    <n v="0"/>
    <n v="-2.1186600000000001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2"/>
    <x v="4"/>
    <x v="11"/>
    <x v="4"/>
    <x v="68"/>
    <m/>
    <m/>
    <m/>
    <m/>
    <m/>
    <m/>
    <m/>
    <m/>
    <m/>
    <m/>
    <m/>
    <m/>
    <m/>
    <n v="0"/>
    <m/>
    <n v="0"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"/>
    <s v="SCB TREASURY MONEY OPEN END FUND"/>
    <s v="MTF"/>
    <m/>
    <m/>
    <m/>
    <m/>
    <m/>
    <m/>
    <m/>
    <m/>
    <m/>
    <m/>
    <m/>
    <m/>
    <m/>
    <m/>
    <m/>
    <m/>
    <m/>
    <m/>
    <m/>
    <m/>
    <m/>
    <m/>
  </r>
  <r>
    <x v="0"/>
    <x v="1"/>
    <x v="0"/>
    <x v="1"/>
    <x v="0"/>
    <x v="100"/>
    <m/>
    <s v="ABCHK"/>
    <s v="LISTEDFOREIGN"/>
    <s v="BANKING"/>
    <s v="A"/>
    <m/>
    <m/>
    <d v="2018-10-22T00:00:00"/>
    <n v="19"/>
    <n v="2.36"/>
    <m/>
    <m/>
    <m/>
    <n v="1651680000"/>
    <n v="8116310.2699999996"/>
    <n v="1698400000"/>
    <n v="5.1991000000000002E-2"/>
    <n v="400000000"/>
    <m/>
    <n v="1698400000"/>
    <n v="2.36"/>
    <n v="7.6811309000000003E-3"/>
    <s v="F3MABCHK221018"/>
    <m/>
    <s v="FIXED 3 MONTH AGRICULTURAL BANK OF CHINA (HONGKONG)"/>
    <s v="เงินฝากประจำ 3 เดือน Agricultural Bank of China (HongKong)"/>
    <s v="เงินฝากประจำ 3 เดือน Agricultural Bank of China (HongKong)"/>
    <s v="Bond"/>
    <s v="ABCHK"/>
    <s v="TERM AC365 U"/>
    <s v="CASH"/>
    <m/>
    <s v="BANKING"/>
    <s v=" "/>
    <s v=" "/>
    <s v="NO MARKET"/>
    <s v="HK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1"/>
    <s v=" "/>
    <s v="HONGKONG"/>
    <s v="HONGKONG"/>
    <s v="HK"/>
    <s v=" "/>
    <n v="80000"/>
    <b v="0"/>
    <s v="NONTRANSFERABLE"/>
    <s v=" "/>
    <s v=" "/>
    <b v="0"/>
    <b v="0"/>
    <m/>
    <m/>
    <s v=" "/>
    <n v="1698400000"/>
    <n v="0"/>
    <m/>
    <n v="0"/>
    <s v="HKDbb"/>
    <n v="4.1292"/>
  </r>
  <r>
    <x v="0"/>
    <x v="1"/>
    <x v="0"/>
    <x v="1"/>
    <x v="0"/>
    <x v="101"/>
    <m/>
    <s v="ABCHK"/>
    <s v="LISTEDFOREIGN"/>
    <s v="BANKING"/>
    <s v="A"/>
    <m/>
    <m/>
    <d v="2019-03-12T00:00:00"/>
    <n v="160"/>
    <n v="2.5499999999999998"/>
    <m/>
    <m/>
    <m/>
    <n v="1280052000"/>
    <n v="1788565.81"/>
    <n v="1296265000"/>
    <n v="0.43351699999999999"/>
    <n v="310000000"/>
    <m/>
    <n v="1296265000"/>
    <n v="2.5499999999999998"/>
    <n v="5.9320442000000001E-3"/>
    <s v="F6MABCHK120319"/>
    <m/>
    <s v="FIXED 6 MONTH AGRICULTURAL BANK OF CHINA (HONGKONG)"/>
    <s v="เงินฝากประจำ 6 เดือน Agricultural Bank of China (HongKong)"/>
    <s v="เงินฝากประจำ 6 เดือน Agricultural Bank of China (HongKong)"/>
    <s v="Bond"/>
    <s v="ABCHK"/>
    <s v="TERM AC365 U"/>
    <s v="CASH"/>
    <m/>
    <s v="BANKING"/>
    <s v=" "/>
    <s v=" "/>
    <s v="NO MARKET"/>
    <s v="HKDbb"/>
    <s v=" "/>
    <s v=" "/>
    <s v="P/P"/>
    <s v=" "/>
    <s v="P/N"/>
    <m/>
    <m/>
    <s v="Agricultural Bank of China (HONGKONG)"/>
    <s v="Agricultural Bank of China (HONGKONG)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57"/>
    <s v=" "/>
    <s v="HONGKONG"/>
    <s v="HONGKONG"/>
    <s v="HK"/>
    <s v=" "/>
    <n v="80000"/>
    <b v="0"/>
    <s v="NONTRANSFERABLE"/>
    <s v=" "/>
    <s v=" "/>
    <b v="0"/>
    <b v="0"/>
    <m/>
    <m/>
    <s v=" "/>
    <n v="1296265000"/>
    <n v="0"/>
    <m/>
    <n v="0"/>
    <s v="HKDbb"/>
    <n v="4.1292"/>
  </r>
  <r>
    <x v="0"/>
    <x v="1"/>
    <x v="0"/>
    <x v="1"/>
    <x v="0"/>
    <x v="102"/>
    <m/>
    <s v="ADCB"/>
    <s v="LISTEDFOREIGN"/>
    <s v="BANKING"/>
    <s v="A+"/>
    <m/>
    <m/>
    <d v="2018-10-25T00:00:00"/>
    <n v="22"/>
    <n v="3"/>
    <m/>
    <m/>
    <m/>
    <n v="1294280000"/>
    <n v="17472780"/>
    <n v="1258000000"/>
    <n v="6.1001E-2"/>
    <n v="40000000"/>
    <m/>
    <n v="1258000000"/>
    <n v="3"/>
    <n v="6.0704705999999999E-3"/>
    <s v="F6MADCB251018"/>
    <m/>
    <s v="FIXED 6 MONTH DEPOSIT ADCB"/>
    <s v="เงินฝากประจำ 6 เดือน Abu Dhabi Commercial Bank"/>
    <s v="เงินฝากประจำ 6 เดือน Abu Dhabi Commercial Bank"/>
    <s v="Bond"/>
    <s v="ADCB"/>
    <s v="TERM AC360 U"/>
    <s v="CASH"/>
    <m/>
    <s v="BANKING"/>
    <s v=" "/>
    <s v=" "/>
    <s v="NO MARKET"/>
    <s v="USDbb"/>
    <s v=" "/>
    <s v=" "/>
    <s v="P/P"/>
    <s v=" "/>
    <s v="P/N"/>
    <m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5"/>
    <s v=" "/>
    <s v="UAE"/>
    <s v="UAE"/>
    <s v="AE"/>
    <s v=" "/>
    <n v="40000"/>
    <b v="0"/>
    <s v="NONTRANSFERABLE"/>
    <s v=" "/>
    <s v=" "/>
    <b v="0"/>
    <b v="0"/>
    <m/>
    <m/>
    <s v=" "/>
    <n v="1257999999.99"/>
    <n v="0"/>
    <m/>
    <n v="0"/>
    <s v="USDbb"/>
    <n v="32.356999999999999"/>
  </r>
  <r>
    <x v="0"/>
    <x v="1"/>
    <x v="0"/>
    <x v="1"/>
    <x v="0"/>
    <x v="103"/>
    <m/>
    <s v="ADCB"/>
    <s v="LISTEDFOREIGN"/>
    <s v="BANKING"/>
    <s v="A+"/>
    <m/>
    <m/>
    <d v="2018-11-26T00:00:00"/>
    <n v="54"/>
    <n v="3"/>
    <m/>
    <m/>
    <m/>
    <n v="1617850000"/>
    <n v="17931170.829999998"/>
    <n v="1603000000"/>
    <n v="0.149335"/>
    <n v="50000000"/>
    <m/>
    <n v="1603000000"/>
    <n v="3"/>
    <n v="7.5699946999999998E-3"/>
    <s v="F6MADCB261118"/>
    <m/>
    <s v="FIXED 6 MONTH DEPOSIT ADCB"/>
    <s v="เงินฝากประจำ 6 เดือน Abu Dhabi Commercial Bank"/>
    <s v="เงินฝากประจำ 6 เดือน Abu Dhabi Commercial Bank"/>
    <s v="Bond"/>
    <s v="ADCB"/>
    <s v="TERM AC360 U"/>
    <s v="CASH"/>
    <m/>
    <s v="BANKING"/>
    <s v=" "/>
    <s v=" "/>
    <s v="NO MARKET"/>
    <s v="USDbb"/>
    <s v=" "/>
    <s v=" "/>
    <s v="P/P"/>
    <s v=" "/>
    <s v="P/N"/>
    <m/>
    <m/>
    <s v="Abu Dhabi Commercial Bank"/>
    <s v="Abu Dhabi Commercial Bank"/>
    <s v="LISTEDFOREIGN"/>
    <s v=" "/>
    <s v="A+"/>
    <s v=" "/>
    <s v="A"/>
    <s v="A1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UAE"/>
    <s v="UAE"/>
    <s v="AE"/>
    <s v=" "/>
    <n v="40000"/>
    <b v="0"/>
    <s v="NONTRANSFERABLE"/>
    <s v=" "/>
    <s v=" "/>
    <b v="0"/>
    <b v="0"/>
    <m/>
    <m/>
    <s v=" "/>
    <n v="1602999999.98"/>
    <n v="0"/>
    <m/>
    <n v="0"/>
    <s v="USDbb"/>
    <n v="32.356999999999999"/>
  </r>
  <r>
    <x v="0"/>
    <x v="1"/>
    <x v="0"/>
    <x v="1"/>
    <x v="0"/>
    <x v="24"/>
    <m/>
    <s v="BOC MACAU"/>
    <s v="LISTEDFOREIGN"/>
    <s v="BANKING"/>
    <s v="A"/>
    <m/>
    <m/>
    <d v="2018-11-05T00:00:00"/>
    <n v="33"/>
    <n v="0.04"/>
    <m/>
    <m/>
    <m/>
    <n v="2808382500"/>
    <n v="480545.45"/>
    <n v="2850000000"/>
    <n v="9.1662999999999994E-2"/>
    <n v="75000000"/>
    <m/>
    <n v="2850000000"/>
    <n v="0.04"/>
    <n v="1.2998730300000001E-2"/>
    <s v="F6MBOCMC05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EUR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MACAO"/>
    <s v="MACAO"/>
    <s v="MO"/>
    <s v=" "/>
    <n v="100000"/>
    <b v="0"/>
    <s v="NONTRANSFERABLE"/>
    <s v=" "/>
    <s v=" "/>
    <b v="0"/>
    <b v="0"/>
    <m/>
    <m/>
    <s v=" "/>
    <n v="2849999999.9699998"/>
    <n v="0"/>
    <m/>
    <n v="0"/>
    <s v="EURbb"/>
    <n v="37.445099999999996"/>
  </r>
  <r>
    <x v="0"/>
    <x v="1"/>
    <x v="0"/>
    <x v="1"/>
    <x v="0"/>
    <x v="104"/>
    <m/>
    <s v="BOC MACAU"/>
    <s v="LISTEDFOREIGN"/>
    <s v="BANKING"/>
    <s v="A"/>
    <m/>
    <m/>
    <d v="2018-11-19T00:00:00"/>
    <n v="47"/>
    <n v="2.92"/>
    <m/>
    <m/>
    <m/>
    <n v="1617850000"/>
    <n v="18371585.559999999"/>
    <n v="1596250000"/>
    <n v="0.13006499999999999"/>
    <n v="50000000"/>
    <m/>
    <n v="1596250000"/>
    <n v="2.92"/>
    <n v="7.5720327999999996E-3"/>
    <s v="F6MBOCMC19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MACAO"/>
    <s v="MACAO"/>
    <s v="MO"/>
    <s v=" "/>
    <n v="100000"/>
    <b v="0"/>
    <s v="NONTRANSFERABLE"/>
    <s v=" "/>
    <s v=" "/>
    <b v="0"/>
    <b v="0"/>
    <m/>
    <m/>
    <s v=" "/>
    <n v="1596250000.01"/>
    <n v="0"/>
    <m/>
    <n v="0"/>
    <s v="USDbb"/>
    <n v="32.356999999999999"/>
  </r>
  <r>
    <x v="0"/>
    <x v="1"/>
    <x v="0"/>
    <x v="1"/>
    <x v="0"/>
    <x v="105"/>
    <m/>
    <s v="BOC MACAU"/>
    <s v="LISTEDFOREIGN"/>
    <s v="BANKING"/>
    <s v="A"/>
    <m/>
    <m/>
    <d v="2018-11-20T00:00:00"/>
    <n v="48"/>
    <n v="2.92"/>
    <m/>
    <m/>
    <m/>
    <n v="452998000"/>
    <n v="5107300.78"/>
    <n v="449330000"/>
    <n v="0.132822"/>
    <n v="14000000"/>
    <m/>
    <n v="449330000"/>
    <n v="2.92"/>
    <n v="2.1199991E-3"/>
    <s v="F6MBOCMC20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8"/>
    <s v=" "/>
    <s v="MACAO"/>
    <s v="MACAO"/>
    <s v="MO"/>
    <s v=" "/>
    <n v="100000"/>
    <b v="0"/>
    <s v="NONTRANSFERABLE"/>
    <s v=" "/>
    <s v=" "/>
    <b v="0"/>
    <b v="0"/>
    <m/>
    <m/>
    <s v=" "/>
    <n v="449330000.00999999"/>
    <n v="0"/>
    <m/>
    <n v="0"/>
    <s v="USDbb"/>
    <n v="32.356999999999999"/>
  </r>
  <r>
    <x v="0"/>
    <x v="1"/>
    <x v="0"/>
    <x v="1"/>
    <x v="0"/>
    <x v="106"/>
    <m/>
    <s v="KTB"/>
    <s v="LISTED"/>
    <s v="BANKING"/>
    <s v="AA+(tha)"/>
    <m/>
    <m/>
    <d v="2020-12-31T00:00:00"/>
    <n v="820"/>
    <n v="0.375"/>
    <m/>
    <m/>
    <m/>
    <n v="9535.0499999999993"/>
    <n v="9.31"/>
    <n v="9535.0499999999993"/>
    <n v="0"/>
    <n v="9535.0499999999993"/>
    <m/>
    <n v="9535.0499999999993"/>
    <n v="0"/>
    <n v="4.4199999999999999E-8"/>
    <s v="INVSKTBsffplus"/>
    <m/>
    <s v="INV.SAVING"/>
    <s v="เงินฝากออมทรัพย์ ธนาคาร กรุงไทย จำกัด (มหาชน)"/>
    <s v="เงินฝากออมทรัพย์ ธนาคาร กรุงไทย จำกัด (มหาชน)"/>
    <s v="Bond"/>
    <s v="KTB"/>
    <s v="SAVING U"/>
    <s v="CASH"/>
    <s v="INVEST SAVING"/>
    <s v="BANKING"/>
    <s v=" "/>
    <s v=" "/>
    <s v="NO MARKET"/>
    <s v="THB"/>
    <s v=" "/>
    <s v=" "/>
    <s v=" "/>
    <s v=" "/>
    <s v="P/N"/>
    <m/>
    <m/>
    <s v="KRUNG THAI BANK PLC."/>
    <s v="ธนาคารกรุงไทย  จำกัด (มหาชน)"/>
    <s v="LISTED"/>
    <s v=" "/>
    <s v="AA+(tha)"/>
    <s v=" "/>
    <s v="BBB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46"/>
    <s v=" "/>
    <s v="THAILAND"/>
    <s v="THAILAND"/>
    <s v="TH"/>
    <s v=" "/>
    <n v="39000"/>
    <b v="1"/>
    <s v=" "/>
    <s v=" "/>
    <s v=" "/>
    <b v="0"/>
    <b v="0"/>
    <m/>
    <m/>
    <s v=" "/>
    <m/>
    <m/>
    <m/>
    <m/>
    <m/>
    <m/>
  </r>
  <r>
    <x v="0"/>
    <x v="1"/>
    <x v="0"/>
    <x v="1"/>
    <x v="0"/>
    <x v="107"/>
    <m/>
    <s v="SCB"/>
    <s v="LISTED"/>
    <s v="BANKING"/>
    <s v="AA+(tha)"/>
    <m/>
    <m/>
    <d v="2020-12-31T00:00:00"/>
    <n v="820"/>
    <n v="0.25"/>
    <m/>
    <m/>
    <m/>
    <n v="73728200.260000005"/>
    <n v="48640.13"/>
    <n v="85887038.310000002"/>
    <n v="0"/>
    <n v="15694197.34"/>
    <m/>
    <n v="85887038.310000002"/>
    <n v="0"/>
    <n v="3.4142120000000002E-4"/>
    <s v="INVSSCBCY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s v=" "/>
    <s v=" "/>
    <s v="NO MARKET"/>
    <s v="CNHbb"/>
    <s v=" "/>
    <s v=" "/>
    <s v="P/P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4"/>
    <s v="FCD ACCOUNT"/>
    <s v="THAILAND"/>
    <s v="THAILAND"/>
    <s v="TH"/>
    <s v=" "/>
    <n v="52000"/>
    <b v="1"/>
    <s v="NONTRANSFERABLE"/>
    <s v=" "/>
    <s v=" "/>
    <b v="0"/>
    <b v="0"/>
    <m/>
    <m/>
    <s v=" "/>
    <n v="85887038.310000002"/>
    <n v="0"/>
    <m/>
    <n v="0"/>
    <s v="CNHbb"/>
    <n v="4.6978"/>
  </r>
  <r>
    <x v="0"/>
    <x v="1"/>
    <x v="0"/>
    <x v="1"/>
    <x v="0"/>
    <x v="108"/>
    <m/>
    <s v="SCB"/>
    <s v="LISTED"/>
    <s v="BANKING"/>
    <s v="AA+(tha)"/>
    <m/>
    <m/>
    <d v="2020-12-31T00:00:00"/>
    <n v="820"/>
    <n v="0.05"/>
    <m/>
    <m/>
    <m/>
    <n v="121631587.64"/>
    <n v="16048.75"/>
    <n v="129319397.17"/>
    <n v="0"/>
    <n v="3759050.21"/>
    <m/>
    <n v="129319397.17"/>
    <n v="0"/>
    <n v="5.6295550000000003E-4"/>
    <s v="INVSSCBUS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m/>
    <s v=" "/>
    <s v="NO MARKET"/>
    <s v="USDbb"/>
    <s v=" "/>
    <s v=" "/>
    <s v=" 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7"/>
    <s v=" "/>
    <s v="THAILAND"/>
    <s v="THAILAND"/>
    <s v="TH"/>
    <s v=" "/>
    <n v="52000"/>
    <b v="1"/>
    <s v="NONTRANSFERABLE"/>
    <s v=" "/>
    <s v=" "/>
    <b v="0"/>
    <b v="0"/>
    <m/>
    <m/>
    <s v=" "/>
    <n v="129319397.17"/>
    <n v="0"/>
    <m/>
    <n v="0"/>
    <s v="USDbb"/>
    <n v="32.356999999999999"/>
  </r>
  <r>
    <x v="0"/>
    <x v="1"/>
    <x v="0"/>
    <x v="1"/>
    <x v="0"/>
    <x v="109"/>
    <m/>
    <s v="UOBT"/>
    <s v="UNLISTED"/>
    <s v="BANKING"/>
    <s v="AAA(tha)"/>
    <m/>
    <m/>
    <d v="2020-12-31T00:00:00"/>
    <n v="820"/>
    <n v="0.85"/>
    <m/>
    <m/>
    <m/>
    <n v="92730392.329999998"/>
    <n v="1407469.29"/>
    <n v="92730392.329999998"/>
    <n v="0"/>
    <n v="92730392.329999998"/>
    <m/>
    <n v="92730392.329999998"/>
    <n v="0"/>
    <n v="4.35647E-4"/>
    <s v="INVSUOBTsffplus"/>
    <m/>
    <s v="INV.SAVING"/>
    <s v="เงินฝากออมทรัพย์ ธ.ยูโอบี จำกัด (มหาชน)"/>
    <s v="เงินฝากออมทรัพย์ ธ.ยูโอบี จำกัด (มหาชน)"/>
    <s v="Bond"/>
    <s v="UOBT"/>
    <s v="SAVING U"/>
    <s v="CASH"/>
    <s v="INVEST SAVING"/>
    <s v="*BOND"/>
    <m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52"/>
    <s v=" "/>
    <s v="THAILAND"/>
    <s v="THAILAND"/>
    <s v="TH"/>
    <s v=" "/>
    <n v="17000"/>
    <b v="1"/>
    <s v=" "/>
    <s v="SINGAPORE"/>
    <s v="SG"/>
    <b v="0"/>
    <b v="0"/>
    <m/>
    <m/>
    <s v=" "/>
    <m/>
    <m/>
    <m/>
    <m/>
    <m/>
    <m/>
  </r>
  <r>
    <x v="0"/>
    <x v="1"/>
    <x v="0"/>
    <x v="1"/>
    <x v="0"/>
    <x v="29"/>
    <m/>
    <s v="SCB"/>
    <s v="LISTED"/>
    <s v="BANKING"/>
    <s v="AA+(tha)"/>
    <m/>
    <m/>
    <d v="2019-01-03T00:00:00"/>
    <n v="92"/>
    <n v="1.5"/>
    <m/>
    <m/>
    <m/>
    <n v="1500000000"/>
    <n v="863013.7"/>
    <n v="1500000000"/>
    <n v="0.251106"/>
    <n v="1500000000"/>
    <m/>
    <n v="1500000000"/>
    <n v="1.5"/>
    <n v="6.9456264999999996E-3"/>
    <s v="S4MSCB030119"/>
    <m/>
    <s v="SAVING PLUS DEPOSIT OF SCB"/>
    <s v="เงินฝากออมทรัพย์-แบบฝากต่อเนื่อง ธ.ไทยพาณิชย์ จำกัด (มหาชน)"/>
    <s v="เงินฝากออมทรัพย์-แบบฝากต่อเนื่อง ธ.ไทยพาณิชย์ จำกัด (มหาชน)"/>
    <s v="Bond"/>
    <s v="SCB"/>
    <s v="TERM AC365 U"/>
    <s v="CASH"/>
    <m/>
    <s v="BANKING"/>
    <s v=" "/>
    <s v=" "/>
    <s v="NO MARKET"/>
    <s v="THB"/>
    <s v=" "/>
    <s v=" "/>
    <s v="P/O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52000"/>
    <b v="0"/>
    <s v="NONTRANSFERABLE"/>
    <s v=" "/>
    <s v=" "/>
    <b v="0"/>
    <b v="0"/>
    <m/>
    <m/>
    <s v=" "/>
    <m/>
    <m/>
    <m/>
    <m/>
    <m/>
    <m/>
  </r>
  <r>
    <x v="0"/>
    <x v="1"/>
    <x v="0"/>
    <x v="2"/>
    <x v="0"/>
    <x v="110"/>
    <m/>
    <s v="BANPU"/>
    <s v="LISTED"/>
    <s v="ENERGY"/>
    <s v="A+"/>
    <m/>
    <m/>
    <d v="2019-02-06T00:00:00"/>
    <n v="126"/>
    <m/>
    <n v="1.650558"/>
    <m/>
    <m/>
    <n v="1352355684.8"/>
    <m/>
    <n v="1352128020.8"/>
    <n v="0.34054099999999998"/>
    <n v="1360000000"/>
    <m/>
    <n v="1348444025.5999999"/>
    <n v="1.7"/>
    <n v="6.2583709E-3"/>
    <s v="BANPU19206A"/>
    <m/>
    <s v="BANPU PLC."/>
    <s v="ตั๋วแลกเงิน บริษัท บ้านปู จำกัด (มหาชน)"/>
    <s v="ตั๋วแลกเงิน บริษัท บ้านปู จำกัด (มหาชน) มูลค่า 1,500.00 ล้านบาท ครบกำหนดไถ่ถอนวันที่ 6 กุมภาพันธ์ 2562"/>
    <s v="Bond"/>
    <s v="BANPU"/>
    <s v="0DisAc365"/>
    <s v="B/E CORP."/>
    <m/>
    <s v="ENERGY"/>
    <s v="RESOURCES"/>
    <s v=" "/>
    <s v="ThaiBMA"/>
    <s v="THB"/>
    <s v=" "/>
    <s v=" "/>
    <s v="P/P"/>
    <s v=" "/>
    <s v="DISCOUNT"/>
    <m/>
    <m/>
    <s v="BANPU PLC."/>
    <s v="บมจ.บ้านปู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8"/>
    <s v=" "/>
    <s v="THAILAND"/>
    <s v="THAILAND"/>
    <s v="TH"/>
    <s v=" "/>
    <n v="10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1"/>
    <m/>
    <s v="BTS"/>
    <s v="LISTED"/>
    <s v="TRANSPORTA"/>
    <s v="A"/>
    <m/>
    <m/>
    <d v="2018-11-20T00:00:00"/>
    <n v="48"/>
    <m/>
    <n v="1.7755890000000001"/>
    <m/>
    <m/>
    <n v="299315652"/>
    <m/>
    <n v="299325492"/>
    <n v="0.12848100000000001"/>
    <n v="300000000"/>
    <m/>
    <n v="298625505"/>
    <n v="1.75"/>
    <n v="1.3851594999999999E-3"/>
    <s v="BTSG18N20A"/>
    <m/>
    <s v="BTS GROUP HOLDINGS PLC."/>
    <s v="ตั๋วแลกเงิน บริษัท บีทีเอส กรุ๊ป โฮลดิ้งส์ จำกัด (มหาชน) ครั้งที่ 65/2018 "/>
    <s v="ตั๋วแลกเงิน บริษัท บีทีเอส กรุ๊ป โฮลดิ้งส์ จำกัด (มหาชน) ครั้งที่ 65/2018 มูลค่า 500.00 ล้านบาท ครบกำหนดไถ่ถอนวันที่ 20 พฤศจิกายน 2561 "/>
    <s v="Bond"/>
    <s v="BTS"/>
    <s v="0DisAc365"/>
    <s v="B/E CORP."/>
    <m/>
    <s v="TRANSPORTATION"/>
    <s v="SERVICES"/>
    <s v=" "/>
    <s v="ThaiBMA"/>
    <s v="THB"/>
    <s v=" "/>
    <s v=" "/>
    <s v="P/P"/>
    <s v=" "/>
    <s v="DISCOUNT"/>
    <m/>
    <m/>
    <s v="BTS GROUP HOLDINGS PLC."/>
    <s v="บมจ.บีทีเอส กรุ๊ป โฮลดิ้งส์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6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2"/>
    <m/>
    <s v="CPF"/>
    <s v="LISTED"/>
    <s v="FOOD &amp; BEV"/>
    <s v="A+"/>
    <m/>
    <m/>
    <d v="2018-12-13T00:00:00"/>
    <n v="71"/>
    <m/>
    <n v="1.598085"/>
    <m/>
    <m/>
    <n v="1993889080"/>
    <m/>
    <n v="1993938980"/>
    <n v="0.19118299999999999"/>
    <n v="2000000000"/>
    <m/>
    <n v="1979371160"/>
    <n v="1.585"/>
    <n v="9.2272303999999996E-3"/>
    <s v="CPF18D13A"/>
    <m/>
    <s v="CHAROEN POKPHAND FOODS PLC."/>
    <s v="ตั๋วแลกเงิน บริษัท เจริญโภคภัณฑ์อาหาร จำกัด (มหาชน) ครั้งที่ 7/2561"/>
    <s v="ตั๋วแลกเงิน บริษัท เจริญโภคภัณฑ์อาหาร จำกัด (มหาชน) ครั้งที่ 7/2561 มูลค่า 2,000.00 ล้านบาท ครบกำหนดไถ่ถอนวันที่ 13 ธันวาคม 2561 "/>
    <s v="Bond"/>
    <s v="CPF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7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3"/>
    <m/>
    <s v="CPF"/>
    <s v="LISTED"/>
    <s v="FOOD &amp; BEV"/>
    <s v="A+"/>
    <m/>
    <m/>
    <d v="2019-01-29T00:00:00"/>
    <n v="118"/>
    <m/>
    <n v="1.7504690000000001"/>
    <m/>
    <m/>
    <n v="397768088"/>
    <m/>
    <n v="397641928"/>
    <n v="0.31875900000000001"/>
    <n v="400000000"/>
    <m/>
    <n v="397301616"/>
    <n v="1.85"/>
    <n v="1.8407733000000001E-3"/>
    <s v="CPF19129A"/>
    <m/>
    <s v="CHAROEN POKPHAND FOODS PLC."/>
    <s v="ตั๋วแลกเงิน บริษัท เจริญโภคภัณฑ์อาหาร จำกัด (มหาชน) ครั้งที่ 17/2561"/>
    <s v="ตั๋วแลกเงิน บริษัท เจริญโภคภัณฑ์อาหาร จำกัด (มหาชน) ครั้งที่ 17/2561 มูลค่า 1,200.00 ล้านบาท ครบกำหนดไถ่ถอนวันที่ 29 มกราคม 2562 "/>
    <s v="Bond"/>
    <s v="CPF"/>
    <s v="0DisAc365"/>
    <s v="B/E CORP."/>
    <m/>
    <s v="FOOD &amp; BEVERAGE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0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4"/>
    <m/>
    <s v="CPFTH"/>
    <s v="UNLISTED"/>
    <s v="AGRIBUSINE"/>
    <s v="A+"/>
    <m/>
    <m/>
    <d v="2018-12-06T00:00:00"/>
    <n v="64"/>
    <m/>
    <n v="1.5607260000000001"/>
    <m/>
    <m/>
    <n v="1396238732"/>
    <m/>
    <n v="1396024196"/>
    <n v="0.17213800000000001"/>
    <n v="1400000000"/>
    <m/>
    <n v="1383365508"/>
    <n v="1.65"/>
    <n v="6.4614509000000004E-3"/>
    <s v="CPFTH18D06A"/>
    <m/>
    <s v="CPF (THAILAND) PLC."/>
    <s v="ตั๋วแลกเงิน บริษัท ซีพีเอฟ (ประเทศไทย) จำกัด (มหาชน) ครั้งที่ 7/2561"/>
    <s v="ตั๋วแลกเงิน บริษัท ซีพีเอฟ (ประเทศไทย) จำกัด (มหาชน) ครั้งที่ 7/2561 มูลค่า 1,900.00 ล้านบาท ครบกำหนดไถ่ถอนวันที่ 6 ธันวาคม 2561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5"/>
    <m/>
    <s v="CPFTH"/>
    <s v="UNLISTED"/>
    <s v="AGRIBUSINE"/>
    <s v="A+"/>
    <m/>
    <m/>
    <d v="2019-03-26T00:00:00"/>
    <n v="174"/>
    <m/>
    <n v="1.8464320000000001"/>
    <m/>
    <m/>
    <n v="991324340"/>
    <m/>
    <n v="991773710"/>
    <n v="0.46986099999999997"/>
    <n v="1000000000"/>
    <m/>
    <n v="989374390"/>
    <n v="1.75"/>
    <n v="4.5876062999999998E-3"/>
    <s v="CPFTH19326B"/>
    <m/>
    <s v="CPF (THAILAND) PLC."/>
    <s v="ตั๋วแลกเงิน บริษัท ซีพีเอฟ (ประเทศไทย) จำกัด (มหาชน) ครั้งที่ 35/2561"/>
    <s v="ตั๋วแลกเงิน บริษัท ซีพีเอฟ (ประเทศไทย) จำกัด (มหาชน) ครั้งที่ 35/2561 มูลค่า 1,000.00 ล้านบาท ครบกำหนดไถ่ถอนวันที่ 26 มีนาคม 2562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6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6"/>
    <m/>
    <s v="CPN"/>
    <s v="LISTED"/>
    <s v="PROPERTY"/>
    <s v="AA"/>
    <m/>
    <m/>
    <d v="2018-11-13T00:00:00"/>
    <n v="41"/>
    <m/>
    <n v="1.6"/>
    <m/>
    <m/>
    <n v="1497374460"/>
    <m/>
    <n v="1497374460"/>
    <n v="0.109403"/>
    <n v="1500000000"/>
    <m/>
    <n v="1494235935"/>
    <n v="1.6"/>
    <n v="6.9294823000000004E-3"/>
    <s v="CPN18N13A"/>
    <m/>
    <s v="CENTRAL PATTANA PLC."/>
    <s v="ตั๋วแลกเงิน บริษัท เซ็นทรัลพัฒนา จำกัด (มหาชน)"/>
    <s v="ตั๋วแลกเงิน บริษัท เซ็นทรัลพัฒนา จำกัด (มหาชน) มูลค่า 2,000.00 ล้านบาท ครบกำหนดไถ่ถอนวันที่ 13 พฤศจิกายน 2561 "/>
    <s v="Bond"/>
    <s v="CPN"/>
    <s v="0DisAc365"/>
    <s v="B/E CORP."/>
    <m/>
    <s v="PROPERTY"/>
    <s v="PROPERTY &amp; CON"/>
    <s v=" "/>
    <s v="ThaiBMA"/>
    <s v="THB"/>
    <s v=" "/>
    <s v=" "/>
    <s v="P/P"/>
    <s v=" "/>
    <s v="DISCOUNT"/>
    <m/>
    <m/>
    <s v="CENTRAL PATTANA PLC."/>
    <s v="บมจ.เซ็นทรัลพัฒนา"/>
    <s v="LISTED"/>
    <s v="AA"/>
    <s v=" "/>
    <s v=" "/>
    <s v=" "/>
    <s v=" 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1"/>
    <m/>
    <s v="MP"/>
    <s v="UNLISTED"/>
    <s v="AGRIBUSINE"/>
    <s v="A+"/>
    <m/>
    <m/>
    <d v="2018-10-09T00:00:00"/>
    <n v="6"/>
    <m/>
    <n v="1.58"/>
    <m/>
    <m/>
    <n v="1199740332"/>
    <m/>
    <n v="1199740332"/>
    <n v="1.3696E-2"/>
    <n v="1200000000"/>
    <m/>
    <n v="1196788020"/>
    <n v="1.58"/>
    <n v="5.5521045000000002E-3"/>
    <s v="MPSC18O09B"/>
    <m/>
    <s v="MITR PHOL SUGAR CORPORATION LIMITED."/>
    <s v="ตั๋วแลกเงิน บริษัท น้ำตาลมิตรผล จำกัด "/>
    <s v="ตั๋วแลกเงิน บริษัท น้ำตาลมิตรผล จำกัด มูลค่า 2,400.00 ล้านบาท ครบกำหนดไถ่ถอนวันที่ 9 ตุลาคม 2561"/>
    <s v="Bond"/>
    <s v="MP"/>
    <s v="0DisAc365"/>
    <s v="B/E CORP."/>
    <m/>
    <s v="AGRIBUSINESS"/>
    <s v="AGRO &amp; FOOD"/>
    <s v=" "/>
    <s v="ThaiBMA"/>
    <s v="THB"/>
    <s v=" "/>
    <s v=" "/>
    <s v="P/P"/>
    <s v=" "/>
    <s v="DISCOUNT"/>
    <m/>
    <m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1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7"/>
    <m/>
    <s v="SIRI"/>
    <s v="LISTED"/>
    <s v="PROPERTY"/>
    <s v="BBB+"/>
    <m/>
    <m/>
    <d v="2018-10-24T00:00:00"/>
    <n v="21"/>
    <m/>
    <n v="1.868609"/>
    <m/>
    <m/>
    <n v="99897715"/>
    <m/>
    <n v="99885064"/>
    <n v="5.4739000000000003E-2"/>
    <n v="100000000"/>
    <m/>
    <n v="98929931"/>
    <n v="2.1"/>
    <n v="4.6230220000000001E-4"/>
    <s v="SIRI18O24A"/>
    <m/>
    <s v="SANSIRI PLC."/>
    <s v="ตั๋วแลกเงิน บริษัท แสนสิริ จำกัด (มหาชน) "/>
    <s v="ตั๋วแลกเงิน บริษัท แสนสิริ จำกัด (มหาชน) มูลค่า 100.00 ล้านบาท ครบกำหนดไถ่ถอนวันที่ 24 ตุลาคม 2561"/>
    <s v="Bond"/>
    <s v="SIRI"/>
    <s v="0DisAc365"/>
    <s v="B/E CORP."/>
    <m/>
    <s v="PROPERTY"/>
    <s v="PROPERTY &amp; CON"/>
    <s v=" "/>
    <s v="ThaiBMA"/>
    <s v="THB"/>
    <s v=" "/>
    <s v=" "/>
    <s v="P/P"/>
    <s v=" "/>
    <s v="DISCOUNT"/>
    <m/>
    <m/>
    <s v="SANSIRI PLC."/>
    <s v="บมจ.แสนสิริ 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8"/>
    <m/>
    <s v="SPALI"/>
    <s v="LISTED"/>
    <s v="PROPERTY"/>
    <s v="A"/>
    <m/>
    <m/>
    <d v="2019-01-31T00:00:00"/>
    <n v="120"/>
    <m/>
    <n v="1.5489010000000001"/>
    <m/>
    <m/>
    <n v="696482871.80999994"/>
    <m/>
    <n v="696423910.91999996"/>
    <n v="0.32438899999999998"/>
    <n v="700000000"/>
    <m/>
    <n v="691967955"/>
    <n v="1.575"/>
    <n v="3.2231522E-3"/>
    <s v="SPALI19131A"/>
    <m/>
    <s v="SUPALAI PUBLIC COMPANY LIMITED"/>
    <s v="ตั๋วแลกเงิน บริษัท ศุภาลัย จำกัด (มหาชน) "/>
    <s v="ตั๋วแลกเงิน บริษัท ศุภาลัย จำกัด (มหาชน) มูลค่า 1,000.00 ล้านบาท ครบกำหนดไถ่ถอนวันที่ 31 มกราคม 2562 "/>
    <s v="Bond"/>
    <s v="SPALI"/>
    <s v="0DisAc365p10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7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3"/>
    <m/>
    <s v="SPALI"/>
    <s v="LISTED"/>
    <s v="PROPERTY"/>
    <s v="A"/>
    <m/>
    <m/>
    <d v="2019-02-18T00:00:00"/>
    <n v="138"/>
    <m/>
    <n v="1.5995360000000001"/>
    <m/>
    <m/>
    <n v="844927276.5"/>
    <m/>
    <n v="844673696"/>
    <n v="0.37310199999999999"/>
    <n v="850000000"/>
    <m/>
    <n v="839566377.5"/>
    <n v="1.68"/>
    <n v="3.9101164999999997E-3"/>
    <s v="SPALI19218A"/>
    <m/>
    <s v="SUPALAI PUBLIC COMPANY LIMITED"/>
    <s v="ตั๋วแลกเงิน บริษัท ศุภาลัย จำกัด (มหาชน) มูลค่า 1,000.00 ล้านบาท "/>
    <s v="ตั๋วแลกเงิน บริษัท ศุภาลัย จำกัด (มหาชน) มูลค่า 1,000.00 ล้านบาท ครบกำหนดไถ่ถอนวันที่ 18 กุมภาพันธ์ 2562 "/>
    <s v="Bond"/>
    <s v="SPALI"/>
    <s v="0DisAc365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9"/>
    <m/>
    <s v="TISCO"/>
    <s v="LISTED"/>
    <s v="FIN &amp; SEC."/>
    <s v="A-"/>
    <m/>
    <m/>
    <d v="2018-10-08T00:00:00"/>
    <n v="5"/>
    <n v="1.58"/>
    <n v="1.58"/>
    <n v="1000000"/>
    <n v="999.99956999999995"/>
    <n v="999999570"/>
    <n v="2467400"/>
    <n v="1000000000"/>
    <n v="1.0957E-2"/>
    <n v="1000000000"/>
    <m/>
    <n v="1000000000"/>
    <n v="1.58"/>
    <n v="4.6391716000000003E-3"/>
    <s v="TISCOG18O08A"/>
    <m/>
    <s v="TISCO FINANCIAL GROUP PLC."/>
    <s v="ตั๋วแลกเงิน บริษัท ทิสโก้ไฟแนนเชียลกรุ๊ป จำกัด (มหาชน) ครั้งที่ 20/2561 "/>
    <s v="ตั๋วแลกเงิน บริษัท ทิสโก้ไฟแนนเชียลกรุ๊ป จำกัด (มหาชน) ครั้งที่ 20/2561 มูลค่า 1,000.00 ล้านบาท ครบกำหนดไถ่ถอนวันที่ 8 ตุลาคม 2561 "/>
    <s v="Bond"/>
    <s v="TISCO"/>
    <s v="0SdAc365C"/>
    <s v="B/E CORP."/>
    <m/>
    <s v="FIN &amp; SEC."/>
    <s v="FINANCIALS"/>
    <s v=" "/>
    <s v="ThaiBMA"/>
    <s v="THB"/>
    <s v=" "/>
    <s v=" "/>
    <s v="P/P"/>
    <s v=" "/>
    <s v="BOND"/>
    <m/>
    <m/>
    <s v="TISCO BANK PLC."/>
    <s v="บมจ.ทิสโก้ไฟแนนเชียลกรุ๊ป"/>
    <s v="LISTED"/>
    <s v="A-"/>
    <s v=" "/>
    <s v="YES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3"/>
    <x v="0"/>
    <x v="120"/>
    <m/>
    <s v="GOVERNMENT"/>
    <s v="OTHER"/>
    <s v="GOVERNMENT"/>
    <s v="BBB+"/>
    <m/>
    <m/>
    <d v="2018-11-14T00:00:00"/>
    <n v="42"/>
    <m/>
    <n v="1.231587"/>
    <m/>
    <m/>
    <n v="787909980.72000003"/>
    <m/>
    <n v="787882484.07000005"/>
    <n v="0.112179"/>
    <n v="789000000"/>
    <m/>
    <n v="786038997.53999996"/>
    <n v="1.2626999999999999"/>
    <n v="3.6462544E-3"/>
    <s v="TB18N14A"/>
    <m/>
    <s v="TREASURY BILL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54"/>
    <s v=" "/>
    <s v="THAILAND"/>
    <s v="THAILAND"/>
    <s v="TH"/>
    <s v=" "/>
    <n v="0"/>
    <b v="0"/>
    <s v="TRANSFERABLE"/>
    <s v=" "/>
    <s v=" "/>
    <b v="0"/>
    <b v="0"/>
    <m/>
    <m/>
    <s v="TH062307SB86"/>
    <m/>
    <m/>
    <m/>
    <m/>
    <m/>
    <m/>
  </r>
  <r>
    <x v="0"/>
    <x v="1"/>
    <x v="0"/>
    <x v="3"/>
    <x v="0"/>
    <x v="34"/>
    <m/>
    <s v="GOVERNMENT"/>
    <s v="OTHER"/>
    <s v="GOVERNMENT"/>
    <s v="BBB+"/>
    <m/>
    <m/>
    <d v="2019-04-03T00:00:00"/>
    <n v="182"/>
    <m/>
    <n v="1.5805450000000001"/>
    <m/>
    <m/>
    <n v="1180745584.2"/>
    <m/>
    <n v="1182307352.0999999"/>
    <n v="0.49203400000000003"/>
    <n v="1190000000"/>
    <m/>
    <n v="1174650707.47"/>
    <n v="1.312079"/>
    <n v="5.4642014000000003E-3"/>
    <s v="TB19403A"/>
    <m/>
    <s v="TREASURY BILL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4"/>
    <s v=" "/>
    <s v="THAILAND"/>
    <s v="THAILAND"/>
    <s v="TH"/>
    <s v=" "/>
    <n v="0"/>
    <b v="0"/>
    <s v="TRANSFERABLE"/>
    <s v=" "/>
    <s v=" "/>
    <b v="0"/>
    <b v="0"/>
    <m/>
    <m/>
    <s v="TH062307T485"/>
    <m/>
    <m/>
    <m/>
    <m/>
    <m/>
    <m/>
  </r>
  <r>
    <x v="0"/>
    <x v="1"/>
    <x v="0"/>
    <x v="4"/>
    <x v="0"/>
    <x v="35"/>
    <m/>
    <s v="BOT"/>
    <m/>
    <s v="GOVERNMENT"/>
    <m/>
    <m/>
    <m/>
    <d v="2018-12-06T00:00:00"/>
    <n v="64"/>
    <m/>
    <n v="1.3"/>
    <m/>
    <m/>
    <n v="6984328330"/>
    <m/>
    <n v="6983815860"/>
    <n v="0.17222399999999999"/>
    <n v="7000000000"/>
    <m/>
    <n v="6976646860.5299997"/>
    <n v="1.3426100000000001"/>
    <n v="3.23217612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1"/>
    <x v="0"/>
    <x v="4"/>
    <x v="0"/>
    <x v="121"/>
    <m/>
    <s v="BOT"/>
    <m/>
    <s v="GOVERNMENT"/>
    <m/>
    <m/>
    <m/>
    <d v="2018-12-13T00:00:00"/>
    <n v="71"/>
    <m/>
    <n v="1.261633"/>
    <m/>
    <m/>
    <n v="549670034.76999998"/>
    <m/>
    <n v="549670034.76999998"/>
    <n v="0.19128600000000001"/>
    <n v="551000000"/>
    <m/>
    <n v="549553219.5"/>
    <n v="1.261633"/>
    <n v="2.5437382999999999E-3"/>
    <s v="CB18D13A"/>
    <m/>
    <s v="Bank of Thailand Bond"/>
    <s v="พันธบัตรธนาคารแห่งประเทศไทยงวดที่ 24/182/61"/>
    <s v="พันธบัตรธนาคารแห่งประเทศไทยงวดที่ 2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65"/>
    <s v=" "/>
    <s v="THAILAND"/>
    <s v="THAILAND"/>
    <s v="TH"/>
    <s v=" "/>
    <n v="0"/>
    <b v="0"/>
    <s v="TRANSFERABLE"/>
    <s v=" "/>
    <s v=" "/>
    <b v="0"/>
    <b v="0"/>
    <m/>
    <m/>
    <s v="TH0655B7SC81"/>
    <m/>
    <m/>
    <m/>
    <m/>
    <m/>
    <m/>
  </r>
  <r>
    <x v="0"/>
    <x v="1"/>
    <x v="0"/>
    <x v="4"/>
    <x v="0"/>
    <x v="36"/>
    <m/>
    <s v="BOT"/>
    <m/>
    <s v="GOVERNMENT"/>
    <m/>
    <m/>
    <m/>
    <d v="2018-12-13T00:00:00"/>
    <n v="71"/>
    <m/>
    <n v="1.1536930000000001"/>
    <m/>
    <m/>
    <n v="5125659147.8400002"/>
    <m/>
    <n v="5125547931.79"/>
    <n v="0.19130800000000001"/>
    <n v="5137000000"/>
    <m/>
    <n v="5122151604.2799997"/>
    <n v="1.165035"/>
    <n v="2.3720295299999999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1"/>
    <x v="0"/>
    <x v="4"/>
    <x v="0"/>
    <x v="37"/>
    <m/>
    <s v="BOT"/>
    <m/>
    <s v="GOVERNMENT"/>
    <m/>
    <m/>
    <m/>
    <d v="2018-12-20T00:00:00"/>
    <n v="78"/>
    <m/>
    <n v="1.2549999999999999"/>
    <m/>
    <m/>
    <n v="4487120210.54"/>
    <m/>
    <n v="4485969411.3299999"/>
    <n v="0.21034700000000001"/>
    <n v="4499000000"/>
    <m/>
    <n v="4483657709.3699999"/>
    <n v="1.376922"/>
    <n v="2.07652935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1"/>
    <x v="0"/>
    <x v="4"/>
    <x v="0"/>
    <x v="122"/>
    <m/>
    <s v="BOT"/>
    <m/>
    <s v="GOVERNMENT"/>
    <m/>
    <m/>
    <m/>
    <d v="2018-12-27T00:00:00"/>
    <n v="85"/>
    <m/>
    <n v="1.38"/>
    <m/>
    <m/>
    <n v="847309036"/>
    <m/>
    <n v="847087500.5"/>
    <n v="0.229406"/>
    <n v="850000000"/>
    <m/>
    <n v="846845701"/>
    <n v="1.494"/>
    <n v="3.9211387E-3"/>
    <s v="CB18D27B"/>
    <m/>
    <s v="Bank of Thailand Bond"/>
    <s v="พันธบัตรธนาคารแห่งประเทศไทยงวดที่ 39/91/61"/>
    <s v="พันธบัตรธนาคารแห่งประเทศไทยงวดที่ 3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0"/>
    <s v=" "/>
    <s v="THAILAND"/>
    <s v="THAILAND"/>
    <s v="TH"/>
    <s v=" "/>
    <n v="0"/>
    <b v="0"/>
    <s v="TRANSFERABLE"/>
    <s v=" "/>
    <s v=" "/>
    <b v="0"/>
    <b v="0"/>
    <m/>
    <m/>
    <s v="TH0655H7SC88"/>
    <m/>
    <m/>
    <m/>
    <m/>
    <m/>
    <m/>
  </r>
  <r>
    <x v="0"/>
    <x v="1"/>
    <x v="0"/>
    <x v="4"/>
    <x v="0"/>
    <x v="123"/>
    <m/>
    <s v="BOT"/>
    <m/>
    <s v="GOVERNMENT"/>
    <m/>
    <m/>
    <m/>
    <d v="2018-11-01T00:00:00"/>
    <n v="29"/>
    <m/>
    <n v="1.140522"/>
    <m/>
    <m/>
    <n v="621456272.48000002"/>
    <m/>
    <n v="621456272.48000002"/>
    <n v="7.6644000000000004E-2"/>
    <n v="622000000"/>
    <m/>
    <n v="621051648.87"/>
    <n v="1.140523"/>
    <n v="2.8759473999999999E-3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0"/>
    <x v="4"/>
    <x v="0"/>
    <x v="38"/>
    <m/>
    <s v="BOT"/>
    <m/>
    <s v="GOVERNMENT"/>
    <m/>
    <m/>
    <m/>
    <d v="2018-11-01T00:00:00"/>
    <n v="29"/>
    <m/>
    <n v="1.2874129999999999"/>
    <m/>
    <m/>
    <n v="3571472797.75"/>
    <m/>
    <n v="3571451133.25"/>
    <n v="7.6643000000000003E-2"/>
    <n v="3575000000"/>
    <m/>
    <n v="3563632675.1599998"/>
    <n v="1.295328"/>
    <n v="1.6527901500000001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0"/>
    <x v="4"/>
    <x v="0"/>
    <x v="39"/>
    <m/>
    <s v="BOT"/>
    <m/>
    <s v="GOVERNMENT"/>
    <m/>
    <m/>
    <m/>
    <d v="2018-11-08T00:00:00"/>
    <n v="36"/>
    <m/>
    <n v="1.2126969999999999"/>
    <m/>
    <m/>
    <n v="698188104.50999999"/>
    <m/>
    <n v="698188104.50999999"/>
    <n v="9.5782000000000006E-2"/>
    <n v="699000000"/>
    <m/>
    <n v="697692970.89999998"/>
    <n v="1.2126969999999999"/>
    <n v="3.2310436000000001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0"/>
    <x v="4"/>
    <x v="0"/>
    <x v="40"/>
    <m/>
    <s v="BOT"/>
    <m/>
    <s v="GOVERNMENT"/>
    <m/>
    <m/>
    <m/>
    <d v="2018-11-08T00:00:00"/>
    <n v="36"/>
    <m/>
    <n v="1.2616039999999999"/>
    <m/>
    <m/>
    <n v="5692113898.3000002"/>
    <m/>
    <n v="5692080787.1099997"/>
    <n v="9.5780000000000004E-2"/>
    <n v="5699000000"/>
    <m/>
    <n v="5682815104.3900003"/>
    <n v="1.267687"/>
    <n v="2.6341709200000001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1"/>
    <x v="0"/>
    <x v="4"/>
    <x v="0"/>
    <x v="124"/>
    <m/>
    <s v="BOT"/>
    <m/>
    <s v="GOVERNMENT"/>
    <m/>
    <m/>
    <m/>
    <d v="2018-11-15T00:00:00"/>
    <n v="43"/>
    <m/>
    <n v="1.1621809999999999"/>
    <m/>
    <m/>
    <n v="579225398.39999998"/>
    <m/>
    <n v="579225398.39999998"/>
    <n v="0.11491"/>
    <n v="580000000"/>
    <m/>
    <n v="578862047.82000005"/>
    <n v="1.1621809999999999"/>
    <n v="2.6805132999999999E-3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0"/>
    <x v="4"/>
    <x v="0"/>
    <x v="41"/>
    <m/>
    <s v="BOT"/>
    <m/>
    <s v="GOVERNMENT"/>
    <m/>
    <m/>
    <m/>
    <d v="2018-11-15T00:00:00"/>
    <n v="43"/>
    <m/>
    <n v="1.2558640000000001"/>
    <m/>
    <m/>
    <n v="8162204754.5200005"/>
    <m/>
    <n v="8162194373.54"/>
    <n v="0.114912"/>
    <n v="8174000000"/>
    <m/>
    <n v="8148989774.6300001"/>
    <n v="1.2569760000000001"/>
    <n v="3.7772684799999998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0"/>
    <x v="4"/>
    <x v="0"/>
    <x v="42"/>
    <m/>
    <s v="BOT"/>
    <m/>
    <s v="GOVERNMENT"/>
    <m/>
    <m/>
    <m/>
    <d v="2018-11-22T00:00:00"/>
    <n v="50"/>
    <m/>
    <n v="1.23"/>
    <m/>
    <m/>
    <n v="2646629799.9899998"/>
    <m/>
    <n v="2646629799.9899998"/>
    <n v="0.134023"/>
    <n v="2651000000"/>
    <m/>
    <n v="2643553683.0700002"/>
    <n v="1.23"/>
    <n v="1.2247954599999999E-2"/>
    <s v="CB18N22A"/>
    <m/>
    <s v="Bank of Thailand Bond"/>
    <s v="พันธบัตรธนาคารแห่งประเทศไทยงวดที่ 21/182/61 "/>
    <s v="พันธบัตรธนาคารแห่งประเทศไทยงวดที่ 21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0"/>
    <b v="0"/>
    <s v="TRANSFERABLE"/>
    <s v=" "/>
    <s v=" "/>
    <b v="0"/>
    <b v="0"/>
    <m/>
    <m/>
    <s v="TH0655C7SB80"/>
    <m/>
    <m/>
    <m/>
    <m/>
    <m/>
    <m/>
  </r>
  <r>
    <x v="0"/>
    <x v="1"/>
    <x v="0"/>
    <x v="4"/>
    <x v="0"/>
    <x v="43"/>
    <m/>
    <s v="BOT"/>
    <m/>
    <s v="GOVERNMENT"/>
    <m/>
    <m/>
    <m/>
    <d v="2018-11-22T00:00:00"/>
    <n v="50"/>
    <m/>
    <n v="1.250019"/>
    <m/>
    <m/>
    <n v="4737050701.5"/>
    <m/>
    <n v="4736904175.8999996"/>
    <n v="0.13402800000000001"/>
    <n v="4745000000"/>
    <m/>
    <n v="4730369862.3100004"/>
    <n v="1.273101"/>
    <n v="2.19219106E-2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1"/>
    <x v="0"/>
    <x v="4"/>
    <x v="0"/>
    <x v="44"/>
    <m/>
    <s v="BOT"/>
    <m/>
    <s v="GOVERNMENT"/>
    <m/>
    <m/>
    <m/>
    <d v="2018-11-29T00:00:00"/>
    <n v="57"/>
    <m/>
    <n v="1.2233229999999999"/>
    <m/>
    <m/>
    <n v="605862870.48000002"/>
    <m/>
    <n v="605863125.41999996"/>
    <n v="0.15312899999999999"/>
    <n v="607000000"/>
    <m/>
    <n v="605392262.88"/>
    <n v="1.2230479999999999"/>
    <n v="2.803785E-3"/>
    <s v="CB18N29A"/>
    <m/>
    <s v="Bank of Thailand Bond"/>
    <s v="พันธบัตรธนาคารแห่งประเทศไทยงวดที่ 22/182/61 "/>
    <s v="พันธบัตรธนาคารแห่งประเทศไทยงวดที่ 22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51"/>
    <s v=" "/>
    <s v="THAILAND"/>
    <s v="THAILAND"/>
    <s v="TH"/>
    <s v=" "/>
    <n v="0"/>
    <b v="0"/>
    <s v="TRANSFERABLE"/>
    <s v=" "/>
    <s v=" "/>
    <b v="0"/>
    <b v="0"/>
    <m/>
    <m/>
    <s v="TH0655D7SB88"/>
    <m/>
    <m/>
    <m/>
    <m/>
    <m/>
    <m/>
  </r>
  <r>
    <x v="0"/>
    <x v="1"/>
    <x v="0"/>
    <x v="4"/>
    <x v="0"/>
    <x v="45"/>
    <m/>
    <s v="BOT"/>
    <m/>
    <s v="GOVERNMENT"/>
    <m/>
    <m/>
    <m/>
    <d v="2018-11-29T00:00:00"/>
    <n v="57"/>
    <m/>
    <n v="1.190833"/>
    <m/>
    <m/>
    <n v="7046126501.6999998"/>
    <m/>
    <n v="7045559875.7700005"/>
    <n v="0.153145"/>
    <n v="7059000000"/>
    <m/>
    <n v="7037257223.54"/>
    <n v="1.2433479999999999"/>
    <n v="3.2607747999999999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1"/>
    <x v="0"/>
    <x v="4"/>
    <x v="0"/>
    <x v="46"/>
    <m/>
    <s v="BOT"/>
    <m/>
    <s v="GOVERNMENT"/>
    <m/>
    <m/>
    <m/>
    <d v="2018-10-04T00:00:00"/>
    <n v="1"/>
    <m/>
    <n v="1.3106910000000001"/>
    <m/>
    <m/>
    <n v="2224000000"/>
    <m/>
    <n v="2224000000"/>
    <n v="2.7399999999999998E-3"/>
    <n v="2224000000"/>
    <m/>
    <n v="2212166177.6100001"/>
    <n v="1.1718999999999999"/>
    <n v="1.02921274E-2"/>
    <s v="CB18O04A"/>
    <m/>
    <s v="Bank of Thailand Bond"/>
    <s v="พันธบัตรธนาคารแห่งประเทศไทยงวดที่ 14/182/61"/>
    <s v="พันธบัตรธนาคารแห่งประเทศไทยงวดที่ 1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5"/>
    <s v=" "/>
    <s v="THAILAND"/>
    <s v="THAILAND"/>
    <s v="TH"/>
    <s v=" "/>
    <n v="0"/>
    <b v="0"/>
    <s v="TRANSFERABLE"/>
    <s v=" "/>
    <s v=" "/>
    <b v="0"/>
    <b v="0"/>
    <m/>
    <m/>
    <s v="TH065507SA88"/>
    <m/>
    <m/>
    <m/>
    <m/>
    <m/>
    <m/>
  </r>
  <r>
    <x v="0"/>
    <x v="1"/>
    <x v="0"/>
    <x v="4"/>
    <x v="0"/>
    <x v="47"/>
    <m/>
    <s v="BOT"/>
    <m/>
    <s v="GOVERNMENT"/>
    <m/>
    <m/>
    <m/>
    <d v="2018-10-04T00:00:00"/>
    <n v="1"/>
    <m/>
    <n v="1.245725"/>
    <m/>
    <m/>
    <n v="6391000000"/>
    <m/>
    <n v="6391000000"/>
    <n v="2.7399999999999998E-3"/>
    <n v="6391000000"/>
    <m/>
    <n v="6376471089.5100002"/>
    <n v="1.288675"/>
    <n v="2.9575982899999999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1"/>
    <x v="0"/>
    <x v="4"/>
    <x v="0"/>
    <x v="48"/>
    <m/>
    <s v="BOT"/>
    <m/>
    <s v="GOVERNMENT"/>
    <m/>
    <m/>
    <m/>
    <d v="2018-10-09T00:00:00"/>
    <n v="6"/>
    <m/>
    <n v="1.16547"/>
    <m/>
    <m/>
    <n v="946848830.38999999"/>
    <m/>
    <n v="946848830.38999999"/>
    <n v="1.3697000000000001E-2"/>
    <n v="947000000"/>
    <m/>
    <n v="946576851.99000001"/>
    <n v="1.16547"/>
    <n v="4.3817845000000003E-3"/>
    <s v="CB18O09A"/>
    <m/>
    <s v="Bank of Thailand Bond"/>
    <s v="พันธบัตรธนาคารแห่งประเทศไทยงวดที่ พ.38/14/61"/>
    <s v="พันธบัตรธนาคารแห่งประเทศไทยงวดที่ พ.38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8"/>
    <s v=" "/>
    <s v="THAILAND"/>
    <s v="THAILAND"/>
    <s v="TH"/>
    <s v=" "/>
    <n v="0"/>
    <b v="0"/>
    <s v="TRANSFERABLE"/>
    <s v=" "/>
    <s v=" "/>
    <b v="0"/>
    <b v="0"/>
    <m/>
    <m/>
    <s v="TH0655I7SA88"/>
    <m/>
    <m/>
    <m/>
    <m/>
    <m/>
    <m/>
  </r>
  <r>
    <x v="0"/>
    <x v="1"/>
    <x v="0"/>
    <x v="4"/>
    <x v="0"/>
    <x v="49"/>
    <m/>
    <s v="BOT"/>
    <m/>
    <s v="GOVERNMENT"/>
    <m/>
    <m/>
    <m/>
    <d v="2018-10-11T00:00:00"/>
    <n v="8"/>
    <m/>
    <n v="1.1412450000000001"/>
    <m/>
    <m/>
    <n v="451901093.36000001"/>
    <m/>
    <n v="451901093.36000001"/>
    <n v="1.9174E-2"/>
    <n v="452000000"/>
    <m/>
    <n v="451786093.20999998"/>
    <n v="1.1412439999999999"/>
    <n v="2.0912876E-3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0"/>
    <x v="4"/>
    <x v="0"/>
    <x v="50"/>
    <m/>
    <s v="BOT"/>
    <m/>
    <s v="GOVERNMENT"/>
    <m/>
    <m/>
    <m/>
    <d v="2018-10-11T00:00:00"/>
    <n v="8"/>
    <m/>
    <n v="1.309429"/>
    <m/>
    <m/>
    <n v="5124713066.4399996"/>
    <m/>
    <n v="5124712656.3599997"/>
    <n v="1.9174E-2"/>
    <n v="5126000000"/>
    <m/>
    <n v="5111320349.04"/>
    <n v="1.309858"/>
    <n v="2.3715917100000001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0"/>
    <x v="4"/>
    <x v="0"/>
    <x v="125"/>
    <m/>
    <s v="BOT"/>
    <m/>
    <s v="GOVERNMENT"/>
    <m/>
    <m/>
    <m/>
    <d v="2018-10-16T00:00:00"/>
    <n v="13"/>
    <m/>
    <n v="1.1120859999999999"/>
    <m/>
    <m/>
    <n v="5272072458.4799995"/>
    <m/>
    <n v="5272072458.4799995"/>
    <n v="3.2864999999999998E-2"/>
    <n v="5274000000"/>
    <m/>
    <n v="5271920064.8000002"/>
    <n v="1.1120859999999999"/>
    <n v="2.4397860300000001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4"/>
    <x v="0"/>
    <x v="51"/>
    <m/>
    <s v="BOT"/>
    <m/>
    <s v="GOVERNMENT"/>
    <m/>
    <m/>
    <m/>
    <d v="2018-10-18T00:00:00"/>
    <n v="15"/>
    <m/>
    <n v="1.1626540000000001"/>
    <m/>
    <m/>
    <n v="568746368.25"/>
    <m/>
    <n v="568746368.25"/>
    <n v="3.8338999999999998E-2"/>
    <n v="569000000"/>
    <m/>
    <n v="568517424.82000005"/>
    <n v="1.1626540000000001"/>
    <n v="2.6320189000000002E-3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1"/>
    <x v="0"/>
    <x v="4"/>
    <x v="0"/>
    <x v="52"/>
    <m/>
    <s v="BOT"/>
    <m/>
    <s v="GOVERNMENT"/>
    <m/>
    <m/>
    <m/>
    <d v="2018-10-18T00:00:00"/>
    <n v="15"/>
    <m/>
    <n v="1.318235"/>
    <m/>
    <m/>
    <n v="6013959188.71"/>
    <m/>
    <n v="6013894686.4700003"/>
    <n v="3.8338999999999998E-2"/>
    <n v="6017000000"/>
    <m/>
    <n v="5998593757.8100004"/>
    <n v="1.346217"/>
    <n v="2.7831130400000001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0"/>
    <x v="4"/>
    <x v="0"/>
    <x v="53"/>
    <m/>
    <s v="BOT"/>
    <m/>
    <s v="GOVERNMENT"/>
    <m/>
    <m/>
    <m/>
    <d v="2018-10-25T00:00:00"/>
    <n v="22"/>
    <m/>
    <n v="1.1568210000000001"/>
    <m/>
    <m/>
    <n v="409727296.69999999"/>
    <m/>
    <n v="409727296.69999999"/>
    <n v="5.7495999999999998E-2"/>
    <n v="410000000"/>
    <m/>
    <n v="409565806.44"/>
    <n v="1.1568210000000001"/>
    <n v="1.8961176000000001E-3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0"/>
    <x v="4"/>
    <x v="0"/>
    <x v="54"/>
    <m/>
    <s v="BOT"/>
    <m/>
    <s v="GOVERNMENT"/>
    <m/>
    <m/>
    <m/>
    <d v="2018-10-25T00:00:00"/>
    <n v="22"/>
    <m/>
    <n v="1.2516830000000001"/>
    <m/>
    <m/>
    <n v="7014948197.3999996"/>
    <m/>
    <n v="7014735000"/>
    <n v="5.7495999999999998E-2"/>
    <n v="7020000000"/>
    <m/>
    <n v="6998153843.1099997"/>
    <n v="1.304557"/>
    <n v="3.2463462399999997E-2"/>
    <s v="CB18O25B"/>
    <m/>
    <s v="Bank of Thailand Bond"/>
    <s v="พันธบัตรธนาคารแห่งประเทศไทยงวดที่ 30/91/61"/>
    <s v="พันธบัตรธนาคารแห่งประเทศไทยงวดที่ 3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7"/>
    <s v=" "/>
    <s v="THAILAND"/>
    <s v="THAILAND"/>
    <s v="TH"/>
    <s v=" "/>
    <n v="0"/>
    <b v="0"/>
    <s v="TRANSFERABLE"/>
    <s v=" "/>
    <s v=" "/>
    <b v="0"/>
    <b v="0"/>
    <m/>
    <m/>
    <s v="TH0655G7SA82"/>
    <m/>
    <m/>
    <m/>
    <m/>
    <m/>
    <m/>
  </r>
  <r>
    <x v="0"/>
    <x v="1"/>
    <x v="0"/>
    <x v="4"/>
    <x v="0"/>
    <x v="126"/>
    <m/>
    <s v="BOT"/>
    <m/>
    <s v="GOVERNMENT"/>
    <m/>
    <m/>
    <m/>
    <d v="2019-01-03T00:00:00"/>
    <n v="92"/>
    <m/>
    <n v="1.49"/>
    <m/>
    <m/>
    <n v="301878581.85000002"/>
    <m/>
    <n v="301875663.95999998"/>
    <n v="0.248392"/>
    <n v="303000000"/>
    <m/>
    <n v="301875662.52999997"/>
    <n v="1.4938940000000001"/>
    <n v="1.3970202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0"/>
    <x v="4"/>
    <x v="0"/>
    <x v="55"/>
    <m/>
    <s v="BOT"/>
    <m/>
    <s v="GOVERNMENT"/>
    <m/>
    <m/>
    <m/>
    <d v="2019-01-03T00:00:00"/>
    <n v="92"/>
    <m/>
    <n v="1.490618"/>
    <m/>
    <m/>
    <n v="6394236863.75"/>
    <m/>
    <n v="6394236863.75"/>
    <n v="0.25205499999999997"/>
    <n v="6418000000"/>
    <m/>
    <n v="6394236863.75"/>
    <n v="1.490618"/>
    <n v="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27"/>
    <s v="A+"/>
    <s v="BH"/>
    <s v="LISTED"/>
    <s v="HEALTH"/>
    <s v="A+"/>
    <m/>
    <m/>
    <d v="2018-12-20T00:00:00"/>
    <n v="78"/>
    <n v="4.59"/>
    <n v="1.5007159999999999"/>
    <n v="15000"/>
    <n v="1006.39876"/>
    <n v="15095981.4"/>
    <n v="199947.9"/>
    <n v="15080976.15"/>
    <n v="0.20937"/>
    <n v="15000000"/>
    <m/>
    <n v="15802862.25"/>
    <n v="1.97"/>
    <n v="7.0785799999999996E-5"/>
    <s v="BH18DA"/>
    <m/>
    <s v="BUMRUNGRAD HOSPITAL PCL"/>
    <s v="หุ้นกู้ของ บมจ. โรงพยาบาลบำรุงราษฎร์ ครั้งที่ 1/2554 ชุดที่ 2"/>
    <s v="หุ้นกู้ของ บมจ. โรงพยาบาลบำรุงราษฎร์ ครั้งที่ 1/2554 ชุดที่ 2 ครบกำหนดไถ่ถอนปี พ.ศ. 2561 "/>
    <s v="Bond"/>
    <s v="BH"/>
    <s v="1FxAc365P2B"/>
    <s v="DEBENTURE"/>
    <m/>
    <s v="HEALTH"/>
    <s v="SERVICES"/>
    <s v=" "/>
    <s v="ThaiBMA"/>
    <s v="THB"/>
    <s v=" "/>
    <s v=" "/>
    <s v="P/P"/>
    <s v=" "/>
    <s v="BOND"/>
    <s v="A+"/>
    <n v="5"/>
    <s v="BUMRUNGRAD HOSPITAL PLC."/>
    <s v="บมจ.โรงพยาบาลบำรุงราษฎร์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0897"/>
    <s v=" "/>
    <s v="THAILAND"/>
    <s v="THAILAND"/>
    <s v="TH"/>
    <s v=" "/>
    <n v="1500"/>
    <b v="0"/>
    <s v="TRANSFERABLE"/>
    <s v=" "/>
    <s v=" "/>
    <b v="0"/>
    <b v="0"/>
    <m/>
    <m/>
    <s v="TH016803SC07"/>
    <m/>
    <m/>
    <m/>
    <m/>
    <m/>
    <m/>
  </r>
  <r>
    <x v="0"/>
    <x v="1"/>
    <x v="0"/>
    <x v="5"/>
    <x v="0"/>
    <x v="128"/>
    <s v="A+"/>
    <s v="BJC"/>
    <s v="LISTED"/>
    <s v="COMMERCE"/>
    <s v="A+"/>
    <m/>
    <m/>
    <d v="2020-06-08T00:00:00"/>
    <n v="614"/>
    <n v="2.71"/>
    <n v="2.6794190000000002"/>
    <n v="50000"/>
    <n v="1000.44073"/>
    <n v="50022036.5"/>
    <n v="438055"/>
    <n v="50750401.5"/>
    <n v="1.616687"/>
    <n v="50000000"/>
    <m/>
    <n v="51013648"/>
    <n v="1.7949999999999999"/>
    <n v="2.335169E-4"/>
    <s v="BJC206A"/>
    <m/>
    <s v="BERLI JUCKER PLC."/>
    <s v="หุ้นกู้ของบริษัท เบอร์ลี่ ยุคเกอร์ จำกัด (มหาชน) ครั้งที่ 2/2559"/>
    <s v="หุ้นกู้ของบริษัท เบอร์ลี่ ยุคเกอร์ จำกัด (มหาชน) ครั้งที่ 2/2559 ชุดที่ 1 ครบกำหนดไถ่ถอนปี พ.ศ. 2563"/>
    <s v="Bond"/>
    <s v="BJC"/>
    <s v="1FxAc365P2B"/>
    <s v="DEBENTURE"/>
    <m/>
    <s v="COMMERCE"/>
    <s v="SERVICES"/>
    <s v=" "/>
    <s v="ThaiBMA"/>
    <s v="THB"/>
    <s v=" "/>
    <s v=" "/>
    <s v="P/P"/>
    <s v=" "/>
    <s v="BOND"/>
    <s v="A+"/>
    <n v="5"/>
    <s v="BERLI JUCKER PLC."/>
    <s v="บมจ.เบอร์ลี่ ยุคเกอร์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712"/>
    <s v=" "/>
    <s v="THAILAND"/>
    <s v="THAILAND"/>
    <s v="TH"/>
    <s v=" "/>
    <n v="10000"/>
    <b v="0"/>
    <s v="TRANSFERABLE"/>
    <s v=" "/>
    <s v=" "/>
    <b v="0"/>
    <b v="0"/>
    <m/>
    <m/>
    <s v="TH000203U604"/>
    <m/>
    <m/>
    <m/>
    <m/>
    <m/>
    <m/>
  </r>
  <r>
    <x v="0"/>
    <x v="1"/>
    <x v="0"/>
    <x v="5"/>
    <x v="0"/>
    <x v="129"/>
    <s v="A"/>
    <s v="BTG"/>
    <s v="UNLISTED"/>
    <s v="AGRIBUSINE"/>
    <s v="A"/>
    <m/>
    <m/>
    <d v="2019-11-14T00:00:00"/>
    <n v="407"/>
    <n v="3.52"/>
    <n v="1.99163"/>
    <n v="8000"/>
    <n v="1016.57147"/>
    <n v="8132571.7599999998"/>
    <n v="110325.44"/>
    <n v="8154046.6399999997"/>
    <n v="1.0761309999999999"/>
    <n v="8000000"/>
    <m/>
    <n v="8202076.3200000003"/>
    <n v="1.75"/>
    <n v="3.8146099999999997E-5"/>
    <s v="BTG19NA"/>
    <m/>
    <s v="BETAGRO PLC."/>
    <s v="หุ้นกู้ของ บมจ. เบทาโกร ครั้งที่ 1/2557 ชุดที่ 2"/>
    <s v="หุ้นกู้ของ บมจ. เบทาโกร ครั้งที่ 1/2557 ชุดที่ 2 ครบกำหนดไถ่ถอนปี พ.ศ. 2562"/>
    <s v="Bond"/>
    <s v="BTG"/>
    <s v="1FxAc365P2B"/>
    <s v="DEBENTURE"/>
    <m/>
    <s v="AGRIBUSINESS"/>
    <s v=" "/>
    <s v=" "/>
    <s v="ThaiBMA"/>
    <s v="THB"/>
    <s v=" "/>
    <s v=" "/>
    <s v="P/P"/>
    <s v=" "/>
    <s v="BOND"/>
    <s v="A"/>
    <n v="6"/>
    <s v="BETAGRO PLC."/>
    <s v="บริษัท เบทาโกร จำกัด (มหาชน) "/>
    <s v="UN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57"/>
    <s v=" "/>
    <s v="THAILAND"/>
    <s v="THAILAND"/>
    <s v="TH"/>
    <s v=" "/>
    <n v="4000"/>
    <b v="0"/>
    <s v="TRANSFERABLE"/>
    <s v=" "/>
    <s v=" "/>
    <b v="0"/>
    <b v="0"/>
    <m/>
    <m/>
    <s v="TH061203TB09"/>
    <m/>
    <m/>
    <m/>
    <m/>
    <m/>
    <m/>
  </r>
  <r>
    <x v="0"/>
    <x v="1"/>
    <x v="0"/>
    <x v="5"/>
    <x v="0"/>
    <x v="56"/>
    <s v="A(tha)"/>
    <s v="CPALL"/>
    <s v="LISTED"/>
    <s v="COMMERCE"/>
    <s v="A+"/>
    <m/>
    <m/>
    <d v="2018-10-31T00:00:00"/>
    <n v="28"/>
    <n v="4.7"/>
    <n v="1.544748"/>
    <n v="40000"/>
    <n v="1002.1191700000001"/>
    <n v="40084766.799999997"/>
    <n v="808657.6"/>
    <n v="40059156.399999999"/>
    <n v="7.3421E-2"/>
    <n v="40000000"/>
    <m/>
    <n v="41756343.200000003"/>
    <n v="2.4"/>
    <n v="1.8924480000000001E-4"/>
    <s v="CPALL18OB"/>
    <m/>
    <s v="CP ALL PLC."/>
    <s v="หุ้นกู้บริษัท ซีพี ออลล์ จำกัด (มหาชน) ครั้งที่ 1/2556 ชุดที่ 6"/>
    <s v="หุ้นกู้บริษัท ซีพี ออลล์ จำกัด (มหาชน) ครั้งที่ 1/2556 ชุดที่ 6 ครบกำหนดไถ่ถอนปี พ.ศ. 2561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78"/>
    <s v=" "/>
    <s v="THAILAND"/>
    <s v="THAILAND"/>
    <s v="TH"/>
    <s v=" "/>
    <n v="10000"/>
    <b v="0"/>
    <s v="TRANSFERABLE"/>
    <s v=" "/>
    <s v=" "/>
    <b v="0"/>
    <b v="0"/>
    <m/>
    <m/>
    <s v="TH0737A3SA02"/>
    <m/>
    <m/>
    <m/>
    <m/>
    <m/>
    <m/>
  </r>
  <r>
    <x v="0"/>
    <x v="1"/>
    <x v="0"/>
    <x v="5"/>
    <x v="0"/>
    <x v="130"/>
    <s v="A(tha)"/>
    <s v="CPALL"/>
    <s v="LISTED"/>
    <s v="COMMERCE"/>
    <s v="A+"/>
    <m/>
    <m/>
    <d v="2019-03-27T00:00:00"/>
    <n v="175"/>
    <n v="4.3"/>
    <n v="1.847267"/>
    <n v="1000"/>
    <n v="1011.76028"/>
    <n v="1011760.28"/>
    <n v="824.66"/>
    <n v="1008173.07"/>
    <n v="0.47234999999999999"/>
    <n v="1000000"/>
    <m/>
    <n v="1035830.77"/>
    <n v="2.6"/>
    <n v="4.6859999999999997E-6"/>
    <s v="CPALL193A"/>
    <m/>
    <s v="CP ALL PLC."/>
    <s v="หุ้นกู้บริษัท ซีพี ออลล์ จำกัด (มหาชน) ครั้งที่ 1/2557 ชุดที่ 2"/>
    <s v="หุ้นกู้บริษัท ซีพี ออลล์ จำกัด (มหาชน) ครั้งที่ 1/2557 ชุดที่ 2 ครบกำหนดไถ่ถอนปี พ.ศ. 2562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725"/>
    <s v=" "/>
    <s v="THAILAND"/>
    <s v="THAILAND"/>
    <s v="TH"/>
    <s v=" "/>
    <n v="10000"/>
    <b v="0"/>
    <s v="TRANSFERABLE"/>
    <s v=" "/>
    <s v=" "/>
    <b v="0"/>
    <b v="0"/>
    <m/>
    <m/>
    <s v="TH073703T300"/>
    <m/>
    <m/>
    <m/>
    <m/>
    <m/>
    <m/>
  </r>
  <r>
    <x v="0"/>
    <x v="1"/>
    <x v="0"/>
    <x v="5"/>
    <x v="0"/>
    <x v="131"/>
    <s v="BBB+"/>
    <s v="DMT"/>
    <s v="LISTED"/>
    <s v="TRANSPORTA"/>
    <s v="BBB+"/>
    <m/>
    <m/>
    <d v="2018-11-30T00:00:00"/>
    <n v="58"/>
    <n v="2.33"/>
    <n v="1.8622840000000001"/>
    <n v="70000"/>
    <n v="1000.61862"/>
    <n v="70043303.400000006"/>
    <n v="567498.4"/>
    <n v="70000000"/>
    <n v="0.15474299999999999"/>
    <n v="70000000"/>
    <m/>
    <n v="70000000"/>
    <n v="2.33"/>
    <n v="3.2676949999999998E-4"/>
    <s v="DMT18NB"/>
    <m/>
    <s v="DON MUANG TOLLWAY PUBLIC COMPANY LIMITED"/>
    <s v="หุ้นกู้ของบริษัท ทางยกระดับดอนเมือง จำกัด (มหาชน) ครั้งที่ 1/2560 ชุดที่ 1 "/>
    <s v="หุ้นกู้ของบริษัท ทางยกระดับดอนเมือง จำกัด (มหาชน) ครั้งที่ 1/2560 ชุดที่ 1 ครบกำหนดไถ่ถอนปี พ.ศ. 2561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7SB09"/>
    <m/>
    <m/>
    <m/>
    <m/>
    <m/>
    <m/>
  </r>
  <r>
    <x v="0"/>
    <x v="1"/>
    <x v="0"/>
    <x v="5"/>
    <x v="0"/>
    <x v="132"/>
    <s v="BBB+"/>
    <s v="DMT"/>
    <s v="LISTED"/>
    <s v="TRANSPORTA"/>
    <s v="BBB+"/>
    <m/>
    <m/>
    <d v="2020-11-30T00:00:00"/>
    <n v="789"/>
    <n v="3.08"/>
    <n v="3.4115500000000001"/>
    <n v="69000"/>
    <n v="993.00928999999996"/>
    <n v="68517641.010000005"/>
    <n v="739452.99"/>
    <n v="69000000"/>
    <n v="2.0462199999999999"/>
    <n v="69000000"/>
    <m/>
    <n v="69000000"/>
    <n v="3.08"/>
    <n v="3.2050489999999997E-4"/>
    <s v="DMT20NA"/>
    <m/>
    <s v="DON MUANG TOLLWAY PUBLIC COMPANY LIMITED"/>
    <s v="หุ้นกู้ของบริษัท ทางยกระดับดอนเมือง จำกัด (มหาชน) ครั้งที่ 1/2560 ชุดที่ 2 "/>
    <s v="หุ้นกู้ของบริษัท ทางยกระดับดอนเมือง จำกัด (มหาชน) ครั้งที่ 1/2560 ชุดที่ 2 ครบกำหนดไถ่ถอนปี พ.ศ. 2563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3UB09"/>
    <m/>
    <m/>
    <m/>
    <m/>
    <m/>
    <m/>
  </r>
  <r>
    <x v="0"/>
    <x v="1"/>
    <x v="0"/>
    <x v="5"/>
    <x v="0"/>
    <x v="133"/>
    <m/>
    <s v="GOLD"/>
    <s v="LISTED"/>
    <s v="PROPERTY"/>
    <s v="BBB+"/>
    <m/>
    <m/>
    <d v="2019-11-23T00:00:00"/>
    <n v="416"/>
    <n v="3.35"/>
    <n v="2.873605"/>
    <n v="313000"/>
    <n v="1005.13024"/>
    <n v="314605765.12"/>
    <n v="3849471.19"/>
    <n v="313000000"/>
    <n v="1.096746"/>
    <n v="313000000"/>
    <m/>
    <n v="313000000"/>
    <n v="3.35"/>
    <n v="1.4737328E-3"/>
    <s v="GOLD19NA"/>
    <m/>
    <s v="GOLDEN LAND PROPERTY DEVELOPMENT PLC."/>
    <s v="หุ้นกู้ของบริษัท แผ่นดินทอง พร็อพเพอร์ตี้ ดีเวลลอปเม้นท์ จำกัด (มหาชน) ครั้งที่ 1/2559"/>
    <s v="หุ้นกู้ของบริษัท แผ่นดินทอง พร็อพเพอร์ตี้ ดีเวลลอปเม้นท์ จำกัด (มหาชน) ครั้งที่ 1/2559 ครบกำหนดไถ่ถอนปี พ.ศ. 2562"/>
    <s v="Bond"/>
    <s v="GOLD"/>
    <s v="1FxAc365P2B"/>
    <s v="DEBENTURE"/>
    <m/>
    <s v="PROPERTY"/>
    <s v="PROPERTY &amp; CON"/>
    <s v=" "/>
    <s v="ThaiBMA"/>
    <s v="THB"/>
    <s v=" "/>
    <s v=" "/>
    <s v="P/P"/>
    <s v=" "/>
    <s v="BOND"/>
    <m/>
    <m/>
    <s v="GOLDEN LAND PROPERTY DEVELOPMENT PLC."/>
    <s v="บมจ.แผ่นดินทอง พร็อพเพอร์ตี้ ดีเวลลอปเม้นท์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697"/>
    <s v=" "/>
    <s v="THAILAND"/>
    <s v="THAILAND"/>
    <s v="TH"/>
    <s v=" "/>
    <n v="3400"/>
    <b v="0"/>
    <s v="TRANSFERABLE"/>
    <s v=" "/>
    <s v=" "/>
    <b v="0"/>
    <b v="0"/>
    <m/>
    <m/>
    <s v="TH040003TB05"/>
    <m/>
    <m/>
    <m/>
    <m/>
    <m/>
    <m/>
  </r>
  <r>
    <x v="0"/>
    <x v="1"/>
    <x v="0"/>
    <x v="5"/>
    <x v="0"/>
    <x v="134"/>
    <s v="AAA(tha)"/>
    <s v="ICBCTL"/>
    <s v="UNLISTED"/>
    <s v="FIN &amp; SEC."/>
    <s v="AAA(tha)"/>
    <m/>
    <m/>
    <d v="2019-11-26T00:00:00"/>
    <n v="419"/>
    <n v="2.15"/>
    <n v="2.108511"/>
    <n v="10000"/>
    <n v="1000.36703"/>
    <n v="10003670.300000001"/>
    <n v="77164.399999999994"/>
    <n v="10070288.1"/>
    <n v="1.117532"/>
    <n v="10000000"/>
    <m/>
    <n v="10101613.1"/>
    <n v="1.52"/>
    <n v="4.6651599999999999E-5"/>
    <s v="ICBCTL19NA"/>
    <m/>
    <s v="ICBC (Thai) Leasing Company Limited"/>
    <s v="หุ้นกู้ของ บริษัท ลีสซิ่งไอซีบีซี (ไทย) จำกัด ครั้งที่ 1/2560 ชุดที่ 1 "/>
    <s v="หุ้นกู้ของ บริษัท ลีสซิ่งไอซีบีซี (ไทย) จำกัด ครั้งที่ 1/2560 ชุดที่ 1 ครบกำหนดไถ่ถอนปี พ.ศ. 2562"/>
    <s v="Bond"/>
    <s v="ICBCTL"/>
    <s v="1FxAc365P2B"/>
    <s v="DEBENTURE"/>
    <m/>
    <s v="FIN &amp; SEC."/>
    <s v="FINANCIALS"/>
    <s v=" "/>
    <s v="ThaiBMA"/>
    <s v="THB"/>
    <s v=" "/>
    <s v=" "/>
    <s v="P/P"/>
    <s v=" "/>
    <s v="BOND"/>
    <s v="AAA(tha)"/>
    <n v="1"/>
    <s v="ICBC (THAI) LEASING COMPANY LIMITED"/>
    <s v="บริษัท ลีสซิ่งไอซีบีซี (ไทย) จำกัด"/>
    <s v="UNLISTED"/>
    <s v=" "/>
    <s v="AAA(tha)"/>
    <s v="YES"/>
    <s v=" "/>
    <s v=" 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1"/>
    <s v=" "/>
    <s v="THAILAND"/>
    <s v="THAILAND"/>
    <s v="TH"/>
    <s v=" "/>
    <n v="1100"/>
    <b v="0"/>
    <s v="TRANSFERABLE"/>
    <s v=" "/>
    <s v=" "/>
    <b v="0"/>
    <b v="0"/>
    <m/>
    <m/>
    <s v="TH386103TB01"/>
    <m/>
    <m/>
    <m/>
    <m/>
    <m/>
    <m/>
  </r>
  <r>
    <x v="0"/>
    <x v="1"/>
    <x v="0"/>
    <x v="5"/>
    <x v="0"/>
    <x v="135"/>
    <m/>
    <s v="KKP"/>
    <s v="LISTED"/>
    <s v="BANKING"/>
    <s v="A-"/>
    <m/>
    <m/>
    <d v="2018-11-15T00:00:00"/>
    <n v="43"/>
    <n v="1.6"/>
    <n v="1.481109"/>
    <n v="500000"/>
    <n v="1000.11987"/>
    <n v="500059935"/>
    <n v="4909590"/>
    <n v="500000000"/>
    <n v="0.114885"/>
    <n v="500000000"/>
    <m/>
    <n v="500000000"/>
    <n v="1.6"/>
    <n v="2.3368753000000001E-3"/>
    <s v="KK18N15A"/>
    <m/>
    <s v="KIATNAKIN BANK PLC."/>
    <s v="หุ้นกู้ระยะสั้น ธนาคารเกียรตินาคิน จำกัด (มหาชน) ครั้งที่ 30/2561"/>
    <s v="หุ้นกู้ระยะสั้น ธนาคารเกียรตินาคิน จำกัด (มหาชน) ครั้งที่ 30/2561 มูลค่า 500.00 ล้านบาท ครบกำหนดไถ่ถอนวันที่ 15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3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6"/>
    <m/>
    <s v="KKP"/>
    <s v="LISTED"/>
    <s v="BANKING"/>
    <s v="A-"/>
    <m/>
    <m/>
    <d v="2018-11-20T00:00:00"/>
    <n v="48"/>
    <n v="1.6"/>
    <n v="1.47966"/>
    <n v="500000"/>
    <n v="1000.13632"/>
    <n v="500068160"/>
    <n v="4821920"/>
    <n v="500000000"/>
    <n v="0.12853500000000001"/>
    <n v="500000000"/>
    <m/>
    <n v="500000000"/>
    <n v="1.6"/>
    <n v="2.3365077000000001E-3"/>
    <s v="KK18N20A"/>
    <m/>
    <s v="KIATNAKIN BANK PLC."/>
    <s v="หุ้นกู้ระยะสั้น ธนาคารเกียรตินาคิน จำกัด (มหาชน) ครั้งที่ 31/2561"/>
    <s v="หุ้นกู้ระยะสั้น ธนาคารเกียรตินาคิน จำกัด (มหาชน) ครั้งที่ 31/2561 มูลค่า 500.00 ล้านบาท ครบกำหนดไถ่ถอนวันที่ 2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7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7"/>
    <m/>
    <s v="KKP"/>
    <s v="LISTED"/>
    <s v="BANKING"/>
    <s v="A-"/>
    <m/>
    <m/>
    <d v="2018-11-22T00:00:00"/>
    <n v="50"/>
    <n v="1.6"/>
    <n v="1.48692"/>
    <n v="500000"/>
    <n v="1000.13238"/>
    <n v="500066190"/>
    <n v="4800000"/>
    <n v="500000000"/>
    <n v="0.133994"/>
    <n v="500000000"/>
    <m/>
    <n v="500000000"/>
    <n v="1.6"/>
    <n v="2.3363971000000001E-3"/>
    <s v="KK18N22A"/>
    <m/>
    <s v="KIATNAKIN BANK PLC."/>
    <s v="หุ้นกู้ระยะสั้น ธนาคารเกียรตินาคิน จำกัด (มหาชน) ครั้งที่ 32/2561 มูลค่า 500.00 ล้านบาท "/>
    <s v="หุ้นกู้ระยะสั้น ธนาคารเกียรตินาคิน จำกัด (มหาชน) ครั้งที่ 32/2561 มูลค่า 500.00 ล้านบาท ครบกำหนดไถ่ถอนวันที่ 22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8"/>
    <m/>
    <s v="KKP"/>
    <s v="LISTED"/>
    <s v="BANKING"/>
    <s v="A-"/>
    <m/>
    <m/>
    <d v="2018-11-23T00:00:00"/>
    <n v="51"/>
    <n v="1.6"/>
    <n v="1.489452"/>
    <n v="500000"/>
    <n v="1000.13158"/>
    <n v="500065790"/>
    <n v="4800000"/>
    <n v="500000000"/>
    <n v="0.13672300000000001"/>
    <n v="500000000"/>
    <m/>
    <n v="500000000"/>
    <n v="1.6"/>
    <n v="2.3363951999999999E-3"/>
    <s v="KK18N23A"/>
    <m/>
    <s v="KIATNAKIN BANK PLC."/>
    <s v="หุ้นกู้ระยะสั้น ธนาคารเกียรตินาคิน จำกัด (มหาชน) ครั้งที่ 33/2561 มูลค่า 500.00 ล้านบาท "/>
    <s v="หุ้นกู้ระยะสั้น ธนาคารเกียรตินาคิน จำกัด (มหาชน) ครั้งที่ 33/2561 มูลค่า 500.00 ล้านบาท ครบกำหนดไถ่ถอนวันที่ 23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9"/>
    <m/>
    <s v="KKP"/>
    <s v="LISTED"/>
    <s v="BANKING"/>
    <s v="A-"/>
    <m/>
    <m/>
    <d v="2018-11-30T00:00:00"/>
    <n v="58"/>
    <n v="1.6"/>
    <n v="1.468547"/>
    <n v="130000"/>
    <n v="1000.18364"/>
    <n v="130023873.2"/>
    <n v="1202411.6000000001"/>
    <n v="130000000"/>
    <n v="0.15581700000000001"/>
    <n v="130000000"/>
    <m/>
    <n v="130000000"/>
    <n v="1.6"/>
    <n v="6.0728310000000005E-4"/>
    <s v="KK18N30B"/>
    <m/>
    <s v="KIATNAKIN BANK PLC."/>
    <s v="หุ้นกู้ระยะสั้น ธนาคารเกียรตินาคิน จำกัด (มหาชน) ครั้งที่ 44/2561"/>
    <s v="หุ้นกู้ระยะสั้น ธนาคารเกียรตินาคิน จำกัด (มหาชน) ครั้งที่ 44/2561 มูลค่า 130.00 ล้านบาท ครบกำหนดไถ่ถอนวันที่ 3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0"/>
    <m/>
    <s v="KKP"/>
    <s v="LISTED"/>
    <s v="BANKING"/>
    <s v="A-"/>
    <m/>
    <m/>
    <d v="2019-01-18T00:00:00"/>
    <n v="107"/>
    <n v="1.6"/>
    <n v="1.5710409999999999"/>
    <n v="200000"/>
    <n v="1000.05126"/>
    <n v="200010252"/>
    <n v="1429042"/>
    <n v="200000000"/>
    <n v="0.28909200000000002"/>
    <n v="200000000"/>
    <m/>
    <n v="200000000"/>
    <n v="1.6"/>
    <n v="9.3221169999999998E-4"/>
    <s v="KK19118A"/>
    <m/>
    <s v="KIATNAKIN BANK PLC."/>
    <s v="หุ้นกู้ระยะสั้น ธนาคารเกียรตินาคิน จำกัด (มหาชน) ครั้งที่ 77/2561 มูลค่า 200.00 ล้านบาท "/>
    <s v="หุ้นกู้ระยะสั้น ธนาคารเกียรตินาคิน จำกัด (มหาชน) ครั้งที่ 77/2561 มูลค่า 2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4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1"/>
    <m/>
    <s v="KKP"/>
    <s v="LISTED"/>
    <s v="BANKING"/>
    <s v="A-"/>
    <m/>
    <m/>
    <d v="2019-01-18T00:00:00"/>
    <n v="107"/>
    <n v="1.6"/>
    <n v="1.5710409999999999"/>
    <n v="850000"/>
    <n v="1000.05147"/>
    <n v="850043749.5"/>
    <n v="6036164.5"/>
    <n v="850000000"/>
    <n v="0.28909200000000002"/>
    <n v="850000000"/>
    <m/>
    <n v="850000000"/>
    <n v="1.6"/>
    <n v="3.9617282000000004E-3"/>
    <s v="KK19118B"/>
    <m/>
    <s v="KIATNAKIN BANK PLC."/>
    <s v="หุ้นกู้ระยะสั้น ธนาคารเกียรตินาคิน จำกัด (มหาชน) ครั้งที่ 78/2561 มูลค่า 1,000.00 ล้านบาท "/>
    <s v="หุ้นกู้ระยะสั้น ธนาคารเกียรตินาคิน จำกัด (มหาชน) ครั้งที่ 78/2561 มูลค่า 1,0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5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2"/>
    <s v="A-"/>
    <s v="KKP"/>
    <s v="LISTED"/>
    <s v="BANKING"/>
    <s v="A-"/>
    <m/>
    <m/>
    <d v="2020-03-20T00:00:00"/>
    <n v="534"/>
    <n v="1.72"/>
    <n v="2.2653089999999998"/>
    <n v="925000"/>
    <n v="992.29187000000002"/>
    <n v="917869979.75"/>
    <n v="610250.25"/>
    <n v="925000000"/>
    <n v="1.4285429999999999"/>
    <n v="925000000"/>
    <m/>
    <n v="925000000"/>
    <n v="1.72"/>
    <n v="4.2505015999999996E-3"/>
    <s v="KK203A"/>
    <m/>
    <s v="KIATNAKIN BANK PLC."/>
    <s v="หุ้นกู้ของธนาคารเกียรตินาคิน จำกัด (มหาชน) ครั้งที่ 2/2561 "/>
    <s v="หุ้นกู้ของธนาคารเกียรตินาคิน จำกัด (มหาชน) ครั้งที่ 2/2561 ครบกำหนดไถ่ถอนปี พ.ศ. 2563"/>
    <s v="Bond"/>
    <s v="KKP"/>
    <s v="1FxAc365P2B"/>
    <s v="DEBENTURE"/>
    <m/>
    <s v="BANKING"/>
    <s v="FINANCIALS"/>
    <s v=" "/>
    <s v="ThaiBMA"/>
    <s v="THB"/>
    <s v=" "/>
    <s v=" "/>
    <s v="P/P"/>
    <s v=" "/>
    <s v="BOND"/>
    <s v="A-"/>
    <n v="7"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9"/>
    <s v=" "/>
    <s v="THAILAND"/>
    <s v="THAILAND"/>
    <s v="TH"/>
    <s v=" "/>
    <n v="16000"/>
    <b v="0"/>
    <s v="TRANSFERABLE"/>
    <s v=" "/>
    <s v=" "/>
    <b v="0"/>
    <b v="0"/>
    <m/>
    <m/>
    <s v="TH012103U305"/>
    <m/>
    <m/>
    <m/>
    <m/>
    <m/>
    <m/>
  </r>
  <r>
    <x v="0"/>
    <x v="1"/>
    <x v="0"/>
    <x v="5"/>
    <x v="0"/>
    <x v="143"/>
    <m/>
    <s v="LHB"/>
    <s v="UNLISTED"/>
    <s v="BANKING"/>
    <s v="A-"/>
    <m/>
    <m/>
    <d v="2019-09-30T00:00:00"/>
    <n v="362"/>
    <n v="1.7"/>
    <n v="2.1571600000000002"/>
    <n v="1159000"/>
    <n v="995.63692000000003"/>
    <n v="1153943190.28"/>
    <n v="215921.7"/>
    <n v="1159000000"/>
    <n v="0.97024299999999997"/>
    <n v="1159000000"/>
    <m/>
    <n v="1159000000"/>
    <n v="1.7"/>
    <n v="5.3411657E-3"/>
    <s v="LHBANK199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ครบกำหนดไถ่ถอนปี พ.ศ.2562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4"/>
    <m/>
    <s v="LHB"/>
    <s v="UNLISTED"/>
    <s v="BANKING"/>
    <s v="A-"/>
    <m/>
    <m/>
    <d v="2020-03-30T00:00:00"/>
    <n v="544"/>
    <n v="1.75"/>
    <n v="2.281263"/>
    <n v="160000"/>
    <n v="992.35686999999996"/>
    <n v="158777099.19999999"/>
    <n v="30684.799999999999"/>
    <n v="160000000"/>
    <n v="1.4553020000000001"/>
    <n v="160000000"/>
    <m/>
    <n v="160000000"/>
    <n v="1.75"/>
    <n v="7.3492350000000002E-4"/>
    <s v="LHBANK203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ครบกำหนดไถ่ถอนปี พ.ศ.2563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5"/>
    <s v="A+"/>
    <s v="MP"/>
    <s v="UNLISTED"/>
    <s v="AGRIBUSINE"/>
    <s v="A+"/>
    <m/>
    <m/>
    <d v="2018-10-17T00:00:00"/>
    <n v="14"/>
    <n v="4.53"/>
    <n v="1.5024999999999999"/>
    <n v="70000"/>
    <n v="1001.0063"/>
    <n v="70070441"/>
    <n v="1476904.1"/>
    <n v="70056386.400000006"/>
    <n v="3.5357E-2"/>
    <n v="70000000"/>
    <m/>
    <n v="73246362"/>
    <n v="2.0590000000000002"/>
    <n v="3.3110360000000001E-4"/>
    <s v="MPSC18OA"/>
    <m/>
    <s v="MITR PHOL SUGAR CORPORATION LIMITED."/>
    <s v="หุ้นกู้ของบริษัท น้ำตาลมิตรผล จำกัด ครั้งที่ 3/2556 ชุดที่ 2"/>
    <s v="หุ้นกู้ของบริษัท น้ำตาลมิตรผล จำกัด ครั้งที่ 3/2556 ชุดที่ 2 ครบกำหนดไถ่ถอนปี พ.ศ. 2561 "/>
    <s v="Bond"/>
    <s v="MP"/>
    <s v="1FxAc365P2B"/>
    <s v="DEBENTURE"/>
    <m/>
    <s v="AGRIBUSINESS"/>
    <s v="AGRO &amp; FOOD"/>
    <s v=" "/>
    <s v="ThaiBMA"/>
    <s v="THB"/>
    <s v=" "/>
    <s v=" "/>
    <s v="P/P"/>
    <s v=" "/>
    <s v="BOND"/>
    <s v="A+"/>
    <n v="5"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64"/>
    <s v=" "/>
    <s v="THAILAND"/>
    <s v="THAILAND"/>
    <s v="TH"/>
    <s v=" "/>
    <n v="17000"/>
    <b v="0"/>
    <s v="TRANSFERABLE"/>
    <s v=" "/>
    <s v=" "/>
    <b v="0"/>
    <b v="0"/>
    <m/>
    <m/>
    <s v="TH096903SA00"/>
    <m/>
    <m/>
    <m/>
    <m/>
    <m/>
    <m/>
  </r>
  <r>
    <x v="0"/>
    <x v="1"/>
    <x v="0"/>
    <x v="5"/>
    <x v="0"/>
    <x v="146"/>
    <s v="A"/>
    <s v="PS"/>
    <s v="LISTED"/>
    <s v="PROPERTY"/>
    <s v="A"/>
    <m/>
    <m/>
    <d v="2018-11-13T00:00:00"/>
    <n v="41"/>
    <n v="2.68"/>
    <n v="1.459903"/>
    <n v="13500"/>
    <n v="1001.27552"/>
    <n v="13517219.52"/>
    <n v="51544.08"/>
    <n v="13506786.720000001"/>
    <n v="0.109195"/>
    <n v="13500000"/>
    <m/>
    <n v="13623817.58"/>
    <n v="2.1649630000000002"/>
    <n v="6.27929E-5"/>
    <s v="PS18NA"/>
    <m/>
    <s v="PREUKSA REAL ESTATE PLC."/>
    <s v="หุ้นกู้ของ บริษัท พฤกษา เรียลเอสเตท จำกัด (มหาชน) ครั้งที่ 1/2558 ชุดที่ 1"/>
    <s v="หุ้นกู้ของ บริษัท พฤกษา เรียลเอสเตท จำกัด (มหาชน) ครั้งที่ 1/2558 ชุดที่ 1 ครบกำหนดไถ่ถอนปี พ.ศ. 2561"/>
    <s v="Bond"/>
    <s v="PS"/>
    <s v="1FxAc365P4B"/>
    <s v="DEBENTURE"/>
    <m/>
    <s v="PROPERTY"/>
    <s v="PROPERTY &amp; CON"/>
    <s v=" "/>
    <s v="ThaiBMA"/>
    <s v="THB"/>
    <s v=" "/>
    <s v=" "/>
    <s v="P/O"/>
    <s v=" "/>
    <s v="BOND"/>
    <s v="A"/>
    <n v="6"/>
    <s v="PREUKSA REAL ESTATE CO.,LTD."/>
    <s v="บมจ.พฤกษา เรียลเอสเตท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137"/>
    <s v=" "/>
    <s v="THAILAND"/>
    <s v="THAILAND"/>
    <s v="TH"/>
    <s v=" "/>
    <n v="7000"/>
    <b v="0"/>
    <s v="TRANSFERABLE"/>
    <s v=" "/>
    <s v=" "/>
    <b v="0"/>
    <b v="0"/>
    <m/>
    <m/>
    <s v="TH087803SB09"/>
    <m/>
    <m/>
    <m/>
    <m/>
    <m/>
    <m/>
  </r>
  <r>
    <x v="0"/>
    <x v="1"/>
    <x v="0"/>
    <x v="5"/>
    <x v="0"/>
    <x v="147"/>
    <s v="A-"/>
    <s v="QH"/>
    <s v="LISTED"/>
    <s v="PROPERTY"/>
    <s v="A-"/>
    <m/>
    <m/>
    <d v="2021-03-05T00:00:00"/>
    <n v="884"/>
    <n v="2.16"/>
    <n v="2.6300370000000002"/>
    <n v="363000"/>
    <n v="989.14369999999997"/>
    <n v="359059163.10000002"/>
    <n v="622966.07999999996"/>
    <n v="363000000"/>
    <n v="2.3325520000000002"/>
    <n v="363000000"/>
    <m/>
    <n v="363000000"/>
    <n v="2.16"/>
    <n v="1.6645207999999999E-3"/>
    <s v="QH213A"/>
    <m/>
    <s v="QUALITY HOUSES PLC."/>
    <s v="หุ้นกู้ไม่ด้อยสิทธิและไม่มีประกันของบริษัท ควอลิตี้เฮ้าส์ จำกัด (มหาชน) ครั้งที่ 1/2561"/>
    <s v="หุ้นกู้ไม่ด้อยสิทธิและไม่มีประกันของบริษัท ควอลิตี้เฮ้าส์ จำกัด (มหาชน) ครั้งที่ 1/2561 ครบกำหนดไถ่ถอนปี 2564"/>
    <s v="Bond"/>
    <s v="QH"/>
    <s v="1FxAc365P2B"/>
    <s v="DEBENTURE"/>
    <m/>
    <s v="PROPERTY"/>
    <s v="PROPERTY &amp; CON"/>
    <s v=" "/>
    <s v="ThaiBMA"/>
    <s v="THB"/>
    <s v=" "/>
    <s v=" "/>
    <s v="P/P"/>
    <s v=" "/>
    <s v="BOND"/>
    <s v="A-"/>
    <n v="7"/>
    <s v="QUALITY HOUSES PLC."/>
    <s v="บมจ.ควอลิตี้เฮ้าส์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4"/>
    <s v=" "/>
    <s v="THAILAND"/>
    <s v="THAILAND"/>
    <s v="TH"/>
    <s v=" "/>
    <n v="3000"/>
    <b v="0"/>
    <s v="TRANSFERABLE"/>
    <s v=" "/>
    <s v=" "/>
    <b v="0"/>
    <b v="0"/>
    <m/>
    <m/>
    <s v="TH0256031301"/>
    <m/>
    <m/>
    <m/>
    <m/>
    <m/>
    <m/>
  </r>
  <r>
    <x v="0"/>
    <x v="1"/>
    <x v="0"/>
    <x v="5"/>
    <x v="0"/>
    <x v="148"/>
    <s v="F1+(tha)"/>
    <s v="SCB"/>
    <s v="LISTED"/>
    <s v="BANKING"/>
    <s v="AA+(tha)"/>
    <m/>
    <m/>
    <d v="2019-02-18T00:00:00"/>
    <n v="138"/>
    <n v="1.6"/>
    <n v="1.565096"/>
    <n v="616000"/>
    <n v="1000.11796"/>
    <n v="616072663.36000001"/>
    <n v="1296131.76"/>
    <n v="616000000"/>
    <n v="0.37314999999999998"/>
    <n v="616000000"/>
    <m/>
    <n v="616000000"/>
    <n v="1.6"/>
    <n v="2.8570316000000001E-3"/>
    <s v="SCB19218A"/>
    <m/>
    <s v="SIAM COMMERCIAL BANK PLC."/>
    <s v="หุ้นกู้ระยะสั้นของธนาคารไทยพาณิชย์ จำกัด (มหาชน) ชุดที่ 1"/>
    <s v="หุ้นกู้ระยะสั้นของธนาคารไทยพาณิชย์ จำกัด (มหาชน) ชุดที่ 1 ครบกำหนดไถ่ถอน วันที่ 18 กุมภาพันธ์ พ.ศ. 2562 "/>
    <s v="Bond"/>
    <s v="SCB"/>
    <s v="0SdAc365C"/>
    <s v="DEBENTURE"/>
    <m/>
    <s v="BANKING"/>
    <s v="FINANCIALS"/>
    <s v=" "/>
    <s v="ThaiBMA"/>
    <s v="THB"/>
    <s v=" "/>
    <s v=" "/>
    <s v="P/P"/>
    <s v=" "/>
    <s v="BOND"/>
    <s v="F1+(tha)"/>
    <n v="1"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9"/>
    <s v="A"/>
    <s v="SPALI"/>
    <s v="LISTED"/>
    <s v="PROPERTY"/>
    <s v="A"/>
    <m/>
    <m/>
    <d v="2021-03-15T00:00:00"/>
    <n v="894"/>
    <n v="2.09"/>
    <n v="2.47255"/>
    <n v="113000"/>
    <n v="991.06142"/>
    <n v="111989940.45999999"/>
    <n v="122938.35"/>
    <n v="113000000"/>
    <n v="2.3631609999999998"/>
    <n v="113000000"/>
    <m/>
    <n v="113000000"/>
    <n v="2.09"/>
    <n v="5.1883090000000005E-4"/>
    <s v="SPALI213A"/>
    <m/>
    <s v="SUPALAI PUBLIC COMPANY LIMITED"/>
    <s v="หุ้นกู้ของบริษัท ศุภาลัย จำกัด (มหาชน)  ครั้งที่ 1/2561"/>
    <s v="หุ้นกู้ของบริษัท ศุภาลัย จำกัด (มหาชน) ครั้งที่ 1/2561 ครบกำหนดไถ่ถอนปี พ.ศ. 2564"/>
    <s v="Bond"/>
    <s v="SPALI"/>
    <s v="1FxAc365P2B"/>
    <s v="DEBENTURE"/>
    <m/>
    <s v="PROPERTY"/>
    <s v="PROPERTY &amp; CON"/>
    <s v=" "/>
    <s v="ThaiBMA"/>
    <s v="THB"/>
    <s v=" "/>
    <s v=" "/>
    <s v="P/P"/>
    <s v=" "/>
    <s v="BOND"/>
    <s v="A"/>
    <n v="6"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7000"/>
    <b v="0"/>
    <s v="TRANSFERABLE"/>
    <s v=" "/>
    <s v=" "/>
    <b v="0"/>
    <b v="0"/>
    <m/>
    <m/>
    <s v="TH0371031301"/>
    <m/>
    <m/>
    <m/>
    <m/>
    <m/>
    <m/>
  </r>
  <r>
    <x v="0"/>
    <x v="1"/>
    <x v="0"/>
    <x v="5"/>
    <x v="0"/>
    <x v="150"/>
    <s v="AA"/>
    <s v="THBEV"/>
    <s v="UNLISTED"/>
    <s v="FOOD &amp; BEV"/>
    <s v="AA"/>
    <m/>
    <m/>
    <d v="2020-03-22T00:00:00"/>
    <n v="536"/>
    <n v="1.79"/>
    <n v="2.318921"/>
    <n v="450000"/>
    <n v="992.50468000000001"/>
    <n v="446627106"/>
    <n v="264820.5"/>
    <n v="450000000"/>
    <n v="1.433074"/>
    <n v="450000000"/>
    <m/>
    <n v="450000000"/>
    <n v="1.79"/>
    <n v="2.0681063999999998E-3"/>
    <s v="TBEV203A"/>
    <m/>
    <s v="THAI BEVERAGE PLC."/>
    <s v="หุ้นกู้ของบริษัท ไทยเบฟเวอเรจ จำกัด (มหาชน) ครั้งที่ 1/2561 ชุดที่ 1 "/>
    <s v="หุ้นกู้ของบริษัท ไทยเบฟเวอเรจ จำกัด (มหาชน) ครั้งที่ 1/2561 ชุดที่ 1 ครบกำหนดไถ่ถอนปี พ.ศ. 2563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1"/>
    <s v="AA"/>
    <s v="THBEV"/>
    <s v="UNLISTED"/>
    <s v="FOOD &amp; BEV"/>
    <s v="AA"/>
    <m/>
    <m/>
    <d v="2021-03-22T00:00:00"/>
    <n v="901"/>
    <n v="2.1"/>
    <n v="2.6102599999999998"/>
    <n v="1498000"/>
    <n v="987.98560999999995"/>
    <n v="1480002443.78"/>
    <n v="1034234.18"/>
    <n v="1498139194.1600001"/>
    <n v="2.3801540000000001"/>
    <n v="1498000000"/>
    <m/>
    <n v="1498014104.3"/>
    <n v="2.0995659999999998"/>
    <n v="6.8538751000000002E-3"/>
    <s v="TBEV213A"/>
    <m/>
    <s v="THAI BEVERAGE PLC."/>
    <s v="หุ้นกู้ของบริษัท ไทยเบฟเวอเรจ จำกัด (มหาชน) ครั้งที่ 1/2561 ชุดที่ 2 "/>
    <s v="หุ้นกู้ของบริษัท ไทยเบฟเวอเรจ จำกัด (มหาชน) ครั้งที่ 1/2561 ชุดที่ 2 ครบกำหนดไถ่ถอนปี พ.ศ. 2564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TH0902031309"/>
    <m/>
    <m/>
    <m/>
    <m/>
    <m/>
    <m/>
  </r>
  <r>
    <x v="0"/>
    <x v="1"/>
    <x v="0"/>
    <x v="5"/>
    <x v="0"/>
    <x v="152"/>
    <s v="A-"/>
    <s v="THCOM"/>
    <s v="LISTED"/>
    <s v="COMMUNICAT"/>
    <s v="A-"/>
    <m/>
    <m/>
    <d v="2019-10-02T00:00:00"/>
    <n v="364"/>
    <n v="4.28"/>
    <n v="2.0836600000000001"/>
    <n v="161900"/>
    <n v="1021.53541"/>
    <n v="165386582.88"/>
    <n v="37968.79"/>
    <n v="166005643.15000001"/>
    <n v="0.97265199999999996"/>
    <n v="161900000"/>
    <m/>
    <n v="168533556.22"/>
    <n v="1.7"/>
    <n v="7.6554430000000005E-4"/>
    <s v="THCOM19OB"/>
    <m/>
    <s v="THAICOM PLC."/>
    <s v="หุ้นกู้ของ บริษัท ไทยคม จำกัด (มหาชน) ครั้งที่ 1/2557 ชุดที่ 3"/>
    <s v="หุ้นกู้ของ บริษัท ไทยคม จำกัด (มหาชน) ครั้งที่ 1/2557 ชุดที่ 3"/>
    <s v="Bond"/>
    <s v="THCOM"/>
    <s v="1FxAc365P2B"/>
    <s v="DEBENTURE"/>
    <m/>
    <s v="COMMUNICATION"/>
    <s v="TECHNOLOGY"/>
    <s v=" "/>
    <s v="ThaiBMA"/>
    <s v="THB"/>
    <s v=" "/>
    <s v=" "/>
    <s v="P/P"/>
    <s v=" "/>
    <s v="BOND"/>
    <s v="A-"/>
    <n v="7"/>
    <s v="THAICOM PLC."/>
    <s v="บมจ.ไทยคม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14"/>
    <s v=" "/>
    <s v="THAILAND"/>
    <s v="THAILAND"/>
    <s v="TH"/>
    <s v=" "/>
    <n v="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3"/>
    <s v="A"/>
    <s v="TISCOB"/>
    <s v="LISTED"/>
    <s v="BANKING"/>
    <s v="A"/>
    <m/>
    <m/>
    <d v="2018-11-29T00:00:00"/>
    <n v="57"/>
    <n v="1.85"/>
    <n v="1.4454370000000001"/>
    <n v="300000"/>
    <n v="1000.53467"/>
    <n v="300160401"/>
    <n v="1946301"/>
    <n v="300000000"/>
    <n v="0.15229799999999999"/>
    <n v="300000000"/>
    <m/>
    <n v="300000000"/>
    <n v="1.85"/>
    <n v="1.3980758E-3"/>
    <s v="TISCO18NA"/>
    <m/>
    <s v="TISCO BANK PLC."/>
    <s v="หุ้นกู้ธนาคารทิสโก้ จำกัด (มหาชน) ครั้งที่ 3/2560 ชุดที่ 1"/>
    <s v="หุ้นกู้ธนาคารทิสโก้ จำกัด (มหาชน) ครั้งที่ 3/2560 ชุดที่ 1 ครบกำหนดไถ่ถอน ปี พ.ศ. 2561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4"/>
    <s v=" "/>
    <s v="THAILAND"/>
    <s v="THAILAND"/>
    <s v="TH"/>
    <s v=" "/>
    <n v="8900"/>
    <b v="0"/>
    <s v="TRANSFERABLE"/>
    <s v=" "/>
    <s v=" "/>
    <b v="0"/>
    <b v="0"/>
    <m/>
    <m/>
    <s v="TH059703SB09"/>
    <m/>
    <m/>
    <m/>
    <m/>
    <m/>
    <m/>
  </r>
  <r>
    <x v="0"/>
    <x v="1"/>
    <x v="0"/>
    <x v="5"/>
    <x v="0"/>
    <x v="154"/>
    <s v="A"/>
    <s v="TISCOB"/>
    <s v="LISTED"/>
    <s v="BANKING"/>
    <s v="A"/>
    <m/>
    <m/>
    <d v="2019-08-09T00:00:00"/>
    <n v="310"/>
    <n v="1.68"/>
    <n v="2.0084680000000001"/>
    <n v="625000"/>
    <n v="997.16539"/>
    <n v="623228368.75"/>
    <n v="1610956.25"/>
    <n v="625000000"/>
    <n v="0.83809699999999998"/>
    <n v="625000000"/>
    <m/>
    <n v="625000000"/>
    <n v="1.68"/>
    <n v="2.8916034000000001E-3"/>
    <s v="TISCO198A"/>
    <m/>
    <s v="TISCO BANK PLC."/>
    <s v="หุ้นกู้ธนาคารทิสโก้ จำกัด (มหาชน) ครั้งที่ 2/2561 ชุดที่ 1"/>
    <s v="หุ้นกู้ธนาคารทิสโก้ จำกัด (มหาชน) ครั้งที่ 2/2561 ชุดที่ 1 ครบกำหนดไถ่ถอน ปี พ.ศ. 2562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40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5"/>
    <s v="A"/>
    <s v="TISCOB"/>
    <s v="LISTED"/>
    <s v="BANKING"/>
    <s v="A"/>
    <m/>
    <m/>
    <d v="2020-05-21T00:00:00"/>
    <n v="596"/>
    <n v="1.75"/>
    <n v="2.0527350000000002"/>
    <n v="19000"/>
    <n v="995.08641"/>
    <n v="18906641.789999999"/>
    <n v="123890.45"/>
    <n v="19000000"/>
    <n v="1.589234"/>
    <n v="19000000"/>
    <m/>
    <n v="19000000"/>
    <n v="1.75"/>
    <n v="8.8068599999999999E-5"/>
    <s v="TISCO205B"/>
    <m/>
    <s v="TISCO BANK PLC."/>
    <s v="หุ้นกู้ธนาคารทิสโก้ จำกัด (มหาชน) ครั้งที่ 4/2561 ชุดที่ 1"/>
    <s v="หุ้นกู้ธนาคารทิสโก้ จำกัด (มหาชน) ครั้งที่ 4/2561 ชุดที่ 1 ครบกำหนดไถ่ถอนปี พ.ศ. 2563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1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6"/>
    <m/>
    <s v="TRUE"/>
    <s v="LISTED"/>
    <s v="COMMUNICAT"/>
    <s v="BBB+"/>
    <m/>
    <m/>
    <d v="2019-02-22T00:00:00"/>
    <n v="142"/>
    <n v="2.78"/>
    <n v="2.6818249999999999"/>
    <n v="5450000"/>
    <n v="1000.19808"/>
    <n v="5451079536"/>
    <n v="94226794"/>
    <n v="5450000000"/>
    <n v="0.38234000000000001"/>
    <n v="5450000000"/>
    <m/>
    <n v="5450000000"/>
    <n v="2.78"/>
    <n v="2.5662319699999998E-2"/>
    <s v="TRUE192B"/>
    <m/>
    <s v="TRUE CORPORATION PLC."/>
    <s v="หุ้นกู้ของบริษัท ทรู คอร์ปอเรชั่น จำกัด (มหาชน)"/>
    <s v="หุ้นกู้ของบริษัท ทรู คอร์ปอเรชั่น จำกัด (มหาชน) ครั้งที่ 1/2561 ชุดที่ 2 ครบกำหนดไถ่ถอนปี พ.ศ. 2562"/>
    <s v="Bond"/>
    <s v="TRUE"/>
    <s v="0SdAc365C"/>
    <s v="DEBENTURE"/>
    <m/>
    <s v="COMMUNICATION"/>
    <s v="TECHNOLOGY"/>
    <s v=" "/>
    <s v="ThaiBMA"/>
    <s v="THB"/>
    <s v=" "/>
    <s v=" "/>
    <s v="P/P"/>
    <s v=" "/>
    <s v="BOND"/>
    <m/>
    <m/>
    <s v="TRUE CORPORATION PLC."/>
    <s v="บมจ.ทรู คอร์ปอเรชั่น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0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7"/>
    <m/>
    <s v="TUC"/>
    <s v="UNLISTED"/>
    <s v="COMMUNICAT"/>
    <s v="BBB+"/>
    <m/>
    <m/>
    <d v="2019-01-29T00:00:00"/>
    <n v="118"/>
    <n v="2.2999999999999998"/>
    <n v="2.2032859999999999"/>
    <n v="498000"/>
    <n v="1000.25083"/>
    <n v="498124913.33999997"/>
    <n v="4048127.46"/>
    <n v="498000000"/>
    <n v="0.31830000000000003"/>
    <n v="498000000"/>
    <m/>
    <n v="498000000"/>
    <n v="2.2999999999999998"/>
    <n v="2.3239339000000001E-3"/>
    <s v="TUC19129B"/>
    <m/>
    <s v="TRUE MOVE H UNIVERSAL COMMUNICATION CO."/>
    <s v="หุ้นกู้ระยะสั้นของบริษัท ทรู มูฟ เอช ยูนิเวอร์แซล คอมมิวนิเคชั่น จำกัด ชุดที่ 5"/>
    <s v="หุ้นกู้ระยะสั้นของบริษัท ทรู มูฟ เอช ยูนิเวอร์แซล คอมมิวนิเคชั่น จำกัด ชุดที่ 5 ครบกำหนดไถ่ถอนวันที่ 29 มกราคม พ.ศ. 2562 "/>
    <s v="Bond"/>
    <s v="TUC"/>
    <s v="0SdAc365C"/>
    <s v="DEBENTURE"/>
    <m/>
    <s v="COMMUNICATION"/>
    <s v="TECHNOLOGY"/>
    <s v=" "/>
    <s v="ThaiBMA"/>
    <s v="THB"/>
    <s v=" "/>
    <s v=" "/>
    <s v="P/P"/>
    <s v=" "/>
    <s v="BOND"/>
    <m/>
    <m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8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8"/>
    <s v="BBB+"/>
    <s v="TUC"/>
    <s v="UNLISTED"/>
    <s v="COMMUNICAT"/>
    <s v="BBB+"/>
    <m/>
    <m/>
    <d v="2021-08-02T00:00:00"/>
    <n v="1034"/>
    <n v="3.7"/>
    <n v="3.7081689999999998"/>
    <n v="1368000"/>
    <n v="999.69624999999996"/>
    <n v="1367584470"/>
    <n v="8736458.4000000004"/>
    <n v="1368000000"/>
    <n v="2.6580889999999999"/>
    <n v="1368000000"/>
    <m/>
    <n v="1368000000"/>
    <n v="3.7"/>
    <n v="6.3692762000000002E-3"/>
    <s v="TUC218A"/>
    <m/>
    <s v="TRUE MOVE H UNIVERSAL COMMUNICATION CO., LTD."/>
    <s v="หุ้นกู้ของ บริษัท ทรู มูฟ เอช ยูนิเวอร์แซล คอมมิวนิเคชั่น จำกัด ครั้งที่ 1/2561 ชุดที่ 1"/>
    <s v="หุ้นกู้ของ บริษัท ทรู มูฟ เอช ยูนิเวอร์แซล คอมมิวนิเคชั่น จำกัด ครั้งที่ 1/2561 ชุดที่ 1 ครบกำหนดไถ่ถอนปี พ.ศ. 2564"/>
    <s v="Bond"/>
    <s v="TUC"/>
    <s v="1FxAc365P4B"/>
    <s v="DEBENTURE"/>
    <m/>
    <s v="COMMUNICATION"/>
    <s v="TECHNOLOGY"/>
    <s v=" "/>
    <s v="ThaiBMA"/>
    <s v="THB"/>
    <s v=" "/>
    <s v=" "/>
    <s v="P/O"/>
    <s v=" "/>
    <s v="BOND"/>
    <s v="BBB+"/>
    <n v="8"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22000"/>
    <b v="0"/>
    <s v="TRANSFERABLE"/>
    <s v=" "/>
    <s v=" "/>
    <b v="0"/>
    <b v="0"/>
    <m/>
    <m/>
    <s v="TH6692031805"/>
    <m/>
    <m/>
    <m/>
    <m/>
    <m/>
    <m/>
  </r>
  <r>
    <x v="0"/>
    <x v="1"/>
    <x v="0"/>
    <x v="5"/>
    <x v="0"/>
    <x v="159"/>
    <s v="A-"/>
    <s v="WHA"/>
    <s v="LISTED"/>
    <s v="PROPERTY"/>
    <s v="A-"/>
    <m/>
    <m/>
    <d v="2021-04-27T00:00:00"/>
    <n v="937"/>
    <n v="2.39"/>
    <n v="2.696904"/>
    <n v="70000"/>
    <n v="992.37144999999998"/>
    <n v="69466001.5"/>
    <n v="316265.59999999998"/>
    <n v="70000000"/>
    <n v="2.4657469999999999"/>
    <n v="70000000"/>
    <m/>
    <n v="70000000"/>
    <n v="2.39"/>
    <n v="3.2293520000000001E-4"/>
    <s v="WHA214A"/>
    <m/>
    <s v="WHA CORPORATION PLC."/>
    <s v="หุ้นกู้ของบริษัท ดับบลิวเอชเอ คอร์ปอเรชั่น จำกัด (มหาชน) ครั้งที่ 1/2561 ชุดที่ 1 "/>
    <s v="หุ้นกู้ของบริษัท ดับบลิวเอชเอ คอร์ปอเรชั่น จำกัด (มหาชน) ครั้งที่ 1/2561 ชุดที่ 1 ครบกำหนดไถ่ถอนปี พ.ศ. 2564"/>
    <s v="Bond"/>
    <s v="WHA"/>
    <s v="1FxAc365P4B"/>
    <s v="DEBENTURE"/>
    <m/>
    <s v="PROPERTY"/>
    <s v="PROPERTY &amp; CON"/>
    <s v=" "/>
    <s v="ThaiBMA"/>
    <s v="THB"/>
    <s v=" "/>
    <s v=" "/>
    <s v="P/P"/>
    <s v=" "/>
    <s v="BOND"/>
    <s v="A-"/>
    <n v="7"/>
    <s v="WHA CORPORATION PLC."/>
    <s v="บมจ. ดับบลิวเอชเอ คอร์ปอเรชั่น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7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60"/>
    <s v="A"/>
    <s v="WHART"/>
    <s v="LISTED"/>
    <s v="PFUND"/>
    <s v="A"/>
    <m/>
    <m/>
    <d v="2021-03-30T00:00:00"/>
    <n v="909"/>
    <n v="2.2599999999999998"/>
    <n v="2.5347200000000001"/>
    <n v="262000"/>
    <n v="993.41004999999996"/>
    <n v="260273433.09999999"/>
    <n v="64889.54"/>
    <n v="262000000"/>
    <n v="2.4105530000000002"/>
    <n v="262000000"/>
    <m/>
    <n v="262000000"/>
    <n v="2.2599999999999998"/>
    <n v="1.2047819999999999E-3"/>
    <s v="WHART213A"/>
    <m/>
    <s v="WHA PREMIUM GROWTH FREEHOLD AND LEASEHOLD REAL ESTATE INVESTMENT TRUST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 ครบกำหนดไถ่ถอนปี พ.ศ. 2564"/>
    <s v="Bond"/>
    <s v="WHART"/>
    <s v="1FxAc365P4B"/>
    <s v="DEBENTURE"/>
    <m/>
    <s v="PFUND"/>
    <s v="PROPERTY &amp; CON"/>
    <s v=" "/>
    <s v="ThaiBMA"/>
    <s v="THB"/>
    <s v=" "/>
    <s v=" "/>
    <s v="P/P"/>
    <s v=" "/>
    <s v="BOND"/>
    <s v="A"/>
    <n v="6"/>
    <s v="WHA PREMIUM GROWTH FREEHOLD AND LEASEHOLD REAL ESTATE INVESTMENT TRUST"/>
    <s v="ทรัสต์เพื่อการลงทุนในอสังหาริมทรัพย์และสิทธิการเช่าดับบลิวเอชเอ พรีเมี่ยม โกรท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2600"/>
    <b v="0"/>
    <s v="TRANSFERABLE"/>
    <s v=" "/>
    <s v=" "/>
    <b v="0"/>
    <b v="0"/>
    <m/>
    <m/>
    <s v="TH8497031303"/>
    <m/>
    <m/>
    <m/>
    <m/>
    <m/>
    <m/>
  </r>
  <r>
    <x v="0"/>
    <x v="1"/>
    <x v="0"/>
    <x v="5"/>
    <x v="0"/>
    <x v="161"/>
    <s v="A-"/>
    <s v="WHAUP"/>
    <s v="LISTED"/>
    <s v="ENERGY"/>
    <s v="A-"/>
    <m/>
    <m/>
    <d v="2020-08-18T00:00:00"/>
    <n v="685"/>
    <n v="3.33"/>
    <n v="2.810095"/>
    <n v="390000"/>
    <n v="1009.27459"/>
    <n v="393617090.10000002"/>
    <n v="1672300.5"/>
    <n v="390000000"/>
    <n v="1.8017080000000001"/>
    <n v="390000000"/>
    <m/>
    <n v="390000000"/>
    <n v="3.33"/>
    <n v="1.8293025000000001E-3"/>
    <s v="WHAUP208A"/>
    <m/>
    <s v="WHA UTILITIES AND POWER PLC."/>
    <s v="หุ้นกู้ของบริษัท ดับบลิวเอชเอ ยูทิลิตี้ส์ แอนด์ พาวเวอร์ จำกัด (มหาชน) ครั้งที่ 1/2560 ชุดที่ 1"/>
    <s v="หุ้นกู้ของบริษัท ดับบลิวเอชเอ ยูทิลิตี้ส์ แอนด์ พาวเวอร์ จำกัด (มหาชน) ครั้งที่ 1/2560 ชุดที่ 1 ครบกำหนดไถ่ถอนปี พ.ศ. 2563 "/>
    <s v="Bond"/>
    <s v="WHAUP"/>
    <s v="1FxAc365P2B"/>
    <s v="DEBENTURE"/>
    <m/>
    <s v="ENERGY"/>
    <s v="RESOURCES"/>
    <s v=" "/>
    <s v="ThaiBMA"/>
    <s v="THB"/>
    <s v=" "/>
    <s v=" "/>
    <s v="P/P"/>
    <s v=" "/>
    <s v="BOND"/>
    <s v="A-"/>
    <n v="7"/>
    <s v="WHA UTILITIES AND POWER PLC."/>
    <s v="บมจ.ดับบลิวเอชเอ ยูทิลิตี้ส์ แอนด์ พาวเวอร์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965"/>
    <s v=" "/>
    <s v="THAILAND"/>
    <s v="THAILAND"/>
    <s v="TH"/>
    <s v=" "/>
    <n v="2000"/>
    <b v="0"/>
    <s v="TRANSFERABLE"/>
    <s v=" "/>
    <s v=" "/>
    <b v="0"/>
    <b v="0"/>
    <m/>
    <m/>
    <s v="TH784603U805"/>
    <m/>
    <m/>
    <m/>
    <m/>
    <m/>
    <m/>
  </r>
  <r>
    <x v="0"/>
    <x v="1"/>
    <x v="0"/>
    <x v="15"/>
    <x v="0"/>
    <x v="162"/>
    <m/>
    <s v="MASQ"/>
    <s v="LISTEDFOREIGN"/>
    <s v="BANKING"/>
    <s v="A"/>
    <m/>
    <m/>
    <d v="2019-03-07T00:00:00"/>
    <n v="155"/>
    <n v="2.93"/>
    <m/>
    <n v="100000"/>
    <n v="1046975.449"/>
    <n v="3235700000"/>
    <n v="55566855.859999999"/>
    <n v="3235700000"/>
    <n v="0.42519200000000001"/>
    <n v="100000000"/>
    <m/>
    <n v="3150000000"/>
    <n v="2.93"/>
    <n v="1.5231177E-2"/>
    <s v="EMTNMASQ0703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NO MARKET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UAE"/>
    <s v="UAE"/>
    <s v="AE"/>
    <s v=" "/>
    <n v="25000"/>
    <b v="0"/>
    <s v="NONTRANSFERABLE"/>
    <s v=" "/>
    <s v=" "/>
    <b v="0"/>
    <b v="0"/>
    <m/>
    <m/>
    <s v="XS1789167340"/>
    <n v="3150000000"/>
    <n v="0"/>
    <m/>
    <n v="0"/>
    <s v="USDbb"/>
    <n v="32.356999999999999"/>
  </r>
  <r>
    <x v="0"/>
    <x v="1"/>
    <x v="0"/>
    <x v="15"/>
    <x v="0"/>
    <x v="163"/>
    <m/>
    <s v="MASQ"/>
    <s v="LISTEDFOREIGN"/>
    <s v="BANKING"/>
    <s v="A"/>
    <m/>
    <m/>
    <d v="2019-05-08T00:00:00"/>
    <n v="217"/>
    <n v="3.28"/>
    <n v="3.28"/>
    <n v="400"/>
    <n v="9395089.8000000007"/>
    <n v="2588560000"/>
    <n v="35141140.090000004"/>
    <n v="2588560000"/>
    <n v="0.59109100000000003"/>
    <n v="80000000"/>
    <m/>
    <n v="2534400000"/>
    <n v="3.28"/>
    <n v="1.21418464E-2"/>
    <s v="EMTNMASQ0805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8"/>
    <s v=" "/>
    <s v="UAE"/>
    <s v="UAE"/>
    <s v="AE"/>
    <s v=" "/>
    <n v="25000"/>
    <b v="0"/>
    <s v="TRANSFERABLE"/>
    <s v=" "/>
    <s v=" "/>
    <b v="0"/>
    <b v="0"/>
    <m/>
    <m/>
    <s v="XS1819596492"/>
    <n v="2534399999.9699998"/>
    <n v="0"/>
    <m/>
    <n v="0"/>
    <s v="USDbb"/>
    <n v="32.356999999999999"/>
  </r>
  <r>
    <x v="0"/>
    <x v="1"/>
    <x v="0"/>
    <x v="15"/>
    <x v="0"/>
    <x v="164"/>
    <m/>
    <s v="MASQ"/>
    <s v="LISTEDFOREIGN"/>
    <s v="BANKING"/>
    <s v="A"/>
    <m/>
    <m/>
    <d v="2019-04-09T00:00:00"/>
    <n v="188"/>
    <n v="3.16"/>
    <m/>
    <n v="500"/>
    <n v="9395089.8000000007"/>
    <n v="3235700000"/>
    <n v="50556014.890000001"/>
    <n v="3235700000"/>
    <n v="0.51374399999999998"/>
    <n v="100000000"/>
    <m/>
    <n v="3120000000"/>
    <n v="3.16"/>
    <n v="1.52079881E-2"/>
    <s v="EMTNMASQ0904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9"/>
    <s v=" "/>
    <s v="UAE"/>
    <s v="UAE"/>
    <s v="AE"/>
    <s v=" "/>
    <n v="25000"/>
    <b v="0"/>
    <s v="TRANSFERABLE"/>
    <s v=" "/>
    <s v=" "/>
    <b v="0"/>
    <b v="0"/>
    <m/>
    <m/>
    <s v="XS1805072565"/>
    <n v="3120000000.0300002"/>
    <n v="0"/>
    <m/>
    <n v="0"/>
    <s v="USDbb"/>
    <n v="32.356999999999999"/>
  </r>
  <r>
    <x v="0"/>
    <x v="1"/>
    <x v="0"/>
    <x v="15"/>
    <x v="0"/>
    <x v="165"/>
    <m/>
    <s v="MASQ"/>
    <s v="LISTEDFOREIGN"/>
    <s v="BANKING"/>
    <s v="A"/>
    <m/>
    <m/>
    <d v="2019-05-13T00:00:00"/>
    <n v="222"/>
    <n v="3.3"/>
    <n v="0"/>
    <n v="80000"/>
    <n v="1046975.449"/>
    <n v="2588560000"/>
    <n v="34880846"/>
    <n v="2588560000"/>
    <n v="0.60436800000000002"/>
    <n v="80000000"/>
    <m/>
    <n v="2549200000"/>
    <n v="3.3"/>
    <n v="1.2140641799999999E-2"/>
    <s v="EMTNMASQ1305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UAE"/>
    <s v="UAE"/>
    <s v="AE"/>
    <s v=" "/>
    <n v="25000"/>
    <b v="0"/>
    <s v="TRANSFERABLE"/>
    <s v=" "/>
    <s v=" "/>
    <b v="0"/>
    <b v="0"/>
    <m/>
    <m/>
    <s v="XS1821402523"/>
    <n v="2549199999.98"/>
    <n v="0"/>
    <m/>
    <n v="0"/>
    <s v="USDbb"/>
    <n v="32.356999999999999"/>
  </r>
  <r>
    <x v="0"/>
    <x v="1"/>
    <x v="0"/>
    <x v="15"/>
    <x v="0"/>
    <x v="166"/>
    <m/>
    <s v="MASQ"/>
    <s v="LISTEDFOREIGN"/>
    <s v="BANKING"/>
    <s v="A"/>
    <m/>
    <m/>
    <d v="2019-03-21T00:00:00"/>
    <n v="169"/>
    <n v="0.05"/>
    <n v="0"/>
    <n v="80000"/>
    <n v="1402135.51401"/>
    <n v="2995608000"/>
    <n v="802989.37"/>
    <n v="2995608000"/>
    <n v="0.46655799999999997"/>
    <n v="80000000"/>
    <m/>
    <n v="3041600000"/>
    <n v="0.05"/>
    <n v="1.38666563E-2"/>
    <s v="EMTNMASQ210319"/>
    <m/>
    <s v="MASHREQ BANK"/>
    <s v="ตราสารหนี้ธนาคาร MASHREQ BANK"/>
    <s v="ตราสารหนี้ธนาคาร MASHREQ BANK"/>
    <s v="Bond"/>
    <s v="MASQ"/>
    <s v="Bond 30/360P1"/>
    <s v="CP"/>
    <m/>
    <s v="BANKING"/>
    <s v=" "/>
    <s v=" "/>
    <s v="NO MARKET"/>
    <s v="EUR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0"/>
    <s v=" "/>
    <s v="UAE"/>
    <s v="UAE"/>
    <s v="AE"/>
    <s v=" "/>
    <n v="25000"/>
    <b v="0"/>
    <s v="NONTRANSFERABLE"/>
    <s v=" "/>
    <s v=" "/>
    <b v="0"/>
    <b v="0"/>
    <m/>
    <m/>
    <s v="XS1797108112"/>
    <n v="3041600000"/>
    <n v="0"/>
    <m/>
    <n v="0"/>
    <s v="EURbb"/>
    <n v="37.445099999999996"/>
  </r>
  <r>
    <x v="0"/>
    <x v="1"/>
    <x v="1"/>
    <x v="6"/>
    <x v="0"/>
    <x v="167"/>
    <m/>
    <s v="SCB"/>
    <s v="LISTED"/>
    <s v="BANKING"/>
    <s v="AA+(tha)"/>
    <m/>
    <m/>
    <d v="2018-12-18T00:00:00"/>
    <m/>
    <m/>
    <m/>
    <n v="1"/>
    <m/>
    <n v="-7959747.8300000001"/>
    <m/>
    <n v="0"/>
    <n v="0"/>
    <n v="0"/>
    <m/>
    <n v="0"/>
    <n v="0"/>
    <n v="-3.6835799999999997E-5"/>
    <s v="FWAEDTHB18D1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81218a"/>
    <n v="52000"/>
    <b v="0"/>
    <s v=" "/>
    <s v=" "/>
    <s v=" "/>
    <b v="0"/>
    <b v="0"/>
    <m/>
    <m/>
    <s v=" "/>
    <n v="-411761111.11000001"/>
    <n v="7959747.8300000001"/>
    <s v="F12MADCB181218a"/>
    <n v="411761111.11000001"/>
    <s v="THB"/>
    <n v="1"/>
  </r>
  <r>
    <x v="0"/>
    <x v="1"/>
    <x v="1"/>
    <x v="6"/>
    <x v="0"/>
    <x v="168"/>
    <m/>
    <s v="SCB"/>
    <s v="LISTED"/>
    <s v="BANKING"/>
    <s v="AA+(tha)"/>
    <m/>
    <m/>
    <d v="2018-10-04T00:00:00"/>
    <m/>
    <m/>
    <m/>
    <n v="1"/>
    <m/>
    <n v="45811743.289999999"/>
    <m/>
    <n v="0"/>
    <n v="0"/>
    <n v="0"/>
    <m/>
    <n v="0"/>
    <n v="0"/>
    <n v="2.1200550000000001E-4"/>
    <s v="FWAEDTHB18O04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41018"/>
    <n v="52000"/>
    <b v="0"/>
    <s v=" "/>
    <s v=" "/>
    <s v=" "/>
    <b v="0"/>
    <b v="0"/>
    <m/>
    <m/>
    <s v=" "/>
    <n v="-360099444.44"/>
    <n v="-45811743.289999999"/>
    <s v="F12MUNB041018"/>
    <n v="360099444.44"/>
    <s v="THB"/>
    <n v="1"/>
  </r>
  <r>
    <x v="0"/>
    <x v="1"/>
    <x v="1"/>
    <x v="6"/>
    <x v="0"/>
    <x v="169"/>
    <m/>
    <s v="SCB"/>
    <s v="LISTED"/>
    <s v="BANKING"/>
    <s v="AA+(tha)"/>
    <m/>
    <m/>
    <d v="2018-12-07T00:00:00"/>
    <m/>
    <m/>
    <m/>
    <n v="1"/>
    <m/>
    <n v="101420301.37"/>
    <m/>
    <n v="0"/>
    <n v="0"/>
    <n v="0"/>
    <m/>
    <n v="0"/>
    <n v="0"/>
    <n v="4.6934830000000001E-4"/>
    <s v="FWEURTHB18D07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71218"/>
    <n v="52000"/>
    <b v="0"/>
    <s v=" "/>
    <s v=" "/>
    <s v=" "/>
    <b v="0"/>
    <b v="0"/>
    <m/>
    <m/>
    <s v=" "/>
    <n v="-50000000"/>
    <n v="-101420301.37"/>
    <s v="CD1YBOCHK071218"/>
    <n v="50000000"/>
    <s v="THB"/>
    <n v="1"/>
  </r>
  <r>
    <x v="0"/>
    <x v="1"/>
    <x v="1"/>
    <x v="6"/>
    <x v="0"/>
    <x v="170"/>
    <m/>
    <s v="SCB"/>
    <s v="LISTED"/>
    <s v="BANKING"/>
    <s v="AA+(tha)"/>
    <m/>
    <m/>
    <d v="2018-11-05T00:00:00"/>
    <m/>
    <m/>
    <m/>
    <n v="1"/>
    <m/>
    <n v="60991876.579999998"/>
    <m/>
    <n v="0"/>
    <n v="0"/>
    <n v="0"/>
    <m/>
    <n v="0"/>
    <n v="0"/>
    <n v="2.8225549999999998E-4"/>
    <s v="FWEURTHB18N0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051118"/>
    <n v="52000"/>
    <b v="0"/>
    <s v=" "/>
    <s v=" "/>
    <s v=" "/>
    <b v="0"/>
    <b v="0"/>
    <m/>
    <m/>
    <s v=" "/>
    <n v="-75015500"/>
    <n v="-60991876.579999998"/>
    <s v="F6MBOCMC051118"/>
    <n v="75015500"/>
    <s v="THB"/>
    <n v="1"/>
  </r>
  <r>
    <x v="0"/>
    <x v="1"/>
    <x v="1"/>
    <x v="6"/>
    <x v="0"/>
    <x v="171"/>
    <m/>
    <s v="SCB"/>
    <s v="LISTED"/>
    <s v="BANKING"/>
    <s v="AA+(tha)"/>
    <m/>
    <m/>
    <d v="2019-01-31T00:00:00"/>
    <m/>
    <m/>
    <m/>
    <n v="1"/>
    <m/>
    <n v="180853397.33000001"/>
    <m/>
    <n v="0"/>
    <n v="0"/>
    <n v="0"/>
    <m/>
    <n v="0"/>
    <n v="0"/>
    <n v="8.3694520000000003E-4"/>
    <s v="FWEURTHB191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119"/>
    <n v="52000"/>
    <b v="0"/>
    <s v=" "/>
    <s v=" "/>
    <s v=" "/>
    <b v="0"/>
    <b v="0"/>
    <m/>
    <m/>
    <s v=" "/>
    <n v="-100152083.33"/>
    <n v="-180853397.33000001"/>
    <s v="F12MABCHK310119"/>
    <n v="100152083.33"/>
    <s v="THB"/>
    <n v="1"/>
  </r>
  <r>
    <x v="0"/>
    <x v="1"/>
    <x v="1"/>
    <x v="6"/>
    <x v="0"/>
    <x v="172"/>
    <m/>
    <s v="SCB"/>
    <s v="LISTED"/>
    <s v="BANKING"/>
    <s v="AA+(tha)"/>
    <m/>
    <m/>
    <d v="2019-02-01T00:00:00"/>
    <m/>
    <m/>
    <m/>
    <n v="1"/>
    <m/>
    <n v="172288060.94"/>
    <m/>
    <n v="0"/>
    <n v="0"/>
    <n v="0"/>
    <m/>
    <n v="0"/>
    <n v="0"/>
    <n v="7.9730700000000003E-4"/>
    <s v="FWEURTHB192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CMBL010219"/>
    <n v="52000"/>
    <b v="0"/>
    <s v=" "/>
    <s v=" "/>
    <s v=" "/>
    <b v="0"/>
    <b v="0"/>
    <m/>
    <m/>
    <s v=" "/>
    <n v="-100000000"/>
    <n v="-172288060.94"/>
    <s v="CD12MCMBL010219"/>
    <n v="100000000"/>
    <s v="THB"/>
    <n v="1"/>
  </r>
  <r>
    <x v="0"/>
    <x v="1"/>
    <x v="1"/>
    <x v="6"/>
    <x v="0"/>
    <x v="173"/>
    <m/>
    <s v="SCB"/>
    <s v="LISTED"/>
    <s v="BANKING"/>
    <s v="AA+(tha)"/>
    <m/>
    <m/>
    <d v="2019-02-13T00:00:00"/>
    <m/>
    <m/>
    <m/>
    <n v="1"/>
    <m/>
    <n v="163853570.50999999"/>
    <m/>
    <n v="0"/>
    <n v="0"/>
    <n v="0"/>
    <m/>
    <n v="0"/>
    <n v="0"/>
    <n v="7.5827420000000004E-4"/>
    <s v="FWEURTHB1921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130219"/>
    <n v="52000"/>
    <b v="0"/>
    <s v=" "/>
    <s v=" "/>
    <s v=" "/>
    <b v="0"/>
    <b v="0"/>
    <m/>
    <m/>
    <s v=" "/>
    <n v="-100050694.44"/>
    <n v="-163853570.50999999"/>
    <s v="F12MABCHK130219"/>
    <n v="100050694.44"/>
    <s v="THB"/>
    <n v="1"/>
  </r>
  <r>
    <x v="0"/>
    <x v="1"/>
    <x v="1"/>
    <x v="6"/>
    <x v="0"/>
    <x v="174"/>
    <m/>
    <s v="SCB"/>
    <s v="LISTED"/>
    <s v="BANKING"/>
    <s v="AA+(tha)"/>
    <m/>
    <m/>
    <d v="2019-03-06T00:00:00"/>
    <m/>
    <m/>
    <m/>
    <n v="1"/>
    <m/>
    <n v="136721671.22999999"/>
    <m/>
    <n v="0"/>
    <n v="0"/>
    <n v="0"/>
    <m/>
    <n v="0"/>
    <n v="0"/>
    <n v="6.3271439999999996E-4"/>
    <s v="FWEURTHB1930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60319"/>
    <n v="52000"/>
    <b v="0"/>
    <s v=" "/>
    <s v=" "/>
    <s v=" "/>
    <b v="0"/>
    <b v="0"/>
    <m/>
    <m/>
    <s v=" "/>
    <n v="-100000000"/>
    <n v="-136721671.22999999"/>
    <s v="CD1YBOCHK060319"/>
    <n v="100000000"/>
    <s v="THB"/>
    <n v="1"/>
  </r>
  <r>
    <x v="0"/>
    <x v="1"/>
    <x v="1"/>
    <x v="6"/>
    <x v="0"/>
    <x v="175"/>
    <m/>
    <s v="SCB"/>
    <s v="LISTED"/>
    <s v="BANKING"/>
    <s v="AA+(tha)"/>
    <m/>
    <m/>
    <d v="2019-03-21T00:00:00"/>
    <m/>
    <m/>
    <m/>
    <n v="1"/>
    <m/>
    <n v="74021342.859999999"/>
    <m/>
    <n v="0"/>
    <n v="0"/>
    <n v="0"/>
    <m/>
    <n v="0"/>
    <n v="0"/>
    <n v="3.4255260000000002E-4"/>
    <s v="FWEURTHB1932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210319"/>
    <n v="52000"/>
    <b v="0"/>
    <s v=" "/>
    <s v=" "/>
    <s v=" "/>
    <b v="0"/>
    <b v="0"/>
    <m/>
    <m/>
    <s v=" "/>
    <n v="-80040000"/>
    <n v="-74021342.859999999"/>
    <s v="EMTNMASQ210319"/>
    <n v="80040000"/>
    <s v="THB"/>
    <n v="1"/>
  </r>
  <r>
    <x v="0"/>
    <x v="1"/>
    <x v="1"/>
    <x v="6"/>
    <x v="0"/>
    <x v="176"/>
    <m/>
    <s v="KKP"/>
    <s v="LISTED"/>
    <s v="BANKING"/>
    <s v="A-"/>
    <m/>
    <m/>
    <d v="2019-03-22T00:00:00"/>
    <m/>
    <m/>
    <m/>
    <n v="1"/>
    <m/>
    <n v="26782734.719999999"/>
    <m/>
    <n v="0"/>
    <n v="0"/>
    <n v="0"/>
    <m/>
    <n v="0"/>
    <n v="0"/>
    <n v="1.2394390000000001E-4"/>
    <s v="FWEURTHB19322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20319"/>
    <n v="16000"/>
    <b v="0"/>
    <s v=" "/>
    <s v=" "/>
    <s v=" "/>
    <b v="0"/>
    <b v="0"/>
    <m/>
    <m/>
    <s v=" "/>
    <n v="-30012166.670000002"/>
    <n v="-26782734.719999999"/>
    <s v="F12MABCHK220319"/>
    <n v="30012166.670000002"/>
    <s v="THB"/>
    <n v="1"/>
  </r>
  <r>
    <x v="0"/>
    <x v="1"/>
    <x v="1"/>
    <x v="6"/>
    <x v="0"/>
    <x v="177"/>
    <m/>
    <s v="SCB"/>
    <s v="LISTED"/>
    <s v="BANKING"/>
    <s v="AA+(tha)"/>
    <m/>
    <m/>
    <d v="2019-03-27T00:00:00"/>
    <m/>
    <m/>
    <m/>
    <n v="1"/>
    <m/>
    <n v="82656421.900000006"/>
    <m/>
    <n v="0"/>
    <n v="0"/>
    <n v="0"/>
    <m/>
    <n v="0"/>
    <n v="0"/>
    <n v="3.8251369999999998E-4"/>
    <s v="FWEURTHB19327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70319"/>
    <n v="52000"/>
    <b v="0"/>
    <s v=" "/>
    <s v=" "/>
    <s v=" "/>
    <b v="0"/>
    <b v="0"/>
    <m/>
    <m/>
    <s v=" "/>
    <n v="-80089222.219999999"/>
    <n v="-82656421.900000006"/>
    <s v="F12MABCHK270319"/>
    <n v="80089222.219999999"/>
    <s v="THB"/>
    <n v="1"/>
  </r>
  <r>
    <x v="0"/>
    <x v="1"/>
    <x v="1"/>
    <x v="6"/>
    <x v="0"/>
    <x v="178"/>
    <m/>
    <s v="SCB"/>
    <s v="LISTED"/>
    <s v="BANKING"/>
    <s v="AA+(tha)"/>
    <m/>
    <m/>
    <d v="2019-03-28T00:00:00"/>
    <m/>
    <m/>
    <m/>
    <n v="1"/>
    <m/>
    <n v="97413951.150000006"/>
    <m/>
    <n v="0"/>
    <n v="0"/>
    <n v="0"/>
    <m/>
    <n v="0"/>
    <n v="0"/>
    <n v="4.5080789999999999E-4"/>
    <s v="FWEURTHB193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80319"/>
    <n v="52000"/>
    <b v="0"/>
    <s v=" "/>
    <s v=" "/>
    <s v=" "/>
    <b v="0"/>
    <b v="0"/>
    <m/>
    <m/>
    <s v=" "/>
    <n v="-80085166.670000002"/>
    <n v="-97413951.150000006"/>
    <s v="F12MABCHK280319"/>
    <n v="80085166.670000002"/>
    <s v="THB"/>
    <n v="1"/>
  </r>
  <r>
    <x v="0"/>
    <x v="1"/>
    <x v="1"/>
    <x v="6"/>
    <x v="0"/>
    <x v="179"/>
    <m/>
    <s v="KKP"/>
    <s v="LISTED"/>
    <s v="BANKING"/>
    <s v="A-"/>
    <m/>
    <m/>
    <d v="2019-05-02T00:00:00"/>
    <m/>
    <m/>
    <m/>
    <n v="1"/>
    <m/>
    <n v="58855833.189999998"/>
    <m/>
    <n v="0"/>
    <n v="0"/>
    <n v="0"/>
    <m/>
    <n v="0"/>
    <n v="0"/>
    <n v="2.723704E-4"/>
    <s v="FWEURTHB19502B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2519b"/>
    <n v="16000"/>
    <b v="0"/>
    <s v=" "/>
    <s v=" "/>
    <s v=" "/>
    <b v="0"/>
    <b v="0"/>
    <m/>
    <m/>
    <s v=" "/>
    <n v="-70042350"/>
    <n v="-58855833.189999998"/>
    <s v="F12MBOCMC02519b"/>
    <n v="70042350"/>
    <s v="THB"/>
    <n v="1"/>
  </r>
  <r>
    <x v="0"/>
    <x v="1"/>
    <x v="1"/>
    <x v="6"/>
    <x v="0"/>
    <x v="180"/>
    <m/>
    <s v="SCB"/>
    <s v="LISTED"/>
    <s v="BANKING"/>
    <s v="AA+(tha)"/>
    <m/>
    <m/>
    <d v="2019-05-23T00:00:00"/>
    <m/>
    <m/>
    <m/>
    <n v="1"/>
    <m/>
    <n v="34501384.969999999"/>
    <m/>
    <n v="0"/>
    <n v="0"/>
    <n v="0"/>
    <m/>
    <n v="0"/>
    <n v="0"/>
    <n v="1.5966400000000001E-4"/>
    <s v="FWEURTHB1952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30519"/>
    <n v="52000"/>
    <b v="0"/>
    <s v=" "/>
    <s v=" "/>
    <s v=" "/>
    <b v="0"/>
    <b v="0"/>
    <m/>
    <m/>
    <s v=" "/>
    <n v="-80113244.439999998"/>
    <n v="-34501384.969999999"/>
    <s v="F12MABCHK230519"/>
    <n v="80113244.439999998"/>
    <s v="THB"/>
    <n v="1"/>
  </r>
  <r>
    <x v="0"/>
    <x v="1"/>
    <x v="1"/>
    <x v="6"/>
    <x v="0"/>
    <x v="181"/>
    <m/>
    <s v="SCB"/>
    <s v="LISTED"/>
    <s v="BANKING"/>
    <s v="AA+(tha)"/>
    <m/>
    <m/>
    <d v="2019-05-31T00:00:00"/>
    <m/>
    <m/>
    <m/>
    <n v="1"/>
    <m/>
    <n v="-6081745.1399999997"/>
    <m/>
    <n v="0"/>
    <n v="0"/>
    <n v="0"/>
    <m/>
    <n v="0"/>
    <n v="0"/>
    <n v="-2.8144799999999999E-5"/>
    <s v="FWEURTHB195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519"/>
    <n v="52000"/>
    <b v="0"/>
    <s v=" "/>
    <s v=" "/>
    <s v=" "/>
    <b v="0"/>
    <b v="0"/>
    <m/>
    <m/>
    <s v=" "/>
    <n v="-50071166.670000002"/>
    <n v="6081745.1399999997"/>
    <s v="F12MABCHK310519"/>
    <n v="50071166.670000002"/>
    <s v="THB"/>
    <n v="1"/>
  </r>
  <r>
    <x v="0"/>
    <x v="1"/>
    <x v="1"/>
    <x v="6"/>
    <x v="0"/>
    <x v="182"/>
    <m/>
    <s v="SCB"/>
    <s v="LISTED"/>
    <s v="BANKING"/>
    <s v="AA+(tha)"/>
    <m/>
    <m/>
    <d v="2018-10-22T00:00:00"/>
    <m/>
    <m/>
    <m/>
    <n v="1"/>
    <m/>
    <n v="45484478.030000001"/>
    <m/>
    <n v="0"/>
    <n v="0"/>
    <n v="0"/>
    <m/>
    <n v="0"/>
    <n v="0"/>
    <n v="2.1049099999999999E-4"/>
    <s v="FWHKDTHB18O2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221018"/>
    <n v="52000"/>
    <b v="0"/>
    <s v=" "/>
    <s v=" "/>
    <s v=" "/>
    <b v="0"/>
    <b v="0"/>
    <m/>
    <m/>
    <s v=" "/>
    <n v="-402431123.29000002"/>
    <n v="-45484478.030000001"/>
    <s v="F3MABCHK221018"/>
    <n v="402431123.29000002"/>
    <s v="THB"/>
    <n v="1"/>
  </r>
  <r>
    <x v="0"/>
    <x v="1"/>
    <x v="1"/>
    <x v="6"/>
    <x v="0"/>
    <x v="183"/>
    <m/>
    <s v="SCB"/>
    <s v="LISTED"/>
    <s v="BANKING"/>
    <s v="AA+(tha)"/>
    <m/>
    <m/>
    <d v="2019-03-12T00:00:00"/>
    <m/>
    <m/>
    <m/>
    <n v="1"/>
    <m/>
    <n v="15984390.07"/>
    <m/>
    <n v="0"/>
    <n v="0"/>
    <n v="0"/>
    <m/>
    <n v="0"/>
    <n v="0"/>
    <n v="7.3971800000000002E-5"/>
    <s v="FWHKDTHB1931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BCHK120319"/>
    <n v="52000"/>
    <b v="0"/>
    <s v=" "/>
    <s v=" "/>
    <s v=" "/>
    <b v="0"/>
    <b v="0"/>
    <m/>
    <m/>
    <s v=" "/>
    <n v="-313876698.63"/>
    <n v="-15984390.07"/>
    <s v="F6MABCHK120319"/>
    <n v="313876698.63"/>
    <s v="THB"/>
    <n v="1"/>
  </r>
  <r>
    <x v="0"/>
    <x v="1"/>
    <x v="1"/>
    <x v="6"/>
    <x v="0"/>
    <x v="184"/>
    <m/>
    <s v="CIMBT"/>
    <s v="LISTED"/>
    <s v="BANKING"/>
    <s v="AA-(tha)"/>
    <m/>
    <m/>
    <d v="2018-12-18T00:00:00"/>
    <m/>
    <m/>
    <m/>
    <n v="1"/>
    <m/>
    <n v="15478508.529999999"/>
    <m/>
    <n v="0"/>
    <n v="0"/>
    <n v="0"/>
    <m/>
    <n v="0"/>
    <n v="0"/>
    <n v="7.1630699999999998E-5"/>
    <s v="FWUSDTHB18D18B"/>
    <m/>
    <s v="FWD SFFPLUS CIMBT"/>
    <s v="สัญญาซื้อขายล่วงหน้า/FORWARD"/>
    <s v="สัญญาซื้อขายล่วงหน้า/FORWARD"/>
    <s v="Future"/>
    <s v="CIMBT"/>
    <s v="Forward FX"/>
    <s v="FORWARD"/>
    <m/>
    <s v="BANKING"/>
    <s v="FINANCIALS"/>
    <s v=" "/>
    <s v="NO MARKET"/>
    <s v="THB"/>
    <s v=" "/>
    <s v=" "/>
    <s v=" "/>
    <s v=" "/>
    <s v=" "/>
    <m/>
    <m/>
    <s v="CIMB THAI BANK PLC."/>
    <s v="ธนาคาร ซีไอเอ็มบี ไทย  จำกัด (มหาชน)"/>
    <s v="LISTED"/>
    <s v=" "/>
    <s v="AA-(tha)"/>
    <s v=" "/>
    <s v=" "/>
    <s v="Baa2"/>
    <s v="AA-(tha)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181218"/>
    <n v="15000"/>
    <b v="0"/>
    <s v=" "/>
    <s v=" "/>
    <s v=" "/>
    <b v="0"/>
    <b v="0"/>
    <m/>
    <m/>
    <s v=" "/>
    <n v="-92443500"/>
    <n v="-15478508.529999999"/>
    <s v="F12MBOCMC181218"/>
    <n v="92443500"/>
    <s v="THB"/>
    <n v="1"/>
  </r>
  <r>
    <x v="0"/>
    <x v="1"/>
    <x v="1"/>
    <x v="6"/>
    <x v="0"/>
    <x v="185"/>
    <m/>
    <s v="KKP"/>
    <s v="LISTED"/>
    <s v="BANKING"/>
    <s v="A-"/>
    <m/>
    <m/>
    <d v="2018-11-06T00:00:00"/>
    <m/>
    <m/>
    <m/>
    <n v="1"/>
    <m/>
    <n v="22154907.289999999"/>
    <m/>
    <n v="0"/>
    <n v="0"/>
    <n v="0"/>
    <m/>
    <n v="0"/>
    <n v="0"/>
    <n v="1.025275E-4"/>
    <s v="FWUSDTHB18N06D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061118b"/>
    <n v="16000"/>
    <b v="0"/>
    <s v=" "/>
    <s v=" "/>
    <s v=" "/>
    <b v="0"/>
    <b v="0"/>
    <m/>
    <m/>
    <s v=" "/>
    <n v="-35849364.539999999"/>
    <n v="-22154907.289999999"/>
    <s v="F12MADCB061118b"/>
    <n v="35849364.539999999"/>
    <s v="THB"/>
    <n v="1"/>
  </r>
  <r>
    <x v="0"/>
    <x v="1"/>
    <x v="1"/>
    <x v="6"/>
    <x v="0"/>
    <x v="186"/>
    <m/>
    <s v="SCB"/>
    <s v="LISTED"/>
    <s v="BANKING"/>
    <s v="AA+(tha)"/>
    <m/>
    <m/>
    <d v="2018-11-19T00:00:00"/>
    <m/>
    <m/>
    <m/>
    <n v="1"/>
    <m/>
    <n v="-29520466.649999999"/>
    <m/>
    <n v="0"/>
    <n v="0"/>
    <n v="0"/>
    <m/>
    <n v="0"/>
    <n v="0"/>
    <n v="-1.3661350000000001E-4"/>
    <s v="FWUSDTHB18N1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191118"/>
    <n v="52000"/>
    <b v="0"/>
    <s v=" "/>
    <s v=" "/>
    <s v=" "/>
    <b v="0"/>
    <b v="0"/>
    <m/>
    <m/>
    <s v=" "/>
    <n v="-50754333.329999998"/>
    <n v="29520466.649999999"/>
    <s v="F6MBOCMC191118"/>
    <n v="50754333.329999998"/>
    <s v="THB"/>
    <n v="1"/>
  </r>
  <r>
    <x v="0"/>
    <x v="1"/>
    <x v="1"/>
    <x v="6"/>
    <x v="0"/>
    <x v="187"/>
    <m/>
    <s v="SCB"/>
    <s v="LISTED"/>
    <s v="BANKING"/>
    <s v="AA+(tha)"/>
    <m/>
    <m/>
    <d v="2018-11-20T00:00:00"/>
    <m/>
    <m/>
    <m/>
    <n v="1"/>
    <m/>
    <n v="-5838883.29"/>
    <m/>
    <n v="0"/>
    <n v="0"/>
    <n v="0"/>
    <m/>
    <n v="0"/>
    <n v="0"/>
    <n v="-2.7020900000000001E-5"/>
    <s v="FWUSDTHB18N20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201118"/>
    <n v="52000"/>
    <b v="0"/>
    <s v=" "/>
    <s v=" "/>
    <s v=" "/>
    <b v="0"/>
    <b v="0"/>
    <m/>
    <m/>
    <s v=" "/>
    <n v="-14211213.33"/>
    <n v="5838883.29"/>
    <s v="F6MBOCMC201118"/>
    <n v="14211213.33"/>
    <s v="THB"/>
    <n v="1"/>
  </r>
  <r>
    <x v="0"/>
    <x v="1"/>
    <x v="1"/>
    <x v="6"/>
    <x v="0"/>
    <x v="188"/>
    <m/>
    <s v="SCB"/>
    <s v="LISTED"/>
    <s v="BANKING"/>
    <s v="AA+(tha)"/>
    <m/>
    <m/>
    <d v="2018-11-26T00:00:00"/>
    <m/>
    <m/>
    <m/>
    <n v="1"/>
    <m/>
    <n v="-22250778.829999998"/>
    <m/>
    <n v="0"/>
    <n v="0"/>
    <n v="0"/>
    <m/>
    <n v="0"/>
    <n v="0"/>
    <n v="-1.029712E-4"/>
    <s v="FWUSDTHB18N2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61118"/>
    <n v="52000"/>
    <b v="0"/>
    <s v=" "/>
    <s v=" "/>
    <s v=" "/>
    <b v="0"/>
    <b v="0"/>
    <m/>
    <m/>
    <s v=" "/>
    <n v="-50775000"/>
    <n v="22250778.829999998"/>
    <s v="F6MADCB261118"/>
    <n v="50775000"/>
    <s v="THB"/>
    <n v="1"/>
  </r>
  <r>
    <x v="0"/>
    <x v="1"/>
    <x v="1"/>
    <x v="6"/>
    <x v="0"/>
    <x v="189"/>
    <m/>
    <s v="SCB"/>
    <s v="LISTED"/>
    <s v="BANKING"/>
    <s v="AA+(tha)"/>
    <m/>
    <m/>
    <d v="2018-10-16T00:00:00"/>
    <m/>
    <m/>
    <m/>
    <n v="1"/>
    <m/>
    <n v="30809014.390000001"/>
    <m/>
    <n v="0"/>
    <n v="0"/>
    <n v="0"/>
    <m/>
    <n v="0"/>
    <n v="0"/>
    <n v="1.4257660000000001E-4"/>
    <s v="FWUSDTHB18O16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61018"/>
    <n v="52000"/>
    <b v="0"/>
    <s v=" "/>
    <s v=" "/>
    <s v=" "/>
    <b v="0"/>
    <b v="0"/>
    <m/>
    <m/>
    <s v=" "/>
    <n v="-51206666.670000002"/>
    <n v="-30809014.390000001"/>
    <s v="F12MADCB161018"/>
    <n v="51206666.670000002"/>
    <s v="THB"/>
    <n v="1"/>
  </r>
  <r>
    <x v="0"/>
    <x v="1"/>
    <x v="1"/>
    <x v="6"/>
    <x v="0"/>
    <x v="190"/>
    <m/>
    <s v="SCB"/>
    <s v="LISTED"/>
    <s v="BANKING"/>
    <s v="AA+(tha)"/>
    <m/>
    <m/>
    <d v="2018-10-16T00:00:00"/>
    <m/>
    <m/>
    <m/>
    <n v="1"/>
    <m/>
    <n v="28982560.719999999"/>
    <m/>
    <n v="0"/>
    <n v="0"/>
    <n v="0"/>
    <m/>
    <n v="0"/>
    <n v="0"/>
    <n v="1.3412419999999999E-4"/>
    <s v="FWUSDTHB18O16D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161018"/>
    <n v="52000"/>
    <b v="0"/>
    <s v=" "/>
    <s v=" "/>
    <s v=" "/>
    <b v="0"/>
    <b v="0"/>
    <m/>
    <m/>
    <s v=" "/>
    <n v="-40299733.329999998"/>
    <n v="-28982560.719999999"/>
    <s v="F3MABCHK161018"/>
    <n v="40299733.329999998"/>
    <s v="THB"/>
    <n v="1"/>
  </r>
  <r>
    <x v="0"/>
    <x v="1"/>
    <x v="1"/>
    <x v="6"/>
    <x v="0"/>
    <x v="191"/>
    <m/>
    <s v="SCB"/>
    <s v="LISTED"/>
    <s v="BANKING"/>
    <s v="AA+(tha)"/>
    <m/>
    <m/>
    <d v="2018-10-25T00:00:00"/>
    <m/>
    <m/>
    <m/>
    <n v="1"/>
    <m/>
    <n v="-44274886.07"/>
    <m/>
    <n v="0"/>
    <n v="0"/>
    <n v="0"/>
    <m/>
    <n v="0"/>
    <n v="0"/>
    <n v="-2.0489330000000001E-4"/>
    <s v="FWUSDTHB18O2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51018"/>
    <n v="52000"/>
    <b v="0"/>
    <s v=" "/>
    <s v=" "/>
    <s v=" "/>
    <b v="0"/>
    <b v="0"/>
    <m/>
    <m/>
    <s v=" "/>
    <n v="-40610000"/>
    <n v="44274886.07"/>
    <s v="F6MADCB251018"/>
    <n v="40610000"/>
    <s v="THB"/>
    <n v="1"/>
  </r>
  <r>
    <x v="0"/>
    <x v="1"/>
    <x v="1"/>
    <x v="6"/>
    <x v="0"/>
    <x v="192"/>
    <m/>
    <s v="SCB"/>
    <s v="LISTED"/>
    <s v="BANKING"/>
    <s v="AA+(tha)"/>
    <m/>
    <m/>
    <d v="2019-01-08T00:00:00"/>
    <m/>
    <m/>
    <m/>
    <n v="1"/>
    <m/>
    <n v="-24983286.98"/>
    <m/>
    <n v="0"/>
    <n v="0"/>
    <n v="0"/>
    <m/>
    <n v="0"/>
    <n v="0"/>
    <n v="-1.1561649999999999E-4"/>
    <s v="FWUSDTHB1910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80119"/>
    <n v="52000"/>
    <b v="0"/>
    <s v=" "/>
    <s v=" "/>
    <s v=" "/>
    <b v="0"/>
    <b v="0"/>
    <m/>
    <m/>
    <s v=" "/>
    <n v="-102707083.33"/>
    <n v="24983286.98"/>
    <s v="F12MBOCMC080119"/>
    <n v="102707083.33"/>
    <s v="THB"/>
    <n v="1"/>
  </r>
  <r>
    <x v="0"/>
    <x v="1"/>
    <x v="1"/>
    <x v="6"/>
    <x v="0"/>
    <x v="193"/>
    <m/>
    <s v="SCB"/>
    <s v="LISTED"/>
    <s v="BANKING"/>
    <s v="AA+(tha)"/>
    <m/>
    <m/>
    <d v="2019-01-09T00:00:00"/>
    <m/>
    <m/>
    <m/>
    <n v="1"/>
    <m/>
    <n v="-36939078.07"/>
    <m/>
    <n v="0"/>
    <n v="0"/>
    <n v="0"/>
    <m/>
    <n v="0"/>
    <n v="0"/>
    <n v="-1.7094500000000001E-4"/>
    <s v="FWUSDTHB19109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90119"/>
    <n v="52000"/>
    <b v="0"/>
    <s v=" "/>
    <s v=" "/>
    <s v=" "/>
    <b v="0"/>
    <b v="0"/>
    <m/>
    <m/>
    <s v=" "/>
    <n v="-100652941.66"/>
    <n v="36939078.07"/>
    <s v="F12MBOCMC090119"/>
    <n v="100652941.66"/>
    <s v="THB"/>
    <n v="1"/>
  </r>
  <r>
    <x v="0"/>
    <x v="1"/>
    <x v="1"/>
    <x v="6"/>
    <x v="0"/>
    <x v="194"/>
    <m/>
    <s v="KKP"/>
    <s v="LISTED"/>
    <s v="BANKING"/>
    <s v="A-"/>
    <m/>
    <m/>
    <d v="2019-01-16T00:00:00"/>
    <m/>
    <m/>
    <m/>
    <n v="1"/>
    <m/>
    <n v="-11098190"/>
    <m/>
    <n v="0"/>
    <n v="0"/>
    <n v="0"/>
    <m/>
    <n v="0"/>
    <n v="0"/>
    <n v="-5.1359700000000002E-5"/>
    <s v="FWUSDTHB19116B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ICBCD16119"/>
    <n v="16000"/>
    <b v="0"/>
    <s v=" "/>
    <s v=" "/>
    <s v=" "/>
    <b v="0"/>
    <b v="0"/>
    <m/>
    <m/>
    <s v=" "/>
    <n v="-30760416.670000002"/>
    <n v="11098190"/>
    <s v="CD12MICBCD16119"/>
    <n v="30760416.670000002"/>
    <s v="THB"/>
    <n v="1"/>
  </r>
  <r>
    <x v="0"/>
    <x v="1"/>
    <x v="1"/>
    <x v="6"/>
    <x v="0"/>
    <x v="195"/>
    <m/>
    <s v="KKP"/>
    <s v="LISTED"/>
    <s v="BANKING"/>
    <s v="A-"/>
    <m/>
    <m/>
    <d v="2019-02-08T00:00:00"/>
    <m/>
    <m/>
    <m/>
    <n v="1"/>
    <m/>
    <n v="-45879624.899999999"/>
    <m/>
    <n v="0"/>
    <n v="0"/>
    <n v="0"/>
    <m/>
    <n v="0"/>
    <n v="0"/>
    <n v="-2.1231970000000001E-4"/>
    <s v="FWUSDTHB19208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ICBCSE08219"/>
    <n v="16000"/>
    <b v="0"/>
    <s v=" "/>
    <s v=" "/>
    <s v=" "/>
    <b v="0"/>
    <b v="0"/>
    <m/>
    <m/>
    <s v=" "/>
    <n v="-51415555.560000002"/>
    <n v="45879624.899999999"/>
    <s v="CD1YICBCSE08219"/>
    <n v="51415555.560000002"/>
    <s v="THB"/>
    <n v="1"/>
  </r>
  <r>
    <x v="0"/>
    <x v="1"/>
    <x v="1"/>
    <x v="6"/>
    <x v="0"/>
    <x v="196"/>
    <m/>
    <s v="KKP"/>
    <s v="LISTED"/>
    <s v="BANKING"/>
    <s v="A-"/>
    <m/>
    <m/>
    <d v="2019-03-07T00:00:00"/>
    <m/>
    <m/>
    <m/>
    <n v="1"/>
    <m/>
    <n v="-113097792.22"/>
    <m/>
    <n v="0"/>
    <n v="0"/>
    <n v="0"/>
    <m/>
    <n v="0"/>
    <n v="0"/>
    <n v="-5.2338890000000005E-4"/>
    <s v="FWUSDTHB19307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70319"/>
    <n v="16000"/>
    <b v="0"/>
    <s v=" "/>
    <s v=" "/>
    <s v=" "/>
    <b v="0"/>
    <b v="0"/>
    <m/>
    <m/>
    <s v=" "/>
    <n v="-102970694.44"/>
    <n v="113097792.22"/>
    <s v="EMTNMASQ070319"/>
    <n v="102970694.44"/>
    <s v="THB"/>
    <n v="1"/>
  </r>
  <r>
    <x v="0"/>
    <x v="1"/>
    <x v="1"/>
    <x v="6"/>
    <x v="0"/>
    <x v="197"/>
    <m/>
    <s v="SCB"/>
    <s v="LISTED"/>
    <s v="BANKING"/>
    <s v="AA+(tha)"/>
    <m/>
    <m/>
    <d v="2019-04-09T00:00:00"/>
    <m/>
    <m/>
    <m/>
    <n v="1"/>
    <m/>
    <n v="-139689716.74000001"/>
    <m/>
    <n v="0"/>
    <n v="0"/>
    <n v="0"/>
    <m/>
    <n v="0"/>
    <n v="0"/>
    <n v="-6.4644979999999995E-4"/>
    <s v="FWUSDTHB1940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90419"/>
    <n v="52000"/>
    <b v="0"/>
    <s v=" "/>
    <s v=" "/>
    <s v=" "/>
    <b v="0"/>
    <b v="0"/>
    <m/>
    <m/>
    <s v=" "/>
    <n v="-103203890"/>
    <n v="139689716.74000001"/>
    <s v="EMTNMASQ090419"/>
    <n v="103203890"/>
    <s v="THB"/>
    <n v="1"/>
  </r>
  <r>
    <x v="0"/>
    <x v="1"/>
    <x v="1"/>
    <x v="6"/>
    <x v="0"/>
    <x v="198"/>
    <m/>
    <s v="KKP"/>
    <s v="LISTED"/>
    <s v="BANKING"/>
    <s v="A-"/>
    <m/>
    <m/>
    <d v="2019-04-26T00:00:00"/>
    <m/>
    <m/>
    <m/>
    <n v="1"/>
    <m/>
    <n v="-67454264.400000006"/>
    <m/>
    <n v="0"/>
    <n v="0"/>
    <n v="0"/>
    <m/>
    <n v="0"/>
    <n v="0"/>
    <n v="-3.1216179999999998E-4"/>
    <s v="FWUSDTHB19426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60419"/>
    <n v="16000"/>
    <b v="0"/>
    <s v=" "/>
    <s v=" "/>
    <s v=" "/>
    <b v="0"/>
    <b v="0"/>
    <m/>
    <m/>
    <s v=" "/>
    <n v="-61928416.670000002"/>
    <n v="67454264.400000006"/>
    <s v="F12MABCHK260419"/>
    <n v="61928416.670000002"/>
    <s v="THB"/>
    <n v="1"/>
  </r>
  <r>
    <x v="0"/>
    <x v="1"/>
    <x v="1"/>
    <x v="6"/>
    <x v="0"/>
    <x v="199"/>
    <m/>
    <s v="SCB"/>
    <s v="LISTED"/>
    <s v="BANKING"/>
    <s v="AA+(tha)"/>
    <m/>
    <m/>
    <d v="2019-05-08T00:00:00"/>
    <m/>
    <m/>
    <m/>
    <n v="1"/>
    <m/>
    <n v="-69870223.650000006"/>
    <m/>
    <n v="0"/>
    <n v="0"/>
    <n v="0"/>
    <m/>
    <n v="0"/>
    <n v="0"/>
    <n v="-3.233423E-4"/>
    <s v="FWUSDTHB1950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80519"/>
    <n v="52000"/>
    <b v="0"/>
    <s v=" "/>
    <s v=" "/>
    <s v=" "/>
    <b v="0"/>
    <b v="0"/>
    <m/>
    <m/>
    <s v=" "/>
    <n v="-82660444"/>
    <n v="69870223.650000006"/>
    <s v="EMTNMASQ080519"/>
    <n v="82660444"/>
    <s v="THB"/>
    <n v="1"/>
  </r>
  <r>
    <x v="0"/>
    <x v="1"/>
    <x v="1"/>
    <x v="6"/>
    <x v="0"/>
    <x v="200"/>
    <m/>
    <s v="SCB"/>
    <s v="LISTED"/>
    <s v="BANKING"/>
    <s v="AA+(tha)"/>
    <m/>
    <m/>
    <d v="2019-05-13T00:00:00"/>
    <m/>
    <m/>
    <m/>
    <n v="1"/>
    <m/>
    <n v="-54991691.920000002"/>
    <m/>
    <n v="0"/>
    <n v="0"/>
    <n v="0"/>
    <m/>
    <n v="0"/>
    <n v="0"/>
    <n v="-2.5448810000000001E-4"/>
    <s v="FWUSDTHB19513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130519"/>
    <n v="52000"/>
    <b v="0"/>
    <s v=" "/>
    <s v=" "/>
    <s v=" "/>
    <b v="0"/>
    <b v="0"/>
    <m/>
    <m/>
    <s v=" "/>
    <n v="-82698666.670000002"/>
    <n v="54991691.920000002"/>
    <s v="EMTNMASQ130519"/>
    <n v="82698666.670000002"/>
    <s v="THB"/>
    <n v="1"/>
  </r>
  <r>
    <x v="0"/>
    <x v="1"/>
    <x v="1"/>
    <x v="6"/>
    <x v="0"/>
    <x v="201"/>
    <m/>
    <s v="KKP"/>
    <s v="LISTED"/>
    <s v="BANKING"/>
    <s v="A-"/>
    <m/>
    <m/>
    <d v="2019-06-25T00:00:00"/>
    <m/>
    <m/>
    <m/>
    <n v="1"/>
    <m/>
    <n v="44070985.700000003"/>
    <m/>
    <n v="0"/>
    <n v="0"/>
    <n v="0"/>
    <m/>
    <n v="0"/>
    <n v="0"/>
    <n v="2.039497E-4"/>
    <s v="FWUSDTHB19625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50619"/>
    <n v="16000"/>
    <b v="0"/>
    <s v=" "/>
    <s v=" "/>
    <s v=" "/>
    <b v="0"/>
    <b v="0"/>
    <m/>
    <m/>
    <s v=" "/>
    <n v="-87861194.439999998"/>
    <n v="-44070985.700000003"/>
    <s v="F12MABCHK250619"/>
    <n v="87861194.439999998"/>
    <s v="THB"/>
    <n v="1"/>
  </r>
  <r>
    <x v="0"/>
    <x v="1"/>
    <x v="1"/>
    <x v="6"/>
    <x v="0"/>
    <x v="202"/>
    <m/>
    <s v="SCB"/>
    <s v="LISTED"/>
    <s v="BANKING"/>
    <s v="AA+(tha)"/>
    <m/>
    <m/>
    <d v="2019-06-28T00:00:00"/>
    <m/>
    <m/>
    <m/>
    <n v="1"/>
    <m/>
    <n v="46232342.049999997"/>
    <m/>
    <n v="0"/>
    <n v="0"/>
    <n v="0"/>
    <m/>
    <n v="0"/>
    <n v="0"/>
    <n v="2.13952E-4"/>
    <s v="FWUSDTHB196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280619"/>
    <n v="52000"/>
    <b v="0"/>
    <s v=" "/>
    <s v=" "/>
    <s v=" "/>
    <b v="0"/>
    <b v="0"/>
    <m/>
    <m/>
    <s v=" "/>
    <n v="-87930138.890000001"/>
    <n v="-46232342.049999997"/>
    <s v="F12MBOCMC280619"/>
    <n v="87930138.890000001"/>
    <s v="THB"/>
    <n v="1"/>
  </r>
  <r>
    <x v="0"/>
    <x v="1"/>
    <x v="1"/>
    <x v="6"/>
    <x v="0"/>
    <x v="203"/>
    <m/>
    <s v="SCB"/>
    <s v="LISTED"/>
    <s v="BANKING"/>
    <s v="AA+(tha)"/>
    <m/>
    <m/>
    <d v="2019-10-01T00:00:00"/>
    <m/>
    <m/>
    <m/>
    <n v="1"/>
    <m/>
    <n v="1629809.62"/>
    <m/>
    <n v="0"/>
    <n v="0"/>
    <n v="0"/>
    <m/>
    <n v="0"/>
    <n v="0"/>
    <n v="7.5424E-6"/>
    <s v="FWUSDTHB19O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11019"/>
    <n v="52000"/>
    <b v="0"/>
    <s v=" "/>
    <s v=" "/>
    <s v=" "/>
    <b v="0"/>
    <b v="0"/>
    <m/>
    <m/>
    <s v=" "/>
    <n v="-93153500"/>
    <n v="-1629809.62"/>
    <s v="F12MUNB011019"/>
    <n v="93153500"/>
    <s v="THB"/>
    <n v="1"/>
  </r>
  <r>
    <x v="0"/>
    <x v="1"/>
    <x v="1"/>
    <x v="6"/>
    <x v="0"/>
    <x v="204"/>
    <m/>
    <s v="SCB"/>
    <s v="LISTED"/>
    <s v="BANKING"/>
    <s v="AA+(tha)"/>
    <m/>
    <m/>
    <d v="2019-10-02T00:00:00"/>
    <m/>
    <m/>
    <m/>
    <n v="1"/>
    <m/>
    <n v="10126362.949999999"/>
    <m/>
    <n v="0"/>
    <n v="0"/>
    <n v="0"/>
    <m/>
    <n v="0"/>
    <n v="0"/>
    <n v="4.68623E-5"/>
    <s v="FWUSDTHB19O02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21019a"/>
    <n v="52000"/>
    <b v="0"/>
    <s v=" "/>
    <s v=" "/>
    <s v=" "/>
    <b v="0"/>
    <b v="0"/>
    <m/>
    <m/>
    <s v=" "/>
    <n v="-93153500"/>
    <n v="-10126362.949999999"/>
    <s v="F12MUNB021019a"/>
    <n v="93153500"/>
    <s v="THB"/>
    <n v="1"/>
  </r>
  <r>
    <x v="0"/>
    <x v="1"/>
    <x v="2"/>
    <x v="7"/>
    <x v="1"/>
    <x v="5"/>
    <m/>
    <m/>
    <m/>
    <m/>
    <m/>
    <m/>
    <m/>
    <m/>
    <m/>
    <m/>
    <m/>
    <n v="0"/>
    <n v="0"/>
    <n v="4093829.41"/>
    <m/>
    <n v="4093829.41"/>
    <n v="0"/>
    <m/>
    <m/>
    <n v="24"/>
    <n v="0"/>
    <n v="1.8945199999999999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7"/>
    <x v="8"/>
    <x v="5"/>
    <m/>
    <m/>
    <m/>
    <m/>
    <m/>
    <m/>
    <m/>
    <m/>
    <m/>
    <m/>
    <m/>
    <n v="0"/>
    <n v="0"/>
    <n v="2384466.21"/>
    <m/>
    <n v="2384466.21"/>
    <n v="0"/>
    <m/>
    <m/>
    <n v="24"/>
    <n v="0"/>
    <n v="1.10347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16"/>
    <x v="9"/>
    <x v="205"/>
    <m/>
    <s v="SCBAM"/>
    <s v="UNLISTED"/>
    <s v="UNIT TRUST"/>
    <m/>
    <m/>
    <m/>
    <m/>
    <m/>
    <m/>
    <m/>
    <m/>
    <n v="0"/>
    <n v="1279.9000000000001"/>
    <m/>
    <n v="1279.9000000000001"/>
    <n v="0"/>
    <n v="0"/>
    <m/>
    <n v="0"/>
    <n v="0"/>
    <n v="5.8999999999999999E-9"/>
    <s v="UNSETTLE AMOR."/>
    <m/>
    <s v="ADJ."/>
    <m/>
    <m/>
    <s v="Cash Bal"/>
    <s v="SCBAM"/>
    <s v="Cash Balance"/>
    <s v="A/R"/>
    <m/>
    <s v=" "/>
    <s v=" "/>
    <s v=" "/>
    <s v=" "/>
    <s v="THB"/>
    <s v=" "/>
    <s v=" "/>
    <s v=" "/>
    <s v="Liquid"/>
    <s v=" "/>
    <m/>
    <m/>
    <s v="SCB Asset Mangment Co.,Ltd."/>
    <s v="บลจ. ไทยพาณิชย์ จำกัด"/>
    <s v="UNLISTED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0"/>
    <b v="0"/>
    <s v=" "/>
    <s v=" "/>
    <s v=" "/>
    <b v="0"/>
    <b v="0"/>
    <m/>
    <m/>
    <s v=" "/>
    <m/>
    <m/>
    <m/>
    <m/>
    <m/>
    <m/>
  </r>
  <r>
    <x v="0"/>
    <x v="1"/>
    <x v="3"/>
    <x v="8"/>
    <x v="1"/>
    <x v="123"/>
    <m/>
    <m/>
    <m/>
    <m/>
    <m/>
    <m/>
    <m/>
    <m/>
    <m/>
    <m/>
    <m/>
    <n v="0"/>
    <n v="99.912623999999994"/>
    <n v="-46958933.280000001"/>
    <m/>
    <n v="-46958933.280000001"/>
    <m/>
    <m/>
    <m/>
    <n v="7"/>
    <n v="0"/>
    <n v="-2.173144E-4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3"/>
    <x v="8"/>
    <x v="1"/>
    <x v="38"/>
    <m/>
    <m/>
    <m/>
    <m/>
    <m/>
    <m/>
    <m/>
    <m/>
    <m/>
    <m/>
    <m/>
    <n v="0"/>
    <n v="99.912623999999994"/>
    <n v="-24978156"/>
    <m/>
    <n v="-24978156"/>
    <m/>
    <m/>
    <m/>
    <n v="7"/>
    <n v="0"/>
    <n v="-1.155928E-4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3"/>
    <x v="8"/>
    <x v="1"/>
    <x v="39"/>
    <m/>
    <m/>
    <m/>
    <m/>
    <m/>
    <m/>
    <m/>
    <m/>
    <m/>
    <m/>
    <m/>
    <n v="0"/>
    <n v="99.889978999999997"/>
    <n v="-61931786.840000004"/>
    <m/>
    <n v="-61931786.840000004"/>
    <m/>
    <m/>
    <m/>
    <n v="7"/>
    <n v="0"/>
    <n v="-2.8660509999999998E-4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3"/>
    <x v="8"/>
    <x v="1"/>
    <x v="124"/>
    <m/>
    <m/>
    <m/>
    <m/>
    <m/>
    <m/>
    <m/>
    <m/>
    <m/>
    <m/>
    <m/>
    <n v="0"/>
    <n v="99.864976999999996"/>
    <n v="-72901433.209999993"/>
    <m/>
    <n v="-72901433.209999993"/>
    <m/>
    <m/>
    <m/>
    <n v="7"/>
    <n v="0"/>
    <n v="-3.3736999999999998E-4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3"/>
    <x v="8"/>
    <x v="1"/>
    <x v="41"/>
    <m/>
    <m/>
    <m/>
    <m/>
    <m/>
    <m/>
    <m/>
    <m/>
    <m/>
    <m/>
    <m/>
    <n v="0"/>
    <n v="99.864976999999996"/>
    <n v="-18974345.629999999"/>
    <m/>
    <n v="-18974345.629999999"/>
    <m/>
    <m/>
    <m/>
    <n v="7"/>
    <n v="0"/>
    <n v="-8.7808599999999998E-5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3"/>
    <x v="8"/>
    <x v="1"/>
    <x v="49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1"/>
    <x v="50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3"/>
    <x v="8"/>
    <x v="1"/>
    <x v="125"/>
    <m/>
    <m/>
    <m/>
    <m/>
    <m/>
    <m/>
    <m/>
    <m/>
    <m/>
    <m/>
    <m/>
    <n v="0"/>
    <n v="99.963483999999994"/>
    <n v="-2772987059.8000002"/>
    <m/>
    <n v="-2772987059.8000002"/>
    <m/>
    <m/>
    <m/>
    <n v="7"/>
    <n v="0"/>
    <n v="-1.2832705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1"/>
    <x v="53"/>
    <m/>
    <m/>
    <m/>
    <m/>
    <m/>
    <m/>
    <m/>
    <m/>
    <m/>
    <m/>
    <m/>
    <n v="0"/>
    <n v="99.933879000000005"/>
    <n v="-129914042.7"/>
    <m/>
    <n v="-129914042.7"/>
    <m/>
    <m/>
    <m/>
    <n v="7"/>
    <n v="0"/>
    <n v="-6.0121040000000005E-4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3"/>
    <x v="8"/>
    <x v="1"/>
    <x v="126"/>
    <m/>
    <m/>
    <m/>
    <m/>
    <m/>
    <m/>
    <m/>
    <m/>
    <m/>
    <m/>
    <m/>
    <n v="0"/>
    <n v="99.628932000000006"/>
    <n v="-301875662.52999997"/>
    <m/>
    <n v="-301875662.52999997"/>
    <m/>
    <m/>
    <m/>
    <n v="7"/>
    <n v="0"/>
    <n v="-1.3970066000000001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3"/>
    <x v="8"/>
    <x v="1"/>
    <x v="55"/>
    <m/>
    <m/>
    <m/>
    <m/>
    <m/>
    <m/>
    <m/>
    <m/>
    <m/>
    <m/>
    <m/>
    <n v="0"/>
    <n v="99.629741999999993"/>
    <n v="-6394236863.75"/>
    <m/>
    <n v="-6394236863.75"/>
    <m/>
    <m/>
    <m/>
    <n v="7"/>
    <n v="0"/>
    <n v="-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2"/>
    <x v="49"/>
    <m/>
    <m/>
    <m/>
    <m/>
    <m/>
    <m/>
    <m/>
    <m/>
    <m/>
    <m/>
    <m/>
    <n v="0"/>
    <n v="99.981263999999996"/>
    <n v="-23995503.359999999"/>
    <m/>
    <n v="-23995503.359999999"/>
    <m/>
    <m/>
    <m/>
    <n v="7"/>
    <n v="0"/>
    <n v="-1.110453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2"/>
    <x v="52"/>
    <m/>
    <m/>
    <m/>
    <m/>
    <m/>
    <m/>
    <m/>
    <m/>
    <m/>
    <m/>
    <m/>
    <n v="0"/>
    <n v="99.959413999999995"/>
    <n v="-16993100.379999999"/>
    <m/>
    <n v="-16993100.379999999"/>
    <m/>
    <m/>
    <m/>
    <n v="7"/>
    <n v="0"/>
    <n v="-7.8639899999999999E-5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3958.99"/>
    <m/>
    <m/>
    <m/>
    <m/>
    <m/>
    <n v="0"/>
    <n v="0"/>
    <n v="-1.1089999999999999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55000"/>
    <m/>
    <m/>
    <m/>
    <m/>
    <m/>
    <n v="0"/>
    <n v="0"/>
    <n v="-1.1800999999999999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10000"/>
    <m/>
    <m/>
    <m/>
    <m/>
    <m/>
    <n v="0"/>
    <n v="0"/>
    <n v="-4.62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0"/>
    <x v="0"/>
    <x v="68"/>
    <m/>
    <m/>
    <m/>
    <m/>
    <m/>
    <m/>
    <m/>
    <m/>
    <m/>
    <m/>
    <m/>
    <m/>
    <m/>
    <n v="-2151301.63"/>
    <n v="0"/>
    <m/>
    <m/>
    <m/>
    <m/>
    <n v="0"/>
    <n v="0"/>
    <n v="-9.9557000000000002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182.17"/>
    <m/>
    <m/>
    <m/>
    <m/>
    <m/>
    <n v="0"/>
    <n v="0"/>
    <n v="-1.93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24.95"/>
    <m/>
    <m/>
    <m/>
    <m/>
    <m/>
    <n v="0"/>
    <n v="0"/>
    <n v="-2.0000000000000001E-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4"/>
    <x v="7"/>
    <x v="68"/>
    <m/>
    <m/>
    <m/>
    <m/>
    <m/>
    <m/>
    <m/>
    <m/>
    <m/>
    <m/>
    <m/>
    <m/>
    <m/>
    <n v="-3691405.22"/>
    <m/>
    <n v="-3691405.22"/>
    <m/>
    <m/>
    <m/>
    <n v="0"/>
    <n v="0"/>
    <n v="-1.7082899999999999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3"/>
    <x v="6"/>
    <x v="68"/>
    <m/>
    <m/>
    <m/>
    <m/>
    <m/>
    <m/>
    <m/>
    <m/>
    <m/>
    <m/>
    <m/>
    <m/>
    <m/>
    <n v="-75526589.790000007"/>
    <m/>
    <n v="-75526589.790000007"/>
    <m/>
    <m/>
    <m/>
    <n v="0"/>
    <n v="0"/>
    <n v="-3.4951859999999998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4"/>
    <x v="7"/>
    <x v="68"/>
    <m/>
    <m/>
    <m/>
    <m/>
    <m/>
    <m/>
    <m/>
    <m/>
    <m/>
    <m/>
    <m/>
    <m/>
    <m/>
    <n v="-110857.09"/>
    <m/>
    <n v="-110857.09"/>
    <m/>
    <m/>
    <m/>
    <n v="0"/>
    <n v="0"/>
    <n v="-5.13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3"/>
    <x v="6"/>
    <x v="68"/>
    <m/>
    <m/>
    <m/>
    <m/>
    <m/>
    <m/>
    <m/>
    <m/>
    <m/>
    <m/>
    <m/>
    <m/>
    <m/>
    <n v="-2323243.7400000002"/>
    <m/>
    <n v="-2323243.7400000002"/>
    <m/>
    <m/>
    <m/>
    <n v="0"/>
    <n v="0"/>
    <n v="-1.07514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3"/>
    <x v="0"/>
    <x v="0"/>
    <x v="0"/>
    <x v="5"/>
    <m/>
    <s v="KBANK"/>
    <m/>
    <s v="BANKING"/>
    <m/>
    <m/>
    <m/>
    <m/>
    <m/>
    <m/>
    <m/>
    <m/>
    <m/>
    <n v="2075857.25"/>
    <n v="5797.46"/>
    <n v="2075857.25"/>
    <n v="0"/>
    <n v="0"/>
    <m/>
    <n v="2075857.25"/>
    <n v="0"/>
    <n v="1.5954510000000001E-4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3"/>
    <x v="0"/>
    <x v="1"/>
    <x v="0"/>
    <x v="208"/>
    <m/>
    <s v="GHB"/>
    <s v="SPECIALIZE F.I."/>
    <s v="BANKING"/>
    <s v="AAA(tha)"/>
    <m/>
    <m/>
    <d v="2018-12-07T00:00:00"/>
    <n v="65"/>
    <n v="1.6"/>
    <m/>
    <m/>
    <m/>
    <n v="150000000"/>
    <n v="1972602.74"/>
    <n v="150000000"/>
    <n v="0.17757600000000001"/>
    <n v="150000000"/>
    <m/>
    <n v="150000000"/>
    <n v="1.6"/>
    <n v="1.1647696799999999E-2"/>
    <s v="F12MGHB071218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077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3"/>
    <x v="0"/>
    <x v="1"/>
    <x v="0"/>
    <x v="206"/>
    <m/>
    <s v="GHB"/>
    <s v="SPECIALIZE F.I."/>
    <s v="BANKING"/>
    <s v="AAA(tha)"/>
    <m/>
    <m/>
    <d v="2019-04-09T00:00:00"/>
    <n v="188"/>
    <n v="1.5"/>
    <m/>
    <m/>
    <m/>
    <n v="120000000"/>
    <n v="877808.22"/>
    <n v="120000000"/>
    <n v="0.51114800000000005"/>
    <n v="120000000"/>
    <m/>
    <n v="120000000"/>
    <n v="1.5"/>
    <n v="9.2644861000000002E-3"/>
    <s v="F12MGHB0904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199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3"/>
    <x v="0"/>
    <x v="1"/>
    <x v="0"/>
    <x v="17"/>
    <m/>
    <s v="GHB"/>
    <s v="SPECIALIZE F.I."/>
    <s v="BANKING"/>
    <s v="AAA(tha)"/>
    <m/>
    <m/>
    <d v="2019-08-09T00:00:00"/>
    <n v="310"/>
    <n v="1.7"/>
    <m/>
    <m/>
    <m/>
    <n v="60000000"/>
    <n v="156493.15"/>
    <n v="60000000"/>
    <n v="0.83725700000000003"/>
    <n v="60000000"/>
    <m/>
    <n v="60000000"/>
    <n v="1.7"/>
    <n v="4.6105981000000001E-3"/>
    <s v="F12MGHB0908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21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3"/>
    <x v="0"/>
    <x v="1"/>
    <x v="0"/>
    <x v="21"/>
    <m/>
    <s v="GHB"/>
    <s v="SPECIALIZE F.I."/>
    <s v="BANKING"/>
    <s v="AAA(tha)"/>
    <m/>
    <m/>
    <d v="2019-01-18T00:00:00"/>
    <n v="107"/>
    <n v="1.6"/>
    <m/>
    <m/>
    <m/>
    <n v="50000000"/>
    <n v="567671.23"/>
    <n v="50000000"/>
    <n v="0.29178199999999999"/>
    <n v="50000000"/>
    <m/>
    <n v="50000000"/>
    <n v="1.6"/>
    <n v="3.8756782000000001E-3"/>
    <s v="F12MGHB1801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118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3"/>
    <x v="0"/>
    <x v="1"/>
    <x v="0"/>
    <x v="96"/>
    <m/>
    <s v="GHB"/>
    <s v="SPECIALIZE F.I."/>
    <s v="BANKING"/>
    <s v="AAA(tha)"/>
    <m/>
    <m/>
    <d v="2019-07-26T00:00:00"/>
    <n v="296"/>
    <n v="1.7"/>
    <m/>
    <m/>
    <m/>
    <n v="200000000"/>
    <n v="652054.79"/>
    <n v="200000000"/>
    <n v="0.79996599999999995"/>
    <n v="200000000"/>
    <m/>
    <n v="200000000"/>
    <n v="1.7"/>
    <n v="1.5378655499999999E-2"/>
    <s v="F12MGHB260719"/>
    <m/>
    <s v="FIXED 12 MTH GHB"/>
    <s v="เงินฝากประจำ 12 เดือน ธนาคารอาคารสงเคราะห์"/>
    <s v="เงินฝากประจำ 12 เดือน ธนาคารอาคารสงเคราะห์"/>
    <s v="Bond"/>
    <s v="GHB"/>
    <s v="TERM ACAC U"/>
    <s v="CASH"/>
    <m/>
    <s v="BANKING"/>
    <s v=" "/>
    <s v=" "/>
    <s v="NO MARKET"/>
    <s v="THB"/>
    <s v=" "/>
    <s v=" "/>
    <s v="P/O"/>
    <s v=" "/>
    <s v="P/N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07"/>
    <s v=" "/>
    <s v="THAILAND"/>
    <s v="THAILAND"/>
    <s v="TH"/>
    <s v=" "/>
    <n v="30000"/>
    <b v="0"/>
    <s v="NONTRANSFERABLE"/>
    <s v=" "/>
    <s v=" "/>
    <b v="0"/>
    <b v="0"/>
    <m/>
    <m/>
    <s v=" "/>
    <m/>
    <m/>
    <m/>
    <m/>
    <m/>
    <m/>
  </r>
  <r>
    <x v="0"/>
    <x v="3"/>
    <x v="0"/>
    <x v="1"/>
    <x v="0"/>
    <x v="209"/>
    <m/>
    <s v="KTB"/>
    <s v="LISTED"/>
    <s v="BANKING"/>
    <s v="AA+(tha)"/>
    <m/>
    <m/>
    <d v="2050-12-31T00:00:00"/>
    <n v="11777"/>
    <n v="0.375"/>
    <m/>
    <m/>
    <m/>
    <n v="2041"/>
    <n v="1.99"/>
    <n v="2041"/>
    <n v="0"/>
    <n v="2041"/>
    <m/>
    <n v="2041"/>
    <n v="0"/>
    <n v="1.5660000000000001E-7"/>
    <s v="INVSKTBtmfplus"/>
    <m/>
    <s v="INV.SAVING"/>
    <s v="เงินฝากออมทรัพย์ ธนาคาร กรุงไทย จำกัด (มหาชน)"/>
    <s v="เงินฝากออมทรัพย์ ธนาคาร กรุงไทย จำกัด (มหาชน)"/>
    <s v="Bond"/>
    <s v="KTB"/>
    <s v="SAVING U"/>
    <s v="CASH"/>
    <s v="INVEST SAVING"/>
    <s v="BANKING"/>
    <s v=" "/>
    <s v=" "/>
    <s v="NO MARKET"/>
    <s v="THB"/>
    <s v=" "/>
    <s v=" "/>
    <s v=" "/>
    <s v="Liquid"/>
    <s v="P/N"/>
    <m/>
    <m/>
    <s v="KRUNG THAI BANK PLC."/>
    <s v="ธนาคารกรุงไทย  จำกัด (มหาชน)"/>
    <s v="LISTED"/>
    <s v=" "/>
    <s v="AA+(tha)"/>
    <s v=" "/>
    <s v="BBB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1247"/>
    <s v=" "/>
    <s v="THAILAND"/>
    <s v="THAILAND"/>
    <s v="TH"/>
    <s v=" "/>
    <n v="39000"/>
    <b v="1"/>
    <s v=" "/>
    <s v=" "/>
    <s v=" "/>
    <b v="0"/>
    <b v="0"/>
    <m/>
    <m/>
    <s v=" "/>
    <m/>
    <m/>
    <m/>
    <m/>
    <m/>
    <m/>
  </r>
  <r>
    <x v="0"/>
    <x v="3"/>
    <x v="0"/>
    <x v="1"/>
    <x v="0"/>
    <x v="210"/>
    <m/>
    <s v="UOBT"/>
    <s v="UNLISTED"/>
    <s v="BANKING"/>
    <s v="AAA(tha)"/>
    <m/>
    <m/>
    <d v="2020-12-31T00:00:00"/>
    <n v="820"/>
    <n v="0.85"/>
    <m/>
    <m/>
    <m/>
    <n v="167816728.56"/>
    <n v="111701.39"/>
    <n v="167816728.56"/>
    <n v="0"/>
    <n v="167816728.56"/>
    <m/>
    <n v="167816728.56"/>
    <n v="0"/>
    <n v="1.2870605699999999E-2"/>
    <s v="INVSUOBTtmfplus"/>
    <m/>
    <s v="INV.SAVING"/>
    <s v="เงินฝากออมทรัพย์ ธ.ยูโอบี จำกัด (มหาชน)"/>
    <s v="เงินฝากออมทรัพย์ ธ.ยูโอบี จำกัด (มหาชน)"/>
    <s v="Bond"/>
    <s v="UOBT"/>
    <s v="SAVING U"/>
    <s v="CASH"/>
    <s v="INVEST SAVING"/>
    <s v="BANKING"/>
    <s v=" "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1164"/>
    <s v=" "/>
    <s v="THAILAND"/>
    <s v="THAILAND"/>
    <s v="TH"/>
    <s v=" "/>
    <n v="17000"/>
    <b v="1"/>
    <s v="NONTRANSFERABLE"/>
    <s v="SINGAPORE"/>
    <s v="SG"/>
    <b v="0"/>
    <b v="0"/>
    <m/>
    <m/>
    <s v=" "/>
    <m/>
    <m/>
    <m/>
    <m/>
    <m/>
    <m/>
  </r>
  <r>
    <x v="0"/>
    <x v="3"/>
    <x v="0"/>
    <x v="3"/>
    <x v="0"/>
    <x v="120"/>
    <m/>
    <s v="GOVERNMENT"/>
    <s v="OTHER"/>
    <s v="GOVERNMENT"/>
    <s v="BBB+"/>
    <m/>
    <m/>
    <d v="2018-11-14T00:00:00"/>
    <n v="42"/>
    <m/>
    <n v="1.22"/>
    <m/>
    <m/>
    <n v="67906939.280000001"/>
    <m/>
    <n v="67906939.280000001"/>
    <n v="0.112179"/>
    <n v="68000000"/>
    <m/>
    <n v="67893342.680000007"/>
    <n v="1.22"/>
    <n v="5.2046185999999996E-3"/>
    <s v="TB18N14A"/>
    <m/>
    <s v="TREASURY BILL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054"/>
    <s v=" "/>
    <s v="THAILAND"/>
    <s v="THAILAND"/>
    <s v="TH"/>
    <s v=" "/>
    <n v="0"/>
    <b v="0"/>
    <s v="TRANSFERABLE"/>
    <s v=" "/>
    <s v=" "/>
    <b v="0"/>
    <b v="0"/>
    <m/>
    <m/>
    <s v="TH062307SB86"/>
    <m/>
    <m/>
    <m/>
    <m/>
    <m/>
    <m/>
  </r>
  <r>
    <x v="0"/>
    <x v="3"/>
    <x v="0"/>
    <x v="4"/>
    <x v="0"/>
    <x v="211"/>
    <m/>
    <s v="BOT"/>
    <m/>
    <s v="GOVERNMENT"/>
    <m/>
    <m/>
    <m/>
    <d v="2018-12-06T00:00:00"/>
    <n v="64"/>
    <m/>
    <n v="1.31"/>
    <m/>
    <m/>
    <n v="49887200.5"/>
    <m/>
    <n v="49887200.5"/>
    <n v="0.17216899999999999"/>
    <n v="50000000"/>
    <m/>
    <n v="49856849.5"/>
    <n v="1.31"/>
    <n v="3.8235245999999998E-3"/>
    <s v="CB18D06A"/>
    <m/>
    <s v="Bank of Thailand Bond"/>
    <s v="พันธบัตรธนาคารแห่งประเทศไทยงวดที่ 4/364/60"/>
    <s v="พันธบัตรธนาคารแห่งประเทศไทยงวดที่ 4/364/60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076"/>
    <s v=" "/>
    <s v="THAILAND"/>
    <s v="THAILAND"/>
    <s v="TH"/>
    <s v=" "/>
    <n v="0"/>
    <b v="0"/>
    <s v="TRANSFERABLE"/>
    <s v=" "/>
    <s v=" "/>
    <b v="0"/>
    <b v="0"/>
    <m/>
    <m/>
    <s v="TH065507SC86"/>
    <m/>
    <m/>
    <m/>
    <m/>
    <m/>
    <m/>
  </r>
  <r>
    <x v="0"/>
    <x v="3"/>
    <x v="0"/>
    <x v="4"/>
    <x v="0"/>
    <x v="35"/>
    <m/>
    <s v="BOT"/>
    <m/>
    <s v="GOVERNMENT"/>
    <m/>
    <m/>
    <m/>
    <d v="2018-12-06T00:00:00"/>
    <n v="64"/>
    <m/>
    <n v="1.3"/>
    <m/>
    <m/>
    <n v="997761190"/>
    <m/>
    <n v="997687970"/>
    <n v="0.17222399999999999"/>
    <n v="1000000000"/>
    <m/>
    <n v="996663832.62"/>
    <n v="1.3426119999999999"/>
    <n v="7.6471809000000002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3"/>
    <x v="0"/>
    <x v="4"/>
    <x v="0"/>
    <x v="36"/>
    <m/>
    <s v="BOT"/>
    <m/>
    <s v="GOVERNMENT"/>
    <m/>
    <m/>
    <m/>
    <d v="2018-12-13T00:00:00"/>
    <n v="71"/>
    <m/>
    <n v="1.1839059999999999"/>
    <m/>
    <m/>
    <n v="957825254.39999998"/>
    <m/>
    <n v="957808176"/>
    <n v="0.19130800000000001"/>
    <n v="960000000"/>
    <m/>
    <n v="957275565.21000004"/>
    <n v="1.193222"/>
    <n v="7.3410983099999993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3"/>
    <x v="0"/>
    <x v="4"/>
    <x v="0"/>
    <x v="37"/>
    <m/>
    <s v="BOT"/>
    <m/>
    <s v="GOVERNMENT"/>
    <m/>
    <m/>
    <m/>
    <d v="2018-12-20T00:00:00"/>
    <n v="78"/>
    <m/>
    <n v="1.2549999999999999"/>
    <m/>
    <m/>
    <n v="598415676"/>
    <m/>
    <n v="598262130"/>
    <n v="0.21034700000000001"/>
    <n v="600000000"/>
    <m/>
    <n v="597953804.09000003"/>
    <n v="1.3769830000000001"/>
    <n v="4.5864611399999998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3"/>
    <x v="0"/>
    <x v="4"/>
    <x v="0"/>
    <x v="122"/>
    <m/>
    <s v="BOT"/>
    <m/>
    <s v="GOVERNMENT"/>
    <m/>
    <m/>
    <m/>
    <d v="2018-12-27T00:00:00"/>
    <n v="85"/>
    <m/>
    <n v="1.38"/>
    <m/>
    <m/>
    <n v="847309036"/>
    <m/>
    <n v="847170707"/>
    <n v="0.229406"/>
    <n v="850000000"/>
    <m/>
    <n v="846935801.5"/>
    <n v="1.451176"/>
    <n v="6.4940644500000005E-2"/>
    <s v="CB18D27B"/>
    <m/>
    <s v="Bank of Thailand Bond"/>
    <s v="พันธบัตรธนาคารแห่งประเทศไทยงวดที่ 39/91/61"/>
    <s v="พันธบัตรธนาคารแห่งประเทศไทยงวดที่ 3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70"/>
    <s v=" "/>
    <s v="THAILAND"/>
    <s v="THAILAND"/>
    <s v="TH"/>
    <s v=" "/>
    <n v="0"/>
    <b v="0"/>
    <s v="TRANSFERABLE"/>
    <s v=" "/>
    <s v=" "/>
    <b v="0"/>
    <b v="0"/>
    <m/>
    <m/>
    <s v="TH0655H7SC88"/>
    <m/>
    <m/>
    <m/>
    <m/>
    <m/>
    <m/>
  </r>
  <r>
    <x v="0"/>
    <x v="3"/>
    <x v="0"/>
    <x v="4"/>
    <x v="0"/>
    <x v="123"/>
    <m/>
    <s v="BOT"/>
    <m/>
    <s v="GOVERNMENT"/>
    <m/>
    <m/>
    <m/>
    <d v="2018-11-01T00:00:00"/>
    <n v="29"/>
    <m/>
    <n v="1.2649999999999999"/>
    <m/>
    <m/>
    <n v="129873968.90000001"/>
    <m/>
    <n v="129873968.90000001"/>
    <n v="7.6644000000000004E-2"/>
    <n v="130000000"/>
    <m/>
    <n v="129658483.5"/>
    <n v="1.2649999999999999"/>
    <n v="9.9539824000000002E-3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3"/>
    <x v="0"/>
    <x v="4"/>
    <x v="0"/>
    <x v="38"/>
    <m/>
    <s v="BOT"/>
    <m/>
    <s v="GOVERNMENT"/>
    <m/>
    <m/>
    <m/>
    <d v="2018-11-01T00:00:00"/>
    <n v="29"/>
    <m/>
    <n v="1.2716670000000001"/>
    <m/>
    <m/>
    <n v="1198830516"/>
    <m/>
    <n v="1198824324"/>
    <n v="7.6643000000000003E-2"/>
    <n v="1200000000"/>
    <m/>
    <n v="1196573880.71"/>
    <n v="1.2784040000000001"/>
    <n v="9.1882445600000001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3"/>
    <x v="0"/>
    <x v="4"/>
    <x v="0"/>
    <x v="39"/>
    <m/>
    <s v="BOT"/>
    <m/>
    <s v="GOVERNMENT"/>
    <m/>
    <m/>
    <m/>
    <d v="2018-11-08T00:00:00"/>
    <n v="36"/>
    <m/>
    <n v="1.2649999999999999"/>
    <m/>
    <m/>
    <n v="19975769.199999999"/>
    <m/>
    <n v="19975769.199999999"/>
    <n v="9.5782000000000006E-2"/>
    <n v="20000000"/>
    <m/>
    <n v="19942633.600000001"/>
    <n v="1.2649999999999999"/>
    <n v="1.5310108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3"/>
    <x v="0"/>
    <x v="4"/>
    <x v="0"/>
    <x v="40"/>
    <m/>
    <s v="BOT"/>
    <m/>
    <s v="GOVERNMENT"/>
    <m/>
    <m/>
    <m/>
    <d v="2018-11-08T00:00:00"/>
    <n v="36"/>
    <m/>
    <n v="1.17709"/>
    <m/>
    <m/>
    <n v="671242360.32000005"/>
    <m/>
    <n v="671241540.48000002"/>
    <n v="9.5780000000000004E-2"/>
    <n v="672000000"/>
    <m/>
    <n v="670721021.80999994"/>
    <n v="1.1783650000000001"/>
    <n v="5.1446296000000002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3"/>
    <x v="0"/>
    <x v="4"/>
    <x v="0"/>
    <x v="41"/>
    <m/>
    <s v="BOT"/>
    <m/>
    <s v="GOVERNMENT"/>
    <m/>
    <m/>
    <m/>
    <d v="2018-11-15T00:00:00"/>
    <n v="43"/>
    <m/>
    <n v="1.2252369999999999"/>
    <m/>
    <m/>
    <n v="1002586488.48"/>
    <m/>
    <n v="1002585604.96"/>
    <n v="0.114912"/>
    <n v="1004000000"/>
    <m/>
    <n v="1001105085.67"/>
    <n v="1.22601"/>
    <n v="7.6841636300000002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3"/>
    <x v="0"/>
    <x v="4"/>
    <x v="0"/>
    <x v="43"/>
    <m/>
    <s v="BOT"/>
    <m/>
    <s v="GOVERNMENT"/>
    <m/>
    <m/>
    <m/>
    <d v="2018-11-22T00:00:00"/>
    <n v="50"/>
    <m/>
    <n v="1.2475229999999999"/>
    <m/>
    <m/>
    <n v="338433205.56"/>
    <m/>
    <n v="338423977.98000002"/>
    <n v="0.13402800000000001"/>
    <n v="339000000"/>
    <m/>
    <n v="337974330.19999999"/>
    <n v="1.267868"/>
    <n v="2.5938671199999999E-2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3"/>
    <x v="0"/>
    <x v="4"/>
    <x v="0"/>
    <x v="45"/>
    <m/>
    <s v="BOT"/>
    <m/>
    <s v="GOVERNMENT"/>
    <m/>
    <m/>
    <m/>
    <d v="2018-11-29T00:00:00"/>
    <n v="57"/>
    <m/>
    <n v="1.19"/>
    <m/>
    <m/>
    <n v="648815420.5"/>
    <m/>
    <n v="648762660"/>
    <n v="0.153145"/>
    <n v="650000000"/>
    <m/>
    <n v="647991708.27999997"/>
    <n v="1.2431080000000001"/>
    <n v="4.9727419100000003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3"/>
    <x v="0"/>
    <x v="4"/>
    <x v="0"/>
    <x v="46"/>
    <m/>
    <s v="BOT"/>
    <m/>
    <s v="GOVERNMENT"/>
    <m/>
    <m/>
    <m/>
    <d v="2018-10-04T00:00:00"/>
    <n v="1"/>
    <m/>
    <n v="1.1239809999999999"/>
    <m/>
    <m/>
    <n v="103000000"/>
    <m/>
    <n v="103000000"/>
    <n v="2.7399999999999998E-3"/>
    <n v="103000000"/>
    <m/>
    <n v="102971999.26000001"/>
    <n v="1.1239809999999999"/>
    <n v="7.8942700999999997E-3"/>
    <s v="CB18O04A"/>
    <m/>
    <s v="Bank of Thailand Bond"/>
    <s v="พันธบัตรธนาคารแห่งประเทศไทยงวดที่ 14/182/61"/>
    <s v="พันธบัตรธนาคารแห่งประเทศไทยงวดที่ 1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195"/>
    <s v=" "/>
    <s v="THAILAND"/>
    <s v="THAILAND"/>
    <s v="TH"/>
    <s v=" "/>
    <n v="0"/>
    <b v="0"/>
    <s v="TRANSFERABLE"/>
    <s v=" "/>
    <s v=" "/>
    <b v="0"/>
    <b v="0"/>
    <m/>
    <m/>
    <s v="TH065507SA88"/>
    <m/>
    <m/>
    <m/>
    <m/>
    <m/>
    <m/>
  </r>
  <r>
    <x v="0"/>
    <x v="3"/>
    <x v="0"/>
    <x v="4"/>
    <x v="0"/>
    <x v="47"/>
    <m/>
    <s v="BOT"/>
    <m/>
    <s v="GOVERNMENT"/>
    <m/>
    <m/>
    <m/>
    <d v="2018-10-04T00:00:00"/>
    <n v="1"/>
    <m/>
    <n v="1.306152"/>
    <m/>
    <m/>
    <n v="360000000"/>
    <m/>
    <n v="360000000"/>
    <n v="2.7399999999999998E-3"/>
    <n v="360000000"/>
    <m/>
    <n v="358795047.93000001"/>
    <n v="1.382398"/>
    <n v="2.75916236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3"/>
    <x v="0"/>
    <x v="4"/>
    <x v="0"/>
    <x v="48"/>
    <m/>
    <s v="BOT"/>
    <m/>
    <s v="GOVERNMENT"/>
    <m/>
    <m/>
    <m/>
    <d v="2018-10-09T00:00:00"/>
    <n v="6"/>
    <m/>
    <n v="1.16547"/>
    <m/>
    <m/>
    <n v="473924335.38"/>
    <m/>
    <n v="473924335.38"/>
    <n v="1.3697000000000001E-2"/>
    <n v="474000000"/>
    <m/>
    <n v="473788202.57999998"/>
    <n v="1.16547"/>
    <n v="3.6323171899999999E-2"/>
    <s v="CB18O09A"/>
    <m/>
    <s v="Bank of Thailand Bond"/>
    <s v="พันธบัตรธนาคารแห่งประเทศไทยงวดที่ พ.38/14/61"/>
    <s v="พันธบัตรธนาคารแห่งประเทศไทยงวดที่ พ.38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68"/>
    <s v=" "/>
    <s v="THAILAND"/>
    <s v="THAILAND"/>
    <s v="TH"/>
    <s v=" "/>
    <n v="0"/>
    <b v="0"/>
    <s v="TRANSFERABLE"/>
    <s v=" "/>
    <s v=" "/>
    <b v="0"/>
    <b v="0"/>
    <m/>
    <m/>
    <s v="TH0655I7SA88"/>
    <m/>
    <m/>
    <m/>
    <m/>
    <m/>
    <m/>
  </r>
  <r>
    <x v="0"/>
    <x v="3"/>
    <x v="0"/>
    <x v="4"/>
    <x v="0"/>
    <x v="49"/>
    <m/>
    <s v="BOT"/>
    <m/>
    <s v="GOVERNMENT"/>
    <m/>
    <m/>
    <m/>
    <d v="2018-10-11T00:00:00"/>
    <n v="8"/>
    <m/>
    <n v="1.169896"/>
    <m/>
    <m/>
    <n v="211752491.13999999"/>
    <m/>
    <n v="211752491.13999999"/>
    <n v="1.9174E-2"/>
    <n v="211800000"/>
    <m/>
    <n v="211526845.81999999"/>
    <n v="1.169896"/>
    <n v="1.6229430699999998E-2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3"/>
    <x v="0"/>
    <x v="4"/>
    <x v="0"/>
    <x v="50"/>
    <m/>
    <s v="BOT"/>
    <m/>
    <s v="GOVERNMENT"/>
    <m/>
    <m/>
    <m/>
    <d v="2018-10-11T00:00:00"/>
    <n v="8"/>
    <m/>
    <n v="1.2994870000000001"/>
    <m/>
    <m/>
    <n v="662834813.54999995"/>
    <m/>
    <n v="662834753.88"/>
    <n v="1.9174E-2"/>
    <n v="663000000"/>
    <m/>
    <n v="661240323.75"/>
    <n v="1.299917"/>
    <n v="5.0801913099999998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3"/>
    <x v="0"/>
    <x v="4"/>
    <x v="0"/>
    <x v="125"/>
    <m/>
    <s v="BOT"/>
    <m/>
    <s v="GOVERNMENT"/>
    <m/>
    <m/>
    <m/>
    <d v="2018-10-16T00:00:00"/>
    <n v="13"/>
    <m/>
    <n v="1.1127279999999999"/>
    <m/>
    <m/>
    <n v="819700134.20000005"/>
    <m/>
    <n v="819700134.20000005"/>
    <n v="3.2864999999999998E-2"/>
    <n v="820000000"/>
    <m/>
    <n v="819650174.14999998"/>
    <n v="1.1127279999999999"/>
    <n v="6.2824604399999998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3"/>
    <x v="0"/>
    <x v="4"/>
    <x v="0"/>
    <x v="51"/>
    <m/>
    <s v="BOT"/>
    <m/>
    <s v="GOVERNMENT"/>
    <m/>
    <m/>
    <m/>
    <d v="2018-10-18T00:00:00"/>
    <n v="15"/>
    <m/>
    <n v="1.115073"/>
    <m/>
    <m/>
    <n v="204912358.40000001"/>
    <m/>
    <n v="204912358.40000001"/>
    <n v="3.8338999999999998E-2"/>
    <n v="205000000"/>
    <m/>
    <n v="204864606.50999999"/>
    <n v="1.115073"/>
    <n v="1.5705179600000001E-2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3"/>
    <x v="0"/>
    <x v="4"/>
    <x v="0"/>
    <x v="52"/>
    <m/>
    <s v="BOT"/>
    <m/>
    <s v="GOVERNMENT"/>
    <m/>
    <m/>
    <m/>
    <d v="2018-10-18T00:00:00"/>
    <n v="15"/>
    <m/>
    <n v="1.32738"/>
    <m/>
    <m/>
    <n v="326833599.50999999"/>
    <m/>
    <n v="326829714.75"/>
    <n v="3.8338999999999998E-2"/>
    <n v="327000000"/>
    <m/>
    <n v="325931313.93000001"/>
    <n v="1.3583860000000001"/>
    <n v="2.5049637999999999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3"/>
    <x v="0"/>
    <x v="4"/>
    <x v="0"/>
    <x v="53"/>
    <m/>
    <s v="BOT"/>
    <m/>
    <s v="GOVERNMENT"/>
    <m/>
    <m/>
    <m/>
    <d v="2018-10-25T00:00:00"/>
    <n v="22"/>
    <m/>
    <n v="1.2160530000000001"/>
    <m/>
    <m/>
    <n v="264814722.59999999"/>
    <m/>
    <n v="264814722.59999999"/>
    <n v="5.7495999999999998E-2"/>
    <n v="265000000"/>
    <m/>
    <n v="264380681.58000001"/>
    <n v="1.2160530000000001"/>
    <n v="2.0296300400000002E-2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3"/>
    <x v="0"/>
    <x v="4"/>
    <x v="0"/>
    <x v="54"/>
    <m/>
    <s v="BOT"/>
    <m/>
    <s v="GOVERNMENT"/>
    <m/>
    <m/>
    <m/>
    <d v="2018-10-25T00:00:00"/>
    <n v="22"/>
    <m/>
    <n v="1.1894929999999999"/>
    <m/>
    <m/>
    <n v="1204175900.5"/>
    <m/>
    <n v="1204152921.1500001"/>
    <n v="5.7495999999999998E-2"/>
    <n v="1205000000"/>
    <m/>
    <n v="1202117817.6099999"/>
    <n v="1.222683"/>
    <n v="9.2292133999999998E-2"/>
    <s v="CB18O25B"/>
    <m/>
    <s v="Bank of Thailand Bond"/>
    <s v="พันธบัตรธนาคารแห่งประเทศไทยงวดที่ 30/91/61"/>
    <s v="พันธบัตรธนาคารแห่งประเทศไทยงวดที่ 3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07"/>
    <s v=" "/>
    <s v="THAILAND"/>
    <s v="THAILAND"/>
    <s v="TH"/>
    <s v=" "/>
    <n v="0"/>
    <b v="0"/>
    <s v="TRANSFERABLE"/>
    <s v=" "/>
    <s v=" "/>
    <b v="0"/>
    <b v="0"/>
    <m/>
    <m/>
    <s v="TH0655G7SA82"/>
    <m/>
    <m/>
    <m/>
    <m/>
    <m/>
    <m/>
  </r>
  <r>
    <x v="0"/>
    <x v="3"/>
    <x v="0"/>
    <x v="4"/>
    <x v="0"/>
    <x v="55"/>
    <m/>
    <s v="BOT"/>
    <m/>
    <s v="GOVERNMENT"/>
    <m/>
    <m/>
    <m/>
    <d v="2019-01-03T00:00:00"/>
    <n v="92"/>
    <m/>
    <n v="1.490669"/>
    <m/>
    <m/>
    <n v="448333784.47000003"/>
    <m/>
    <n v="448333784.47000003"/>
    <n v="0.25205499999999997"/>
    <n v="450000000"/>
    <m/>
    <n v="448333784.47000003"/>
    <n v="1.490669"/>
    <n v="3.43618251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3"/>
    <x v="0"/>
    <x v="18"/>
    <x v="0"/>
    <x v="212"/>
    <m/>
    <s v="GHB"/>
    <s v="SPECIALIZE F.I."/>
    <s v="BANKING"/>
    <s v="AAA(tha)"/>
    <m/>
    <m/>
    <d v="2018-12-23T00:00:00"/>
    <n v="81"/>
    <n v="2.69"/>
    <n v="1.4092899999999999"/>
    <n v="100000"/>
    <n v="1002.74441"/>
    <n v="100274441"/>
    <n v="759096"/>
    <n v="100269888"/>
    <n v="0.217583"/>
    <n v="100000000"/>
    <m/>
    <n v="100846431"/>
    <n v="1.43"/>
    <n v="7.7435537E-3"/>
    <s v="GHB18DA"/>
    <m/>
    <s v="GOVERNMENT HOUSING BANK"/>
    <s v="พันธบัตรธนาคารอาคารสงเคราะห์ พ.ศ. 2558 ครั้งที่ 2"/>
    <s v="พันธบัตรธนาคารอาคารสงเคราะห์ พ.ศ. 2558 ครั้งที่ 2"/>
    <s v="Bond"/>
    <s v="GHB"/>
    <s v="1FxAc365P2B"/>
    <s v="BOND"/>
    <m/>
    <s v="BANKING"/>
    <s v="FINANCIALS"/>
    <s v=" "/>
    <s v="ThaiBMA"/>
    <s v="THB"/>
    <s v=" "/>
    <s v=" "/>
    <s v="P/P"/>
    <s v=" "/>
    <s v="BOND"/>
    <m/>
    <m/>
    <s v="GOVERNMENT HOUSING BANK"/>
    <s v="ธนาคารอาคารสงเคราะห์"/>
    <s v="SPECIALIZE F.I.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2178"/>
    <s v=" "/>
    <s v="THAILAND"/>
    <s v="THAILAND"/>
    <s v="TH"/>
    <s v=" "/>
    <n v="30000"/>
    <b v="0"/>
    <s v="TRANSFERABLE"/>
    <s v=" "/>
    <s v=" "/>
    <b v="0"/>
    <b v="0"/>
    <m/>
    <m/>
    <s v="TH065203SC00"/>
    <m/>
    <m/>
    <m/>
    <m/>
    <m/>
    <m/>
  </r>
  <r>
    <x v="0"/>
    <x v="3"/>
    <x v="0"/>
    <x v="5"/>
    <x v="0"/>
    <x v="213"/>
    <s v="AAA(tha)"/>
    <s v="BAY"/>
    <s v="LISTED"/>
    <s v="BANKING"/>
    <s v="AAA"/>
    <m/>
    <m/>
    <d v="2019-03-01T00:00:00"/>
    <n v="149"/>
    <n v="1.86"/>
    <n v="1.74"/>
    <n v="30000"/>
    <n v="1000.55305"/>
    <n v="30016591.5"/>
    <n v="50449.2"/>
    <n v="30048052.800000001"/>
    <n v="0.40198200000000001"/>
    <n v="30000000"/>
    <m/>
    <n v="30099193.800000001"/>
    <n v="1.48"/>
    <n v="2.3044402000000001E-3"/>
    <s v="BAY193A"/>
    <m/>
    <s v="BANK OF AYUDHYA PLC."/>
    <s v="หุ้นกู้ของ บมจ. ธนาคารกรุงศรีอยุธยา ครั้งที่ 1/2559"/>
    <s v="หุ้นกู้ของ บมจ. ธนาคารกรุงศรีอยุธยา ครั้งที่ 1/2559 ครบกำหนดไถ่ถอนปี พ.ศ. 2562"/>
    <s v="Bond"/>
    <s v="BAY"/>
    <s v="3FxAc365P2B"/>
    <s v="DEBENTURE"/>
    <m/>
    <s v="BANKING"/>
    <s v="FINANCIALS"/>
    <s v=" "/>
    <s v="ThaiBMA"/>
    <s v="THB"/>
    <s v=" "/>
    <s v=" "/>
    <s v="P/P"/>
    <s v=" "/>
    <s v="BOND"/>
    <s v="AAA(tha)"/>
    <n v="1"/>
    <s v="BANK OF AYUDHYA PLC."/>
    <s v="ธนาคารกรุงศรีอยุธยา จำกัด (มหาชน)"/>
    <s v="LISTED"/>
    <s v="AAA"/>
    <s v="AAA(tha)"/>
    <s v=" "/>
    <s v="BBB+"/>
    <s v="Baa1"/>
    <s v="AAA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2429"/>
    <s v=" "/>
    <s v="THAILAND"/>
    <s v="THAILAND"/>
    <s v="TH"/>
    <s v=" "/>
    <n v="34000"/>
    <b v="0"/>
    <s v="TRANSFERABLE"/>
    <s v=" "/>
    <s v=" "/>
    <b v="0"/>
    <b v="0"/>
    <m/>
    <m/>
    <s v="TH002303T305"/>
    <m/>
    <m/>
    <m/>
    <m/>
    <m/>
    <m/>
  </r>
  <r>
    <x v="0"/>
    <x v="3"/>
    <x v="0"/>
    <x v="5"/>
    <x v="0"/>
    <x v="153"/>
    <s v="A"/>
    <s v="TISCOB"/>
    <s v="LISTED"/>
    <s v="BANKING"/>
    <s v="A"/>
    <m/>
    <m/>
    <d v="2018-11-29T00:00:00"/>
    <n v="57"/>
    <n v="1.85"/>
    <n v="1.4454370000000001"/>
    <n v="4000"/>
    <n v="1000.53467"/>
    <n v="4002138.68"/>
    <n v="25950.68"/>
    <n v="4001619.96"/>
    <n v="0.15229799999999999"/>
    <n v="4000000"/>
    <m/>
    <n v="4007777.92"/>
    <n v="1.53"/>
    <n v="3.0872650000000001E-4"/>
    <s v="TISCO18NA"/>
    <m/>
    <s v="TISCO BANK PLC."/>
    <s v="หุ้นกู้ธนาคารทิสโก้ จำกัด (มหาชน) ครั้งที่ 3/2560 ชุดที่ 1"/>
    <s v="หุ้นกู้ธนาคารทิสโก้ จำกัด (มหาชน) ครั้งที่ 3/2560 ชุดที่ 1 ครบกำหนดไถ่ถอน ปี พ.ศ. 2561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2884"/>
    <s v=" "/>
    <s v="THAILAND"/>
    <s v="THAILAND"/>
    <s v="TH"/>
    <s v=" "/>
    <n v="8900"/>
    <b v="0"/>
    <s v="TRANSFERABLE"/>
    <s v=" "/>
    <s v=" "/>
    <b v="0"/>
    <b v="0"/>
    <m/>
    <m/>
    <s v="TH059703SB09"/>
    <m/>
    <m/>
    <m/>
    <m/>
    <m/>
    <m/>
  </r>
  <r>
    <x v="0"/>
    <x v="3"/>
    <x v="3"/>
    <x v="8"/>
    <x v="1"/>
    <x v="55"/>
    <m/>
    <m/>
    <m/>
    <m/>
    <m/>
    <m/>
    <m/>
    <m/>
    <m/>
    <m/>
    <m/>
    <n v="0"/>
    <n v="99.629729999999995"/>
    <n v="-448333784.47000003"/>
    <m/>
    <n v="-448333784.47000003"/>
    <m/>
    <m/>
    <m/>
    <n v="7"/>
    <n v="0"/>
    <n v="-3.43618251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3"/>
    <x v="3"/>
    <x v="9"/>
    <x v="3"/>
    <x v="67"/>
    <m/>
    <m/>
    <m/>
    <m/>
    <m/>
    <m/>
    <m/>
    <m/>
    <m/>
    <m/>
    <m/>
    <m/>
    <m/>
    <n v="-229000"/>
    <m/>
    <m/>
    <m/>
    <m/>
    <m/>
    <n v="0"/>
    <n v="0"/>
    <n v="-1.7551299999999999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3"/>
    <x v="9"/>
    <x v="3"/>
    <x v="67"/>
    <m/>
    <m/>
    <m/>
    <m/>
    <m/>
    <m/>
    <m/>
    <m/>
    <m/>
    <m/>
    <m/>
    <m/>
    <m/>
    <n v="-11000"/>
    <m/>
    <m/>
    <m/>
    <m/>
    <m/>
    <n v="0"/>
    <n v="0"/>
    <n v="-8.4310000000000003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3"/>
    <x v="9"/>
    <x v="3"/>
    <x v="67"/>
    <m/>
    <m/>
    <m/>
    <m/>
    <m/>
    <m/>
    <m/>
    <m/>
    <m/>
    <m/>
    <m/>
    <m/>
    <m/>
    <n v="-21698.49"/>
    <m/>
    <m/>
    <m/>
    <m/>
    <m/>
    <n v="0"/>
    <n v="0"/>
    <n v="-1.663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3"/>
    <x v="10"/>
    <x v="0"/>
    <x v="68"/>
    <m/>
    <m/>
    <m/>
    <m/>
    <m/>
    <m/>
    <m/>
    <m/>
    <m/>
    <m/>
    <m/>
    <m/>
    <m/>
    <n v="-63198.400000000001"/>
    <n v="0"/>
    <m/>
    <m/>
    <m/>
    <m/>
    <n v="0"/>
    <n v="0"/>
    <n v="-4.8436999999999999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3"/>
    <x v="14"/>
    <x v="7"/>
    <x v="68"/>
    <m/>
    <m/>
    <m/>
    <m/>
    <m/>
    <m/>
    <m/>
    <m/>
    <m/>
    <m/>
    <m/>
    <m/>
    <m/>
    <n v="-298243.36"/>
    <m/>
    <n v="-298243.36"/>
    <m/>
    <m/>
    <m/>
    <n v="0"/>
    <n v="0"/>
    <n v="-2.2858400000000001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3"/>
    <x v="13"/>
    <x v="6"/>
    <x v="68"/>
    <m/>
    <m/>
    <m/>
    <m/>
    <m/>
    <m/>
    <m/>
    <m/>
    <m/>
    <m/>
    <m/>
    <m/>
    <m/>
    <n v="-2042508.8"/>
    <m/>
    <n v="-2042508.8"/>
    <m/>
    <m/>
    <m/>
    <n v="0"/>
    <n v="0"/>
    <n v="-1.565448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4"/>
    <x v="14"/>
    <x v="7"/>
    <x v="68"/>
    <m/>
    <m/>
    <m/>
    <m/>
    <m/>
    <m/>
    <m/>
    <m/>
    <m/>
    <m/>
    <m/>
    <m/>
    <m/>
    <n v="-9562.2199999999993"/>
    <m/>
    <n v="-9562.2199999999993"/>
    <m/>
    <m/>
    <m/>
    <n v="0"/>
    <n v="0"/>
    <n v="-7.329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3"/>
    <x v="4"/>
    <x v="13"/>
    <x v="6"/>
    <x v="68"/>
    <m/>
    <m/>
    <m/>
    <m/>
    <m/>
    <m/>
    <m/>
    <m/>
    <m/>
    <m/>
    <m/>
    <m/>
    <m/>
    <n v="-65546.720000000001"/>
    <m/>
    <n v="-65546.720000000001"/>
    <m/>
    <m/>
    <m/>
    <n v="0"/>
    <n v="0"/>
    <n v="-5.0236999999999999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รัฐตลาดเงิน พลัส"/>
    <s v="SCB TREASURY MONEY PLUS OPEN END FUND"/>
    <s v="MTF"/>
    <m/>
    <m/>
    <m/>
    <m/>
    <m/>
    <m/>
    <m/>
    <m/>
    <m/>
    <m/>
    <m/>
    <m/>
    <m/>
    <m/>
    <m/>
    <m/>
    <m/>
    <m/>
    <m/>
    <m/>
    <m/>
    <m/>
  </r>
  <r>
    <x v="0"/>
    <x v="1"/>
    <x v="0"/>
    <x v="1"/>
    <x v="0"/>
    <x v="104"/>
    <m/>
    <s v="BOC MACAU"/>
    <s v="LISTEDFOREIGN"/>
    <s v="BANKING"/>
    <s v="A"/>
    <m/>
    <m/>
    <d v="2018-11-19T00:00:00"/>
    <n v="47"/>
    <n v="2.92"/>
    <m/>
    <m/>
    <m/>
    <n v="1617850000"/>
    <n v="18371585.559999999"/>
    <n v="1596250000"/>
    <n v="0.13006499999999999"/>
    <n v="50000000"/>
    <m/>
    <n v="1596250000"/>
    <n v="2.92"/>
    <n v="7.5720327999999996E-3"/>
    <s v="F6MBOCMC19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MACAO"/>
    <s v="MACAO"/>
    <s v="MO"/>
    <s v=" "/>
    <n v="100000"/>
    <b v="0"/>
    <s v="NONTRANSFERABLE"/>
    <s v=" "/>
    <s v=" "/>
    <b v="0"/>
    <b v="0"/>
    <m/>
    <m/>
    <s v=" "/>
    <n v="1596250000.01"/>
    <n v="0"/>
    <m/>
    <n v="0"/>
    <s v="USDbb"/>
    <n v="32.356999999999999"/>
  </r>
  <r>
    <x v="0"/>
    <x v="1"/>
    <x v="0"/>
    <x v="1"/>
    <x v="0"/>
    <x v="105"/>
    <m/>
    <s v="BOC MACAU"/>
    <s v="LISTEDFOREIGN"/>
    <s v="BANKING"/>
    <s v="A"/>
    <m/>
    <m/>
    <d v="2018-11-20T00:00:00"/>
    <n v="48"/>
    <n v="2.92"/>
    <m/>
    <m/>
    <m/>
    <n v="452998000"/>
    <n v="5107300.78"/>
    <n v="449330000"/>
    <n v="0.132822"/>
    <n v="14000000"/>
    <m/>
    <n v="449330000"/>
    <n v="2.92"/>
    <n v="2.1199991E-3"/>
    <s v="F6MBOCMC201118"/>
    <m/>
    <s v="FIXED 6 MONTH BANK OF CHINA  MACAU"/>
    <s v="เงินฝากประจำ 6 เดือน BANK OF CHINA MACAU BRANCH "/>
    <s v="เงินฝากประจำ 6 เดือน BANK OF CHINA MACAU BRANCH "/>
    <s v="Bond"/>
    <s v="BOC MACAU"/>
    <s v="TERM AC360 U"/>
    <s v="CASH"/>
    <m/>
    <s v="BANKING"/>
    <s v=" "/>
    <s v=" "/>
    <s v="NO MARKET"/>
    <s v="USDbb"/>
    <s v=" "/>
    <s v=" "/>
    <s v="P/P"/>
    <s v=" "/>
    <s v="P/N"/>
    <m/>
    <m/>
    <s v="BANK OF CHINA MACAU BRANCH"/>
    <s v="BANK OF CHINA MACAU BRANCH"/>
    <s v="LISTEDFOREIGN"/>
    <s v=" "/>
    <s v="A"/>
    <s v=" "/>
    <s v="A"/>
    <s v="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8"/>
    <s v=" "/>
    <s v="MACAO"/>
    <s v="MACAO"/>
    <s v="MO"/>
    <s v=" "/>
    <n v="100000"/>
    <b v="0"/>
    <s v="NONTRANSFERABLE"/>
    <s v=" "/>
    <s v=" "/>
    <b v="0"/>
    <b v="0"/>
    <m/>
    <m/>
    <s v=" "/>
    <n v="449330000.00999999"/>
    <n v="0"/>
    <m/>
    <n v="0"/>
    <s v="USDbb"/>
    <n v="32.356999999999999"/>
  </r>
  <r>
    <x v="0"/>
    <x v="1"/>
    <x v="0"/>
    <x v="1"/>
    <x v="0"/>
    <x v="106"/>
    <m/>
    <s v="KTB"/>
    <s v="LISTED"/>
    <s v="BANKING"/>
    <s v="AA+(tha)"/>
    <m/>
    <m/>
    <d v="2020-12-31T00:00:00"/>
    <n v="820"/>
    <n v="0.375"/>
    <m/>
    <m/>
    <m/>
    <n v="9535.0499999999993"/>
    <n v="9.31"/>
    <n v="9535.0499999999993"/>
    <n v="0"/>
    <n v="9535.0499999999993"/>
    <m/>
    <n v="9535.0499999999993"/>
    <n v="0"/>
    <n v="4.4199999999999999E-8"/>
    <s v="INVSKTBsffplus"/>
    <m/>
    <s v="INV.SAVING"/>
    <s v="เงินฝากออมทรัพย์ ธนาคาร กรุงไทย จำกัด (มหาชน)"/>
    <s v="เงินฝากออมทรัพย์ ธนาคาร กรุงไทย จำกัด (มหาชน)"/>
    <s v="Bond"/>
    <s v="KTB"/>
    <s v="SAVING U"/>
    <s v="CASH"/>
    <s v="INVEST SAVING"/>
    <s v="BANKING"/>
    <s v=" "/>
    <s v=" "/>
    <s v="NO MARKET"/>
    <s v="THB"/>
    <s v=" "/>
    <s v=" "/>
    <s v=" "/>
    <s v=" "/>
    <s v="P/N"/>
    <m/>
    <m/>
    <s v="KRUNG THAI BANK PLC."/>
    <s v="ธนาคารกรุงไทย  จำกัด (มหาชน)"/>
    <s v="LISTED"/>
    <s v=" "/>
    <s v="AA+(tha)"/>
    <s v=" "/>
    <s v="BBB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46"/>
    <s v=" "/>
    <s v="THAILAND"/>
    <s v="THAILAND"/>
    <s v="TH"/>
    <s v=" "/>
    <n v="39000"/>
    <b v="1"/>
    <s v=" "/>
    <s v=" "/>
    <s v=" "/>
    <b v="0"/>
    <b v="0"/>
    <m/>
    <m/>
    <s v=" "/>
    <m/>
    <m/>
    <m/>
    <m/>
    <m/>
    <m/>
  </r>
  <r>
    <x v="0"/>
    <x v="1"/>
    <x v="0"/>
    <x v="1"/>
    <x v="0"/>
    <x v="107"/>
    <m/>
    <s v="SCB"/>
    <s v="LISTED"/>
    <s v="BANKING"/>
    <s v="AA+(tha)"/>
    <m/>
    <m/>
    <d v="2020-12-31T00:00:00"/>
    <n v="820"/>
    <n v="0.25"/>
    <m/>
    <m/>
    <m/>
    <n v="73728200.260000005"/>
    <n v="48640.13"/>
    <n v="85887038.310000002"/>
    <n v="0"/>
    <n v="15694197.34"/>
    <m/>
    <n v="85887038.310000002"/>
    <n v="0"/>
    <n v="3.4142120000000002E-4"/>
    <s v="INVSSCBCY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s v=" "/>
    <s v=" "/>
    <s v="NO MARKET"/>
    <s v="CNHbb"/>
    <s v=" "/>
    <s v=" "/>
    <s v="P/P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4"/>
    <s v="FCD ACCOUNT"/>
    <s v="THAILAND"/>
    <s v="THAILAND"/>
    <s v="TH"/>
    <s v=" "/>
    <n v="52000"/>
    <b v="1"/>
    <s v="NONTRANSFERABLE"/>
    <s v=" "/>
    <s v=" "/>
    <b v="0"/>
    <b v="0"/>
    <m/>
    <m/>
    <s v=" "/>
    <n v="85887038.310000002"/>
    <n v="0"/>
    <m/>
    <n v="0"/>
    <s v="CNHbb"/>
    <n v="4.6978"/>
  </r>
  <r>
    <x v="0"/>
    <x v="1"/>
    <x v="0"/>
    <x v="1"/>
    <x v="0"/>
    <x v="108"/>
    <m/>
    <s v="SCB"/>
    <s v="LISTED"/>
    <s v="BANKING"/>
    <s v="AA+(tha)"/>
    <m/>
    <m/>
    <d v="2020-12-31T00:00:00"/>
    <n v="820"/>
    <n v="0.05"/>
    <m/>
    <m/>
    <m/>
    <n v="121631587.64"/>
    <n v="16048.75"/>
    <n v="129319397.17"/>
    <n v="0"/>
    <n v="3759050.21"/>
    <m/>
    <n v="129319397.17"/>
    <n v="0"/>
    <n v="5.6295550000000003E-4"/>
    <s v="INVSSCBUSsffp"/>
    <m/>
    <s v="INV.SAVING"/>
    <s v="เงินฝากออมทรัพย์ บมจ. ธนาคารไทยพาณิชย์"/>
    <s v="เงินฝากออมทรัพย์ บมจ. ธนาคารไทยพาณิชย์"/>
    <s v="Bond"/>
    <s v="SCB"/>
    <s v="SAVING U"/>
    <s v="CASH"/>
    <s v="INVEST SAVING"/>
    <s v="BANKING"/>
    <m/>
    <s v=" "/>
    <s v="NO MARKET"/>
    <s v="USDbb"/>
    <s v=" "/>
    <s v=" "/>
    <s v=" 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17"/>
    <s v=" "/>
    <s v="THAILAND"/>
    <s v="THAILAND"/>
    <s v="TH"/>
    <s v=" "/>
    <n v="52000"/>
    <b v="1"/>
    <s v="NONTRANSFERABLE"/>
    <s v=" "/>
    <s v=" "/>
    <b v="0"/>
    <b v="0"/>
    <m/>
    <m/>
    <s v=" "/>
    <n v="129319397.17"/>
    <n v="0"/>
    <m/>
    <n v="0"/>
    <s v="USDbb"/>
    <n v="32.356999999999999"/>
  </r>
  <r>
    <x v="0"/>
    <x v="1"/>
    <x v="0"/>
    <x v="1"/>
    <x v="0"/>
    <x v="109"/>
    <m/>
    <s v="UOBT"/>
    <s v="UNLISTED"/>
    <s v="BANKING"/>
    <s v="AAA(tha)"/>
    <m/>
    <m/>
    <d v="2020-12-31T00:00:00"/>
    <n v="820"/>
    <n v="0.85"/>
    <m/>
    <m/>
    <m/>
    <n v="92730392.329999998"/>
    <n v="1407469.29"/>
    <n v="92730392.329999998"/>
    <n v="0"/>
    <n v="92730392.329999998"/>
    <m/>
    <n v="92730392.329999998"/>
    <n v="0"/>
    <n v="4.35647E-4"/>
    <s v="INVSUOBTsffplus"/>
    <m/>
    <s v="INV.SAVING"/>
    <s v="เงินฝากออมทรัพย์ ธ.ยูโอบี จำกัด (มหาชน)"/>
    <s v="เงินฝากออมทรัพย์ ธ.ยูโอบี จำกัด (มหาชน)"/>
    <s v="Bond"/>
    <s v="UOBT"/>
    <s v="SAVING U"/>
    <s v="CASH"/>
    <s v="INVEST SAVING"/>
    <s v="*BOND"/>
    <m/>
    <s v=" "/>
    <s v="NO MARKET"/>
    <s v="THB"/>
    <s v=" "/>
    <s v=" "/>
    <s v=" "/>
    <s v="Liquid"/>
    <s v="P/N"/>
    <m/>
    <m/>
    <s v="UNITED OVERSEAS BANK (THAI) PLC."/>
    <s v="ธนาคาร ยูโอบี จำกัด (มหาชน)"/>
    <s v="UNLISTED"/>
    <s v=" "/>
    <s v="AAA(tha)"/>
    <s v=" "/>
    <s v=" "/>
    <s v="Baa1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652"/>
    <s v=" "/>
    <s v="THAILAND"/>
    <s v="THAILAND"/>
    <s v="TH"/>
    <s v=" "/>
    <n v="17000"/>
    <b v="1"/>
    <s v=" "/>
    <s v="SINGAPORE"/>
    <s v="SG"/>
    <b v="0"/>
    <b v="0"/>
    <m/>
    <m/>
    <s v=" "/>
    <m/>
    <m/>
    <m/>
    <m/>
    <m/>
    <m/>
  </r>
  <r>
    <x v="0"/>
    <x v="1"/>
    <x v="0"/>
    <x v="1"/>
    <x v="0"/>
    <x v="29"/>
    <m/>
    <s v="SCB"/>
    <s v="LISTED"/>
    <s v="BANKING"/>
    <s v="AA+(tha)"/>
    <m/>
    <m/>
    <d v="2019-01-03T00:00:00"/>
    <n v="92"/>
    <n v="1.5"/>
    <m/>
    <m/>
    <m/>
    <n v="1500000000"/>
    <n v="863013.7"/>
    <n v="1500000000"/>
    <n v="0.251106"/>
    <n v="1500000000"/>
    <m/>
    <n v="1500000000"/>
    <n v="1.5"/>
    <n v="6.9456264999999996E-3"/>
    <s v="S4MSCB030119"/>
    <m/>
    <s v="SAVING PLUS DEPOSIT OF SCB"/>
    <s v="เงินฝากออมทรัพย์-แบบฝากต่อเนื่อง ธ.ไทยพาณิชย์ จำกัด (มหาชน)"/>
    <s v="เงินฝากออมทรัพย์-แบบฝากต่อเนื่อง ธ.ไทยพาณิชย์ จำกัด (มหาชน)"/>
    <s v="Bond"/>
    <s v="SCB"/>
    <s v="TERM AC365 U"/>
    <s v="CASH"/>
    <m/>
    <s v="BANKING"/>
    <s v=" "/>
    <s v=" "/>
    <s v="NO MARKET"/>
    <s v="THB"/>
    <s v=" "/>
    <s v=" "/>
    <s v="P/O"/>
    <s v=" "/>
    <s v="P/N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52000"/>
    <b v="0"/>
    <s v="NONTRANSFERABLE"/>
    <s v=" "/>
    <s v=" "/>
    <b v="0"/>
    <b v="0"/>
    <m/>
    <m/>
    <s v=" "/>
    <m/>
    <m/>
    <m/>
    <m/>
    <m/>
    <m/>
  </r>
  <r>
    <x v="0"/>
    <x v="1"/>
    <x v="0"/>
    <x v="2"/>
    <x v="0"/>
    <x v="110"/>
    <m/>
    <s v="BANPU"/>
    <s v="LISTED"/>
    <s v="ENERGY"/>
    <s v="A+"/>
    <m/>
    <m/>
    <d v="2019-02-06T00:00:00"/>
    <n v="126"/>
    <m/>
    <n v="1.650558"/>
    <m/>
    <m/>
    <n v="1352355684.8"/>
    <m/>
    <n v="1352128020.8"/>
    <n v="0.34054099999999998"/>
    <n v="1360000000"/>
    <m/>
    <n v="1348444025.5999999"/>
    <n v="1.7"/>
    <n v="6.2583709E-3"/>
    <s v="BANPU19206A"/>
    <m/>
    <s v="BANPU PLC."/>
    <s v="ตั๋วแลกเงิน บริษัท บ้านปู จำกัด (มหาชน)"/>
    <s v="ตั๋วแลกเงิน บริษัท บ้านปู จำกัด (มหาชน) มูลค่า 1,500.00 ล้านบาท ครบกำหนดไถ่ถอนวันที่ 6 กุมภาพันธ์ 2562"/>
    <s v="Bond"/>
    <s v="BANPU"/>
    <s v="0DisAc365"/>
    <s v="B/E CORP."/>
    <m/>
    <s v="ENERGY"/>
    <s v="RESOURCES"/>
    <s v=" "/>
    <s v="ThaiBMA"/>
    <s v="THB"/>
    <s v=" "/>
    <s v=" "/>
    <s v="P/P"/>
    <s v=" "/>
    <s v="DISCOUNT"/>
    <m/>
    <m/>
    <s v="BANPU PLC."/>
    <s v="บมจ.บ้านปู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8"/>
    <s v=" "/>
    <s v="THAILAND"/>
    <s v="THAILAND"/>
    <s v="TH"/>
    <s v=" "/>
    <n v="10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1"/>
    <m/>
    <s v="BTS"/>
    <s v="LISTED"/>
    <s v="TRANSPORTA"/>
    <s v="A"/>
    <m/>
    <m/>
    <d v="2018-11-20T00:00:00"/>
    <n v="48"/>
    <m/>
    <n v="1.7755890000000001"/>
    <m/>
    <m/>
    <n v="299315652"/>
    <m/>
    <n v="299325492"/>
    <n v="0.12848100000000001"/>
    <n v="300000000"/>
    <m/>
    <n v="298625505"/>
    <n v="1.75"/>
    <n v="1.3851594999999999E-3"/>
    <s v="BTSG18N20A"/>
    <m/>
    <s v="BTS GROUP HOLDINGS PLC."/>
    <s v="ตั๋วแลกเงิน บริษัท บีทีเอส กรุ๊ป โฮลดิ้งส์ จำกัด (มหาชน) ครั้งที่ 65/2018 "/>
    <s v="ตั๋วแลกเงิน บริษัท บีทีเอส กรุ๊ป โฮลดิ้งส์ จำกัด (มหาชน) ครั้งที่ 65/2018 มูลค่า 500.00 ล้านบาท ครบกำหนดไถ่ถอนวันที่ 20 พฤศจิกายน 2561 "/>
    <s v="Bond"/>
    <s v="BTS"/>
    <s v="0DisAc365"/>
    <s v="B/E CORP."/>
    <m/>
    <s v="TRANSPORTATION"/>
    <s v="SERVICES"/>
    <s v=" "/>
    <s v="ThaiBMA"/>
    <s v="THB"/>
    <s v=" "/>
    <s v=" "/>
    <s v="P/P"/>
    <s v=" "/>
    <s v="DISCOUNT"/>
    <m/>
    <m/>
    <s v="BTS GROUP HOLDINGS PLC."/>
    <s v="บมจ.บีทีเอส กรุ๊ป โฮลดิ้งส์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6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2"/>
    <m/>
    <s v="CPF"/>
    <s v="LISTED"/>
    <s v="FOOD &amp; BEV"/>
    <s v="A+"/>
    <m/>
    <m/>
    <d v="2018-12-13T00:00:00"/>
    <n v="71"/>
    <m/>
    <n v="1.598085"/>
    <m/>
    <m/>
    <n v="1993889080"/>
    <m/>
    <n v="1993938980"/>
    <n v="0.19118299999999999"/>
    <n v="2000000000"/>
    <m/>
    <n v="1979371160"/>
    <n v="1.585"/>
    <n v="9.2272303999999996E-3"/>
    <s v="CPF18D13A"/>
    <m/>
    <s v="CHAROEN POKPHAND FOODS PLC."/>
    <s v="ตั๋วแลกเงิน บริษัท เจริญโภคภัณฑ์อาหาร จำกัด (มหาชน) ครั้งที่ 7/2561"/>
    <s v="ตั๋วแลกเงิน บริษัท เจริญโภคภัณฑ์อาหาร จำกัด (มหาชน) ครั้งที่ 7/2561 มูลค่า 2,000.00 ล้านบาท ครบกำหนดไถ่ถอนวันที่ 13 ธันวาคม 2561 "/>
    <s v="Bond"/>
    <s v="CPF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7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3"/>
    <m/>
    <s v="CPF"/>
    <s v="LISTED"/>
    <s v="FOOD &amp; BEV"/>
    <s v="A+"/>
    <m/>
    <m/>
    <d v="2019-01-29T00:00:00"/>
    <n v="118"/>
    <m/>
    <n v="1.7504690000000001"/>
    <m/>
    <m/>
    <n v="397768088"/>
    <m/>
    <n v="397641928"/>
    <n v="0.31875900000000001"/>
    <n v="400000000"/>
    <m/>
    <n v="397301616"/>
    <n v="1.85"/>
    <n v="1.8407733000000001E-3"/>
    <s v="CPF19129A"/>
    <m/>
    <s v="CHAROEN POKPHAND FOODS PLC."/>
    <s v="ตั๋วแลกเงิน บริษัท เจริญโภคภัณฑ์อาหาร จำกัด (มหาชน) ครั้งที่ 17/2561"/>
    <s v="ตั๋วแลกเงิน บริษัท เจริญโภคภัณฑ์อาหาร จำกัด (มหาชน) ครั้งที่ 17/2561 มูลค่า 1,200.00 ล้านบาท ครบกำหนดไถ่ถอนวันที่ 29 มกราคม 2562 "/>
    <s v="Bond"/>
    <s v="CPF"/>
    <s v="0DisAc365"/>
    <s v="B/E CORP."/>
    <m/>
    <s v="FOOD &amp; BEVERAGE"/>
    <s v="AGRO &amp; FOOD"/>
    <s v=" "/>
    <s v="ThaiBMA"/>
    <s v="THB"/>
    <s v=" "/>
    <s v=" "/>
    <s v="P/P"/>
    <s v=" "/>
    <s v="DISCOUNT"/>
    <m/>
    <m/>
    <s v="CHAROEN POKPHAND FOOD PLC."/>
    <s v="บมจ.เจริญโภคภัณฑ์อาหาร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0"/>
    <s v=" "/>
    <s v="THAILAND"/>
    <s v="THAILAND"/>
    <s v="TH"/>
    <s v=" "/>
    <n v="31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4"/>
    <m/>
    <s v="CPFTH"/>
    <s v="UNLISTED"/>
    <s v="AGRIBUSINE"/>
    <s v="A+"/>
    <m/>
    <m/>
    <d v="2018-12-06T00:00:00"/>
    <n v="64"/>
    <m/>
    <n v="1.5607260000000001"/>
    <m/>
    <m/>
    <n v="1396238732"/>
    <m/>
    <n v="1396024196"/>
    <n v="0.17213800000000001"/>
    <n v="1400000000"/>
    <m/>
    <n v="1383365508"/>
    <n v="1.65"/>
    <n v="6.4614509000000004E-3"/>
    <s v="CPFTH18D06A"/>
    <m/>
    <s v="CPF (THAILAND) PLC."/>
    <s v="ตั๋วแลกเงิน บริษัท ซีพีเอฟ (ประเทศไทย) จำกัด (มหาชน) ครั้งที่ 7/2561"/>
    <s v="ตั๋วแลกเงิน บริษัท ซีพีเอฟ (ประเทศไทย) จำกัด (มหาชน) ครั้งที่ 7/2561 มูลค่า 1,900.00 ล้านบาท ครบกำหนดไถ่ถอนวันที่ 6 ธันวาคม 2561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5"/>
    <m/>
    <s v="CPFTH"/>
    <s v="UNLISTED"/>
    <s v="AGRIBUSINE"/>
    <s v="A+"/>
    <m/>
    <m/>
    <d v="2019-03-26T00:00:00"/>
    <n v="174"/>
    <m/>
    <n v="1.8464320000000001"/>
    <m/>
    <m/>
    <n v="991324340"/>
    <m/>
    <n v="991773710"/>
    <n v="0.46986099999999997"/>
    <n v="1000000000"/>
    <m/>
    <n v="989374390"/>
    <n v="1.75"/>
    <n v="4.5876062999999998E-3"/>
    <s v="CPFTH19326B"/>
    <m/>
    <s v="CPF (THAILAND) PLC."/>
    <s v="ตั๋วแลกเงิน บริษัท ซีพีเอฟ (ประเทศไทย) จำกัด (มหาชน) ครั้งที่ 35/2561"/>
    <s v="ตั๋วแลกเงิน บริษัท ซีพีเอฟ (ประเทศไทย) จำกัด (มหาชน) ครั้งที่ 35/2561 มูลค่า 1,000.00 ล้านบาท ครบกำหนดไถ่ถอนวันที่ 26 มีนาคม 2562 "/>
    <s v="Bond"/>
    <s v="CPFTH"/>
    <s v="0DisAc365"/>
    <s v="B/E CORP."/>
    <m/>
    <s v="AGRIBUSINESS"/>
    <s v="AGRO &amp; FOOD"/>
    <s v=" "/>
    <s v="ThaiBMA"/>
    <s v="THB"/>
    <s v=" "/>
    <s v=" "/>
    <s v="P/P"/>
    <s v=" "/>
    <s v="DISCOUNT"/>
    <m/>
    <m/>
    <s v="CPF (THAILAND) PLC."/>
    <s v="บริษัท ซีพีเอฟ (ประเทศไทย) จำกัด (มหาชน)"/>
    <s v="UN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6"/>
    <s v=" "/>
    <s v="THAILAND"/>
    <s v="THAILAND"/>
    <s v="TH"/>
    <s v=" "/>
    <n v="9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6"/>
    <m/>
    <s v="CPN"/>
    <s v="LISTED"/>
    <s v="PROPERTY"/>
    <s v="AA"/>
    <m/>
    <m/>
    <d v="2018-11-13T00:00:00"/>
    <n v="41"/>
    <m/>
    <n v="1.6"/>
    <m/>
    <m/>
    <n v="1497374460"/>
    <m/>
    <n v="1497374460"/>
    <n v="0.109403"/>
    <n v="1500000000"/>
    <m/>
    <n v="1494235935"/>
    <n v="1.6"/>
    <n v="6.9294823000000004E-3"/>
    <s v="CPN18N13A"/>
    <m/>
    <s v="CENTRAL PATTANA PLC."/>
    <s v="ตั๋วแลกเงิน บริษัท เซ็นทรัลพัฒนา จำกัด (มหาชน)"/>
    <s v="ตั๋วแลกเงิน บริษัท เซ็นทรัลพัฒนา จำกัด (มหาชน) มูลค่า 2,000.00 ล้านบาท ครบกำหนดไถ่ถอนวันที่ 13 พฤศจิกายน 2561 "/>
    <s v="Bond"/>
    <s v="CPN"/>
    <s v="0DisAc365"/>
    <s v="B/E CORP."/>
    <m/>
    <s v="PROPERTY"/>
    <s v="PROPERTY &amp; CON"/>
    <s v=" "/>
    <s v="ThaiBMA"/>
    <s v="THB"/>
    <s v=" "/>
    <s v=" "/>
    <s v="P/P"/>
    <s v=" "/>
    <s v="DISCOUNT"/>
    <m/>
    <m/>
    <s v="CENTRAL PATTANA PLC."/>
    <s v="บมจ.เซ็นทรัลพัฒนา"/>
    <s v="LISTED"/>
    <s v="AA"/>
    <s v=" "/>
    <s v=" "/>
    <s v=" "/>
    <s v=" 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1"/>
    <m/>
    <s v="MP"/>
    <s v="UNLISTED"/>
    <s v="AGRIBUSINE"/>
    <s v="A+"/>
    <m/>
    <m/>
    <d v="2018-10-09T00:00:00"/>
    <n v="6"/>
    <m/>
    <n v="1.58"/>
    <m/>
    <m/>
    <n v="1199740332"/>
    <m/>
    <n v="1199740332"/>
    <n v="1.3696E-2"/>
    <n v="1200000000"/>
    <m/>
    <n v="1196788020"/>
    <n v="1.58"/>
    <n v="5.5521045000000002E-3"/>
    <s v="MPSC18O09B"/>
    <m/>
    <s v="MITR PHOL SUGAR CORPORATION LIMITED."/>
    <s v="ตั๋วแลกเงิน บริษัท น้ำตาลมิตรผล จำกัด "/>
    <s v="ตั๋วแลกเงิน บริษัท น้ำตาลมิตรผล จำกัด มูลค่า 2,400.00 ล้านบาท ครบกำหนดไถ่ถอนวันที่ 9 ตุลาคม 2561"/>
    <s v="Bond"/>
    <s v="MP"/>
    <s v="0DisAc365"/>
    <s v="B/E CORP."/>
    <m/>
    <s v="AGRIBUSINESS"/>
    <s v="AGRO &amp; FOOD"/>
    <s v=" "/>
    <s v="ThaiBMA"/>
    <s v="THB"/>
    <s v=" "/>
    <s v=" "/>
    <s v="P/P"/>
    <s v=" "/>
    <s v="DISCOUNT"/>
    <m/>
    <m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1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7"/>
    <m/>
    <s v="SIRI"/>
    <s v="LISTED"/>
    <s v="PROPERTY"/>
    <s v="BBB+"/>
    <m/>
    <m/>
    <d v="2018-10-24T00:00:00"/>
    <n v="21"/>
    <m/>
    <n v="1.868609"/>
    <m/>
    <m/>
    <n v="99897715"/>
    <m/>
    <n v="99885064"/>
    <n v="5.4739000000000003E-2"/>
    <n v="100000000"/>
    <m/>
    <n v="98929931"/>
    <n v="2.1"/>
    <n v="4.6230220000000001E-4"/>
    <s v="SIRI18O24A"/>
    <m/>
    <s v="SANSIRI PLC."/>
    <s v="ตั๋วแลกเงิน บริษัท แสนสิริ จำกัด (มหาชน) "/>
    <s v="ตั๋วแลกเงิน บริษัท แสนสิริ จำกัด (มหาชน) มูลค่า 100.00 ล้านบาท ครบกำหนดไถ่ถอนวันที่ 24 ตุลาคม 2561"/>
    <s v="Bond"/>
    <s v="SIRI"/>
    <s v="0DisAc365"/>
    <s v="B/E CORP."/>
    <m/>
    <s v="PROPERTY"/>
    <s v="PROPERTY &amp; CON"/>
    <s v=" "/>
    <s v="ThaiBMA"/>
    <s v="THB"/>
    <s v=" "/>
    <s v=" "/>
    <s v="P/P"/>
    <s v=" "/>
    <s v="DISCOUNT"/>
    <m/>
    <m/>
    <s v="SANSIRI PLC."/>
    <s v="บมจ.แสนสิริ 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5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8"/>
    <m/>
    <s v="SPALI"/>
    <s v="LISTED"/>
    <s v="PROPERTY"/>
    <s v="A"/>
    <m/>
    <m/>
    <d v="2019-01-31T00:00:00"/>
    <n v="120"/>
    <m/>
    <n v="1.5489010000000001"/>
    <m/>
    <m/>
    <n v="696482871.80999994"/>
    <m/>
    <n v="696423910.91999996"/>
    <n v="0.32438899999999998"/>
    <n v="700000000"/>
    <m/>
    <n v="691967955"/>
    <n v="1.575"/>
    <n v="3.2231522E-3"/>
    <s v="SPALI19131A"/>
    <m/>
    <s v="SUPALAI PUBLIC COMPANY LIMITED"/>
    <s v="ตั๋วแลกเงิน บริษัท ศุภาลัย จำกัด (มหาชน) "/>
    <s v="ตั๋วแลกเงิน บริษัท ศุภาลัย จำกัด (มหาชน) มูลค่า 1,000.00 ล้านบาท ครบกำหนดไถ่ถอนวันที่ 31 มกราคม 2562 "/>
    <s v="Bond"/>
    <s v="SPALI"/>
    <s v="0DisAc365p10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7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33"/>
    <m/>
    <s v="SPALI"/>
    <s v="LISTED"/>
    <s v="PROPERTY"/>
    <s v="A"/>
    <m/>
    <m/>
    <d v="2019-02-18T00:00:00"/>
    <n v="138"/>
    <m/>
    <n v="1.5995360000000001"/>
    <m/>
    <m/>
    <n v="844927276.5"/>
    <m/>
    <n v="844673696"/>
    <n v="0.37310199999999999"/>
    <n v="850000000"/>
    <m/>
    <n v="839566377.5"/>
    <n v="1.68"/>
    <n v="3.9101164999999997E-3"/>
    <s v="SPALI19218A"/>
    <m/>
    <s v="SUPALAI PUBLIC COMPANY LIMITED"/>
    <s v="ตั๋วแลกเงิน บริษัท ศุภาลัย จำกัด (มหาชน) มูลค่า 1,000.00 ล้านบาท "/>
    <s v="ตั๋วแลกเงิน บริษัท ศุภาลัย จำกัด (มหาชน) มูลค่า 1,000.00 ล้านบาท ครบกำหนดไถ่ถอนวันที่ 18 กุมภาพันธ์ 2562 "/>
    <s v="Bond"/>
    <s v="SPALI"/>
    <s v="0DisAc365"/>
    <s v="B/E CORP."/>
    <m/>
    <s v="FIN &amp; SEC."/>
    <s v="FINANCIALS"/>
    <s v=" "/>
    <s v="ThaiBMA"/>
    <s v="THB"/>
    <s v=" "/>
    <s v=" "/>
    <s v="P/P"/>
    <s v=" "/>
    <s v="DISCOUNT"/>
    <m/>
    <m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7000"/>
    <b v="0"/>
    <s v="TRANSFERABLE"/>
    <s v=" "/>
    <s v=" "/>
    <b v="0"/>
    <b v="0"/>
    <m/>
    <m/>
    <s v=" "/>
    <m/>
    <m/>
    <m/>
    <m/>
    <m/>
    <m/>
  </r>
  <r>
    <x v="0"/>
    <x v="1"/>
    <x v="0"/>
    <x v="2"/>
    <x v="0"/>
    <x v="119"/>
    <m/>
    <s v="TISCO"/>
    <s v="LISTED"/>
    <s v="FIN &amp; SEC."/>
    <s v="A-"/>
    <m/>
    <m/>
    <d v="2018-10-08T00:00:00"/>
    <n v="5"/>
    <n v="1.58"/>
    <n v="1.58"/>
    <n v="1000000"/>
    <n v="999.99956999999995"/>
    <n v="999999570"/>
    <n v="2467400"/>
    <n v="1000000000"/>
    <n v="1.0957E-2"/>
    <n v="1000000000"/>
    <m/>
    <n v="1000000000"/>
    <n v="1.58"/>
    <n v="4.6391716000000003E-3"/>
    <s v="TISCOG18O08A"/>
    <m/>
    <s v="TISCO FINANCIAL GROUP PLC."/>
    <s v="ตั๋วแลกเงิน บริษัท ทิสโก้ไฟแนนเชียลกรุ๊ป จำกัด (มหาชน) ครั้งที่ 20/2561 "/>
    <s v="ตั๋วแลกเงิน บริษัท ทิสโก้ไฟแนนเชียลกรุ๊ป จำกัด (มหาชน) ครั้งที่ 20/2561 มูลค่า 1,000.00 ล้านบาท ครบกำหนดไถ่ถอนวันที่ 8 ตุลาคม 2561 "/>
    <s v="Bond"/>
    <s v="TISCO"/>
    <s v="0SdAc365C"/>
    <s v="B/E CORP."/>
    <m/>
    <s v="FIN &amp; SEC."/>
    <s v="FINANCIALS"/>
    <s v=" "/>
    <s v="ThaiBMA"/>
    <s v="THB"/>
    <s v=" "/>
    <s v=" "/>
    <s v="P/P"/>
    <s v=" "/>
    <s v="BOND"/>
    <m/>
    <m/>
    <s v="TISCO BANK PLC."/>
    <s v="บมจ.ทิสโก้ไฟแนนเชียลกรุ๊ป"/>
    <s v="LISTED"/>
    <s v="A-"/>
    <s v=" "/>
    <s v="YES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0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3"/>
    <x v="0"/>
    <x v="120"/>
    <m/>
    <s v="GOVERNMENT"/>
    <s v="OTHER"/>
    <s v="GOVERNMENT"/>
    <s v="BBB+"/>
    <m/>
    <m/>
    <d v="2018-11-14T00:00:00"/>
    <n v="42"/>
    <m/>
    <n v="1.231587"/>
    <m/>
    <m/>
    <n v="787909980.72000003"/>
    <m/>
    <n v="787882484.07000005"/>
    <n v="0.112179"/>
    <n v="789000000"/>
    <m/>
    <n v="786038997.53999996"/>
    <n v="1.2626999999999999"/>
    <n v="3.6462544E-3"/>
    <s v="TB18N14A"/>
    <m/>
    <s v="TREASURY BILL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ตั๋วสัญญาใช้เงินเพื่อการปรับโครงสร้างหนี้ (พ.ร.ก. ช่วยเหลือกองทุนเพื่อการฟื้นฟูฯ ระยะที่สอง) ในปีงบประมาณ พ.ศ. 2561 ครั้งที่ 1 งวด (F3)1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54"/>
    <s v=" "/>
    <s v="THAILAND"/>
    <s v="THAILAND"/>
    <s v="TH"/>
    <s v=" "/>
    <n v="0"/>
    <b v="0"/>
    <s v="TRANSFERABLE"/>
    <s v=" "/>
    <s v=" "/>
    <b v="0"/>
    <b v="0"/>
    <m/>
    <m/>
    <s v="TH062307SB86"/>
    <m/>
    <m/>
    <m/>
    <m/>
    <m/>
    <m/>
  </r>
  <r>
    <x v="0"/>
    <x v="1"/>
    <x v="0"/>
    <x v="3"/>
    <x v="0"/>
    <x v="34"/>
    <m/>
    <s v="GOVERNMENT"/>
    <s v="OTHER"/>
    <s v="GOVERNMENT"/>
    <s v="BBB+"/>
    <m/>
    <m/>
    <d v="2019-04-03T00:00:00"/>
    <n v="182"/>
    <m/>
    <n v="1.5805450000000001"/>
    <m/>
    <m/>
    <n v="1180745584.2"/>
    <m/>
    <n v="1182307352.0999999"/>
    <n v="0.49203400000000003"/>
    <n v="1190000000"/>
    <m/>
    <n v="1174650707.47"/>
    <n v="1.312079"/>
    <n v="5.4642014000000003E-3"/>
    <s v="TB19403A"/>
    <m/>
    <s v="TREASURY BILL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ตั๋วสัญญาใช้เงินเพื่อการปรับโครงสร้างหนี้ (พ.ร.ก. ช่วยเหลือกองทุนเพื่อการฟื้นฟูฯ) ในปีงบประมาณ พ.ศ. 2561 ครั้งที่ 1 งวดที่ (F1)2/364/61"/>
    <s v="Bond"/>
    <s v="GOVERNMENT"/>
    <s v="0DisAc365U"/>
    <s v="TREASURY BILL"/>
    <m/>
    <s v="*BOND"/>
    <s v=" "/>
    <s v=" "/>
    <s v="ThaiBMA"/>
    <s v="THB"/>
    <s v=" "/>
    <s v=" "/>
    <s v="P/O"/>
    <s v=" "/>
    <s v="DISCOUNT"/>
    <m/>
    <m/>
    <s v="GOVERNMENT OF THAILAND"/>
    <s v="รัฐบาลประเทศไทย"/>
    <s v="OTHER"/>
    <s v=" "/>
    <s v="BBB+"/>
    <s v=" "/>
    <s v="BBB+"/>
    <s v="Baa1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4"/>
    <s v=" "/>
    <s v="THAILAND"/>
    <s v="THAILAND"/>
    <s v="TH"/>
    <s v=" "/>
    <n v="0"/>
    <b v="0"/>
    <s v="TRANSFERABLE"/>
    <s v=" "/>
    <s v=" "/>
    <b v="0"/>
    <b v="0"/>
    <m/>
    <m/>
    <s v="TH062307T485"/>
    <m/>
    <m/>
    <m/>
    <m/>
    <m/>
    <m/>
  </r>
  <r>
    <x v="0"/>
    <x v="1"/>
    <x v="0"/>
    <x v="4"/>
    <x v="0"/>
    <x v="35"/>
    <m/>
    <s v="BOT"/>
    <m/>
    <s v="GOVERNMENT"/>
    <m/>
    <m/>
    <m/>
    <d v="2018-12-06T00:00:00"/>
    <n v="64"/>
    <m/>
    <n v="1.3"/>
    <m/>
    <m/>
    <n v="6984328330"/>
    <m/>
    <n v="6983815860"/>
    <n v="0.17222399999999999"/>
    <n v="7000000000"/>
    <m/>
    <n v="6976646860.5299997"/>
    <n v="1.3426100000000001"/>
    <n v="3.23217612E-2"/>
    <s v="CB18D06C"/>
    <m/>
    <s v="Bank of Thailand Bond"/>
    <s v="พันธบัตรธนาคารแห่งประเทศไทยงวดที่ 36/91/61"/>
    <s v="พันธบัตรธนาคารแห่งประเทศไทยงวดที่ 36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9"/>
    <s v=" "/>
    <s v="THAILAND"/>
    <s v="THAILAND"/>
    <s v="TH"/>
    <s v=" "/>
    <n v="0"/>
    <b v="0"/>
    <s v="TRANSFERABLE"/>
    <s v=" "/>
    <s v=" "/>
    <b v="0"/>
    <b v="0"/>
    <m/>
    <m/>
    <s v="TH0655E7SC85"/>
    <m/>
    <m/>
    <m/>
    <m/>
    <m/>
    <m/>
  </r>
  <r>
    <x v="0"/>
    <x v="1"/>
    <x v="0"/>
    <x v="4"/>
    <x v="0"/>
    <x v="121"/>
    <m/>
    <s v="BOT"/>
    <m/>
    <s v="GOVERNMENT"/>
    <m/>
    <m/>
    <m/>
    <d v="2018-12-13T00:00:00"/>
    <n v="71"/>
    <m/>
    <n v="1.261633"/>
    <m/>
    <m/>
    <n v="549670034.76999998"/>
    <m/>
    <n v="549670034.76999998"/>
    <n v="0.19128600000000001"/>
    <n v="551000000"/>
    <m/>
    <n v="549553219.5"/>
    <n v="1.261633"/>
    <n v="2.5437382999999999E-3"/>
    <s v="CB18D13A"/>
    <m/>
    <s v="Bank of Thailand Bond"/>
    <s v="พันธบัตรธนาคารแห่งประเทศไทยงวดที่ 24/182/61"/>
    <s v="พันธบัตรธนาคารแห่งประเทศไทยงวดที่ 2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65"/>
    <s v=" "/>
    <s v="THAILAND"/>
    <s v="THAILAND"/>
    <s v="TH"/>
    <s v=" "/>
    <n v="0"/>
    <b v="0"/>
    <s v="TRANSFERABLE"/>
    <s v=" "/>
    <s v=" "/>
    <b v="0"/>
    <b v="0"/>
    <m/>
    <m/>
    <s v="TH0655B7SC81"/>
    <m/>
    <m/>
    <m/>
    <m/>
    <m/>
    <m/>
  </r>
  <r>
    <x v="0"/>
    <x v="1"/>
    <x v="0"/>
    <x v="4"/>
    <x v="0"/>
    <x v="36"/>
    <m/>
    <s v="BOT"/>
    <m/>
    <s v="GOVERNMENT"/>
    <m/>
    <m/>
    <m/>
    <d v="2018-12-13T00:00:00"/>
    <n v="71"/>
    <m/>
    <n v="1.1536930000000001"/>
    <m/>
    <m/>
    <n v="5125659147.8400002"/>
    <m/>
    <n v="5125547931.79"/>
    <n v="0.19130800000000001"/>
    <n v="5137000000"/>
    <m/>
    <n v="5122151604.2799997"/>
    <n v="1.165035"/>
    <n v="2.3720295299999999E-2"/>
    <s v="CB18D13B"/>
    <m/>
    <s v="Bank of Thailand Bond"/>
    <s v="พันธบัตรธนาคารแห่งประเทศไทยงวดที่ 37/91/61"/>
    <s v="พันธบัตรธนาคารแห่งประเทศไทยงวดที่ 3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56"/>
    <s v=" "/>
    <s v="THAILAND"/>
    <s v="THAILAND"/>
    <s v="TH"/>
    <s v=" "/>
    <n v="0"/>
    <b v="0"/>
    <s v="TRANSFERABLE"/>
    <s v=" "/>
    <s v=" "/>
    <b v="0"/>
    <b v="0"/>
    <m/>
    <m/>
    <s v="TH0655F7SC82"/>
    <m/>
    <m/>
    <m/>
    <m/>
    <m/>
    <m/>
  </r>
  <r>
    <x v="0"/>
    <x v="1"/>
    <x v="0"/>
    <x v="4"/>
    <x v="0"/>
    <x v="37"/>
    <m/>
    <s v="BOT"/>
    <m/>
    <s v="GOVERNMENT"/>
    <m/>
    <m/>
    <m/>
    <d v="2018-12-20T00:00:00"/>
    <n v="78"/>
    <m/>
    <n v="1.2549999999999999"/>
    <m/>
    <m/>
    <n v="4487120210.54"/>
    <m/>
    <n v="4485969411.3299999"/>
    <n v="0.21034700000000001"/>
    <n v="4499000000"/>
    <m/>
    <n v="4483657709.3699999"/>
    <n v="1.376922"/>
    <n v="2.07652935E-2"/>
    <s v="CB18D20B"/>
    <m/>
    <s v="Bank of Thailand Bond"/>
    <s v="พันธบัตรธนาคารแห่งประเทศไทยงวดที่ 38/91/61"/>
    <s v="พันธบัตรธนาคารแห่งประเทศไทยงวดที่ 3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3"/>
    <s v=" "/>
    <s v="THAILAND"/>
    <s v="THAILAND"/>
    <s v="TH"/>
    <s v=" "/>
    <n v="0"/>
    <b v="0"/>
    <s v="TRANSFERABLE"/>
    <s v=" "/>
    <s v=" "/>
    <b v="0"/>
    <b v="0"/>
    <m/>
    <m/>
    <s v="TH0655G7SC80"/>
    <m/>
    <m/>
    <m/>
    <m/>
    <m/>
    <m/>
  </r>
  <r>
    <x v="0"/>
    <x v="1"/>
    <x v="0"/>
    <x v="4"/>
    <x v="0"/>
    <x v="122"/>
    <m/>
    <s v="BOT"/>
    <m/>
    <s v="GOVERNMENT"/>
    <m/>
    <m/>
    <m/>
    <d v="2018-12-27T00:00:00"/>
    <n v="85"/>
    <m/>
    <n v="1.38"/>
    <m/>
    <m/>
    <n v="847309036"/>
    <m/>
    <n v="847087500.5"/>
    <n v="0.229406"/>
    <n v="850000000"/>
    <m/>
    <n v="846845701"/>
    <n v="1.494"/>
    <n v="3.9211387E-3"/>
    <s v="CB18D27B"/>
    <m/>
    <s v="Bank of Thailand Bond"/>
    <s v="พันธบัตรธนาคารแห่งประเทศไทยงวดที่ 39/91/61"/>
    <s v="พันธบัตรธนาคารแห่งประเทศไทยงวดที่ 3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0"/>
    <s v=" "/>
    <s v="THAILAND"/>
    <s v="THAILAND"/>
    <s v="TH"/>
    <s v=" "/>
    <n v="0"/>
    <b v="0"/>
    <s v="TRANSFERABLE"/>
    <s v=" "/>
    <s v=" "/>
    <b v="0"/>
    <b v="0"/>
    <m/>
    <m/>
    <s v="TH0655H7SC88"/>
    <m/>
    <m/>
    <m/>
    <m/>
    <m/>
    <m/>
  </r>
  <r>
    <x v="0"/>
    <x v="1"/>
    <x v="0"/>
    <x v="4"/>
    <x v="0"/>
    <x v="123"/>
    <m/>
    <s v="BOT"/>
    <m/>
    <s v="GOVERNMENT"/>
    <m/>
    <m/>
    <m/>
    <d v="2018-11-01T00:00:00"/>
    <n v="29"/>
    <m/>
    <n v="1.140522"/>
    <m/>
    <m/>
    <n v="621456272.48000002"/>
    <m/>
    <n v="621456272.48000002"/>
    <n v="7.6644000000000004E-2"/>
    <n v="622000000"/>
    <m/>
    <n v="621051648.87"/>
    <n v="1.140523"/>
    <n v="2.8759473999999999E-3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0"/>
    <x v="4"/>
    <x v="0"/>
    <x v="38"/>
    <m/>
    <s v="BOT"/>
    <m/>
    <s v="GOVERNMENT"/>
    <m/>
    <m/>
    <m/>
    <d v="2018-11-01T00:00:00"/>
    <n v="29"/>
    <m/>
    <n v="1.2874129999999999"/>
    <m/>
    <m/>
    <n v="3571472797.75"/>
    <m/>
    <n v="3571451133.25"/>
    <n v="7.6643000000000003E-2"/>
    <n v="3575000000"/>
    <m/>
    <n v="3563632675.1599998"/>
    <n v="1.295328"/>
    <n v="1.6527901500000001E-2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0"/>
    <x v="4"/>
    <x v="0"/>
    <x v="39"/>
    <m/>
    <s v="BOT"/>
    <m/>
    <s v="GOVERNMENT"/>
    <m/>
    <m/>
    <m/>
    <d v="2018-11-08T00:00:00"/>
    <n v="36"/>
    <m/>
    <n v="1.2126969999999999"/>
    <m/>
    <m/>
    <n v="698188104.50999999"/>
    <m/>
    <n v="698188104.50999999"/>
    <n v="9.5782000000000006E-2"/>
    <n v="699000000"/>
    <m/>
    <n v="697692970.89999998"/>
    <n v="1.2126969999999999"/>
    <n v="3.2310436000000001E-3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0"/>
    <x v="4"/>
    <x v="0"/>
    <x v="40"/>
    <m/>
    <s v="BOT"/>
    <m/>
    <s v="GOVERNMENT"/>
    <m/>
    <m/>
    <m/>
    <d v="2018-11-08T00:00:00"/>
    <n v="36"/>
    <m/>
    <n v="1.2616039999999999"/>
    <m/>
    <m/>
    <n v="5692113898.3000002"/>
    <m/>
    <n v="5692080787.1099997"/>
    <n v="9.5780000000000004E-2"/>
    <n v="5699000000"/>
    <m/>
    <n v="5682815104.3900003"/>
    <n v="1.267687"/>
    <n v="2.6341709200000001E-2"/>
    <s v="CB18N08B"/>
    <m/>
    <s v="Bank of Thailand Bond"/>
    <s v="พันธบัตรธนาคารแห่งประเทศไทยงวดที่ 32/91/61"/>
    <s v="พันธบัตรธนาคารแห่งประเทศไทยงวดที่ 32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1"/>
    <s v=" "/>
    <s v="THAILAND"/>
    <s v="THAILAND"/>
    <s v="TH"/>
    <s v=" "/>
    <n v="0"/>
    <b v="0"/>
    <s v="TRANSFERABLE"/>
    <s v=" "/>
    <s v=" "/>
    <b v="0"/>
    <b v="0"/>
    <m/>
    <m/>
    <s v="TH0655F7SB83"/>
    <m/>
    <m/>
    <m/>
    <m/>
    <m/>
    <m/>
  </r>
  <r>
    <x v="0"/>
    <x v="1"/>
    <x v="0"/>
    <x v="4"/>
    <x v="0"/>
    <x v="124"/>
    <m/>
    <s v="BOT"/>
    <m/>
    <s v="GOVERNMENT"/>
    <m/>
    <m/>
    <m/>
    <d v="2018-11-15T00:00:00"/>
    <n v="43"/>
    <m/>
    <n v="1.1621809999999999"/>
    <m/>
    <m/>
    <n v="579225398.39999998"/>
    <m/>
    <n v="579225398.39999998"/>
    <n v="0.11491"/>
    <n v="580000000"/>
    <m/>
    <n v="578862047.82000005"/>
    <n v="1.1621809999999999"/>
    <n v="2.6805132999999999E-3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0"/>
    <x v="4"/>
    <x v="0"/>
    <x v="41"/>
    <m/>
    <s v="BOT"/>
    <m/>
    <s v="GOVERNMENT"/>
    <m/>
    <m/>
    <m/>
    <d v="2018-11-15T00:00:00"/>
    <n v="43"/>
    <m/>
    <n v="1.2558640000000001"/>
    <m/>
    <m/>
    <n v="8162204754.5200005"/>
    <m/>
    <n v="8162194373.54"/>
    <n v="0.114912"/>
    <n v="8174000000"/>
    <m/>
    <n v="8148989774.6300001"/>
    <n v="1.2569760000000001"/>
    <n v="3.7772684799999998E-2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0"/>
    <x v="4"/>
    <x v="0"/>
    <x v="42"/>
    <m/>
    <s v="BOT"/>
    <m/>
    <s v="GOVERNMENT"/>
    <m/>
    <m/>
    <m/>
    <d v="2018-11-22T00:00:00"/>
    <n v="50"/>
    <m/>
    <n v="1.23"/>
    <m/>
    <m/>
    <n v="2646629799.9899998"/>
    <m/>
    <n v="2646629799.9899998"/>
    <n v="0.134023"/>
    <n v="2651000000"/>
    <m/>
    <n v="2643553683.0700002"/>
    <n v="1.23"/>
    <n v="1.2247954599999999E-2"/>
    <s v="CB18N22A"/>
    <m/>
    <s v="Bank of Thailand Bond"/>
    <s v="พันธบัตรธนาคารแห่งประเทศไทยงวดที่ 21/182/61 "/>
    <s v="พันธบัตรธนาคารแห่งประเทศไทยงวดที่ 21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4"/>
    <s v=" "/>
    <s v="THAILAND"/>
    <s v="THAILAND"/>
    <s v="TH"/>
    <s v=" "/>
    <n v="0"/>
    <b v="0"/>
    <s v="TRANSFERABLE"/>
    <s v=" "/>
    <s v=" "/>
    <b v="0"/>
    <b v="0"/>
    <m/>
    <m/>
    <s v="TH0655C7SB80"/>
    <m/>
    <m/>
    <m/>
    <m/>
    <m/>
    <m/>
  </r>
  <r>
    <x v="0"/>
    <x v="1"/>
    <x v="0"/>
    <x v="4"/>
    <x v="0"/>
    <x v="43"/>
    <m/>
    <s v="BOT"/>
    <m/>
    <s v="GOVERNMENT"/>
    <m/>
    <m/>
    <m/>
    <d v="2018-11-22T00:00:00"/>
    <n v="50"/>
    <m/>
    <n v="1.250019"/>
    <m/>
    <m/>
    <n v="4737050701.5"/>
    <m/>
    <n v="4736904175.8999996"/>
    <n v="0.13402800000000001"/>
    <n v="4745000000"/>
    <m/>
    <n v="4730369862.3100004"/>
    <n v="1.273101"/>
    <n v="2.19219106E-2"/>
    <s v="CB18N22B"/>
    <m/>
    <s v="Bank of Thailand Bond"/>
    <s v="พันธบัตรธนาคารแห่งประเทศไทยงวดที่ 34/91/61"/>
    <s v="พันธบัตรธนาคารแห่งประเทศไทยงวดที่ 34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35"/>
    <s v=" "/>
    <s v="THAILAND"/>
    <s v="THAILAND"/>
    <s v="TH"/>
    <s v=" "/>
    <n v="0"/>
    <b v="0"/>
    <s v="TRANSFERABLE"/>
    <s v=" "/>
    <s v=" "/>
    <b v="0"/>
    <b v="0"/>
    <m/>
    <m/>
    <s v="TH0655H7SB89"/>
    <m/>
    <m/>
    <m/>
    <m/>
    <m/>
    <m/>
  </r>
  <r>
    <x v="0"/>
    <x v="1"/>
    <x v="0"/>
    <x v="4"/>
    <x v="0"/>
    <x v="44"/>
    <m/>
    <s v="BOT"/>
    <m/>
    <s v="GOVERNMENT"/>
    <m/>
    <m/>
    <m/>
    <d v="2018-11-29T00:00:00"/>
    <n v="57"/>
    <m/>
    <n v="1.2233229999999999"/>
    <m/>
    <m/>
    <n v="605862870.48000002"/>
    <m/>
    <n v="605863125.41999996"/>
    <n v="0.15312899999999999"/>
    <n v="607000000"/>
    <m/>
    <n v="605392262.88"/>
    <n v="1.2230479999999999"/>
    <n v="2.803785E-3"/>
    <s v="CB18N29A"/>
    <m/>
    <s v="Bank of Thailand Bond"/>
    <s v="พันธบัตรธนาคารแห่งประเทศไทยงวดที่ 22/182/61 "/>
    <s v="พันธบัตรธนาคารแห่งประเทศไทยงวดที่ 22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51"/>
    <s v=" "/>
    <s v="THAILAND"/>
    <s v="THAILAND"/>
    <s v="TH"/>
    <s v=" "/>
    <n v="0"/>
    <b v="0"/>
    <s v="TRANSFERABLE"/>
    <s v=" "/>
    <s v=" "/>
    <b v="0"/>
    <b v="0"/>
    <m/>
    <m/>
    <s v="TH0655D7SB88"/>
    <m/>
    <m/>
    <m/>
    <m/>
    <m/>
    <m/>
  </r>
  <r>
    <x v="0"/>
    <x v="1"/>
    <x v="0"/>
    <x v="4"/>
    <x v="0"/>
    <x v="45"/>
    <m/>
    <s v="BOT"/>
    <m/>
    <s v="GOVERNMENT"/>
    <m/>
    <m/>
    <m/>
    <d v="2018-11-29T00:00:00"/>
    <n v="57"/>
    <m/>
    <n v="1.190833"/>
    <m/>
    <m/>
    <n v="7046126501.6999998"/>
    <m/>
    <n v="7045559875.7700005"/>
    <n v="0.153145"/>
    <n v="7059000000"/>
    <m/>
    <n v="7037257223.54"/>
    <n v="1.2433479999999999"/>
    <n v="3.2607747999999999E-2"/>
    <s v="CB18N29B"/>
    <m/>
    <s v="Bank of Thailand Bond"/>
    <s v="พันธบัตรธนาคารแห่งประเทศไทยงวดที่ 35/91/61"/>
    <s v="พันธบัตรธนาคารแห่งประเทศไทยงวดที่ 35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42"/>
    <s v=" "/>
    <s v="THAILAND"/>
    <s v="THAILAND"/>
    <s v="TH"/>
    <s v=" "/>
    <n v="0"/>
    <b v="0"/>
    <s v="TRANSFERABLE"/>
    <s v=" "/>
    <s v=" "/>
    <b v="0"/>
    <b v="0"/>
    <m/>
    <m/>
    <s v="TH0655I7SB87"/>
    <m/>
    <m/>
    <m/>
    <m/>
    <m/>
    <m/>
  </r>
  <r>
    <x v="0"/>
    <x v="1"/>
    <x v="0"/>
    <x v="4"/>
    <x v="0"/>
    <x v="46"/>
    <m/>
    <s v="BOT"/>
    <m/>
    <s v="GOVERNMENT"/>
    <m/>
    <m/>
    <m/>
    <d v="2018-10-04T00:00:00"/>
    <n v="1"/>
    <m/>
    <n v="1.3106910000000001"/>
    <m/>
    <m/>
    <n v="2224000000"/>
    <m/>
    <n v="2224000000"/>
    <n v="2.7399999999999998E-3"/>
    <n v="2224000000"/>
    <m/>
    <n v="2212166177.6100001"/>
    <n v="1.1718999999999999"/>
    <n v="1.02921274E-2"/>
    <s v="CB18O04A"/>
    <m/>
    <s v="Bank of Thailand Bond"/>
    <s v="พันธบัตรธนาคารแห่งประเทศไทยงวดที่ 14/182/61"/>
    <s v="พันธบัตรธนาคารแห่งประเทศไทยงวดที่ 14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5"/>
    <s v=" "/>
    <s v="THAILAND"/>
    <s v="THAILAND"/>
    <s v="TH"/>
    <s v=" "/>
    <n v="0"/>
    <b v="0"/>
    <s v="TRANSFERABLE"/>
    <s v=" "/>
    <s v=" "/>
    <b v="0"/>
    <b v="0"/>
    <m/>
    <m/>
    <s v="TH065507SA88"/>
    <m/>
    <m/>
    <m/>
    <m/>
    <m/>
    <m/>
  </r>
  <r>
    <x v="0"/>
    <x v="1"/>
    <x v="0"/>
    <x v="4"/>
    <x v="0"/>
    <x v="47"/>
    <m/>
    <s v="BOT"/>
    <m/>
    <s v="GOVERNMENT"/>
    <m/>
    <m/>
    <m/>
    <d v="2018-10-04T00:00:00"/>
    <n v="1"/>
    <m/>
    <n v="1.245725"/>
    <m/>
    <m/>
    <n v="6391000000"/>
    <m/>
    <n v="6391000000"/>
    <n v="2.7399999999999998E-3"/>
    <n v="6391000000"/>
    <m/>
    <n v="6376471089.5100002"/>
    <n v="1.288675"/>
    <n v="2.9575982899999999E-2"/>
    <s v="CB18O04B"/>
    <m/>
    <s v="Bank of Thailand Bond"/>
    <s v="พันธบัตรธนาคารแห่งประเทศไทยงวดที่ 27/91/61"/>
    <s v="พันธบัตรธนาคารแห่งประเทศไทยงวดที่ 27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D7SA89"/>
    <m/>
    <m/>
    <m/>
    <m/>
    <m/>
    <m/>
  </r>
  <r>
    <x v="0"/>
    <x v="1"/>
    <x v="0"/>
    <x v="4"/>
    <x v="0"/>
    <x v="48"/>
    <m/>
    <s v="BOT"/>
    <m/>
    <s v="GOVERNMENT"/>
    <m/>
    <m/>
    <m/>
    <d v="2018-10-09T00:00:00"/>
    <n v="6"/>
    <m/>
    <n v="1.16547"/>
    <m/>
    <m/>
    <n v="946848830.38999999"/>
    <m/>
    <n v="946848830.38999999"/>
    <n v="1.3697000000000001E-2"/>
    <n v="947000000"/>
    <m/>
    <n v="946576851.99000001"/>
    <n v="1.16547"/>
    <n v="4.3817845000000003E-3"/>
    <s v="CB18O09A"/>
    <m/>
    <s v="Bank of Thailand Bond"/>
    <s v="พันธบัตรธนาคารแห่งประเทศไทยงวดที่ พ.38/14/61"/>
    <s v="พันธบัตรธนาคารแห่งประเทศไทยงวดที่ พ.38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68"/>
    <s v=" "/>
    <s v="THAILAND"/>
    <s v="THAILAND"/>
    <s v="TH"/>
    <s v=" "/>
    <n v="0"/>
    <b v="0"/>
    <s v="TRANSFERABLE"/>
    <s v=" "/>
    <s v=" "/>
    <b v="0"/>
    <b v="0"/>
    <m/>
    <m/>
    <s v="TH0655I7SA88"/>
    <m/>
    <m/>
    <m/>
    <m/>
    <m/>
    <m/>
  </r>
  <r>
    <x v="0"/>
    <x v="1"/>
    <x v="0"/>
    <x v="4"/>
    <x v="0"/>
    <x v="49"/>
    <m/>
    <s v="BOT"/>
    <m/>
    <s v="GOVERNMENT"/>
    <m/>
    <m/>
    <m/>
    <d v="2018-10-11T00:00:00"/>
    <n v="8"/>
    <m/>
    <n v="1.1412450000000001"/>
    <m/>
    <m/>
    <n v="451901093.36000001"/>
    <m/>
    <n v="451901093.36000001"/>
    <n v="1.9174E-2"/>
    <n v="452000000"/>
    <m/>
    <n v="451786093.20999998"/>
    <n v="1.1412439999999999"/>
    <n v="2.0912876E-3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0"/>
    <x v="4"/>
    <x v="0"/>
    <x v="50"/>
    <m/>
    <s v="BOT"/>
    <m/>
    <s v="GOVERNMENT"/>
    <m/>
    <m/>
    <m/>
    <d v="2018-10-11T00:00:00"/>
    <n v="8"/>
    <m/>
    <n v="1.309429"/>
    <m/>
    <m/>
    <n v="5124713066.4399996"/>
    <m/>
    <n v="5124712656.3599997"/>
    <n v="1.9174E-2"/>
    <n v="5126000000"/>
    <m/>
    <n v="5111320349.04"/>
    <n v="1.309858"/>
    <n v="2.3715917100000001E-2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0"/>
    <x v="4"/>
    <x v="0"/>
    <x v="125"/>
    <m/>
    <s v="BOT"/>
    <m/>
    <s v="GOVERNMENT"/>
    <m/>
    <m/>
    <m/>
    <d v="2018-10-16T00:00:00"/>
    <n v="13"/>
    <m/>
    <n v="1.1120859999999999"/>
    <m/>
    <m/>
    <n v="5272072458.4799995"/>
    <m/>
    <n v="5272072458.4799995"/>
    <n v="3.2864999999999998E-2"/>
    <n v="5274000000"/>
    <m/>
    <n v="5271920064.8000002"/>
    <n v="1.1120859999999999"/>
    <n v="2.4397860300000001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4"/>
    <x v="0"/>
    <x v="51"/>
    <m/>
    <s v="BOT"/>
    <m/>
    <s v="GOVERNMENT"/>
    <m/>
    <m/>
    <m/>
    <d v="2018-10-18T00:00:00"/>
    <n v="15"/>
    <m/>
    <n v="1.1626540000000001"/>
    <m/>
    <m/>
    <n v="568746368.25"/>
    <m/>
    <n v="568746368.25"/>
    <n v="3.8338999999999998E-2"/>
    <n v="569000000"/>
    <m/>
    <n v="568517424.82000005"/>
    <n v="1.1626540000000001"/>
    <n v="2.6320189000000002E-3"/>
    <s v="CB18O18A"/>
    <m/>
    <s v="Bank of Thailand Bond"/>
    <s v="พันธบัตรธนาคารแห่งประเทศไทยงวดที่ 16/182/61"/>
    <s v="พันธบัตรธนาคารแห่งประเทศไทยงวดที่ 16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9"/>
    <s v=" "/>
    <s v="THAILAND"/>
    <s v="THAILAND"/>
    <s v="TH"/>
    <s v=" "/>
    <n v="0"/>
    <b v="0"/>
    <s v="TRANSFERABLE"/>
    <s v=" "/>
    <s v=" "/>
    <b v="0"/>
    <b v="0"/>
    <m/>
    <m/>
    <s v="TH0655B7SA83"/>
    <m/>
    <m/>
    <m/>
    <m/>
    <m/>
    <m/>
  </r>
  <r>
    <x v="0"/>
    <x v="1"/>
    <x v="0"/>
    <x v="4"/>
    <x v="0"/>
    <x v="52"/>
    <m/>
    <s v="BOT"/>
    <m/>
    <s v="GOVERNMENT"/>
    <m/>
    <m/>
    <m/>
    <d v="2018-10-18T00:00:00"/>
    <n v="15"/>
    <m/>
    <n v="1.318235"/>
    <m/>
    <m/>
    <n v="6013959188.71"/>
    <m/>
    <n v="6013894686.4700003"/>
    <n v="3.8338999999999998E-2"/>
    <n v="6017000000"/>
    <m/>
    <n v="5998593757.8100004"/>
    <n v="1.346217"/>
    <n v="2.7831130400000001E-2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0"/>
    <x v="4"/>
    <x v="0"/>
    <x v="53"/>
    <m/>
    <s v="BOT"/>
    <m/>
    <s v="GOVERNMENT"/>
    <m/>
    <m/>
    <m/>
    <d v="2018-10-25T00:00:00"/>
    <n v="22"/>
    <m/>
    <n v="1.1568210000000001"/>
    <m/>
    <m/>
    <n v="409727296.69999999"/>
    <m/>
    <n v="409727296.69999999"/>
    <n v="5.7495999999999998E-2"/>
    <n v="410000000"/>
    <m/>
    <n v="409565806.44"/>
    <n v="1.1568210000000001"/>
    <n v="1.8961176000000001E-3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0"/>
    <x v="4"/>
    <x v="0"/>
    <x v="54"/>
    <m/>
    <s v="BOT"/>
    <m/>
    <s v="GOVERNMENT"/>
    <m/>
    <m/>
    <m/>
    <d v="2018-10-25T00:00:00"/>
    <n v="22"/>
    <m/>
    <n v="1.2516830000000001"/>
    <m/>
    <m/>
    <n v="7014948197.3999996"/>
    <m/>
    <n v="7014735000"/>
    <n v="5.7495999999999998E-2"/>
    <n v="7020000000"/>
    <m/>
    <n v="6998153843.1099997"/>
    <n v="1.304557"/>
    <n v="3.2463462399999997E-2"/>
    <s v="CB18O25B"/>
    <m/>
    <s v="Bank of Thailand Bond"/>
    <s v="พันธบัตรธนาคารแห่งประเทศไทยงวดที่ 30/91/61"/>
    <s v="พันธบัตรธนาคารแห่งประเทศไทยงวดที่ 3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7"/>
    <s v=" "/>
    <s v="THAILAND"/>
    <s v="THAILAND"/>
    <s v="TH"/>
    <s v=" "/>
    <n v="0"/>
    <b v="0"/>
    <s v="TRANSFERABLE"/>
    <s v=" "/>
    <s v=" "/>
    <b v="0"/>
    <b v="0"/>
    <m/>
    <m/>
    <s v="TH0655G7SA82"/>
    <m/>
    <m/>
    <m/>
    <m/>
    <m/>
    <m/>
  </r>
  <r>
    <x v="0"/>
    <x v="1"/>
    <x v="0"/>
    <x v="4"/>
    <x v="0"/>
    <x v="126"/>
    <m/>
    <s v="BOT"/>
    <m/>
    <s v="GOVERNMENT"/>
    <m/>
    <m/>
    <m/>
    <d v="2019-01-03T00:00:00"/>
    <n v="92"/>
    <m/>
    <n v="1.49"/>
    <m/>
    <m/>
    <n v="301878581.85000002"/>
    <m/>
    <n v="301875663.95999998"/>
    <n v="0.248392"/>
    <n v="303000000"/>
    <m/>
    <n v="301875662.52999997"/>
    <n v="1.4938940000000001"/>
    <n v="1.3970202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0"/>
    <x v="4"/>
    <x v="0"/>
    <x v="55"/>
    <m/>
    <s v="BOT"/>
    <m/>
    <s v="GOVERNMENT"/>
    <m/>
    <m/>
    <m/>
    <d v="2019-01-03T00:00:00"/>
    <n v="92"/>
    <m/>
    <n v="1.490618"/>
    <m/>
    <m/>
    <n v="6394236863.75"/>
    <m/>
    <n v="6394236863.75"/>
    <n v="0.25205499999999997"/>
    <n v="6418000000"/>
    <m/>
    <n v="6394236863.75"/>
    <n v="1.490618"/>
    <n v="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27"/>
    <s v="A+"/>
    <s v="BH"/>
    <s v="LISTED"/>
    <s v="HEALTH"/>
    <s v="A+"/>
    <m/>
    <m/>
    <d v="2018-12-20T00:00:00"/>
    <n v="78"/>
    <n v="4.59"/>
    <n v="1.5007159999999999"/>
    <n v="15000"/>
    <n v="1006.39876"/>
    <n v="15095981.4"/>
    <n v="199947.9"/>
    <n v="15080976.15"/>
    <n v="0.20937"/>
    <n v="15000000"/>
    <m/>
    <n v="15802862.25"/>
    <n v="1.97"/>
    <n v="7.0785799999999996E-5"/>
    <s v="BH18DA"/>
    <m/>
    <s v="BUMRUNGRAD HOSPITAL PCL"/>
    <s v="หุ้นกู้ของ บมจ. โรงพยาบาลบำรุงราษฎร์ ครั้งที่ 1/2554 ชุดที่ 2"/>
    <s v="หุ้นกู้ของ บมจ. โรงพยาบาลบำรุงราษฎร์ ครั้งที่ 1/2554 ชุดที่ 2 ครบกำหนดไถ่ถอนปี พ.ศ. 2561 "/>
    <s v="Bond"/>
    <s v="BH"/>
    <s v="1FxAc365P2B"/>
    <s v="DEBENTURE"/>
    <m/>
    <s v="HEALTH"/>
    <s v="SERVICES"/>
    <s v=" "/>
    <s v="ThaiBMA"/>
    <s v="THB"/>
    <s v=" "/>
    <s v=" "/>
    <s v="P/P"/>
    <s v=" "/>
    <s v="BOND"/>
    <s v="A+"/>
    <n v="5"/>
    <s v="BUMRUNGRAD HOSPITAL PLC."/>
    <s v="บมจ.โรงพยาบาลบำรุงราษฎร์"/>
    <s v="LISTED"/>
    <s v="A+"/>
    <s v=" "/>
    <s v=" "/>
    <s v=" "/>
    <s v=" "/>
    <s v="A+"/>
    <n v="5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0897"/>
    <s v=" "/>
    <s v="THAILAND"/>
    <s v="THAILAND"/>
    <s v="TH"/>
    <s v=" "/>
    <n v="1500"/>
    <b v="0"/>
    <s v="TRANSFERABLE"/>
    <s v=" "/>
    <s v=" "/>
    <b v="0"/>
    <b v="0"/>
    <m/>
    <m/>
    <s v="TH016803SC07"/>
    <m/>
    <m/>
    <m/>
    <m/>
    <m/>
    <m/>
  </r>
  <r>
    <x v="0"/>
    <x v="1"/>
    <x v="0"/>
    <x v="5"/>
    <x v="0"/>
    <x v="128"/>
    <s v="A+"/>
    <s v="BJC"/>
    <s v="LISTED"/>
    <s v="COMMERCE"/>
    <s v="A+"/>
    <m/>
    <m/>
    <d v="2020-06-08T00:00:00"/>
    <n v="614"/>
    <n v="2.71"/>
    <n v="2.6794190000000002"/>
    <n v="50000"/>
    <n v="1000.44073"/>
    <n v="50022036.5"/>
    <n v="438055"/>
    <n v="50750401.5"/>
    <n v="1.616687"/>
    <n v="50000000"/>
    <m/>
    <n v="51013648"/>
    <n v="1.7949999999999999"/>
    <n v="2.335169E-4"/>
    <s v="BJC206A"/>
    <m/>
    <s v="BERLI JUCKER PLC."/>
    <s v="หุ้นกู้ของบริษัท เบอร์ลี่ ยุคเกอร์ จำกัด (มหาชน) ครั้งที่ 2/2559"/>
    <s v="หุ้นกู้ของบริษัท เบอร์ลี่ ยุคเกอร์ จำกัด (มหาชน) ครั้งที่ 2/2559 ชุดที่ 1 ครบกำหนดไถ่ถอนปี พ.ศ. 2563"/>
    <s v="Bond"/>
    <s v="BJC"/>
    <s v="1FxAc365P2B"/>
    <s v="DEBENTURE"/>
    <m/>
    <s v="COMMERCE"/>
    <s v="SERVICES"/>
    <s v=" "/>
    <s v="ThaiBMA"/>
    <s v="THB"/>
    <s v=" "/>
    <s v=" "/>
    <s v="P/P"/>
    <s v=" "/>
    <s v="BOND"/>
    <s v="A+"/>
    <n v="5"/>
    <s v="BERLI JUCKER PLC."/>
    <s v="บมจ.เบอร์ลี่ ยุคเกอร์"/>
    <s v="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712"/>
    <s v=" "/>
    <s v="THAILAND"/>
    <s v="THAILAND"/>
    <s v="TH"/>
    <s v=" "/>
    <n v="10000"/>
    <b v="0"/>
    <s v="TRANSFERABLE"/>
    <s v=" "/>
    <s v=" "/>
    <b v="0"/>
    <b v="0"/>
    <m/>
    <m/>
    <s v="TH000203U604"/>
    <m/>
    <m/>
    <m/>
    <m/>
    <m/>
    <m/>
  </r>
  <r>
    <x v="0"/>
    <x v="1"/>
    <x v="0"/>
    <x v="5"/>
    <x v="0"/>
    <x v="129"/>
    <s v="A"/>
    <s v="BTG"/>
    <s v="UNLISTED"/>
    <s v="AGRIBUSINE"/>
    <s v="A"/>
    <m/>
    <m/>
    <d v="2019-11-14T00:00:00"/>
    <n v="407"/>
    <n v="3.52"/>
    <n v="1.99163"/>
    <n v="8000"/>
    <n v="1016.57147"/>
    <n v="8132571.7599999998"/>
    <n v="110325.44"/>
    <n v="8154046.6399999997"/>
    <n v="1.0761309999999999"/>
    <n v="8000000"/>
    <m/>
    <n v="8202076.3200000003"/>
    <n v="1.75"/>
    <n v="3.8146099999999997E-5"/>
    <s v="BTG19NA"/>
    <m/>
    <s v="BETAGRO PLC."/>
    <s v="หุ้นกู้ของ บมจ. เบทาโกร ครั้งที่ 1/2557 ชุดที่ 2"/>
    <s v="หุ้นกู้ของ บมจ. เบทาโกร ครั้งที่ 1/2557 ชุดที่ 2 ครบกำหนดไถ่ถอนปี พ.ศ. 2562"/>
    <s v="Bond"/>
    <s v="BTG"/>
    <s v="1FxAc365P2B"/>
    <s v="DEBENTURE"/>
    <m/>
    <s v="AGRIBUSINESS"/>
    <s v=" "/>
    <s v=" "/>
    <s v="ThaiBMA"/>
    <s v="THB"/>
    <s v=" "/>
    <s v=" "/>
    <s v="P/P"/>
    <s v=" "/>
    <s v="BOND"/>
    <s v="A"/>
    <n v="6"/>
    <s v="BETAGRO PLC."/>
    <s v="บริษัท เบทาโกร จำกัด (มหาชน) "/>
    <s v="UN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57"/>
    <s v=" "/>
    <s v="THAILAND"/>
    <s v="THAILAND"/>
    <s v="TH"/>
    <s v=" "/>
    <n v="4000"/>
    <b v="0"/>
    <s v="TRANSFERABLE"/>
    <s v=" "/>
    <s v=" "/>
    <b v="0"/>
    <b v="0"/>
    <m/>
    <m/>
    <s v="TH061203TB09"/>
    <m/>
    <m/>
    <m/>
    <m/>
    <m/>
    <m/>
  </r>
  <r>
    <x v="0"/>
    <x v="1"/>
    <x v="0"/>
    <x v="5"/>
    <x v="0"/>
    <x v="56"/>
    <s v="A(tha)"/>
    <s v="CPALL"/>
    <s v="LISTED"/>
    <s v="COMMERCE"/>
    <s v="A+"/>
    <m/>
    <m/>
    <d v="2018-10-31T00:00:00"/>
    <n v="28"/>
    <n v="4.7"/>
    <n v="1.544748"/>
    <n v="40000"/>
    <n v="1002.1191700000001"/>
    <n v="40084766.799999997"/>
    <n v="808657.6"/>
    <n v="40059156.399999999"/>
    <n v="7.3421E-2"/>
    <n v="40000000"/>
    <m/>
    <n v="41756343.200000003"/>
    <n v="2.4"/>
    <n v="1.8924480000000001E-4"/>
    <s v="CPALL18OB"/>
    <m/>
    <s v="CP ALL PLC."/>
    <s v="หุ้นกู้บริษัท ซีพี ออลล์ จำกัด (มหาชน) ครั้งที่ 1/2556 ชุดที่ 6"/>
    <s v="หุ้นกู้บริษัท ซีพี ออลล์ จำกัด (มหาชน) ครั้งที่ 1/2556 ชุดที่ 6 ครบกำหนดไถ่ถอนปี พ.ศ. 2561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78"/>
    <s v=" "/>
    <s v="THAILAND"/>
    <s v="THAILAND"/>
    <s v="TH"/>
    <s v=" "/>
    <n v="10000"/>
    <b v="0"/>
    <s v="TRANSFERABLE"/>
    <s v=" "/>
    <s v=" "/>
    <b v="0"/>
    <b v="0"/>
    <m/>
    <m/>
    <s v="TH0737A3SA02"/>
    <m/>
    <m/>
    <m/>
    <m/>
    <m/>
    <m/>
  </r>
  <r>
    <x v="0"/>
    <x v="1"/>
    <x v="0"/>
    <x v="5"/>
    <x v="0"/>
    <x v="130"/>
    <s v="A(tha)"/>
    <s v="CPALL"/>
    <s v="LISTED"/>
    <s v="COMMERCE"/>
    <s v="A+"/>
    <m/>
    <m/>
    <d v="2019-03-27T00:00:00"/>
    <n v="175"/>
    <n v="4.3"/>
    <n v="1.847267"/>
    <n v="1000"/>
    <n v="1011.76028"/>
    <n v="1011760.28"/>
    <n v="824.66"/>
    <n v="1008173.07"/>
    <n v="0.47234999999999999"/>
    <n v="1000000"/>
    <m/>
    <n v="1035830.77"/>
    <n v="2.6"/>
    <n v="4.6859999999999997E-6"/>
    <s v="CPALL193A"/>
    <m/>
    <s v="CP ALL PLC."/>
    <s v="หุ้นกู้บริษัท ซีพี ออลล์ จำกัด (มหาชน) ครั้งที่ 1/2557 ชุดที่ 2"/>
    <s v="หุ้นกู้บริษัท ซีพี ออลล์ จำกัด (มหาชน) ครั้งที่ 1/2557 ชุดที่ 2 ครบกำหนดไถ่ถอนปี พ.ศ. 2562 ซึ่งใช้หุ้นในบริษัทอื่นเป็นการประกันการชำระหนี้"/>
    <s v="Bond"/>
    <s v="CPALL"/>
    <s v="1FxAc365P2B"/>
    <s v="DEBENTURE"/>
    <m/>
    <s v="COMMERCE"/>
    <s v="SERVICES"/>
    <s v=" "/>
    <s v="ThaiBMA"/>
    <s v="THB"/>
    <s v=" "/>
    <s v=" "/>
    <s v="P/P"/>
    <s v=" "/>
    <s v="BOND"/>
    <s v="A(tha)"/>
    <n v="6"/>
    <s v="C.P.SEVEN ELEVEN PLC."/>
    <s v="บมจ.ซีพี ออลล์"/>
    <s v="LISTED"/>
    <s v="A+"/>
    <s v="A(tha)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725"/>
    <s v=" "/>
    <s v="THAILAND"/>
    <s v="THAILAND"/>
    <s v="TH"/>
    <s v=" "/>
    <n v="10000"/>
    <b v="0"/>
    <s v="TRANSFERABLE"/>
    <s v=" "/>
    <s v=" "/>
    <b v="0"/>
    <b v="0"/>
    <m/>
    <m/>
    <s v="TH073703T300"/>
    <m/>
    <m/>
    <m/>
    <m/>
    <m/>
    <m/>
  </r>
  <r>
    <x v="0"/>
    <x v="1"/>
    <x v="0"/>
    <x v="5"/>
    <x v="0"/>
    <x v="131"/>
    <s v="BBB+"/>
    <s v="DMT"/>
    <s v="LISTED"/>
    <s v="TRANSPORTA"/>
    <s v="BBB+"/>
    <m/>
    <m/>
    <d v="2018-11-30T00:00:00"/>
    <n v="58"/>
    <n v="2.33"/>
    <n v="1.8622840000000001"/>
    <n v="70000"/>
    <n v="1000.61862"/>
    <n v="70043303.400000006"/>
    <n v="567498.4"/>
    <n v="70000000"/>
    <n v="0.15474299999999999"/>
    <n v="70000000"/>
    <m/>
    <n v="70000000"/>
    <n v="2.33"/>
    <n v="3.2676949999999998E-4"/>
    <s v="DMT18NB"/>
    <m/>
    <s v="DON MUANG TOLLWAY PUBLIC COMPANY LIMITED"/>
    <s v="หุ้นกู้ของบริษัท ทางยกระดับดอนเมือง จำกัด (มหาชน) ครั้งที่ 1/2560 ชุดที่ 1 "/>
    <s v="หุ้นกู้ของบริษัท ทางยกระดับดอนเมือง จำกัด (มหาชน) ครั้งที่ 1/2560 ชุดที่ 1 ครบกำหนดไถ่ถอนปี พ.ศ. 2561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7SB09"/>
    <m/>
    <m/>
    <m/>
    <m/>
    <m/>
    <m/>
  </r>
  <r>
    <x v="0"/>
    <x v="1"/>
    <x v="0"/>
    <x v="5"/>
    <x v="0"/>
    <x v="132"/>
    <s v="BBB+"/>
    <s v="DMT"/>
    <s v="LISTED"/>
    <s v="TRANSPORTA"/>
    <s v="BBB+"/>
    <m/>
    <m/>
    <d v="2020-11-30T00:00:00"/>
    <n v="789"/>
    <n v="3.08"/>
    <n v="3.4115500000000001"/>
    <n v="69000"/>
    <n v="993.00928999999996"/>
    <n v="68517641.010000005"/>
    <n v="739452.99"/>
    <n v="69000000"/>
    <n v="2.0462199999999999"/>
    <n v="69000000"/>
    <m/>
    <n v="69000000"/>
    <n v="3.08"/>
    <n v="3.2050489999999997E-4"/>
    <s v="DMT20NA"/>
    <m/>
    <s v="DON MUANG TOLLWAY PUBLIC COMPANY LIMITED"/>
    <s v="หุ้นกู้ของบริษัท ทางยกระดับดอนเมือง จำกัด (มหาชน) ครั้งที่ 1/2560 ชุดที่ 2 "/>
    <s v="หุ้นกู้ของบริษัท ทางยกระดับดอนเมือง จำกัด (มหาชน) ครั้งที่ 1/2560 ชุดที่ 2 ครบกำหนดไถ่ถอนปี พ.ศ. 2563"/>
    <s v="Bond"/>
    <s v="DMT"/>
    <s v="1FxAc365P2B"/>
    <s v="DEBENTURE"/>
    <m/>
    <s v="TRANSPORTATION"/>
    <s v="SERVICES"/>
    <s v=" "/>
    <s v="ThaiBMA"/>
    <s v="THB"/>
    <s v=" "/>
    <s v=" "/>
    <s v="P/P"/>
    <s v=" "/>
    <s v="BOND"/>
    <s v="BBB+"/>
    <n v="8"/>
    <s v="DON MUANG TOLLWAY PLC."/>
    <s v="บริษัท ทางยกระดับดอนเมือง จำกัด (มหาชน)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069"/>
    <s v=" "/>
    <s v="THAILAND"/>
    <s v="THAILAND"/>
    <s v="TH"/>
    <s v=" "/>
    <n v="600"/>
    <b v="0"/>
    <s v="TRANSFERABLE"/>
    <s v=" "/>
    <s v=" "/>
    <b v="0"/>
    <b v="0"/>
    <m/>
    <m/>
    <s v="TH105403UB09"/>
    <m/>
    <m/>
    <m/>
    <m/>
    <m/>
    <m/>
  </r>
  <r>
    <x v="0"/>
    <x v="1"/>
    <x v="0"/>
    <x v="5"/>
    <x v="0"/>
    <x v="133"/>
    <m/>
    <s v="GOLD"/>
    <s v="LISTED"/>
    <s v="PROPERTY"/>
    <s v="BBB+"/>
    <m/>
    <m/>
    <d v="2019-11-23T00:00:00"/>
    <n v="416"/>
    <n v="3.35"/>
    <n v="2.873605"/>
    <n v="313000"/>
    <n v="1005.13024"/>
    <n v="314605765.12"/>
    <n v="3849471.19"/>
    <n v="313000000"/>
    <n v="1.096746"/>
    <n v="313000000"/>
    <m/>
    <n v="313000000"/>
    <n v="3.35"/>
    <n v="1.4737328E-3"/>
    <s v="GOLD19NA"/>
    <m/>
    <s v="GOLDEN LAND PROPERTY DEVELOPMENT PLC."/>
    <s v="หุ้นกู้ของบริษัท แผ่นดินทอง พร็อพเพอร์ตี้ ดีเวลลอปเม้นท์ จำกัด (มหาชน) ครั้งที่ 1/2559"/>
    <s v="หุ้นกู้ของบริษัท แผ่นดินทอง พร็อพเพอร์ตี้ ดีเวลลอปเม้นท์ จำกัด (มหาชน) ครั้งที่ 1/2559 ครบกำหนดไถ่ถอนปี พ.ศ. 2562"/>
    <s v="Bond"/>
    <s v="GOLD"/>
    <s v="1FxAc365P2B"/>
    <s v="DEBENTURE"/>
    <m/>
    <s v="PROPERTY"/>
    <s v="PROPERTY &amp; CON"/>
    <s v=" "/>
    <s v="ThaiBMA"/>
    <s v="THB"/>
    <s v=" "/>
    <s v=" "/>
    <s v="P/P"/>
    <s v=" "/>
    <s v="BOND"/>
    <m/>
    <m/>
    <s v="GOLDEN LAND PROPERTY DEVELOPMENT PLC."/>
    <s v="บมจ.แผ่นดินทอง พร็อพเพอร์ตี้ ดีเวลลอปเม้นท์"/>
    <s v="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697"/>
    <s v=" "/>
    <s v="THAILAND"/>
    <s v="THAILAND"/>
    <s v="TH"/>
    <s v=" "/>
    <n v="3400"/>
    <b v="0"/>
    <s v="TRANSFERABLE"/>
    <s v=" "/>
    <s v=" "/>
    <b v="0"/>
    <b v="0"/>
    <m/>
    <m/>
    <s v="TH040003TB05"/>
    <m/>
    <m/>
    <m/>
    <m/>
    <m/>
    <m/>
  </r>
  <r>
    <x v="0"/>
    <x v="1"/>
    <x v="0"/>
    <x v="5"/>
    <x v="0"/>
    <x v="134"/>
    <s v="AAA(tha)"/>
    <s v="ICBCTL"/>
    <s v="UNLISTED"/>
    <s v="FIN &amp; SEC."/>
    <s v="AAA(tha)"/>
    <m/>
    <m/>
    <d v="2019-11-26T00:00:00"/>
    <n v="419"/>
    <n v="2.15"/>
    <n v="2.108511"/>
    <n v="10000"/>
    <n v="1000.36703"/>
    <n v="10003670.300000001"/>
    <n v="77164.399999999994"/>
    <n v="10070288.1"/>
    <n v="1.117532"/>
    <n v="10000000"/>
    <m/>
    <n v="10101613.1"/>
    <n v="1.52"/>
    <n v="4.6651599999999999E-5"/>
    <s v="ICBCTL19NA"/>
    <m/>
    <s v="ICBC (Thai) Leasing Company Limited"/>
    <s v="หุ้นกู้ของ บริษัท ลีสซิ่งไอซีบีซี (ไทย) จำกัด ครั้งที่ 1/2560 ชุดที่ 1 "/>
    <s v="หุ้นกู้ของ บริษัท ลีสซิ่งไอซีบีซี (ไทย) จำกัด ครั้งที่ 1/2560 ชุดที่ 1 ครบกำหนดไถ่ถอนปี พ.ศ. 2562"/>
    <s v="Bond"/>
    <s v="ICBCTL"/>
    <s v="1FxAc365P2B"/>
    <s v="DEBENTURE"/>
    <m/>
    <s v="FIN &amp; SEC."/>
    <s v="FINANCIALS"/>
    <s v=" "/>
    <s v="ThaiBMA"/>
    <s v="THB"/>
    <s v=" "/>
    <s v=" "/>
    <s v="P/P"/>
    <s v=" "/>
    <s v="BOND"/>
    <s v="AAA(tha)"/>
    <n v="1"/>
    <s v="ICBC (THAI) LEASING COMPANY LIMITED"/>
    <s v="บริษัท ลีสซิ่งไอซีบีซี (ไทย) จำกัด"/>
    <s v="UNLISTED"/>
    <s v=" "/>
    <s v="AAA(tha)"/>
    <s v="YES"/>
    <s v=" "/>
    <s v=" "/>
    <s v="AAA(tha)"/>
    <n v="1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1"/>
    <s v=" "/>
    <s v="THAILAND"/>
    <s v="THAILAND"/>
    <s v="TH"/>
    <s v=" "/>
    <n v="1100"/>
    <b v="0"/>
    <s v="TRANSFERABLE"/>
    <s v=" "/>
    <s v=" "/>
    <b v="0"/>
    <b v="0"/>
    <m/>
    <m/>
    <s v="TH386103TB01"/>
    <m/>
    <m/>
    <m/>
    <m/>
    <m/>
    <m/>
  </r>
  <r>
    <x v="0"/>
    <x v="1"/>
    <x v="0"/>
    <x v="5"/>
    <x v="0"/>
    <x v="135"/>
    <m/>
    <s v="KKP"/>
    <s v="LISTED"/>
    <s v="BANKING"/>
    <s v="A-"/>
    <m/>
    <m/>
    <d v="2018-11-15T00:00:00"/>
    <n v="43"/>
    <n v="1.6"/>
    <n v="1.481109"/>
    <n v="500000"/>
    <n v="1000.11987"/>
    <n v="500059935"/>
    <n v="4909590"/>
    <n v="500000000"/>
    <n v="0.114885"/>
    <n v="500000000"/>
    <m/>
    <n v="500000000"/>
    <n v="1.6"/>
    <n v="2.3368753000000001E-3"/>
    <s v="KK18N15A"/>
    <m/>
    <s v="KIATNAKIN BANK PLC."/>
    <s v="หุ้นกู้ระยะสั้น ธนาคารเกียรตินาคิน จำกัด (มหาชน) ครั้งที่ 30/2561"/>
    <s v="หุ้นกู้ระยะสั้น ธนาคารเกียรตินาคิน จำกัด (มหาชน) ครั้งที่ 30/2561 มูลค่า 500.00 ล้านบาท ครบกำหนดไถ่ถอนวันที่ 15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3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6"/>
    <m/>
    <s v="KKP"/>
    <s v="LISTED"/>
    <s v="BANKING"/>
    <s v="A-"/>
    <m/>
    <m/>
    <d v="2018-11-20T00:00:00"/>
    <n v="48"/>
    <n v="1.6"/>
    <n v="1.47966"/>
    <n v="500000"/>
    <n v="1000.13632"/>
    <n v="500068160"/>
    <n v="4821920"/>
    <n v="500000000"/>
    <n v="0.12853500000000001"/>
    <n v="500000000"/>
    <m/>
    <n v="500000000"/>
    <n v="1.6"/>
    <n v="2.3365077000000001E-3"/>
    <s v="KK18N20A"/>
    <m/>
    <s v="KIATNAKIN BANK PLC."/>
    <s v="หุ้นกู้ระยะสั้น ธนาคารเกียรตินาคิน จำกัด (มหาชน) ครั้งที่ 31/2561"/>
    <s v="หุ้นกู้ระยะสั้น ธนาคารเกียรตินาคิน จำกัด (มหาชน) ครั้งที่ 31/2561 มูลค่า 500.00 ล้านบาท ครบกำหนดไถ่ถอนวันที่ 2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7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7"/>
    <m/>
    <s v="KKP"/>
    <s v="LISTED"/>
    <s v="BANKING"/>
    <s v="A-"/>
    <m/>
    <m/>
    <d v="2018-11-22T00:00:00"/>
    <n v="50"/>
    <n v="1.6"/>
    <n v="1.48692"/>
    <n v="500000"/>
    <n v="1000.13238"/>
    <n v="500066190"/>
    <n v="4800000"/>
    <n v="500000000"/>
    <n v="0.133994"/>
    <n v="500000000"/>
    <m/>
    <n v="500000000"/>
    <n v="1.6"/>
    <n v="2.3363971000000001E-3"/>
    <s v="KK18N22A"/>
    <m/>
    <s v="KIATNAKIN BANK PLC."/>
    <s v="หุ้นกู้ระยะสั้น ธนาคารเกียรตินาคิน จำกัด (มหาชน) ครั้งที่ 32/2561 มูลค่า 500.00 ล้านบาท "/>
    <s v="หุ้นกู้ระยะสั้น ธนาคารเกียรตินาคิน จำกัด (มหาชน) ครั้งที่ 32/2561 มูลค่า 500.00 ล้านบาท ครบกำหนดไถ่ถอนวันที่ 22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8"/>
    <m/>
    <s v="KKP"/>
    <s v="LISTED"/>
    <s v="BANKING"/>
    <s v="A-"/>
    <m/>
    <m/>
    <d v="2018-11-23T00:00:00"/>
    <n v="51"/>
    <n v="1.6"/>
    <n v="1.489452"/>
    <n v="500000"/>
    <n v="1000.13158"/>
    <n v="500065790"/>
    <n v="4800000"/>
    <n v="500000000"/>
    <n v="0.13672300000000001"/>
    <n v="500000000"/>
    <m/>
    <n v="500000000"/>
    <n v="1.6"/>
    <n v="2.3363951999999999E-3"/>
    <s v="KK18N23A"/>
    <m/>
    <s v="KIATNAKIN BANK PLC."/>
    <s v="หุ้นกู้ระยะสั้น ธนาคารเกียรตินาคิน จำกัด (มหาชน) ครั้งที่ 33/2561 มูลค่า 500.00 ล้านบาท "/>
    <s v="หุ้นกู้ระยะสั้น ธนาคารเกียรตินาคิน จำกัด (มหาชน) ครั้งที่ 33/2561 มูลค่า 500.00 ล้านบาท ครบกำหนดไถ่ถอนวันที่ 23 พฤศจิกายน 2561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8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39"/>
    <m/>
    <s v="KKP"/>
    <s v="LISTED"/>
    <s v="BANKING"/>
    <s v="A-"/>
    <m/>
    <m/>
    <d v="2018-11-30T00:00:00"/>
    <n v="58"/>
    <n v="1.6"/>
    <n v="1.468547"/>
    <n v="130000"/>
    <n v="1000.18364"/>
    <n v="130023873.2"/>
    <n v="1202411.6000000001"/>
    <n v="130000000"/>
    <n v="0.15581700000000001"/>
    <n v="130000000"/>
    <m/>
    <n v="130000000"/>
    <n v="1.6"/>
    <n v="6.0728310000000005E-4"/>
    <s v="KK18N30B"/>
    <m/>
    <s v="KIATNAKIN BANK PLC."/>
    <s v="หุ้นกู้ระยะสั้น ธนาคารเกียรตินาคิน จำกัด (มหาชน) ครั้งที่ 44/2561"/>
    <s v="หุ้นกู้ระยะสั้น ธนาคารเกียรตินาคิน จำกัด (มหาชน) ครั้งที่ 44/2561 มูลค่า 130.00 ล้านบาท ครบกำหนดไถ่ถอนวันที่ 30 พฤศจิกายน 2561 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0"/>
    <m/>
    <s v="KKP"/>
    <s v="LISTED"/>
    <s v="BANKING"/>
    <s v="A-"/>
    <m/>
    <m/>
    <d v="2019-01-18T00:00:00"/>
    <n v="107"/>
    <n v="1.6"/>
    <n v="1.5710409999999999"/>
    <n v="200000"/>
    <n v="1000.05126"/>
    <n v="200010252"/>
    <n v="1429042"/>
    <n v="200000000"/>
    <n v="0.28909200000000002"/>
    <n v="200000000"/>
    <m/>
    <n v="200000000"/>
    <n v="1.6"/>
    <n v="9.3221169999999998E-4"/>
    <s v="KK19118A"/>
    <m/>
    <s v="KIATNAKIN BANK PLC."/>
    <s v="หุ้นกู้ระยะสั้น ธนาคารเกียรตินาคิน จำกัด (มหาชน) ครั้งที่ 77/2561 มูลค่า 200.00 ล้านบาท "/>
    <s v="หุ้นกู้ระยะสั้น ธนาคารเกียรตินาคิน จำกัด (มหาชน) ครั้งที่ 77/2561 มูลค่า 2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4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1"/>
    <m/>
    <s v="KKP"/>
    <s v="LISTED"/>
    <s v="BANKING"/>
    <s v="A-"/>
    <m/>
    <m/>
    <d v="2019-01-18T00:00:00"/>
    <n v="107"/>
    <n v="1.6"/>
    <n v="1.5710409999999999"/>
    <n v="850000"/>
    <n v="1000.05147"/>
    <n v="850043749.5"/>
    <n v="6036164.5"/>
    <n v="850000000"/>
    <n v="0.28909200000000002"/>
    <n v="850000000"/>
    <m/>
    <n v="850000000"/>
    <n v="1.6"/>
    <n v="3.9617282000000004E-3"/>
    <s v="KK19118B"/>
    <m/>
    <s v="KIATNAKIN BANK PLC."/>
    <s v="หุ้นกู้ระยะสั้น ธนาคารเกียรตินาคิน จำกัด (มหาชน) ครั้งที่ 78/2561 มูลค่า 1,000.00 ล้านบาท "/>
    <s v="หุ้นกู้ระยะสั้น ธนาคารเกียรตินาคิน จำกัด (มหาชน) ครั้งที่ 78/2561 มูลค่า 1,000.00 ล้านบาท ครบกำหนดไถ่ถอนวันที่ 18 มกราคม 2562"/>
    <s v="Bond"/>
    <s v="KKP"/>
    <s v="0SdAc365C"/>
    <s v="DEBENTURE"/>
    <m/>
    <s v="BANKING"/>
    <s v="FINANCIALS"/>
    <s v=" "/>
    <s v="ThaiBMA"/>
    <s v="THB"/>
    <s v=" "/>
    <s v=" "/>
    <s v="P/P"/>
    <s v=" "/>
    <s v="BOND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5"/>
    <s v=" "/>
    <s v="THAILAND"/>
    <s v="THAILAND"/>
    <s v="TH"/>
    <s v=" "/>
    <n v="16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2"/>
    <s v="A-"/>
    <s v="KKP"/>
    <s v="LISTED"/>
    <s v="BANKING"/>
    <s v="A-"/>
    <m/>
    <m/>
    <d v="2020-03-20T00:00:00"/>
    <n v="534"/>
    <n v="1.72"/>
    <n v="2.2653089999999998"/>
    <n v="925000"/>
    <n v="992.29187000000002"/>
    <n v="917869979.75"/>
    <n v="610250.25"/>
    <n v="925000000"/>
    <n v="1.4285429999999999"/>
    <n v="925000000"/>
    <m/>
    <n v="925000000"/>
    <n v="1.72"/>
    <n v="4.2505015999999996E-3"/>
    <s v="KK203A"/>
    <m/>
    <s v="KIATNAKIN BANK PLC."/>
    <s v="หุ้นกู้ของธนาคารเกียรตินาคิน จำกัด (มหาชน) ครั้งที่ 2/2561 "/>
    <s v="หุ้นกู้ของธนาคารเกียรตินาคิน จำกัด (มหาชน) ครั้งที่ 2/2561 ครบกำหนดไถ่ถอนปี พ.ศ. 2563"/>
    <s v="Bond"/>
    <s v="KKP"/>
    <s v="1FxAc365P2B"/>
    <s v="DEBENTURE"/>
    <m/>
    <s v="BANKING"/>
    <s v="FINANCIALS"/>
    <s v=" "/>
    <s v="ThaiBMA"/>
    <s v="THB"/>
    <s v=" "/>
    <s v=" "/>
    <s v="P/P"/>
    <s v=" "/>
    <s v="BOND"/>
    <s v="A-"/>
    <n v="7"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9"/>
    <s v=" "/>
    <s v="THAILAND"/>
    <s v="THAILAND"/>
    <s v="TH"/>
    <s v=" "/>
    <n v="16000"/>
    <b v="0"/>
    <s v="TRANSFERABLE"/>
    <s v=" "/>
    <s v=" "/>
    <b v="0"/>
    <b v="0"/>
    <m/>
    <m/>
    <s v="TH012103U305"/>
    <m/>
    <m/>
    <m/>
    <m/>
    <m/>
    <m/>
  </r>
  <r>
    <x v="0"/>
    <x v="1"/>
    <x v="0"/>
    <x v="5"/>
    <x v="0"/>
    <x v="143"/>
    <m/>
    <s v="LHB"/>
    <s v="UNLISTED"/>
    <s v="BANKING"/>
    <s v="A-"/>
    <m/>
    <m/>
    <d v="2019-09-30T00:00:00"/>
    <n v="362"/>
    <n v="1.7"/>
    <n v="2.1571600000000002"/>
    <n v="1159000"/>
    <n v="995.63692000000003"/>
    <n v="1153943190.28"/>
    <n v="215921.7"/>
    <n v="1159000000"/>
    <n v="0.97024299999999997"/>
    <n v="1159000000"/>
    <m/>
    <n v="1159000000"/>
    <n v="1.7"/>
    <n v="5.3411657E-3"/>
    <s v="LHBANK199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"/>
    <s v="หุ้นกู้ไม่ด้อยสิทธิ และไม่มีประกันของ ธนาคารแลนด์ แอนด์ เฮ้าส์ จำกัด (มหาชน) ครั้งที่ 1/2561 ชุดที่ 1 ครบกำหนดไถ่ถอนปี พ.ศ.2562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4"/>
    <m/>
    <s v="LHB"/>
    <s v="UNLISTED"/>
    <s v="BANKING"/>
    <s v="A-"/>
    <m/>
    <m/>
    <d v="2020-03-30T00:00:00"/>
    <n v="544"/>
    <n v="1.75"/>
    <n v="2.281263"/>
    <n v="160000"/>
    <n v="992.35686999999996"/>
    <n v="158777099.19999999"/>
    <n v="30684.799999999999"/>
    <n v="160000000"/>
    <n v="1.4553020000000001"/>
    <n v="160000000"/>
    <m/>
    <n v="160000000"/>
    <n v="1.75"/>
    <n v="7.3492350000000002E-4"/>
    <s v="LHBANK203A"/>
    <m/>
    <s v="LAND AND HOUSES BANK PLC.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"/>
    <s v="หุ้นกู้ไม่ด้อยสิทธิ และไม่มีประกันของ ธนาคารแลนด์ แอนด์ เฮ้าส์ จำกัด (มหาชน) ครั้งที่ 1/2561 ชุดที่ 2 ครบกำหนดไถ่ถอนปี พ.ศ.2563"/>
    <s v="Bond"/>
    <s v="LHB"/>
    <s v="1FxAc365P2B"/>
    <s v="DEBENTURE"/>
    <m/>
    <s v="BANKING"/>
    <s v="FINANCIALS"/>
    <s v=" "/>
    <s v="ThaiBMA"/>
    <s v="THB"/>
    <s v=" "/>
    <s v=" "/>
    <s v="P/P"/>
    <s v=" "/>
    <s v="BOND"/>
    <m/>
    <m/>
    <s v="LAND &amp; HOUSES BANK PLC."/>
    <s v="บมจ.ธนาคารแลนด์ แอนด์ เฮ้าส์"/>
    <s v="UN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1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5"/>
    <s v="A+"/>
    <s v="MP"/>
    <s v="UNLISTED"/>
    <s v="AGRIBUSINE"/>
    <s v="A+"/>
    <m/>
    <m/>
    <d v="2018-10-17T00:00:00"/>
    <n v="14"/>
    <n v="4.53"/>
    <n v="1.5024999999999999"/>
    <n v="70000"/>
    <n v="1001.0063"/>
    <n v="70070441"/>
    <n v="1476904.1"/>
    <n v="70056386.400000006"/>
    <n v="3.5357E-2"/>
    <n v="70000000"/>
    <m/>
    <n v="73246362"/>
    <n v="2.0590000000000002"/>
    <n v="3.3110360000000001E-4"/>
    <s v="MPSC18OA"/>
    <m/>
    <s v="MITR PHOL SUGAR CORPORATION LIMITED."/>
    <s v="หุ้นกู้ของบริษัท น้ำตาลมิตรผล จำกัด ครั้งที่ 3/2556 ชุดที่ 2"/>
    <s v="หุ้นกู้ของบริษัท น้ำตาลมิตรผล จำกัด ครั้งที่ 3/2556 ชุดที่ 2 ครบกำหนดไถ่ถอนปี พ.ศ. 2561 "/>
    <s v="Bond"/>
    <s v="MP"/>
    <s v="1FxAc365P2B"/>
    <s v="DEBENTURE"/>
    <m/>
    <s v="AGRIBUSINESS"/>
    <s v="AGRO &amp; FOOD"/>
    <s v=" "/>
    <s v="ThaiBMA"/>
    <s v="THB"/>
    <s v=" "/>
    <s v=" "/>
    <s v="P/P"/>
    <s v=" "/>
    <s v="BOND"/>
    <s v="A+"/>
    <n v="5"/>
    <s v="MITR PHOL SUGAR CO.,LTD."/>
    <s v="บจก.น้ำตาลมิตรผล"/>
    <s v="UNLISTED"/>
    <s v="A+"/>
    <s v=" "/>
    <s v=" "/>
    <s v=" "/>
    <s v=" "/>
    <s v="A+"/>
    <n v="5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564"/>
    <s v=" "/>
    <s v="THAILAND"/>
    <s v="THAILAND"/>
    <s v="TH"/>
    <s v=" "/>
    <n v="17000"/>
    <b v="0"/>
    <s v="TRANSFERABLE"/>
    <s v=" "/>
    <s v=" "/>
    <b v="0"/>
    <b v="0"/>
    <m/>
    <m/>
    <s v="TH096903SA00"/>
    <m/>
    <m/>
    <m/>
    <m/>
    <m/>
    <m/>
  </r>
  <r>
    <x v="0"/>
    <x v="1"/>
    <x v="0"/>
    <x v="5"/>
    <x v="0"/>
    <x v="146"/>
    <s v="A"/>
    <s v="PS"/>
    <s v="LISTED"/>
    <s v="PROPERTY"/>
    <s v="A"/>
    <m/>
    <m/>
    <d v="2018-11-13T00:00:00"/>
    <n v="41"/>
    <n v="2.68"/>
    <n v="1.459903"/>
    <n v="13500"/>
    <n v="1001.27552"/>
    <n v="13517219.52"/>
    <n v="51544.08"/>
    <n v="13506786.720000001"/>
    <n v="0.109195"/>
    <n v="13500000"/>
    <m/>
    <n v="13623817.58"/>
    <n v="2.1649630000000002"/>
    <n v="6.27929E-5"/>
    <s v="PS18NA"/>
    <m/>
    <s v="PREUKSA REAL ESTATE PLC."/>
    <s v="หุ้นกู้ของ บริษัท พฤกษา เรียลเอสเตท จำกัด (มหาชน) ครั้งที่ 1/2558 ชุดที่ 1"/>
    <s v="หุ้นกู้ของ บริษัท พฤกษา เรียลเอสเตท จำกัด (มหาชน) ครั้งที่ 1/2558 ชุดที่ 1 ครบกำหนดไถ่ถอนปี พ.ศ. 2561"/>
    <s v="Bond"/>
    <s v="PS"/>
    <s v="1FxAc365P4B"/>
    <s v="DEBENTURE"/>
    <m/>
    <s v="PROPERTY"/>
    <s v="PROPERTY &amp; CON"/>
    <s v=" "/>
    <s v="ThaiBMA"/>
    <s v="THB"/>
    <s v=" "/>
    <s v=" "/>
    <s v="P/O"/>
    <s v=" "/>
    <s v="BOND"/>
    <s v="A"/>
    <n v="6"/>
    <s v="PREUKSA REAL ESTATE CO.,LTD."/>
    <s v="บมจ.พฤกษา เรียลเอสเตท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137"/>
    <s v=" "/>
    <s v="THAILAND"/>
    <s v="THAILAND"/>
    <s v="TH"/>
    <s v=" "/>
    <n v="7000"/>
    <b v="0"/>
    <s v="TRANSFERABLE"/>
    <s v=" "/>
    <s v=" "/>
    <b v="0"/>
    <b v="0"/>
    <m/>
    <m/>
    <s v="TH087803SB09"/>
    <m/>
    <m/>
    <m/>
    <m/>
    <m/>
    <m/>
  </r>
  <r>
    <x v="0"/>
    <x v="1"/>
    <x v="0"/>
    <x v="5"/>
    <x v="0"/>
    <x v="147"/>
    <s v="A-"/>
    <s v="QH"/>
    <s v="LISTED"/>
    <s v="PROPERTY"/>
    <s v="A-"/>
    <m/>
    <m/>
    <d v="2021-03-05T00:00:00"/>
    <n v="884"/>
    <n v="2.16"/>
    <n v="2.6300370000000002"/>
    <n v="363000"/>
    <n v="989.14369999999997"/>
    <n v="359059163.10000002"/>
    <n v="622966.07999999996"/>
    <n v="363000000"/>
    <n v="2.3325520000000002"/>
    <n v="363000000"/>
    <m/>
    <n v="363000000"/>
    <n v="2.16"/>
    <n v="1.6645207999999999E-3"/>
    <s v="QH213A"/>
    <m/>
    <s v="QUALITY HOUSES PLC."/>
    <s v="หุ้นกู้ไม่ด้อยสิทธิและไม่มีประกันของบริษัท ควอลิตี้เฮ้าส์ จำกัด (มหาชน) ครั้งที่ 1/2561"/>
    <s v="หุ้นกู้ไม่ด้อยสิทธิและไม่มีประกันของบริษัท ควอลิตี้เฮ้าส์ จำกัด (มหาชน) ครั้งที่ 1/2561 ครบกำหนดไถ่ถอนปี 2564"/>
    <s v="Bond"/>
    <s v="QH"/>
    <s v="1FxAc365P2B"/>
    <s v="DEBENTURE"/>
    <m/>
    <s v="PROPERTY"/>
    <s v="PROPERTY &amp; CON"/>
    <s v=" "/>
    <s v="ThaiBMA"/>
    <s v="THB"/>
    <s v=" "/>
    <s v=" "/>
    <s v="P/P"/>
    <s v=" "/>
    <s v="BOND"/>
    <s v="A-"/>
    <n v="7"/>
    <s v="QUALITY HOUSES PLC."/>
    <s v="บมจ.ควอลิตี้เฮ้าส์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4"/>
    <s v=" "/>
    <s v="THAILAND"/>
    <s v="THAILAND"/>
    <s v="TH"/>
    <s v=" "/>
    <n v="3000"/>
    <b v="0"/>
    <s v="TRANSFERABLE"/>
    <s v=" "/>
    <s v=" "/>
    <b v="0"/>
    <b v="0"/>
    <m/>
    <m/>
    <s v="TH0256031301"/>
    <m/>
    <m/>
    <m/>
    <m/>
    <m/>
    <m/>
  </r>
  <r>
    <x v="0"/>
    <x v="1"/>
    <x v="0"/>
    <x v="5"/>
    <x v="0"/>
    <x v="148"/>
    <s v="F1+(tha)"/>
    <s v="SCB"/>
    <s v="LISTED"/>
    <s v="BANKING"/>
    <s v="AA+(tha)"/>
    <m/>
    <m/>
    <d v="2019-02-18T00:00:00"/>
    <n v="138"/>
    <n v="1.6"/>
    <n v="1.565096"/>
    <n v="616000"/>
    <n v="1000.11796"/>
    <n v="616072663.36000001"/>
    <n v="1296131.76"/>
    <n v="616000000"/>
    <n v="0.37314999999999998"/>
    <n v="616000000"/>
    <m/>
    <n v="616000000"/>
    <n v="1.6"/>
    <n v="2.8570316000000001E-3"/>
    <s v="SCB19218A"/>
    <m/>
    <s v="SIAM COMMERCIAL BANK PLC."/>
    <s v="หุ้นกู้ระยะสั้นของธนาคารไทยพาณิชย์ จำกัด (มหาชน) ชุดที่ 1"/>
    <s v="หุ้นกู้ระยะสั้นของธนาคารไทยพาณิชย์ จำกัด (มหาชน) ชุดที่ 1 ครบกำหนดไถ่ถอน วันที่ 18 กุมภาพันธ์ พ.ศ. 2562 "/>
    <s v="Bond"/>
    <s v="SCB"/>
    <s v="0SdAc365C"/>
    <s v="DEBENTURE"/>
    <m/>
    <s v="BANKING"/>
    <s v="FINANCIALS"/>
    <s v=" "/>
    <s v="ThaiBMA"/>
    <s v="THB"/>
    <s v=" "/>
    <s v=" "/>
    <s v="P/P"/>
    <s v=" "/>
    <s v="BOND"/>
    <s v="F1+(tha)"/>
    <n v="1"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9"/>
    <s v=" "/>
    <s v="THAILAND"/>
    <s v="THAILAND"/>
    <s v="TH"/>
    <s v=" "/>
    <n v="5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49"/>
    <s v="A"/>
    <s v="SPALI"/>
    <s v="LISTED"/>
    <s v="PROPERTY"/>
    <s v="A"/>
    <m/>
    <m/>
    <d v="2021-03-15T00:00:00"/>
    <n v="894"/>
    <n v="2.09"/>
    <n v="2.47255"/>
    <n v="113000"/>
    <n v="991.06142"/>
    <n v="111989940.45999999"/>
    <n v="122938.35"/>
    <n v="113000000"/>
    <n v="2.3631609999999998"/>
    <n v="113000000"/>
    <m/>
    <n v="113000000"/>
    <n v="2.09"/>
    <n v="5.1883090000000005E-4"/>
    <s v="SPALI213A"/>
    <m/>
    <s v="SUPALAI PUBLIC COMPANY LIMITED"/>
    <s v="หุ้นกู้ของบริษัท ศุภาลัย จำกัด (มหาชน)  ครั้งที่ 1/2561"/>
    <s v="หุ้นกู้ของบริษัท ศุภาลัย จำกัด (มหาชน) ครั้งที่ 1/2561 ครบกำหนดไถ่ถอนปี พ.ศ. 2564"/>
    <s v="Bond"/>
    <s v="SPALI"/>
    <s v="1FxAc365P2B"/>
    <s v="DEBENTURE"/>
    <m/>
    <s v="PROPERTY"/>
    <s v="PROPERTY &amp; CON"/>
    <s v=" "/>
    <s v="ThaiBMA"/>
    <s v="THB"/>
    <s v=" "/>
    <s v=" "/>
    <s v="P/P"/>
    <s v=" "/>
    <s v="BOND"/>
    <s v="A"/>
    <n v="6"/>
    <s v="SUPALAI PLC."/>
    <s v="บมจ.ศุภาลัย"/>
    <s v="LISTED"/>
    <s v="A"/>
    <s v=" "/>
    <s v=" "/>
    <s v=" "/>
    <s v=" "/>
    <s v="A"/>
    <n v="6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74"/>
    <s v=" "/>
    <s v="THAILAND"/>
    <s v="THAILAND"/>
    <s v="TH"/>
    <s v=" "/>
    <n v="7000"/>
    <b v="0"/>
    <s v="TRANSFERABLE"/>
    <s v=" "/>
    <s v=" "/>
    <b v="0"/>
    <b v="0"/>
    <m/>
    <m/>
    <s v="TH0371031301"/>
    <m/>
    <m/>
    <m/>
    <m/>
    <m/>
    <m/>
  </r>
  <r>
    <x v="0"/>
    <x v="1"/>
    <x v="0"/>
    <x v="5"/>
    <x v="0"/>
    <x v="150"/>
    <s v="AA"/>
    <s v="THBEV"/>
    <s v="UNLISTED"/>
    <s v="FOOD &amp; BEV"/>
    <s v="AA"/>
    <m/>
    <m/>
    <d v="2020-03-22T00:00:00"/>
    <n v="536"/>
    <n v="1.79"/>
    <n v="2.318921"/>
    <n v="450000"/>
    <n v="992.50468000000001"/>
    <n v="446627106"/>
    <n v="264820.5"/>
    <n v="450000000"/>
    <n v="1.433074"/>
    <n v="450000000"/>
    <m/>
    <n v="450000000"/>
    <n v="1.79"/>
    <n v="2.0681063999999998E-3"/>
    <s v="TBEV203A"/>
    <m/>
    <s v="THAI BEVERAGE PLC."/>
    <s v="หุ้นกู้ของบริษัท ไทยเบฟเวอเรจ จำกัด (มหาชน) ครั้งที่ 1/2561 ชุดที่ 1 "/>
    <s v="หุ้นกู้ของบริษัท ไทยเบฟเวอเรจ จำกัด (มหาชน) ครั้งที่ 1/2561 ชุดที่ 1 ครบกำหนดไถ่ถอนปี พ.ศ. 2563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1"/>
    <s v="AA"/>
    <s v="THBEV"/>
    <s v="UNLISTED"/>
    <s v="FOOD &amp; BEV"/>
    <s v="AA"/>
    <m/>
    <m/>
    <d v="2021-03-22T00:00:00"/>
    <n v="901"/>
    <n v="2.1"/>
    <n v="2.6102599999999998"/>
    <n v="1498000"/>
    <n v="987.98560999999995"/>
    <n v="1480002443.78"/>
    <n v="1034234.18"/>
    <n v="1498139194.1600001"/>
    <n v="2.3801540000000001"/>
    <n v="1498000000"/>
    <m/>
    <n v="1498014104.3"/>
    <n v="2.0995659999999998"/>
    <n v="6.8538751000000002E-3"/>
    <s v="TBEV213A"/>
    <m/>
    <s v="THAI BEVERAGE PLC."/>
    <s v="หุ้นกู้ของบริษัท ไทยเบฟเวอเรจ จำกัด (มหาชน) ครั้งที่ 1/2561 ชุดที่ 2 "/>
    <s v="หุ้นกู้ของบริษัท ไทยเบฟเวอเรจ จำกัด (มหาชน) ครั้งที่ 1/2561 ชุดที่ 2 ครบกำหนดไถ่ถอนปี พ.ศ. 2564"/>
    <s v="Bond"/>
    <s v="THBEV"/>
    <s v="1FxAc365P2B"/>
    <s v="DEBENTURE"/>
    <m/>
    <s v="FOOD &amp; BEVERAGE"/>
    <s v="AGRO &amp; FOOD"/>
    <s v=" "/>
    <s v="ThaiBMA"/>
    <s v="THB"/>
    <s v=" "/>
    <s v=" "/>
    <s v="P/P"/>
    <s v=" "/>
    <s v="BOND"/>
    <s v="AA"/>
    <n v="3"/>
    <s v="THAI BEVERAGE PLC"/>
    <s v="บจก.ไทยเบฟเวอเรจ"/>
    <s v="UNLISTED"/>
    <s v="AA"/>
    <s v="AA(tha)"/>
    <s v=" "/>
    <s v=" "/>
    <s v="Baa3"/>
    <s v="AA"/>
    <n v="3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1"/>
    <s v=" "/>
    <s v="THAILAND"/>
    <s v="THAILAND"/>
    <s v="TH"/>
    <s v=" "/>
    <n v="15000"/>
    <b v="0"/>
    <s v="TRANSFERABLE"/>
    <s v=" "/>
    <s v=" "/>
    <b v="0"/>
    <b v="0"/>
    <m/>
    <m/>
    <s v="TH0902031309"/>
    <m/>
    <m/>
    <m/>
    <m/>
    <m/>
    <m/>
  </r>
  <r>
    <x v="0"/>
    <x v="1"/>
    <x v="0"/>
    <x v="5"/>
    <x v="0"/>
    <x v="152"/>
    <s v="A-"/>
    <s v="THCOM"/>
    <s v="LISTED"/>
    <s v="COMMUNICAT"/>
    <s v="A-"/>
    <m/>
    <m/>
    <d v="2019-10-02T00:00:00"/>
    <n v="364"/>
    <n v="4.28"/>
    <n v="2.0836600000000001"/>
    <n v="161900"/>
    <n v="1021.53541"/>
    <n v="165386582.88"/>
    <n v="37968.79"/>
    <n v="166005643.15000001"/>
    <n v="0.97265199999999996"/>
    <n v="161900000"/>
    <m/>
    <n v="168533556.22"/>
    <n v="1.7"/>
    <n v="7.6554430000000005E-4"/>
    <s v="THCOM19OB"/>
    <m/>
    <s v="THAICOM PLC."/>
    <s v="หุ้นกู้ของ บริษัท ไทยคม จำกัด (มหาชน) ครั้งที่ 1/2557 ชุดที่ 3"/>
    <s v="หุ้นกู้ของ บริษัท ไทยคม จำกัด (มหาชน) ครั้งที่ 1/2557 ชุดที่ 3"/>
    <s v="Bond"/>
    <s v="THCOM"/>
    <s v="1FxAc365P2B"/>
    <s v="DEBENTURE"/>
    <m/>
    <s v="COMMUNICATION"/>
    <s v="TECHNOLOGY"/>
    <s v=" "/>
    <s v="ThaiBMA"/>
    <s v="THB"/>
    <s v=" "/>
    <s v=" "/>
    <s v="P/P"/>
    <s v=" "/>
    <s v="BOND"/>
    <s v="A-"/>
    <n v="7"/>
    <s v="THAICOM PLC."/>
    <s v="บมจ.ไทยคม"/>
    <s v="LISTED"/>
    <s v="A-"/>
    <s v=" "/>
    <s v=" "/>
    <s v=" "/>
    <s v=" "/>
    <s v="A-"/>
    <n v="7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1914"/>
    <s v=" "/>
    <s v="THAILAND"/>
    <s v="THAILAND"/>
    <s v="TH"/>
    <s v=" "/>
    <n v="3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3"/>
    <s v="A"/>
    <s v="TISCOB"/>
    <s v="LISTED"/>
    <s v="BANKING"/>
    <s v="A"/>
    <m/>
    <m/>
    <d v="2018-11-29T00:00:00"/>
    <n v="57"/>
    <n v="1.85"/>
    <n v="1.4454370000000001"/>
    <n v="300000"/>
    <n v="1000.53467"/>
    <n v="300160401"/>
    <n v="1946301"/>
    <n v="300000000"/>
    <n v="0.15229799999999999"/>
    <n v="300000000"/>
    <m/>
    <n v="300000000"/>
    <n v="1.85"/>
    <n v="1.3980758E-3"/>
    <s v="TISCO18NA"/>
    <m/>
    <s v="TISCO BANK PLC."/>
    <s v="หุ้นกู้ธนาคารทิสโก้ จำกัด (มหาชน) ครั้งที่ 3/2560 ชุดที่ 1"/>
    <s v="หุ้นกู้ธนาคารทิสโก้ จำกัด (มหาชน) ครั้งที่ 3/2560 ชุดที่ 1 ครบกำหนดไถ่ถอน ปี พ.ศ. 2561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884"/>
    <s v=" "/>
    <s v="THAILAND"/>
    <s v="THAILAND"/>
    <s v="TH"/>
    <s v=" "/>
    <n v="8900"/>
    <b v="0"/>
    <s v="TRANSFERABLE"/>
    <s v=" "/>
    <s v=" "/>
    <b v="0"/>
    <b v="0"/>
    <m/>
    <m/>
    <s v="TH059703SB09"/>
    <m/>
    <m/>
    <m/>
    <m/>
    <m/>
    <m/>
  </r>
  <r>
    <x v="0"/>
    <x v="1"/>
    <x v="0"/>
    <x v="5"/>
    <x v="0"/>
    <x v="154"/>
    <s v="A"/>
    <s v="TISCOB"/>
    <s v="LISTED"/>
    <s v="BANKING"/>
    <s v="A"/>
    <m/>
    <m/>
    <d v="2019-08-09T00:00:00"/>
    <n v="310"/>
    <n v="1.68"/>
    <n v="2.0084680000000001"/>
    <n v="625000"/>
    <n v="997.16539"/>
    <n v="623228368.75"/>
    <n v="1610956.25"/>
    <n v="625000000"/>
    <n v="0.83809699999999998"/>
    <n v="625000000"/>
    <m/>
    <n v="625000000"/>
    <n v="1.68"/>
    <n v="2.8916034000000001E-3"/>
    <s v="TISCO198A"/>
    <m/>
    <s v="TISCO BANK PLC."/>
    <s v="หุ้นกู้ธนาคารทิสโก้ จำกัด (มหาชน) ครั้งที่ 2/2561 ชุดที่ 1"/>
    <s v="หุ้นกู้ธนาคารทิสโก้ จำกัด (มหาชน) ครั้งที่ 2/2561 ชุดที่ 1 ครบกำหนดไถ่ถอน ปี พ.ศ. 2562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40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5"/>
    <s v="A"/>
    <s v="TISCOB"/>
    <s v="LISTED"/>
    <s v="BANKING"/>
    <s v="A"/>
    <m/>
    <m/>
    <d v="2020-05-21T00:00:00"/>
    <n v="596"/>
    <n v="1.75"/>
    <n v="2.0527350000000002"/>
    <n v="19000"/>
    <n v="995.08641"/>
    <n v="18906641.789999999"/>
    <n v="123890.45"/>
    <n v="19000000"/>
    <n v="1.589234"/>
    <n v="19000000"/>
    <m/>
    <n v="19000000"/>
    <n v="1.75"/>
    <n v="8.8068599999999999E-5"/>
    <s v="TISCO205B"/>
    <m/>
    <s v="TISCO BANK PLC."/>
    <s v="หุ้นกู้ธนาคารทิสโก้ จำกัด (มหาชน) ครั้งที่ 4/2561 ชุดที่ 1"/>
    <s v="หุ้นกู้ธนาคารทิสโก้ จำกัด (มหาชน) ครั้งที่ 4/2561 ชุดที่ 1 ครบกำหนดไถ่ถอนปี พ.ศ. 2563"/>
    <s v="Bond"/>
    <s v="TISCOB"/>
    <s v="1FxAc365P2B"/>
    <s v="DEBENTURE"/>
    <m/>
    <s v="BANKING"/>
    <s v="FINANCIALS"/>
    <s v=" "/>
    <s v="ThaiBMA"/>
    <s v="THB"/>
    <s v=" "/>
    <s v=" "/>
    <s v="P/P"/>
    <s v=" "/>
    <s v="BOND"/>
    <s v="A"/>
    <n v="6"/>
    <s v="TISCO BANK PLC."/>
    <s v="บมจ.ธนาคารทิสโก้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1"/>
    <s v=" "/>
    <s v="THAILAND"/>
    <s v="THAILAND"/>
    <s v="TH"/>
    <s v=" "/>
    <n v="89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6"/>
    <m/>
    <s v="TRUE"/>
    <s v="LISTED"/>
    <s v="COMMUNICAT"/>
    <s v="BBB+"/>
    <m/>
    <m/>
    <d v="2019-02-22T00:00:00"/>
    <n v="142"/>
    <n v="2.78"/>
    <n v="2.6818249999999999"/>
    <n v="5450000"/>
    <n v="1000.19808"/>
    <n v="5451079536"/>
    <n v="94226794"/>
    <n v="5450000000"/>
    <n v="0.38234000000000001"/>
    <n v="5450000000"/>
    <m/>
    <n v="5450000000"/>
    <n v="2.78"/>
    <n v="2.5662319699999998E-2"/>
    <s v="TRUE192B"/>
    <m/>
    <s v="TRUE CORPORATION PLC."/>
    <s v="หุ้นกู้ของบริษัท ทรู คอร์ปอเรชั่น จำกัด (มหาชน)"/>
    <s v="หุ้นกู้ของบริษัท ทรู คอร์ปอเรชั่น จำกัด (มหาชน) ครั้งที่ 1/2561 ชุดที่ 2 ครบกำหนดไถ่ถอนปี พ.ศ. 2562"/>
    <s v="Bond"/>
    <s v="TRUE"/>
    <s v="0SdAc365C"/>
    <s v="DEBENTURE"/>
    <m/>
    <s v="COMMUNICATION"/>
    <s v="TECHNOLOGY"/>
    <s v=" "/>
    <s v="ThaiBMA"/>
    <s v="THB"/>
    <s v=" "/>
    <s v=" "/>
    <s v="P/P"/>
    <s v=" "/>
    <s v="BOND"/>
    <m/>
    <m/>
    <s v="TRUE CORPORATION PLC."/>
    <s v="บมจ.ทรู คอร์ปอเรชั่น"/>
    <s v="LISTED"/>
    <s v="BBB+"/>
    <s v=" "/>
    <s v=" "/>
    <s v=" "/>
    <s v=" "/>
    <s v="BBB+"/>
    <n v="8"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50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7"/>
    <m/>
    <s v="TUC"/>
    <s v="UNLISTED"/>
    <s v="COMMUNICAT"/>
    <s v="BBB+"/>
    <m/>
    <m/>
    <d v="2019-01-29T00:00:00"/>
    <n v="118"/>
    <n v="2.2999999999999998"/>
    <n v="2.2032859999999999"/>
    <n v="498000"/>
    <n v="1000.25083"/>
    <n v="498124913.33999997"/>
    <n v="4048127.46"/>
    <n v="498000000"/>
    <n v="0.31830000000000003"/>
    <n v="498000000"/>
    <m/>
    <n v="498000000"/>
    <n v="2.2999999999999998"/>
    <n v="2.3239339000000001E-3"/>
    <s v="TUC19129B"/>
    <m/>
    <s v="TRUE MOVE H UNIVERSAL COMMUNICATION CO."/>
    <s v="หุ้นกู้ระยะสั้นของบริษัท ทรู มูฟ เอช ยูนิเวอร์แซล คอมมิวนิเคชั่น จำกัด ชุดที่ 5"/>
    <s v="หุ้นกู้ระยะสั้นของบริษัท ทรู มูฟ เอช ยูนิเวอร์แซล คอมมิวนิเคชั่น จำกัด ชุดที่ 5 ครบกำหนดไถ่ถอนวันที่ 29 มกราคม พ.ศ. 2562 "/>
    <s v="Bond"/>
    <s v="TUC"/>
    <s v="0SdAc365C"/>
    <s v="DEBENTURE"/>
    <m/>
    <s v="COMMUNICATION"/>
    <s v="TECHNOLOGY"/>
    <s v=" "/>
    <s v="ThaiBMA"/>
    <s v="THB"/>
    <s v=" "/>
    <s v=" "/>
    <s v="P/P"/>
    <s v=" "/>
    <s v="BOND"/>
    <m/>
    <m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48"/>
    <s v=" "/>
    <s v="THAILAND"/>
    <s v="THAILAND"/>
    <s v="TH"/>
    <s v=" "/>
    <n v="2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58"/>
    <s v="BBB+"/>
    <s v="TUC"/>
    <s v="UNLISTED"/>
    <s v="COMMUNICAT"/>
    <s v="BBB+"/>
    <m/>
    <m/>
    <d v="2021-08-02T00:00:00"/>
    <n v="1034"/>
    <n v="3.7"/>
    <n v="3.7081689999999998"/>
    <n v="1368000"/>
    <n v="999.69624999999996"/>
    <n v="1367584470"/>
    <n v="8736458.4000000004"/>
    <n v="1368000000"/>
    <n v="2.6580889999999999"/>
    <n v="1368000000"/>
    <m/>
    <n v="1368000000"/>
    <n v="3.7"/>
    <n v="6.3692762000000002E-3"/>
    <s v="TUC218A"/>
    <m/>
    <s v="TRUE MOVE H UNIVERSAL COMMUNICATION CO., LTD."/>
    <s v="หุ้นกู้ของ บริษัท ทรู มูฟ เอช ยูนิเวอร์แซล คอมมิวนิเคชั่น จำกัด ครั้งที่ 1/2561 ชุดที่ 1"/>
    <s v="หุ้นกู้ของ บริษัท ทรู มูฟ เอช ยูนิเวอร์แซล คอมมิวนิเคชั่น จำกัด ครั้งที่ 1/2561 ชุดที่ 1 ครบกำหนดไถ่ถอนปี พ.ศ. 2564"/>
    <s v="Bond"/>
    <s v="TUC"/>
    <s v="1FxAc365P4B"/>
    <s v="DEBENTURE"/>
    <m/>
    <s v="COMMUNICATION"/>
    <s v="TECHNOLOGY"/>
    <s v=" "/>
    <s v="ThaiBMA"/>
    <s v="THB"/>
    <s v=" "/>
    <s v=" "/>
    <s v="P/O"/>
    <s v=" "/>
    <s v="BOND"/>
    <s v="BBB+"/>
    <n v="8"/>
    <s v="TRUE MOVE H UNIVERSAL COMMUNICATION CO., LTD."/>
    <s v="บริษัท ทรู มูฟ เอช ยูนิเวอร์แซล คอมมิวนิเคชั่น จำกัด"/>
    <s v="UNLISTED"/>
    <s v="BBB+"/>
    <s v=" "/>
    <s v=" "/>
    <s v=" "/>
    <s v=" "/>
    <s v="BBB+"/>
    <n v="8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22000"/>
    <b v="0"/>
    <s v="TRANSFERABLE"/>
    <s v=" "/>
    <s v=" "/>
    <b v="0"/>
    <b v="0"/>
    <m/>
    <m/>
    <s v="TH6692031805"/>
    <m/>
    <m/>
    <m/>
    <m/>
    <m/>
    <m/>
  </r>
  <r>
    <x v="0"/>
    <x v="1"/>
    <x v="0"/>
    <x v="5"/>
    <x v="0"/>
    <x v="159"/>
    <s v="A-"/>
    <s v="WHA"/>
    <s v="LISTED"/>
    <s v="PROPERTY"/>
    <s v="A-"/>
    <m/>
    <m/>
    <d v="2021-04-27T00:00:00"/>
    <n v="937"/>
    <n v="2.39"/>
    <n v="2.696904"/>
    <n v="70000"/>
    <n v="992.37144999999998"/>
    <n v="69466001.5"/>
    <n v="316265.59999999998"/>
    <n v="70000000"/>
    <n v="2.4657469999999999"/>
    <n v="70000000"/>
    <m/>
    <n v="70000000"/>
    <n v="2.39"/>
    <n v="3.2293520000000001E-4"/>
    <s v="WHA214A"/>
    <m/>
    <s v="WHA CORPORATION PLC."/>
    <s v="หุ้นกู้ของบริษัท ดับบลิวเอชเอ คอร์ปอเรชั่น จำกัด (มหาชน) ครั้งที่ 1/2561 ชุดที่ 1 "/>
    <s v="หุ้นกู้ของบริษัท ดับบลิวเอชเอ คอร์ปอเรชั่น จำกัด (มหาชน) ครั้งที่ 1/2561 ชุดที่ 1 ครบกำหนดไถ่ถอนปี พ.ศ. 2564"/>
    <s v="Bond"/>
    <s v="WHA"/>
    <s v="1FxAc365P4B"/>
    <s v="DEBENTURE"/>
    <m/>
    <s v="PROPERTY"/>
    <s v="PROPERTY &amp; CON"/>
    <s v=" "/>
    <s v="ThaiBMA"/>
    <s v="THB"/>
    <s v=" "/>
    <s v=" "/>
    <s v="P/P"/>
    <s v=" "/>
    <s v="BOND"/>
    <s v="A-"/>
    <n v="7"/>
    <s v="WHA CORPORATION PLC."/>
    <s v="บมจ. ดับบลิวเอชเอ คอร์ปอเรชั่น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7"/>
    <s v=" "/>
    <s v="THAILAND"/>
    <s v="THAILAND"/>
    <s v="TH"/>
    <s v=" "/>
    <n v="2000"/>
    <b v="0"/>
    <s v="TRANSFERABLE"/>
    <s v=" "/>
    <s v=" "/>
    <b v="0"/>
    <b v="0"/>
    <m/>
    <m/>
    <s v=" "/>
    <m/>
    <m/>
    <m/>
    <m/>
    <m/>
    <m/>
  </r>
  <r>
    <x v="0"/>
    <x v="1"/>
    <x v="0"/>
    <x v="5"/>
    <x v="0"/>
    <x v="160"/>
    <s v="A"/>
    <s v="WHART"/>
    <s v="LISTED"/>
    <s v="PFUND"/>
    <s v="A"/>
    <m/>
    <m/>
    <d v="2021-03-30T00:00:00"/>
    <n v="909"/>
    <n v="2.2599999999999998"/>
    <n v="2.5347200000000001"/>
    <n v="262000"/>
    <n v="993.41004999999996"/>
    <n v="260273433.09999999"/>
    <n v="64889.54"/>
    <n v="262000000"/>
    <n v="2.4105530000000002"/>
    <n v="262000000"/>
    <m/>
    <n v="262000000"/>
    <n v="2.2599999999999998"/>
    <n v="1.2047819999999999E-3"/>
    <s v="WHART213A"/>
    <m/>
    <s v="WHA PREMIUM GROWTH FREEHOLD AND LEASEHOLD REAL ESTATE INVESTMENT TRUST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"/>
    <s v="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 ครบกำหนดไถ่ถอนปี พ.ศ. 2564"/>
    <s v="Bond"/>
    <s v="WHART"/>
    <s v="1FxAc365P4B"/>
    <s v="DEBENTURE"/>
    <m/>
    <s v="PFUND"/>
    <s v="PROPERTY &amp; CON"/>
    <s v=" "/>
    <s v="ThaiBMA"/>
    <s v="THB"/>
    <s v=" "/>
    <s v=" "/>
    <s v="P/P"/>
    <s v=" "/>
    <s v="BOND"/>
    <s v="A"/>
    <n v="6"/>
    <s v="WHA PREMIUM GROWTH FREEHOLD AND LEASEHOLD REAL ESTATE INVESTMENT TRUST"/>
    <s v="ทรัสต์เพื่อการลงทุนในอสังหาริมทรัพย์และสิทธิการเช่าดับบลิวเอชเอ พรีเมี่ยม โกรท"/>
    <s v="LISTED"/>
    <s v="A"/>
    <s v=" "/>
    <s v=" "/>
    <s v=" "/>
    <s v=" 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9"/>
    <s v=" "/>
    <s v="THAILAND"/>
    <s v="THAILAND"/>
    <s v="TH"/>
    <s v=" "/>
    <n v="2600"/>
    <b v="0"/>
    <s v="TRANSFERABLE"/>
    <s v=" "/>
    <s v=" "/>
    <b v="0"/>
    <b v="0"/>
    <m/>
    <m/>
    <s v="TH8497031303"/>
    <m/>
    <m/>
    <m/>
    <m/>
    <m/>
    <m/>
  </r>
  <r>
    <x v="0"/>
    <x v="1"/>
    <x v="0"/>
    <x v="5"/>
    <x v="0"/>
    <x v="161"/>
    <s v="A-"/>
    <s v="WHAUP"/>
    <s v="LISTED"/>
    <s v="ENERGY"/>
    <s v="A-"/>
    <m/>
    <m/>
    <d v="2020-08-18T00:00:00"/>
    <n v="685"/>
    <n v="3.33"/>
    <n v="2.810095"/>
    <n v="390000"/>
    <n v="1009.27459"/>
    <n v="393617090.10000002"/>
    <n v="1672300.5"/>
    <n v="390000000"/>
    <n v="1.8017080000000001"/>
    <n v="390000000"/>
    <m/>
    <n v="390000000"/>
    <n v="3.33"/>
    <n v="1.8293025000000001E-3"/>
    <s v="WHAUP208A"/>
    <m/>
    <s v="WHA UTILITIES AND POWER PLC."/>
    <s v="หุ้นกู้ของบริษัท ดับบลิวเอชเอ ยูทิลิตี้ส์ แอนด์ พาวเวอร์ จำกัด (มหาชน) ครั้งที่ 1/2560 ชุดที่ 1"/>
    <s v="หุ้นกู้ของบริษัท ดับบลิวเอชเอ ยูทิลิตี้ส์ แอนด์ พาวเวอร์ จำกัด (มหาชน) ครั้งที่ 1/2560 ชุดที่ 1 ครบกำหนดไถ่ถอนปี พ.ศ. 2563 "/>
    <s v="Bond"/>
    <s v="WHAUP"/>
    <s v="1FxAc365P2B"/>
    <s v="DEBENTURE"/>
    <m/>
    <s v="ENERGY"/>
    <s v="RESOURCES"/>
    <s v=" "/>
    <s v="ThaiBMA"/>
    <s v="THB"/>
    <s v=" "/>
    <s v=" "/>
    <s v="P/P"/>
    <s v=" "/>
    <s v="BOND"/>
    <s v="A-"/>
    <n v="7"/>
    <s v="WHA UTILITIES AND POWER PLC."/>
    <s v="บมจ.ดับบลิวเอชเอ ยูทิลิตี้ส์ แอนด์ พาวเวอร์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2965"/>
    <s v=" "/>
    <s v="THAILAND"/>
    <s v="THAILAND"/>
    <s v="TH"/>
    <s v=" "/>
    <n v="2000"/>
    <b v="0"/>
    <s v="TRANSFERABLE"/>
    <s v=" "/>
    <s v=" "/>
    <b v="0"/>
    <b v="0"/>
    <m/>
    <m/>
    <s v="TH784603U805"/>
    <m/>
    <m/>
    <m/>
    <m/>
    <m/>
    <m/>
  </r>
  <r>
    <x v="0"/>
    <x v="1"/>
    <x v="0"/>
    <x v="15"/>
    <x v="0"/>
    <x v="162"/>
    <m/>
    <s v="MASQ"/>
    <s v="LISTEDFOREIGN"/>
    <s v="BANKING"/>
    <s v="A"/>
    <m/>
    <m/>
    <d v="2019-03-07T00:00:00"/>
    <n v="155"/>
    <n v="2.93"/>
    <m/>
    <n v="100000"/>
    <n v="1046975.449"/>
    <n v="3235700000"/>
    <n v="55566855.859999999"/>
    <n v="3235700000"/>
    <n v="0.42519200000000001"/>
    <n v="100000000"/>
    <m/>
    <n v="3150000000"/>
    <n v="2.93"/>
    <n v="1.5231177E-2"/>
    <s v="EMTNMASQ0703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NO MARKET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66"/>
    <s v=" "/>
    <s v="UAE"/>
    <s v="UAE"/>
    <s v="AE"/>
    <s v=" "/>
    <n v="25000"/>
    <b v="0"/>
    <s v="NONTRANSFERABLE"/>
    <s v=" "/>
    <s v=" "/>
    <b v="0"/>
    <b v="0"/>
    <m/>
    <m/>
    <s v="XS1789167340"/>
    <n v="3150000000"/>
    <n v="0"/>
    <m/>
    <n v="0"/>
    <s v="USDbb"/>
    <n v="32.356999999999999"/>
  </r>
  <r>
    <x v="0"/>
    <x v="1"/>
    <x v="0"/>
    <x v="15"/>
    <x v="0"/>
    <x v="163"/>
    <m/>
    <s v="MASQ"/>
    <s v="LISTEDFOREIGN"/>
    <s v="BANKING"/>
    <s v="A"/>
    <m/>
    <m/>
    <d v="2019-05-08T00:00:00"/>
    <n v="217"/>
    <n v="3.28"/>
    <n v="3.28"/>
    <n v="400"/>
    <n v="9395089.8000000007"/>
    <n v="2588560000"/>
    <n v="35141140.090000004"/>
    <n v="2588560000"/>
    <n v="0.59109100000000003"/>
    <n v="80000000"/>
    <m/>
    <n v="2534400000"/>
    <n v="3.28"/>
    <n v="1.21418464E-2"/>
    <s v="EMTNMASQ0805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8"/>
    <s v=" "/>
    <s v="UAE"/>
    <s v="UAE"/>
    <s v="AE"/>
    <s v=" "/>
    <n v="25000"/>
    <b v="0"/>
    <s v="TRANSFERABLE"/>
    <s v=" "/>
    <s v=" "/>
    <b v="0"/>
    <b v="0"/>
    <m/>
    <m/>
    <s v="XS1819596492"/>
    <n v="2534399999.9699998"/>
    <n v="0"/>
    <m/>
    <n v="0"/>
    <s v="USDbb"/>
    <n v="32.356999999999999"/>
  </r>
  <r>
    <x v="0"/>
    <x v="1"/>
    <x v="0"/>
    <x v="15"/>
    <x v="0"/>
    <x v="164"/>
    <m/>
    <s v="MASQ"/>
    <s v="LISTEDFOREIGN"/>
    <s v="BANKING"/>
    <s v="A"/>
    <m/>
    <m/>
    <d v="2019-04-09T00:00:00"/>
    <n v="188"/>
    <n v="3.16"/>
    <m/>
    <n v="500"/>
    <n v="9395089.8000000007"/>
    <n v="3235700000"/>
    <n v="50556014.890000001"/>
    <n v="3235700000"/>
    <n v="0.51374399999999998"/>
    <n v="100000000"/>
    <m/>
    <n v="3120000000"/>
    <n v="3.16"/>
    <n v="1.52079881E-2"/>
    <s v="EMTNMASQ090419"/>
    <m/>
    <s v="MASHREQ BANK"/>
    <s v="ตราสารหนี้ธนาคาร MASHREQ BANK"/>
    <s v="ตราสารหนี้ธนาคาร MASHREQ BANK"/>
    <s v="Bond"/>
    <s v="MASQ"/>
    <s v="BondAc/360P1.2M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99"/>
    <s v=" "/>
    <s v="UAE"/>
    <s v="UAE"/>
    <s v="AE"/>
    <s v=" "/>
    <n v="25000"/>
    <b v="0"/>
    <s v="TRANSFERABLE"/>
    <s v=" "/>
    <s v=" "/>
    <b v="0"/>
    <b v="0"/>
    <m/>
    <m/>
    <s v="XS1805072565"/>
    <n v="3120000000.0300002"/>
    <n v="0"/>
    <m/>
    <n v="0"/>
    <s v="USDbb"/>
    <n v="32.356999999999999"/>
  </r>
  <r>
    <x v="0"/>
    <x v="1"/>
    <x v="0"/>
    <x v="15"/>
    <x v="0"/>
    <x v="165"/>
    <m/>
    <s v="MASQ"/>
    <s v="LISTEDFOREIGN"/>
    <s v="BANKING"/>
    <s v="A"/>
    <m/>
    <m/>
    <d v="2019-05-13T00:00:00"/>
    <n v="222"/>
    <n v="3.3"/>
    <n v="0"/>
    <n v="80000"/>
    <n v="1046975.449"/>
    <n v="2588560000"/>
    <n v="34880846"/>
    <n v="2588560000"/>
    <n v="0.60436800000000002"/>
    <n v="80000000"/>
    <m/>
    <n v="2549200000"/>
    <n v="3.3"/>
    <n v="1.2140641799999999E-2"/>
    <s v="EMTNMASQ130519"/>
    <m/>
    <s v="MASHREQ BANK"/>
    <s v="ตราสารหนี้ธนาคาร MASHREQ BANK"/>
    <s v="ตราสารหนี้ธนาคาร MASHREQ BANK"/>
    <s v="Bond"/>
    <s v="MASQ"/>
    <s v="BondAct/360P1"/>
    <s v="CP"/>
    <m/>
    <s v="BANKING"/>
    <s v=" "/>
    <s v=" "/>
    <s v="OTHER"/>
    <s v="USD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UAE"/>
    <s v="UAE"/>
    <s v="AE"/>
    <s v=" "/>
    <n v="25000"/>
    <b v="0"/>
    <s v="TRANSFERABLE"/>
    <s v=" "/>
    <s v=" "/>
    <b v="0"/>
    <b v="0"/>
    <m/>
    <m/>
    <s v="XS1821402523"/>
    <n v="2549199999.98"/>
    <n v="0"/>
    <m/>
    <n v="0"/>
    <s v="USDbb"/>
    <n v="32.356999999999999"/>
  </r>
  <r>
    <x v="0"/>
    <x v="1"/>
    <x v="0"/>
    <x v="15"/>
    <x v="0"/>
    <x v="166"/>
    <m/>
    <s v="MASQ"/>
    <s v="LISTEDFOREIGN"/>
    <s v="BANKING"/>
    <s v="A"/>
    <m/>
    <m/>
    <d v="2019-03-21T00:00:00"/>
    <n v="169"/>
    <n v="0.05"/>
    <n v="0"/>
    <n v="80000"/>
    <n v="1402135.51401"/>
    <n v="2995608000"/>
    <n v="802989.37"/>
    <n v="2995608000"/>
    <n v="0.46655799999999997"/>
    <n v="80000000"/>
    <m/>
    <n v="3041600000"/>
    <n v="0.05"/>
    <n v="1.38666563E-2"/>
    <s v="EMTNMASQ210319"/>
    <m/>
    <s v="MASHREQ BANK"/>
    <s v="ตราสารหนี้ธนาคาร MASHREQ BANK"/>
    <s v="ตราสารหนี้ธนาคาร MASHREQ BANK"/>
    <s v="Bond"/>
    <s v="MASQ"/>
    <s v="Bond 30/360P1"/>
    <s v="CP"/>
    <m/>
    <s v="BANKING"/>
    <s v=" "/>
    <s v=" "/>
    <s v="NO MARKET"/>
    <s v="EURbb"/>
    <s v=" "/>
    <s v=" "/>
    <s v="P/P"/>
    <s v=" "/>
    <s v="BOND"/>
    <m/>
    <m/>
    <s v="MASHREQ BANK"/>
    <s v="MASHREQ BANK"/>
    <s v="LISTEDFOREIGN"/>
    <s v=" "/>
    <s v="A"/>
    <s v=" "/>
    <s v="A-"/>
    <s v="Baa1"/>
    <s v="A"/>
    <n v="6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180"/>
    <s v=" "/>
    <s v="UAE"/>
    <s v="UAE"/>
    <s v="AE"/>
    <s v=" "/>
    <n v="25000"/>
    <b v="0"/>
    <s v="NONTRANSFERABLE"/>
    <s v=" "/>
    <s v=" "/>
    <b v="0"/>
    <b v="0"/>
    <m/>
    <m/>
    <s v="XS1797108112"/>
    <n v="3041600000"/>
    <n v="0"/>
    <m/>
    <n v="0"/>
    <s v="EURbb"/>
    <n v="37.445099999999996"/>
  </r>
  <r>
    <x v="0"/>
    <x v="1"/>
    <x v="1"/>
    <x v="6"/>
    <x v="0"/>
    <x v="167"/>
    <m/>
    <s v="SCB"/>
    <s v="LISTED"/>
    <s v="BANKING"/>
    <s v="AA+(tha)"/>
    <m/>
    <m/>
    <d v="2018-12-18T00:00:00"/>
    <m/>
    <m/>
    <m/>
    <n v="1"/>
    <m/>
    <n v="-7959747.8300000001"/>
    <m/>
    <n v="0"/>
    <n v="0"/>
    <n v="0"/>
    <m/>
    <n v="0"/>
    <n v="0"/>
    <n v="-3.6835799999999997E-5"/>
    <s v="FWAEDTHB18D1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81218a"/>
    <n v="52000"/>
    <b v="0"/>
    <s v=" "/>
    <s v=" "/>
    <s v=" "/>
    <b v="0"/>
    <b v="0"/>
    <m/>
    <m/>
    <s v=" "/>
    <n v="-411761111.11000001"/>
    <n v="7959747.8300000001"/>
    <s v="F12MADCB181218a"/>
    <n v="411761111.11000001"/>
    <s v="THB"/>
    <n v="1"/>
  </r>
  <r>
    <x v="0"/>
    <x v="1"/>
    <x v="1"/>
    <x v="6"/>
    <x v="0"/>
    <x v="168"/>
    <m/>
    <s v="SCB"/>
    <s v="LISTED"/>
    <s v="BANKING"/>
    <s v="AA+(tha)"/>
    <m/>
    <m/>
    <d v="2018-10-04T00:00:00"/>
    <m/>
    <m/>
    <m/>
    <n v="1"/>
    <m/>
    <n v="45811743.289999999"/>
    <m/>
    <n v="0"/>
    <n v="0"/>
    <n v="0"/>
    <m/>
    <n v="0"/>
    <n v="0"/>
    <n v="2.1200550000000001E-4"/>
    <s v="FWAEDTHB18O04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41018"/>
    <n v="52000"/>
    <b v="0"/>
    <s v=" "/>
    <s v=" "/>
    <s v=" "/>
    <b v="0"/>
    <b v="0"/>
    <m/>
    <m/>
    <s v=" "/>
    <n v="-360099444.44"/>
    <n v="-45811743.289999999"/>
    <s v="F12MUNB041018"/>
    <n v="360099444.44"/>
    <s v="THB"/>
    <n v="1"/>
  </r>
  <r>
    <x v="0"/>
    <x v="1"/>
    <x v="1"/>
    <x v="6"/>
    <x v="0"/>
    <x v="169"/>
    <m/>
    <s v="SCB"/>
    <s v="LISTED"/>
    <s v="BANKING"/>
    <s v="AA+(tha)"/>
    <m/>
    <m/>
    <d v="2018-12-07T00:00:00"/>
    <m/>
    <m/>
    <m/>
    <n v="1"/>
    <m/>
    <n v="101420301.37"/>
    <m/>
    <n v="0"/>
    <n v="0"/>
    <n v="0"/>
    <m/>
    <n v="0"/>
    <n v="0"/>
    <n v="4.6934830000000001E-4"/>
    <s v="FWEURTHB18D07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71218"/>
    <n v="52000"/>
    <b v="0"/>
    <s v=" "/>
    <s v=" "/>
    <s v=" "/>
    <b v="0"/>
    <b v="0"/>
    <m/>
    <m/>
    <s v=" "/>
    <n v="-50000000"/>
    <n v="-101420301.37"/>
    <s v="CD1YBOCHK071218"/>
    <n v="50000000"/>
    <s v="THB"/>
    <n v="1"/>
  </r>
  <r>
    <x v="0"/>
    <x v="1"/>
    <x v="1"/>
    <x v="6"/>
    <x v="0"/>
    <x v="170"/>
    <m/>
    <s v="SCB"/>
    <s v="LISTED"/>
    <s v="BANKING"/>
    <s v="AA+(tha)"/>
    <m/>
    <m/>
    <d v="2018-11-05T00:00:00"/>
    <m/>
    <m/>
    <m/>
    <n v="1"/>
    <m/>
    <n v="60991876.579999998"/>
    <m/>
    <n v="0"/>
    <n v="0"/>
    <n v="0"/>
    <m/>
    <n v="0"/>
    <n v="0"/>
    <n v="2.8225549999999998E-4"/>
    <s v="FWEURTHB18N0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051118"/>
    <n v="52000"/>
    <b v="0"/>
    <s v=" "/>
    <s v=" "/>
    <s v=" "/>
    <b v="0"/>
    <b v="0"/>
    <m/>
    <m/>
    <s v=" "/>
    <n v="-75015500"/>
    <n v="-60991876.579999998"/>
    <s v="F6MBOCMC051118"/>
    <n v="75015500"/>
    <s v="THB"/>
    <n v="1"/>
  </r>
  <r>
    <x v="0"/>
    <x v="1"/>
    <x v="1"/>
    <x v="6"/>
    <x v="0"/>
    <x v="171"/>
    <m/>
    <s v="SCB"/>
    <s v="LISTED"/>
    <s v="BANKING"/>
    <s v="AA+(tha)"/>
    <m/>
    <m/>
    <d v="2019-01-31T00:00:00"/>
    <m/>
    <m/>
    <m/>
    <n v="1"/>
    <m/>
    <n v="180853397.33000001"/>
    <m/>
    <n v="0"/>
    <n v="0"/>
    <n v="0"/>
    <m/>
    <n v="0"/>
    <n v="0"/>
    <n v="8.3694520000000003E-4"/>
    <s v="FWEURTHB191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119"/>
    <n v="52000"/>
    <b v="0"/>
    <s v=" "/>
    <s v=" "/>
    <s v=" "/>
    <b v="0"/>
    <b v="0"/>
    <m/>
    <m/>
    <s v=" "/>
    <n v="-100152083.33"/>
    <n v="-180853397.33000001"/>
    <s v="F12MABCHK310119"/>
    <n v="100152083.33"/>
    <s v="THB"/>
    <n v="1"/>
  </r>
  <r>
    <x v="0"/>
    <x v="1"/>
    <x v="1"/>
    <x v="6"/>
    <x v="0"/>
    <x v="172"/>
    <m/>
    <s v="SCB"/>
    <s v="LISTED"/>
    <s v="BANKING"/>
    <s v="AA+(tha)"/>
    <m/>
    <m/>
    <d v="2019-02-01T00:00:00"/>
    <m/>
    <m/>
    <m/>
    <n v="1"/>
    <m/>
    <n v="172288060.94"/>
    <m/>
    <n v="0"/>
    <n v="0"/>
    <n v="0"/>
    <m/>
    <n v="0"/>
    <n v="0"/>
    <n v="7.9730700000000003E-4"/>
    <s v="FWEURTHB192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CMBL010219"/>
    <n v="52000"/>
    <b v="0"/>
    <s v=" "/>
    <s v=" "/>
    <s v=" "/>
    <b v="0"/>
    <b v="0"/>
    <m/>
    <m/>
    <s v=" "/>
    <n v="-100000000"/>
    <n v="-172288060.94"/>
    <s v="CD12MCMBL010219"/>
    <n v="100000000"/>
    <s v="THB"/>
    <n v="1"/>
  </r>
  <r>
    <x v="0"/>
    <x v="1"/>
    <x v="1"/>
    <x v="6"/>
    <x v="0"/>
    <x v="173"/>
    <m/>
    <s v="SCB"/>
    <s v="LISTED"/>
    <s v="BANKING"/>
    <s v="AA+(tha)"/>
    <m/>
    <m/>
    <d v="2019-02-13T00:00:00"/>
    <m/>
    <m/>
    <m/>
    <n v="1"/>
    <m/>
    <n v="163853570.50999999"/>
    <m/>
    <n v="0"/>
    <n v="0"/>
    <n v="0"/>
    <m/>
    <n v="0"/>
    <n v="0"/>
    <n v="7.5827420000000004E-4"/>
    <s v="FWEURTHB1921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130219"/>
    <n v="52000"/>
    <b v="0"/>
    <s v=" "/>
    <s v=" "/>
    <s v=" "/>
    <b v="0"/>
    <b v="0"/>
    <m/>
    <m/>
    <s v=" "/>
    <n v="-100050694.44"/>
    <n v="-163853570.50999999"/>
    <s v="F12MABCHK130219"/>
    <n v="100050694.44"/>
    <s v="THB"/>
    <n v="1"/>
  </r>
  <r>
    <x v="0"/>
    <x v="1"/>
    <x v="1"/>
    <x v="6"/>
    <x v="0"/>
    <x v="174"/>
    <m/>
    <s v="SCB"/>
    <s v="LISTED"/>
    <s v="BANKING"/>
    <s v="AA+(tha)"/>
    <m/>
    <m/>
    <d v="2019-03-06T00:00:00"/>
    <m/>
    <m/>
    <m/>
    <n v="1"/>
    <m/>
    <n v="136721671.22999999"/>
    <m/>
    <n v="0"/>
    <n v="0"/>
    <n v="0"/>
    <m/>
    <n v="0"/>
    <n v="0"/>
    <n v="6.3271439999999996E-4"/>
    <s v="FWEURTHB1930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BOCHK060319"/>
    <n v="52000"/>
    <b v="0"/>
    <s v=" "/>
    <s v=" "/>
    <s v=" "/>
    <b v="0"/>
    <b v="0"/>
    <m/>
    <m/>
    <s v=" "/>
    <n v="-100000000"/>
    <n v="-136721671.22999999"/>
    <s v="CD1YBOCHK060319"/>
    <n v="100000000"/>
    <s v="THB"/>
    <n v="1"/>
  </r>
  <r>
    <x v="0"/>
    <x v="1"/>
    <x v="1"/>
    <x v="6"/>
    <x v="0"/>
    <x v="175"/>
    <m/>
    <s v="SCB"/>
    <s v="LISTED"/>
    <s v="BANKING"/>
    <s v="AA+(tha)"/>
    <m/>
    <m/>
    <d v="2019-03-21T00:00:00"/>
    <m/>
    <m/>
    <m/>
    <n v="1"/>
    <m/>
    <n v="74021342.859999999"/>
    <m/>
    <n v="0"/>
    <n v="0"/>
    <n v="0"/>
    <m/>
    <n v="0"/>
    <n v="0"/>
    <n v="3.4255260000000002E-4"/>
    <s v="FWEURTHB1932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210319"/>
    <n v="52000"/>
    <b v="0"/>
    <s v=" "/>
    <s v=" "/>
    <s v=" "/>
    <b v="0"/>
    <b v="0"/>
    <m/>
    <m/>
    <s v=" "/>
    <n v="-80040000"/>
    <n v="-74021342.859999999"/>
    <s v="EMTNMASQ210319"/>
    <n v="80040000"/>
    <s v="THB"/>
    <n v="1"/>
  </r>
  <r>
    <x v="0"/>
    <x v="1"/>
    <x v="1"/>
    <x v="6"/>
    <x v="0"/>
    <x v="176"/>
    <m/>
    <s v="KKP"/>
    <s v="LISTED"/>
    <s v="BANKING"/>
    <s v="A-"/>
    <m/>
    <m/>
    <d v="2019-03-22T00:00:00"/>
    <m/>
    <m/>
    <m/>
    <n v="1"/>
    <m/>
    <n v="26782734.719999999"/>
    <m/>
    <n v="0"/>
    <n v="0"/>
    <n v="0"/>
    <m/>
    <n v="0"/>
    <n v="0"/>
    <n v="1.2394390000000001E-4"/>
    <s v="FWEURTHB19322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20319"/>
    <n v="16000"/>
    <b v="0"/>
    <s v=" "/>
    <s v=" "/>
    <s v=" "/>
    <b v="0"/>
    <b v="0"/>
    <m/>
    <m/>
    <s v=" "/>
    <n v="-30012166.670000002"/>
    <n v="-26782734.719999999"/>
    <s v="F12MABCHK220319"/>
    <n v="30012166.670000002"/>
    <s v="THB"/>
    <n v="1"/>
  </r>
  <r>
    <x v="0"/>
    <x v="1"/>
    <x v="1"/>
    <x v="6"/>
    <x v="0"/>
    <x v="177"/>
    <m/>
    <s v="SCB"/>
    <s v="LISTED"/>
    <s v="BANKING"/>
    <s v="AA+(tha)"/>
    <m/>
    <m/>
    <d v="2019-03-27T00:00:00"/>
    <m/>
    <m/>
    <m/>
    <n v="1"/>
    <m/>
    <n v="82656421.900000006"/>
    <m/>
    <n v="0"/>
    <n v="0"/>
    <n v="0"/>
    <m/>
    <n v="0"/>
    <n v="0"/>
    <n v="3.8251369999999998E-4"/>
    <s v="FWEURTHB19327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70319"/>
    <n v="52000"/>
    <b v="0"/>
    <s v=" "/>
    <s v=" "/>
    <s v=" "/>
    <b v="0"/>
    <b v="0"/>
    <m/>
    <m/>
    <s v=" "/>
    <n v="-80089222.219999999"/>
    <n v="-82656421.900000006"/>
    <s v="F12MABCHK270319"/>
    <n v="80089222.219999999"/>
    <s v="THB"/>
    <n v="1"/>
  </r>
  <r>
    <x v="0"/>
    <x v="1"/>
    <x v="1"/>
    <x v="6"/>
    <x v="0"/>
    <x v="178"/>
    <m/>
    <s v="SCB"/>
    <s v="LISTED"/>
    <s v="BANKING"/>
    <s v="AA+(tha)"/>
    <m/>
    <m/>
    <d v="2019-03-28T00:00:00"/>
    <m/>
    <m/>
    <m/>
    <n v="1"/>
    <m/>
    <n v="97413951.150000006"/>
    <m/>
    <n v="0"/>
    <n v="0"/>
    <n v="0"/>
    <m/>
    <n v="0"/>
    <n v="0"/>
    <n v="4.5080789999999999E-4"/>
    <s v="FWEURTHB193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80319"/>
    <n v="52000"/>
    <b v="0"/>
    <s v=" "/>
    <s v=" "/>
    <s v=" "/>
    <b v="0"/>
    <b v="0"/>
    <m/>
    <m/>
    <s v=" "/>
    <n v="-80085166.670000002"/>
    <n v="-97413951.150000006"/>
    <s v="F12MABCHK280319"/>
    <n v="80085166.670000002"/>
    <s v="THB"/>
    <n v="1"/>
  </r>
  <r>
    <x v="0"/>
    <x v="1"/>
    <x v="1"/>
    <x v="6"/>
    <x v="0"/>
    <x v="179"/>
    <m/>
    <s v="KKP"/>
    <s v="LISTED"/>
    <s v="BANKING"/>
    <s v="A-"/>
    <m/>
    <m/>
    <d v="2019-05-02T00:00:00"/>
    <m/>
    <m/>
    <m/>
    <n v="1"/>
    <m/>
    <n v="58855833.189999998"/>
    <m/>
    <n v="0"/>
    <n v="0"/>
    <n v="0"/>
    <m/>
    <n v="0"/>
    <n v="0"/>
    <n v="2.723704E-4"/>
    <s v="FWEURTHB19502B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2519b"/>
    <n v="16000"/>
    <b v="0"/>
    <s v=" "/>
    <s v=" "/>
    <s v=" "/>
    <b v="0"/>
    <b v="0"/>
    <m/>
    <m/>
    <s v=" "/>
    <n v="-70042350"/>
    <n v="-58855833.189999998"/>
    <s v="F12MBOCMC02519b"/>
    <n v="70042350"/>
    <s v="THB"/>
    <n v="1"/>
  </r>
  <r>
    <x v="0"/>
    <x v="1"/>
    <x v="1"/>
    <x v="6"/>
    <x v="0"/>
    <x v="180"/>
    <m/>
    <s v="SCB"/>
    <s v="LISTED"/>
    <s v="BANKING"/>
    <s v="AA+(tha)"/>
    <m/>
    <m/>
    <d v="2019-05-23T00:00:00"/>
    <m/>
    <m/>
    <m/>
    <n v="1"/>
    <m/>
    <n v="34501384.969999999"/>
    <m/>
    <n v="0"/>
    <n v="0"/>
    <n v="0"/>
    <m/>
    <n v="0"/>
    <n v="0"/>
    <n v="1.5966400000000001E-4"/>
    <s v="FWEURTHB19523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30519"/>
    <n v="52000"/>
    <b v="0"/>
    <s v=" "/>
    <s v=" "/>
    <s v=" "/>
    <b v="0"/>
    <b v="0"/>
    <m/>
    <m/>
    <s v=" "/>
    <n v="-80113244.439999998"/>
    <n v="-34501384.969999999"/>
    <s v="F12MABCHK230519"/>
    <n v="80113244.439999998"/>
    <s v="THB"/>
    <n v="1"/>
  </r>
  <r>
    <x v="0"/>
    <x v="1"/>
    <x v="1"/>
    <x v="6"/>
    <x v="0"/>
    <x v="181"/>
    <m/>
    <s v="SCB"/>
    <s v="LISTED"/>
    <s v="BANKING"/>
    <s v="AA+(tha)"/>
    <m/>
    <m/>
    <d v="2019-05-31T00:00:00"/>
    <m/>
    <m/>
    <m/>
    <n v="1"/>
    <m/>
    <n v="-6081745.1399999997"/>
    <m/>
    <n v="0"/>
    <n v="0"/>
    <n v="0"/>
    <m/>
    <n v="0"/>
    <n v="0"/>
    <n v="-2.8144799999999999E-5"/>
    <s v="FWEURTHB1953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310519"/>
    <n v="52000"/>
    <b v="0"/>
    <s v=" "/>
    <s v=" "/>
    <s v=" "/>
    <b v="0"/>
    <b v="0"/>
    <m/>
    <m/>
    <s v=" "/>
    <n v="-50071166.670000002"/>
    <n v="6081745.1399999997"/>
    <s v="F12MABCHK310519"/>
    <n v="50071166.670000002"/>
    <s v="THB"/>
    <n v="1"/>
  </r>
  <r>
    <x v="0"/>
    <x v="1"/>
    <x v="1"/>
    <x v="6"/>
    <x v="0"/>
    <x v="182"/>
    <m/>
    <s v="SCB"/>
    <s v="LISTED"/>
    <s v="BANKING"/>
    <s v="AA+(tha)"/>
    <m/>
    <m/>
    <d v="2018-10-22T00:00:00"/>
    <m/>
    <m/>
    <m/>
    <n v="1"/>
    <m/>
    <n v="45484478.030000001"/>
    <m/>
    <n v="0"/>
    <n v="0"/>
    <n v="0"/>
    <m/>
    <n v="0"/>
    <n v="0"/>
    <n v="2.1049099999999999E-4"/>
    <s v="FWHKDTHB18O2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221018"/>
    <n v="52000"/>
    <b v="0"/>
    <s v=" "/>
    <s v=" "/>
    <s v=" "/>
    <b v="0"/>
    <b v="0"/>
    <m/>
    <m/>
    <s v=" "/>
    <n v="-402431123.29000002"/>
    <n v="-45484478.030000001"/>
    <s v="F3MABCHK221018"/>
    <n v="402431123.29000002"/>
    <s v="THB"/>
    <n v="1"/>
  </r>
  <r>
    <x v="0"/>
    <x v="1"/>
    <x v="1"/>
    <x v="6"/>
    <x v="0"/>
    <x v="183"/>
    <m/>
    <s v="SCB"/>
    <s v="LISTED"/>
    <s v="BANKING"/>
    <s v="AA+(tha)"/>
    <m/>
    <m/>
    <d v="2019-03-12T00:00:00"/>
    <m/>
    <m/>
    <m/>
    <n v="1"/>
    <m/>
    <n v="15984390.07"/>
    <m/>
    <n v="0"/>
    <n v="0"/>
    <n v="0"/>
    <m/>
    <n v="0"/>
    <n v="0"/>
    <n v="7.3971800000000002E-5"/>
    <s v="FWHKDTHB19312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BCHK120319"/>
    <n v="52000"/>
    <b v="0"/>
    <s v=" "/>
    <s v=" "/>
    <s v=" "/>
    <b v="0"/>
    <b v="0"/>
    <m/>
    <m/>
    <s v=" "/>
    <n v="-313876698.63"/>
    <n v="-15984390.07"/>
    <s v="F6MABCHK120319"/>
    <n v="313876698.63"/>
    <s v="THB"/>
    <n v="1"/>
  </r>
  <r>
    <x v="0"/>
    <x v="1"/>
    <x v="1"/>
    <x v="6"/>
    <x v="0"/>
    <x v="184"/>
    <m/>
    <s v="CIMBT"/>
    <s v="LISTED"/>
    <s v="BANKING"/>
    <s v="AA-(tha)"/>
    <m/>
    <m/>
    <d v="2018-12-18T00:00:00"/>
    <m/>
    <m/>
    <m/>
    <n v="1"/>
    <m/>
    <n v="15478508.529999999"/>
    <m/>
    <n v="0"/>
    <n v="0"/>
    <n v="0"/>
    <m/>
    <n v="0"/>
    <n v="0"/>
    <n v="7.1630699999999998E-5"/>
    <s v="FWUSDTHB18D18B"/>
    <m/>
    <s v="FWD SFFPLUS CIMBT"/>
    <s v="สัญญาซื้อขายล่วงหน้า/FORWARD"/>
    <s v="สัญญาซื้อขายล่วงหน้า/FORWARD"/>
    <s v="Future"/>
    <s v="CIMBT"/>
    <s v="Forward FX"/>
    <s v="FORWARD"/>
    <m/>
    <s v="BANKING"/>
    <s v="FINANCIALS"/>
    <s v=" "/>
    <s v="NO MARKET"/>
    <s v="THB"/>
    <s v=" "/>
    <s v=" "/>
    <s v=" "/>
    <s v=" "/>
    <s v=" "/>
    <m/>
    <m/>
    <s v="CIMB THAI BANK PLC."/>
    <s v="ธนาคาร ซีไอเอ็มบี ไทย  จำกัด (มหาชน)"/>
    <s v="LISTED"/>
    <s v=" "/>
    <s v="AA-(tha)"/>
    <s v=" "/>
    <s v=" "/>
    <s v="Baa2"/>
    <s v="AA-(tha)"/>
    <n v="4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181218"/>
    <n v="15000"/>
    <b v="0"/>
    <s v=" "/>
    <s v=" "/>
    <s v=" "/>
    <b v="0"/>
    <b v="0"/>
    <m/>
    <m/>
    <s v=" "/>
    <n v="-92443500"/>
    <n v="-15478508.529999999"/>
    <s v="F12MBOCMC181218"/>
    <n v="92443500"/>
    <s v="THB"/>
    <n v="1"/>
  </r>
  <r>
    <x v="0"/>
    <x v="1"/>
    <x v="1"/>
    <x v="6"/>
    <x v="0"/>
    <x v="185"/>
    <m/>
    <s v="KKP"/>
    <s v="LISTED"/>
    <s v="BANKING"/>
    <s v="A-"/>
    <m/>
    <m/>
    <d v="2018-11-06T00:00:00"/>
    <m/>
    <m/>
    <m/>
    <n v="1"/>
    <m/>
    <n v="22154907.289999999"/>
    <m/>
    <n v="0"/>
    <n v="0"/>
    <n v="0"/>
    <m/>
    <n v="0"/>
    <n v="0"/>
    <n v="1.025275E-4"/>
    <s v="FWUSDTHB18N06D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061118b"/>
    <n v="16000"/>
    <b v="0"/>
    <s v=" "/>
    <s v=" "/>
    <s v=" "/>
    <b v="0"/>
    <b v="0"/>
    <m/>
    <m/>
    <s v=" "/>
    <n v="-35849364.539999999"/>
    <n v="-22154907.289999999"/>
    <s v="F12MADCB061118b"/>
    <n v="35849364.539999999"/>
    <s v="THB"/>
    <n v="1"/>
  </r>
  <r>
    <x v="0"/>
    <x v="1"/>
    <x v="1"/>
    <x v="6"/>
    <x v="0"/>
    <x v="186"/>
    <m/>
    <s v="SCB"/>
    <s v="LISTED"/>
    <s v="BANKING"/>
    <s v="AA+(tha)"/>
    <m/>
    <m/>
    <d v="2018-11-19T00:00:00"/>
    <m/>
    <m/>
    <m/>
    <n v="1"/>
    <m/>
    <n v="-29520466.649999999"/>
    <m/>
    <n v="0"/>
    <n v="0"/>
    <n v="0"/>
    <m/>
    <n v="0"/>
    <n v="0"/>
    <n v="-1.3661350000000001E-4"/>
    <s v="FWUSDTHB18N1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191118"/>
    <n v="52000"/>
    <b v="0"/>
    <s v=" "/>
    <s v=" "/>
    <s v=" "/>
    <b v="0"/>
    <b v="0"/>
    <m/>
    <m/>
    <s v=" "/>
    <n v="-50754333.329999998"/>
    <n v="29520466.649999999"/>
    <s v="F6MBOCMC191118"/>
    <n v="50754333.329999998"/>
    <s v="THB"/>
    <n v="1"/>
  </r>
  <r>
    <x v="0"/>
    <x v="1"/>
    <x v="1"/>
    <x v="6"/>
    <x v="0"/>
    <x v="187"/>
    <m/>
    <s v="SCB"/>
    <s v="LISTED"/>
    <s v="BANKING"/>
    <s v="AA+(tha)"/>
    <m/>
    <m/>
    <d v="2018-11-20T00:00:00"/>
    <m/>
    <m/>
    <m/>
    <n v="1"/>
    <m/>
    <n v="-5838883.29"/>
    <m/>
    <n v="0"/>
    <n v="0"/>
    <n v="0"/>
    <m/>
    <n v="0"/>
    <n v="0"/>
    <n v="-2.7020900000000001E-5"/>
    <s v="FWUSDTHB18N20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BOCMC201118"/>
    <n v="52000"/>
    <b v="0"/>
    <s v=" "/>
    <s v=" "/>
    <s v=" "/>
    <b v="0"/>
    <b v="0"/>
    <m/>
    <m/>
    <s v=" "/>
    <n v="-14211213.33"/>
    <n v="5838883.29"/>
    <s v="F6MBOCMC201118"/>
    <n v="14211213.33"/>
    <s v="THB"/>
    <n v="1"/>
  </r>
  <r>
    <x v="0"/>
    <x v="1"/>
    <x v="1"/>
    <x v="6"/>
    <x v="0"/>
    <x v="188"/>
    <m/>
    <s v="SCB"/>
    <s v="LISTED"/>
    <s v="BANKING"/>
    <s v="AA+(tha)"/>
    <m/>
    <m/>
    <d v="2018-11-26T00:00:00"/>
    <m/>
    <m/>
    <m/>
    <n v="1"/>
    <m/>
    <n v="-22250778.829999998"/>
    <m/>
    <n v="0"/>
    <n v="0"/>
    <n v="0"/>
    <m/>
    <n v="0"/>
    <n v="0"/>
    <n v="-1.029712E-4"/>
    <s v="FWUSDTHB18N26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61118"/>
    <n v="52000"/>
    <b v="0"/>
    <s v=" "/>
    <s v=" "/>
    <s v=" "/>
    <b v="0"/>
    <b v="0"/>
    <m/>
    <m/>
    <s v=" "/>
    <n v="-50775000"/>
    <n v="22250778.829999998"/>
    <s v="F6MADCB261118"/>
    <n v="50775000"/>
    <s v="THB"/>
    <n v="1"/>
  </r>
  <r>
    <x v="0"/>
    <x v="1"/>
    <x v="1"/>
    <x v="6"/>
    <x v="0"/>
    <x v="189"/>
    <m/>
    <s v="SCB"/>
    <s v="LISTED"/>
    <s v="BANKING"/>
    <s v="AA+(tha)"/>
    <m/>
    <m/>
    <d v="2018-10-16T00:00:00"/>
    <m/>
    <m/>
    <m/>
    <n v="1"/>
    <m/>
    <n v="30809014.390000001"/>
    <m/>
    <n v="0"/>
    <n v="0"/>
    <n v="0"/>
    <m/>
    <n v="0"/>
    <n v="0"/>
    <n v="1.4257660000000001E-4"/>
    <s v="FWUSDTHB18O16B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DCB161018"/>
    <n v="52000"/>
    <b v="0"/>
    <s v=" "/>
    <s v=" "/>
    <s v=" "/>
    <b v="0"/>
    <b v="0"/>
    <m/>
    <m/>
    <s v=" "/>
    <n v="-51206666.670000002"/>
    <n v="-30809014.390000001"/>
    <s v="F12MADCB161018"/>
    <n v="51206666.670000002"/>
    <s v="THB"/>
    <n v="1"/>
  </r>
  <r>
    <x v="0"/>
    <x v="1"/>
    <x v="1"/>
    <x v="6"/>
    <x v="0"/>
    <x v="190"/>
    <m/>
    <s v="SCB"/>
    <s v="LISTED"/>
    <s v="BANKING"/>
    <s v="AA+(tha)"/>
    <m/>
    <m/>
    <d v="2018-10-16T00:00:00"/>
    <m/>
    <m/>
    <m/>
    <n v="1"/>
    <m/>
    <n v="28982560.719999999"/>
    <m/>
    <n v="0"/>
    <n v="0"/>
    <n v="0"/>
    <m/>
    <n v="0"/>
    <n v="0"/>
    <n v="1.3412419999999999E-4"/>
    <s v="FWUSDTHB18O16D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3MABCHK161018"/>
    <n v="52000"/>
    <b v="0"/>
    <s v=" "/>
    <s v=" "/>
    <s v=" "/>
    <b v="0"/>
    <b v="0"/>
    <m/>
    <m/>
    <s v=" "/>
    <n v="-40299733.329999998"/>
    <n v="-28982560.719999999"/>
    <s v="F3MABCHK161018"/>
    <n v="40299733.329999998"/>
    <s v="THB"/>
    <n v="1"/>
  </r>
  <r>
    <x v="0"/>
    <x v="1"/>
    <x v="1"/>
    <x v="6"/>
    <x v="0"/>
    <x v="191"/>
    <m/>
    <s v="SCB"/>
    <s v="LISTED"/>
    <s v="BANKING"/>
    <s v="AA+(tha)"/>
    <m/>
    <m/>
    <d v="2018-10-25T00:00:00"/>
    <m/>
    <m/>
    <m/>
    <n v="1"/>
    <m/>
    <n v="-44274886.07"/>
    <m/>
    <n v="0"/>
    <n v="0"/>
    <n v="0"/>
    <m/>
    <n v="0"/>
    <n v="0"/>
    <n v="-2.0489330000000001E-4"/>
    <s v="FWUSDTHB18O25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6MADCB251018"/>
    <n v="52000"/>
    <b v="0"/>
    <s v=" "/>
    <s v=" "/>
    <s v=" "/>
    <b v="0"/>
    <b v="0"/>
    <m/>
    <m/>
    <s v=" "/>
    <n v="-40610000"/>
    <n v="44274886.07"/>
    <s v="F6MADCB251018"/>
    <n v="40610000"/>
    <s v="THB"/>
    <n v="1"/>
  </r>
  <r>
    <x v="0"/>
    <x v="1"/>
    <x v="1"/>
    <x v="6"/>
    <x v="0"/>
    <x v="192"/>
    <m/>
    <s v="SCB"/>
    <s v="LISTED"/>
    <s v="BANKING"/>
    <s v="AA+(tha)"/>
    <m/>
    <m/>
    <d v="2019-01-08T00:00:00"/>
    <m/>
    <m/>
    <m/>
    <n v="1"/>
    <m/>
    <n v="-24983286.98"/>
    <m/>
    <n v="0"/>
    <n v="0"/>
    <n v="0"/>
    <m/>
    <n v="0"/>
    <n v="0"/>
    <n v="-1.1561649999999999E-4"/>
    <s v="FWUSDTHB19108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80119"/>
    <n v="52000"/>
    <b v="0"/>
    <s v=" "/>
    <s v=" "/>
    <s v=" "/>
    <b v="0"/>
    <b v="0"/>
    <m/>
    <m/>
    <s v=" "/>
    <n v="-102707083.33"/>
    <n v="24983286.98"/>
    <s v="F12MBOCMC080119"/>
    <n v="102707083.33"/>
    <s v="THB"/>
    <n v="1"/>
  </r>
  <r>
    <x v="0"/>
    <x v="1"/>
    <x v="1"/>
    <x v="6"/>
    <x v="0"/>
    <x v="193"/>
    <m/>
    <s v="SCB"/>
    <s v="LISTED"/>
    <s v="BANKING"/>
    <s v="AA+(tha)"/>
    <m/>
    <m/>
    <d v="2019-01-09T00:00:00"/>
    <m/>
    <m/>
    <m/>
    <n v="1"/>
    <m/>
    <n v="-36939078.07"/>
    <m/>
    <n v="0"/>
    <n v="0"/>
    <n v="0"/>
    <m/>
    <n v="0"/>
    <n v="0"/>
    <n v="-1.7094500000000001E-4"/>
    <s v="FWUSDTHB19109A"/>
    <m/>
    <s v="FWD 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090119"/>
    <n v="52000"/>
    <b v="0"/>
    <s v=" "/>
    <s v=" "/>
    <s v=" "/>
    <b v="0"/>
    <b v="0"/>
    <m/>
    <m/>
    <s v=" "/>
    <n v="-100652941.66"/>
    <n v="36939078.07"/>
    <s v="F12MBOCMC090119"/>
    <n v="100652941.66"/>
    <s v="THB"/>
    <n v="1"/>
  </r>
  <r>
    <x v="0"/>
    <x v="1"/>
    <x v="1"/>
    <x v="6"/>
    <x v="0"/>
    <x v="194"/>
    <m/>
    <s v="KKP"/>
    <s v="LISTED"/>
    <s v="BANKING"/>
    <s v="A-"/>
    <m/>
    <m/>
    <d v="2019-01-16T00:00:00"/>
    <m/>
    <m/>
    <m/>
    <n v="1"/>
    <m/>
    <n v="-11098190"/>
    <m/>
    <n v="0"/>
    <n v="0"/>
    <n v="0"/>
    <m/>
    <n v="0"/>
    <n v="0"/>
    <n v="-5.1359700000000002E-5"/>
    <s v="FWUSDTHB19116B"/>
    <m/>
    <s v="FWD 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2MICBCD16119"/>
    <n v="16000"/>
    <b v="0"/>
    <s v=" "/>
    <s v=" "/>
    <s v=" "/>
    <b v="0"/>
    <b v="0"/>
    <m/>
    <m/>
    <s v=" "/>
    <n v="-30760416.670000002"/>
    <n v="11098190"/>
    <s v="CD12MICBCD16119"/>
    <n v="30760416.670000002"/>
    <s v="THB"/>
    <n v="1"/>
  </r>
  <r>
    <x v="0"/>
    <x v="1"/>
    <x v="1"/>
    <x v="6"/>
    <x v="0"/>
    <x v="195"/>
    <m/>
    <s v="KKP"/>
    <s v="LISTED"/>
    <s v="BANKING"/>
    <s v="A-"/>
    <m/>
    <m/>
    <d v="2019-02-08T00:00:00"/>
    <m/>
    <m/>
    <m/>
    <n v="1"/>
    <m/>
    <n v="-45879624.899999999"/>
    <m/>
    <n v="0"/>
    <n v="0"/>
    <n v="0"/>
    <m/>
    <n v="0"/>
    <n v="0"/>
    <n v="-2.1231970000000001E-4"/>
    <s v="FWUSDTHB19208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CD1YICBCSE08219"/>
    <n v="16000"/>
    <b v="0"/>
    <s v=" "/>
    <s v=" "/>
    <s v=" "/>
    <b v="0"/>
    <b v="0"/>
    <m/>
    <m/>
    <s v=" "/>
    <n v="-51415555.560000002"/>
    <n v="45879624.899999999"/>
    <s v="CD1YICBCSE08219"/>
    <n v="51415555.560000002"/>
    <s v="THB"/>
    <n v="1"/>
  </r>
  <r>
    <x v="0"/>
    <x v="1"/>
    <x v="1"/>
    <x v="6"/>
    <x v="0"/>
    <x v="196"/>
    <m/>
    <s v="KKP"/>
    <s v="LISTED"/>
    <s v="BANKING"/>
    <s v="A-"/>
    <m/>
    <m/>
    <d v="2019-03-07T00:00:00"/>
    <m/>
    <m/>
    <m/>
    <n v="1"/>
    <m/>
    <n v="-113097792.22"/>
    <m/>
    <n v="0"/>
    <n v="0"/>
    <n v="0"/>
    <m/>
    <n v="0"/>
    <n v="0"/>
    <n v="-5.2338890000000005E-4"/>
    <s v="FWUSDTHB19307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70319"/>
    <n v="16000"/>
    <b v="0"/>
    <s v=" "/>
    <s v=" "/>
    <s v=" "/>
    <b v="0"/>
    <b v="0"/>
    <m/>
    <m/>
    <s v=" "/>
    <n v="-102970694.44"/>
    <n v="113097792.22"/>
    <s v="EMTNMASQ070319"/>
    <n v="102970694.44"/>
    <s v="THB"/>
    <n v="1"/>
  </r>
  <r>
    <x v="0"/>
    <x v="1"/>
    <x v="1"/>
    <x v="6"/>
    <x v="0"/>
    <x v="197"/>
    <m/>
    <s v="SCB"/>
    <s v="LISTED"/>
    <s v="BANKING"/>
    <s v="AA+(tha)"/>
    <m/>
    <m/>
    <d v="2019-04-09T00:00:00"/>
    <m/>
    <m/>
    <m/>
    <n v="1"/>
    <m/>
    <n v="-139689716.74000001"/>
    <m/>
    <n v="0"/>
    <n v="0"/>
    <n v="0"/>
    <m/>
    <n v="0"/>
    <n v="0"/>
    <n v="-6.4644979999999995E-4"/>
    <s v="FWUSDTHB19409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90419"/>
    <n v="52000"/>
    <b v="0"/>
    <s v=" "/>
    <s v=" "/>
    <s v=" "/>
    <b v="0"/>
    <b v="0"/>
    <m/>
    <m/>
    <s v=" "/>
    <n v="-103203890"/>
    <n v="139689716.74000001"/>
    <s v="EMTNMASQ090419"/>
    <n v="103203890"/>
    <s v="THB"/>
    <n v="1"/>
  </r>
  <r>
    <x v="0"/>
    <x v="1"/>
    <x v="1"/>
    <x v="6"/>
    <x v="0"/>
    <x v="198"/>
    <m/>
    <s v="KKP"/>
    <s v="LISTED"/>
    <s v="BANKING"/>
    <s v="A-"/>
    <m/>
    <m/>
    <d v="2019-04-26T00:00:00"/>
    <m/>
    <m/>
    <m/>
    <n v="1"/>
    <m/>
    <n v="-67454264.400000006"/>
    <m/>
    <n v="0"/>
    <n v="0"/>
    <n v="0"/>
    <m/>
    <n v="0"/>
    <n v="0"/>
    <n v="-3.1216179999999998E-4"/>
    <s v="FWUSDTHB19426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60419"/>
    <n v="16000"/>
    <b v="0"/>
    <s v=" "/>
    <s v=" "/>
    <s v=" "/>
    <b v="0"/>
    <b v="0"/>
    <m/>
    <m/>
    <s v=" "/>
    <n v="-61928416.670000002"/>
    <n v="67454264.400000006"/>
    <s v="F12MABCHK260419"/>
    <n v="61928416.670000002"/>
    <s v="THB"/>
    <n v="1"/>
  </r>
  <r>
    <x v="0"/>
    <x v="1"/>
    <x v="1"/>
    <x v="6"/>
    <x v="0"/>
    <x v="199"/>
    <m/>
    <s v="SCB"/>
    <s v="LISTED"/>
    <s v="BANKING"/>
    <s v="AA+(tha)"/>
    <m/>
    <m/>
    <d v="2019-05-08T00:00:00"/>
    <m/>
    <m/>
    <m/>
    <n v="1"/>
    <m/>
    <n v="-69870223.650000006"/>
    <m/>
    <n v="0"/>
    <n v="0"/>
    <n v="0"/>
    <m/>
    <n v="0"/>
    <n v="0"/>
    <n v="-3.233423E-4"/>
    <s v="FWUSDTHB1950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080519"/>
    <n v="52000"/>
    <b v="0"/>
    <s v=" "/>
    <s v=" "/>
    <s v=" "/>
    <b v="0"/>
    <b v="0"/>
    <m/>
    <m/>
    <s v=" "/>
    <n v="-82660444"/>
    <n v="69870223.650000006"/>
    <s v="EMTNMASQ080519"/>
    <n v="82660444"/>
    <s v="THB"/>
    <n v="1"/>
  </r>
  <r>
    <x v="0"/>
    <x v="1"/>
    <x v="1"/>
    <x v="6"/>
    <x v="0"/>
    <x v="200"/>
    <m/>
    <s v="SCB"/>
    <s v="LISTED"/>
    <s v="BANKING"/>
    <s v="AA+(tha)"/>
    <m/>
    <m/>
    <d v="2019-05-13T00:00:00"/>
    <m/>
    <m/>
    <m/>
    <n v="1"/>
    <m/>
    <n v="-54991691.920000002"/>
    <m/>
    <n v="0"/>
    <n v="0"/>
    <n v="0"/>
    <m/>
    <n v="0"/>
    <n v="0"/>
    <n v="-2.5448810000000001E-4"/>
    <s v="FWUSDTHB19513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EMTNMASQ130519"/>
    <n v="52000"/>
    <b v="0"/>
    <s v=" "/>
    <s v=" "/>
    <s v=" "/>
    <b v="0"/>
    <b v="0"/>
    <m/>
    <m/>
    <s v=" "/>
    <n v="-82698666.670000002"/>
    <n v="54991691.920000002"/>
    <s v="EMTNMASQ130519"/>
    <n v="82698666.670000002"/>
    <s v="THB"/>
    <n v="1"/>
  </r>
  <r>
    <x v="0"/>
    <x v="1"/>
    <x v="1"/>
    <x v="6"/>
    <x v="0"/>
    <x v="201"/>
    <m/>
    <s v="KKP"/>
    <s v="LISTED"/>
    <s v="BANKING"/>
    <s v="A-"/>
    <m/>
    <m/>
    <d v="2019-06-25T00:00:00"/>
    <m/>
    <m/>
    <m/>
    <n v="1"/>
    <m/>
    <n v="44070985.700000003"/>
    <m/>
    <n v="0"/>
    <n v="0"/>
    <n v="0"/>
    <m/>
    <n v="0"/>
    <n v="0"/>
    <n v="2.039497E-4"/>
    <s v="FWUSDTHB19625A"/>
    <m/>
    <s v="FWD SCBSFFPLUS KKP"/>
    <s v="สัญญาซื้อขายล่วงหน้า/FORWARD"/>
    <s v="สัญญาซื้อขายล่วงหน้า/FORWARD"/>
    <s v="Future"/>
    <s v="KKP"/>
    <s v="Forward FX"/>
    <s v="FORWARD"/>
    <m/>
    <s v="BANKING"/>
    <s v="FINANCIALS"/>
    <s v=" "/>
    <s v="NO MARKET"/>
    <s v="THB"/>
    <s v=" "/>
    <s v=" "/>
    <s v=" "/>
    <s v=" "/>
    <s v=" "/>
    <m/>
    <m/>
    <s v="KIATNAKIN BANK PLC."/>
    <s v="ธนาคารเกียรตินาคิน  จำกัด (มหาชน)"/>
    <s v="LISTED"/>
    <s v="A-"/>
    <s v=" "/>
    <s v=" "/>
    <s v=" "/>
    <s v=" "/>
    <s v="A-"/>
    <n v="7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ABCHK250619"/>
    <n v="16000"/>
    <b v="0"/>
    <s v=" "/>
    <s v=" "/>
    <s v=" "/>
    <b v="0"/>
    <b v="0"/>
    <m/>
    <m/>
    <s v=" "/>
    <n v="-87861194.439999998"/>
    <n v="-44070985.700000003"/>
    <s v="F12MABCHK250619"/>
    <n v="87861194.439999998"/>
    <s v="THB"/>
    <n v="1"/>
  </r>
  <r>
    <x v="0"/>
    <x v="1"/>
    <x v="1"/>
    <x v="6"/>
    <x v="0"/>
    <x v="202"/>
    <m/>
    <s v="SCB"/>
    <s v="LISTED"/>
    <s v="BANKING"/>
    <s v="AA+(tha)"/>
    <m/>
    <m/>
    <d v="2019-06-28T00:00:00"/>
    <m/>
    <m/>
    <m/>
    <n v="1"/>
    <m/>
    <n v="46232342.049999997"/>
    <m/>
    <n v="0"/>
    <n v="0"/>
    <n v="0"/>
    <m/>
    <n v="0"/>
    <n v="0"/>
    <n v="2.13952E-4"/>
    <s v="FWUSDTHB19628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BOCMC280619"/>
    <n v="52000"/>
    <b v="0"/>
    <s v=" "/>
    <s v=" "/>
    <s v=" "/>
    <b v="0"/>
    <b v="0"/>
    <m/>
    <m/>
    <s v=" "/>
    <n v="-87930138.890000001"/>
    <n v="-46232342.049999997"/>
    <s v="F12MBOCMC280619"/>
    <n v="87930138.890000001"/>
    <s v="THB"/>
    <n v="1"/>
  </r>
  <r>
    <x v="0"/>
    <x v="1"/>
    <x v="1"/>
    <x v="6"/>
    <x v="0"/>
    <x v="203"/>
    <m/>
    <s v="SCB"/>
    <s v="LISTED"/>
    <s v="BANKING"/>
    <s v="AA+(tha)"/>
    <m/>
    <m/>
    <d v="2019-10-01T00:00:00"/>
    <m/>
    <m/>
    <m/>
    <n v="1"/>
    <m/>
    <n v="1629809.62"/>
    <m/>
    <n v="0"/>
    <n v="0"/>
    <n v="0"/>
    <m/>
    <n v="0"/>
    <n v="0"/>
    <n v="7.5424E-6"/>
    <s v="FWUSDTHB19O01A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11019"/>
    <n v="52000"/>
    <b v="0"/>
    <s v=" "/>
    <s v=" "/>
    <s v=" "/>
    <b v="0"/>
    <b v="0"/>
    <m/>
    <m/>
    <s v=" "/>
    <n v="-93153500"/>
    <n v="-1629809.62"/>
    <s v="F12MUNB011019"/>
    <n v="93153500"/>
    <s v="THB"/>
    <n v="1"/>
  </r>
  <r>
    <x v="0"/>
    <x v="1"/>
    <x v="1"/>
    <x v="6"/>
    <x v="0"/>
    <x v="204"/>
    <m/>
    <s v="SCB"/>
    <s v="LISTED"/>
    <s v="BANKING"/>
    <s v="AA+(tha)"/>
    <m/>
    <m/>
    <d v="2019-10-02T00:00:00"/>
    <m/>
    <m/>
    <m/>
    <n v="1"/>
    <m/>
    <n v="10126362.949999999"/>
    <m/>
    <n v="0"/>
    <n v="0"/>
    <n v="0"/>
    <m/>
    <n v="0"/>
    <n v="0"/>
    <n v="4.68623E-5"/>
    <s v="FWUSDTHB19O02B"/>
    <m/>
    <s v="FWD SCBSFFPLUS SCB"/>
    <s v="สัญญาซื้อขายล่วงหน้า/FORWARD"/>
    <s v="สัญญาซื้อขายล่วงหน้า/FORWARD"/>
    <s v="Future"/>
    <s v="SCB"/>
    <s v="Forward FX"/>
    <s v="FORWARD"/>
    <m/>
    <s v="BANKING"/>
    <s v="FINANCIALS"/>
    <s v=" "/>
    <s v="NO MARKET"/>
    <s v="THB"/>
    <s v=" "/>
    <s v=" "/>
    <s v=" "/>
    <s v=" "/>
    <s v=" "/>
    <m/>
    <m/>
    <s v="THE SIAM COMMERCIAL BANK PLC."/>
    <s v="ธนาคารไทยพาณิชย์  จำกัด (มหาชน)"/>
    <s v="LISTED"/>
    <s v=" "/>
    <s v="AA+(tha)"/>
    <s v=" "/>
    <s v="BBB+"/>
    <s v="Baa1"/>
    <s v="AA+(tha)"/>
    <n v="2"/>
    <s v="0"/>
    <s v="0"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F12MUNB021019a"/>
    <n v="52000"/>
    <b v="0"/>
    <s v=" "/>
    <s v=" "/>
    <s v=" "/>
    <b v="0"/>
    <b v="0"/>
    <m/>
    <m/>
    <s v=" "/>
    <n v="-93153500"/>
    <n v="-10126362.949999999"/>
    <s v="F12MUNB021019a"/>
    <n v="93153500"/>
    <s v="THB"/>
    <n v="1"/>
  </r>
  <r>
    <x v="0"/>
    <x v="1"/>
    <x v="2"/>
    <x v="7"/>
    <x v="1"/>
    <x v="5"/>
    <m/>
    <m/>
    <m/>
    <m/>
    <m/>
    <m/>
    <m/>
    <m/>
    <m/>
    <m/>
    <m/>
    <n v="0"/>
    <n v="0"/>
    <n v="4093829.41"/>
    <m/>
    <n v="4093829.41"/>
    <n v="0"/>
    <m/>
    <m/>
    <n v="24"/>
    <n v="0"/>
    <n v="1.8945199999999999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7"/>
    <x v="8"/>
    <x v="5"/>
    <m/>
    <m/>
    <m/>
    <m/>
    <m/>
    <m/>
    <m/>
    <m/>
    <m/>
    <m/>
    <m/>
    <n v="0"/>
    <n v="0"/>
    <n v="2384466.21"/>
    <m/>
    <n v="2384466.21"/>
    <n v="0"/>
    <m/>
    <m/>
    <n v="24"/>
    <n v="0"/>
    <n v="1.10347E-5"/>
    <s v="-CASH SAVINGS-"/>
    <m/>
    <s v=" "/>
    <m/>
    <m/>
    <s v="Cash Bal"/>
    <s v=" "/>
    <s v="Cash Balance"/>
    <s v=" "/>
    <m/>
    <s v=" "/>
    <s v=" "/>
    <s v=" "/>
    <s v=" "/>
    <s v="THB"/>
    <s v=" "/>
    <s v=" "/>
    <s v=" "/>
    <s v="Liquid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m/>
    <m/>
    <s v=" "/>
    <m/>
    <b v="1"/>
    <s v=" "/>
    <m/>
    <m/>
    <b v="0"/>
    <b v="0"/>
    <m/>
    <m/>
    <s v=" "/>
    <m/>
    <m/>
    <m/>
    <m/>
    <m/>
    <m/>
  </r>
  <r>
    <x v="0"/>
    <x v="1"/>
    <x v="2"/>
    <x v="16"/>
    <x v="9"/>
    <x v="205"/>
    <m/>
    <s v="SCBAM"/>
    <s v="UNLISTED"/>
    <s v="UNIT TRUST"/>
    <m/>
    <m/>
    <m/>
    <m/>
    <m/>
    <m/>
    <m/>
    <m/>
    <n v="0"/>
    <n v="1279.9000000000001"/>
    <m/>
    <n v="1279.9000000000001"/>
    <n v="0"/>
    <n v="0"/>
    <m/>
    <n v="0"/>
    <n v="0"/>
    <n v="5.8999999999999999E-9"/>
    <s v="UNSETTLE AMOR."/>
    <m/>
    <s v="ADJ."/>
    <m/>
    <m/>
    <s v="Cash Bal"/>
    <s v="SCBAM"/>
    <s v="Cash Balance"/>
    <s v="A/R"/>
    <m/>
    <s v=" "/>
    <s v=" "/>
    <s v=" "/>
    <s v=" "/>
    <s v="THB"/>
    <s v=" "/>
    <s v=" "/>
    <s v=" "/>
    <s v="Liquid"/>
    <s v=" "/>
    <m/>
    <m/>
    <s v="SCB Asset Mangment Co.,Ltd."/>
    <s v="บลจ. ไทยพาณิชย์ จำกัด"/>
    <s v="UNLISTED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2"/>
    <s v=" "/>
    <s v="THAILAND"/>
    <s v="THAILAND"/>
    <s v="TH"/>
    <s v=" "/>
    <n v="0"/>
    <b v="0"/>
    <s v=" "/>
    <s v=" "/>
    <s v=" "/>
    <b v="0"/>
    <b v="0"/>
    <m/>
    <m/>
    <s v=" "/>
    <m/>
    <m/>
    <m/>
    <m/>
    <m/>
    <m/>
  </r>
  <r>
    <x v="0"/>
    <x v="1"/>
    <x v="3"/>
    <x v="8"/>
    <x v="1"/>
    <x v="123"/>
    <m/>
    <m/>
    <m/>
    <m/>
    <m/>
    <m/>
    <m/>
    <m/>
    <m/>
    <m/>
    <m/>
    <n v="0"/>
    <n v="99.912623999999994"/>
    <n v="-46958933.280000001"/>
    <m/>
    <n v="-46958933.280000001"/>
    <m/>
    <m/>
    <m/>
    <n v="7"/>
    <n v="0"/>
    <n v="-2.173144E-4"/>
    <s v="CB18N01A"/>
    <m/>
    <s v="Bank of Thailand Bond"/>
    <s v="พันธบัตรธนาคารแห่งประเทศไทยงวดที่ 18/182/61"/>
    <s v="พันธบัตรธนาคารแห่งประเทศไทยงวดที่ 18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23"/>
    <s v=" "/>
    <s v="THAILAND"/>
    <s v="THAILAND"/>
    <s v="TH"/>
    <s v=" "/>
    <n v="0"/>
    <b v="0"/>
    <s v="TRANSFERABLE"/>
    <s v=" "/>
    <s v=" "/>
    <b v="0"/>
    <b v="0"/>
    <m/>
    <m/>
    <s v="TH065507SB87"/>
    <m/>
    <m/>
    <m/>
    <m/>
    <m/>
    <m/>
  </r>
  <r>
    <x v="0"/>
    <x v="1"/>
    <x v="3"/>
    <x v="8"/>
    <x v="1"/>
    <x v="38"/>
    <m/>
    <m/>
    <m/>
    <m/>
    <m/>
    <m/>
    <m/>
    <m/>
    <m/>
    <m/>
    <m/>
    <n v="0"/>
    <n v="99.912623999999994"/>
    <n v="-24978156"/>
    <m/>
    <n v="-24978156"/>
    <m/>
    <m/>
    <m/>
    <n v="7"/>
    <n v="0"/>
    <n v="-1.155928E-4"/>
    <s v="CB18N01B"/>
    <m/>
    <s v="Bank of Thailand Bond"/>
    <s v="พันธบัตรธนาคารแห่งประเทศไทยงวดที่ 31/91/61"/>
    <s v="พันธบัตรธนาคารแห่งประเทศไทยงวดที่ 31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14"/>
    <s v=" "/>
    <s v="THAILAND"/>
    <s v="THAILAND"/>
    <s v="TH"/>
    <s v=" "/>
    <n v="0"/>
    <b v="0"/>
    <s v="TRANSFERABLE"/>
    <s v=" "/>
    <s v=" "/>
    <b v="0"/>
    <b v="0"/>
    <m/>
    <m/>
    <s v="TH0655E7SB86"/>
    <m/>
    <m/>
    <m/>
    <m/>
    <m/>
    <m/>
  </r>
  <r>
    <x v="0"/>
    <x v="1"/>
    <x v="3"/>
    <x v="8"/>
    <x v="1"/>
    <x v="39"/>
    <m/>
    <m/>
    <m/>
    <m/>
    <m/>
    <m/>
    <m/>
    <m/>
    <m/>
    <m/>
    <m/>
    <n v="0"/>
    <n v="99.889978999999997"/>
    <n v="-61931786.840000004"/>
    <m/>
    <n v="-61931786.840000004"/>
    <m/>
    <m/>
    <m/>
    <n v="7"/>
    <n v="0"/>
    <n v="-2.8660509999999998E-4"/>
    <s v="CB18N08A"/>
    <m/>
    <s v="Bank of Thailand Bond"/>
    <s v="พันธบัตรธนาคารแห่งประเทศไทยงวดที่ 19/182/61 "/>
    <s v="พันธบัตรธนาคารแห่งประเทศไทยงวดที่ 19/182/61 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0"/>
    <s v=" "/>
    <s v="THAILAND"/>
    <s v="THAILAND"/>
    <s v="TH"/>
    <s v=" "/>
    <n v="0"/>
    <b v="0"/>
    <s v="TRANSFERABLE"/>
    <s v=" "/>
    <s v=" "/>
    <b v="0"/>
    <b v="0"/>
    <m/>
    <m/>
    <s v="TH0655A7SB84"/>
    <m/>
    <m/>
    <m/>
    <m/>
    <m/>
    <m/>
  </r>
  <r>
    <x v="0"/>
    <x v="1"/>
    <x v="3"/>
    <x v="8"/>
    <x v="1"/>
    <x v="124"/>
    <m/>
    <m/>
    <m/>
    <m/>
    <m/>
    <m/>
    <m/>
    <m/>
    <m/>
    <m/>
    <m/>
    <n v="0"/>
    <n v="99.864976999999996"/>
    <n v="-72901433.209999993"/>
    <m/>
    <n v="-72901433.209999993"/>
    <m/>
    <m/>
    <m/>
    <n v="7"/>
    <n v="0"/>
    <n v="-3.3736999999999998E-4"/>
    <s v="CB18N15A"/>
    <m/>
    <s v="Bank of Thailand Bond"/>
    <s v="พันธบัตรธนาคารแห่งประเทศไทยงวดที่ 20/182/61"/>
    <s v="พันธบัตรธนาคารแห่งประเทศไทยงวดที่ 20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37"/>
    <s v=" "/>
    <s v="THAILAND"/>
    <s v="THAILAND"/>
    <s v="TH"/>
    <s v=" "/>
    <n v="0"/>
    <b v="0"/>
    <s v="TRANSFERABLE"/>
    <s v=" "/>
    <s v=" "/>
    <b v="0"/>
    <b v="0"/>
    <m/>
    <m/>
    <s v="TH0655B7SB82"/>
    <m/>
    <m/>
    <m/>
    <m/>
    <m/>
    <m/>
  </r>
  <r>
    <x v="0"/>
    <x v="1"/>
    <x v="3"/>
    <x v="8"/>
    <x v="1"/>
    <x v="41"/>
    <m/>
    <m/>
    <m/>
    <m/>
    <m/>
    <m/>
    <m/>
    <m/>
    <m/>
    <m/>
    <m/>
    <n v="0"/>
    <n v="99.864976999999996"/>
    <n v="-18974345.629999999"/>
    <m/>
    <n v="-18974345.629999999"/>
    <m/>
    <m/>
    <m/>
    <n v="7"/>
    <n v="0"/>
    <n v="-8.7808599999999998E-5"/>
    <s v="CB18N15B"/>
    <m/>
    <s v="Bank of Thailand Bond"/>
    <s v="พันธบัตรธนาคารแห่งประเทศไทยงวดที่ 33/91/61"/>
    <s v="พันธบัตรธนาคารแห่งประเทศไทยงวดที่ 33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28"/>
    <s v=" "/>
    <s v="THAILAND"/>
    <s v="THAILAND"/>
    <s v="TH"/>
    <s v=" "/>
    <n v="0"/>
    <b v="0"/>
    <s v="TRANSFERABLE"/>
    <s v=" "/>
    <s v=" "/>
    <b v="0"/>
    <b v="0"/>
    <m/>
    <m/>
    <s v="TH0655G7SB81"/>
    <m/>
    <m/>
    <m/>
    <m/>
    <m/>
    <m/>
  </r>
  <r>
    <x v="0"/>
    <x v="1"/>
    <x v="3"/>
    <x v="8"/>
    <x v="1"/>
    <x v="49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1"/>
    <x v="50"/>
    <m/>
    <m/>
    <m/>
    <m/>
    <m/>
    <m/>
    <m/>
    <m/>
    <m/>
    <m/>
    <m/>
    <n v="0"/>
    <n v="99.978142000000005"/>
    <n v="-99978142"/>
    <m/>
    <n v="-99978142"/>
    <m/>
    <m/>
    <m/>
    <n v="7"/>
    <n v="0"/>
    <n v="-4.6267440000000002E-4"/>
    <s v="CB18O11B"/>
    <m/>
    <s v="Bank of Thailand Bond"/>
    <s v="พันธบัตรธนาคารแห่งประเทศไทยงวดที่ 28/91/61"/>
    <s v="พันธบัตรธนาคารแห่งประเทศไทยงวดที่ 28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93"/>
    <s v=" "/>
    <s v="THAILAND"/>
    <s v="THAILAND"/>
    <s v="TH"/>
    <s v=" "/>
    <n v="0"/>
    <b v="0"/>
    <s v="TRANSFERABLE"/>
    <s v=" "/>
    <s v=" "/>
    <b v="0"/>
    <b v="0"/>
    <m/>
    <m/>
    <s v="TH0655E7SA87"/>
    <m/>
    <m/>
    <m/>
    <m/>
    <m/>
    <m/>
  </r>
  <r>
    <x v="0"/>
    <x v="1"/>
    <x v="3"/>
    <x v="8"/>
    <x v="1"/>
    <x v="125"/>
    <m/>
    <m/>
    <m/>
    <m/>
    <m/>
    <m/>
    <m/>
    <m/>
    <m/>
    <m/>
    <m/>
    <n v="0"/>
    <n v="99.963483999999994"/>
    <n v="-2772987059.8000002"/>
    <m/>
    <n v="-2772987059.8000002"/>
    <m/>
    <m/>
    <m/>
    <n v="7"/>
    <n v="0"/>
    <n v="-1.2832705E-2"/>
    <s v="CB18O16A"/>
    <m/>
    <s v="BOT61/39/14D"/>
    <s v="พันธบัตรธนาคารแห่งประเทศไทยงวดที่ พ.39/14/61"/>
    <s v="พันธบัตรธนาคารแห่งประเทศไทยงวดที่ พ.39/14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5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1"/>
    <x v="53"/>
    <m/>
    <m/>
    <m/>
    <m/>
    <m/>
    <m/>
    <m/>
    <m/>
    <m/>
    <m/>
    <m/>
    <n v="0"/>
    <n v="99.933879000000005"/>
    <n v="-129914042.7"/>
    <m/>
    <n v="-129914042.7"/>
    <m/>
    <m/>
    <m/>
    <n v="7"/>
    <n v="0"/>
    <n v="-6.0121040000000005E-4"/>
    <s v="CB18O25A"/>
    <m/>
    <s v="Bank of Thailand Bond"/>
    <s v="พันธบัตรธนาคารแห่งประเทศไทยงวดที่ 17/182/61"/>
    <s v="พันธบัตรธนาคารแห่งประเทศไทยงวดที่ 1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16"/>
    <s v=" "/>
    <s v="THAILAND"/>
    <s v="THAILAND"/>
    <s v="TH"/>
    <s v=" "/>
    <n v="0"/>
    <b v="0"/>
    <s v="TRANSFERABLE"/>
    <s v=" "/>
    <s v=" "/>
    <b v="0"/>
    <b v="0"/>
    <m/>
    <m/>
    <s v="TH0655C7SA81"/>
    <m/>
    <m/>
    <m/>
    <m/>
    <m/>
    <m/>
  </r>
  <r>
    <x v="0"/>
    <x v="1"/>
    <x v="3"/>
    <x v="8"/>
    <x v="1"/>
    <x v="126"/>
    <m/>
    <m/>
    <m/>
    <m/>
    <m/>
    <m/>
    <m/>
    <m/>
    <m/>
    <m/>
    <m/>
    <n v="0"/>
    <n v="99.628932000000006"/>
    <n v="-301875662.52999997"/>
    <m/>
    <n v="-301875662.52999997"/>
    <m/>
    <m/>
    <m/>
    <n v="7"/>
    <n v="0"/>
    <n v="-1.3970066000000001E-3"/>
    <s v="CB19103A"/>
    <m/>
    <s v="Bank of Thailand Bond"/>
    <s v="พันธบัตรธนาคารแห่งประเทศไทยงวดที่ 27/182/61"/>
    <s v="พันธบัตรธนาคารแห่งประเทศไทยงวดที่ 27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86"/>
    <s v=" "/>
    <s v="THAILAND"/>
    <s v="THAILAND"/>
    <s v="TH"/>
    <s v=" "/>
    <n v="0"/>
    <b v="0"/>
    <s v="TRANSFERABLE"/>
    <s v=" "/>
    <s v=" "/>
    <b v="0"/>
    <b v="0"/>
    <m/>
    <m/>
    <s v="TH065507T180"/>
    <m/>
    <m/>
    <m/>
    <m/>
    <m/>
    <m/>
  </r>
  <r>
    <x v="0"/>
    <x v="1"/>
    <x v="3"/>
    <x v="8"/>
    <x v="1"/>
    <x v="55"/>
    <m/>
    <m/>
    <m/>
    <m/>
    <m/>
    <m/>
    <m/>
    <m/>
    <m/>
    <m/>
    <m/>
    <n v="0"/>
    <n v="99.629741999999993"/>
    <n v="-6394236863.75"/>
    <m/>
    <n v="-6394236863.75"/>
    <m/>
    <m/>
    <m/>
    <n v="7"/>
    <n v="0"/>
    <n v="-2.95909624E-2"/>
    <s v="CB19103B"/>
    <m/>
    <s v="BOT61/40/91D"/>
    <s v="พันธบัตรธนาคารแห่งประเทศไทยงวดที่ 40/91/61"/>
    <s v="พันธบัตรธนาคารแห่งประเทศไทยงวดที่ 40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77"/>
    <s v=" "/>
    <s v="THAILAND"/>
    <s v="THAILAND"/>
    <s v="TH"/>
    <s v=" "/>
    <n v="0"/>
    <b v="0"/>
    <s v="TRANSFERABLE"/>
    <s v=" "/>
    <s v=" "/>
    <b v="0"/>
    <b v="0"/>
    <m/>
    <m/>
    <s v=" "/>
    <m/>
    <m/>
    <m/>
    <m/>
    <m/>
    <m/>
  </r>
  <r>
    <x v="0"/>
    <x v="1"/>
    <x v="3"/>
    <x v="8"/>
    <x v="2"/>
    <x v="49"/>
    <m/>
    <m/>
    <m/>
    <m/>
    <m/>
    <m/>
    <m/>
    <m/>
    <m/>
    <m/>
    <m/>
    <n v="0"/>
    <n v="99.981263999999996"/>
    <n v="-23995503.359999999"/>
    <m/>
    <n v="-23995503.359999999"/>
    <m/>
    <m/>
    <m/>
    <n v="7"/>
    <n v="0"/>
    <n v="-1.110453E-4"/>
    <s v="CB18O11A"/>
    <m/>
    <s v="Bank of Thailand Bond"/>
    <s v="พันธบัตรธนาคารแห่งประเทศไทยงวดที่ 15/182/61"/>
    <s v="พันธบัตรธนาคารแห่งประเทศไทยงวดที่ 15/182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202"/>
    <s v=" "/>
    <s v="THAILAND"/>
    <s v="THAILAND"/>
    <s v="TH"/>
    <s v=" "/>
    <n v="0"/>
    <b v="0"/>
    <s v="TRANSFERABLE"/>
    <s v=" "/>
    <s v=" "/>
    <b v="0"/>
    <b v="0"/>
    <m/>
    <m/>
    <s v="TH0655A7SA85"/>
    <m/>
    <m/>
    <m/>
    <m/>
    <m/>
    <m/>
  </r>
  <r>
    <x v="0"/>
    <x v="1"/>
    <x v="3"/>
    <x v="8"/>
    <x v="2"/>
    <x v="52"/>
    <m/>
    <m/>
    <m/>
    <m/>
    <m/>
    <m/>
    <m/>
    <m/>
    <m/>
    <m/>
    <m/>
    <n v="0"/>
    <n v="99.959413999999995"/>
    <n v="-16993100.379999999"/>
    <m/>
    <n v="-16993100.379999999"/>
    <m/>
    <m/>
    <m/>
    <n v="7"/>
    <n v="0"/>
    <n v="-7.8639899999999999E-5"/>
    <s v="CB18O18B"/>
    <m/>
    <s v="Bank of Thailand Bond"/>
    <s v="พันธบัตรธนาคารแห่งประเทศไทยงวดที่ 29/91/61"/>
    <s v="พันธบัตรธนาคารแห่งประเทศไทยงวดที่ 29/91/61"/>
    <s v="Bond"/>
    <s v="BOT"/>
    <s v="0DisAc365U"/>
    <s v="BOT BOND"/>
    <m/>
    <s v="*BOND"/>
    <s v=" "/>
    <s v=" "/>
    <s v="ThaiBMA"/>
    <s v="THB"/>
    <s v=" "/>
    <s v=" "/>
    <s v="P/O"/>
    <s v=" "/>
    <s v="DISCOUNT"/>
    <m/>
    <m/>
    <s v="BANK OF THAILAND"/>
    <s v="ธนาคารแห่งประเทศไทย"/>
    <s v=" "/>
    <s v=" "/>
    <s v=" "/>
    <s v=" "/>
    <s v=" "/>
    <s v="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n v="43300"/>
    <s v=" "/>
    <s v="THAILAND"/>
    <s v="THAILAND"/>
    <s v="TH"/>
    <s v=" "/>
    <n v="0"/>
    <b v="0"/>
    <s v="TRANSFERABLE"/>
    <s v=" "/>
    <s v=" "/>
    <b v="0"/>
    <b v="0"/>
    <m/>
    <m/>
    <s v="TH0655F7SA84"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3958.99"/>
    <m/>
    <m/>
    <m/>
    <m/>
    <m/>
    <n v="0"/>
    <n v="0"/>
    <n v="-1.1089999999999999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255000"/>
    <m/>
    <m/>
    <m/>
    <m/>
    <m/>
    <n v="0"/>
    <n v="0"/>
    <n v="-1.1800999999999999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9"/>
    <x v="3"/>
    <x v="67"/>
    <m/>
    <m/>
    <m/>
    <m/>
    <m/>
    <m/>
    <m/>
    <m/>
    <m/>
    <m/>
    <m/>
    <m/>
    <m/>
    <n v="-10000"/>
    <m/>
    <m/>
    <m/>
    <m/>
    <m/>
    <n v="0"/>
    <n v="0"/>
    <n v="-4.62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0"/>
    <x v="0"/>
    <x v="68"/>
    <m/>
    <m/>
    <m/>
    <m/>
    <m/>
    <m/>
    <m/>
    <m/>
    <m/>
    <m/>
    <m/>
    <m/>
    <m/>
    <n v="-2151301.63"/>
    <n v="0"/>
    <m/>
    <m/>
    <m/>
    <m/>
    <n v="0"/>
    <n v="0"/>
    <n v="-9.9557000000000002E-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182.17"/>
    <m/>
    <m/>
    <m/>
    <m/>
    <m/>
    <n v="0"/>
    <n v="0"/>
    <n v="-1.9399999999999998E-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2"/>
    <x v="5"/>
    <x v="69"/>
    <m/>
    <m/>
    <m/>
    <m/>
    <m/>
    <m/>
    <m/>
    <m/>
    <m/>
    <m/>
    <m/>
    <m/>
    <m/>
    <n v="-424.95"/>
    <m/>
    <m/>
    <m/>
    <m/>
    <m/>
    <n v="0"/>
    <n v="0"/>
    <n v="-2.0000000000000001E-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4"/>
    <x v="7"/>
    <x v="68"/>
    <m/>
    <m/>
    <m/>
    <m/>
    <m/>
    <m/>
    <m/>
    <m/>
    <m/>
    <m/>
    <m/>
    <m/>
    <m/>
    <n v="-3691405.22"/>
    <m/>
    <n v="-3691405.22"/>
    <m/>
    <m/>
    <m/>
    <n v="0"/>
    <n v="0"/>
    <n v="-1.7082899999999999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3"/>
    <x v="13"/>
    <x v="6"/>
    <x v="68"/>
    <m/>
    <m/>
    <m/>
    <m/>
    <m/>
    <m/>
    <m/>
    <m/>
    <m/>
    <m/>
    <m/>
    <m/>
    <m/>
    <n v="-75526589.790000007"/>
    <m/>
    <n v="-75526589.790000007"/>
    <m/>
    <m/>
    <m/>
    <n v="0"/>
    <n v="0"/>
    <n v="-3.4951859999999998E-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4"/>
    <x v="7"/>
    <x v="68"/>
    <m/>
    <m/>
    <m/>
    <m/>
    <m/>
    <m/>
    <m/>
    <m/>
    <m/>
    <m/>
    <m/>
    <m/>
    <m/>
    <n v="-110857.09"/>
    <m/>
    <n v="-110857.09"/>
    <m/>
    <m/>
    <m/>
    <n v="0"/>
    <n v="0"/>
    <n v="-5.13E-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  <r>
    <x v="0"/>
    <x v="1"/>
    <x v="4"/>
    <x v="13"/>
    <x v="6"/>
    <x v="68"/>
    <m/>
    <m/>
    <m/>
    <m/>
    <m/>
    <m/>
    <m/>
    <m/>
    <m/>
    <m/>
    <m/>
    <m/>
    <m/>
    <n v="-2323243.7400000002"/>
    <m/>
    <n v="-2323243.7400000002"/>
    <m/>
    <m/>
    <m/>
    <n v="0"/>
    <n v="0"/>
    <n v="-1.07514E-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กองทุนเปิดไทยพาณิชย์ตราสารหนี้ระยะสั้น พลัส"/>
    <s v="SCB Short Term Fixed Income Plus Fund"/>
    <s v="MTF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F46F1-C2A1-4941-A716-AC53703491DF}" name="PivotTable1" cacheId="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5:K35" firstHeaderRow="0" firstDataRow="1" firstDataCol="3" rowPageCount="2" colPageCount="1"/>
  <pivotFields count="114">
    <pivotField axis="axisPage" compact="0" outline="0" showAll="0" defaultSubtotal="0">
      <items count="1">
        <item x="0"/>
      </items>
    </pivotField>
    <pivotField axis="axisPage" compact="0" outline="0" multipleItemSelectionAllowed="1" showAll="0" defaultSubtotal="0">
      <items count="4">
        <item h="1" x="3"/>
        <item x="0"/>
        <item h="1" x="1"/>
        <item h="1" x="2"/>
      </items>
    </pivotField>
    <pivotField axis="axisRow" compact="0" outline="0" showAll="0" sortType="descending" defaultSubtotal="0">
      <items count="5">
        <item x="0"/>
        <item x="4"/>
        <item x="1"/>
        <item x="2"/>
        <item x="3"/>
      </items>
    </pivotField>
    <pivotField axis="axisRow" compact="0" outline="0" showAll="0" defaultSubtotal="0">
      <items count="19">
        <item x="9"/>
        <item x="18"/>
        <item sd="0" x="4"/>
        <item x="8"/>
        <item sd="0" x="0"/>
        <item x="14"/>
        <item x="5"/>
        <item x="13"/>
        <item x="10"/>
        <item sd="0" x="1"/>
        <item x="3"/>
        <item x="2"/>
        <item x="6"/>
        <item x="7"/>
        <item x="11"/>
        <item x="12"/>
        <item x="15"/>
        <item x="16"/>
        <item x="17"/>
      </items>
    </pivotField>
    <pivotField compact="0" outline="0" showAll="0" defaultSubtotal="0">
      <items count="10">
        <item x="3"/>
        <item x="7"/>
        <item x="6"/>
        <item x="1"/>
        <item x="0"/>
        <item x="2"/>
        <item x="4"/>
        <item x="5"/>
        <item x="8"/>
        <item x="9"/>
      </items>
    </pivotField>
    <pivotField axis="axisRow" compact="0" outline="0" showAll="0" defaultSubtotal="0">
      <items count="214">
        <item x="67"/>
        <item x="213"/>
        <item x="5"/>
        <item x="211"/>
        <item x="35"/>
        <item x="36"/>
        <item x="37"/>
        <item x="122"/>
        <item x="123"/>
        <item x="38"/>
        <item x="39"/>
        <item x="40"/>
        <item x="41"/>
        <item x="43"/>
        <item x="45"/>
        <item x="46"/>
        <item x="47"/>
        <item x="48"/>
        <item x="49"/>
        <item x="50"/>
        <item x="125"/>
        <item x="51"/>
        <item x="52"/>
        <item x="53"/>
        <item x="54"/>
        <item x="55"/>
        <item x="208"/>
        <item x="206"/>
        <item x="17"/>
        <item x="21"/>
        <item x="96"/>
        <item x="212"/>
        <item x="209"/>
        <item x="210"/>
        <item x="120"/>
        <item x="153"/>
        <item x="6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42"/>
        <item x="44"/>
        <item x="56"/>
        <item x="57"/>
        <item x="58"/>
        <item x="59"/>
        <item x="60"/>
        <item x="61"/>
        <item x="62"/>
        <item x="63"/>
        <item x="64"/>
        <item x="65"/>
        <item x="66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ubtotalTop="0" dragToRow="0" dragToCol="0" dragToPage="0" showAll="0" defaultSubtotal="0"/>
  </pivotFields>
  <rowFields count="3">
    <field x="2"/>
    <field x="3"/>
    <field x="5"/>
  </rowFields>
  <rowItems count="30">
    <i>
      <x/>
      <x v="2"/>
    </i>
    <i r="1">
      <x v="4"/>
    </i>
    <i r="1">
      <x v="6"/>
      <x v="71"/>
    </i>
    <i r="1">
      <x v="9"/>
    </i>
    <i r="1">
      <x v="10"/>
      <x v="68"/>
    </i>
    <i r="1">
      <x v="11"/>
      <x v="64"/>
    </i>
    <i r="2">
      <x v="65"/>
    </i>
    <i r="2">
      <x v="66"/>
    </i>
    <i r="2">
      <x v="67"/>
    </i>
    <i>
      <x v="1"/>
      <x v="5"/>
      <x v="36"/>
    </i>
    <i r="1">
      <x v="7"/>
      <x v="36"/>
    </i>
    <i r="1">
      <x v="14"/>
      <x v="36"/>
    </i>
    <i>
      <x v="2"/>
      <x v="12"/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>
      <x v="3"/>
      <x v="13"/>
      <x v="2"/>
    </i>
    <i>
      <x v="4"/>
      <x/>
      <x/>
    </i>
    <i r="1">
      <x v="3"/>
      <x v="25"/>
    </i>
    <i r="1">
      <x v="5"/>
      <x v="36"/>
    </i>
    <i r="1">
      <x v="7"/>
      <x v="36"/>
    </i>
    <i r="1">
      <x v="8"/>
      <x v="36"/>
    </i>
    <i r="1">
      <x v="14"/>
      <x v="36"/>
    </i>
    <i r="1">
      <x v="15"/>
      <x v="82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1" hier="-1"/>
    <pageField fld="0" hier="-1"/>
  </pageFields>
  <dataFields count="8">
    <dataField name="Sum of HLD_CouponRate" fld="15" baseField="0" baseItem="0"/>
    <dataField name="Sum of HLD_MaturityDate" fld="13" baseField="5" baseItem="21" numFmtId="14"/>
    <dataField name="Sum of HLD_Yield" fld="16" baseField="0" baseItem="0"/>
    <dataField name="Sum of HLD_MarketValue" fld="19" baseField="0" baseItem="0"/>
    <dataField name="Sum of HLD_YieldCost" fld="26" baseField="0" baseItem="0"/>
    <dataField name="Sum of HLD_ModDuration" fld="22" baseField="0" baseItem="0"/>
    <dataField name="Sum of HLD_Quantity" fld="17" baseField="0" baseItem="0"/>
    <dataField name="Sum of Term" fld="113" baseField="0" baseItem="0"/>
  </dataFields>
  <formats count="4">
    <format dxfId="1754">
      <pivotArea outline="0" fieldPosition="0">
        <references count="1">
          <reference field="4294967294" count="1" selected="0">
            <x v="7"/>
          </reference>
        </references>
      </pivotArea>
    </format>
    <format dxfId="1753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752">
      <pivotArea outline="0" fieldPosition="0">
        <references count="1">
          <reference field="4294967294" count="1" selected="0">
            <x v="1"/>
          </reference>
        </references>
      </pivotArea>
    </format>
    <format dxfId="175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1DDF0A-2389-4459-8649-6EC9BE97B19F}" name="DataTable" displayName="DataTable" ref="A1:DJ362" totalsRowShown="0" headerRowDxfId="1748">
  <autoFilter ref="A1:DJ362" xr:uid="{4F428D7B-6081-414F-BF45-A4CBEF176C06}"/>
  <tableColumns count="114">
    <tableColumn id="1" xr3:uid="{662C0559-4A07-49E0-B21A-5B8E48AE7738}" name="HLD_Date" dataDxfId="1750"/>
    <tableColumn id="2" xr3:uid="{369F954D-D37D-4E3E-A59F-A0D722D54C29}" name="HLD_Portfolio"/>
    <tableColumn id="3" xr3:uid="{676F38C1-A81F-492A-A17D-60BE42B5B847}" name="Group1"/>
    <tableColumn id="4" xr3:uid="{492F00D5-6298-4F18-B532-89EC5EDD76CD}" name="Group2"/>
    <tableColumn id="5" xr3:uid="{E2839E35-1BFC-4F1C-81C6-CE838D091B00}" name="Group3"/>
    <tableColumn id="6" xr3:uid="{8BDBF625-6038-48EA-8CFD-147E5914C635}" name="HLD_SecCode"/>
    <tableColumn id="7" xr3:uid="{41C2EA8F-F2EF-4244-8E71-D7EFC7BFFC5C}" name="HLD_SecRating"/>
    <tableColumn id="8" xr3:uid="{039A9DD8-CA7B-4C0E-AA71-130812ACFB58}" name="HLD_Issuer"/>
    <tableColumn id="9" xr3:uid="{8D0B9F53-B847-48E0-A8B8-511BA341544A}" name="HLD_IssType"/>
    <tableColumn id="10" xr3:uid="{A8BB678F-7D80-4B22-B408-D0E17025640B}" name="HLD_IssIndustry"/>
    <tableColumn id="11" xr3:uid="{AD5B9271-5CC8-438E-822B-A9A472C86A1E}" name="HLD_Rating"/>
    <tableColumn id="12" xr3:uid="{4764E0D9-7F39-4CEC-8316-3735664F1AFF}" name="HLD_Aval"/>
    <tableColumn id="13" xr3:uid="{D7824A23-E1FE-4E1A-A673-14D2CEBDB124}" name="HLD_Recourse"/>
    <tableColumn id="14" xr3:uid="{1FB085A8-EA9E-47C6-909A-2F0F18F88306}" name="HLD_MaturityDate" dataDxfId="1749"/>
    <tableColumn id="15" xr3:uid="{ECEF717E-39C7-4EFB-A13A-82C3300AA09C}" name="HLD_SecDTM"/>
    <tableColumn id="16" xr3:uid="{37D3AC10-6B42-4A2A-A0A6-F77A094829E5}" name="HLD_CouponRate"/>
    <tableColumn id="17" xr3:uid="{284BA6CF-FBBE-4510-AD41-2672C7893617}" name="HLD_Yield"/>
    <tableColumn id="18" xr3:uid="{14F45FEB-527C-4970-B083-7774B2A38776}" name="HLD_Quantity"/>
    <tableColumn id="19" xr3:uid="{CEB746E7-A816-41B5-B40A-668A0A47E883}" name="HLD_Price"/>
    <tableColumn id="20" xr3:uid="{F57B49AA-7BA8-4337-BA9C-205A3DE804E6}" name="HLD_MarketValue"/>
    <tableColumn id="21" xr3:uid="{E9665DAD-E5EF-4B64-B26B-7DA90E772C3A}" name="HLD_AI"/>
    <tableColumn id="22" xr3:uid="{CAB12031-24F0-408A-8355-74AD94AF4289}" name="HLD_Cost"/>
    <tableColumn id="23" xr3:uid="{FF9961DC-1E29-4A09-B4DE-A1E526390B54}" name="HLD_ModDuration"/>
    <tableColumn id="24" xr3:uid="{754CF1CA-4322-42AB-99A1-AF6C419BD936}" name="HLD_Principal"/>
    <tableColumn id="25" xr3:uid="{AAE0A224-DC7F-422F-A9D5-CBEB7F94ED4A}" name="HLD_Remark"/>
    <tableColumn id="26" xr3:uid="{BA7F349B-CA61-440F-A26D-57634E80C421}" name="HLD_PriceCost"/>
    <tableColumn id="27" xr3:uid="{CF98FD7D-410E-4332-9B75-2D727D273359}" name="HLD_YieldCost"/>
    <tableColumn id="28" xr3:uid="{4E9EE472-96F1-4D2C-9755-4A8C68E643DA}" name="HLD_Ratio"/>
    <tableColumn id="29" xr3:uid="{5B94325C-5D6D-4DFD-84D1-54E6A305A490}" name="SEC_Code1"/>
    <tableColumn id="30" xr3:uid="{43FC44EA-FA30-47B6-B74D-83AB278E884B}" name="SEC_Code2"/>
    <tableColumn id="31" xr3:uid="{1769D0E0-FB48-4CD4-AAA8-8359D3068534}" name="SEC_Desc"/>
    <tableColumn id="32" xr3:uid="{C7FA5249-CFBE-4E1E-A101-BFEB966A9E1B}" name="SEC_THDesc"/>
    <tableColumn id="33" xr3:uid="{1B40CCE4-8414-46D1-B848-8D448A08CDAE}" name="SEC_THDescFull"/>
    <tableColumn id="34" xr3:uid="{EAB148EC-F95B-416A-A56D-F9523BBD9D43}" name="SEC_Class"/>
    <tableColumn id="35" xr3:uid="{0351DF4A-D4E6-4D60-BA99-71CE7C08E193}" name="SEC_Issuer"/>
    <tableColumn id="36" xr3:uid="{C5D7A8A9-AB72-46F0-8498-64DF47C1E031}" name="SEC_SecType"/>
    <tableColumn id="37" xr3:uid="{EA898F3E-2C9A-48C1-AA77-6959C85D3579}" name="SEC_UDFSecType"/>
    <tableColumn id="38" xr3:uid="{5EB4C92C-F206-4416-B7A8-C1F434BDDA1B}" name="SEC_UDFSecType2"/>
    <tableColumn id="39" xr3:uid="{B7457FAB-BA83-4A90-A6A5-CFB43E8C910D}" name="SEC_Industry"/>
    <tableColumn id="40" xr3:uid="{AD7124EF-2589-4F8D-ACF4-B341F9CFEE88}" name="SEC_GroupIndustry"/>
    <tableColumn id="41" xr3:uid="{7D9AB214-D203-4958-A37C-3C87708B77B5}" name="SEC_FundPolicy"/>
    <tableColumn id="42" xr3:uid="{96DBE7CE-A1D5-4F1F-99F8-B870ACE6975A}" name="SEC_Exchange"/>
    <tableColumn id="43" xr3:uid="{54EE5D61-37E3-4F4A-8DC3-EDC664AADD9F}" name="SEC_Currency"/>
    <tableColumn id="44" xr3:uid="{7115AADB-FBC6-4F24-A043-DD01FE2917E6}" name="SEC_SnPRate"/>
    <tableColumn id="45" xr3:uid="{A124805E-D482-401C-9FD2-73B6A9A9FECE}" name="SEC_MoodyRate"/>
    <tableColumn id="46" xr3:uid="{D6CF9E6A-0EE2-4A40-9B14-DF42D673BD0E}" name="SEC_DistributionChnnel"/>
    <tableColumn id="47" xr3:uid="{D84F8129-A59B-4828-955A-7154FA301829}" name="SEC_LiquidityType"/>
    <tableColumn id="48" xr3:uid="{A0E9663B-6681-4B22-A74F-BADDB0AD6AB3}" name="SEC_MTMMethod"/>
    <tableColumn id="49" xr3:uid="{37748FC0-20F0-43DA-B6A6-9444566612AB}" name="SEC_Rating"/>
    <tableColumn id="50" xr3:uid="{19881DFC-31A3-4A5F-97D6-C3F514F69856}" name="SEC_RatingLevel"/>
    <tableColumn id="51" xr3:uid="{5511E1B0-8AEE-4058-B150-18570E4511DF}" name="SEC_ISS_IssDescEng"/>
    <tableColumn id="52" xr3:uid="{BFBE6B82-383F-4997-B4A7-418A547F121C}" name="SEC_ISS_IssDescTh"/>
    <tableColumn id="53" xr3:uid="{0172F3C9-6248-4130-8BB7-100B8970E997}" name="SEC_ISS_IssType"/>
    <tableColumn id="54" xr3:uid="{21D5DF49-BF85-47C0-A30E-C557F536A800}" name="SEC_ISS_TRIS_Rating"/>
    <tableColumn id="55" xr3:uid="{8A6450B7-BA79-45A3-90B9-C04E355E8DBB}" name="SEC_ISS_FITCH_Rating"/>
    <tableColumn id="56" xr3:uid="{991715DE-231F-49A6-A6C6-3FF999C2C5AE}" name="SEC_ISS_IssNonFinance"/>
    <tableColumn id="57" xr3:uid="{9C29A1B9-B8E7-4DDE-A5CC-F56188242763}" name="SEC_ISS_SnP_Rating"/>
    <tableColumn id="58" xr3:uid="{FA8663BD-61C6-49BC-B3B4-47EE0BCF8929}" name="SEC_ISS_Moody_Rating"/>
    <tableColumn id="59" xr3:uid="{4CE8C146-5F89-4491-8053-E6575AEDC43B}" name="SEC_ISS_IssRating"/>
    <tableColumn id="60" xr3:uid="{98105C8A-0A45-4712-955E-9B1B70A09960}" name="SEC_ISS_IssRatingLevel"/>
    <tableColumn id="61" xr3:uid="{78174957-A39A-4660-9F8C-AB5DB1529AA4}" name="SEC_ISS_Code1"/>
    <tableColumn id="62" xr3:uid="{615F39AD-662B-43E3-815D-3051FD49E19A}" name="SEC_ISS_Code2"/>
    <tableColumn id="63" xr3:uid="{9D348A5D-351C-4FFC-8FCB-86236CF05ED6}" name="AVAL_Code1"/>
    <tableColumn id="64" xr3:uid="{67D62752-440B-4B07-99C3-A613345E58D4}" name="AVAL_Code2"/>
    <tableColumn id="65" xr3:uid="{BD947826-0E65-48BD-A811-E569679C0DD4}" name="AVAL_IssDescEng"/>
    <tableColumn id="66" xr3:uid="{A51FF193-346C-4290-AE45-362509DD3148}" name="AVAL_IssDescTh"/>
    <tableColumn id="67" xr3:uid="{1E333148-A385-4C0D-BA8B-2F746B52E362}" name="AVAL_IssType"/>
    <tableColumn id="68" xr3:uid="{4B27EE42-378C-4549-8B0A-A201E8031A09}" name="AVAL_TRIS_Rating"/>
    <tableColumn id="69" xr3:uid="{EB399E75-74A3-451E-A38E-3B61C8BF1FFA}" name="AVAL_FITCH_Rating"/>
    <tableColumn id="70" xr3:uid="{54FBA901-DE22-40A3-8616-7DB0FC8CAAF7}" name="AVAL_IssNonFinance"/>
    <tableColumn id="71" xr3:uid="{13E36DE1-F0F7-40EA-972E-5F0AE8C0DF88}" name="AVAL_SnP_Rating"/>
    <tableColumn id="72" xr3:uid="{A7C67393-6714-49E0-A1D4-9513F533AC68}" name="AVAL_Moody_Rating"/>
    <tableColumn id="73" xr3:uid="{5E514211-A55A-485A-B2AB-907D4B5ACA2D}" name="AVAL_IssRating"/>
    <tableColumn id="74" xr3:uid="{63F532B5-030C-46B6-B70F-3488878CFD63}" name="AVAL_IssRatingLevel"/>
    <tableColumn id="75" xr3:uid="{6DCBADA5-7335-404B-87DC-2E258FF2A80F}" name="AVAL_IssPNOutstand"/>
    <tableColumn id="76" xr3:uid="{72DA5C12-D998-4BFC-96CD-AE8737D2751A}" name="Recourse_Code1"/>
    <tableColumn id="77" xr3:uid="{CEDBB8DC-6262-4274-82E7-27DBC1FDCE19}" name="Recourse_Code2"/>
    <tableColumn id="78" xr3:uid="{CC9EB380-118D-4D6A-B066-6F376DD279C0}" name="Recourse_IssDescEng"/>
    <tableColumn id="79" xr3:uid="{5DE5C914-38D8-48E5-B9CB-B86939E9E6A2}" name="Recourse_IssDescTh"/>
    <tableColumn id="80" xr3:uid="{5A133230-5EB9-4BBF-971F-EDC93D8D752A}" name="Recourse_IssType"/>
    <tableColumn id="81" xr3:uid="{EB59752B-5FF0-4F13-89A2-BDA2BA1F05C0}" name="Recourse_TRIS_Rating"/>
    <tableColumn id="82" xr3:uid="{1FAC33ED-E272-408E-B8EC-1B0BB429C294}" name="Recourse_FITCH_Rating"/>
    <tableColumn id="83" xr3:uid="{7173F12F-C78F-4586-B100-FF815081BA4B}" name="Recourse_IssNonFinance"/>
    <tableColumn id="84" xr3:uid="{B57F9892-DF20-4EF1-AB31-13AC60A53FB0}" name="Recourse_SnP_Rating"/>
    <tableColumn id="85" xr3:uid="{CA6EA29A-DB43-46F3-B482-EBD2547EFF9A}" name="Recourse_Moody_Rating"/>
    <tableColumn id="86" xr3:uid="{D052872B-30C2-41E9-8C6E-83C6842DD840}" name="Recourse_IssRating"/>
    <tableColumn id="87" xr3:uid="{232F1B69-AAB6-47A2-A6E7-BD2BBA1FC8D6}" name="Recourse_IssRatingLevel"/>
    <tableColumn id="88" xr3:uid="{A87C6470-E7F1-403D-8DCA-3F3665DFDB0B}" name="Recourse_IssPNOutstand"/>
    <tableColumn id="89" xr3:uid="{14AD0124-29D2-4EF1-A941-152513AD945A}" name="Portfolio_NameTH"/>
    <tableColumn id="90" xr3:uid="{3142E69F-0C38-44A0-9FFC-4B00F16876D4}" name="Portfolio_NameEN"/>
    <tableColumn id="91" xr3:uid="{F8B6F839-1BB3-4AB8-8706-856FD431BDE2}" name="Porfolio_Class"/>
    <tableColumn id="92" xr3:uid="{E5BCB05D-FC21-408D-876A-4C1D90B2B384}" name="SEC_Issue_Date" dataDxfId="1746"/>
    <tableColumn id="93" xr3:uid="{6CC1E570-27A7-4EC7-A0E8-D43D3DE1B0F3}" name="Structure_Note"/>
    <tableColumn id="94" xr3:uid="{36E487D5-CCD4-4343-B796-48E77D5B5E0F}" name="SecCountry"/>
    <tableColumn id="95" xr3:uid="{115CB410-1655-48E3-8961-7BA1CBE12C38}" name="SEC_ISS_Country1"/>
    <tableColumn id="96" xr3:uid="{FB633DB2-0320-480F-8231-BF32680133C8}" name="SEC_ISS_ISO_Country1"/>
    <tableColumn id="97" xr3:uid="{1053F0EB-4955-425A-A059-8EC705BAA261}" name="SEC_UnderlyingAsset"/>
    <tableColumn id="98" xr3:uid="{D08D5520-2C11-4A37-84BC-9BC8A4EE338E}" name="TOTDepositLimit"/>
    <tableColumn id="99" xr3:uid="{08C2E8EF-48CB-489D-B25C-111F30449B38}" name="SEC_isAtCall"/>
    <tableColumn id="100" xr3:uid="{6D407741-35A0-4FFC-9E21-257BB9D5FA92}" name="SEC_Transferable"/>
    <tableColumn id="101" xr3:uid="{85EAB34C-078A-4AD9-AC6A-E4F48B5AF9AD}" name="SEC_ISS_Country2"/>
    <tableColumn id="102" xr3:uid="{876B27CE-DBB2-42C9-9154-24CA0946AD51}" name="SEC_ISS_ISO_Country2"/>
    <tableColumn id="103" xr3:uid="{A6D0B6EB-34D0-4B95-9406-10621BFC34D3}" name="IsAmor"/>
    <tableColumn id="104" xr3:uid="{0D1F836A-6367-47EF-A60D-223922A24A96}" name="IsFloat"/>
    <tableColumn id="105" xr3:uid="{B985A203-5D4F-4698-868C-494F52D48E7E}" name="FwdDealtRate"/>
    <tableColumn id="106" xr3:uid="{A98843C4-DCB7-47D1-8801-5A2674A47D0A}" name="SpotRate"/>
    <tableColumn id="107" xr3:uid="{2EC777F5-9161-46DF-A327-B9607B1002EA}" name="ISIN"/>
    <tableColumn id="108" xr3:uid="{B66E419A-3437-4DD5-B449-55C92FE51271}" name="DR_Cost"/>
    <tableColumn id="109" xr3:uid="{EECC3198-89E8-4F94-BA2E-B360B25FA74B}" name="DR_Market"/>
    <tableColumn id="110" xr3:uid="{AC0DCF4C-7A6E-4B77-B73E-DC6C616F044E}" name="DR_Underlying"/>
    <tableColumn id="111" xr3:uid="{2F1590D1-9B47-4F77-A9E0-DDEC5950A468}" name="DR_NotionalAmount"/>
    <tableColumn id="112" xr3:uid="{3628FB82-271C-424B-8EA8-A2EF564B65AC}" name="DR_CurrencyCode"/>
    <tableColumn id="113" xr3:uid="{52A30093-FE7A-4E53-8EF0-450999B30164}" name="DR_CurrencyRate"/>
    <tableColumn id="114" xr3:uid="{7A521CCA-D4CD-46B0-BADA-DEBFD4EE0872}" name="Term" dataDxfId="1745">
      <calculatedColumnFormula>DataTable[HLD_MaturityDate] - DataTable[SEC_Issue_Date]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F379E8-1AD5-417E-A64E-FCCC811876DA}" name="CashProjTable" displayName="CashProjTable" ref="A1:BC65" totalsRowShown="0">
  <autoFilter ref="A1:BC65" xr:uid="{8B0F7622-FCF9-4456-9D1C-C583EF1863C9}"/>
  <tableColumns count="55">
    <tableColumn id="1" xr3:uid="{14EFCE85-31E4-4FB2-B263-EAEC6254F6E4}" name="Portfolio"/>
    <tableColumn id="2" xr3:uid="{7208E05F-9F42-41BD-B40B-6B61481C12CD}" name="DescTh"/>
    <tableColumn id="3" xr3:uid="{07FEE2AF-5140-417E-B720-B40948AF04C0}" name="DescEng"/>
    <tableColumn id="4" xr3:uid="{CFA3385A-8E78-4591-AEAC-46AF3C628767}" name="Custodian"/>
    <tableColumn id="5" xr3:uid="{50632F17-511C-4817-9BF8-353F02F3E845}" name="CusFullName"/>
    <tableColumn id="6" xr3:uid="{29192D8F-17F2-432C-ABA3-A69E09BFE78C}" name="CustCurAcct"/>
    <tableColumn id="7" xr3:uid="{BC7A7381-0283-4CBF-A17C-0CB806FACD28}" name="CustSavAcct"/>
    <tableColumn id="8" xr3:uid="{D8FEAC4C-0443-4E50-9599-4F7C5976AA61}" name="SCBCurAcct"/>
    <tableColumn id="9" xr3:uid="{A0610D3A-5791-469E-A93F-9EFCD45A7114}" name="SCBSavAcct"/>
    <tableColumn id="10" xr3:uid="{3989097C-5471-4152-B7B5-36AC7D5721F8}" name="ProjDate" dataDxfId="1747"/>
    <tableColumn id="11" xr3:uid="{DDC37BE8-9406-416B-AF67-99707E785340}" name="EquityBuy"/>
    <tableColumn id="12" xr3:uid="{821DB783-33BB-40F3-9762-FAC91941FAF6}" name="EquitySell"/>
    <tableColumn id="13" xr3:uid="{AA285322-582F-482C-8C55-054E755BD043}" name="EquityDividend"/>
    <tableColumn id="14" xr3:uid="{635F24E9-7414-457F-81AC-B5ED42A86F2B}" name="DebtBuy"/>
    <tableColumn id="15" xr3:uid="{8CBFB842-6AF0-4AC4-8279-0CCF93945B42}" name="DebtSell"/>
    <tableColumn id="16" xr3:uid="{DBF070FD-9D00-4432-9C0C-DF9291106367}" name="DebtInterest"/>
    <tableColumn id="17" xr3:uid="{FD63F8B3-BD74-4755-9431-385CC5EA640D}" name="CashEqBuy"/>
    <tableColumn id="18" xr3:uid="{40E55E05-7AA1-4376-92BB-0E0CC011E594}" name="CashEqSell"/>
    <tableColumn id="19" xr3:uid="{214D04D6-80C4-45C5-A7AA-956E48BC0171}" name="CashEqInterest"/>
    <tableColumn id="20" xr3:uid="{3A79801C-7B66-4B2A-B7D6-3EF47698891A}" name="Expense"/>
    <tableColumn id="21" xr3:uid="{FA1D8F34-DF28-499D-909C-666F6A1D7890}" name="Application"/>
    <tableColumn id="22" xr3:uid="{A0588438-4982-4A82-88BD-0D40A32DD9F7}" name="Redemtion"/>
    <tableColumn id="23" xr3:uid="{3DC2D413-8BC6-4075-984A-84A3808F5273}" name="SwitchIn"/>
    <tableColumn id="24" xr3:uid="{0EA2A737-A973-425D-A170-3B8066DE243A}" name="SwitchOut"/>
    <tableColumn id="25" xr3:uid="{16B41CBB-90F3-4BF9-A3BA-66903DA073D7}" name="CashBal"/>
    <tableColumn id="26" xr3:uid="{C02BC371-B76A-48C3-9846-A99C30A446DB}" name="CashEqBal"/>
    <tableColumn id="27" xr3:uid="{131EFBF4-056F-40CB-A29C-58D7C583E444}" name="Remark"/>
    <tableColumn id="28" xr3:uid="{4F1D09D3-3BA5-4A23-88B7-7C578A6A358B}" name="FundManager"/>
    <tableColumn id="29" xr3:uid="{2E05D632-C8CA-4E26-93DF-4318399D1651}" name="FundNameTh"/>
    <tableColumn id="30" xr3:uid="{B6C5DC26-2EDC-4EFB-9B42-1C4D11F635C9}" name="FundNameEng"/>
    <tableColumn id="31" xr3:uid="{DB5805CC-756B-4279-9FD1-952076FC9E13}" name="DataIndex"/>
    <tableColumn id="32" xr3:uid="{F7B92787-ECF6-4A4C-B9E8-7D4E52E88D0C}" name="StatusT"/>
    <tableColumn id="33" xr3:uid="{72856269-5F04-465C-A22A-5FC15271B5AE}" name="EquityBuy_BahtNet"/>
    <tableColumn id="34" xr3:uid="{A5A4DA0A-1C5E-4020-8369-2DC9B1DB61B9}" name="EquitySell_BahtNet"/>
    <tableColumn id="35" xr3:uid="{2DF80442-E66B-438B-9E61-058C45092C9F}" name="DebtBuy_BahtNet"/>
    <tableColumn id="36" xr3:uid="{1996CE63-2397-4293-AFC4-66171869AA25}" name="DebtSell_BahtNet"/>
    <tableColumn id="37" xr3:uid="{05766494-CF7A-4789-86D4-D6D6E43EE0DC}" name="CashEqBuy_BahtNet"/>
    <tableColumn id="38" xr3:uid="{5E9CC3A5-6B6C-4DAF-9931-C65AD7A2A2BB}" name="CashEqSell_BahtNet"/>
    <tableColumn id="39" xr3:uid="{F224F825-97D0-4EAA-AE39-23EA7D3E86F6}" name="App_SCB_BahtNet"/>
    <tableColumn id="40" xr3:uid="{83369995-C193-4226-ADE5-78754E61D309}" name="App_Other_BahtNet"/>
    <tableColumn id="41" xr3:uid="{5DFC0F06-60CE-47EE-B189-B5F9FC14386B}" name="App_SCB_Cheque"/>
    <tableColumn id="42" xr3:uid="{AC8A8ED7-B4F5-4DAC-AF4A-04E3E6753BF6}" name="App_Other_Cheque"/>
    <tableColumn id="43" xr3:uid="{D2A2DC5C-DD59-4909-9DF5-A4DE224929FB}" name="CashForUse"/>
    <tableColumn id="44" xr3:uid="{CEFCDE7D-ADBE-491E-B8AA-C373E59125EE}" name="CashForBahtNet"/>
    <tableColumn id="45" xr3:uid="{796BC1F6-AF0D-475A-8F6B-CC2635896D11}" name="SwIn_SCB_BahtNet"/>
    <tableColumn id="46" xr3:uid="{E1FA44BA-923B-4F98-B953-205C399E3DA9}" name="SwIn_Other_BahtNet"/>
    <tableColumn id="47" xr3:uid="{7629FD31-1956-4267-8F94-508B45D9C732}" name="SwIn_SCB_Cheque"/>
    <tableColumn id="48" xr3:uid="{1B85AB80-AF69-4D80-8F0C-F732EE8E8577}" name="SwIn_Other_Cheque"/>
    <tableColumn id="49" xr3:uid="{18FA096D-5181-4FC6-8DBE-9028CD83A090}" name="OPSECCODE"/>
    <tableColumn id="50" xr3:uid="{A82D14C0-17F7-4194-97D7-B32327F16551}" name="OPSECNAME"/>
    <tableColumn id="51" xr3:uid="{8F4AFFCC-D21C-4A7B-BF25-BEDF87BB0115}" name="OPSECDATE"/>
    <tableColumn id="52" xr3:uid="{650FFB5F-A503-476E-9378-F206FC4FF401}" name="OPSECTIME"/>
    <tableColumn id="53" xr3:uid="{0D3802DC-C05E-4AB8-93C2-8CB87951A403}" name="CashForBahtNet1"/>
    <tableColumn id="54" xr3:uid="{AD45F4D2-562A-43DA-87EA-EF5A15732C91}" name="CashBal_SCB"/>
    <tableColumn id="55" xr3:uid="{DBB38CDA-7354-44CC-9FCD-01128189A233}" name="PortCla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D5A5-55A2-469F-BEBC-28BF38EE3FAA}">
  <sheetPr codeName="Sheet1"/>
  <dimension ref="A1:DI198"/>
  <sheetViews>
    <sheetView workbookViewId="0">
      <selection activeCell="C4" sqref="C4"/>
    </sheetView>
  </sheetViews>
  <sheetFormatPr defaultRowHeight="14.25" x14ac:dyDescent="0.2"/>
  <cols>
    <col min="1" max="1" width="12" bestFit="1" customWidth="1"/>
    <col min="2" max="2" width="38.25" bestFit="1" customWidth="1"/>
    <col min="3" max="3" width="41.25" bestFit="1" customWidth="1"/>
    <col min="4" max="4" width="10.375" bestFit="1" customWidth="1"/>
    <col min="5" max="5" width="27.125" bestFit="1" customWidth="1"/>
    <col min="6" max="6" width="12.5" bestFit="1" customWidth="1"/>
    <col min="7" max="8" width="12.75" bestFit="1" customWidth="1"/>
    <col min="9" max="9" width="12.375" bestFit="1" customWidth="1"/>
    <col min="10" max="10" width="10.375" bestFit="1" customWidth="1"/>
    <col min="11" max="11" width="10.5" bestFit="1" customWidth="1"/>
    <col min="12" max="12" width="10.625" bestFit="1" customWidth="1"/>
    <col min="13" max="13" width="15.375" bestFit="1" customWidth="1"/>
    <col min="14" max="14" width="10.375" bestFit="1" customWidth="1"/>
    <col min="15" max="15" width="9.875" bestFit="1" customWidth="1"/>
    <col min="16" max="16" width="13.25" bestFit="1" customWidth="1"/>
    <col min="17" max="17" width="11.375" bestFit="1" customWidth="1"/>
    <col min="18" max="18" width="11.5" bestFit="1" customWidth="1"/>
    <col min="19" max="19" width="15.625" bestFit="1" customWidth="1"/>
    <col min="20" max="20" width="10.875" bestFit="1" customWidth="1"/>
    <col min="21" max="21" width="11.875" bestFit="1" customWidth="1"/>
    <col min="22" max="22" width="11.125" bestFit="1" customWidth="1"/>
    <col min="23" max="23" width="9.5" bestFit="1" customWidth="1"/>
    <col min="24" max="24" width="10.875" bestFit="1" customWidth="1"/>
    <col min="25" max="26" width="11.875" bestFit="1" customWidth="1"/>
    <col min="27" max="27" width="8.375" bestFit="1" customWidth="1"/>
    <col min="28" max="28" width="13.875" bestFit="1" customWidth="1"/>
    <col min="29" max="29" width="18.25" bestFit="1" customWidth="1"/>
    <col min="30" max="30" width="26.625" bestFit="1" customWidth="1"/>
    <col min="31" max="31" width="10.875" bestFit="1" customWidth="1"/>
    <col min="32" max="32" width="8.25" bestFit="1" customWidth="1"/>
    <col min="33" max="33" width="19.625" bestFit="1" customWidth="1"/>
    <col min="34" max="34" width="19.75" bestFit="1" customWidth="1"/>
    <col min="35" max="35" width="18.125" bestFit="1" customWidth="1"/>
    <col min="36" max="36" width="18.25" bestFit="1" customWidth="1"/>
    <col min="37" max="37" width="20.5" bestFit="1" customWidth="1"/>
    <col min="38" max="38" width="20.625" bestFit="1" customWidth="1"/>
    <col min="39" max="39" width="18.75" bestFit="1" customWidth="1"/>
    <col min="40" max="40" width="20.375" bestFit="1" customWidth="1"/>
    <col min="41" max="41" width="18" bestFit="1" customWidth="1"/>
    <col min="42" max="42" width="19.625" bestFit="1" customWidth="1"/>
    <col min="43" max="43" width="12.25" bestFit="1" customWidth="1"/>
    <col min="44" max="44" width="16.5" bestFit="1" customWidth="1"/>
    <col min="45" max="45" width="20.125" bestFit="1" customWidth="1"/>
    <col min="46" max="46" width="21.875" bestFit="1" customWidth="1"/>
    <col min="47" max="47" width="19.375" bestFit="1" customWidth="1"/>
    <col min="48" max="48" width="21" bestFit="1" customWidth="1"/>
    <col min="49" max="49" width="12.75" bestFit="1" customWidth="1"/>
    <col min="50" max="50" width="13" bestFit="1" customWidth="1"/>
    <col min="51" max="51" width="12.375" bestFit="1" customWidth="1"/>
    <col min="52" max="52" width="12.25" bestFit="1" customWidth="1"/>
    <col min="53" max="53" width="17.875" bestFit="1" customWidth="1"/>
    <col min="54" max="54" width="13.75" bestFit="1" customWidth="1"/>
    <col min="55" max="55" width="10.125" bestFit="1" customWidth="1"/>
    <col min="56" max="56" width="24.875" bestFit="1" customWidth="1"/>
    <col min="57" max="57" width="22" bestFit="1" customWidth="1"/>
    <col min="58" max="58" width="24.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5" width="18.25" bestFit="1" customWidth="1"/>
    <col min="66" max="66" width="17" bestFit="1" customWidth="1"/>
    <col min="67" max="67" width="14.75" bestFit="1" customWidth="1"/>
    <col min="68" max="68" width="19.5" bestFit="1" customWidth="1"/>
    <col min="69" max="69" width="20.625" bestFit="1" customWidth="1"/>
    <col min="70" max="70" width="21.5" bestFit="1" customWidth="1"/>
    <col min="71" max="71" width="18.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5" bestFit="1" customWidth="1"/>
    <col min="82" max="82" width="24.625" bestFit="1" customWidth="1"/>
    <col min="83" max="83" width="25.375" bestFit="1" customWidth="1"/>
    <col min="84" max="84" width="22.5" bestFit="1" customWidth="1"/>
    <col min="85" max="85" width="25" bestFit="1" customWidth="1"/>
    <col min="86" max="86" width="20.375" bestFit="1" customWidth="1"/>
    <col min="87" max="88" width="25.75" bestFit="1" customWidth="1"/>
    <col min="89" max="89" width="38.25" bestFit="1" customWidth="1"/>
    <col min="90" max="90" width="41.2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1.875" bestFit="1" customWidth="1"/>
    <col min="95" max="95" width="19.5" bestFit="1" customWidth="1"/>
    <col min="96" max="96" width="24.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5" bestFit="1" customWidth="1"/>
    <col min="102" max="102" width="24.5" bestFit="1" customWidth="1"/>
    <col min="103" max="103" width="7.875" bestFit="1" customWidth="1"/>
    <col min="104" max="104" width="7.75" bestFit="1" customWidth="1"/>
    <col min="105" max="105" width="14.5" bestFit="1" customWidth="1"/>
    <col min="106" max="106" width="9.75" bestFit="1" customWidth="1"/>
    <col min="107" max="107" width="13.875" bestFit="1" customWidth="1"/>
    <col min="108" max="108" width="9.25" bestFit="1" customWidth="1"/>
    <col min="109" max="109" width="11.75" bestFit="1" customWidth="1"/>
    <col min="110" max="110" width="15.5" bestFit="1" customWidth="1"/>
    <col min="111" max="111" width="20.375" bestFit="1" customWidth="1"/>
    <col min="112" max="112" width="18.5" bestFit="1" customWidth="1"/>
    <col min="113" max="113" width="18.25" bestFit="1" customWidth="1"/>
  </cols>
  <sheetData>
    <row r="1" spans="1:113" x14ac:dyDescent="0.2">
      <c r="A1" s="1" t="s">
        <v>110</v>
      </c>
      <c r="B1" s="1" t="s">
        <v>111</v>
      </c>
      <c r="C1" s="1" t="s">
        <v>112</v>
      </c>
      <c r="D1" s="1" t="s">
        <v>113</v>
      </c>
      <c r="E1" s="1" t="s">
        <v>114</v>
      </c>
      <c r="F1" s="1" t="s">
        <v>115</v>
      </c>
      <c r="G1" s="1" t="s">
        <v>116</v>
      </c>
      <c r="H1" s="1" t="s">
        <v>117</v>
      </c>
      <c r="I1" s="1" t="s">
        <v>118</v>
      </c>
      <c r="J1" s="1" t="s">
        <v>119</v>
      </c>
      <c r="K1" s="1" t="s">
        <v>120</v>
      </c>
      <c r="L1" s="1" t="s">
        <v>121</v>
      </c>
      <c r="M1" s="1" t="s">
        <v>122</v>
      </c>
      <c r="N1" s="1" t="s">
        <v>123</v>
      </c>
      <c r="O1" s="1" t="s">
        <v>124</v>
      </c>
      <c r="P1" s="1" t="s">
        <v>125</v>
      </c>
      <c r="Q1" s="1" t="s">
        <v>126</v>
      </c>
      <c r="R1" s="1" t="s">
        <v>127</v>
      </c>
      <c r="S1" s="1" t="s">
        <v>128</v>
      </c>
      <c r="T1" s="1" t="s">
        <v>129</v>
      </c>
      <c r="U1" s="1" t="s">
        <v>130</v>
      </c>
      <c r="V1" s="1" t="s">
        <v>131</v>
      </c>
      <c r="W1" s="1" t="s">
        <v>132</v>
      </c>
      <c r="X1" s="1" t="s">
        <v>133</v>
      </c>
      <c r="Y1" s="1" t="s">
        <v>134</v>
      </c>
      <c r="Z1" s="1" t="s">
        <v>135</v>
      </c>
      <c r="AA1" s="1" t="s">
        <v>136</v>
      </c>
      <c r="AB1" s="1" t="s">
        <v>137</v>
      </c>
      <c r="AC1" s="1" t="s">
        <v>138</v>
      </c>
      <c r="AD1" s="1" t="s">
        <v>139</v>
      </c>
      <c r="AE1" s="1" t="s">
        <v>140</v>
      </c>
      <c r="AF1" s="1" t="s">
        <v>141</v>
      </c>
      <c r="AG1" s="1" t="s">
        <v>142</v>
      </c>
      <c r="AH1" s="1" t="s">
        <v>143</v>
      </c>
      <c r="AI1" s="1" t="s">
        <v>144</v>
      </c>
      <c r="AJ1" s="1" t="s">
        <v>145</v>
      </c>
      <c r="AK1" s="1" t="s">
        <v>146</v>
      </c>
      <c r="AL1" s="1" t="s">
        <v>147</v>
      </c>
      <c r="AM1" s="1" t="s">
        <v>148</v>
      </c>
      <c r="AN1" s="1" t="s">
        <v>149</v>
      </c>
      <c r="AO1" s="1" t="s">
        <v>150</v>
      </c>
      <c r="AP1" s="1" t="s">
        <v>151</v>
      </c>
      <c r="AQ1" s="1" t="s">
        <v>152</v>
      </c>
      <c r="AR1" s="1" t="s">
        <v>153</v>
      </c>
      <c r="AS1" s="1" t="s">
        <v>154</v>
      </c>
      <c r="AT1" s="1" t="s">
        <v>155</v>
      </c>
      <c r="AU1" s="1" t="s">
        <v>156</v>
      </c>
      <c r="AV1" s="1" t="s">
        <v>157</v>
      </c>
      <c r="AW1" s="1" t="s">
        <v>158</v>
      </c>
      <c r="AX1" s="1" t="s">
        <v>159</v>
      </c>
      <c r="AY1" s="1" t="s">
        <v>160</v>
      </c>
      <c r="AZ1" s="1" t="s">
        <v>161</v>
      </c>
      <c r="BA1" s="1" t="s">
        <v>162</v>
      </c>
      <c r="BB1" s="1" t="s">
        <v>163</v>
      </c>
      <c r="BC1" s="1" t="s">
        <v>164</v>
      </c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2">
      <c r="A2" s="2" t="s">
        <v>56</v>
      </c>
      <c r="B2" t="s">
        <v>57</v>
      </c>
      <c r="C2" t="s">
        <v>58</v>
      </c>
      <c r="D2" t="s">
        <v>47</v>
      </c>
      <c r="E2" t="s">
        <v>165</v>
      </c>
      <c r="F2" t="s">
        <v>166</v>
      </c>
      <c r="G2" t="s">
        <v>167</v>
      </c>
      <c r="H2" t="s">
        <v>168</v>
      </c>
      <c r="J2" s="2">
        <v>43375</v>
      </c>
      <c r="K2">
        <v>0</v>
      </c>
      <c r="L2">
        <v>0</v>
      </c>
      <c r="M2">
        <v>0</v>
      </c>
      <c r="N2" s="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315864732.16000003</v>
      </c>
      <c r="V2">
        <v>0</v>
      </c>
      <c r="W2">
        <v>0</v>
      </c>
      <c r="X2">
        <v>0</v>
      </c>
      <c r="Y2">
        <v>0</v>
      </c>
      <c r="Z2">
        <v>0</v>
      </c>
      <c r="AB2" t="s">
        <v>169</v>
      </c>
      <c r="AC2" t="s">
        <v>170</v>
      </c>
      <c r="AD2" t="s">
        <v>171</v>
      </c>
      <c r="AE2">
        <v>1</v>
      </c>
      <c r="AF2" t="s">
        <v>12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315864732.16000003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 t="s">
        <v>172</v>
      </c>
      <c r="AY2" t="s">
        <v>173</v>
      </c>
      <c r="AZ2" t="s">
        <v>174</v>
      </c>
      <c r="BA2">
        <v>0</v>
      </c>
      <c r="BB2">
        <v>0</v>
      </c>
      <c r="BC2" t="s">
        <v>9</v>
      </c>
      <c r="CN2" s="2"/>
    </row>
    <row r="3" spans="1:113" x14ac:dyDescent="0.2">
      <c r="A3" s="2" t="s">
        <v>56</v>
      </c>
      <c r="B3" t="s">
        <v>57</v>
      </c>
      <c r="C3" t="s">
        <v>58</v>
      </c>
      <c r="D3" t="s">
        <v>47</v>
      </c>
      <c r="E3" t="s">
        <v>165</v>
      </c>
      <c r="F3" t="s">
        <v>166</v>
      </c>
      <c r="G3" t="s">
        <v>167</v>
      </c>
      <c r="H3" t="s">
        <v>168</v>
      </c>
      <c r="J3" s="2">
        <v>43376</v>
      </c>
      <c r="K3">
        <v>0</v>
      </c>
      <c r="L3">
        <v>0</v>
      </c>
      <c r="M3">
        <v>0</v>
      </c>
      <c r="N3" s="2">
        <v>0</v>
      </c>
      <c r="O3">
        <v>0</v>
      </c>
      <c r="P3">
        <v>0</v>
      </c>
      <c r="Q3">
        <v>117000000</v>
      </c>
      <c r="R3">
        <v>0</v>
      </c>
      <c r="S3">
        <v>0</v>
      </c>
      <c r="T3">
        <v>0</v>
      </c>
      <c r="U3">
        <v>119527469.39</v>
      </c>
      <c r="V3">
        <v>5433191.9900000002</v>
      </c>
      <c r="W3">
        <v>0</v>
      </c>
      <c r="X3">
        <v>100000</v>
      </c>
      <c r="Y3">
        <v>2075857.25</v>
      </c>
      <c r="Z3">
        <v>747818769.55999994</v>
      </c>
      <c r="AB3" t="s">
        <v>169</v>
      </c>
      <c r="AC3" t="s">
        <v>170</v>
      </c>
      <c r="AD3" t="s">
        <v>171</v>
      </c>
      <c r="AE3">
        <v>2</v>
      </c>
      <c r="AF3" t="s">
        <v>12</v>
      </c>
      <c r="AG3">
        <v>0</v>
      </c>
      <c r="AH3">
        <v>0</v>
      </c>
      <c r="AI3">
        <v>0</v>
      </c>
      <c r="AJ3">
        <v>0</v>
      </c>
      <c r="AK3">
        <v>117000000</v>
      </c>
      <c r="AL3">
        <v>0</v>
      </c>
      <c r="AM3">
        <v>315864732.16000003</v>
      </c>
      <c r="AN3">
        <v>0</v>
      </c>
      <c r="AO3">
        <v>119527469.39</v>
      </c>
      <c r="AP3">
        <v>0</v>
      </c>
      <c r="AQ3">
        <v>2075857.25</v>
      </c>
      <c r="AR3">
        <v>2075857.25</v>
      </c>
      <c r="AS3">
        <v>0</v>
      </c>
      <c r="AT3">
        <v>0</v>
      </c>
      <c r="AU3">
        <v>0</v>
      </c>
      <c r="AV3">
        <v>0</v>
      </c>
      <c r="AW3" t="s">
        <v>172</v>
      </c>
      <c r="AY3" t="s">
        <v>173</v>
      </c>
      <c r="AZ3" t="s">
        <v>175</v>
      </c>
      <c r="BA3">
        <v>2075857.25</v>
      </c>
      <c r="BB3">
        <v>0</v>
      </c>
      <c r="BC3" t="s">
        <v>9</v>
      </c>
      <c r="CN3" s="2"/>
    </row>
    <row r="4" spans="1:113" x14ac:dyDescent="0.2">
      <c r="A4" s="2" t="s">
        <v>56</v>
      </c>
      <c r="B4" t="s">
        <v>57</v>
      </c>
      <c r="C4" t="s">
        <v>58</v>
      </c>
      <c r="D4" t="s">
        <v>47</v>
      </c>
      <c r="E4" t="s">
        <v>165</v>
      </c>
      <c r="F4" t="s">
        <v>166</v>
      </c>
      <c r="G4" t="s">
        <v>167</v>
      </c>
      <c r="H4" t="s">
        <v>168</v>
      </c>
      <c r="J4" s="2">
        <v>43377</v>
      </c>
      <c r="K4">
        <v>0</v>
      </c>
      <c r="L4">
        <v>0</v>
      </c>
      <c r="M4">
        <v>0</v>
      </c>
      <c r="N4" s="2">
        <v>448333784.47000003</v>
      </c>
      <c r="O4">
        <v>463000000.00999999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16742072.789999999</v>
      </c>
      <c r="Z4">
        <v>747818769.55999994</v>
      </c>
      <c r="AB4" t="s">
        <v>169</v>
      </c>
      <c r="AC4" t="s">
        <v>170</v>
      </c>
      <c r="AD4" t="s">
        <v>171</v>
      </c>
      <c r="AE4">
        <v>3</v>
      </c>
      <c r="AF4" t="s">
        <v>12</v>
      </c>
      <c r="AG4">
        <v>0</v>
      </c>
      <c r="AH4">
        <v>0</v>
      </c>
      <c r="AI4">
        <v>448333784.47000003</v>
      </c>
      <c r="AJ4">
        <v>463000000.00999999</v>
      </c>
      <c r="AK4">
        <v>0</v>
      </c>
      <c r="AL4">
        <v>0</v>
      </c>
      <c r="AM4">
        <v>119527469.39</v>
      </c>
      <c r="AN4">
        <v>0</v>
      </c>
      <c r="AO4">
        <v>0</v>
      </c>
      <c r="AP4">
        <v>0</v>
      </c>
      <c r="AQ4">
        <v>16742072.789999999</v>
      </c>
      <c r="AR4">
        <v>16742072.789999999</v>
      </c>
      <c r="AS4">
        <v>0</v>
      </c>
      <c r="AT4">
        <v>0</v>
      </c>
      <c r="AU4">
        <v>0</v>
      </c>
      <c r="AV4">
        <v>0</v>
      </c>
      <c r="AW4" t="s">
        <v>172</v>
      </c>
      <c r="AY4" t="s">
        <v>173</v>
      </c>
      <c r="AZ4" t="s">
        <v>175</v>
      </c>
      <c r="BA4">
        <v>16742072.789999999</v>
      </c>
      <c r="BB4">
        <v>0</v>
      </c>
      <c r="BC4" t="s">
        <v>9</v>
      </c>
      <c r="CN4" s="2"/>
    </row>
    <row r="5" spans="1:113" x14ac:dyDescent="0.2">
      <c r="A5" s="2" t="s">
        <v>56</v>
      </c>
      <c r="B5" t="s">
        <v>57</v>
      </c>
      <c r="C5" t="s">
        <v>58</v>
      </c>
      <c r="D5" t="s">
        <v>47</v>
      </c>
      <c r="E5" t="s">
        <v>165</v>
      </c>
      <c r="F5" t="s">
        <v>166</v>
      </c>
      <c r="G5" t="s">
        <v>167</v>
      </c>
      <c r="H5" t="s">
        <v>168</v>
      </c>
      <c r="J5" s="2">
        <v>43378</v>
      </c>
      <c r="K5">
        <v>0</v>
      </c>
      <c r="L5">
        <v>0</v>
      </c>
      <c r="M5">
        <v>0</v>
      </c>
      <c r="N5" s="2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2194688.1800000002</v>
      </c>
      <c r="U5">
        <v>0</v>
      </c>
      <c r="V5">
        <v>0</v>
      </c>
      <c r="W5">
        <v>0</v>
      </c>
      <c r="X5">
        <v>0</v>
      </c>
      <c r="Y5">
        <v>14547384.609999999</v>
      </c>
      <c r="Z5">
        <v>747818769.55999994</v>
      </c>
      <c r="AB5" t="s">
        <v>169</v>
      </c>
      <c r="AC5" t="s">
        <v>170</v>
      </c>
      <c r="AD5" t="s">
        <v>171</v>
      </c>
      <c r="AE5">
        <v>4</v>
      </c>
      <c r="AF5" t="s">
        <v>12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14547384.609999999</v>
      </c>
      <c r="AR5">
        <v>14547384.609999999</v>
      </c>
      <c r="AS5">
        <v>0</v>
      </c>
      <c r="AT5">
        <v>0</v>
      </c>
      <c r="AU5">
        <v>0</v>
      </c>
      <c r="AV5">
        <v>0</v>
      </c>
      <c r="AW5" t="s">
        <v>172</v>
      </c>
      <c r="AY5" t="s">
        <v>173</v>
      </c>
      <c r="AZ5" t="s">
        <v>175</v>
      </c>
      <c r="BA5">
        <v>14547384.609999999</v>
      </c>
      <c r="BB5">
        <v>0</v>
      </c>
      <c r="BC5" t="s">
        <v>9</v>
      </c>
      <c r="CN5" s="2"/>
    </row>
    <row r="6" spans="1:113" x14ac:dyDescent="0.2">
      <c r="A6" s="2" t="s">
        <v>56</v>
      </c>
      <c r="B6" t="s">
        <v>57</v>
      </c>
      <c r="C6" t="s">
        <v>58</v>
      </c>
      <c r="D6" t="s">
        <v>47</v>
      </c>
      <c r="E6" t="s">
        <v>165</v>
      </c>
      <c r="F6" t="s">
        <v>166</v>
      </c>
      <c r="G6" t="s">
        <v>167</v>
      </c>
      <c r="H6" t="s">
        <v>168</v>
      </c>
      <c r="J6" s="2">
        <v>43379</v>
      </c>
      <c r="K6">
        <v>0</v>
      </c>
      <c r="L6">
        <v>0</v>
      </c>
      <c r="M6">
        <v>0</v>
      </c>
      <c r="N6" s="2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14547384.609999999</v>
      </c>
      <c r="Z6">
        <v>747818769.55999994</v>
      </c>
      <c r="AB6" t="s">
        <v>169</v>
      </c>
      <c r="AC6" t="s">
        <v>170</v>
      </c>
      <c r="AD6" t="s">
        <v>171</v>
      </c>
      <c r="AE6">
        <v>5</v>
      </c>
      <c r="AF6" t="s">
        <v>12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14547384.609999999</v>
      </c>
      <c r="AR6">
        <v>14547384.609999999</v>
      </c>
      <c r="AS6">
        <v>0</v>
      </c>
      <c r="AT6">
        <v>0</v>
      </c>
      <c r="AU6">
        <v>0</v>
      </c>
      <c r="AV6">
        <v>0</v>
      </c>
      <c r="AW6" t="s">
        <v>172</v>
      </c>
      <c r="AY6" t="s">
        <v>173</v>
      </c>
      <c r="AZ6" t="s">
        <v>175</v>
      </c>
      <c r="BA6">
        <v>0</v>
      </c>
      <c r="BB6">
        <v>0</v>
      </c>
      <c r="BC6" t="s">
        <v>9</v>
      </c>
      <c r="CN6" s="2"/>
    </row>
    <row r="7" spans="1:113" x14ac:dyDescent="0.2">
      <c r="A7" s="2" t="s">
        <v>56</v>
      </c>
      <c r="B7" t="s">
        <v>57</v>
      </c>
      <c r="C7" t="s">
        <v>58</v>
      </c>
      <c r="D7" t="s">
        <v>47</v>
      </c>
      <c r="E7" t="s">
        <v>165</v>
      </c>
      <c r="F7" t="s">
        <v>166</v>
      </c>
      <c r="G7" t="s">
        <v>167</v>
      </c>
      <c r="H7" t="s">
        <v>168</v>
      </c>
      <c r="J7" s="2">
        <v>43380</v>
      </c>
      <c r="K7">
        <v>0</v>
      </c>
      <c r="L7">
        <v>0</v>
      </c>
      <c r="M7">
        <v>0</v>
      </c>
      <c r="N7" s="2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14547384.609999999</v>
      </c>
      <c r="Z7">
        <v>747818769.55999994</v>
      </c>
      <c r="AB7" t="s">
        <v>169</v>
      </c>
      <c r="AC7" t="s">
        <v>170</v>
      </c>
      <c r="AD7" t="s">
        <v>171</v>
      </c>
      <c r="AE7">
        <v>6</v>
      </c>
      <c r="AF7" t="s">
        <v>12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14547384.609999999</v>
      </c>
      <c r="AR7">
        <v>14547384.609999999</v>
      </c>
      <c r="AS7">
        <v>0</v>
      </c>
      <c r="AT7">
        <v>0</v>
      </c>
      <c r="AU7">
        <v>0</v>
      </c>
      <c r="AV7">
        <v>0</v>
      </c>
      <c r="AW7" t="s">
        <v>172</v>
      </c>
      <c r="AY7" t="s">
        <v>173</v>
      </c>
      <c r="AZ7" t="s">
        <v>175</v>
      </c>
      <c r="BA7">
        <v>0</v>
      </c>
      <c r="BB7">
        <v>0</v>
      </c>
      <c r="BC7" t="s">
        <v>9</v>
      </c>
      <c r="CN7" s="2"/>
    </row>
    <row r="8" spans="1:113" x14ac:dyDescent="0.2">
      <c r="A8" s="2" t="s">
        <v>56</v>
      </c>
      <c r="B8" t="s">
        <v>57</v>
      </c>
      <c r="C8" t="s">
        <v>58</v>
      </c>
      <c r="D8" t="s">
        <v>47</v>
      </c>
      <c r="E8" t="s">
        <v>165</v>
      </c>
      <c r="F8" t="s">
        <v>166</v>
      </c>
      <c r="G8" t="s">
        <v>167</v>
      </c>
      <c r="H8" t="s">
        <v>168</v>
      </c>
      <c r="J8" s="2">
        <v>43381</v>
      </c>
      <c r="K8">
        <v>0</v>
      </c>
      <c r="L8">
        <v>0</v>
      </c>
      <c r="M8">
        <v>0</v>
      </c>
      <c r="N8" s="2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14547384.609999999</v>
      </c>
      <c r="Z8">
        <v>747818769.55999994</v>
      </c>
      <c r="AB8" t="s">
        <v>169</v>
      </c>
      <c r="AC8" t="s">
        <v>170</v>
      </c>
      <c r="AD8" t="s">
        <v>171</v>
      </c>
      <c r="AE8">
        <v>7</v>
      </c>
      <c r="AF8" t="s">
        <v>12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14547384.609999999</v>
      </c>
      <c r="AR8">
        <v>14547384.609999999</v>
      </c>
      <c r="AS8">
        <v>0</v>
      </c>
      <c r="AT8">
        <v>0</v>
      </c>
      <c r="AU8">
        <v>0</v>
      </c>
      <c r="AV8">
        <v>0</v>
      </c>
      <c r="AW8" t="s">
        <v>172</v>
      </c>
      <c r="AY8" t="s">
        <v>173</v>
      </c>
      <c r="AZ8" t="s">
        <v>175</v>
      </c>
      <c r="BA8">
        <v>14547384.609999999</v>
      </c>
      <c r="BB8">
        <v>0</v>
      </c>
      <c r="BC8" t="s">
        <v>9</v>
      </c>
      <c r="CN8" s="2"/>
    </row>
    <row r="9" spans="1:113" x14ac:dyDescent="0.2">
      <c r="A9" s="2" t="s">
        <v>56</v>
      </c>
      <c r="B9" t="s">
        <v>57</v>
      </c>
      <c r="C9" t="s">
        <v>58</v>
      </c>
      <c r="D9" t="s">
        <v>47</v>
      </c>
      <c r="E9" t="s">
        <v>165</v>
      </c>
      <c r="F9" t="s">
        <v>166</v>
      </c>
      <c r="G9" t="s">
        <v>167</v>
      </c>
      <c r="H9" t="s">
        <v>168</v>
      </c>
      <c r="J9" s="2">
        <v>43382</v>
      </c>
      <c r="K9">
        <v>0</v>
      </c>
      <c r="L9">
        <v>0</v>
      </c>
      <c r="M9">
        <v>0</v>
      </c>
      <c r="N9" s="2">
        <v>0</v>
      </c>
      <c r="O9">
        <v>474000000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488547384.61000001</v>
      </c>
      <c r="Z9">
        <v>747818769.55999994</v>
      </c>
      <c r="AB9" t="s">
        <v>169</v>
      </c>
      <c r="AC9" t="s">
        <v>170</v>
      </c>
      <c r="AD9" t="s">
        <v>171</v>
      </c>
      <c r="AE9">
        <v>8</v>
      </c>
      <c r="AF9" t="s">
        <v>12</v>
      </c>
      <c r="AG9">
        <v>0</v>
      </c>
      <c r="AH9">
        <v>0</v>
      </c>
      <c r="AI9">
        <v>0</v>
      </c>
      <c r="AJ9">
        <v>474000000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488547384.61000001</v>
      </c>
      <c r="AR9">
        <v>488547384.61000001</v>
      </c>
      <c r="AS9">
        <v>0</v>
      </c>
      <c r="AT9">
        <v>0</v>
      </c>
      <c r="AU9">
        <v>0</v>
      </c>
      <c r="AV9">
        <v>0</v>
      </c>
      <c r="AW9" t="s">
        <v>172</v>
      </c>
      <c r="AY9" t="s">
        <v>173</v>
      </c>
      <c r="AZ9" t="s">
        <v>175</v>
      </c>
      <c r="BA9">
        <v>488547384.61000001</v>
      </c>
      <c r="BB9">
        <v>0</v>
      </c>
      <c r="BC9" t="s">
        <v>9</v>
      </c>
      <c r="CN9" s="2"/>
    </row>
    <row r="10" spans="1:113" x14ac:dyDescent="0.2">
      <c r="A10" s="2" t="s">
        <v>56</v>
      </c>
      <c r="B10" t="s">
        <v>57</v>
      </c>
      <c r="C10" t="s">
        <v>58</v>
      </c>
      <c r="D10" t="s">
        <v>47</v>
      </c>
      <c r="E10" t="s">
        <v>165</v>
      </c>
      <c r="F10" t="s">
        <v>166</v>
      </c>
      <c r="G10" t="s">
        <v>167</v>
      </c>
      <c r="H10" t="s">
        <v>168</v>
      </c>
      <c r="J10" s="2">
        <v>43383</v>
      </c>
      <c r="K10">
        <v>0</v>
      </c>
      <c r="L10">
        <v>0</v>
      </c>
      <c r="M10">
        <v>0</v>
      </c>
      <c r="N10" s="2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488547384.61000001</v>
      </c>
      <c r="Z10">
        <v>747818769.55999994</v>
      </c>
      <c r="AB10" t="s">
        <v>169</v>
      </c>
      <c r="AC10" t="s">
        <v>170</v>
      </c>
      <c r="AD10" t="s">
        <v>171</v>
      </c>
      <c r="AE10">
        <v>9</v>
      </c>
      <c r="AF10" t="s">
        <v>12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488547384.61000001</v>
      </c>
      <c r="AR10">
        <v>488547384.61000001</v>
      </c>
      <c r="AS10">
        <v>0</v>
      </c>
      <c r="AT10">
        <v>0</v>
      </c>
      <c r="AU10">
        <v>0</v>
      </c>
      <c r="AV10">
        <v>0</v>
      </c>
      <c r="AW10" t="s">
        <v>172</v>
      </c>
      <c r="AY10" t="s">
        <v>173</v>
      </c>
      <c r="AZ10" t="s">
        <v>175</v>
      </c>
      <c r="BA10">
        <v>488547384.61000001</v>
      </c>
      <c r="BB10">
        <v>0</v>
      </c>
      <c r="BC10" t="s">
        <v>9</v>
      </c>
      <c r="CN10" s="2"/>
    </row>
    <row r="11" spans="1:113" x14ac:dyDescent="0.2">
      <c r="A11" s="2" t="s">
        <v>56</v>
      </c>
      <c r="B11" t="s">
        <v>57</v>
      </c>
      <c r="C11" t="s">
        <v>58</v>
      </c>
      <c r="D11" t="s">
        <v>47</v>
      </c>
      <c r="E11" t="s">
        <v>165</v>
      </c>
      <c r="F11" t="s">
        <v>166</v>
      </c>
      <c r="G11" t="s">
        <v>167</v>
      </c>
      <c r="H11" t="s">
        <v>168</v>
      </c>
      <c r="J11" s="2">
        <v>43384</v>
      </c>
      <c r="K11">
        <v>0</v>
      </c>
      <c r="L11">
        <v>0</v>
      </c>
      <c r="M11">
        <v>0</v>
      </c>
      <c r="N11" s="2">
        <v>0</v>
      </c>
      <c r="O11">
        <v>874800000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1363347384.6099999</v>
      </c>
      <c r="Z11">
        <v>747818769.55999994</v>
      </c>
      <c r="AB11" t="s">
        <v>169</v>
      </c>
      <c r="AC11" t="s">
        <v>170</v>
      </c>
      <c r="AD11" t="s">
        <v>171</v>
      </c>
      <c r="AE11">
        <v>10</v>
      </c>
      <c r="AF11" t="s">
        <v>12</v>
      </c>
      <c r="AG11">
        <v>0</v>
      </c>
      <c r="AH11">
        <v>0</v>
      </c>
      <c r="AI11">
        <v>0</v>
      </c>
      <c r="AJ11">
        <v>874800000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1363347384.6099999</v>
      </c>
      <c r="AR11">
        <v>1363347384.6099999</v>
      </c>
      <c r="AS11">
        <v>0</v>
      </c>
      <c r="AT11">
        <v>0</v>
      </c>
      <c r="AU11">
        <v>0</v>
      </c>
      <c r="AV11">
        <v>0</v>
      </c>
      <c r="AW11" t="s">
        <v>172</v>
      </c>
      <c r="AY11" t="s">
        <v>173</v>
      </c>
      <c r="AZ11" t="s">
        <v>175</v>
      </c>
      <c r="BA11">
        <v>1363347384.6099999</v>
      </c>
      <c r="BB11">
        <v>0</v>
      </c>
      <c r="BC11" t="s">
        <v>9</v>
      </c>
      <c r="CN11" s="2"/>
    </row>
    <row r="12" spans="1:113" x14ac:dyDescent="0.2">
      <c r="A12" s="2" t="s">
        <v>56</v>
      </c>
      <c r="B12" t="s">
        <v>57</v>
      </c>
      <c r="C12" t="s">
        <v>58</v>
      </c>
      <c r="D12" t="s">
        <v>47</v>
      </c>
      <c r="E12" t="s">
        <v>165</v>
      </c>
      <c r="F12" t="s">
        <v>166</v>
      </c>
      <c r="G12" t="s">
        <v>167</v>
      </c>
      <c r="H12" t="s">
        <v>168</v>
      </c>
      <c r="J12" s="2">
        <v>43385</v>
      </c>
      <c r="K12">
        <v>0</v>
      </c>
      <c r="L12">
        <v>0</v>
      </c>
      <c r="M12">
        <v>0</v>
      </c>
      <c r="N12" s="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1363347384.6099999</v>
      </c>
      <c r="Z12">
        <v>747818769.55999994</v>
      </c>
      <c r="AB12" t="s">
        <v>169</v>
      </c>
      <c r="AC12" t="s">
        <v>170</v>
      </c>
      <c r="AD12" t="s">
        <v>171</v>
      </c>
      <c r="AE12">
        <v>11</v>
      </c>
      <c r="AF12" t="s">
        <v>12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1363347384.6099999</v>
      </c>
      <c r="AR12">
        <v>1363347384.6099999</v>
      </c>
      <c r="AS12">
        <v>0</v>
      </c>
      <c r="AT12">
        <v>0</v>
      </c>
      <c r="AU12">
        <v>0</v>
      </c>
      <c r="AV12">
        <v>0</v>
      </c>
      <c r="AW12" t="s">
        <v>172</v>
      </c>
      <c r="AY12" t="s">
        <v>173</v>
      </c>
      <c r="AZ12" t="s">
        <v>175</v>
      </c>
      <c r="BA12">
        <v>1363347384.6099999</v>
      </c>
      <c r="BB12">
        <v>0</v>
      </c>
      <c r="BC12" t="s">
        <v>9</v>
      </c>
      <c r="CN12" s="2"/>
    </row>
    <row r="13" spans="1:113" x14ac:dyDescent="0.2">
      <c r="A13" s="2" t="s">
        <v>56</v>
      </c>
      <c r="B13" t="s">
        <v>57</v>
      </c>
      <c r="C13" t="s">
        <v>58</v>
      </c>
      <c r="D13" t="s">
        <v>47</v>
      </c>
      <c r="E13" t="s">
        <v>165</v>
      </c>
      <c r="F13" t="s">
        <v>166</v>
      </c>
      <c r="G13" t="s">
        <v>167</v>
      </c>
      <c r="H13" t="s">
        <v>168</v>
      </c>
      <c r="J13" s="2">
        <v>43386</v>
      </c>
      <c r="K13">
        <v>0</v>
      </c>
      <c r="L13">
        <v>0</v>
      </c>
      <c r="M13">
        <v>0</v>
      </c>
      <c r="N13" s="2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1363347384.6099999</v>
      </c>
      <c r="Z13">
        <v>747818769.55999994</v>
      </c>
      <c r="AB13" t="s">
        <v>169</v>
      </c>
      <c r="AC13" t="s">
        <v>170</v>
      </c>
      <c r="AD13" t="s">
        <v>171</v>
      </c>
      <c r="AE13">
        <v>12</v>
      </c>
      <c r="AF13" t="s">
        <v>12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1363347384.6099999</v>
      </c>
      <c r="AR13">
        <v>1363347384.6099999</v>
      </c>
      <c r="AS13">
        <v>0</v>
      </c>
      <c r="AT13">
        <v>0</v>
      </c>
      <c r="AU13">
        <v>0</v>
      </c>
      <c r="AV13">
        <v>0</v>
      </c>
      <c r="AW13" t="s">
        <v>172</v>
      </c>
      <c r="AY13" t="s">
        <v>173</v>
      </c>
      <c r="AZ13" t="s">
        <v>175</v>
      </c>
      <c r="BA13">
        <v>0</v>
      </c>
      <c r="BB13">
        <v>0</v>
      </c>
      <c r="BC13" t="s">
        <v>9</v>
      </c>
      <c r="CN13" s="2"/>
    </row>
    <row r="14" spans="1:113" x14ac:dyDescent="0.2">
      <c r="A14" s="2" t="s">
        <v>56</v>
      </c>
      <c r="B14" t="s">
        <v>57</v>
      </c>
      <c r="C14" t="s">
        <v>58</v>
      </c>
      <c r="D14" t="s">
        <v>47</v>
      </c>
      <c r="E14" t="s">
        <v>165</v>
      </c>
      <c r="F14" t="s">
        <v>166</v>
      </c>
      <c r="G14" t="s">
        <v>167</v>
      </c>
      <c r="H14" t="s">
        <v>168</v>
      </c>
      <c r="J14" s="2">
        <v>43387</v>
      </c>
      <c r="K14">
        <v>0</v>
      </c>
      <c r="L14">
        <v>0</v>
      </c>
      <c r="M14">
        <v>0</v>
      </c>
      <c r="N14" s="2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1363347384.6099999</v>
      </c>
      <c r="Z14">
        <v>747818769.55999994</v>
      </c>
      <c r="AB14" t="s">
        <v>169</v>
      </c>
      <c r="AC14" t="s">
        <v>170</v>
      </c>
      <c r="AD14" t="s">
        <v>171</v>
      </c>
      <c r="AE14">
        <v>13</v>
      </c>
      <c r="AF14" t="s">
        <v>12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1363347384.6099999</v>
      </c>
      <c r="AR14">
        <v>1363347384.6099999</v>
      </c>
      <c r="AS14">
        <v>0</v>
      </c>
      <c r="AT14">
        <v>0</v>
      </c>
      <c r="AU14">
        <v>0</v>
      </c>
      <c r="AV14">
        <v>0</v>
      </c>
      <c r="AW14" t="s">
        <v>172</v>
      </c>
      <c r="AY14" t="s">
        <v>173</v>
      </c>
      <c r="AZ14" t="s">
        <v>175</v>
      </c>
      <c r="BA14">
        <v>0</v>
      </c>
      <c r="BB14">
        <v>0</v>
      </c>
      <c r="BC14" t="s">
        <v>9</v>
      </c>
      <c r="CN14" s="2"/>
    </row>
    <row r="15" spans="1:113" x14ac:dyDescent="0.2">
      <c r="A15" s="2" t="s">
        <v>56</v>
      </c>
      <c r="B15" t="s">
        <v>57</v>
      </c>
      <c r="C15" t="s">
        <v>58</v>
      </c>
      <c r="D15" t="s">
        <v>47</v>
      </c>
      <c r="E15" t="s">
        <v>165</v>
      </c>
      <c r="F15" t="s">
        <v>166</v>
      </c>
      <c r="G15" t="s">
        <v>167</v>
      </c>
      <c r="H15" t="s">
        <v>168</v>
      </c>
      <c r="J15" s="2">
        <v>43388</v>
      </c>
      <c r="K15">
        <v>0</v>
      </c>
      <c r="L15">
        <v>0</v>
      </c>
      <c r="M15">
        <v>0</v>
      </c>
      <c r="N15" s="2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1363347384.6099999</v>
      </c>
      <c r="Z15">
        <v>747818769.55999994</v>
      </c>
      <c r="AB15" t="s">
        <v>169</v>
      </c>
      <c r="AC15" t="s">
        <v>170</v>
      </c>
      <c r="AD15" t="s">
        <v>171</v>
      </c>
      <c r="AE15">
        <v>14</v>
      </c>
      <c r="AF15" t="s">
        <v>12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1363347384.6099999</v>
      </c>
      <c r="AR15">
        <v>1363347384.6099999</v>
      </c>
      <c r="AS15">
        <v>0</v>
      </c>
      <c r="AT15">
        <v>0</v>
      </c>
      <c r="AU15">
        <v>0</v>
      </c>
      <c r="AV15">
        <v>0</v>
      </c>
      <c r="AW15" t="s">
        <v>172</v>
      </c>
      <c r="AY15" t="s">
        <v>173</v>
      </c>
      <c r="AZ15" t="s">
        <v>175</v>
      </c>
      <c r="BA15">
        <v>0</v>
      </c>
      <c r="BB15">
        <v>0</v>
      </c>
      <c r="BC15" t="s">
        <v>9</v>
      </c>
      <c r="CN15" s="2"/>
    </row>
    <row r="16" spans="1:113" x14ac:dyDescent="0.2">
      <c r="A16" s="2" t="s">
        <v>56</v>
      </c>
      <c r="B16" t="s">
        <v>57</v>
      </c>
      <c r="C16" t="s">
        <v>58</v>
      </c>
      <c r="D16" t="s">
        <v>47</v>
      </c>
      <c r="E16" t="s">
        <v>165</v>
      </c>
      <c r="F16" t="s">
        <v>166</v>
      </c>
      <c r="G16" t="s">
        <v>167</v>
      </c>
      <c r="H16" t="s">
        <v>168</v>
      </c>
      <c r="J16" s="2">
        <v>43389</v>
      </c>
      <c r="K16">
        <v>0</v>
      </c>
      <c r="L16">
        <v>0</v>
      </c>
      <c r="M16">
        <v>0</v>
      </c>
      <c r="N16" s="2">
        <v>0</v>
      </c>
      <c r="O16">
        <v>820000000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2183347384.6100001</v>
      </c>
      <c r="Z16">
        <v>747818769.55999994</v>
      </c>
      <c r="AB16" t="s">
        <v>169</v>
      </c>
      <c r="AC16" t="s">
        <v>170</v>
      </c>
      <c r="AD16" t="s">
        <v>171</v>
      </c>
      <c r="AE16">
        <v>15</v>
      </c>
      <c r="AF16" t="s">
        <v>12</v>
      </c>
      <c r="AG16">
        <v>0</v>
      </c>
      <c r="AH16">
        <v>0</v>
      </c>
      <c r="AI16">
        <v>0</v>
      </c>
      <c r="AJ16">
        <v>820000000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2183347384.6100001</v>
      </c>
      <c r="AR16">
        <v>2183347384.6100001</v>
      </c>
      <c r="AS16">
        <v>0</v>
      </c>
      <c r="AT16">
        <v>0</v>
      </c>
      <c r="AU16">
        <v>0</v>
      </c>
      <c r="AV16">
        <v>0</v>
      </c>
      <c r="AW16" t="s">
        <v>172</v>
      </c>
      <c r="AY16" t="s">
        <v>173</v>
      </c>
      <c r="AZ16" t="s">
        <v>175</v>
      </c>
      <c r="BA16">
        <v>2183347384.6100001</v>
      </c>
      <c r="BB16">
        <v>0</v>
      </c>
      <c r="BC16" t="s">
        <v>9</v>
      </c>
      <c r="CN16" s="2"/>
    </row>
    <row r="17" spans="1:92" x14ac:dyDescent="0.2">
      <c r="A17" s="2" t="s">
        <v>56</v>
      </c>
      <c r="B17" t="s">
        <v>57</v>
      </c>
      <c r="C17" t="s">
        <v>58</v>
      </c>
      <c r="D17" t="s">
        <v>47</v>
      </c>
      <c r="E17" t="s">
        <v>165</v>
      </c>
      <c r="F17" t="s">
        <v>166</v>
      </c>
      <c r="G17" t="s">
        <v>167</v>
      </c>
      <c r="H17" t="s">
        <v>168</v>
      </c>
      <c r="J17" s="2">
        <v>43390</v>
      </c>
      <c r="K17">
        <v>0</v>
      </c>
      <c r="L17">
        <v>0</v>
      </c>
      <c r="M17">
        <v>0</v>
      </c>
      <c r="N17" s="2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2183347384.6100001</v>
      </c>
      <c r="Z17">
        <v>747818769.55999994</v>
      </c>
      <c r="AB17" t="s">
        <v>169</v>
      </c>
      <c r="AC17" t="s">
        <v>170</v>
      </c>
      <c r="AD17" t="s">
        <v>171</v>
      </c>
      <c r="AE17">
        <v>16</v>
      </c>
      <c r="AF17" t="s">
        <v>12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2183347384.6100001</v>
      </c>
      <c r="AR17">
        <v>2183347384.6100001</v>
      </c>
      <c r="AS17">
        <v>0</v>
      </c>
      <c r="AT17">
        <v>0</v>
      </c>
      <c r="AU17">
        <v>0</v>
      </c>
      <c r="AV17">
        <v>0</v>
      </c>
      <c r="AW17" t="s">
        <v>172</v>
      </c>
      <c r="AY17" t="s">
        <v>173</v>
      </c>
      <c r="AZ17" t="s">
        <v>175</v>
      </c>
      <c r="BA17">
        <v>2183347384.6100001</v>
      </c>
      <c r="BB17">
        <v>0</v>
      </c>
      <c r="BC17" t="s">
        <v>9</v>
      </c>
      <c r="CN17" s="2"/>
    </row>
    <row r="18" spans="1:92" x14ac:dyDescent="0.2">
      <c r="A18" s="2"/>
      <c r="N18" s="2"/>
      <c r="CN18" s="2"/>
    </row>
    <row r="19" spans="1:92" x14ac:dyDescent="0.2">
      <c r="A19" s="2"/>
      <c r="N19" s="2"/>
      <c r="CN19" s="2"/>
    </row>
    <row r="20" spans="1:92" x14ac:dyDescent="0.2">
      <c r="A20" s="2"/>
      <c r="N20" s="2"/>
      <c r="CN20" s="2"/>
    </row>
    <row r="21" spans="1:92" x14ac:dyDescent="0.2">
      <c r="A21" s="2"/>
      <c r="N21" s="2"/>
      <c r="CN21" s="2"/>
    </row>
    <row r="22" spans="1:92" x14ac:dyDescent="0.2">
      <c r="A22" s="2"/>
      <c r="N22" s="2"/>
      <c r="CN22" s="2"/>
    </row>
    <row r="23" spans="1:92" x14ac:dyDescent="0.2">
      <c r="A23" s="2"/>
      <c r="N23" s="2"/>
      <c r="CN23" s="2"/>
    </row>
    <row r="24" spans="1:92" x14ac:dyDescent="0.2">
      <c r="A24" s="2"/>
      <c r="N24" s="2"/>
      <c r="CN24" s="2"/>
    </row>
    <row r="25" spans="1:92" x14ac:dyDescent="0.2">
      <c r="A25" s="2"/>
      <c r="N25" s="2"/>
      <c r="CN25" s="2"/>
    </row>
    <row r="26" spans="1:92" x14ac:dyDescent="0.2">
      <c r="A26" s="2"/>
      <c r="N26" s="2"/>
      <c r="CN26" s="2"/>
    </row>
    <row r="27" spans="1:92" x14ac:dyDescent="0.2">
      <c r="A27" s="2"/>
      <c r="N27" s="2"/>
      <c r="CN27" s="2"/>
    </row>
    <row r="28" spans="1:92" x14ac:dyDescent="0.2">
      <c r="A28" s="2"/>
      <c r="N28" s="2"/>
      <c r="CN28" s="2"/>
    </row>
    <row r="29" spans="1:92" x14ac:dyDescent="0.2">
      <c r="A29" s="2"/>
      <c r="N29" s="2"/>
      <c r="CN29" s="2"/>
    </row>
    <row r="30" spans="1:92" x14ac:dyDescent="0.2">
      <c r="A30" s="2"/>
      <c r="N30" s="2"/>
      <c r="CN30" s="2"/>
    </row>
    <row r="31" spans="1:92" x14ac:dyDescent="0.2">
      <c r="A31" s="2"/>
      <c r="N31" s="2"/>
      <c r="CN31" s="2"/>
    </row>
    <row r="32" spans="1:92" x14ac:dyDescent="0.2">
      <c r="A32" s="2"/>
      <c r="N32" s="2"/>
      <c r="CN32" s="2"/>
    </row>
    <row r="33" spans="1:92" x14ac:dyDescent="0.2">
      <c r="A33" s="2"/>
      <c r="N33" s="2"/>
      <c r="CN33" s="2"/>
    </row>
    <row r="34" spans="1:92" x14ac:dyDescent="0.2">
      <c r="A34" s="2"/>
      <c r="N34" s="2"/>
      <c r="CN34" s="2"/>
    </row>
    <row r="35" spans="1:92" x14ac:dyDescent="0.2">
      <c r="A35" s="2"/>
      <c r="N35" s="2"/>
      <c r="CN35" s="2"/>
    </row>
    <row r="36" spans="1:92" x14ac:dyDescent="0.2">
      <c r="A36" s="2"/>
      <c r="N36" s="2"/>
      <c r="CN36" s="2"/>
    </row>
    <row r="37" spans="1:92" x14ac:dyDescent="0.2">
      <c r="A37" s="2"/>
      <c r="N37" s="2"/>
      <c r="CN37" s="2"/>
    </row>
    <row r="38" spans="1:92" x14ac:dyDescent="0.2">
      <c r="A38" s="2"/>
      <c r="N38" s="2"/>
      <c r="CN38" s="2"/>
    </row>
    <row r="39" spans="1:92" x14ac:dyDescent="0.2">
      <c r="A39" s="2"/>
      <c r="N39" s="2"/>
      <c r="CN39" s="2"/>
    </row>
    <row r="40" spans="1:92" x14ac:dyDescent="0.2">
      <c r="A40" s="2"/>
      <c r="N40" s="2"/>
      <c r="CN40" s="2"/>
    </row>
    <row r="41" spans="1:92" x14ac:dyDescent="0.2">
      <c r="A41" s="2"/>
      <c r="N41" s="2"/>
      <c r="CN41" s="2"/>
    </row>
    <row r="42" spans="1:92" x14ac:dyDescent="0.2">
      <c r="A42" s="2"/>
      <c r="N42" s="2"/>
      <c r="CN42" s="2"/>
    </row>
    <row r="43" spans="1:92" x14ac:dyDescent="0.2">
      <c r="A43" s="2"/>
      <c r="N43" s="2"/>
      <c r="CN43" s="2"/>
    </row>
    <row r="44" spans="1:92" x14ac:dyDescent="0.2">
      <c r="A44" s="2"/>
      <c r="N44" s="2"/>
      <c r="CN44" s="2"/>
    </row>
    <row r="45" spans="1:92" x14ac:dyDescent="0.2">
      <c r="A45" s="2"/>
      <c r="N45" s="2"/>
      <c r="CN45" s="2"/>
    </row>
    <row r="46" spans="1:92" x14ac:dyDescent="0.2">
      <c r="A46" s="2"/>
      <c r="N46" s="2"/>
      <c r="CN46" s="2"/>
    </row>
    <row r="47" spans="1:92" x14ac:dyDescent="0.2">
      <c r="A47" s="2"/>
      <c r="N47" s="2"/>
      <c r="CN47" s="2"/>
    </row>
    <row r="48" spans="1:92" x14ac:dyDescent="0.2">
      <c r="A48" s="2"/>
      <c r="N48" s="2"/>
      <c r="CN48" s="2"/>
    </row>
    <row r="49" spans="1:92" x14ac:dyDescent="0.2">
      <c r="A49" s="2"/>
      <c r="N49" s="2"/>
      <c r="CN49" s="2"/>
    </row>
    <row r="50" spans="1:92" x14ac:dyDescent="0.2">
      <c r="A50" s="2"/>
      <c r="N50" s="2"/>
      <c r="CN50" s="2"/>
    </row>
    <row r="51" spans="1:92" x14ac:dyDescent="0.2">
      <c r="A51" s="2"/>
      <c r="N51" s="2"/>
      <c r="CN51" s="2"/>
    </row>
    <row r="52" spans="1:92" x14ac:dyDescent="0.2">
      <c r="A52" s="2"/>
      <c r="N52" s="2"/>
      <c r="CN52" s="2"/>
    </row>
    <row r="53" spans="1:92" x14ac:dyDescent="0.2">
      <c r="A53" s="2"/>
      <c r="N53" s="2"/>
      <c r="CN53" s="2"/>
    </row>
    <row r="54" spans="1:92" x14ac:dyDescent="0.2">
      <c r="A54" s="2"/>
      <c r="N54" s="2"/>
      <c r="CN54" s="2"/>
    </row>
    <row r="55" spans="1:92" x14ac:dyDescent="0.2">
      <c r="A55" s="2"/>
      <c r="N55" s="2"/>
      <c r="CN55" s="2"/>
    </row>
    <row r="56" spans="1:92" x14ac:dyDescent="0.2">
      <c r="A56" s="2"/>
      <c r="N56" s="2"/>
      <c r="CN56" s="2"/>
    </row>
    <row r="57" spans="1:92" x14ac:dyDescent="0.2">
      <c r="A57" s="2"/>
      <c r="N57" s="2"/>
      <c r="CN57" s="2"/>
    </row>
    <row r="58" spans="1:92" x14ac:dyDescent="0.2">
      <c r="A58" s="2"/>
      <c r="N58" s="2"/>
      <c r="CN58" s="2"/>
    </row>
    <row r="59" spans="1:92" x14ac:dyDescent="0.2">
      <c r="A59" s="2"/>
      <c r="N59" s="2"/>
      <c r="CN59" s="2"/>
    </row>
    <row r="60" spans="1:92" x14ac:dyDescent="0.2">
      <c r="A60" s="2"/>
      <c r="N60" s="2"/>
      <c r="CN60" s="2"/>
    </row>
    <row r="61" spans="1:92" x14ac:dyDescent="0.2">
      <c r="A61" s="2"/>
      <c r="N61" s="2"/>
      <c r="CN61" s="2"/>
    </row>
    <row r="62" spans="1:92" x14ac:dyDescent="0.2">
      <c r="A62" s="2"/>
      <c r="N62" s="2"/>
      <c r="CN62" s="2"/>
    </row>
    <row r="63" spans="1:92" x14ac:dyDescent="0.2">
      <c r="A63" s="2"/>
      <c r="N63" s="2"/>
      <c r="CN63" s="2"/>
    </row>
    <row r="64" spans="1:92" x14ac:dyDescent="0.2">
      <c r="A64" s="2"/>
      <c r="N64" s="2"/>
      <c r="CN64" s="2"/>
    </row>
    <row r="65" spans="1:92" x14ac:dyDescent="0.2">
      <c r="A65" s="2"/>
      <c r="N65" s="2"/>
      <c r="CN65" s="2"/>
    </row>
    <row r="66" spans="1:92" x14ac:dyDescent="0.2">
      <c r="A66" s="2"/>
      <c r="N66" s="2"/>
      <c r="CN66" s="2"/>
    </row>
    <row r="67" spans="1:92" x14ac:dyDescent="0.2">
      <c r="A67" s="2"/>
      <c r="N67" s="2"/>
      <c r="CN67" s="2"/>
    </row>
    <row r="68" spans="1:92" x14ac:dyDescent="0.2">
      <c r="A68" s="2"/>
      <c r="N68" s="2"/>
      <c r="CN68" s="2"/>
    </row>
    <row r="69" spans="1:92" x14ac:dyDescent="0.2">
      <c r="A69" s="2"/>
      <c r="N69" s="2"/>
      <c r="CN69" s="2"/>
    </row>
    <row r="70" spans="1:92" x14ac:dyDescent="0.2">
      <c r="A70" s="2"/>
      <c r="N70" s="2"/>
      <c r="CN70" s="2"/>
    </row>
    <row r="71" spans="1:92" x14ac:dyDescent="0.2">
      <c r="A71" s="2"/>
      <c r="N71" s="2"/>
      <c r="CN71" s="2"/>
    </row>
    <row r="72" spans="1:92" x14ac:dyDescent="0.2">
      <c r="A72" s="2"/>
      <c r="N72" s="2"/>
      <c r="CN72" s="2"/>
    </row>
    <row r="73" spans="1:92" x14ac:dyDescent="0.2">
      <c r="A73" s="2"/>
      <c r="N73" s="2"/>
      <c r="CN73" s="2"/>
    </row>
    <row r="74" spans="1:92" x14ac:dyDescent="0.2">
      <c r="A74" s="2"/>
      <c r="N74" s="2"/>
      <c r="CN74" s="2"/>
    </row>
    <row r="75" spans="1:92" x14ac:dyDescent="0.2">
      <c r="A75" s="2"/>
      <c r="N75" s="2"/>
      <c r="CN75" s="2"/>
    </row>
    <row r="76" spans="1:92" x14ac:dyDescent="0.2">
      <c r="A76" s="2"/>
      <c r="N76" s="2"/>
      <c r="CN76" s="2"/>
    </row>
    <row r="77" spans="1:92" x14ac:dyDescent="0.2">
      <c r="A77" s="2"/>
      <c r="N77" s="2"/>
      <c r="CN77" s="2"/>
    </row>
    <row r="78" spans="1:92" x14ac:dyDescent="0.2">
      <c r="A78" s="2"/>
      <c r="N78" s="2"/>
      <c r="CN78" s="2"/>
    </row>
    <row r="79" spans="1:92" x14ac:dyDescent="0.2">
      <c r="A79" s="2"/>
      <c r="N79" s="2"/>
      <c r="CN79" s="2"/>
    </row>
    <row r="80" spans="1:92" x14ac:dyDescent="0.2">
      <c r="A80" s="2"/>
      <c r="N80" s="2"/>
      <c r="CN80" s="2"/>
    </row>
    <row r="81" spans="1:92" x14ac:dyDescent="0.2">
      <c r="A81" s="2"/>
      <c r="N81" s="2"/>
      <c r="CN81" s="2"/>
    </row>
    <row r="82" spans="1:92" x14ac:dyDescent="0.2">
      <c r="A82" s="2"/>
      <c r="N82" s="2"/>
      <c r="CN82" s="2"/>
    </row>
    <row r="83" spans="1:92" x14ac:dyDescent="0.2">
      <c r="A83" s="2"/>
      <c r="N83" s="2"/>
      <c r="CN83" s="2"/>
    </row>
    <row r="84" spans="1:92" x14ac:dyDescent="0.2">
      <c r="A84" s="2"/>
      <c r="N84" s="2"/>
      <c r="CN84" s="2"/>
    </row>
    <row r="85" spans="1:92" x14ac:dyDescent="0.2">
      <c r="A85" s="2"/>
      <c r="N85" s="2"/>
      <c r="CN85" s="2"/>
    </row>
    <row r="86" spans="1:92" x14ac:dyDescent="0.2">
      <c r="A86" s="2"/>
      <c r="N86" s="2"/>
      <c r="CN86" s="2"/>
    </row>
    <row r="87" spans="1:92" x14ac:dyDescent="0.2">
      <c r="A87" s="2"/>
      <c r="N87" s="2"/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  <row r="188" spans="1:92" x14ac:dyDescent="0.2">
      <c r="A188" s="2"/>
      <c r="N188" s="2"/>
      <c r="CN188" s="2"/>
    </row>
    <row r="189" spans="1:92" x14ac:dyDescent="0.2">
      <c r="A189" s="2"/>
      <c r="N189" s="2"/>
      <c r="CN189" s="2"/>
    </row>
    <row r="190" spans="1:92" x14ac:dyDescent="0.2">
      <c r="A190" s="2"/>
      <c r="N190" s="2"/>
      <c r="CN190" s="2"/>
    </row>
    <row r="191" spans="1:92" x14ac:dyDescent="0.2">
      <c r="A191" s="2"/>
      <c r="N191" s="2"/>
      <c r="CN191" s="2"/>
    </row>
    <row r="192" spans="1:92" x14ac:dyDescent="0.2">
      <c r="A192" s="2"/>
      <c r="N192" s="2"/>
      <c r="CN192" s="2"/>
    </row>
    <row r="193" spans="1:92" x14ac:dyDescent="0.2">
      <c r="A193" s="2"/>
      <c r="N193" s="2"/>
      <c r="CN193" s="2"/>
    </row>
    <row r="194" spans="1:92" x14ac:dyDescent="0.2">
      <c r="A194" s="2"/>
      <c r="N194" s="2"/>
      <c r="CN194" s="2"/>
    </row>
    <row r="195" spans="1:92" x14ac:dyDescent="0.2">
      <c r="A195" s="2"/>
      <c r="N195" s="2"/>
      <c r="CN195" s="2"/>
    </row>
    <row r="196" spans="1:92" x14ac:dyDescent="0.2">
      <c r="A196" s="2"/>
      <c r="N196" s="2"/>
      <c r="CN196" s="2"/>
    </row>
    <row r="197" spans="1:92" x14ac:dyDescent="0.2">
      <c r="A197" s="2"/>
      <c r="N197" s="2"/>
      <c r="CN197" s="2"/>
    </row>
    <row r="198" spans="1:92" x14ac:dyDescent="0.2">
      <c r="A198" s="2"/>
      <c r="N198" s="2"/>
      <c r="CN198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E4FC-3D53-4393-A5E7-801693664078}">
  <sheetPr codeName="Sheet4"/>
  <dimension ref="A1:DJ362"/>
  <sheetViews>
    <sheetView topLeftCell="AI41" zoomScale="85" zoomScaleNormal="85" workbookViewId="0">
      <selection activeCell="AW41" sqref="AW41"/>
    </sheetView>
  </sheetViews>
  <sheetFormatPr defaultRowHeight="14.25" x14ac:dyDescent="0.2"/>
  <cols>
    <col min="1" max="1" width="12.25" style="2" customWidth="1"/>
    <col min="2" max="2" width="16.125" customWidth="1"/>
    <col min="3" max="3" width="9.625" customWidth="1"/>
    <col min="4" max="4" width="16.5" customWidth="1"/>
    <col min="5" max="5" width="14.75" customWidth="1"/>
    <col min="6" max="6" width="15.875" customWidth="1"/>
    <col min="7" max="7" width="17.375" customWidth="1"/>
    <col min="8" max="8" width="13.875" customWidth="1"/>
    <col min="9" max="9" width="15.25" customWidth="1"/>
    <col min="10" max="10" width="18.75" customWidth="1"/>
    <col min="11" max="11" width="14" customWidth="1"/>
    <col min="12" max="12" width="12" customWidth="1"/>
    <col min="13" max="13" width="16.625" customWidth="1"/>
    <col min="14" max="14" width="20.25" style="2" customWidth="1"/>
    <col min="15" max="15" width="15.375" customWidth="1"/>
    <col min="16" max="16" width="19.125" customWidth="1"/>
    <col min="17" max="17" width="12.75" customWidth="1"/>
    <col min="18" max="18" width="16" customWidth="1"/>
    <col min="19" max="19" width="12.75" customWidth="1"/>
    <col min="20" max="20" width="19.75" customWidth="1"/>
    <col min="21" max="21" width="10" customWidth="1"/>
    <col min="22" max="22" width="12" customWidth="1"/>
    <col min="23" max="23" width="19.875" customWidth="1"/>
    <col min="24" max="24" width="16.25" customWidth="1"/>
    <col min="25" max="25" width="15.125" customWidth="1"/>
    <col min="26" max="27" width="16.875" customWidth="1"/>
    <col min="28" max="28" width="12.875" customWidth="1"/>
    <col min="29" max="30" width="13.5" customWidth="1"/>
    <col min="31" max="31" width="12.125" customWidth="1"/>
    <col min="32" max="32" width="14.625" customWidth="1"/>
    <col min="33" max="33" width="18.125" customWidth="1"/>
    <col min="34" max="34" width="12.625" customWidth="1"/>
    <col min="35" max="35" width="13.625" customWidth="1"/>
    <col min="36" max="36" width="15.5" customWidth="1"/>
    <col min="37" max="37" width="19.375" customWidth="1"/>
    <col min="38" max="38" width="20.625" customWidth="1"/>
    <col min="39" max="39" width="15.625" customWidth="1"/>
    <col min="40" max="40" width="21.25" customWidth="1"/>
    <col min="41" max="41" width="17.875" customWidth="1"/>
    <col min="42" max="42" width="16.5" customWidth="1"/>
    <col min="43" max="43" width="16.125" customWidth="1"/>
    <col min="44" max="44" width="15.625" customWidth="1"/>
    <col min="45" max="45" width="18.125" customWidth="1"/>
    <col min="46" max="46" width="25.125" customWidth="1"/>
    <col min="47" max="47" width="20.375" customWidth="1"/>
    <col min="48" max="48" width="18.875" customWidth="1"/>
    <col min="49" max="49" width="13.75" customWidth="1"/>
    <col min="50" max="50" width="18.875" customWidth="1"/>
    <col min="51" max="51" width="23" customWidth="1"/>
    <col min="52" max="52" width="21.875" customWidth="1"/>
    <col min="53" max="53" width="19.625" customWidth="1"/>
    <col min="54" max="54" width="24.25" customWidth="1"/>
    <col min="55" max="55" width="25.375" customWidth="1"/>
    <col min="56" max="56" width="26.125" customWidth="1"/>
    <col min="57" max="57" width="23.25" customWidth="1"/>
    <col min="58" max="58" width="25.75" customWidth="1"/>
    <col min="59" max="59" width="21.25" customWidth="1"/>
    <col min="60" max="60" width="26.375" customWidth="1"/>
    <col min="61" max="62" width="18.125" customWidth="1"/>
    <col min="63" max="64" width="14.75" customWidth="1"/>
    <col min="65" max="65" width="19.625" customWidth="1"/>
    <col min="66" max="66" width="18.5" customWidth="1"/>
    <col min="67" max="67" width="16.25" customWidth="1"/>
    <col min="68" max="68" width="20.875" customWidth="1"/>
    <col min="69" max="69" width="22" customWidth="1"/>
    <col min="70" max="70" width="22.75" customWidth="1"/>
    <col min="71" max="71" width="19.875" customWidth="1"/>
    <col min="72" max="72" width="22.375" customWidth="1"/>
    <col min="73" max="73" width="17.875" customWidth="1"/>
    <col min="74" max="75" width="23" customWidth="1"/>
    <col min="76" max="77" width="18.625" customWidth="1"/>
    <col min="78" max="78" width="23.5" customWidth="1"/>
    <col min="79" max="79" width="22.375" customWidth="1"/>
    <col min="80" max="80" width="20.125" customWidth="1"/>
    <col min="81" max="81" width="24.75" customWidth="1"/>
    <col min="82" max="82" width="25.875" customWidth="1"/>
    <col min="83" max="83" width="26.625" customWidth="1"/>
    <col min="84" max="84" width="23.75" customWidth="1"/>
    <col min="85" max="85" width="26.25" customWidth="1"/>
    <col min="86" max="86" width="21.75" customWidth="1"/>
    <col min="87" max="88" width="26.875" customWidth="1"/>
    <col min="89" max="89" width="20.125" customWidth="1"/>
    <col min="90" max="90" width="20.25" customWidth="1"/>
    <col min="91" max="91" width="16.5" customWidth="1"/>
    <col min="92" max="92" width="18.375" customWidth="1"/>
    <col min="93" max="93" width="17.375" customWidth="1"/>
    <col min="94" max="94" width="13.5" customWidth="1"/>
    <col min="95" max="95" width="20.875" customWidth="1"/>
    <col min="96" max="96" width="25.75" customWidth="1"/>
    <col min="97" max="97" width="23" customWidth="1"/>
    <col min="98" max="98" width="18.375" customWidth="1"/>
    <col min="99" max="99" width="14.875" customWidth="1"/>
    <col min="100" max="100" width="19.625" customWidth="1"/>
    <col min="101" max="101" width="20.875" customWidth="1"/>
    <col min="102" max="102" width="25.75" customWidth="1"/>
    <col min="103" max="103" width="9.5" customWidth="1"/>
    <col min="104" max="104" width="9.375" customWidth="1"/>
    <col min="105" max="105" width="16" customWidth="1"/>
    <col min="106" max="106" width="11.5" customWidth="1"/>
    <col min="108" max="108" width="10.875" customWidth="1"/>
    <col min="109" max="109" width="13.375" customWidth="1"/>
    <col min="110" max="110" width="17" customWidth="1"/>
    <col min="111" max="111" width="21.75" customWidth="1"/>
    <col min="112" max="112" width="19.875" customWidth="1"/>
    <col min="113" max="113" width="19.625" customWidth="1"/>
  </cols>
  <sheetData>
    <row r="1" spans="1:114" x14ac:dyDescent="0.2">
      <c r="A1" s="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177</v>
      </c>
      <c r="H1" s="1" t="s">
        <v>178</v>
      </c>
      <c r="I1" s="1" t="s">
        <v>179</v>
      </c>
      <c r="J1" s="1" t="s">
        <v>180</v>
      </c>
      <c r="K1" s="1" t="s">
        <v>181</v>
      </c>
      <c r="L1" s="1" t="s">
        <v>182</v>
      </c>
      <c r="M1" s="1" t="s">
        <v>183</v>
      </c>
      <c r="N1" s="9" t="s">
        <v>184</v>
      </c>
      <c r="O1" s="1" t="s">
        <v>185</v>
      </c>
      <c r="P1" s="1" t="s">
        <v>186</v>
      </c>
      <c r="Q1" s="1" t="s">
        <v>187</v>
      </c>
      <c r="R1" s="1" t="s">
        <v>188</v>
      </c>
      <c r="S1" s="1" t="s">
        <v>189</v>
      </c>
      <c r="T1" s="1" t="s">
        <v>190</v>
      </c>
      <c r="U1" s="1" t="s">
        <v>191</v>
      </c>
      <c r="V1" s="1" t="s">
        <v>192</v>
      </c>
      <c r="W1" s="1" t="s">
        <v>193</v>
      </c>
      <c r="X1" s="1" t="s">
        <v>194</v>
      </c>
      <c r="Y1" s="1" t="s">
        <v>195</v>
      </c>
      <c r="Z1" s="1" t="s">
        <v>196</v>
      </c>
      <c r="AA1" s="1" t="s">
        <v>197</v>
      </c>
      <c r="AB1" s="1" t="s">
        <v>198</v>
      </c>
      <c r="AC1" s="1" t="s">
        <v>199</v>
      </c>
      <c r="AD1" s="1" t="s">
        <v>200</v>
      </c>
      <c r="AE1" s="1" t="s">
        <v>201</v>
      </c>
      <c r="AF1" s="1" t="s">
        <v>202</v>
      </c>
      <c r="AG1" s="1" t="s">
        <v>203</v>
      </c>
      <c r="AH1" s="1" t="s">
        <v>204</v>
      </c>
      <c r="AI1" s="1" t="s">
        <v>205</v>
      </c>
      <c r="AJ1" s="1" t="s">
        <v>206</v>
      </c>
      <c r="AK1" s="1" t="s">
        <v>207</v>
      </c>
      <c r="AL1" s="1" t="s">
        <v>208</v>
      </c>
      <c r="AM1" s="1" t="s">
        <v>209</v>
      </c>
      <c r="AN1" s="1" t="s">
        <v>210</v>
      </c>
      <c r="AO1" s="1" t="s">
        <v>211</v>
      </c>
      <c r="AP1" s="1" t="s">
        <v>212</v>
      </c>
      <c r="AQ1" s="1" t="s">
        <v>213</v>
      </c>
      <c r="AR1" s="1" t="s">
        <v>214</v>
      </c>
      <c r="AS1" s="1" t="s">
        <v>215</v>
      </c>
      <c r="AT1" s="1" t="s">
        <v>216</v>
      </c>
      <c r="AU1" s="1" t="s">
        <v>217</v>
      </c>
      <c r="AV1" s="1" t="s">
        <v>218</v>
      </c>
      <c r="AW1" s="1" t="s">
        <v>219</v>
      </c>
      <c r="AX1" s="1" t="s">
        <v>220</v>
      </c>
      <c r="AY1" s="1" t="s">
        <v>221</v>
      </c>
      <c r="AZ1" s="1" t="s">
        <v>222</v>
      </c>
      <c r="BA1" s="1" t="s">
        <v>223</v>
      </c>
      <c r="BB1" s="1" t="s">
        <v>224</v>
      </c>
      <c r="BC1" s="1" t="s">
        <v>225</v>
      </c>
      <c r="BD1" s="1" t="s">
        <v>226</v>
      </c>
      <c r="BE1" s="1" t="s">
        <v>227</v>
      </c>
      <c r="BF1" s="1" t="s">
        <v>228</v>
      </c>
      <c r="BG1" s="1" t="s">
        <v>229</v>
      </c>
      <c r="BH1" s="1" t="s">
        <v>230</v>
      </c>
      <c r="BI1" s="1" t="s">
        <v>231</v>
      </c>
      <c r="BJ1" s="1" t="s">
        <v>232</v>
      </c>
      <c r="BK1" s="1" t="s">
        <v>233</v>
      </c>
      <c r="BL1" s="1" t="s">
        <v>234</v>
      </c>
      <c r="BM1" s="1" t="s">
        <v>235</v>
      </c>
      <c r="BN1" s="1" t="s">
        <v>236</v>
      </c>
      <c r="BO1" s="1" t="s">
        <v>237</v>
      </c>
      <c r="BP1" s="1" t="s">
        <v>238</v>
      </c>
      <c r="BQ1" s="1" t="s">
        <v>239</v>
      </c>
      <c r="BR1" s="1" t="s">
        <v>240</v>
      </c>
      <c r="BS1" s="1" t="s">
        <v>241</v>
      </c>
      <c r="BT1" s="1" t="s">
        <v>242</v>
      </c>
      <c r="BU1" s="1" t="s">
        <v>243</v>
      </c>
      <c r="BV1" s="1" t="s">
        <v>244</v>
      </c>
      <c r="BW1" s="1" t="s">
        <v>245</v>
      </c>
      <c r="BX1" s="1" t="s">
        <v>246</v>
      </c>
      <c r="BY1" s="1" t="s">
        <v>247</v>
      </c>
      <c r="BZ1" s="1" t="s">
        <v>248</v>
      </c>
      <c r="CA1" s="1" t="s">
        <v>249</v>
      </c>
      <c r="CB1" s="1" t="s">
        <v>250</v>
      </c>
      <c r="CC1" s="1" t="s">
        <v>251</v>
      </c>
      <c r="CD1" s="1" t="s">
        <v>252</v>
      </c>
      <c r="CE1" s="1" t="s">
        <v>253</v>
      </c>
      <c r="CF1" s="1" t="s">
        <v>254</v>
      </c>
      <c r="CG1" s="1" t="s">
        <v>255</v>
      </c>
      <c r="CH1" s="1" t="s">
        <v>256</v>
      </c>
      <c r="CI1" s="1" t="s">
        <v>257</v>
      </c>
      <c r="CJ1" s="1" t="s">
        <v>258</v>
      </c>
      <c r="CK1" s="1" t="s">
        <v>259</v>
      </c>
      <c r="CL1" s="1" t="s">
        <v>260</v>
      </c>
      <c r="CM1" s="1" t="s">
        <v>261</v>
      </c>
      <c r="CN1" s="1" t="s">
        <v>262</v>
      </c>
      <c r="CO1" s="1" t="s">
        <v>263</v>
      </c>
      <c r="CP1" s="1" t="s">
        <v>264</v>
      </c>
      <c r="CQ1" s="1" t="s">
        <v>265</v>
      </c>
      <c r="CR1" s="1" t="s">
        <v>266</v>
      </c>
      <c r="CS1" s="1" t="s">
        <v>267</v>
      </c>
      <c r="CT1" s="1" t="s">
        <v>268</v>
      </c>
      <c r="CU1" s="1" t="s">
        <v>269</v>
      </c>
      <c r="CV1" s="1" t="s">
        <v>270</v>
      </c>
      <c r="CW1" s="1" t="s">
        <v>271</v>
      </c>
      <c r="CX1" s="1" t="s">
        <v>272</v>
      </c>
      <c r="CY1" s="1" t="s">
        <v>273</v>
      </c>
      <c r="CZ1" s="1" t="s">
        <v>274</v>
      </c>
      <c r="DA1" s="1" t="s">
        <v>275</v>
      </c>
      <c r="DB1" s="1" t="s">
        <v>276</v>
      </c>
      <c r="DC1" s="1" t="s">
        <v>277</v>
      </c>
      <c r="DD1" s="1" t="s">
        <v>278</v>
      </c>
      <c r="DE1" s="1" t="s">
        <v>279</v>
      </c>
      <c r="DF1" s="1" t="s">
        <v>280</v>
      </c>
      <c r="DG1" s="1" t="s">
        <v>281</v>
      </c>
      <c r="DH1" s="1" t="s">
        <v>282</v>
      </c>
      <c r="DI1" s="1" t="s">
        <v>283</v>
      </c>
      <c r="DJ1" s="1" t="s">
        <v>1018</v>
      </c>
    </row>
    <row r="2" spans="1:114" x14ac:dyDescent="0.2">
      <c r="A2" s="2">
        <v>43376</v>
      </c>
      <c r="B2" t="s">
        <v>6</v>
      </c>
      <c r="C2" t="s">
        <v>7</v>
      </c>
      <c r="D2" t="s">
        <v>8</v>
      </c>
      <c r="F2" t="s">
        <v>284</v>
      </c>
      <c r="H2" t="s">
        <v>285</v>
      </c>
      <c r="I2" t="s">
        <v>286</v>
      </c>
      <c r="J2" t="s">
        <v>287</v>
      </c>
      <c r="K2" t="s">
        <v>288</v>
      </c>
      <c r="T2">
        <v>0</v>
      </c>
      <c r="V2">
        <v>0</v>
      </c>
      <c r="W2">
        <v>0</v>
      </c>
      <c r="X2">
        <v>0</v>
      </c>
      <c r="Z2">
        <v>0</v>
      </c>
      <c r="AA2">
        <v>0</v>
      </c>
      <c r="AB2">
        <v>0</v>
      </c>
      <c r="AC2" t="s">
        <v>284</v>
      </c>
      <c r="AE2" t="s">
        <v>284</v>
      </c>
      <c r="AH2" t="s">
        <v>289</v>
      </c>
      <c r="AI2" t="s">
        <v>285</v>
      </c>
      <c r="AJ2" t="s">
        <v>290</v>
      </c>
      <c r="AK2" t="s">
        <v>291</v>
      </c>
      <c r="AM2" t="s">
        <v>287</v>
      </c>
      <c r="AN2" t="s">
        <v>292</v>
      </c>
      <c r="AO2" t="s">
        <v>292</v>
      </c>
      <c r="AP2" t="s">
        <v>293</v>
      </c>
      <c r="AQ2" t="s">
        <v>294</v>
      </c>
      <c r="AR2" t="s">
        <v>292</v>
      </c>
      <c r="AS2" t="s">
        <v>292</v>
      </c>
      <c r="AT2" t="s">
        <v>292</v>
      </c>
      <c r="AU2" t="s">
        <v>295</v>
      </c>
      <c r="AV2" t="s">
        <v>292</v>
      </c>
      <c r="AY2" t="s">
        <v>296</v>
      </c>
      <c r="AZ2" t="s">
        <v>297</v>
      </c>
      <c r="BA2" t="s">
        <v>286</v>
      </c>
      <c r="BB2" t="s">
        <v>292</v>
      </c>
      <c r="BC2" t="s">
        <v>288</v>
      </c>
      <c r="BD2" t="s">
        <v>292</v>
      </c>
      <c r="BE2" t="s">
        <v>298</v>
      </c>
      <c r="BF2" t="s">
        <v>299</v>
      </c>
      <c r="BG2" t="s">
        <v>288</v>
      </c>
      <c r="BH2">
        <v>2</v>
      </c>
      <c r="BI2" t="s">
        <v>300</v>
      </c>
      <c r="BJ2" t="s">
        <v>300</v>
      </c>
      <c r="CK2" t="s">
        <v>301</v>
      </c>
      <c r="CL2" t="s">
        <v>302</v>
      </c>
      <c r="CM2" t="s">
        <v>9</v>
      </c>
      <c r="CN2" s="2">
        <v>2</v>
      </c>
      <c r="CO2" t="s">
        <v>292</v>
      </c>
      <c r="CP2" t="s">
        <v>303</v>
      </c>
      <c r="CQ2" t="s">
        <v>303</v>
      </c>
      <c r="CR2" t="s">
        <v>304</v>
      </c>
      <c r="CS2" t="s">
        <v>292</v>
      </c>
      <c r="CT2">
        <v>52000</v>
      </c>
      <c r="CU2" t="b">
        <v>1</v>
      </c>
      <c r="CV2" t="s">
        <v>292</v>
      </c>
      <c r="CW2" t="s">
        <v>292</v>
      </c>
      <c r="CX2" t="s">
        <v>292</v>
      </c>
      <c r="CY2" t="b">
        <v>0</v>
      </c>
      <c r="CZ2" t="b">
        <v>0</v>
      </c>
      <c r="DC2" t="s">
        <v>292</v>
      </c>
      <c r="DD2">
        <v>0</v>
      </c>
      <c r="DE2">
        <v>0</v>
      </c>
      <c r="DG2">
        <v>0</v>
      </c>
      <c r="DH2" t="s">
        <v>294</v>
      </c>
      <c r="DI2">
        <v>4.6978</v>
      </c>
      <c r="DJ2">
        <f>DataTable[HLD_MaturityDate] - DataTable[SEC_Issue_Date]</f>
        <v>-2</v>
      </c>
    </row>
    <row r="3" spans="1:114" x14ac:dyDescent="0.2">
      <c r="A3" s="2">
        <v>43376</v>
      </c>
      <c r="B3" t="s">
        <v>6</v>
      </c>
      <c r="C3" t="s">
        <v>7</v>
      </c>
      <c r="D3" t="s">
        <v>8</v>
      </c>
      <c r="F3" t="s">
        <v>305</v>
      </c>
      <c r="H3" t="s">
        <v>285</v>
      </c>
      <c r="I3" t="s">
        <v>286</v>
      </c>
      <c r="J3" t="s">
        <v>287</v>
      </c>
      <c r="K3" t="s">
        <v>288</v>
      </c>
      <c r="T3">
        <v>0</v>
      </c>
      <c r="V3">
        <v>0</v>
      </c>
      <c r="W3">
        <v>0</v>
      </c>
      <c r="X3">
        <v>0</v>
      </c>
      <c r="Z3">
        <v>0</v>
      </c>
      <c r="AA3">
        <v>0</v>
      </c>
      <c r="AB3">
        <v>0</v>
      </c>
      <c r="AC3" t="s">
        <v>305</v>
      </c>
      <c r="AE3" t="s">
        <v>306</v>
      </c>
      <c r="AH3" t="s">
        <v>289</v>
      </c>
      <c r="AI3" t="s">
        <v>285</v>
      </c>
      <c r="AJ3" t="s">
        <v>290</v>
      </c>
      <c r="AK3" t="s">
        <v>291</v>
      </c>
      <c r="AM3" t="s">
        <v>287</v>
      </c>
      <c r="AN3" t="s">
        <v>292</v>
      </c>
      <c r="AO3" t="s">
        <v>292</v>
      </c>
      <c r="AP3" t="s">
        <v>293</v>
      </c>
      <c r="AQ3" t="s">
        <v>307</v>
      </c>
      <c r="AR3" t="s">
        <v>292</v>
      </c>
      <c r="AS3" t="s">
        <v>292</v>
      </c>
      <c r="AT3" t="s">
        <v>292</v>
      </c>
      <c r="AU3" t="s">
        <v>295</v>
      </c>
      <c r="AV3" t="s">
        <v>292</v>
      </c>
      <c r="AY3" t="s">
        <v>296</v>
      </c>
      <c r="AZ3" t="s">
        <v>297</v>
      </c>
      <c r="BA3" t="s">
        <v>286</v>
      </c>
      <c r="BB3" t="s">
        <v>292</v>
      </c>
      <c r="BC3" t="s">
        <v>288</v>
      </c>
      <c r="BD3" t="s">
        <v>292</v>
      </c>
      <c r="BE3" t="s">
        <v>298</v>
      </c>
      <c r="BF3" t="s">
        <v>299</v>
      </c>
      <c r="BG3" t="s">
        <v>288</v>
      </c>
      <c r="BH3">
        <v>2</v>
      </c>
      <c r="BI3" t="s">
        <v>300</v>
      </c>
      <c r="BJ3" t="s">
        <v>300</v>
      </c>
      <c r="CK3" t="s">
        <v>301</v>
      </c>
      <c r="CL3" t="s">
        <v>302</v>
      </c>
      <c r="CM3" t="s">
        <v>9</v>
      </c>
      <c r="CN3" s="2">
        <v>2</v>
      </c>
      <c r="CO3" t="s">
        <v>292</v>
      </c>
      <c r="CP3" t="s">
        <v>308</v>
      </c>
      <c r="CQ3" t="s">
        <v>303</v>
      </c>
      <c r="CR3" t="s">
        <v>304</v>
      </c>
      <c r="CS3" t="s">
        <v>292</v>
      </c>
      <c r="CT3">
        <v>52000</v>
      </c>
      <c r="CU3" t="b">
        <v>1</v>
      </c>
      <c r="CV3" t="s">
        <v>292</v>
      </c>
      <c r="CW3" t="s">
        <v>292</v>
      </c>
      <c r="CX3" t="s">
        <v>292</v>
      </c>
      <c r="CY3" t="b">
        <v>0</v>
      </c>
      <c r="CZ3" t="b">
        <v>0</v>
      </c>
      <c r="DC3" t="s">
        <v>292</v>
      </c>
      <c r="DD3">
        <v>0</v>
      </c>
      <c r="DE3">
        <v>0</v>
      </c>
      <c r="DG3">
        <v>0</v>
      </c>
      <c r="DH3" t="s">
        <v>307</v>
      </c>
      <c r="DI3">
        <v>37.445099999999996</v>
      </c>
      <c r="DJ3">
        <f>DataTable[HLD_MaturityDate] - DataTable[SEC_Issue_Date]</f>
        <v>-2</v>
      </c>
    </row>
    <row r="4" spans="1:114" x14ac:dyDescent="0.2">
      <c r="A4" s="2">
        <v>43376</v>
      </c>
      <c r="B4" t="s">
        <v>6</v>
      </c>
      <c r="C4" t="s">
        <v>7</v>
      </c>
      <c r="D4" t="s">
        <v>8</v>
      </c>
      <c r="F4" t="s">
        <v>309</v>
      </c>
      <c r="H4" t="s">
        <v>285</v>
      </c>
      <c r="I4" t="s">
        <v>286</v>
      </c>
      <c r="J4" t="s">
        <v>287</v>
      </c>
      <c r="K4" t="s">
        <v>288</v>
      </c>
      <c r="T4">
        <v>0</v>
      </c>
      <c r="V4">
        <v>0</v>
      </c>
      <c r="W4">
        <v>0</v>
      </c>
      <c r="X4">
        <v>0</v>
      </c>
      <c r="Z4">
        <v>0</v>
      </c>
      <c r="AA4">
        <v>0</v>
      </c>
      <c r="AB4">
        <v>0</v>
      </c>
      <c r="AC4" t="s">
        <v>309</v>
      </c>
      <c r="AE4" t="s">
        <v>309</v>
      </c>
      <c r="AH4" t="s">
        <v>289</v>
      </c>
      <c r="AI4" t="s">
        <v>285</v>
      </c>
      <c r="AJ4" t="s">
        <v>290</v>
      </c>
      <c r="AK4" t="s">
        <v>291</v>
      </c>
      <c r="AM4" t="s">
        <v>287</v>
      </c>
      <c r="AN4" t="s">
        <v>292</v>
      </c>
      <c r="AO4" t="s">
        <v>292</v>
      </c>
      <c r="AP4" t="s">
        <v>293</v>
      </c>
      <c r="AQ4" t="s">
        <v>310</v>
      </c>
      <c r="AR4" t="s">
        <v>292</v>
      </c>
      <c r="AS4" t="s">
        <v>292</v>
      </c>
      <c r="AT4" t="s">
        <v>292</v>
      </c>
      <c r="AU4" t="s">
        <v>295</v>
      </c>
      <c r="AV4" t="s">
        <v>292</v>
      </c>
      <c r="AY4" t="s">
        <v>296</v>
      </c>
      <c r="AZ4" t="s">
        <v>297</v>
      </c>
      <c r="BA4" t="s">
        <v>286</v>
      </c>
      <c r="BB4" t="s">
        <v>292</v>
      </c>
      <c r="BC4" t="s">
        <v>288</v>
      </c>
      <c r="BD4" t="s">
        <v>292</v>
      </c>
      <c r="BE4" t="s">
        <v>298</v>
      </c>
      <c r="BF4" t="s">
        <v>299</v>
      </c>
      <c r="BG4" t="s">
        <v>288</v>
      </c>
      <c r="BH4">
        <v>2</v>
      </c>
      <c r="BI4" t="s">
        <v>300</v>
      </c>
      <c r="BJ4" t="s">
        <v>300</v>
      </c>
      <c r="CK4" t="s">
        <v>301</v>
      </c>
      <c r="CL4" t="s">
        <v>302</v>
      </c>
      <c r="CM4" t="s">
        <v>9</v>
      </c>
      <c r="CN4" s="2">
        <v>2</v>
      </c>
      <c r="CO4" t="s">
        <v>292</v>
      </c>
      <c r="CP4" t="s">
        <v>303</v>
      </c>
      <c r="CQ4" t="s">
        <v>303</v>
      </c>
      <c r="CR4" t="s">
        <v>304</v>
      </c>
      <c r="CS4" t="s">
        <v>292</v>
      </c>
      <c r="CT4">
        <v>52000</v>
      </c>
      <c r="CU4" t="b">
        <v>1</v>
      </c>
      <c r="CV4" t="s">
        <v>311</v>
      </c>
      <c r="CW4" t="s">
        <v>292</v>
      </c>
      <c r="CX4" t="s">
        <v>292</v>
      </c>
      <c r="CY4" t="b">
        <v>0</v>
      </c>
      <c r="CZ4" t="b">
        <v>0</v>
      </c>
      <c r="DC4" t="s">
        <v>292</v>
      </c>
      <c r="DD4">
        <v>0</v>
      </c>
      <c r="DE4">
        <v>0</v>
      </c>
      <c r="DG4">
        <v>0</v>
      </c>
      <c r="DH4" t="s">
        <v>310</v>
      </c>
      <c r="DI4">
        <v>4.1292</v>
      </c>
      <c r="DJ4">
        <f>DataTable[HLD_MaturityDate] - DataTable[SEC_Issue_Date]</f>
        <v>-2</v>
      </c>
    </row>
    <row r="5" spans="1:114" x14ac:dyDescent="0.2">
      <c r="A5" s="2">
        <v>43376</v>
      </c>
      <c r="B5" t="s">
        <v>6</v>
      </c>
      <c r="C5" t="s">
        <v>7</v>
      </c>
      <c r="D5" t="s">
        <v>8</v>
      </c>
      <c r="F5" t="s">
        <v>312</v>
      </c>
      <c r="G5" t="s">
        <v>313</v>
      </c>
      <c r="H5" t="s">
        <v>285</v>
      </c>
      <c r="I5" t="s">
        <v>286</v>
      </c>
      <c r="J5" t="s">
        <v>287</v>
      </c>
      <c r="K5" t="s">
        <v>288</v>
      </c>
      <c r="P5">
        <v>0.375</v>
      </c>
      <c r="T5">
        <v>342790.48</v>
      </c>
      <c r="U5">
        <v>352.18</v>
      </c>
      <c r="V5">
        <v>342790.48</v>
      </c>
      <c r="W5">
        <v>0</v>
      </c>
      <c r="X5">
        <v>0</v>
      </c>
      <c r="Z5">
        <v>342790.48</v>
      </c>
      <c r="AA5">
        <v>0</v>
      </c>
      <c r="AB5">
        <v>4.5894999999999999E-6</v>
      </c>
      <c r="AC5" t="s">
        <v>312</v>
      </c>
      <c r="AE5" t="s">
        <v>314</v>
      </c>
      <c r="AF5" t="s">
        <v>315</v>
      </c>
      <c r="AG5" t="s">
        <v>316</v>
      </c>
      <c r="AH5" t="s">
        <v>289</v>
      </c>
      <c r="AI5" t="s">
        <v>285</v>
      </c>
      <c r="AJ5" t="s">
        <v>290</v>
      </c>
      <c r="AK5" t="s">
        <v>291</v>
      </c>
      <c r="AL5" t="s">
        <v>317</v>
      </c>
      <c r="AM5" t="s">
        <v>292</v>
      </c>
      <c r="AO5" t="s">
        <v>292</v>
      </c>
      <c r="AP5" t="s">
        <v>292</v>
      </c>
      <c r="AQ5" t="s">
        <v>318</v>
      </c>
      <c r="AR5" t="s">
        <v>313</v>
      </c>
      <c r="AS5" t="s">
        <v>292</v>
      </c>
      <c r="AT5" t="s">
        <v>292</v>
      </c>
      <c r="AU5" t="s">
        <v>295</v>
      </c>
      <c r="AV5" t="s">
        <v>292</v>
      </c>
      <c r="AY5" t="s">
        <v>296</v>
      </c>
      <c r="AZ5" t="s">
        <v>297</v>
      </c>
      <c r="BA5" t="s">
        <v>286</v>
      </c>
      <c r="BB5" t="s">
        <v>292</v>
      </c>
      <c r="BC5" t="s">
        <v>288</v>
      </c>
      <c r="BD5" t="s">
        <v>292</v>
      </c>
      <c r="BE5" t="s">
        <v>298</v>
      </c>
      <c r="BF5" t="s">
        <v>299</v>
      </c>
      <c r="BG5" t="s">
        <v>288</v>
      </c>
      <c r="BH5">
        <v>2</v>
      </c>
      <c r="BI5" t="s">
        <v>300</v>
      </c>
      <c r="BJ5" t="s">
        <v>300</v>
      </c>
      <c r="CK5" t="s">
        <v>301</v>
      </c>
      <c r="CL5" t="s">
        <v>302</v>
      </c>
      <c r="CM5" t="s">
        <v>9</v>
      </c>
      <c r="CN5" s="2">
        <v>2</v>
      </c>
      <c r="CO5" t="s">
        <v>292</v>
      </c>
      <c r="CP5" t="s">
        <v>303</v>
      </c>
      <c r="CQ5" t="s">
        <v>303</v>
      </c>
      <c r="CR5" t="s">
        <v>304</v>
      </c>
      <c r="CS5" t="s">
        <v>292</v>
      </c>
      <c r="CT5">
        <v>52000</v>
      </c>
      <c r="CU5" t="b">
        <v>1</v>
      </c>
      <c r="CV5" t="s">
        <v>292</v>
      </c>
      <c r="CW5" t="s">
        <v>292</v>
      </c>
      <c r="CX5" t="s">
        <v>292</v>
      </c>
      <c r="CY5" t="b">
        <v>0</v>
      </c>
      <c r="CZ5" t="b">
        <v>0</v>
      </c>
      <c r="DC5" t="s">
        <v>292</v>
      </c>
      <c r="DJ5">
        <f>DataTable[HLD_MaturityDate] - DataTable[SEC_Issue_Date]</f>
        <v>-2</v>
      </c>
    </row>
    <row r="6" spans="1:114" x14ac:dyDescent="0.2">
      <c r="A6" s="2">
        <v>43376</v>
      </c>
      <c r="B6" t="s">
        <v>6</v>
      </c>
      <c r="C6" t="s">
        <v>7</v>
      </c>
      <c r="D6" t="s">
        <v>8</v>
      </c>
      <c r="F6" t="s">
        <v>319</v>
      </c>
      <c r="H6" t="s">
        <v>285</v>
      </c>
      <c r="I6" t="s">
        <v>286</v>
      </c>
      <c r="J6" t="s">
        <v>287</v>
      </c>
      <c r="K6" t="s">
        <v>288</v>
      </c>
      <c r="T6">
        <v>0</v>
      </c>
      <c r="V6">
        <v>0</v>
      </c>
      <c r="W6">
        <v>0</v>
      </c>
      <c r="X6">
        <v>0</v>
      </c>
      <c r="Z6">
        <v>0</v>
      </c>
      <c r="AA6">
        <v>0</v>
      </c>
      <c r="AB6">
        <v>0</v>
      </c>
      <c r="AC6" t="s">
        <v>319</v>
      </c>
      <c r="AE6" t="s">
        <v>320</v>
      </c>
      <c r="AH6" t="s">
        <v>289</v>
      </c>
      <c r="AI6" t="s">
        <v>285</v>
      </c>
      <c r="AJ6" t="s">
        <v>290</v>
      </c>
      <c r="AK6" t="s">
        <v>291</v>
      </c>
      <c r="AM6" t="s">
        <v>287</v>
      </c>
      <c r="AN6" t="s">
        <v>292</v>
      </c>
      <c r="AO6" t="s">
        <v>292</v>
      </c>
      <c r="AP6" t="s">
        <v>293</v>
      </c>
      <c r="AQ6" t="s">
        <v>321</v>
      </c>
      <c r="AR6" t="s">
        <v>292</v>
      </c>
      <c r="AS6" t="s">
        <v>292</v>
      </c>
      <c r="AT6" t="s">
        <v>292</v>
      </c>
      <c r="AU6" t="s">
        <v>295</v>
      </c>
      <c r="AV6" t="s">
        <v>292</v>
      </c>
      <c r="AY6" t="s">
        <v>296</v>
      </c>
      <c r="AZ6" t="s">
        <v>297</v>
      </c>
      <c r="BA6" t="s">
        <v>286</v>
      </c>
      <c r="BB6" t="s">
        <v>292</v>
      </c>
      <c r="BC6" t="s">
        <v>288</v>
      </c>
      <c r="BD6" t="s">
        <v>292</v>
      </c>
      <c r="BE6" t="s">
        <v>298</v>
      </c>
      <c r="BF6" t="s">
        <v>299</v>
      </c>
      <c r="BG6" t="s">
        <v>288</v>
      </c>
      <c r="BH6">
        <v>2</v>
      </c>
      <c r="BI6" t="s">
        <v>300</v>
      </c>
      <c r="BJ6" t="s">
        <v>300</v>
      </c>
      <c r="CK6" t="s">
        <v>301</v>
      </c>
      <c r="CL6" t="s">
        <v>302</v>
      </c>
      <c r="CM6" t="s">
        <v>9</v>
      </c>
      <c r="CN6" s="2">
        <v>2</v>
      </c>
      <c r="CO6" t="s">
        <v>292</v>
      </c>
      <c r="CP6" t="s">
        <v>322</v>
      </c>
      <c r="CQ6" t="s">
        <v>303</v>
      </c>
      <c r="CR6" t="s">
        <v>304</v>
      </c>
      <c r="CS6" t="s">
        <v>292</v>
      </c>
      <c r="CT6">
        <v>52000</v>
      </c>
      <c r="CU6" t="b">
        <v>1</v>
      </c>
      <c r="CV6" t="s">
        <v>292</v>
      </c>
      <c r="CW6" t="s">
        <v>292</v>
      </c>
      <c r="CX6" t="s">
        <v>292</v>
      </c>
      <c r="CY6" t="b">
        <v>0</v>
      </c>
      <c r="CZ6" t="b">
        <v>0</v>
      </c>
      <c r="DC6" t="s">
        <v>292</v>
      </c>
      <c r="DD6">
        <v>0</v>
      </c>
      <c r="DE6">
        <v>0</v>
      </c>
      <c r="DG6">
        <v>0</v>
      </c>
      <c r="DH6" t="s">
        <v>321</v>
      </c>
      <c r="DI6">
        <v>32.356999999999999</v>
      </c>
      <c r="DJ6">
        <f>DataTable[HLD_MaturityDate] - DataTable[SEC_Issue_Date]</f>
        <v>-2</v>
      </c>
    </row>
    <row r="7" spans="1:114" x14ac:dyDescent="0.2">
      <c r="A7" s="2">
        <v>43376</v>
      </c>
      <c r="B7" t="s">
        <v>6</v>
      </c>
      <c r="C7" t="s">
        <v>7</v>
      </c>
      <c r="D7" t="s">
        <v>8</v>
      </c>
      <c r="F7" t="s">
        <v>10</v>
      </c>
      <c r="H7" t="s">
        <v>323</v>
      </c>
      <c r="J7" t="s">
        <v>287</v>
      </c>
      <c r="T7">
        <v>747953546.60000002</v>
      </c>
      <c r="U7">
        <v>4879614.8899999997</v>
      </c>
      <c r="V7">
        <v>747953546.60000002</v>
      </c>
      <c r="W7">
        <v>0</v>
      </c>
      <c r="X7">
        <v>0</v>
      </c>
      <c r="Z7">
        <v>747953546.60000002</v>
      </c>
      <c r="AA7">
        <v>0</v>
      </c>
      <c r="AB7">
        <v>1.0069144299999999E-2</v>
      </c>
      <c r="AC7" t="s">
        <v>324</v>
      </c>
      <c r="AE7" t="s">
        <v>292</v>
      </c>
      <c r="AH7" t="s">
        <v>289</v>
      </c>
      <c r="AI7" t="s">
        <v>292</v>
      </c>
      <c r="AJ7" t="s">
        <v>290</v>
      </c>
      <c r="AK7" t="s">
        <v>292</v>
      </c>
      <c r="AM7" t="s">
        <v>292</v>
      </c>
      <c r="AN7" t="s">
        <v>292</v>
      </c>
      <c r="AO7" t="s">
        <v>292</v>
      </c>
      <c r="AP7" t="s">
        <v>292</v>
      </c>
      <c r="AQ7" t="s">
        <v>318</v>
      </c>
      <c r="AR7" t="s">
        <v>292</v>
      </c>
      <c r="AS7" t="s">
        <v>292</v>
      </c>
      <c r="AT7" t="s">
        <v>292</v>
      </c>
      <c r="AU7" t="s">
        <v>295</v>
      </c>
      <c r="AV7" t="s">
        <v>292</v>
      </c>
      <c r="CK7" t="s">
        <v>301</v>
      </c>
      <c r="CL7" t="s">
        <v>302</v>
      </c>
      <c r="CM7" t="s">
        <v>9</v>
      </c>
      <c r="CN7" s="2">
        <v>2</v>
      </c>
      <c r="CO7" t="s">
        <v>292</v>
      </c>
      <c r="CP7" t="s">
        <v>303</v>
      </c>
      <c r="CS7" t="s">
        <v>292</v>
      </c>
      <c r="CU7" t="b">
        <v>1</v>
      </c>
      <c r="CV7" t="s">
        <v>292</v>
      </c>
      <c r="CY7" t="b">
        <v>0</v>
      </c>
      <c r="CZ7" t="b">
        <v>0</v>
      </c>
      <c r="DC7" t="s">
        <v>292</v>
      </c>
      <c r="DJ7">
        <f>DataTable[HLD_MaturityDate] - DataTable[SEC_Issue_Date]</f>
        <v>-2</v>
      </c>
    </row>
    <row r="8" spans="1:114" x14ac:dyDescent="0.2">
      <c r="A8" s="2">
        <v>43376</v>
      </c>
      <c r="B8" t="s">
        <v>6</v>
      </c>
      <c r="C8" t="s">
        <v>7</v>
      </c>
      <c r="D8" t="s">
        <v>11</v>
      </c>
      <c r="F8" t="s">
        <v>325</v>
      </c>
      <c r="H8" t="s">
        <v>326</v>
      </c>
      <c r="I8" t="s">
        <v>286</v>
      </c>
      <c r="J8" t="s">
        <v>287</v>
      </c>
      <c r="K8" t="s">
        <v>327</v>
      </c>
      <c r="N8" s="2">
        <v>43599</v>
      </c>
      <c r="O8">
        <v>223</v>
      </c>
      <c r="P8">
        <v>1.65</v>
      </c>
      <c r="T8">
        <v>3000000000</v>
      </c>
      <c r="U8">
        <v>18850684.93</v>
      </c>
      <c r="V8">
        <v>3000000000</v>
      </c>
      <c r="W8">
        <v>0.60489899999999996</v>
      </c>
      <c r="X8">
        <v>3000000000</v>
      </c>
      <c r="Z8">
        <v>3000000000</v>
      </c>
      <c r="AA8">
        <v>1.65</v>
      </c>
      <c r="AB8">
        <v>4.0377130900000002E-2</v>
      </c>
      <c r="AC8" t="s">
        <v>325</v>
      </c>
      <c r="AE8" t="s">
        <v>328</v>
      </c>
      <c r="AF8" t="s">
        <v>329</v>
      </c>
      <c r="AG8" t="s">
        <v>329</v>
      </c>
      <c r="AH8" t="s">
        <v>330</v>
      </c>
      <c r="AI8" t="s">
        <v>326</v>
      </c>
      <c r="AJ8" t="s">
        <v>331</v>
      </c>
      <c r="AK8" t="s">
        <v>332</v>
      </c>
      <c r="AM8" t="s">
        <v>287</v>
      </c>
      <c r="AN8" t="s">
        <v>292</v>
      </c>
      <c r="AO8" t="s">
        <v>292</v>
      </c>
      <c r="AP8" t="s">
        <v>333</v>
      </c>
      <c r="AQ8" t="s">
        <v>318</v>
      </c>
      <c r="AR8" t="s">
        <v>292</v>
      </c>
      <c r="AS8" t="s">
        <v>292</v>
      </c>
      <c r="AT8" t="s">
        <v>334</v>
      </c>
      <c r="AU8" t="s">
        <v>292</v>
      </c>
      <c r="AV8" t="s">
        <v>335</v>
      </c>
      <c r="AY8" t="s">
        <v>336</v>
      </c>
      <c r="AZ8" t="s">
        <v>337</v>
      </c>
      <c r="BA8" t="s">
        <v>286</v>
      </c>
      <c r="BB8" t="s">
        <v>327</v>
      </c>
      <c r="BC8" t="s">
        <v>338</v>
      </c>
      <c r="BD8" t="s">
        <v>292</v>
      </c>
      <c r="BE8" t="s">
        <v>292</v>
      </c>
      <c r="BF8" t="s">
        <v>292</v>
      </c>
      <c r="BG8" t="s">
        <v>327</v>
      </c>
      <c r="BH8">
        <v>4</v>
      </c>
      <c r="BI8" t="s">
        <v>300</v>
      </c>
      <c r="BJ8" t="s">
        <v>300</v>
      </c>
      <c r="CK8" t="s">
        <v>301</v>
      </c>
      <c r="CL8" t="s">
        <v>302</v>
      </c>
      <c r="CM8" t="s">
        <v>9</v>
      </c>
      <c r="CN8" s="2">
        <v>43238</v>
      </c>
      <c r="CO8" t="s">
        <v>292</v>
      </c>
      <c r="CP8" t="s">
        <v>303</v>
      </c>
      <c r="CQ8" t="s">
        <v>303</v>
      </c>
      <c r="CR8" t="s">
        <v>304</v>
      </c>
      <c r="CS8" t="s">
        <v>292</v>
      </c>
      <c r="CT8">
        <v>40000</v>
      </c>
      <c r="CU8" t="b">
        <v>0</v>
      </c>
      <c r="CV8" t="s">
        <v>311</v>
      </c>
      <c r="CW8" t="s">
        <v>292</v>
      </c>
      <c r="CX8" t="s">
        <v>292</v>
      </c>
      <c r="CY8" t="b">
        <v>0</v>
      </c>
      <c r="CZ8" t="b">
        <v>0</v>
      </c>
      <c r="DC8" t="s">
        <v>292</v>
      </c>
      <c r="DJ8">
        <f>DataTable[HLD_MaturityDate] - DataTable[SEC_Issue_Date]</f>
        <v>361</v>
      </c>
    </row>
    <row r="9" spans="1:114" x14ac:dyDescent="0.2">
      <c r="A9" s="2">
        <v>43376</v>
      </c>
      <c r="B9" t="s">
        <v>6</v>
      </c>
      <c r="C9" t="s">
        <v>7</v>
      </c>
      <c r="D9" t="s">
        <v>11</v>
      </c>
      <c r="F9" t="s">
        <v>339</v>
      </c>
      <c r="H9" t="s">
        <v>326</v>
      </c>
      <c r="I9" t="s">
        <v>286</v>
      </c>
      <c r="J9" t="s">
        <v>287</v>
      </c>
      <c r="K9" t="s">
        <v>327</v>
      </c>
      <c r="N9" s="2">
        <v>43627</v>
      </c>
      <c r="O9">
        <v>251</v>
      </c>
      <c r="P9">
        <v>1.65</v>
      </c>
      <c r="T9">
        <v>370000000</v>
      </c>
      <c r="U9">
        <v>485054.79</v>
      </c>
      <c r="V9">
        <v>370000000</v>
      </c>
      <c r="W9">
        <v>0.67996599999999996</v>
      </c>
      <c r="X9">
        <v>370000000</v>
      </c>
      <c r="Z9">
        <v>370000000</v>
      </c>
      <c r="AA9">
        <v>1.65</v>
      </c>
      <c r="AB9">
        <v>4.9552379999999998E-3</v>
      </c>
      <c r="AC9" t="s">
        <v>339</v>
      </c>
      <c r="AE9" t="s">
        <v>340</v>
      </c>
      <c r="AF9" t="s">
        <v>341</v>
      </c>
      <c r="AG9" t="s">
        <v>341</v>
      </c>
      <c r="AH9" t="s">
        <v>330</v>
      </c>
      <c r="AI9" t="s">
        <v>326</v>
      </c>
      <c r="AJ9" t="s">
        <v>331</v>
      </c>
      <c r="AK9" t="s">
        <v>332</v>
      </c>
      <c r="AM9" t="s">
        <v>287</v>
      </c>
      <c r="AN9" t="s">
        <v>292</v>
      </c>
      <c r="AO9" t="s">
        <v>292</v>
      </c>
      <c r="AP9" t="s">
        <v>333</v>
      </c>
      <c r="AQ9" t="s">
        <v>318</v>
      </c>
      <c r="AR9" t="s">
        <v>292</v>
      </c>
      <c r="AS9" t="s">
        <v>292</v>
      </c>
      <c r="AT9" t="s">
        <v>334</v>
      </c>
      <c r="AU9" t="s">
        <v>292</v>
      </c>
      <c r="AV9" t="s">
        <v>335</v>
      </c>
      <c r="AY9" t="s">
        <v>336</v>
      </c>
      <c r="AZ9" t="s">
        <v>337</v>
      </c>
      <c r="BA9" t="s">
        <v>286</v>
      </c>
      <c r="BB9" t="s">
        <v>327</v>
      </c>
      <c r="BC9" t="s">
        <v>338</v>
      </c>
      <c r="BD9" t="s">
        <v>292</v>
      </c>
      <c r="BE9" t="s">
        <v>292</v>
      </c>
      <c r="BF9" t="s">
        <v>292</v>
      </c>
      <c r="BG9" t="s">
        <v>327</v>
      </c>
      <c r="BH9">
        <v>4</v>
      </c>
      <c r="BI9" t="s">
        <v>300</v>
      </c>
      <c r="BJ9" t="s">
        <v>300</v>
      </c>
      <c r="CK9" t="s">
        <v>301</v>
      </c>
      <c r="CL9" t="s">
        <v>302</v>
      </c>
      <c r="CM9" t="s">
        <v>9</v>
      </c>
      <c r="CN9" s="2">
        <v>43348</v>
      </c>
      <c r="CO9" t="s">
        <v>292</v>
      </c>
      <c r="CP9" t="s">
        <v>303</v>
      </c>
      <c r="CQ9" t="s">
        <v>303</v>
      </c>
      <c r="CR9" t="s">
        <v>304</v>
      </c>
      <c r="CS9" t="s">
        <v>292</v>
      </c>
      <c r="CT9">
        <v>40000</v>
      </c>
      <c r="CU9" t="b">
        <v>0</v>
      </c>
      <c r="CV9" t="s">
        <v>311</v>
      </c>
      <c r="CW9" t="s">
        <v>292</v>
      </c>
      <c r="CX9" t="s">
        <v>292</v>
      </c>
      <c r="CY9" t="b">
        <v>0</v>
      </c>
      <c r="CZ9" t="b">
        <v>0</v>
      </c>
      <c r="DC9" t="s">
        <v>292</v>
      </c>
      <c r="DJ9">
        <f>DataTable[HLD_MaturityDate] - DataTable[SEC_Issue_Date]</f>
        <v>279</v>
      </c>
    </row>
    <row r="10" spans="1:114" x14ac:dyDescent="0.2">
      <c r="A10" s="2">
        <v>43376</v>
      </c>
      <c r="B10" t="s">
        <v>6</v>
      </c>
      <c r="C10" t="s">
        <v>7</v>
      </c>
      <c r="D10" t="s">
        <v>11</v>
      </c>
      <c r="F10" t="s">
        <v>342</v>
      </c>
      <c r="H10" t="s">
        <v>343</v>
      </c>
      <c r="I10" t="s">
        <v>344</v>
      </c>
      <c r="J10" t="s">
        <v>287</v>
      </c>
      <c r="K10" t="s">
        <v>12</v>
      </c>
      <c r="N10" s="2">
        <v>43595</v>
      </c>
      <c r="O10">
        <v>219</v>
      </c>
      <c r="P10">
        <v>0.05</v>
      </c>
      <c r="T10">
        <v>1872255000</v>
      </c>
      <c r="U10">
        <v>382252.06</v>
      </c>
      <c r="V10">
        <v>1899500000</v>
      </c>
      <c r="W10">
        <v>0.60814800000000002</v>
      </c>
      <c r="X10">
        <v>50000000</v>
      </c>
      <c r="Z10">
        <v>1899500000</v>
      </c>
      <c r="AA10">
        <v>0.05</v>
      </c>
      <c r="AB10">
        <v>2.5046525100000001E-2</v>
      </c>
      <c r="AC10" t="s">
        <v>342</v>
      </c>
      <c r="AE10" t="s">
        <v>345</v>
      </c>
      <c r="AF10" t="s">
        <v>346</v>
      </c>
      <c r="AG10" t="s">
        <v>346</v>
      </c>
      <c r="AH10" t="s">
        <v>330</v>
      </c>
      <c r="AI10" t="s">
        <v>343</v>
      </c>
      <c r="AJ10" t="s">
        <v>347</v>
      </c>
      <c r="AK10" t="s">
        <v>10</v>
      </c>
      <c r="AM10" t="s">
        <v>287</v>
      </c>
      <c r="AN10" t="s">
        <v>292</v>
      </c>
      <c r="AO10" t="s">
        <v>292</v>
      </c>
      <c r="AP10" t="s">
        <v>333</v>
      </c>
      <c r="AQ10" t="s">
        <v>307</v>
      </c>
      <c r="AR10" t="s">
        <v>292</v>
      </c>
      <c r="AS10" t="s">
        <v>292</v>
      </c>
      <c r="AT10" t="s">
        <v>348</v>
      </c>
      <c r="AU10" t="s">
        <v>292</v>
      </c>
      <c r="AV10" t="s">
        <v>335</v>
      </c>
      <c r="AY10" t="s">
        <v>349</v>
      </c>
      <c r="AZ10" t="s">
        <v>349</v>
      </c>
      <c r="BA10" t="s">
        <v>344</v>
      </c>
      <c r="BB10" t="s">
        <v>292</v>
      </c>
      <c r="BC10" t="s">
        <v>12</v>
      </c>
      <c r="BD10" t="s">
        <v>292</v>
      </c>
      <c r="BE10" t="s">
        <v>12</v>
      </c>
      <c r="BF10" t="s">
        <v>350</v>
      </c>
      <c r="BG10" t="s">
        <v>12</v>
      </c>
      <c r="BH10">
        <v>6</v>
      </c>
      <c r="BI10" t="s">
        <v>300</v>
      </c>
      <c r="BJ10" t="s">
        <v>300</v>
      </c>
      <c r="CK10" t="s">
        <v>301</v>
      </c>
      <c r="CL10" t="s">
        <v>302</v>
      </c>
      <c r="CM10" t="s">
        <v>9</v>
      </c>
      <c r="CN10" s="2">
        <v>43230</v>
      </c>
      <c r="CO10" t="s">
        <v>292</v>
      </c>
      <c r="CP10" t="s">
        <v>351</v>
      </c>
      <c r="CQ10" t="s">
        <v>351</v>
      </c>
      <c r="CR10" t="s">
        <v>352</v>
      </c>
      <c r="CS10" t="s">
        <v>292</v>
      </c>
      <c r="CT10">
        <v>80000</v>
      </c>
      <c r="CU10" t="b">
        <v>0</v>
      </c>
      <c r="CV10" t="s">
        <v>311</v>
      </c>
      <c r="CW10" t="s">
        <v>292</v>
      </c>
      <c r="CX10" t="s">
        <v>292</v>
      </c>
      <c r="CY10" t="b">
        <v>0</v>
      </c>
      <c r="CZ10" t="b">
        <v>0</v>
      </c>
      <c r="DC10" t="s">
        <v>292</v>
      </c>
      <c r="DD10">
        <v>1899500000.02</v>
      </c>
      <c r="DE10">
        <v>0</v>
      </c>
      <c r="DG10">
        <v>0</v>
      </c>
      <c r="DH10" t="s">
        <v>307</v>
      </c>
      <c r="DI10">
        <v>37.445099999999996</v>
      </c>
      <c r="DJ10">
        <f>DataTable[HLD_MaturityDate] - DataTable[SEC_Issue_Date]</f>
        <v>365</v>
      </c>
    </row>
    <row r="11" spans="1:114" x14ac:dyDescent="0.2">
      <c r="A11" s="2">
        <v>43376</v>
      </c>
      <c r="B11" t="s">
        <v>6</v>
      </c>
      <c r="C11" t="s">
        <v>7</v>
      </c>
      <c r="D11" t="s">
        <v>11</v>
      </c>
      <c r="F11" t="s">
        <v>353</v>
      </c>
      <c r="G11" t="s">
        <v>354</v>
      </c>
      <c r="H11" t="s">
        <v>343</v>
      </c>
      <c r="I11" t="s">
        <v>344</v>
      </c>
      <c r="J11" t="s">
        <v>287</v>
      </c>
      <c r="K11" t="s">
        <v>12</v>
      </c>
      <c r="N11" s="2">
        <v>43580</v>
      </c>
      <c r="O11">
        <v>204</v>
      </c>
      <c r="P11">
        <v>3.17</v>
      </c>
      <c r="T11">
        <v>970710000</v>
      </c>
      <c r="U11">
        <v>13676225.33</v>
      </c>
      <c r="V11">
        <v>946500000</v>
      </c>
      <c r="W11">
        <v>0.55680300000000005</v>
      </c>
      <c r="X11">
        <v>30000000</v>
      </c>
      <c r="Z11">
        <v>946500000</v>
      </c>
      <c r="AA11">
        <v>3.17</v>
      </c>
      <c r="AB11">
        <v>1.3166166700000001E-2</v>
      </c>
      <c r="AC11" t="s">
        <v>353</v>
      </c>
      <c r="AE11" t="s">
        <v>345</v>
      </c>
      <c r="AF11" t="s">
        <v>346</v>
      </c>
      <c r="AG11" t="s">
        <v>346</v>
      </c>
      <c r="AH11" t="s">
        <v>330</v>
      </c>
      <c r="AI11" t="s">
        <v>343</v>
      </c>
      <c r="AJ11" t="s">
        <v>347</v>
      </c>
      <c r="AK11" t="s">
        <v>10</v>
      </c>
      <c r="AM11" t="s">
        <v>287</v>
      </c>
      <c r="AN11" t="s">
        <v>292</v>
      </c>
      <c r="AO11" t="s">
        <v>292</v>
      </c>
      <c r="AP11" t="s">
        <v>333</v>
      </c>
      <c r="AQ11" t="s">
        <v>321</v>
      </c>
      <c r="AR11" t="s">
        <v>355</v>
      </c>
      <c r="AS11" t="s">
        <v>356</v>
      </c>
      <c r="AT11" t="s">
        <v>348</v>
      </c>
      <c r="AU11" t="s">
        <v>292</v>
      </c>
      <c r="AV11" t="s">
        <v>335</v>
      </c>
      <c r="AW11" t="s">
        <v>354</v>
      </c>
      <c r="AY11" t="s">
        <v>349</v>
      </c>
      <c r="AZ11" t="s">
        <v>349</v>
      </c>
      <c r="BA11" t="s">
        <v>344</v>
      </c>
      <c r="BB11" t="s">
        <v>292</v>
      </c>
      <c r="BC11" t="s">
        <v>12</v>
      </c>
      <c r="BD11" t="s">
        <v>292</v>
      </c>
      <c r="BE11" t="s">
        <v>12</v>
      </c>
      <c r="BF11" t="s">
        <v>350</v>
      </c>
      <c r="BG11" t="s">
        <v>12</v>
      </c>
      <c r="BH11">
        <v>6</v>
      </c>
      <c r="BI11" t="s">
        <v>300</v>
      </c>
      <c r="BJ11" t="s">
        <v>300</v>
      </c>
      <c r="CK11" t="s">
        <v>301</v>
      </c>
      <c r="CL11" t="s">
        <v>302</v>
      </c>
      <c r="CM11" t="s">
        <v>9</v>
      </c>
      <c r="CN11" s="2">
        <v>43217</v>
      </c>
      <c r="CO11" t="s">
        <v>292</v>
      </c>
      <c r="CP11" t="s">
        <v>351</v>
      </c>
      <c r="CQ11" t="s">
        <v>351</v>
      </c>
      <c r="CR11" t="s">
        <v>352</v>
      </c>
      <c r="CS11" t="s">
        <v>292</v>
      </c>
      <c r="CT11">
        <v>80000</v>
      </c>
      <c r="CU11" t="b">
        <v>0</v>
      </c>
      <c r="CV11" t="s">
        <v>311</v>
      </c>
      <c r="CW11" t="s">
        <v>292</v>
      </c>
      <c r="CX11" t="s">
        <v>292</v>
      </c>
      <c r="CY11" t="b">
        <v>0</v>
      </c>
      <c r="CZ11" t="b">
        <v>0</v>
      </c>
      <c r="DC11" t="s">
        <v>292</v>
      </c>
      <c r="DD11">
        <v>946499999.99000001</v>
      </c>
      <c r="DE11">
        <v>0</v>
      </c>
      <c r="DG11">
        <v>0</v>
      </c>
      <c r="DH11" t="s">
        <v>321</v>
      </c>
      <c r="DI11">
        <v>32.356999999999999</v>
      </c>
      <c r="DJ11">
        <f>DataTable[HLD_MaturityDate] - DataTable[SEC_Issue_Date]</f>
        <v>363</v>
      </c>
    </row>
    <row r="12" spans="1:114" x14ac:dyDescent="0.2">
      <c r="A12" s="2">
        <v>43376</v>
      </c>
      <c r="B12" t="s">
        <v>6</v>
      </c>
      <c r="C12" t="s">
        <v>7</v>
      </c>
      <c r="D12" t="s">
        <v>11</v>
      </c>
      <c r="F12" t="s">
        <v>357</v>
      </c>
      <c r="G12" t="s">
        <v>354</v>
      </c>
      <c r="H12" t="s">
        <v>358</v>
      </c>
      <c r="I12" t="s">
        <v>344</v>
      </c>
      <c r="J12" t="s">
        <v>287</v>
      </c>
      <c r="K12" t="s">
        <v>359</v>
      </c>
      <c r="N12" s="2">
        <v>43410</v>
      </c>
      <c r="O12">
        <v>34</v>
      </c>
      <c r="P12">
        <v>2.4066999999999998</v>
      </c>
      <c r="T12">
        <v>1132495000</v>
      </c>
      <c r="U12">
        <v>24984444.07</v>
      </c>
      <c r="V12">
        <v>1158500000</v>
      </c>
      <c r="W12">
        <v>9.4234999999999999E-2</v>
      </c>
      <c r="X12">
        <v>35000000</v>
      </c>
      <c r="Z12">
        <v>1158500000</v>
      </c>
      <c r="AA12">
        <v>2.4066999999999998</v>
      </c>
      <c r="AB12">
        <v>1.54812887E-2</v>
      </c>
      <c r="AC12" t="s">
        <v>357</v>
      </c>
      <c r="AE12" t="s">
        <v>360</v>
      </c>
      <c r="AF12" t="s">
        <v>361</v>
      </c>
      <c r="AG12" t="s">
        <v>361</v>
      </c>
      <c r="AH12" t="s">
        <v>330</v>
      </c>
      <c r="AI12" t="s">
        <v>358</v>
      </c>
      <c r="AJ12" t="s">
        <v>347</v>
      </c>
      <c r="AK12" t="s">
        <v>10</v>
      </c>
      <c r="AM12" t="s">
        <v>287</v>
      </c>
      <c r="AN12" t="s">
        <v>292</v>
      </c>
      <c r="AO12" t="s">
        <v>292</v>
      </c>
      <c r="AP12" t="s">
        <v>333</v>
      </c>
      <c r="AQ12" t="s">
        <v>321</v>
      </c>
      <c r="AR12" t="s">
        <v>355</v>
      </c>
      <c r="AS12" t="s">
        <v>356</v>
      </c>
      <c r="AT12" t="s">
        <v>348</v>
      </c>
      <c r="AU12" t="s">
        <v>292</v>
      </c>
      <c r="AV12" t="s">
        <v>335</v>
      </c>
      <c r="AW12" t="s">
        <v>354</v>
      </c>
      <c r="AY12" t="s">
        <v>362</v>
      </c>
      <c r="AZ12" t="s">
        <v>362</v>
      </c>
      <c r="BA12" t="s">
        <v>344</v>
      </c>
      <c r="BB12" t="s">
        <v>292</v>
      </c>
      <c r="BC12" t="s">
        <v>359</v>
      </c>
      <c r="BD12" t="s">
        <v>292</v>
      </c>
      <c r="BE12" t="s">
        <v>12</v>
      </c>
      <c r="BF12" t="s">
        <v>350</v>
      </c>
      <c r="BG12" t="s">
        <v>359</v>
      </c>
      <c r="BH12">
        <v>5</v>
      </c>
      <c r="BI12" t="s">
        <v>300</v>
      </c>
      <c r="BJ12" t="s">
        <v>300</v>
      </c>
      <c r="CK12" t="s">
        <v>301</v>
      </c>
      <c r="CL12" t="s">
        <v>302</v>
      </c>
      <c r="CM12" t="s">
        <v>9</v>
      </c>
      <c r="CN12" s="2">
        <v>43047</v>
      </c>
      <c r="CO12" t="s">
        <v>292</v>
      </c>
      <c r="CP12" t="s">
        <v>363</v>
      </c>
      <c r="CQ12" t="s">
        <v>363</v>
      </c>
      <c r="CR12" t="s">
        <v>364</v>
      </c>
      <c r="CS12" t="s">
        <v>292</v>
      </c>
      <c r="CT12">
        <v>40000</v>
      </c>
      <c r="CU12" t="b">
        <v>0</v>
      </c>
      <c r="CV12" t="s">
        <v>311</v>
      </c>
      <c r="CW12" t="s">
        <v>292</v>
      </c>
      <c r="CX12" t="s">
        <v>292</v>
      </c>
      <c r="CY12" t="b">
        <v>0</v>
      </c>
      <c r="CZ12" t="b">
        <v>0</v>
      </c>
      <c r="DC12" t="s">
        <v>292</v>
      </c>
      <c r="DD12">
        <v>1158499999.98</v>
      </c>
      <c r="DE12">
        <v>0</v>
      </c>
      <c r="DG12">
        <v>0</v>
      </c>
      <c r="DH12" t="s">
        <v>321</v>
      </c>
      <c r="DI12">
        <v>32.356999999999999</v>
      </c>
      <c r="DJ12">
        <f>DataTable[HLD_MaturityDate] - DataTable[SEC_Issue_Date]</f>
        <v>363</v>
      </c>
    </row>
    <row r="13" spans="1:114" x14ac:dyDescent="0.2">
      <c r="A13" s="2">
        <v>43376</v>
      </c>
      <c r="B13" t="s">
        <v>6</v>
      </c>
      <c r="C13" t="s">
        <v>7</v>
      </c>
      <c r="D13" t="s">
        <v>11</v>
      </c>
      <c r="F13" t="s">
        <v>365</v>
      </c>
      <c r="G13" t="s">
        <v>354</v>
      </c>
      <c r="H13" t="s">
        <v>358</v>
      </c>
      <c r="I13" t="s">
        <v>344</v>
      </c>
      <c r="J13" t="s">
        <v>287</v>
      </c>
      <c r="K13" t="s">
        <v>359</v>
      </c>
      <c r="N13" s="2">
        <v>43389</v>
      </c>
      <c r="O13">
        <v>13</v>
      </c>
      <c r="P13">
        <v>2.4</v>
      </c>
      <c r="T13">
        <v>1617850000</v>
      </c>
      <c r="U13">
        <v>37749833.329999998</v>
      </c>
      <c r="V13">
        <v>1654000000</v>
      </c>
      <c r="W13">
        <v>3.6080000000000001E-2</v>
      </c>
      <c r="X13">
        <v>50000000</v>
      </c>
      <c r="Z13">
        <v>1654000000</v>
      </c>
      <c r="AA13">
        <v>2.4</v>
      </c>
      <c r="AB13">
        <v>2.21436494E-2</v>
      </c>
      <c r="AC13" t="s">
        <v>365</v>
      </c>
      <c r="AE13" t="s">
        <v>360</v>
      </c>
      <c r="AF13" t="s">
        <v>361</v>
      </c>
      <c r="AG13" t="s">
        <v>361</v>
      </c>
      <c r="AH13" t="s">
        <v>330</v>
      </c>
      <c r="AI13" t="s">
        <v>358</v>
      </c>
      <c r="AJ13" t="s">
        <v>347</v>
      </c>
      <c r="AK13" t="s">
        <v>10</v>
      </c>
      <c r="AM13" t="s">
        <v>287</v>
      </c>
      <c r="AN13" t="s">
        <v>292</v>
      </c>
      <c r="AO13" t="s">
        <v>292</v>
      </c>
      <c r="AP13" t="s">
        <v>333</v>
      </c>
      <c r="AQ13" t="s">
        <v>321</v>
      </c>
      <c r="AR13" t="s">
        <v>355</v>
      </c>
      <c r="AS13" t="s">
        <v>356</v>
      </c>
      <c r="AT13" t="s">
        <v>348</v>
      </c>
      <c r="AU13" t="s">
        <v>292</v>
      </c>
      <c r="AV13" t="s">
        <v>335</v>
      </c>
      <c r="AW13" t="s">
        <v>354</v>
      </c>
      <c r="AY13" t="s">
        <v>362</v>
      </c>
      <c r="AZ13" t="s">
        <v>362</v>
      </c>
      <c r="BA13" t="s">
        <v>344</v>
      </c>
      <c r="BB13" t="s">
        <v>292</v>
      </c>
      <c r="BC13" t="s">
        <v>359</v>
      </c>
      <c r="BD13" t="s">
        <v>292</v>
      </c>
      <c r="BE13" t="s">
        <v>12</v>
      </c>
      <c r="BF13" t="s">
        <v>350</v>
      </c>
      <c r="BG13" t="s">
        <v>359</v>
      </c>
      <c r="BH13">
        <v>5</v>
      </c>
      <c r="BI13" t="s">
        <v>300</v>
      </c>
      <c r="BJ13" t="s">
        <v>300</v>
      </c>
      <c r="CK13" t="s">
        <v>301</v>
      </c>
      <c r="CL13" t="s">
        <v>302</v>
      </c>
      <c r="CM13" t="s">
        <v>9</v>
      </c>
      <c r="CN13" s="2">
        <v>43027</v>
      </c>
      <c r="CO13" t="s">
        <v>292</v>
      </c>
      <c r="CP13" t="s">
        <v>363</v>
      </c>
      <c r="CQ13" t="s">
        <v>363</v>
      </c>
      <c r="CR13" t="s">
        <v>364</v>
      </c>
      <c r="CS13" t="s">
        <v>292</v>
      </c>
      <c r="CT13">
        <v>40000</v>
      </c>
      <c r="CU13" t="b">
        <v>0</v>
      </c>
      <c r="CV13" t="s">
        <v>311</v>
      </c>
      <c r="CW13" t="s">
        <v>292</v>
      </c>
      <c r="CX13" t="s">
        <v>292</v>
      </c>
      <c r="CY13" t="b">
        <v>0</v>
      </c>
      <c r="CZ13" t="b">
        <v>0</v>
      </c>
      <c r="DC13" t="s">
        <v>292</v>
      </c>
      <c r="DD13">
        <v>1654000000.01</v>
      </c>
      <c r="DE13">
        <v>0</v>
      </c>
      <c r="DG13">
        <v>0</v>
      </c>
      <c r="DH13" t="s">
        <v>321</v>
      </c>
      <c r="DI13">
        <v>32.356999999999999</v>
      </c>
      <c r="DJ13">
        <f>DataTable[HLD_MaturityDate] - DataTable[SEC_Issue_Date]</f>
        <v>362</v>
      </c>
    </row>
    <row r="14" spans="1:114" x14ac:dyDescent="0.2">
      <c r="A14" s="2">
        <v>43376</v>
      </c>
      <c r="B14" t="s">
        <v>6</v>
      </c>
      <c r="C14" t="s">
        <v>7</v>
      </c>
      <c r="D14" t="s">
        <v>11</v>
      </c>
      <c r="F14" t="s">
        <v>366</v>
      </c>
      <c r="H14" t="s">
        <v>367</v>
      </c>
      <c r="I14" t="s">
        <v>344</v>
      </c>
      <c r="J14" t="s">
        <v>287</v>
      </c>
      <c r="K14" t="s">
        <v>12</v>
      </c>
      <c r="N14" s="2">
        <v>43559</v>
      </c>
      <c r="O14">
        <v>183</v>
      </c>
      <c r="P14">
        <v>4.5</v>
      </c>
      <c r="T14">
        <v>2348900000</v>
      </c>
      <c r="U14">
        <v>52263025</v>
      </c>
      <c r="V14">
        <v>2477500000</v>
      </c>
      <c r="W14">
        <v>0.49720599999999998</v>
      </c>
      <c r="X14">
        <v>500000000</v>
      </c>
      <c r="Z14">
        <v>2477500000</v>
      </c>
      <c r="AA14">
        <v>4.5</v>
      </c>
      <c r="AB14">
        <v>3.21155578E-2</v>
      </c>
      <c r="AC14" t="s">
        <v>366</v>
      </c>
      <c r="AE14" t="s">
        <v>368</v>
      </c>
      <c r="AF14" t="s">
        <v>369</v>
      </c>
      <c r="AG14" t="s">
        <v>369</v>
      </c>
      <c r="AH14" t="s">
        <v>330</v>
      </c>
      <c r="AI14" t="s">
        <v>367</v>
      </c>
      <c r="AJ14" t="s">
        <v>347</v>
      </c>
      <c r="AK14" t="s">
        <v>10</v>
      </c>
      <c r="AM14" t="s">
        <v>287</v>
      </c>
      <c r="AN14" t="s">
        <v>292</v>
      </c>
      <c r="AO14" t="s">
        <v>292</v>
      </c>
      <c r="AP14" t="s">
        <v>333</v>
      </c>
      <c r="AQ14" t="s">
        <v>294</v>
      </c>
      <c r="AR14" t="s">
        <v>292</v>
      </c>
      <c r="AS14" t="s">
        <v>292</v>
      </c>
      <c r="AT14" t="s">
        <v>348</v>
      </c>
      <c r="AU14" t="s">
        <v>292</v>
      </c>
      <c r="AV14" t="s">
        <v>335</v>
      </c>
      <c r="AY14" t="s">
        <v>370</v>
      </c>
      <c r="AZ14" t="s">
        <v>370</v>
      </c>
      <c r="BA14" t="s">
        <v>344</v>
      </c>
      <c r="BB14" t="s">
        <v>292</v>
      </c>
      <c r="BC14" t="s">
        <v>12</v>
      </c>
      <c r="BD14" t="s">
        <v>292</v>
      </c>
      <c r="BE14" t="s">
        <v>12</v>
      </c>
      <c r="BF14" t="s">
        <v>350</v>
      </c>
      <c r="BG14" t="s">
        <v>12</v>
      </c>
      <c r="BH14">
        <v>6</v>
      </c>
      <c r="BI14" t="s">
        <v>300</v>
      </c>
      <c r="BJ14" t="s">
        <v>300</v>
      </c>
      <c r="CK14" t="s">
        <v>301</v>
      </c>
      <c r="CL14" t="s">
        <v>302</v>
      </c>
      <c r="CM14" t="s">
        <v>9</v>
      </c>
      <c r="CN14" s="2">
        <v>43199</v>
      </c>
      <c r="CO14" t="s">
        <v>292</v>
      </c>
      <c r="CP14" t="s">
        <v>371</v>
      </c>
      <c r="CQ14" t="s">
        <v>371</v>
      </c>
      <c r="CR14" t="s">
        <v>372</v>
      </c>
      <c r="CS14" t="s">
        <v>292</v>
      </c>
      <c r="CT14">
        <v>100000</v>
      </c>
      <c r="CU14" t="b">
        <v>0</v>
      </c>
      <c r="CV14" t="s">
        <v>311</v>
      </c>
      <c r="CW14" t="s">
        <v>292</v>
      </c>
      <c r="CX14" t="s">
        <v>292</v>
      </c>
      <c r="CY14" t="b">
        <v>0</v>
      </c>
      <c r="CZ14" t="b">
        <v>0</v>
      </c>
      <c r="DC14" t="s">
        <v>292</v>
      </c>
      <c r="DD14">
        <v>2477500000</v>
      </c>
      <c r="DE14">
        <v>0</v>
      </c>
      <c r="DG14">
        <v>0</v>
      </c>
      <c r="DH14" t="s">
        <v>294</v>
      </c>
      <c r="DI14">
        <v>4.6978</v>
      </c>
      <c r="DJ14">
        <f>DataTable[HLD_MaturityDate] - DataTable[SEC_Issue_Date]</f>
        <v>360</v>
      </c>
    </row>
    <row r="15" spans="1:114" x14ac:dyDescent="0.2">
      <c r="A15" s="2">
        <v>43376</v>
      </c>
      <c r="B15" t="s">
        <v>6</v>
      </c>
      <c r="C15" t="s">
        <v>7</v>
      </c>
      <c r="D15" t="s">
        <v>11</v>
      </c>
      <c r="F15" t="s">
        <v>373</v>
      </c>
      <c r="H15" t="s">
        <v>367</v>
      </c>
      <c r="I15" t="s">
        <v>344</v>
      </c>
      <c r="J15" t="s">
        <v>287</v>
      </c>
      <c r="K15" t="s">
        <v>12</v>
      </c>
      <c r="N15" s="2">
        <v>43566</v>
      </c>
      <c r="O15">
        <v>190</v>
      </c>
      <c r="P15">
        <v>4.45</v>
      </c>
      <c r="T15">
        <v>1879120000</v>
      </c>
      <c r="U15">
        <v>40881299.560000002</v>
      </c>
      <c r="V15">
        <v>1981400000</v>
      </c>
      <c r="W15">
        <v>0.51591699999999996</v>
      </c>
      <c r="X15">
        <v>400000000</v>
      </c>
      <c r="Z15">
        <v>1981400000</v>
      </c>
      <c r="AA15">
        <v>4.45</v>
      </c>
      <c r="AB15">
        <v>2.5680019299999999E-2</v>
      </c>
      <c r="AC15" t="s">
        <v>373</v>
      </c>
      <c r="AE15" t="s">
        <v>368</v>
      </c>
      <c r="AF15" t="s">
        <v>374</v>
      </c>
      <c r="AG15" t="s">
        <v>374</v>
      </c>
      <c r="AH15" t="s">
        <v>330</v>
      </c>
      <c r="AI15" t="s">
        <v>367</v>
      </c>
      <c r="AJ15" t="s">
        <v>347</v>
      </c>
      <c r="AK15" t="s">
        <v>10</v>
      </c>
      <c r="AM15" t="s">
        <v>287</v>
      </c>
      <c r="AN15" t="s">
        <v>292</v>
      </c>
      <c r="AO15" t="s">
        <v>292</v>
      </c>
      <c r="AP15" t="s">
        <v>333</v>
      </c>
      <c r="AQ15" t="s">
        <v>294</v>
      </c>
      <c r="AR15" t="s">
        <v>292</v>
      </c>
      <c r="AS15" t="s">
        <v>292</v>
      </c>
      <c r="AT15" t="s">
        <v>348</v>
      </c>
      <c r="AU15" t="s">
        <v>292</v>
      </c>
      <c r="AV15" t="s">
        <v>335</v>
      </c>
      <c r="AY15" t="s">
        <v>370</v>
      </c>
      <c r="AZ15" t="s">
        <v>370</v>
      </c>
      <c r="BA15" t="s">
        <v>344</v>
      </c>
      <c r="BB15" t="s">
        <v>292</v>
      </c>
      <c r="BC15" t="s">
        <v>12</v>
      </c>
      <c r="BD15" t="s">
        <v>292</v>
      </c>
      <c r="BE15" t="s">
        <v>12</v>
      </c>
      <c r="BF15" t="s">
        <v>350</v>
      </c>
      <c r="BG15" t="s">
        <v>12</v>
      </c>
      <c r="BH15">
        <v>6</v>
      </c>
      <c r="BI15" t="s">
        <v>300</v>
      </c>
      <c r="BJ15" t="s">
        <v>300</v>
      </c>
      <c r="CK15" t="s">
        <v>301</v>
      </c>
      <c r="CL15" t="s">
        <v>302</v>
      </c>
      <c r="CM15" t="s">
        <v>9</v>
      </c>
      <c r="CN15" s="2">
        <v>43201</v>
      </c>
      <c r="CO15" t="s">
        <v>292</v>
      </c>
      <c r="CP15" t="s">
        <v>371</v>
      </c>
      <c r="CQ15" t="s">
        <v>371</v>
      </c>
      <c r="CR15" t="s">
        <v>372</v>
      </c>
      <c r="CS15" t="s">
        <v>292</v>
      </c>
      <c r="CT15">
        <v>100000</v>
      </c>
      <c r="CU15" t="b">
        <v>0</v>
      </c>
      <c r="CV15" t="s">
        <v>311</v>
      </c>
      <c r="CW15" t="s">
        <v>292</v>
      </c>
      <c r="CX15" t="s">
        <v>292</v>
      </c>
      <c r="CY15" t="b">
        <v>0</v>
      </c>
      <c r="CZ15" t="b">
        <v>0</v>
      </c>
      <c r="DC15" t="s">
        <v>292</v>
      </c>
      <c r="DD15">
        <v>1981400000</v>
      </c>
      <c r="DE15">
        <v>0</v>
      </c>
      <c r="DG15">
        <v>0</v>
      </c>
      <c r="DH15" t="s">
        <v>294</v>
      </c>
      <c r="DI15">
        <v>4.6978</v>
      </c>
      <c r="DJ15">
        <f>DataTable[HLD_MaturityDate] - DataTable[SEC_Issue_Date]</f>
        <v>365</v>
      </c>
    </row>
    <row r="16" spans="1:114" x14ac:dyDescent="0.2">
      <c r="A16" s="2">
        <v>43376</v>
      </c>
      <c r="B16" t="s">
        <v>6</v>
      </c>
      <c r="C16" t="s">
        <v>7</v>
      </c>
      <c r="D16" t="s">
        <v>11</v>
      </c>
      <c r="F16" t="s">
        <v>375</v>
      </c>
      <c r="H16" t="s">
        <v>367</v>
      </c>
      <c r="I16" t="s">
        <v>344</v>
      </c>
      <c r="J16" t="s">
        <v>287</v>
      </c>
      <c r="K16" t="s">
        <v>12</v>
      </c>
      <c r="N16" s="2">
        <v>43580</v>
      </c>
      <c r="O16">
        <v>204</v>
      </c>
      <c r="P16">
        <v>0.06</v>
      </c>
      <c r="T16">
        <v>2621157000</v>
      </c>
      <c r="U16">
        <v>707712.39</v>
      </c>
      <c r="V16">
        <v>2691500000</v>
      </c>
      <c r="W16">
        <v>0.56647400000000003</v>
      </c>
      <c r="X16">
        <v>70000000</v>
      </c>
      <c r="Z16">
        <v>2691500000</v>
      </c>
      <c r="AA16">
        <v>0.06</v>
      </c>
      <c r="AB16">
        <v>3.5067443099999998E-2</v>
      </c>
      <c r="AC16" t="s">
        <v>375</v>
      </c>
      <c r="AE16" t="s">
        <v>368</v>
      </c>
      <c r="AF16" t="s">
        <v>374</v>
      </c>
      <c r="AG16" t="s">
        <v>374</v>
      </c>
      <c r="AH16" t="s">
        <v>330</v>
      </c>
      <c r="AI16" t="s">
        <v>367</v>
      </c>
      <c r="AJ16" t="s">
        <v>347</v>
      </c>
      <c r="AK16" t="s">
        <v>10</v>
      </c>
      <c r="AM16" t="s">
        <v>287</v>
      </c>
      <c r="AN16" t="s">
        <v>292</v>
      </c>
      <c r="AO16" t="s">
        <v>292</v>
      </c>
      <c r="AP16" t="s">
        <v>333</v>
      </c>
      <c r="AQ16" t="s">
        <v>307</v>
      </c>
      <c r="AR16" t="s">
        <v>292</v>
      </c>
      <c r="AS16" t="s">
        <v>292</v>
      </c>
      <c r="AT16" t="s">
        <v>348</v>
      </c>
      <c r="AU16" t="s">
        <v>292</v>
      </c>
      <c r="AV16" t="s">
        <v>335</v>
      </c>
      <c r="AY16" t="s">
        <v>370</v>
      </c>
      <c r="AZ16" t="s">
        <v>370</v>
      </c>
      <c r="BA16" t="s">
        <v>344</v>
      </c>
      <c r="BB16" t="s">
        <v>292</v>
      </c>
      <c r="BC16" t="s">
        <v>12</v>
      </c>
      <c r="BD16" t="s">
        <v>292</v>
      </c>
      <c r="BE16" t="s">
        <v>12</v>
      </c>
      <c r="BF16" t="s">
        <v>350</v>
      </c>
      <c r="BG16" t="s">
        <v>12</v>
      </c>
      <c r="BH16">
        <v>6</v>
      </c>
      <c r="BI16" t="s">
        <v>300</v>
      </c>
      <c r="BJ16" t="s">
        <v>300</v>
      </c>
      <c r="CK16" t="s">
        <v>301</v>
      </c>
      <c r="CL16" t="s">
        <v>302</v>
      </c>
      <c r="CM16" t="s">
        <v>9</v>
      </c>
      <c r="CN16" s="2">
        <v>43215</v>
      </c>
      <c r="CO16" t="s">
        <v>292</v>
      </c>
      <c r="CP16" t="s">
        <v>371</v>
      </c>
      <c r="CQ16" t="s">
        <v>371</v>
      </c>
      <c r="CR16" t="s">
        <v>372</v>
      </c>
      <c r="CS16" t="s">
        <v>292</v>
      </c>
      <c r="CT16">
        <v>100000</v>
      </c>
      <c r="CU16" t="b">
        <v>0</v>
      </c>
      <c r="CV16" t="s">
        <v>311</v>
      </c>
      <c r="CW16" t="s">
        <v>292</v>
      </c>
      <c r="CX16" t="s">
        <v>292</v>
      </c>
      <c r="CY16" t="b">
        <v>0</v>
      </c>
      <c r="CZ16" t="b">
        <v>0</v>
      </c>
      <c r="DC16" t="s">
        <v>292</v>
      </c>
      <c r="DD16">
        <v>2691499999.9699998</v>
      </c>
      <c r="DE16">
        <v>0</v>
      </c>
      <c r="DG16">
        <v>0</v>
      </c>
      <c r="DH16" t="s">
        <v>307</v>
      </c>
      <c r="DI16">
        <v>37.445099999999996</v>
      </c>
      <c r="DJ16">
        <f>DataTable[HLD_MaturityDate] - DataTable[SEC_Issue_Date]</f>
        <v>365</v>
      </c>
    </row>
    <row r="17" spans="1:114" x14ac:dyDescent="0.2">
      <c r="A17" s="2">
        <v>43376</v>
      </c>
      <c r="B17" t="s">
        <v>6</v>
      </c>
      <c r="C17" t="s">
        <v>7</v>
      </c>
      <c r="D17" t="s">
        <v>11</v>
      </c>
      <c r="F17" t="s">
        <v>376</v>
      </c>
      <c r="H17" t="s">
        <v>377</v>
      </c>
      <c r="I17" t="s">
        <v>378</v>
      </c>
      <c r="J17" t="s">
        <v>287</v>
      </c>
      <c r="K17" t="s">
        <v>379</v>
      </c>
      <c r="N17" s="2">
        <v>43679</v>
      </c>
      <c r="O17">
        <v>303</v>
      </c>
      <c r="P17">
        <v>1.7</v>
      </c>
      <c r="T17">
        <v>300000000</v>
      </c>
      <c r="U17">
        <v>866301.37</v>
      </c>
      <c r="V17">
        <v>300000000</v>
      </c>
      <c r="W17">
        <v>0.81861700000000004</v>
      </c>
      <c r="X17">
        <v>300000000</v>
      </c>
      <c r="Z17">
        <v>300000000</v>
      </c>
      <c r="AA17">
        <v>1.7</v>
      </c>
      <c r="AB17">
        <v>4.0240870999999996E-3</v>
      </c>
      <c r="AC17" t="s">
        <v>376</v>
      </c>
      <c r="AE17" t="s">
        <v>380</v>
      </c>
      <c r="AF17" t="s">
        <v>381</v>
      </c>
      <c r="AG17" t="s">
        <v>381</v>
      </c>
      <c r="AH17" t="s">
        <v>330</v>
      </c>
      <c r="AI17" t="s">
        <v>377</v>
      </c>
      <c r="AJ17" t="s">
        <v>382</v>
      </c>
      <c r="AK17" t="s">
        <v>10</v>
      </c>
      <c r="AM17" t="s">
        <v>287</v>
      </c>
      <c r="AN17" t="s">
        <v>292</v>
      </c>
      <c r="AO17" t="s">
        <v>292</v>
      </c>
      <c r="AP17" t="s">
        <v>333</v>
      </c>
      <c r="AQ17" t="s">
        <v>318</v>
      </c>
      <c r="AR17" t="s">
        <v>292</v>
      </c>
      <c r="AS17" t="s">
        <v>292</v>
      </c>
      <c r="AT17" t="s">
        <v>334</v>
      </c>
      <c r="AU17" t="s">
        <v>292</v>
      </c>
      <c r="AV17" t="s">
        <v>335</v>
      </c>
      <c r="AY17" t="s">
        <v>383</v>
      </c>
      <c r="AZ17" t="s">
        <v>384</v>
      </c>
      <c r="BA17" t="s">
        <v>378</v>
      </c>
      <c r="BB17" t="s">
        <v>292</v>
      </c>
      <c r="BC17" t="s">
        <v>379</v>
      </c>
      <c r="BD17" t="s">
        <v>292</v>
      </c>
      <c r="BE17" t="s">
        <v>292</v>
      </c>
      <c r="BF17" t="s">
        <v>299</v>
      </c>
      <c r="BG17" t="s">
        <v>379</v>
      </c>
      <c r="BH17">
        <v>1</v>
      </c>
      <c r="BI17" t="s">
        <v>300</v>
      </c>
      <c r="BJ17" t="s">
        <v>300</v>
      </c>
      <c r="CK17" t="s">
        <v>301</v>
      </c>
      <c r="CL17" t="s">
        <v>302</v>
      </c>
      <c r="CM17" t="s">
        <v>9</v>
      </c>
      <c r="CN17" s="2">
        <v>43315</v>
      </c>
      <c r="CO17" t="s">
        <v>292</v>
      </c>
      <c r="CP17" t="s">
        <v>303</v>
      </c>
      <c r="CQ17" t="s">
        <v>303</v>
      </c>
      <c r="CR17" t="s">
        <v>304</v>
      </c>
      <c r="CS17" t="s">
        <v>292</v>
      </c>
      <c r="CT17">
        <v>30000</v>
      </c>
      <c r="CU17" t="b">
        <v>0</v>
      </c>
      <c r="CV17" t="s">
        <v>311</v>
      </c>
      <c r="CW17" t="s">
        <v>292</v>
      </c>
      <c r="CX17" t="s">
        <v>292</v>
      </c>
      <c r="CY17" t="b">
        <v>0</v>
      </c>
      <c r="CZ17" t="b">
        <v>0</v>
      </c>
      <c r="DC17" t="s">
        <v>292</v>
      </c>
      <c r="DJ17">
        <f>DataTable[HLD_MaturityDate] - DataTable[SEC_Issue_Date]</f>
        <v>364</v>
      </c>
    </row>
    <row r="18" spans="1:114" x14ac:dyDescent="0.2">
      <c r="A18" s="2">
        <v>43376</v>
      </c>
      <c r="B18" t="s">
        <v>6</v>
      </c>
      <c r="C18" t="s">
        <v>7</v>
      </c>
      <c r="D18" t="s">
        <v>11</v>
      </c>
      <c r="F18" t="s">
        <v>385</v>
      </c>
      <c r="H18" t="s">
        <v>377</v>
      </c>
      <c r="I18" t="s">
        <v>378</v>
      </c>
      <c r="J18" t="s">
        <v>287</v>
      </c>
      <c r="K18" t="s">
        <v>379</v>
      </c>
      <c r="N18" s="2">
        <v>43683</v>
      </c>
      <c r="O18">
        <v>307</v>
      </c>
      <c r="P18">
        <v>1.7</v>
      </c>
      <c r="T18">
        <v>650000000</v>
      </c>
      <c r="U18">
        <v>1786164.38</v>
      </c>
      <c r="V18">
        <v>650000000</v>
      </c>
      <c r="W18">
        <v>0.82926999999999995</v>
      </c>
      <c r="X18">
        <v>650000000</v>
      </c>
      <c r="Z18">
        <v>650000000</v>
      </c>
      <c r="AA18">
        <v>1.7</v>
      </c>
      <c r="AB18">
        <v>8.7176405999999998E-3</v>
      </c>
      <c r="AC18" t="s">
        <v>385</v>
      </c>
      <c r="AE18" t="s">
        <v>380</v>
      </c>
      <c r="AF18" t="s">
        <v>381</v>
      </c>
      <c r="AG18" t="s">
        <v>381</v>
      </c>
      <c r="AH18" t="s">
        <v>330</v>
      </c>
      <c r="AI18" t="s">
        <v>377</v>
      </c>
      <c r="AJ18" t="s">
        <v>382</v>
      </c>
      <c r="AK18" t="s">
        <v>10</v>
      </c>
      <c r="AM18" t="s">
        <v>287</v>
      </c>
      <c r="AN18" t="s">
        <v>292</v>
      </c>
      <c r="AO18" t="s">
        <v>292</v>
      </c>
      <c r="AP18" t="s">
        <v>333</v>
      </c>
      <c r="AQ18" t="s">
        <v>318</v>
      </c>
      <c r="AR18" t="s">
        <v>292</v>
      </c>
      <c r="AS18" t="s">
        <v>292</v>
      </c>
      <c r="AT18" t="s">
        <v>334</v>
      </c>
      <c r="AU18" t="s">
        <v>292</v>
      </c>
      <c r="AV18" t="s">
        <v>335</v>
      </c>
      <c r="AY18" t="s">
        <v>383</v>
      </c>
      <c r="AZ18" t="s">
        <v>384</v>
      </c>
      <c r="BA18" t="s">
        <v>378</v>
      </c>
      <c r="BB18" t="s">
        <v>292</v>
      </c>
      <c r="BC18" t="s">
        <v>379</v>
      </c>
      <c r="BD18" t="s">
        <v>292</v>
      </c>
      <c r="BE18" t="s">
        <v>292</v>
      </c>
      <c r="BF18" t="s">
        <v>299</v>
      </c>
      <c r="BG18" t="s">
        <v>379</v>
      </c>
      <c r="BH18">
        <v>1</v>
      </c>
      <c r="BI18" t="s">
        <v>300</v>
      </c>
      <c r="BJ18" t="s">
        <v>300</v>
      </c>
      <c r="CK18" t="s">
        <v>301</v>
      </c>
      <c r="CL18" t="s">
        <v>302</v>
      </c>
      <c r="CM18" t="s">
        <v>9</v>
      </c>
      <c r="CN18" s="2">
        <v>43318</v>
      </c>
      <c r="CO18" t="s">
        <v>292</v>
      </c>
      <c r="CP18" t="s">
        <v>303</v>
      </c>
      <c r="CQ18" t="s">
        <v>303</v>
      </c>
      <c r="CR18" t="s">
        <v>304</v>
      </c>
      <c r="CS18" t="s">
        <v>292</v>
      </c>
      <c r="CT18">
        <v>30000</v>
      </c>
      <c r="CU18" t="b">
        <v>0</v>
      </c>
      <c r="CV18" t="s">
        <v>311</v>
      </c>
      <c r="CW18" t="s">
        <v>292</v>
      </c>
      <c r="CX18" t="s">
        <v>292</v>
      </c>
      <c r="CY18" t="b">
        <v>0</v>
      </c>
      <c r="CZ18" t="b">
        <v>0</v>
      </c>
      <c r="DC18" t="s">
        <v>292</v>
      </c>
      <c r="DJ18">
        <f>DataTable[HLD_MaturityDate] - DataTable[SEC_Issue_Date]</f>
        <v>365</v>
      </c>
    </row>
    <row r="19" spans="1:114" x14ac:dyDescent="0.2">
      <c r="A19" s="2">
        <v>43376</v>
      </c>
      <c r="B19" t="s">
        <v>6</v>
      </c>
      <c r="C19" t="s">
        <v>7</v>
      </c>
      <c r="D19" t="s">
        <v>11</v>
      </c>
      <c r="F19" t="s">
        <v>13</v>
      </c>
      <c r="H19" t="s">
        <v>377</v>
      </c>
      <c r="I19" t="s">
        <v>378</v>
      </c>
      <c r="J19" t="s">
        <v>287</v>
      </c>
      <c r="K19" t="s">
        <v>379</v>
      </c>
      <c r="N19" s="2">
        <v>43686</v>
      </c>
      <c r="O19">
        <v>310</v>
      </c>
      <c r="P19">
        <v>1.7</v>
      </c>
      <c r="T19">
        <v>150000000</v>
      </c>
      <c r="U19">
        <v>391232.88</v>
      </c>
      <c r="V19">
        <v>150000000</v>
      </c>
      <c r="W19">
        <v>0.83725700000000003</v>
      </c>
      <c r="X19">
        <v>150000000</v>
      </c>
      <c r="Z19">
        <v>150000000</v>
      </c>
      <c r="AA19">
        <v>1.7</v>
      </c>
      <c r="AB19">
        <v>2.0114829000000001E-3</v>
      </c>
      <c r="AC19" t="s">
        <v>13</v>
      </c>
      <c r="AE19" t="s">
        <v>380</v>
      </c>
      <c r="AF19" t="s">
        <v>381</v>
      </c>
      <c r="AG19" t="s">
        <v>381</v>
      </c>
      <c r="AH19" t="s">
        <v>330</v>
      </c>
      <c r="AI19" t="s">
        <v>377</v>
      </c>
      <c r="AJ19" t="s">
        <v>382</v>
      </c>
      <c r="AK19" t="s">
        <v>10</v>
      </c>
      <c r="AM19" t="s">
        <v>287</v>
      </c>
      <c r="AN19" t="s">
        <v>292</v>
      </c>
      <c r="AO19" t="s">
        <v>292</v>
      </c>
      <c r="AP19" t="s">
        <v>333</v>
      </c>
      <c r="AQ19" t="s">
        <v>318</v>
      </c>
      <c r="AR19" t="s">
        <v>292</v>
      </c>
      <c r="AS19" t="s">
        <v>292</v>
      </c>
      <c r="AT19" t="s">
        <v>334</v>
      </c>
      <c r="AU19" t="s">
        <v>292</v>
      </c>
      <c r="AV19" t="s">
        <v>335</v>
      </c>
      <c r="AY19" t="s">
        <v>383</v>
      </c>
      <c r="AZ19" t="s">
        <v>384</v>
      </c>
      <c r="BA19" t="s">
        <v>378</v>
      </c>
      <c r="BB19" t="s">
        <v>292</v>
      </c>
      <c r="BC19" t="s">
        <v>379</v>
      </c>
      <c r="BD19" t="s">
        <v>292</v>
      </c>
      <c r="BE19" t="s">
        <v>292</v>
      </c>
      <c r="BF19" t="s">
        <v>299</v>
      </c>
      <c r="BG19" t="s">
        <v>379</v>
      </c>
      <c r="BH19">
        <v>1</v>
      </c>
      <c r="BI19" t="s">
        <v>300</v>
      </c>
      <c r="BJ19" t="s">
        <v>300</v>
      </c>
      <c r="CK19" t="s">
        <v>301</v>
      </c>
      <c r="CL19" t="s">
        <v>302</v>
      </c>
      <c r="CM19" t="s">
        <v>9</v>
      </c>
      <c r="CN19" s="2">
        <v>43321</v>
      </c>
      <c r="CO19" t="s">
        <v>292</v>
      </c>
      <c r="CP19" t="s">
        <v>303</v>
      </c>
      <c r="CQ19" t="s">
        <v>303</v>
      </c>
      <c r="CR19" t="s">
        <v>304</v>
      </c>
      <c r="CS19" t="s">
        <v>292</v>
      </c>
      <c r="CT19">
        <v>30000</v>
      </c>
      <c r="CU19" t="b">
        <v>0</v>
      </c>
      <c r="CV19" t="s">
        <v>311</v>
      </c>
      <c r="CW19" t="s">
        <v>292</v>
      </c>
      <c r="CX19" t="s">
        <v>292</v>
      </c>
      <c r="CY19" t="b">
        <v>0</v>
      </c>
      <c r="CZ19" t="b">
        <v>0</v>
      </c>
      <c r="DC19" t="s">
        <v>292</v>
      </c>
      <c r="DJ19">
        <f>DataTable[HLD_MaturityDate] - DataTable[SEC_Issue_Date]</f>
        <v>365</v>
      </c>
    </row>
    <row r="20" spans="1:114" x14ac:dyDescent="0.2">
      <c r="A20" s="2">
        <v>43376</v>
      </c>
      <c r="B20" t="s">
        <v>6</v>
      </c>
      <c r="C20" t="s">
        <v>7</v>
      </c>
      <c r="D20" t="s">
        <v>11</v>
      </c>
      <c r="F20" t="s">
        <v>386</v>
      </c>
      <c r="H20" t="s">
        <v>377</v>
      </c>
      <c r="I20" t="s">
        <v>378</v>
      </c>
      <c r="J20" t="s">
        <v>287</v>
      </c>
      <c r="K20" t="s">
        <v>379</v>
      </c>
      <c r="N20" s="2">
        <v>43448</v>
      </c>
      <c r="O20">
        <v>72</v>
      </c>
      <c r="P20">
        <v>1.6</v>
      </c>
      <c r="T20">
        <v>70000000</v>
      </c>
      <c r="U20">
        <v>902136.99</v>
      </c>
      <c r="V20">
        <v>70000000</v>
      </c>
      <c r="W20">
        <v>0.19664000000000001</v>
      </c>
      <c r="X20">
        <v>70000000</v>
      </c>
      <c r="Z20">
        <v>70000000</v>
      </c>
      <c r="AA20">
        <v>1.6</v>
      </c>
      <c r="AB20">
        <v>9.4831620000000001E-4</v>
      </c>
      <c r="AC20" t="s">
        <v>386</v>
      </c>
      <c r="AE20" t="s">
        <v>380</v>
      </c>
      <c r="AF20" t="s">
        <v>381</v>
      </c>
      <c r="AG20" t="s">
        <v>381</v>
      </c>
      <c r="AH20" t="s">
        <v>330</v>
      </c>
      <c r="AI20" t="s">
        <v>377</v>
      </c>
      <c r="AJ20" t="s">
        <v>382</v>
      </c>
      <c r="AK20" t="s">
        <v>10</v>
      </c>
      <c r="AM20" t="s">
        <v>287</v>
      </c>
      <c r="AN20" t="s">
        <v>292</v>
      </c>
      <c r="AO20" t="s">
        <v>292</v>
      </c>
      <c r="AP20" t="s">
        <v>333</v>
      </c>
      <c r="AQ20" t="s">
        <v>318</v>
      </c>
      <c r="AR20" t="s">
        <v>292</v>
      </c>
      <c r="AS20" t="s">
        <v>292</v>
      </c>
      <c r="AT20" t="s">
        <v>334</v>
      </c>
      <c r="AU20" t="s">
        <v>292</v>
      </c>
      <c r="AV20" t="s">
        <v>335</v>
      </c>
      <c r="AY20" t="s">
        <v>383</v>
      </c>
      <c r="AZ20" t="s">
        <v>384</v>
      </c>
      <c r="BA20" t="s">
        <v>378</v>
      </c>
      <c r="BB20" t="s">
        <v>292</v>
      </c>
      <c r="BC20" t="s">
        <v>379</v>
      </c>
      <c r="BD20" t="s">
        <v>292</v>
      </c>
      <c r="BE20" t="s">
        <v>292</v>
      </c>
      <c r="BF20" t="s">
        <v>299</v>
      </c>
      <c r="BG20" t="s">
        <v>379</v>
      </c>
      <c r="BH20">
        <v>1</v>
      </c>
      <c r="BI20" t="s">
        <v>300</v>
      </c>
      <c r="BJ20" t="s">
        <v>300</v>
      </c>
      <c r="CK20" t="s">
        <v>301</v>
      </c>
      <c r="CL20" t="s">
        <v>302</v>
      </c>
      <c r="CM20" t="s">
        <v>9</v>
      </c>
      <c r="CN20" s="2">
        <v>43083</v>
      </c>
      <c r="CO20" t="s">
        <v>292</v>
      </c>
      <c r="CP20" t="s">
        <v>303</v>
      </c>
      <c r="CQ20" t="s">
        <v>303</v>
      </c>
      <c r="CR20" t="s">
        <v>304</v>
      </c>
      <c r="CS20" t="s">
        <v>292</v>
      </c>
      <c r="CT20">
        <v>30000</v>
      </c>
      <c r="CU20" t="b">
        <v>0</v>
      </c>
      <c r="CV20" t="s">
        <v>311</v>
      </c>
      <c r="CW20" t="s">
        <v>292</v>
      </c>
      <c r="CX20" t="s">
        <v>292</v>
      </c>
      <c r="CY20" t="b">
        <v>0</v>
      </c>
      <c r="CZ20" t="b">
        <v>0</v>
      </c>
      <c r="DC20" t="s">
        <v>292</v>
      </c>
      <c r="DJ20">
        <f>DataTable[HLD_MaturityDate] - DataTable[SEC_Issue_Date]</f>
        <v>365</v>
      </c>
    </row>
    <row r="21" spans="1:114" x14ac:dyDescent="0.2">
      <c r="A21" s="2">
        <v>43376</v>
      </c>
      <c r="B21" t="s">
        <v>6</v>
      </c>
      <c r="C21" t="s">
        <v>7</v>
      </c>
      <c r="D21" t="s">
        <v>11</v>
      </c>
      <c r="F21" t="s">
        <v>387</v>
      </c>
      <c r="G21" t="s">
        <v>388</v>
      </c>
      <c r="H21" t="s">
        <v>377</v>
      </c>
      <c r="I21" t="s">
        <v>378</v>
      </c>
      <c r="J21" t="s">
        <v>287</v>
      </c>
      <c r="K21" t="s">
        <v>379</v>
      </c>
      <c r="N21" s="2">
        <v>43481</v>
      </c>
      <c r="O21">
        <v>105</v>
      </c>
      <c r="P21">
        <v>1.6</v>
      </c>
      <c r="T21">
        <v>68000000</v>
      </c>
      <c r="U21">
        <v>777994.52</v>
      </c>
      <c r="V21">
        <v>68000000</v>
      </c>
      <c r="W21">
        <v>0.28635300000000002</v>
      </c>
      <c r="X21">
        <v>68000000</v>
      </c>
      <c r="Z21">
        <v>68000000</v>
      </c>
      <c r="AA21">
        <v>1.6</v>
      </c>
      <c r="AB21">
        <v>9.1990569999999996E-4</v>
      </c>
      <c r="AC21" t="s">
        <v>387</v>
      </c>
      <c r="AE21" t="s">
        <v>380</v>
      </c>
      <c r="AF21" t="s">
        <v>381</v>
      </c>
      <c r="AG21" t="s">
        <v>381</v>
      </c>
      <c r="AH21" t="s">
        <v>330</v>
      </c>
      <c r="AI21" t="s">
        <v>377</v>
      </c>
      <c r="AJ21" t="s">
        <v>382</v>
      </c>
      <c r="AK21" t="s">
        <v>10</v>
      </c>
      <c r="AM21" t="s">
        <v>287</v>
      </c>
      <c r="AN21" t="s">
        <v>292</v>
      </c>
      <c r="AO21" t="s">
        <v>292</v>
      </c>
      <c r="AP21" t="s">
        <v>333</v>
      </c>
      <c r="AQ21" t="s">
        <v>318</v>
      </c>
      <c r="AR21" t="s">
        <v>292</v>
      </c>
      <c r="AS21" t="s">
        <v>389</v>
      </c>
      <c r="AT21" t="s">
        <v>334</v>
      </c>
      <c r="AU21" t="s">
        <v>292</v>
      </c>
      <c r="AV21" t="s">
        <v>335</v>
      </c>
      <c r="AW21" t="s">
        <v>388</v>
      </c>
      <c r="AX21">
        <v>1</v>
      </c>
      <c r="AY21" t="s">
        <v>383</v>
      </c>
      <c r="AZ21" t="s">
        <v>384</v>
      </c>
      <c r="BA21" t="s">
        <v>378</v>
      </c>
      <c r="BB21" t="s">
        <v>292</v>
      </c>
      <c r="BC21" t="s">
        <v>379</v>
      </c>
      <c r="BD21" t="s">
        <v>292</v>
      </c>
      <c r="BE21" t="s">
        <v>292</v>
      </c>
      <c r="BF21" t="s">
        <v>299</v>
      </c>
      <c r="BG21" t="s">
        <v>379</v>
      </c>
      <c r="BH21">
        <v>1</v>
      </c>
      <c r="BI21" t="s">
        <v>300</v>
      </c>
      <c r="BJ21" t="s">
        <v>300</v>
      </c>
      <c r="CK21" t="s">
        <v>301</v>
      </c>
      <c r="CL21" t="s">
        <v>302</v>
      </c>
      <c r="CM21" t="s">
        <v>9</v>
      </c>
      <c r="CN21" s="2">
        <v>43116</v>
      </c>
      <c r="CO21" t="s">
        <v>292</v>
      </c>
      <c r="CP21" t="s">
        <v>303</v>
      </c>
      <c r="CQ21" t="s">
        <v>303</v>
      </c>
      <c r="CR21" t="s">
        <v>304</v>
      </c>
      <c r="CS21" t="s">
        <v>292</v>
      </c>
      <c r="CT21">
        <v>30000</v>
      </c>
      <c r="CU21" t="b">
        <v>0</v>
      </c>
      <c r="CV21" t="s">
        <v>311</v>
      </c>
      <c r="CW21" t="s">
        <v>292</v>
      </c>
      <c r="CX21" t="s">
        <v>292</v>
      </c>
      <c r="CY21" t="b">
        <v>0</v>
      </c>
      <c r="CZ21" t="b">
        <v>0</v>
      </c>
      <c r="DC21" t="s">
        <v>292</v>
      </c>
      <c r="DJ21">
        <f>DataTable[HLD_MaturityDate] - DataTable[SEC_Issue_Date]</f>
        <v>365</v>
      </c>
    </row>
    <row r="22" spans="1:114" x14ac:dyDescent="0.2">
      <c r="A22" s="2">
        <v>43376</v>
      </c>
      <c r="B22" t="s">
        <v>6</v>
      </c>
      <c r="C22" t="s">
        <v>7</v>
      </c>
      <c r="D22" t="s">
        <v>11</v>
      </c>
      <c r="F22" t="s">
        <v>390</v>
      </c>
      <c r="G22" t="s">
        <v>388</v>
      </c>
      <c r="H22" t="s">
        <v>377</v>
      </c>
      <c r="I22" t="s">
        <v>378</v>
      </c>
      <c r="J22" t="s">
        <v>287</v>
      </c>
      <c r="K22" t="s">
        <v>379</v>
      </c>
      <c r="N22" s="2">
        <v>43482</v>
      </c>
      <c r="O22">
        <v>106</v>
      </c>
      <c r="P22">
        <v>1.6</v>
      </c>
      <c r="T22">
        <v>200000000</v>
      </c>
      <c r="U22">
        <v>2279452.0499999998</v>
      </c>
      <c r="V22">
        <v>200000000</v>
      </c>
      <c r="W22">
        <v>0.28906799999999999</v>
      </c>
      <c r="X22">
        <v>200000000</v>
      </c>
      <c r="Z22">
        <v>200000000</v>
      </c>
      <c r="AA22">
        <v>1.6</v>
      </c>
      <c r="AB22">
        <v>2.7054879000000002E-3</v>
      </c>
      <c r="AC22" t="s">
        <v>390</v>
      </c>
      <c r="AE22" t="s">
        <v>380</v>
      </c>
      <c r="AF22" t="s">
        <v>381</v>
      </c>
      <c r="AG22" t="s">
        <v>381</v>
      </c>
      <c r="AH22" t="s">
        <v>330</v>
      </c>
      <c r="AI22" t="s">
        <v>377</v>
      </c>
      <c r="AJ22" t="s">
        <v>382</v>
      </c>
      <c r="AK22" t="s">
        <v>10</v>
      </c>
      <c r="AM22" t="s">
        <v>287</v>
      </c>
      <c r="AN22" t="s">
        <v>292</v>
      </c>
      <c r="AO22" t="s">
        <v>292</v>
      </c>
      <c r="AP22" t="s">
        <v>333</v>
      </c>
      <c r="AQ22" t="s">
        <v>318</v>
      </c>
      <c r="AR22" t="s">
        <v>292</v>
      </c>
      <c r="AS22" t="s">
        <v>389</v>
      </c>
      <c r="AT22" t="s">
        <v>334</v>
      </c>
      <c r="AU22" t="s">
        <v>292</v>
      </c>
      <c r="AV22" t="s">
        <v>335</v>
      </c>
      <c r="AW22" t="s">
        <v>388</v>
      </c>
      <c r="AX22">
        <v>1</v>
      </c>
      <c r="AY22" t="s">
        <v>383</v>
      </c>
      <c r="AZ22" t="s">
        <v>384</v>
      </c>
      <c r="BA22" t="s">
        <v>378</v>
      </c>
      <c r="BB22" t="s">
        <v>292</v>
      </c>
      <c r="BC22" t="s">
        <v>379</v>
      </c>
      <c r="BD22" t="s">
        <v>292</v>
      </c>
      <c r="BE22" t="s">
        <v>292</v>
      </c>
      <c r="BF22" t="s">
        <v>299</v>
      </c>
      <c r="BG22" t="s">
        <v>379</v>
      </c>
      <c r="BH22">
        <v>1</v>
      </c>
      <c r="BI22" t="s">
        <v>300</v>
      </c>
      <c r="BJ22" t="s">
        <v>300</v>
      </c>
      <c r="CK22" t="s">
        <v>301</v>
      </c>
      <c r="CL22" t="s">
        <v>302</v>
      </c>
      <c r="CM22" t="s">
        <v>9</v>
      </c>
      <c r="CN22" s="2">
        <v>43117</v>
      </c>
      <c r="CO22" t="s">
        <v>292</v>
      </c>
      <c r="CP22" t="s">
        <v>303</v>
      </c>
      <c r="CQ22" t="s">
        <v>303</v>
      </c>
      <c r="CR22" t="s">
        <v>304</v>
      </c>
      <c r="CS22" t="s">
        <v>292</v>
      </c>
      <c r="CT22">
        <v>30000</v>
      </c>
      <c r="CU22" t="b">
        <v>0</v>
      </c>
      <c r="CV22" t="s">
        <v>311</v>
      </c>
      <c r="CW22" t="s">
        <v>292</v>
      </c>
      <c r="CX22" t="s">
        <v>292</v>
      </c>
      <c r="CY22" t="b">
        <v>0</v>
      </c>
      <c r="CZ22" t="b">
        <v>0</v>
      </c>
      <c r="DC22" t="s">
        <v>292</v>
      </c>
      <c r="DJ22">
        <f>DataTable[HLD_MaturityDate] - DataTable[SEC_Issue_Date]</f>
        <v>365</v>
      </c>
    </row>
    <row r="23" spans="1:114" x14ac:dyDescent="0.2">
      <c r="A23" s="2">
        <v>43376</v>
      </c>
      <c r="B23" t="s">
        <v>6</v>
      </c>
      <c r="C23" t="s">
        <v>7</v>
      </c>
      <c r="D23" t="s">
        <v>11</v>
      </c>
      <c r="F23" t="s">
        <v>14</v>
      </c>
      <c r="H23" t="s">
        <v>377</v>
      </c>
      <c r="I23" t="s">
        <v>378</v>
      </c>
      <c r="J23" t="s">
        <v>287</v>
      </c>
      <c r="K23" t="s">
        <v>379</v>
      </c>
      <c r="N23" s="2">
        <v>43483</v>
      </c>
      <c r="O23">
        <v>107</v>
      </c>
      <c r="P23">
        <v>1.6</v>
      </c>
      <c r="T23">
        <v>157000000</v>
      </c>
      <c r="U23">
        <v>1782487.67</v>
      </c>
      <c r="V23">
        <v>157000000</v>
      </c>
      <c r="W23">
        <v>0.29178199999999999</v>
      </c>
      <c r="X23">
        <v>157000000</v>
      </c>
      <c r="Z23">
        <v>157000000</v>
      </c>
      <c r="AA23">
        <v>1.6</v>
      </c>
      <c r="AB23">
        <v>2.1237158999999999E-3</v>
      </c>
      <c r="AC23" t="s">
        <v>14</v>
      </c>
      <c r="AE23" t="s">
        <v>380</v>
      </c>
      <c r="AF23" t="s">
        <v>381</v>
      </c>
      <c r="AG23" t="s">
        <v>381</v>
      </c>
      <c r="AH23" t="s">
        <v>330</v>
      </c>
      <c r="AI23" t="s">
        <v>377</v>
      </c>
      <c r="AJ23" t="s">
        <v>382</v>
      </c>
      <c r="AK23" t="s">
        <v>10</v>
      </c>
      <c r="AM23" t="s">
        <v>287</v>
      </c>
      <c r="AN23" t="s">
        <v>292</v>
      </c>
      <c r="AO23" t="s">
        <v>292</v>
      </c>
      <c r="AP23" t="s">
        <v>333</v>
      </c>
      <c r="AQ23" t="s">
        <v>318</v>
      </c>
      <c r="AR23" t="s">
        <v>292</v>
      </c>
      <c r="AS23" t="s">
        <v>292</v>
      </c>
      <c r="AT23" t="s">
        <v>334</v>
      </c>
      <c r="AU23" t="s">
        <v>292</v>
      </c>
      <c r="AV23" t="s">
        <v>335</v>
      </c>
      <c r="AY23" t="s">
        <v>383</v>
      </c>
      <c r="AZ23" t="s">
        <v>384</v>
      </c>
      <c r="BA23" t="s">
        <v>378</v>
      </c>
      <c r="BB23" t="s">
        <v>292</v>
      </c>
      <c r="BC23" t="s">
        <v>379</v>
      </c>
      <c r="BD23" t="s">
        <v>292</v>
      </c>
      <c r="BE23" t="s">
        <v>292</v>
      </c>
      <c r="BF23" t="s">
        <v>299</v>
      </c>
      <c r="BG23" t="s">
        <v>379</v>
      </c>
      <c r="BH23">
        <v>1</v>
      </c>
      <c r="BI23" t="s">
        <v>300</v>
      </c>
      <c r="BJ23" t="s">
        <v>300</v>
      </c>
      <c r="CK23" t="s">
        <v>301</v>
      </c>
      <c r="CL23" t="s">
        <v>302</v>
      </c>
      <c r="CM23" t="s">
        <v>9</v>
      </c>
      <c r="CN23" s="2">
        <v>43118</v>
      </c>
      <c r="CO23" t="s">
        <v>292</v>
      </c>
      <c r="CP23" t="s">
        <v>303</v>
      </c>
      <c r="CQ23" t="s">
        <v>303</v>
      </c>
      <c r="CR23" t="s">
        <v>304</v>
      </c>
      <c r="CS23" t="s">
        <v>292</v>
      </c>
      <c r="CT23">
        <v>30000</v>
      </c>
      <c r="CU23" t="b">
        <v>0</v>
      </c>
      <c r="CV23" t="s">
        <v>311</v>
      </c>
      <c r="CW23" t="s">
        <v>292</v>
      </c>
      <c r="CX23" t="s">
        <v>292</v>
      </c>
      <c r="CY23" t="b">
        <v>0</v>
      </c>
      <c r="CZ23" t="b">
        <v>0</v>
      </c>
      <c r="DC23" t="s">
        <v>292</v>
      </c>
      <c r="DJ23">
        <f>DataTable[HLD_MaturityDate] - DataTable[SEC_Issue_Date]</f>
        <v>365</v>
      </c>
    </row>
    <row r="24" spans="1:114" x14ac:dyDescent="0.2">
      <c r="A24" s="2">
        <v>43376</v>
      </c>
      <c r="B24" t="s">
        <v>6</v>
      </c>
      <c r="C24" t="s">
        <v>7</v>
      </c>
      <c r="D24" t="s">
        <v>11</v>
      </c>
      <c r="F24" t="s">
        <v>391</v>
      </c>
      <c r="H24" t="s">
        <v>377</v>
      </c>
      <c r="I24" t="s">
        <v>378</v>
      </c>
      <c r="J24" t="s">
        <v>287</v>
      </c>
      <c r="K24" t="s">
        <v>379</v>
      </c>
      <c r="N24" s="2">
        <v>43486</v>
      </c>
      <c r="O24">
        <v>110</v>
      </c>
      <c r="P24">
        <v>1.6</v>
      </c>
      <c r="T24">
        <v>300000000</v>
      </c>
      <c r="U24">
        <v>3392876.71</v>
      </c>
      <c r="V24">
        <v>300000000</v>
      </c>
      <c r="W24">
        <v>0.29992400000000002</v>
      </c>
      <c r="X24">
        <v>300000000</v>
      </c>
      <c r="Z24">
        <v>300000000</v>
      </c>
      <c r="AA24">
        <v>1.6</v>
      </c>
      <c r="AB24">
        <v>4.0578799999999998E-3</v>
      </c>
      <c r="AC24" t="s">
        <v>391</v>
      </c>
      <c r="AE24" t="s">
        <v>380</v>
      </c>
      <c r="AF24" t="s">
        <v>381</v>
      </c>
      <c r="AG24" t="s">
        <v>381</v>
      </c>
      <c r="AH24" t="s">
        <v>330</v>
      </c>
      <c r="AI24" t="s">
        <v>377</v>
      </c>
      <c r="AJ24" t="s">
        <v>382</v>
      </c>
      <c r="AK24" t="s">
        <v>10</v>
      </c>
      <c r="AM24" t="s">
        <v>287</v>
      </c>
      <c r="AN24" t="s">
        <v>292</v>
      </c>
      <c r="AO24" t="s">
        <v>292</v>
      </c>
      <c r="AP24" t="s">
        <v>333</v>
      </c>
      <c r="AQ24" t="s">
        <v>318</v>
      </c>
      <c r="AR24" t="s">
        <v>292</v>
      </c>
      <c r="AS24" t="s">
        <v>292</v>
      </c>
      <c r="AT24" t="s">
        <v>334</v>
      </c>
      <c r="AU24" t="s">
        <v>292</v>
      </c>
      <c r="AV24" t="s">
        <v>335</v>
      </c>
      <c r="AY24" t="s">
        <v>383</v>
      </c>
      <c r="AZ24" t="s">
        <v>384</v>
      </c>
      <c r="BA24" t="s">
        <v>378</v>
      </c>
      <c r="BB24" t="s">
        <v>292</v>
      </c>
      <c r="BC24" t="s">
        <v>379</v>
      </c>
      <c r="BD24" t="s">
        <v>292</v>
      </c>
      <c r="BE24" t="s">
        <v>292</v>
      </c>
      <c r="BF24" t="s">
        <v>299</v>
      </c>
      <c r="BG24" t="s">
        <v>379</v>
      </c>
      <c r="BH24">
        <v>1</v>
      </c>
      <c r="BI24" t="s">
        <v>300</v>
      </c>
      <c r="BJ24" t="s">
        <v>300</v>
      </c>
      <c r="CK24" t="s">
        <v>301</v>
      </c>
      <c r="CL24" t="s">
        <v>302</v>
      </c>
      <c r="CM24" t="s">
        <v>9</v>
      </c>
      <c r="CN24" s="2">
        <v>43119</v>
      </c>
      <c r="CO24" t="s">
        <v>292</v>
      </c>
      <c r="CP24" t="s">
        <v>303</v>
      </c>
      <c r="CQ24" t="s">
        <v>303</v>
      </c>
      <c r="CR24" t="s">
        <v>304</v>
      </c>
      <c r="CS24" t="s">
        <v>292</v>
      </c>
      <c r="CT24">
        <v>30000</v>
      </c>
      <c r="CU24" t="b">
        <v>0</v>
      </c>
      <c r="CV24" t="s">
        <v>311</v>
      </c>
      <c r="CW24" t="s">
        <v>292</v>
      </c>
      <c r="CX24" t="s">
        <v>292</v>
      </c>
      <c r="CY24" t="b">
        <v>0</v>
      </c>
      <c r="CZ24" t="b">
        <v>0</v>
      </c>
      <c r="DC24" t="s">
        <v>292</v>
      </c>
      <c r="DJ24">
        <f>DataTable[HLD_MaturityDate] - DataTable[SEC_Issue_Date]</f>
        <v>367</v>
      </c>
    </row>
    <row r="25" spans="1:114" x14ac:dyDescent="0.2">
      <c r="A25" s="2">
        <v>43376</v>
      </c>
      <c r="B25" t="s">
        <v>6</v>
      </c>
      <c r="C25" t="s">
        <v>7</v>
      </c>
      <c r="D25" t="s">
        <v>11</v>
      </c>
      <c r="F25" t="s">
        <v>392</v>
      </c>
      <c r="H25" t="s">
        <v>343</v>
      </c>
      <c r="I25" t="s">
        <v>344</v>
      </c>
      <c r="J25" t="s">
        <v>287</v>
      </c>
      <c r="K25" t="s">
        <v>12</v>
      </c>
      <c r="N25" s="2">
        <v>43389</v>
      </c>
      <c r="O25">
        <v>13</v>
      </c>
      <c r="P25">
        <v>2.81</v>
      </c>
      <c r="T25">
        <v>1294280000</v>
      </c>
      <c r="U25">
        <v>8486162.5299999993</v>
      </c>
      <c r="V25">
        <v>1326400000</v>
      </c>
      <c r="W25">
        <v>3.6075000000000003E-2</v>
      </c>
      <c r="X25">
        <v>40000000</v>
      </c>
      <c r="Z25">
        <v>1326400000</v>
      </c>
      <c r="AA25">
        <v>2.81</v>
      </c>
      <c r="AB25">
        <v>1.7424498699999999E-2</v>
      </c>
      <c r="AC25" t="s">
        <v>392</v>
      </c>
      <c r="AE25" t="s">
        <v>393</v>
      </c>
      <c r="AF25" t="s">
        <v>394</v>
      </c>
      <c r="AG25" t="s">
        <v>394</v>
      </c>
      <c r="AH25" t="s">
        <v>330</v>
      </c>
      <c r="AI25" t="s">
        <v>343</v>
      </c>
      <c r="AJ25" t="s">
        <v>347</v>
      </c>
      <c r="AK25" t="s">
        <v>10</v>
      </c>
      <c r="AM25" t="s">
        <v>287</v>
      </c>
      <c r="AN25" t="s">
        <v>292</v>
      </c>
      <c r="AO25" t="s">
        <v>292</v>
      </c>
      <c r="AP25" t="s">
        <v>333</v>
      </c>
      <c r="AQ25" t="s">
        <v>321</v>
      </c>
      <c r="AR25" t="s">
        <v>292</v>
      </c>
      <c r="AS25" t="s">
        <v>292</v>
      </c>
      <c r="AT25" t="s">
        <v>348</v>
      </c>
      <c r="AU25" t="s">
        <v>292</v>
      </c>
      <c r="AV25" t="s">
        <v>335</v>
      </c>
      <c r="AY25" t="s">
        <v>349</v>
      </c>
      <c r="AZ25" t="s">
        <v>349</v>
      </c>
      <c r="BA25" t="s">
        <v>344</v>
      </c>
      <c r="BB25" t="s">
        <v>292</v>
      </c>
      <c r="BC25" t="s">
        <v>12</v>
      </c>
      <c r="BD25" t="s">
        <v>292</v>
      </c>
      <c r="BE25" t="s">
        <v>12</v>
      </c>
      <c r="BF25" t="s">
        <v>350</v>
      </c>
      <c r="BG25" t="s">
        <v>12</v>
      </c>
      <c r="BH25">
        <v>6</v>
      </c>
      <c r="BI25" t="s">
        <v>300</v>
      </c>
      <c r="BJ25" t="s">
        <v>300</v>
      </c>
      <c r="CK25" t="s">
        <v>301</v>
      </c>
      <c r="CL25" t="s">
        <v>302</v>
      </c>
      <c r="CM25" t="s">
        <v>9</v>
      </c>
      <c r="CN25" s="2">
        <v>43293</v>
      </c>
      <c r="CO25" t="s">
        <v>292</v>
      </c>
      <c r="CP25" t="s">
        <v>351</v>
      </c>
      <c r="CQ25" t="s">
        <v>351</v>
      </c>
      <c r="CR25" t="s">
        <v>352</v>
      </c>
      <c r="CS25" t="s">
        <v>292</v>
      </c>
      <c r="CT25">
        <v>80000</v>
      </c>
      <c r="CU25" t="b">
        <v>0</v>
      </c>
      <c r="CV25" t="s">
        <v>311</v>
      </c>
      <c r="CW25" t="s">
        <v>292</v>
      </c>
      <c r="CX25" t="s">
        <v>292</v>
      </c>
      <c r="CY25" t="b">
        <v>0</v>
      </c>
      <c r="CZ25" t="b">
        <v>0</v>
      </c>
      <c r="DC25" t="s">
        <v>292</v>
      </c>
      <c r="DD25">
        <v>1326400000.01</v>
      </c>
      <c r="DE25">
        <v>0</v>
      </c>
      <c r="DG25">
        <v>0</v>
      </c>
      <c r="DH25" t="s">
        <v>321</v>
      </c>
      <c r="DI25">
        <v>32.356999999999999</v>
      </c>
      <c r="DJ25">
        <f>DataTable[HLD_MaturityDate] - DataTable[SEC_Issue_Date]</f>
        <v>96</v>
      </c>
    </row>
    <row r="26" spans="1:114" x14ac:dyDescent="0.2">
      <c r="A26" s="2">
        <v>43376</v>
      </c>
      <c r="B26" t="s">
        <v>6</v>
      </c>
      <c r="C26" t="s">
        <v>7</v>
      </c>
      <c r="D26" t="s">
        <v>11</v>
      </c>
      <c r="F26" t="s">
        <v>395</v>
      </c>
      <c r="H26" t="s">
        <v>367</v>
      </c>
      <c r="I26" t="s">
        <v>344</v>
      </c>
      <c r="J26" t="s">
        <v>287</v>
      </c>
      <c r="K26" t="s">
        <v>12</v>
      </c>
      <c r="N26" s="2">
        <v>43409</v>
      </c>
      <c r="O26">
        <v>33</v>
      </c>
      <c r="P26">
        <v>0.04</v>
      </c>
      <c r="T26">
        <v>936127500</v>
      </c>
      <c r="U26">
        <v>160181.82</v>
      </c>
      <c r="V26">
        <v>950000000</v>
      </c>
      <c r="W26">
        <v>9.1662999999999994E-2</v>
      </c>
      <c r="X26">
        <v>25000000</v>
      </c>
      <c r="Z26">
        <v>950000000</v>
      </c>
      <c r="AA26">
        <v>0.04</v>
      </c>
      <c r="AB26">
        <v>1.25228487E-2</v>
      </c>
      <c r="AC26" t="s">
        <v>395</v>
      </c>
      <c r="AE26" t="s">
        <v>396</v>
      </c>
      <c r="AF26" t="s">
        <v>397</v>
      </c>
      <c r="AG26" t="s">
        <v>397</v>
      </c>
      <c r="AH26" t="s">
        <v>330</v>
      </c>
      <c r="AI26" t="s">
        <v>367</v>
      </c>
      <c r="AJ26" t="s">
        <v>347</v>
      </c>
      <c r="AK26" t="s">
        <v>10</v>
      </c>
      <c r="AM26" t="s">
        <v>287</v>
      </c>
      <c r="AN26" t="s">
        <v>292</v>
      </c>
      <c r="AO26" t="s">
        <v>292</v>
      </c>
      <c r="AP26" t="s">
        <v>333</v>
      </c>
      <c r="AQ26" t="s">
        <v>307</v>
      </c>
      <c r="AR26" t="s">
        <v>292</v>
      </c>
      <c r="AS26" t="s">
        <v>292</v>
      </c>
      <c r="AT26" t="s">
        <v>348</v>
      </c>
      <c r="AU26" t="s">
        <v>292</v>
      </c>
      <c r="AV26" t="s">
        <v>335</v>
      </c>
      <c r="AY26" t="s">
        <v>370</v>
      </c>
      <c r="AZ26" t="s">
        <v>370</v>
      </c>
      <c r="BA26" t="s">
        <v>344</v>
      </c>
      <c r="BB26" t="s">
        <v>292</v>
      </c>
      <c r="BC26" t="s">
        <v>12</v>
      </c>
      <c r="BD26" t="s">
        <v>292</v>
      </c>
      <c r="BE26" t="s">
        <v>12</v>
      </c>
      <c r="BF26" t="s">
        <v>350</v>
      </c>
      <c r="BG26" t="s">
        <v>12</v>
      </c>
      <c r="BH26">
        <v>6</v>
      </c>
      <c r="BI26" t="s">
        <v>300</v>
      </c>
      <c r="BJ26" t="s">
        <v>300</v>
      </c>
      <c r="CK26" t="s">
        <v>301</v>
      </c>
      <c r="CL26" t="s">
        <v>302</v>
      </c>
      <c r="CM26" t="s">
        <v>9</v>
      </c>
      <c r="CN26" s="2">
        <v>43223</v>
      </c>
      <c r="CO26" t="s">
        <v>292</v>
      </c>
      <c r="CP26" t="s">
        <v>371</v>
      </c>
      <c r="CQ26" t="s">
        <v>371</v>
      </c>
      <c r="CR26" t="s">
        <v>372</v>
      </c>
      <c r="CS26" t="s">
        <v>292</v>
      </c>
      <c r="CT26">
        <v>100000</v>
      </c>
      <c r="CU26" t="b">
        <v>0</v>
      </c>
      <c r="CV26" t="s">
        <v>311</v>
      </c>
      <c r="CW26" t="s">
        <v>292</v>
      </c>
      <c r="CX26" t="s">
        <v>292</v>
      </c>
      <c r="CY26" t="b">
        <v>0</v>
      </c>
      <c r="CZ26" t="b">
        <v>0</v>
      </c>
      <c r="DC26" t="s">
        <v>292</v>
      </c>
      <c r="DD26">
        <v>949999999.99000001</v>
      </c>
      <c r="DE26">
        <v>0</v>
      </c>
      <c r="DG26">
        <v>0</v>
      </c>
      <c r="DH26" t="s">
        <v>307</v>
      </c>
      <c r="DI26">
        <v>37.445099999999996</v>
      </c>
      <c r="DJ26">
        <f>DataTable[HLD_MaturityDate] - DataTable[SEC_Issue_Date]</f>
        <v>186</v>
      </c>
    </row>
    <row r="27" spans="1:114" x14ac:dyDescent="0.2">
      <c r="A27" s="2">
        <v>43376</v>
      </c>
      <c r="B27" t="s">
        <v>6</v>
      </c>
      <c r="C27" t="s">
        <v>7</v>
      </c>
      <c r="D27" t="s">
        <v>11</v>
      </c>
      <c r="F27" t="s">
        <v>398</v>
      </c>
      <c r="H27" t="s">
        <v>367</v>
      </c>
      <c r="I27" t="s">
        <v>344</v>
      </c>
      <c r="J27" t="s">
        <v>287</v>
      </c>
      <c r="K27" t="s">
        <v>12</v>
      </c>
      <c r="N27" s="2">
        <v>43543</v>
      </c>
      <c r="O27">
        <v>167</v>
      </c>
      <c r="P27">
        <v>0.05</v>
      </c>
      <c r="T27">
        <v>374451000</v>
      </c>
      <c r="U27">
        <v>7280.99</v>
      </c>
      <c r="V27">
        <v>380000000</v>
      </c>
      <c r="W27">
        <v>0.463781</v>
      </c>
      <c r="X27">
        <v>10000000</v>
      </c>
      <c r="Z27">
        <v>380000000</v>
      </c>
      <c r="AA27">
        <v>0.05</v>
      </c>
      <c r="AB27">
        <v>5.0083799000000002E-3</v>
      </c>
      <c r="AC27" t="s">
        <v>398</v>
      </c>
      <c r="AE27" t="s">
        <v>396</v>
      </c>
      <c r="AF27" t="s">
        <v>397</v>
      </c>
      <c r="AG27" t="s">
        <v>397</v>
      </c>
      <c r="AH27" t="s">
        <v>330</v>
      </c>
      <c r="AI27" t="s">
        <v>367</v>
      </c>
      <c r="AJ27" t="s">
        <v>347</v>
      </c>
      <c r="AK27" t="s">
        <v>10</v>
      </c>
      <c r="AM27" t="s">
        <v>287</v>
      </c>
      <c r="AN27" t="s">
        <v>292</v>
      </c>
      <c r="AO27" t="s">
        <v>292</v>
      </c>
      <c r="AP27" t="s">
        <v>333</v>
      </c>
      <c r="AQ27" t="s">
        <v>307</v>
      </c>
      <c r="AR27" t="s">
        <v>292</v>
      </c>
      <c r="AS27" t="s">
        <v>292</v>
      </c>
      <c r="AT27" t="s">
        <v>348</v>
      </c>
      <c r="AU27" t="s">
        <v>292</v>
      </c>
      <c r="AV27" t="s">
        <v>335</v>
      </c>
      <c r="AY27" t="s">
        <v>370</v>
      </c>
      <c r="AZ27" t="s">
        <v>370</v>
      </c>
      <c r="BA27" t="s">
        <v>344</v>
      </c>
      <c r="BB27" t="s">
        <v>292</v>
      </c>
      <c r="BC27" t="s">
        <v>12</v>
      </c>
      <c r="BD27" t="s">
        <v>292</v>
      </c>
      <c r="BE27" t="s">
        <v>12</v>
      </c>
      <c r="BF27" t="s">
        <v>350</v>
      </c>
      <c r="BG27" t="s">
        <v>12</v>
      </c>
      <c r="BH27">
        <v>6</v>
      </c>
      <c r="BI27" t="s">
        <v>300</v>
      </c>
      <c r="BJ27" t="s">
        <v>300</v>
      </c>
      <c r="CK27" t="s">
        <v>301</v>
      </c>
      <c r="CL27" t="s">
        <v>302</v>
      </c>
      <c r="CM27" t="s">
        <v>9</v>
      </c>
      <c r="CN27" s="2">
        <v>43363</v>
      </c>
      <c r="CO27" t="s">
        <v>292</v>
      </c>
      <c r="CP27" t="s">
        <v>371</v>
      </c>
      <c r="CQ27" t="s">
        <v>371</v>
      </c>
      <c r="CR27" t="s">
        <v>372</v>
      </c>
      <c r="CS27" t="s">
        <v>292</v>
      </c>
      <c r="CT27">
        <v>100000</v>
      </c>
      <c r="CU27" t="b">
        <v>0</v>
      </c>
      <c r="CV27" t="s">
        <v>311</v>
      </c>
      <c r="CW27" t="s">
        <v>292</v>
      </c>
      <c r="CX27" t="s">
        <v>292</v>
      </c>
      <c r="CY27" t="b">
        <v>0</v>
      </c>
      <c r="CZ27" t="b">
        <v>0</v>
      </c>
      <c r="DC27" t="s">
        <v>292</v>
      </c>
      <c r="DD27">
        <v>380000000</v>
      </c>
      <c r="DE27">
        <v>0</v>
      </c>
      <c r="DG27">
        <v>0</v>
      </c>
      <c r="DH27" t="s">
        <v>307</v>
      </c>
      <c r="DI27">
        <v>37.445099999999996</v>
      </c>
      <c r="DJ27">
        <f>DataTable[HLD_MaturityDate] - DataTable[SEC_Issue_Date]</f>
        <v>180</v>
      </c>
    </row>
    <row r="28" spans="1:114" x14ac:dyDescent="0.2">
      <c r="A28" s="2">
        <v>43376</v>
      </c>
      <c r="B28" t="s">
        <v>6</v>
      </c>
      <c r="C28" t="s">
        <v>7</v>
      </c>
      <c r="D28" t="s">
        <v>11</v>
      </c>
      <c r="F28" t="s">
        <v>399</v>
      </c>
      <c r="H28" t="s">
        <v>400</v>
      </c>
      <c r="I28" t="s">
        <v>286</v>
      </c>
      <c r="J28" t="s">
        <v>287</v>
      </c>
      <c r="K28" t="s">
        <v>12</v>
      </c>
      <c r="N28" s="2">
        <v>44196</v>
      </c>
      <c r="O28">
        <v>820</v>
      </c>
      <c r="P28">
        <v>0.75</v>
      </c>
      <c r="T28">
        <v>347165.51</v>
      </c>
      <c r="U28">
        <v>720.49</v>
      </c>
      <c r="V28">
        <v>347165.51</v>
      </c>
      <c r="W28">
        <v>0</v>
      </c>
      <c r="X28">
        <v>347165.51</v>
      </c>
      <c r="Z28">
        <v>347165.51</v>
      </c>
      <c r="AA28">
        <v>0</v>
      </c>
      <c r="AB28">
        <v>4.6530000000000002E-6</v>
      </c>
      <c r="AC28" t="s">
        <v>399</v>
      </c>
      <c r="AE28" t="s">
        <v>401</v>
      </c>
      <c r="AF28" t="s">
        <v>402</v>
      </c>
      <c r="AG28" t="s">
        <v>403</v>
      </c>
      <c r="AH28" t="s">
        <v>330</v>
      </c>
      <c r="AI28" t="s">
        <v>400</v>
      </c>
      <c r="AJ28" t="s">
        <v>404</v>
      </c>
      <c r="AK28" t="s">
        <v>10</v>
      </c>
      <c r="AL28" t="s">
        <v>317</v>
      </c>
      <c r="AM28" t="s">
        <v>405</v>
      </c>
      <c r="AN28" t="s">
        <v>292</v>
      </c>
      <c r="AO28" t="s">
        <v>292</v>
      </c>
      <c r="AP28" t="s">
        <v>333</v>
      </c>
      <c r="AQ28" t="s">
        <v>318</v>
      </c>
      <c r="AR28" t="s">
        <v>292</v>
      </c>
      <c r="AS28" t="s">
        <v>292</v>
      </c>
      <c r="AT28" t="s">
        <v>292</v>
      </c>
      <c r="AU28" t="s">
        <v>292</v>
      </c>
      <c r="AV28" t="s">
        <v>335</v>
      </c>
      <c r="AY28" t="s">
        <v>406</v>
      </c>
      <c r="AZ28" t="s">
        <v>403</v>
      </c>
      <c r="BA28" t="s">
        <v>286</v>
      </c>
      <c r="BB28" t="s">
        <v>12</v>
      </c>
      <c r="BC28" t="s">
        <v>292</v>
      </c>
      <c r="BD28" t="s">
        <v>292</v>
      </c>
      <c r="BE28" t="s">
        <v>292</v>
      </c>
      <c r="BF28" t="s">
        <v>292</v>
      </c>
      <c r="BG28" t="s">
        <v>12</v>
      </c>
      <c r="BH28">
        <v>6</v>
      </c>
      <c r="BI28" t="s">
        <v>300</v>
      </c>
      <c r="BJ28" t="s">
        <v>300</v>
      </c>
      <c r="CK28" t="s">
        <v>301</v>
      </c>
      <c r="CL28" t="s">
        <v>302</v>
      </c>
      <c r="CM28" t="s">
        <v>9</v>
      </c>
      <c r="CN28" s="2">
        <v>42066</v>
      </c>
      <c r="CO28" t="s">
        <v>292</v>
      </c>
      <c r="CP28" t="s">
        <v>303</v>
      </c>
      <c r="CQ28" t="s">
        <v>303</v>
      </c>
      <c r="CR28" t="s">
        <v>304</v>
      </c>
      <c r="CS28" t="s">
        <v>292</v>
      </c>
      <c r="CT28">
        <v>8900</v>
      </c>
      <c r="CU28" t="b">
        <v>1</v>
      </c>
      <c r="CV28" t="s">
        <v>292</v>
      </c>
      <c r="CW28" t="s">
        <v>292</v>
      </c>
      <c r="CX28" t="s">
        <v>292</v>
      </c>
      <c r="CY28" t="b">
        <v>0</v>
      </c>
      <c r="CZ28" t="b">
        <v>0</v>
      </c>
      <c r="DC28" t="s">
        <v>292</v>
      </c>
      <c r="DJ28">
        <f>DataTable[HLD_MaturityDate] - DataTable[SEC_Issue_Date]</f>
        <v>2130</v>
      </c>
    </row>
    <row r="29" spans="1:114" x14ac:dyDescent="0.2">
      <c r="A29" s="2">
        <v>43376</v>
      </c>
      <c r="B29" t="s">
        <v>6</v>
      </c>
      <c r="C29" t="s">
        <v>7</v>
      </c>
      <c r="D29" t="s">
        <v>11</v>
      </c>
      <c r="F29" t="s">
        <v>407</v>
      </c>
      <c r="H29" t="s">
        <v>408</v>
      </c>
      <c r="I29" t="s">
        <v>286</v>
      </c>
      <c r="J29" t="s">
        <v>287</v>
      </c>
      <c r="K29" t="s">
        <v>288</v>
      </c>
      <c r="N29" s="2">
        <v>44196</v>
      </c>
      <c r="O29">
        <v>820</v>
      </c>
      <c r="P29">
        <v>0.375</v>
      </c>
      <c r="T29">
        <v>287668.24</v>
      </c>
      <c r="U29">
        <v>280.77</v>
      </c>
      <c r="V29">
        <v>287668.24</v>
      </c>
      <c r="W29">
        <v>0</v>
      </c>
      <c r="X29">
        <v>287668.24</v>
      </c>
      <c r="Z29">
        <v>287668.24</v>
      </c>
      <c r="AA29">
        <v>0</v>
      </c>
      <c r="AB29">
        <v>3.8512999999999999E-6</v>
      </c>
      <c r="AC29" t="s">
        <v>407</v>
      </c>
      <c r="AE29" t="s">
        <v>409</v>
      </c>
      <c r="AF29" t="s">
        <v>410</v>
      </c>
      <c r="AH29" t="s">
        <v>330</v>
      </c>
      <c r="AI29" t="s">
        <v>408</v>
      </c>
      <c r="AJ29" t="s">
        <v>404</v>
      </c>
      <c r="AK29" t="s">
        <v>10</v>
      </c>
      <c r="AL29" t="s">
        <v>317</v>
      </c>
      <c r="AM29" t="s">
        <v>287</v>
      </c>
      <c r="AN29" t="s">
        <v>292</v>
      </c>
      <c r="AO29" t="s">
        <v>292</v>
      </c>
      <c r="AP29" t="s">
        <v>333</v>
      </c>
      <c r="AQ29" t="s">
        <v>318</v>
      </c>
      <c r="AR29" t="s">
        <v>292</v>
      </c>
      <c r="AS29" t="s">
        <v>292</v>
      </c>
      <c r="AT29" t="s">
        <v>292</v>
      </c>
      <c r="AU29" t="s">
        <v>295</v>
      </c>
      <c r="AV29" t="s">
        <v>335</v>
      </c>
      <c r="AY29" t="s">
        <v>411</v>
      </c>
      <c r="AZ29" t="s">
        <v>412</v>
      </c>
      <c r="BA29" t="s">
        <v>286</v>
      </c>
      <c r="BB29" t="s">
        <v>292</v>
      </c>
      <c r="BC29" t="s">
        <v>288</v>
      </c>
      <c r="BD29" t="s">
        <v>292</v>
      </c>
      <c r="BE29" t="s">
        <v>313</v>
      </c>
      <c r="BF29" t="s">
        <v>299</v>
      </c>
      <c r="BG29" t="s">
        <v>288</v>
      </c>
      <c r="BH29">
        <v>2</v>
      </c>
      <c r="BI29" t="s">
        <v>300</v>
      </c>
      <c r="BJ29" t="s">
        <v>300</v>
      </c>
      <c r="CK29" t="s">
        <v>301</v>
      </c>
      <c r="CL29" t="s">
        <v>302</v>
      </c>
      <c r="CM29" t="s">
        <v>9</v>
      </c>
      <c r="CN29" s="2">
        <v>39535</v>
      </c>
      <c r="CO29" t="s">
        <v>292</v>
      </c>
      <c r="CP29" t="s">
        <v>303</v>
      </c>
      <c r="CQ29" t="s">
        <v>303</v>
      </c>
      <c r="CR29" t="s">
        <v>304</v>
      </c>
      <c r="CS29" t="s">
        <v>292</v>
      </c>
      <c r="CT29">
        <v>39000</v>
      </c>
      <c r="CU29" t="b">
        <v>1</v>
      </c>
      <c r="CV29" t="s">
        <v>292</v>
      </c>
      <c r="CW29" t="s">
        <v>292</v>
      </c>
      <c r="CX29" t="s">
        <v>292</v>
      </c>
      <c r="CY29" t="b">
        <v>0</v>
      </c>
      <c r="CZ29" t="b">
        <v>0</v>
      </c>
      <c r="DC29" t="s">
        <v>292</v>
      </c>
      <c r="DJ29">
        <f>DataTable[HLD_MaturityDate] - DataTable[SEC_Issue_Date]</f>
        <v>4661</v>
      </c>
    </row>
    <row r="30" spans="1:114" x14ac:dyDescent="0.2">
      <c r="A30" s="2">
        <v>43376</v>
      </c>
      <c r="B30" t="s">
        <v>6</v>
      </c>
      <c r="C30" t="s">
        <v>7</v>
      </c>
      <c r="D30" t="s">
        <v>11</v>
      </c>
      <c r="F30" t="s">
        <v>413</v>
      </c>
      <c r="H30" t="s">
        <v>414</v>
      </c>
      <c r="I30" t="s">
        <v>415</v>
      </c>
      <c r="J30" t="s">
        <v>287</v>
      </c>
      <c r="K30" t="s">
        <v>379</v>
      </c>
      <c r="N30" s="2">
        <v>44196</v>
      </c>
      <c r="O30">
        <v>820</v>
      </c>
      <c r="P30">
        <v>0.85</v>
      </c>
      <c r="T30">
        <v>497966.31</v>
      </c>
      <c r="U30">
        <v>1101.67</v>
      </c>
      <c r="V30">
        <v>497966.31</v>
      </c>
      <c r="W30">
        <v>0</v>
      </c>
      <c r="X30">
        <v>497966.31</v>
      </c>
      <c r="Z30">
        <v>497966.31</v>
      </c>
      <c r="AA30">
        <v>0</v>
      </c>
      <c r="AB30">
        <v>6.6749999999999996E-6</v>
      </c>
      <c r="AC30" t="s">
        <v>413</v>
      </c>
      <c r="AF30" t="s">
        <v>416</v>
      </c>
      <c r="AH30" t="s">
        <v>330</v>
      </c>
      <c r="AI30" t="s">
        <v>414</v>
      </c>
      <c r="AJ30" t="s">
        <v>404</v>
      </c>
      <c r="AK30" t="s">
        <v>10</v>
      </c>
      <c r="AL30" t="s">
        <v>317</v>
      </c>
      <c r="AM30" t="s">
        <v>405</v>
      </c>
      <c r="AO30" t="s">
        <v>292</v>
      </c>
      <c r="AP30" t="s">
        <v>333</v>
      </c>
      <c r="AQ30" t="s">
        <v>318</v>
      </c>
      <c r="AR30" t="s">
        <v>292</v>
      </c>
      <c r="AS30" t="s">
        <v>292</v>
      </c>
      <c r="AT30" t="s">
        <v>292</v>
      </c>
      <c r="AU30" t="s">
        <v>295</v>
      </c>
      <c r="AV30" t="s">
        <v>335</v>
      </c>
      <c r="AY30" t="s">
        <v>417</v>
      </c>
      <c r="AZ30" t="s">
        <v>418</v>
      </c>
      <c r="BA30" t="s">
        <v>415</v>
      </c>
      <c r="BB30" t="s">
        <v>292</v>
      </c>
      <c r="BC30" t="s">
        <v>379</v>
      </c>
      <c r="BD30" t="s">
        <v>292</v>
      </c>
      <c r="BE30" t="s">
        <v>292</v>
      </c>
      <c r="BF30" t="s">
        <v>299</v>
      </c>
      <c r="BG30" t="s">
        <v>379</v>
      </c>
      <c r="BH30">
        <v>1</v>
      </c>
      <c r="BI30" t="s">
        <v>300</v>
      </c>
      <c r="BJ30" t="s">
        <v>300</v>
      </c>
      <c r="CK30" t="s">
        <v>301</v>
      </c>
      <c r="CL30" t="s">
        <v>302</v>
      </c>
      <c r="CM30" t="s">
        <v>9</v>
      </c>
      <c r="CN30" s="2">
        <v>38594</v>
      </c>
      <c r="CO30" t="s">
        <v>292</v>
      </c>
      <c r="CP30" t="s">
        <v>303</v>
      </c>
      <c r="CQ30" t="s">
        <v>303</v>
      </c>
      <c r="CR30" t="s">
        <v>304</v>
      </c>
      <c r="CS30" t="s">
        <v>292</v>
      </c>
      <c r="CT30">
        <v>17000</v>
      </c>
      <c r="CU30" t="b">
        <v>1</v>
      </c>
      <c r="CV30" t="s">
        <v>292</v>
      </c>
      <c r="CW30" t="s">
        <v>419</v>
      </c>
      <c r="CX30" t="s">
        <v>420</v>
      </c>
      <c r="CY30" t="b">
        <v>0</v>
      </c>
      <c r="CZ30" t="b">
        <v>0</v>
      </c>
      <c r="DC30" t="s">
        <v>292</v>
      </c>
      <c r="DJ30">
        <f>DataTable[HLD_MaturityDate] - DataTable[SEC_Issue_Date]</f>
        <v>5602</v>
      </c>
    </row>
    <row r="31" spans="1:114" x14ac:dyDescent="0.2">
      <c r="A31" s="2">
        <v>43376</v>
      </c>
      <c r="B31" t="s">
        <v>6</v>
      </c>
      <c r="C31" t="s">
        <v>7</v>
      </c>
      <c r="D31" t="s">
        <v>11</v>
      </c>
      <c r="F31" t="s">
        <v>421</v>
      </c>
      <c r="H31" t="s">
        <v>285</v>
      </c>
      <c r="I31" t="s">
        <v>286</v>
      </c>
      <c r="J31" t="s">
        <v>287</v>
      </c>
      <c r="K31" t="s">
        <v>288</v>
      </c>
      <c r="N31" s="2">
        <v>43468</v>
      </c>
      <c r="O31">
        <v>92</v>
      </c>
      <c r="P31">
        <v>1.5</v>
      </c>
      <c r="T31">
        <v>1500000000</v>
      </c>
      <c r="U31">
        <v>863013.7</v>
      </c>
      <c r="V31">
        <v>1500000000</v>
      </c>
      <c r="W31">
        <v>0.251106</v>
      </c>
      <c r="X31">
        <v>1500000000</v>
      </c>
      <c r="Z31">
        <v>1500000000</v>
      </c>
      <c r="AA31">
        <v>1.5</v>
      </c>
      <c r="AB31">
        <v>2.00740443E-2</v>
      </c>
      <c r="AC31" t="s">
        <v>421</v>
      </c>
      <c r="AE31" t="s">
        <v>422</v>
      </c>
      <c r="AF31" t="s">
        <v>423</v>
      </c>
      <c r="AG31" t="s">
        <v>423</v>
      </c>
      <c r="AH31" t="s">
        <v>330</v>
      </c>
      <c r="AI31" t="s">
        <v>285</v>
      </c>
      <c r="AJ31" t="s">
        <v>331</v>
      </c>
      <c r="AK31" t="s">
        <v>10</v>
      </c>
      <c r="AM31" t="s">
        <v>287</v>
      </c>
      <c r="AN31" t="s">
        <v>292</v>
      </c>
      <c r="AO31" t="s">
        <v>292</v>
      </c>
      <c r="AP31" t="s">
        <v>333</v>
      </c>
      <c r="AQ31" t="s">
        <v>318</v>
      </c>
      <c r="AR31" t="s">
        <v>292</v>
      </c>
      <c r="AS31" t="s">
        <v>292</v>
      </c>
      <c r="AT31" t="s">
        <v>334</v>
      </c>
      <c r="AU31" t="s">
        <v>292</v>
      </c>
      <c r="AV31" t="s">
        <v>335</v>
      </c>
      <c r="AY31" t="s">
        <v>296</v>
      </c>
      <c r="AZ31" t="s">
        <v>297</v>
      </c>
      <c r="BA31" t="s">
        <v>286</v>
      </c>
      <c r="BB31" t="s">
        <v>292</v>
      </c>
      <c r="BC31" t="s">
        <v>288</v>
      </c>
      <c r="BD31" t="s">
        <v>292</v>
      </c>
      <c r="BE31" t="s">
        <v>298</v>
      </c>
      <c r="BF31" t="s">
        <v>299</v>
      </c>
      <c r="BG31" t="s">
        <v>288</v>
      </c>
      <c r="BH31">
        <v>2</v>
      </c>
      <c r="BI31" t="s">
        <v>300</v>
      </c>
      <c r="BJ31" t="s">
        <v>300</v>
      </c>
      <c r="CK31" t="s">
        <v>301</v>
      </c>
      <c r="CL31" t="s">
        <v>302</v>
      </c>
      <c r="CM31" t="s">
        <v>9</v>
      </c>
      <c r="CN31" s="2">
        <v>43363</v>
      </c>
      <c r="CO31" t="s">
        <v>292</v>
      </c>
      <c r="CP31" t="s">
        <v>303</v>
      </c>
      <c r="CQ31" t="s">
        <v>303</v>
      </c>
      <c r="CR31" t="s">
        <v>304</v>
      </c>
      <c r="CS31" t="s">
        <v>292</v>
      </c>
      <c r="CT31">
        <v>52000</v>
      </c>
      <c r="CU31" t="b">
        <v>0</v>
      </c>
      <c r="CV31" t="s">
        <v>311</v>
      </c>
      <c r="CW31" t="s">
        <v>292</v>
      </c>
      <c r="CX31" t="s">
        <v>292</v>
      </c>
      <c r="CY31" t="b">
        <v>0</v>
      </c>
      <c r="CZ31" t="b">
        <v>0</v>
      </c>
      <c r="DC31" t="s">
        <v>292</v>
      </c>
      <c r="DJ31">
        <f>DataTable[HLD_MaturityDate] - DataTable[SEC_Issue_Date]</f>
        <v>105</v>
      </c>
    </row>
    <row r="32" spans="1:114" x14ac:dyDescent="0.2">
      <c r="A32" s="2">
        <v>43376</v>
      </c>
      <c r="B32" t="s">
        <v>6</v>
      </c>
      <c r="C32" t="s">
        <v>7</v>
      </c>
      <c r="D32" t="s">
        <v>424</v>
      </c>
      <c r="F32" t="s">
        <v>425</v>
      </c>
      <c r="H32" t="s">
        <v>426</v>
      </c>
      <c r="I32" t="s">
        <v>286</v>
      </c>
      <c r="J32" t="s">
        <v>427</v>
      </c>
      <c r="K32" t="s">
        <v>288</v>
      </c>
      <c r="N32" s="2">
        <v>43452</v>
      </c>
      <c r="O32">
        <v>76</v>
      </c>
      <c r="Q32">
        <v>1.7</v>
      </c>
      <c r="T32">
        <v>996519010</v>
      </c>
      <c r="V32">
        <v>996519010</v>
      </c>
      <c r="W32">
        <v>0.204764</v>
      </c>
      <c r="X32">
        <v>1000000000</v>
      </c>
      <c r="Z32">
        <v>995871910</v>
      </c>
      <c r="AA32">
        <v>1.7</v>
      </c>
      <c r="AB32">
        <v>1.33284427E-2</v>
      </c>
      <c r="AC32" t="s">
        <v>425</v>
      </c>
      <c r="AE32" t="s">
        <v>428</v>
      </c>
      <c r="AF32" t="s">
        <v>429</v>
      </c>
      <c r="AG32" t="s">
        <v>430</v>
      </c>
      <c r="AH32" t="s">
        <v>330</v>
      </c>
      <c r="AI32" t="s">
        <v>426</v>
      </c>
      <c r="AJ32" t="s">
        <v>431</v>
      </c>
      <c r="AK32" t="s">
        <v>432</v>
      </c>
      <c r="AM32" t="s">
        <v>427</v>
      </c>
      <c r="AN32" t="s">
        <v>433</v>
      </c>
      <c r="AO32" t="s">
        <v>292</v>
      </c>
      <c r="AP32" t="s">
        <v>434</v>
      </c>
      <c r="AQ32" t="s">
        <v>318</v>
      </c>
      <c r="AR32" t="s">
        <v>292</v>
      </c>
      <c r="AS32" t="s">
        <v>292</v>
      </c>
      <c r="AT32" t="s">
        <v>348</v>
      </c>
      <c r="AU32" t="s">
        <v>292</v>
      </c>
      <c r="AV32" t="s">
        <v>435</v>
      </c>
      <c r="AY32" t="s">
        <v>436</v>
      </c>
      <c r="AZ32" t="s">
        <v>437</v>
      </c>
      <c r="BA32" t="s">
        <v>286</v>
      </c>
      <c r="BB32" t="s">
        <v>292</v>
      </c>
      <c r="BC32" t="s">
        <v>288</v>
      </c>
      <c r="BD32" t="s">
        <v>438</v>
      </c>
      <c r="BE32" t="s">
        <v>292</v>
      </c>
      <c r="BF32" t="s">
        <v>292</v>
      </c>
      <c r="BG32" t="s">
        <v>288</v>
      </c>
      <c r="BH32">
        <v>2</v>
      </c>
      <c r="BI32" t="s">
        <v>300</v>
      </c>
      <c r="BJ32" t="s">
        <v>300</v>
      </c>
      <c r="CK32" t="s">
        <v>301</v>
      </c>
      <c r="CL32" t="s">
        <v>302</v>
      </c>
      <c r="CM32" t="s">
        <v>9</v>
      </c>
      <c r="CN32" s="2">
        <v>43363</v>
      </c>
      <c r="CO32" t="s">
        <v>292</v>
      </c>
      <c r="CP32" t="s">
        <v>303</v>
      </c>
      <c r="CQ32" t="s">
        <v>303</v>
      </c>
      <c r="CR32" t="s">
        <v>304</v>
      </c>
      <c r="CS32" t="s">
        <v>292</v>
      </c>
      <c r="CT32">
        <v>1100</v>
      </c>
      <c r="CU32" t="b">
        <v>0</v>
      </c>
      <c r="CV32" t="s">
        <v>439</v>
      </c>
      <c r="CW32" t="s">
        <v>292</v>
      </c>
      <c r="CX32" t="s">
        <v>292</v>
      </c>
      <c r="CY32" t="b">
        <v>0</v>
      </c>
      <c r="CZ32" t="b">
        <v>0</v>
      </c>
      <c r="DC32" t="s">
        <v>292</v>
      </c>
      <c r="DJ32">
        <f>DataTable[HLD_MaturityDate] - DataTable[SEC_Issue_Date]</f>
        <v>89</v>
      </c>
    </row>
    <row r="33" spans="1:114" x14ac:dyDescent="0.2">
      <c r="A33" s="2">
        <v>43376</v>
      </c>
      <c r="B33" t="s">
        <v>6</v>
      </c>
      <c r="C33" t="s">
        <v>7</v>
      </c>
      <c r="D33" t="s">
        <v>424</v>
      </c>
      <c r="F33" t="s">
        <v>440</v>
      </c>
      <c r="H33" t="s">
        <v>441</v>
      </c>
      <c r="I33" t="s">
        <v>415</v>
      </c>
      <c r="J33" t="s">
        <v>442</v>
      </c>
      <c r="K33" t="s">
        <v>359</v>
      </c>
      <c r="N33" s="2">
        <v>43382</v>
      </c>
      <c r="O33">
        <v>6</v>
      </c>
      <c r="Q33">
        <v>1.58</v>
      </c>
      <c r="T33">
        <v>1199740332</v>
      </c>
      <c r="V33">
        <v>1199740332</v>
      </c>
      <c r="W33">
        <v>1.3696E-2</v>
      </c>
      <c r="X33">
        <v>1200000000</v>
      </c>
      <c r="Z33">
        <v>1196788020</v>
      </c>
      <c r="AA33">
        <v>1.58</v>
      </c>
      <c r="AB33">
        <v>1.6046528099999999E-2</v>
      </c>
      <c r="AC33" t="s">
        <v>440</v>
      </c>
      <c r="AE33" t="s">
        <v>443</v>
      </c>
      <c r="AF33" t="s">
        <v>444</v>
      </c>
      <c r="AG33" t="s">
        <v>445</v>
      </c>
      <c r="AH33" t="s">
        <v>330</v>
      </c>
      <c r="AI33" t="s">
        <v>441</v>
      </c>
      <c r="AJ33" t="s">
        <v>431</v>
      </c>
      <c r="AK33" t="s">
        <v>432</v>
      </c>
      <c r="AM33" t="s">
        <v>446</v>
      </c>
      <c r="AN33" t="s">
        <v>447</v>
      </c>
      <c r="AO33" t="s">
        <v>292</v>
      </c>
      <c r="AP33" t="s">
        <v>434</v>
      </c>
      <c r="AQ33" t="s">
        <v>318</v>
      </c>
      <c r="AR33" t="s">
        <v>292</v>
      </c>
      <c r="AS33" t="s">
        <v>292</v>
      </c>
      <c r="AT33" t="s">
        <v>348</v>
      </c>
      <c r="AU33" t="s">
        <v>292</v>
      </c>
      <c r="AV33" t="s">
        <v>435</v>
      </c>
      <c r="AY33" t="s">
        <v>448</v>
      </c>
      <c r="AZ33" t="s">
        <v>449</v>
      </c>
      <c r="BA33" t="s">
        <v>415</v>
      </c>
      <c r="BB33" t="s">
        <v>359</v>
      </c>
      <c r="BC33" t="s">
        <v>292</v>
      </c>
      <c r="BD33" t="s">
        <v>292</v>
      </c>
      <c r="BE33" t="s">
        <v>292</v>
      </c>
      <c r="BF33" t="s">
        <v>292</v>
      </c>
      <c r="BG33" t="s">
        <v>359</v>
      </c>
      <c r="BH33">
        <v>5</v>
      </c>
      <c r="CK33" t="s">
        <v>301</v>
      </c>
      <c r="CL33" t="s">
        <v>302</v>
      </c>
      <c r="CM33" t="s">
        <v>9</v>
      </c>
      <c r="CN33" s="2">
        <v>43320</v>
      </c>
      <c r="CO33" t="s">
        <v>292</v>
      </c>
      <c r="CP33" t="s">
        <v>303</v>
      </c>
      <c r="CQ33" t="s">
        <v>303</v>
      </c>
      <c r="CR33" t="s">
        <v>304</v>
      </c>
      <c r="CS33" t="s">
        <v>292</v>
      </c>
      <c r="CT33">
        <v>17000</v>
      </c>
      <c r="CU33" t="b">
        <v>0</v>
      </c>
      <c r="CV33" t="s">
        <v>439</v>
      </c>
      <c r="CW33" t="s">
        <v>292</v>
      </c>
      <c r="CX33" t="s">
        <v>292</v>
      </c>
      <c r="CY33" t="b">
        <v>0</v>
      </c>
      <c r="CZ33" t="b">
        <v>0</v>
      </c>
      <c r="DC33" t="s">
        <v>292</v>
      </c>
      <c r="DJ33">
        <f>DataTable[HLD_MaturityDate] - DataTable[SEC_Issue_Date]</f>
        <v>62</v>
      </c>
    </row>
    <row r="34" spans="1:114" x14ac:dyDescent="0.2">
      <c r="A34" s="2">
        <v>43376</v>
      </c>
      <c r="B34" t="s">
        <v>6</v>
      </c>
      <c r="C34" t="s">
        <v>7</v>
      </c>
      <c r="D34" t="s">
        <v>424</v>
      </c>
      <c r="F34" t="s">
        <v>450</v>
      </c>
      <c r="H34" t="s">
        <v>441</v>
      </c>
      <c r="I34" t="s">
        <v>415</v>
      </c>
      <c r="J34" t="s">
        <v>442</v>
      </c>
      <c r="K34" t="s">
        <v>359</v>
      </c>
      <c r="N34" s="2">
        <v>43382</v>
      </c>
      <c r="O34">
        <v>6</v>
      </c>
      <c r="Q34">
        <v>1.58</v>
      </c>
      <c r="T34">
        <v>499891805</v>
      </c>
      <c r="V34">
        <v>499891805</v>
      </c>
      <c r="W34">
        <v>1.3696E-2</v>
      </c>
      <c r="X34">
        <v>500000000</v>
      </c>
      <c r="Z34">
        <v>498683205</v>
      </c>
      <c r="AA34">
        <v>1.58</v>
      </c>
      <c r="AB34">
        <v>6.6860534000000001E-3</v>
      </c>
      <c r="AC34" t="s">
        <v>450</v>
      </c>
      <c r="AE34" t="s">
        <v>443</v>
      </c>
      <c r="AF34" t="s">
        <v>451</v>
      </c>
      <c r="AG34" t="s">
        <v>452</v>
      </c>
      <c r="AH34" t="s">
        <v>330</v>
      </c>
      <c r="AI34" t="s">
        <v>441</v>
      </c>
      <c r="AJ34" t="s">
        <v>431</v>
      </c>
      <c r="AK34" t="s">
        <v>432</v>
      </c>
      <c r="AM34" t="s">
        <v>446</v>
      </c>
      <c r="AN34" t="s">
        <v>447</v>
      </c>
      <c r="AO34" t="s">
        <v>292</v>
      </c>
      <c r="AP34" t="s">
        <v>434</v>
      </c>
      <c r="AQ34" t="s">
        <v>318</v>
      </c>
      <c r="AR34" t="s">
        <v>292</v>
      </c>
      <c r="AS34" t="s">
        <v>292</v>
      </c>
      <c r="AT34" t="s">
        <v>348</v>
      </c>
      <c r="AU34" t="s">
        <v>292</v>
      </c>
      <c r="AV34" t="s">
        <v>435</v>
      </c>
      <c r="AY34" t="s">
        <v>448</v>
      </c>
      <c r="AZ34" t="s">
        <v>449</v>
      </c>
      <c r="BA34" t="s">
        <v>415</v>
      </c>
      <c r="BB34" t="s">
        <v>359</v>
      </c>
      <c r="BC34" t="s">
        <v>292</v>
      </c>
      <c r="BD34" t="s">
        <v>292</v>
      </c>
      <c r="BE34" t="s">
        <v>292</v>
      </c>
      <c r="BF34" t="s">
        <v>292</v>
      </c>
      <c r="BG34" t="s">
        <v>359</v>
      </c>
      <c r="BH34">
        <v>5</v>
      </c>
      <c r="CK34" t="s">
        <v>301</v>
      </c>
      <c r="CL34" t="s">
        <v>302</v>
      </c>
      <c r="CM34" t="s">
        <v>9</v>
      </c>
      <c r="CN34" s="2">
        <v>43321</v>
      </c>
      <c r="CO34" t="s">
        <v>292</v>
      </c>
      <c r="CP34" t="s">
        <v>303</v>
      </c>
      <c r="CQ34" t="s">
        <v>303</v>
      </c>
      <c r="CR34" t="s">
        <v>304</v>
      </c>
      <c r="CS34" t="s">
        <v>292</v>
      </c>
      <c r="CT34">
        <v>17000</v>
      </c>
      <c r="CU34" t="b">
        <v>0</v>
      </c>
      <c r="CV34" t="s">
        <v>439</v>
      </c>
      <c r="CW34" t="s">
        <v>292</v>
      </c>
      <c r="CX34" t="s">
        <v>292</v>
      </c>
      <c r="CY34" t="b">
        <v>0</v>
      </c>
      <c r="CZ34" t="b">
        <v>0</v>
      </c>
      <c r="DC34" t="s">
        <v>292</v>
      </c>
      <c r="DJ34">
        <f>DataTable[HLD_MaturityDate] - DataTable[SEC_Issue_Date]</f>
        <v>61</v>
      </c>
    </row>
    <row r="35" spans="1:114" x14ac:dyDescent="0.2">
      <c r="A35" s="2">
        <v>43376</v>
      </c>
      <c r="B35" t="s">
        <v>6</v>
      </c>
      <c r="C35" t="s">
        <v>7</v>
      </c>
      <c r="D35" t="s">
        <v>424</v>
      </c>
      <c r="F35" t="s">
        <v>453</v>
      </c>
      <c r="H35" t="s">
        <v>454</v>
      </c>
      <c r="I35" t="s">
        <v>286</v>
      </c>
      <c r="J35" t="s">
        <v>455</v>
      </c>
      <c r="K35" t="s">
        <v>12</v>
      </c>
      <c r="N35" s="2">
        <v>43514</v>
      </c>
      <c r="O35">
        <v>138</v>
      </c>
      <c r="Q35">
        <v>1.5995360000000001</v>
      </c>
      <c r="T35">
        <v>149104813.5</v>
      </c>
      <c r="V35">
        <v>149060064</v>
      </c>
      <c r="W35">
        <v>0.37310199999999999</v>
      </c>
      <c r="X35">
        <v>150000000</v>
      </c>
      <c r="Z35">
        <v>148158772.5</v>
      </c>
      <c r="AA35">
        <v>1.68</v>
      </c>
      <c r="AB35">
        <v>1.994277E-3</v>
      </c>
      <c r="AC35" t="s">
        <v>453</v>
      </c>
      <c r="AE35" t="s">
        <v>456</v>
      </c>
      <c r="AF35" t="s">
        <v>457</v>
      </c>
      <c r="AG35" t="s">
        <v>458</v>
      </c>
      <c r="AH35" t="s">
        <v>330</v>
      </c>
      <c r="AI35" t="s">
        <v>454</v>
      </c>
      <c r="AJ35" t="s">
        <v>431</v>
      </c>
      <c r="AK35" t="s">
        <v>432</v>
      </c>
      <c r="AM35" t="s">
        <v>427</v>
      </c>
      <c r="AN35" t="s">
        <v>433</v>
      </c>
      <c r="AO35" t="s">
        <v>292</v>
      </c>
      <c r="AP35" t="s">
        <v>434</v>
      </c>
      <c r="AQ35" t="s">
        <v>318</v>
      </c>
      <c r="AR35" t="s">
        <v>292</v>
      </c>
      <c r="AS35" t="s">
        <v>292</v>
      </c>
      <c r="AT35" t="s">
        <v>348</v>
      </c>
      <c r="AU35" t="s">
        <v>292</v>
      </c>
      <c r="AV35" t="s">
        <v>435</v>
      </c>
      <c r="AY35" t="s">
        <v>459</v>
      </c>
      <c r="AZ35" t="s">
        <v>460</v>
      </c>
      <c r="BA35" t="s">
        <v>286</v>
      </c>
      <c r="BB35" t="s">
        <v>12</v>
      </c>
      <c r="BC35" t="s">
        <v>292</v>
      </c>
      <c r="BD35" t="s">
        <v>292</v>
      </c>
      <c r="BE35" t="s">
        <v>292</v>
      </c>
      <c r="BF35" t="s">
        <v>292</v>
      </c>
      <c r="BG35" t="s">
        <v>12</v>
      </c>
      <c r="BH35">
        <v>6</v>
      </c>
      <c r="CK35" t="s">
        <v>301</v>
      </c>
      <c r="CL35" t="s">
        <v>302</v>
      </c>
      <c r="CM35" t="s">
        <v>9</v>
      </c>
      <c r="CN35" s="2">
        <v>43244</v>
      </c>
      <c r="CO35" t="s">
        <v>292</v>
      </c>
      <c r="CP35" t="s">
        <v>303</v>
      </c>
      <c r="CQ35" t="s">
        <v>303</v>
      </c>
      <c r="CR35" t="s">
        <v>304</v>
      </c>
      <c r="CS35" t="s">
        <v>292</v>
      </c>
      <c r="CT35">
        <v>7000</v>
      </c>
      <c r="CU35" t="b">
        <v>0</v>
      </c>
      <c r="CV35" t="s">
        <v>439</v>
      </c>
      <c r="CW35" t="s">
        <v>292</v>
      </c>
      <c r="CX35" t="s">
        <v>292</v>
      </c>
      <c r="CY35" t="b">
        <v>0</v>
      </c>
      <c r="CZ35" t="b">
        <v>0</v>
      </c>
      <c r="DC35" t="s">
        <v>292</v>
      </c>
      <c r="DJ35">
        <f>DataTable[HLD_MaturityDate] - DataTable[SEC_Issue_Date]</f>
        <v>270</v>
      </c>
    </row>
    <row r="36" spans="1:114" x14ac:dyDescent="0.2">
      <c r="A36" s="2">
        <v>43376</v>
      </c>
      <c r="B36" t="s">
        <v>6</v>
      </c>
      <c r="C36" t="s">
        <v>7</v>
      </c>
      <c r="D36" t="s">
        <v>15</v>
      </c>
      <c r="F36" t="s">
        <v>461</v>
      </c>
      <c r="H36" t="s">
        <v>462</v>
      </c>
      <c r="I36" t="s">
        <v>293</v>
      </c>
      <c r="J36" t="s">
        <v>462</v>
      </c>
      <c r="K36" t="s">
        <v>298</v>
      </c>
      <c r="N36" s="2">
        <v>43558</v>
      </c>
      <c r="O36">
        <v>182</v>
      </c>
      <c r="Q36">
        <v>1.5805450000000001</v>
      </c>
      <c r="T36">
        <v>9922231.8000000007</v>
      </c>
      <c r="V36">
        <v>9921282.0999999996</v>
      </c>
      <c r="W36">
        <v>0.49203400000000003</v>
      </c>
      <c r="X36">
        <v>10000000</v>
      </c>
      <c r="Z36">
        <v>9867638.5</v>
      </c>
      <c r="AA36">
        <v>1.6</v>
      </c>
      <c r="AB36">
        <v>1.3270989999999999E-4</v>
      </c>
      <c r="AC36" t="s">
        <v>461</v>
      </c>
      <c r="AE36" t="s">
        <v>15</v>
      </c>
      <c r="AF36" t="s">
        <v>463</v>
      </c>
      <c r="AG36" t="s">
        <v>463</v>
      </c>
      <c r="AH36" t="s">
        <v>330</v>
      </c>
      <c r="AI36" t="s">
        <v>462</v>
      </c>
      <c r="AJ36" t="s">
        <v>464</v>
      </c>
      <c r="AK36" t="s">
        <v>15</v>
      </c>
      <c r="AM36" t="s">
        <v>405</v>
      </c>
      <c r="AN36" t="s">
        <v>292</v>
      </c>
      <c r="AO36" t="s">
        <v>292</v>
      </c>
      <c r="AP36" t="s">
        <v>434</v>
      </c>
      <c r="AQ36" t="s">
        <v>318</v>
      </c>
      <c r="AR36" t="s">
        <v>292</v>
      </c>
      <c r="AS36" t="s">
        <v>292</v>
      </c>
      <c r="AT36" t="s">
        <v>334</v>
      </c>
      <c r="AU36" t="s">
        <v>292</v>
      </c>
      <c r="AV36" t="s">
        <v>435</v>
      </c>
      <c r="AY36" t="s">
        <v>465</v>
      </c>
      <c r="AZ36" t="s">
        <v>466</v>
      </c>
      <c r="BA36" t="s">
        <v>293</v>
      </c>
      <c r="BB36" t="s">
        <v>292</v>
      </c>
      <c r="BC36" t="s">
        <v>298</v>
      </c>
      <c r="BD36" t="s">
        <v>292</v>
      </c>
      <c r="BE36" t="s">
        <v>298</v>
      </c>
      <c r="BF36" t="s">
        <v>299</v>
      </c>
      <c r="BG36" t="s">
        <v>298</v>
      </c>
      <c r="BH36">
        <v>8</v>
      </c>
      <c r="BI36" t="s">
        <v>300</v>
      </c>
      <c r="BJ36" t="s">
        <v>300</v>
      </c>
      <c r="CK36" t="s">
        <v>301</v>
      </c>
      <c r="CL36" t="s">
        <v>302</v>
      </c>
      <c r="CM36" t="s">
        <v>9</v>
      </c>
      <c r="CN36" s="2">
        <v>43194</v>
      </c>
      <c r="CO36" t="s">
        <v>292</v>
      </c>
      <c r="CP36" t="s">
        <v>303</v>
      </c>
      <c r="CQ36" t="s">
        <v>303</v>
      </c>
      <c r="CR36" t="s">
        <v>304</v>
      </c>
      <c r="CS36" t="s">
        <v>292</v>
      </c>
      <c r="CT36">
        <v>0</v>
      </c>
      <c r="CU36" t="b">
        <v>0</v>
      </c>
      <c r="CV36" t="s">
        <v>439</v>
      </c>
      <c r="CW36" t="s">
        <v>292</v>
      </c>
      <c r="CX36" t="s">
        <v>292</v>
      </c>
      <c r="CY36" t="b">
        <v>0</v>
      </c>
      <c r="CZ36" t="b">
        <v>0</v>
      </c>
      <c r="DC36" t="s">
        <v>467</v>
      </c>
      <c r="DJ36">
        <f>DataTable[HLD_MaturityDate] - DataTable[SEC_Issue_Date]</f>
        <v>364</v>
      </c>
    </row>
    <row r="37" spans="1:114" x14ac:dyDescent="0.2">
      <c r="A37" s="2">
        <v>43376</v>
      </c>
      <c r="B37" t="s">
        <v>6</v>
      </c>
      <c r="C37" t="s">
        <v>7</v>
      </c>
      <c r="D37" t="s">
        <v>16</v>
      </c>
      <c r="F37" t="s">
        <v>17</v>
      </c>
      <c r="H37" t="s">
        <v>468</v>
      </c>
      <c r="J37" t="s">
        <v>462</v>
      </c>
      <c r="N37" s="2">
        <v>43440</v>
      </c>
      <c r="O37">
        <v>64</v>
      </c>
      <c r="Q37">
        <v>1.3</v>
      </c>
      <c r="T37">
        <v>3991044760</v>
      </c>
      <c r="V37">
        <v>3990751920</v>
      </c>
      <c r="W37">
        <v>0.17222399999999999</v>
      </c>
      <c r="X37">
        <v>4000000000</v>
      </c>
      <c r="Z37">
        <v>3986655357.7199998</v>
      </c>
      <c r="AA37">
        <v>1.3426089999999999</v>
      </c>
      <c r="AB37">
        <v>5.3380227600000003E-2</v>
      </c>
      <c r="AC37" t="s">
        <v>17</v>
      </c>
      <c r="AE37" t="s">
        <v>469</v>
      </c>
      <c r="AF37" t="s">
        <v>470</v>
      </c>
      <c r="AG37" t="s">
        <v>470</v>
      </c>
      <c r="AH37" t="s">
        <v>330</v>
      </c>
      <c r="AI37" t="s">
        <v>468</v>
      </c>
      <c r="AJ37" t="s">
        <v>464</v>
      </c>
      <c r="AK37" t="s">
        <v>16</v>
      </c>
      <c r="AM37" t="s">
        <v>405</v>
      </c>
      <c r="AN37" t="s">
        <v>292</v>
      </c>
      <c r="AO37" t="s">
        <v>292</v>
      </c>
      <c r="AP37" t="s">
        <v>434</v>
      </c>
      <c r="AQ37" t="s">
        <v>318</v>
      </c>
      <c r="AR37" t="s">
        <v>292</v>
      </c>
      <c r="AS37" t="s">
        <v>292</v>
      </c>
      <c r="AT37" t="s">
        <v>334</v>
      </c>
      <c r="AU37" t="s">
        <v>292</v>
      </c>
      <c r="AV37" t="s">
        <v>435</v>
      </c>
      <c r="AY37" t="s">
        <v>471</v>
      </c>
      <c r="AZ37" t="s">
        <v>472</v>
      </c>
      <c r="BA37" t="s">
        <v>292</v>
      </c>
      <c r="BB37" t="s">
        <v>292</v>
      </c>
      <c r="BC37" t="s">
        <v>292</v>
      </c>
      <c r="BD37" t="s">
        <v>292</v>
      </c>
      <c r="BE37" t="s">
        <v>292</v>
      </c>
      <c r="BF37" t="s">
        <v>292</v>
      </c>
      <c r="CK37" t="s">
        <v>301</v>
      </c>
      <c r="CL37" t="s">
        <v>302</v>
      </c>
      <c r="CM37" t="s">
        <v>9</v>
      </c>
      <c r="CN37" s="2">
        <v>43349</v>
      </c>
      <c r="CO37" t="s">
        <v>292</v>
      </c>
      <c r="CP37" t="s">
        <v>303</v>
      </c>
      <c r="CQ37" t="s">
        <v>303</v>
      </c>
      <c r="CR37" t="s">
        <v>304</v>
      </c>
      <c r="CS37" t="s">
        <v>292</v>
      </c>
      <c r="CT37">
        <v>0</v>
      </c>
      <c r="CU37" t="b">
        <v>0</v>
      </c>
      <c r="CV37" t="s">
        <v>439</v>
      </c>
      <c r="CW37" t="s">
        <v>292</v>
      </c>
      <c r="CX37" t="s">
        <v>292</v>
      </c>
      <c r="CY37" t="b">
        <v>0</v>
      </c>
      <c r="CZ37" t="b">
        <v>0</v>
      </c>
      <c r="DC37" t="s">
        <v>473</v>
      </c>
      <c r="DJ37">
        <f>DataTable[HLD_MaturityDate] - DataTable[SEC_Issue_Date]</f>
        <v>91</v>
      </c>
    </row>
    <row r="38" spans="1:114" x14ac:dyDescent="0.2">
      <c r="A38" s="2">
        <v>43376</v>
      </c>
      <c r="B38" t="s">
        <v>6</v>
      </c>
      <c r="C38" t="s">
        <v>7</v>
      </c>
      <c r="D38" t="s">
        <v>16</v>
      </c>
      <c r="F38" t="s">
        <v>18</v>
      </c>
      <c r="H38" t="s">
        <v>468</v>
      </c>
      <c r="J38" t="s">
        <v>462</v>
      </c>
      <c r="N38" s="2">
        <v>43447</v>
      </c>
      <c r="O38">
        <v>71</v>
      </c>
      <c r="Q38">
        <v>1.152879</v>
      </c>
      <c r="T38">
        <v>5996741218.8000002</v>
      </c>
      <c r="V38">
        <v>5996609840.1999998</v>
      </c>
      <c r="W38">
        <v>0.19130800000000001</v>
      </c>
      <c r="X38">
        <v>6010000000</v>
      </c>
      <c r="Z38">
        <v>5992611916.6700001</v>
      </c>
      <c r="AA38">
        <v>1.1643289999999999</v>
      </c>
      <c r="AB38">
        <v>8.0206419700000003E-2</v>
      </c>
      <c r="AC38" t="s">
        <v>18</v>
      </c>
      <c r="AE38" t="s">
        <v>469</v>
      </c>
      <c r="AF38" t="s">
        <v>474</v>
      </c>
      <c r="AG38" t="s">
        <v>474</v>
      </c>
      <c r="AH38" t="s">
        <v>330</v>
      </c>
      <c r="AI38" t="s">
        <v>468</v>
      </c>
      <c r="AJ38" t="s">
        <v>464</v>
      </c>
      <c r="AK38" t="s">
        <v>16</v>
      </c>
      <c r="AM38" t="s">
        <v>405</v>
      </c>
      <c r="AN38" t="s">
        <v>292</v>
      </c>
      <c r="AO38" t="s">
        <v>292</v>
      </c>
      <c r="AP38" t="s">
        <v>434</v>
      </c>
      <c r="AQ38" t="s">
        <v>318</v>
      </c>
      <c r="AR38" t="s">
        <v>292</v>
      </c>
      <c r="AS38" t="s">
        <v>292</v>
      </c>
      <c r="AT38" t="s">
        <v>334</v>
      </c>
      <c r="AU38" t="s">
        <v>292</v>
      </c>
      <c r="AV38" t="s">
        <v>435</v>
      </c>
      <c r="AY38" t="s">
        <v>471</v>
      </c>
      <c r="AZ38" t="s">
        <v>472</v>
      </c>
      <c r="BA38" t="s">
        <v>292</v>
      </c>
      <c r="BB38" t="s">
        <v>292</v>
      </c>
      <c r="BC38" t="s">
        <v>292</v>
      </c>
      <c r="BD38" t="s">
        <v>292</v>
      </c>
      <c r="BE38" t="s">
        <v>292</v>
      </c>
      <c r="BF38" t="s">
        <v>292</v>
      </c>
      <c r="CK38" t="s">
        <v>301</v>
      </c>
      <c r="CL38" t="s">
        <v>302</v>
      </c>
      <c r="CM38" t="s">
        <v>9</v>
      </c>
      <c r="CN38" s="2">
        <v>43356</v>
      </c>
      <c r="CO38" t="s">
        <v>292</v>
      </c>
      <c r="CP38" t="s">
        <v>303</v>
      </c>
      <c r="CQ38" t="s">
        <v>303</v>
      </c>
      <c r="CR38" t="s">
        <v>304</v>
      </c>
      <c r="CS38" t="s">
        <v>292</v>
      </c>
      <c r="CT38">
        <v>0</v>
      </c>
      <c r="CU38" t="b">
        <v>0</v>
      </c>
      <c r="CV38" t="s">
        <v>439</v>
      </c>
      <c r="CW38" t="s">
        <v>292</v>
      </c>
      <c r="CX38" t="s">
        <v>292</v>
      </c>
      <c r="CY38" t="b">
        <v>0</v>
      </c>
      <c r="CZ38" t="b">
        <v>0</v>
      </c>
      <c r="DC38" t="s">
        <v>475</v>
      </c>
      <c r="DJ38">
        <f>DataTable[HLD_MaturityDate] - DataTable[SEC_Issue_Date]</f>
        <v>91</v>
      </c>
    </row>
    <row r="39" spans="1:114" x14ac:dyDescent="0.2">
      <c r="A39" s="2">
        <v>43376</v>
      </c>
      <c r="B39" t="s">
        <v>6</v>
      </c>
      <c r="C39" t="s">
        <v>7</v>
      </c>
      <c r="D39" t="s">
        <v>16</v>
      </c>
      <c r="F39" t="s">
        <v>19</v>
      </c>
      <c r="H39" t="s">
        <v>468</v>
      </c>
      <c r="J39" t="s">
        <v>462</v>
      </c>
      <c r="N39" s="2">
        <v>43454</v>
      </c>
      <c r="O39">
        <v>78</v>
      </c>
      <c r="Q39">
        <v>1.2549999999999999</v>
      </c>
      <c r="T39">
        <v>2493398650</v>
      </c>
      <c r="V39">
        <v>2492759025</v>
      </c>
      <c r="W39">
        <v>0.21034700000000001</v>
      </c>
      <c r="X39">
        <v>2500000000</v>
      </c>
      <c r="Z39">
        <v>2491474412.4899998</v>
      </c>
      <c r="AA39">
        <v>1.376952</v>
      </c>
      <c r="AB39">
        <v>3.3349209400000003E-2</v>
      </c>
      <c r="AC39" t="s">
        <v>19</v>
      </c>
      <c r="AE39" t="s">
        <v>469</v>
      </c>
      <c r="AF39" t="s">
        <v>476</v>
      </c>
      <c r="AG39" t="s">
        <v>476</v>
      </c>
      <c r="AH39" t="s">
        <v>330</v>
      </c>
      <c r="AI39" t="s">
        <v>468</v>
      </c>
      <c r="AJ39" t="s">
        <v>464</v>
      </c>
      <c r="AK39" t="s">
        <v>16</v>
      </c>
      <c r="AM39" t="s">
        <v>405</v>
      </c>
      <c r="AN39" t="s">
        <v>292</v>
      </c>
      <c r="AO39" t="s">
        <v>292</v>
      </c>
      <c r="AP39" t="s">
        <v>434</v>
      </c>
      <c r="AQ39" t="s">
        <v>318</v>
      </c>
      <c r="AR39" t="s">
        <v>292</v>
      </c>
      <c r="AS39" t="s">
        <v>292</v>
      </c>
      <c r="AT39" t="s">
        <v>334</v>
      </c>
      <c r="AU39" t="s">
        <v>292</v>
      </c>
      <c r="AV39" t="s">
        <v>435</v>
      </c>
      <c r="AY39" t="s">
        <v>471</v>
      </c>
      <c r="AZ39" t="s">
        <v>472</v>
      </c>
      <c r="BA39" t="s">
        <v>292</v>
      </c>
      <c r="BB39" t="s">
        <v>292</v>
      </c>
      <c r="BC39" t="s">
        <v>292</v>
      </c>
      <c r="BD39" t="s">
        <v>292</v>
      </c>
      <c r="BE39" t="s">
        <v>292</v>
      </c>
      <c r="BF39" t="s">
        <v>292</v>
      </c>
      <c r="CK39" t="s">
        <v>301</v>
      </c>
      <c r="CL39" t="s">
        <v>302</v>
      </c>
      <c r="CM39" t="s">
        <v>9</v>
      </c>
      <c r="CN39" s="2">
        <v>43363</v>
      </c>
      <c r="CO39" t="s">
        <v>292</v>
      </c>
      <c r="CP39" t="s">
        <v>303</v>
      </c>
      <c r="CQ39" t="s">
        <v>303</v>
      </c>
      <c r="CR39" t="s">
        <v>304</v>
      </c>
      <c r="CS39" t="s">
        <v>292</v>
      </c>
      <c r="CT39">
        <v>0</v>
      </c>
      <c r="CU39" t="b">
        <v>0</v>
      </c>
      <c r="CV39" t="s">
        <v>439</v>
      </c>
      <c r="CW39" t="s">
        <v>292</v>
      </c>
      <c r="CX39" t="s">
        <v>292</v>
      </c>
      <c r="CY39" t="b">
        <v>0</v>
      </c>
      <c r="CZ39" t="b">
        <v>0</v>
      </c>
      <c r="DC39" t="s">
        <v>477</v>
      </c>
      <c r="DJ39">
        <f>DataTable[HLD_MaturityDate] - DataTable[SEC_Issue_Date]</f>
        <v>91</v>
      </c>
    </row>
    <row r="40" spans="1:114" x14ac:dyDescent="0.2">
      <c r="A40" s="2">
        <v>43376</v>
      </c>
      <c r="B40" t="s">
        <v>6</v>
      </c>
      <c r="C40" t="s">
        <v>7</v>
      </c>
      <c r="D40" t="s">
        <v>16</v>
      </c>
      <c r="F40" t="s">
        <v>20</v>
      </c>
      <c r="H40" t="s">
        <v>468</v>
      </c>
      <c r="J40" t="s">
        <v>462</v>
      </c>
      <c r="N40" s="2">
        <v>43405</v>
      </c>
      <c r="O40">
        <v>29</v>
      </c>
      <c r="Q40">
        <v>1.28694</v>
      </c>
      <c r="T40">
        <v>3656390251.8000002</v>
      </c>
      <c r="V40">
        <v>3656368584.5999999</v>
      </c>
      <c r="W40">
        <v>7.6643000000000003E-2</v>
      </c>
      <c r="X40">
        <v>3660000000</v>
      </c>
      <c r="Z40">
        <v>3648378530.3299999</v>
      </c>
      <c r="AA40">
        <v>1.2946709999999999</v>
      </c>
      <c r="AB40">
        <v>4.8904223199999999E-2</v>
      </c>
      <c r="AC40" t="s">
        <v>20</v>
      </c>
      <c r="AE40" t="s">
        <v>469</v>
      </c>
      <c r="AF40" t="s">
        <v>478</v>
      </c>
      <c r="AG40" t="s">
        <v>478</v>
      </c>
      <c r="AH40" t="s">
        <v>330</v>
      </c>
      <c r="AI40" t="s">
        <v>468</v>
      </c>
      <c r="AJ40" t="s">
        <v>464</v>
      </c>
      <c r="AK40" t="s">
        <v>16</v>
      </c>
      <c r="AM40" t="s">
        <v>405</v>
      </c>
      <c r="AN40" t="s">
        <v>292</v>
      </c>
      <c r="AO40" t="s">
        <v>292</v>
      </c>
      <c r="AP40" t="s">
        <v>434</v>
      </c>
      <c r="AQ40" t="s">
        <v>318</v>
      </c>
      <c r="AR40" t="s">
        <v>292</v>
      </c>
      <c r="AS40" t="s">
        <v>292</v>
      </c>
      <c r="AT40" t="s">
        <v>334</v>
      </c>
      <c r="AU40" t="s">
        <v>292</v>
      </c>
      <c r="AV40" t="s">
        <v>435</v>
      </c>
      <c r="AY40" t="s">
        <v>471</v>
      </c>
      <c r="AZ40" t="s">
        <v>472</v>
      </c>
      <c r="BA40" t="s">
        <v>292</v>
      </c>
      <c r="BB40" t="s">
        <v>292</v>
      </c>
      <c r="BC40" t="s">
        <v>292</v>
      </c>
      <c r="BD40" t="s">
        <v>292</v>
      </c>
      <c r="BE40" t="s">
        <v>292</v>
      </c>
      <c r="BF40" t="s">
        <v>292</v>
      </c>
      <c r="CK40" t="s">
        <v>301</v>
      </c>
      <c r="CL40" t="s">
        <v>302</v>
      </c>
      <c r="CM40" t="s">
        <v>9</v>
      </c>
      <c r="CN40" s="2">
        <v>43314</v>
      </c>
      <c r="CO40" t="s">
        <v>292</v>
      </c>
      <c r="CP40" t="s">
        <v>303</v>
      </c>
      <c r="CQ40" t="s">
        <v>303</v>
      </c>
      <c r="CR40" t="s">
        <v>304</v>
      </c>
      <c r="CS40" t="s">
        <v>292</v>
      </c>
      <c r="CT40">
        <v>0</v>
      </c>
      <c r="CU40" t="b">
        <v>0</v>
      </c>
      <c r="CV40" t="s">
        <v>439</v>
      </c>
      <c r="CW40" t="s">
        <v>292</v>
      </c>
      <c r="CX40" t="s">
        <v>292</v>
      </c>
      <c r="CY40" t="b">
        <v>0</v>
      </c>
      <c r="CZ40" t="b">
        <v>0</v>
      </c>
      <c r="DC40" t="s">
        <v>479</v>
      </c>
      <c r="DJ40">
        <f>DataTable[HLD_MaturityDate] - DataTable[SEC_Issue_Date]</f>
        <v>91</v>
      </c>
    </row>
    <row r="41" spans="1:114" x14ac:dyDescent="0.2">
      <c r="A41" s="2">
        <v>43376</v>
      </c>
      <c r="B41" t="s">
        <v>6</v>
      </c>
      <c r="C41" t="s">
        <v>7</v>
      </c>
      <c r="D41" t="s">
        <v>16</v>
      </c>
      <c r="F41" t="s">
        <v>21</v>
      </c>
      <c r="H41" t="s">
        <v>468</v>
      </c>
      <c r="J41" t="s">
        <v>462</v>
      </c>
      <c r="N41" s="2">
        <v>43412</v>
      </c>
      <c r="O41">
        <v>36</v>
      </c>
      <c r="Q41">
        <v>1.1000000000000001</v>
      </c>
      <c r="T41">
        <v>600366738.32000005</v>
      </c>
      <c r="V41">
        <v>600366738.32000005</v>
      </c>
      <c r="W41">
        <v>9.5782000000000006E-2</v>
      </c>
      <c r="X41">
        <v>601000000</v>
      </c>
      <c r="Z41">
        <v>599987417.16999996</v>
      </c>
      <c r="AA41">
        <v>1.1000000000000001</v>
      </c>
      <c r="AB41">
        <v>8.0299056999999993E-3</v>
      </c>
      <c r="AC41" t="s">
        <v>21</v>
      </c>
      <c r="AE41" t="s">
        <v>469</v>
      </c>
      <c r="AF41" t="s">
        <v>480</v>
      </c>
      <c r="AG41" t="s">
        <v>480</v>
      </c>
      <c r="AH41" t="s">
        <v>330</v>
      </c>
      <c r="AI41" t="s">
        <v>468</v>
      </c>
      <c r="AJ41" t="s">
        <v>464</v>
      </c>
      <c r="AK41" t="s">
        <v>16</v>
      </c>
      <c r="AM41" t="s">
        <v>405</v>
      </c>
      <c r="AN41" t="s">
        <v>292</v>
      </c>
      <c r="AO41" t="s">
        <v>292</v>
      </c>
      <c r="AP41" t="s">
        <v>434</v>
      </c>
      <c r="AQ41" t="s">
        <v>318</v>
      </c>
      <c r="AR41" t="s">
        <v>292</v>
      </c>
      <c r="AS41" t="s">
        <v>292</v>
      </c>
      <c r="AT41" t="s">
        <v>334</v>
      </c>
      <c r="AU41" t="s">
        <v>292</v>
      </c>
      <c r="AV41" t="s">
        <v>435</v>
      </c>
      <c r="AY41" t="s">
        <v>471</v>
      </c>
      <c r="AZ41" t="s">
        <v>472</v>
      </c>
      <c r="BA41" t="s">
        <v>292</v>
      </c>
      <c r="BB41" t="s">
        <v>292</v>
      </c>
      <c r="BC41" t="s">
        <v>292</v>
      </c>
      <c r="BD41" t="s">
        <v>292</v>
      </c>
      <c r="BE41" t="s">
        <v>292</v>
      </c>
      <c r="BF41" t="s">
        <v>292</v>
      </c>
      <c r="CK41" t="s">
        <v>301</v>
      </c>
      <c r="CL41" t="s">
        <v>302</v>
      </c>
      <c r="CM41" t="s">
        <v>9</v>
      </c>
      <c r="CN41" s="2">
        <v>43230</v>
      </c>
      <c r="CO41" t="s">
        <v>292</v>
      </c>
      <c r="CP41" t="s">
        <v>303</v>
      </c>
      <c r="CQ41" t="s">
        <v>303</v>
      </c>
      <c r="CR41" t="s">
        <v>304</v>
      </c>
      <c r="CS41" t="s">
        <v>292</v>
      </c>
      <c r="CT41">
        <v>0</v>
      </c>
      <c r="CU41" t="b">
        <v>0</v>
      </c>
      <c r="CV41" t="s">
        <v>439</v>
      </c>
      <c r="CW41" t="s">
        <v>292</v>
      </c>
      <c r="CX41" t="s">
        <v>292</v>
      </c>
      <c r="CY41" t="b">
        <v>0</v>
      </c>
      <c r="CZ41" t="b">
        <v>0</v>
      </c>
      <c r="DC41" t="s">
        <v>481</v>
      </c>
      <c r="DJ41">
        <f>DataTable[HLD_MaturityDate] - DataTable[SEC_Issue_Date]</f>
        <v>182</v>
      </c>
    </row>
    <row r="42" spans="1:114" x14ac:dyDescent="0.2">
      <c r="A42" s="2">
        <v>43376</v>
      </c>
      <c r="B42" t="s">
        <v>6</v>
      </c>
      <c r="C42" t="s">
        <v>7</v>
      </c>
      <c r="D42" t="s">
        <v>16</v>
      </c>
      <c r="F42" t="s">
        <v>22</v>
      </c>
      <c r="H42" t="s">
        <v>468</v>
      </c>
      <c r="J42" t="s">
        <v>462</v>
      </c>
      <c r="N42" s="2">
        <v>43412</v>
      </c>
      <c r="O42">
        <v>36</v>
      </c>
      <c r="Q42">
        <v>1.2749999999999999</v>
      </c>
      <c r="T42">
        <v>3995115560</v>
      </c>
      <c r="V42">
        <v>3995082800</v>
      </c>
      <c r="W42">
        <v>9.5780000000000004E-2</v>
      </c>
      <c r="X42">
        <v>4000000000</v>
      </c>
      <c r="Z42">
        <v>3987240358.5799999</v>
      </c>
      <c r="AA42">
        <v>1.2835639999999999</v>
      </c>
      <c r="AB42">
        <v>5.3434674600000003E-2</v>
      </c>
      <c r="AC42" t="s">
        <v>22</v>
      </c>
      <c r="AE42" t="s">
        <v>469</v>
      </c>
      <c r="AF42" t="s">
        <v>482</v>
      </c>
      <c r="AG42" t="s">
        <v>482</v>
      </c>
      <c r="AH42" t="s">
        <v>330</v>
      </c>
      <c r="AI42" t="s">
        <v>468</v>
      </c>
      <c r="AJ42" t="s">
        <v>464</v>
      </c>
      <c r="AK42" t="s">
        <v>16</v>
      </c>
      <c r="AM42" t="s">
        <v>405</v>
      </c>
      <c r="AN42" t="s">
        <v>292</v>
      </c>
      <c r="AO42" t="s">
        <v>292</v>
      </c>
      <c r="AP42" t="s">
        <v>434</v>
      </c>
      <c r="AQ42" t="s">
        <v>318</v>
      </c>
      <c r="AR42" t="s">
        <v>292</v>
      </c>
      <c r="AS42" t="s">
        <v>292</v>
      </c>
      <c r="AT42" t="s">
        <v>334</v>
      </c>
      <c r="AU42" t="s">
        <v>292</v>
      </c>
      <c r="AV42" t="s">
        <v>435</v>
      </c>
      <c r="AY42" t="s">
        <v>471</v>
      </c>
      <c r="AZ42" t="s">
        <v>472</v>
      </c>
      <c r="BA42" t="s">
        <v>292</v>
      </c>
      <c r="BB42" t="s">
        <v>292</v>
      </c>
      <c r="BC42" t="s">
        <v>292</v>
      </c>
      <c r="BD42" t="s">
        <v>292</v>
      </c>
      <c r="BE42" t="s">
        <v>292</v>
      </c>
      <c r="BF42" t="s">
        <v>292</v>
      </c>
      <c r="CK42" t="s">
        <v>301</v>
      </c>
      <c r="CL42" t="s">
        <v>302</v>
      </c>
      <c r="CM42" t="s">
        <v>9</v>
      </c>
      <c r="CN42" s="2">
        <v>43321</v>
      </c>
      <c r="CO42" t="s">
        <v>292</v>
      </c>
      <c r="CP42" t="s">
        <v>303</v>
      </c>
      <c r="CQ42" t="s">
        <v>303</v>
      </c>
      <c r="CR42" t="s">
        <v>304</v>
      </c>
      <c r="CS42" t="s">
        <v>292</v>
      </c>
      <c r="CT42">
        <v>0</v>
      </c>
      <c r="CU42" t="b">
        <v>0</v>
      </c>
      <c r="CV42" t="s">
        <v>439</v>
      </c>
      <c r="CW42" t="s">
        <v>292</v>
      </c>
      <c r="CX42" t="s">
        <v>292</v>
      </c>
      <c r="CY42" t="b">
        <v>0</v>
      </c>
      <c r="CZ42" t="b">
        <v>0</v>
      </c>
      <c r="DC42" t="s">
        <v>483</v>
      </c>
      <c r="DJ42">
        <f>DataTable[HLD_MaturityDate] - DataTable[SEC_Issue_Date]</f>
        <v>91</v>
      </c>
    </row>
    <row r="43" spans="1:114" x14ac:dyDescent="0.2">
      <c r="A43" s="2">
        <v>43376</v>
      </c>
      <c r="B43" t="s">
        <v>6</v>
      </c>
      <c r="C43" t="s">
        <v>7</v>
      </c>
      <c r="D43" t="s">
        <v>16</v>
      </c>
      <c r="F43" t="s">
        <v>23</v>
      </c>
      <c r="H43" t="s">
        <v>468</v>
      </c>
      <c r="J43" t="s">
        <v>462</v>
      </c>
      <c r="N43" s="2">
        <v>43419</v>
      </c>
      <c r="O43">
        <v>43</v>
      </c>
      <c r="Q43">
        <v>1.2625</v>
      </c>
      <c r="T43">
        <v>2496373425</v>
      </c>
      <c r="V43">
        <v>2496370225</v>
      </c>
      <c r="W43">
        <v>0.114912</v>
      </c>
      <c r="X43">
        <v>2500000000</v>
      </c>
      <c r="Z43">
        <v>2492148802.5700002</v>
      </c>
      <c r="AA43">
        <v>1.263611</v>
      </c>
      <c r="AB43">
        <v>3.3388996999999997E-2</v>
      </c>
      <c r="AC43" t="s">
        <v>23</v>
      </c>
      <c r="AE43" t="s">
        <v>469</v>
      </c>
      <c r="AF43" t="s">
        <v>484</v>
      </c>
      <c r="AG43" t="s">
        <v>484</v>
      </c>
      <c r="AH43" t="s">
        <v>330</v>
      </c>
      <c r="AI43" t="s">
        <v>468</v>
      </c>
      <c r="AJ43" t="s">
        <v>464</v>
      </c>
      <c r="AK43" t="s">
        <v>16</v>
      </c>
      <c r="AM43" t="s">
        <v>405</v>
      </c>
      <c r="AN43" t="s">
        <v>292</v>
      </c>
      <c r="AO43" t="s">
        <v>292</v>
      </c>
      <c r="AP43" t="s">
        <v>434</v>
      </c>
      <c r="AQ43" t="s">
        <v>318</v>
      </c>
      <c r="AR43" t="s">
        <v>292</v>
      </c>
      <c r="AS43" t="s">
        <v>292</v>
      </c>
      <c r="AT43" t="s">
        <v>334</v>
      </c>
      <c r="AU43" t="s">
        <v>292</v>
      </c>
      <c r="AV43" t="s">
        <v>435</v>
      </c>
      <c r="AY43" t="s">
        <v>471</v>
      </c>
      <c r="AZ43" t="s">
        <v>472</v>
      </c>
      <c r="BA43" t="s">
        <v>292</v>
      </c>
      <c r="BB43" t="s">
        <v>292</v>
      </c>
      <c r="BC43" t="s">
        <v>292</v>
      </c>
      <c r="BD43" t="s">
        <v>292</v>
      </c>
      <c r="BE43" t="s">
        <v>292</v>
      </c>
      <c r="BF43" t="s">
        <v>292</v>
      </c>
      <c r="CK43" t="s">
        <v>301</v>
      </c>
      <c r="CL43" t="s">
        <v>302</v>
      </c>
      <c r="CM43" t="s">
        <v>9</v>
      </c>
      <c r="CN43" s="2">
        <v>43328</v>
      </c>
      <c r="CO43" t="s">
        <v>292</v>
      </c>
      <c r="CP43" t="s">
        <v>303</v>
      </c>
      <c r="CQ43" t="s">
        <v>303</v>
      </c>
      <c r="CR43" t="s">
        <v>304</v>
      </c>
      <c r="CS43" t="s">
        <v>292</v>
      </c>
      <c r="CT43">
        <v>0</v>
      </c>
      <c r="CU43" t="b">
        <v>0</v>
      </c>
      <c r="CV43" t="s">
        <v>439</v>
      </c>
      <c r="CW43" t="s">
        <v>292</v>
      </c>
      <c r="CX43" t="s">
        <v>292</v>
      </c>
      <c r="CY43" t="b">
        <v>0</v>
      </c>
      <c r="CZ43" t="b">
        <v>0</v>
      </c>
      <c r="DC43" t="s">
        <v>485</v>
      </c>
      <c r="DJ43">
        <f>DataTable[HLD_MaturityDate] - DataTable[SEC_Issue_Date]</f>
        <v>91</v>
      </c>
    </row>
    <row r="44" spans="1:114" x14ac:dyDescent="0.2">
      <c r="A44" s="2">
        <v>43376</v>
      </c>
      <c r="B44" t="s">
        <v>6</v>
      </c>
      <c r="C44" t="s">
        <v>7</v>
      </c>
      <c r="D44" t="s">
        <v>16</v>
      </c>
      <c r="F44" t="s">
        <v>486</v>
      </c>
      <c r="H44" t="s">
        <v>468</v>
      </c>
      <c r="J44" t="s">
        <v>462</v>
      </c>
      <c r="N44" s="2">
        <v>43426</v>
      </c>
      <c r="O44">
        <v>50</v>
      </c>
      <c r="Q44">
        <v>1.2226189999999999</v>
      </c>
      <c r="T44">
        <v>1048279438.5</v>
      </c>
      <c r="V44">
        <v>1048279438.5</v>
      </c>
      <c r="W44">
        <v>0.134023</v>
      </c>
      <c r="X44">
        <v>1050000000</v>
      </c>
      <c r="Z44">
        <v>1047040930</v>
      </c>
      <c r="AA44">
        <v>1.2226189999999999</v>
      </c>
      <c r="AB44">
        <v>1.4020738499999999E-2</v>
      </c>
      <c r="AC44" t="s">
        <v>486</v>
      </c>
      <c r="AE44" t="s">
        <v>469</v>
      </c>
      <c r="AF44" t="s">
        <v>487</v>
      </c>
      <c r="AG44" t="s">
        <v>487</v>
      </c>
      <c r="AH44" t="s">
        <v>330</v>
      </c>
      <c r="AI44" t="s">
        <v>468</v>
      </c>
      <c r="AJ44" t="s">
        <v>464</v>
      </c>
      <c r="AK44" t="s">
        <v>16</v>
      </c>
      <c r="AM44" t="s">
        <v>405</v>
      </c>
      <c r="AN44" t="s">
        <v>292</v>
      </c>
      <c r="AO44" t="s">
        <v>292</v>
      </c>
      <c r="AP44" t="s">
        <v>434</v>
      </c>
      <c r="AQ44" t="s">
        <v>318</v>
      </c>
      <c r="AR44" t="s">
        <v>292</v>
      </c>
      <c r="AS44" t="s">
        <v>292</v>
      </c>
      <c r="AT44" t="s">
        <v>334</v>
      </c>
      <c r="AU44" t="s">
        <v>292</v>
      </c>
      <c r="AV44" t="s">
        <v>435</v>
      </c>
      <c r="AY44" t="s">
        <v>471</v>
      </c>
      <c r="AZ44" t="s">
        <v>472</v>
      </c>
      <c r="BA44" t="s">
        <v>292</v>
      </c>
      <c r="BB44" t="s">
        <v>292</v>
      </c>
      <c r="BC44" t="s">
        <v>292</v>
      </c>
      <c r="BD44" t="s">
        <v>292</v>
      </c>
      <c r="BE44" t="s">
        <v>292</v>
      </c>
      <c r="BF44" t="s">
        <v>292</v>
      </c>
      <c r="CK44" t="s">
        <v>301</v>
      </c>
      <c r="CL44" t="s">
        <v>302</v>
      </c>
      <c r="CM44" t="s">
        <v>9</v>
      </c>
      <c r="CN44" s="2">
        <v>43244</v>
      </c>
      <c r="CO44" t="s">
        <v>292</v>
      </c>
      <c r="CP44" t="s">
        <v>303</v>
      </c>
      <c r="CQ44" t="s">
        <v>303</v>
      </c>
      <c r="CR44" t="s">
        <v>304</v>
      </c>
      <c r="CS44" t="s">
        <v>292</v>
      </c>
      <c r="CT44">
        <v>0</v>
      </c>
      <c r="CU44" t="b">
        <v>0</v>
      </c>
      <c r="CV44" t="s">
        <v>439</v>
      </c>
      <c r="CW44" t="s">
        <v>292</v>
      </c>
      <c r="CX44" t="s">
        <v>292</v>
      </c>
      <c r="CY44" t="b">
        <v>0</v>
      </c>
      <c r="CZ44" t="b">
        <v>0</v>
      </c>
      <c r="DC44" t="s">
        <v>488</v>
      </c>
      <c r="DJ44">
        <f>DataTable[HLD_MaturityDate] - DataTable[SEC_Issue_Date]</f>
        <v>182</v>
      </c>
    </row>
    <row r="45" spans="1:114" x14ac:dyDescent="0.2">
      <c r="A45" s="2">
        <v>43376</v>
      </c>
      <c r="B45" t="s">
        <v>6</v>
      </c>
      <c r="C45" t="s">
        <v>7</v>
      </c>
      <c r="D45" t="s">
        <v>16</v>
      </c>
      <c r="F45" t="s">
        <v>24</v>
      </c>
      <c r="H45" t="s">
        <v>468</v>
      </c>
      <c r="J45" t="s">
        <v>462</v>
      </c>
      <c r="N45" s="2">
        <v>43426</v>
      </c>
      <c r="O45">
        <v>50</v>
      </c>
      <c r="Q45">
        <v>1.2549999999999999</v>
      </c>
      <c r="T45">
        <v>3993272160</v>
      </c>
      <c r="V45">
        <v>3993125640</v>
      </c>
      <c r="W45">
        <v>0.13402800000000001</v>
      </c>
      <c r="X45">
        <v>4000000000</v>
      </c>
      <c r="Z45">
        <v>3987252078.1799998</v>
      </c>
      <c r="AA45">
        <v>1.282381</v>
      </c>
      <c r="AB45">
        <v>5.3410019099999997E-2</v>
      </c>
      <c r="AC45" t="s">
        <v>24</v>
      </c>
      <c r="AE45" t="s">
        <v>469</v>
      </c>
      <c r="AF45" t="s">
        <v>489</v>
      </c>
      <c r="AG45" t="s">
        <v>489</v>
      </c>
      <c r="AH45" t="s">
        <v>330</v>
      </c>
      <c r="AI45" t="s">
        <v>468</v>
      </c>
      <c r="AJ45" t="s">
        <v>464</v>
      </c>
      <c r="AK45" t="s">
        <v>16</v>
      </c>
      <c r="AM45" t="s">
        <v>405</v>
      </c>
      <c r="AN45" t="s">
        <v>292</v>
      </c>
      <c r="AO45" t="s">
        <v>292</v>
      </c>
      <c r="AP45" t="s">
        <v>434</v>
      </c>
      <c r="AQ45" t="s">
        <v>318</v>
      </c>
      <c r="AR45" t="s">
        <v>292</v>
      </c>
      <c r="AS45" t="s">
        <v>292</v>
      </c>
      <c r="AT45" t="s">
        <v>334</v>
      </c>
      <c r="AU45" t="s">
        <v>292</v>
      </c>
      <c r="AV45" t="s">
        <v>435</v>
      </c>
      <c r="AY45" t="s">
        <v>471</v>
      </c>
      <c r="AZ45" t="s">
        <v>472</v>
      </c>
      <c r="BA45" t="s">
        <v>292</v>
      </c>
      <c r="BB45" t="s">
        <v>292</v>
      </c>
      <c r="BC45" t="s">
        <v>292</v>
      </c>
      <c r="BD45" t="s">
        <v>292</v>
      </c>
      <c r="BE45" t="s">
        <v>292</v>
      </c>
      <c r="BF45" t="s">
        <v>292</v>
      </c>
      <c r="CK45" t="s">
        <v>301</v>
      </c>
      <c r="CL45" t="s">
        <v>302</v>
      </c>
      <c r="CM45" t="s">
        <v>9</v>
      </c>
      <c r="CN45" s="2">
        <v>43335</v>
      </c>
      <c r="CO45" t="s">
        <v>292</v>
      </c>
      <c r="CP45" t="s">
        <v>303</v>
      </c>
      <c r="CQ45" t="s">
        <v>303</v>
      </c>
      <c r="CR45" t="s">
        <v>304</v>
      </c>
      <c r="CS45" t="s">
        <v>292</v>
      </c>
      <c r="CT45">
        <v>0</v>
      </c>
      <c r="CU45" t="b">
        <v>0</v>
      </c>
      <c r="CV45" t="s">
        <v>439</v>
      </c>
      <c r="CW45" t="s">
        <v>292</v>
      </c>
      <c r="CX45" t="s">
        <v>292</v>
      </c>
      <c r="CY45" t="b">
        <v>0</v>
      </c>
      <c r="CZ45" t="b">
        <v>0</v>
      </c>
      <c r="DC45" t="s">
        <v>490</v>
      </c>
      <c r="DJ45">
        <f>DataTable[HLD_MaturityDate] - DataTable[SEC_Issue_Date]</f>
        <v>91</v>
      </c>
    </row>
    <row r="46" spans="1:114" x14ac:dyDescent="0.2">
      <c r="A46" s="2">
        <v>43376</v>
      </c>
      <c r="B46" t="s">
        <v>6</v>
      </c>
      <c r="C46" t="s">
        <v>7</v>
      </c>
      <c r="D46" t="s">
        <v>16</v>
      </c>
      <c r="F46" t="s">
        <v>491</v>
      </c>
      <c r="H46" t="s">
        <v>468</v>
      </c>
      <c r="J46" t="s">
        <v>462</v>
      </c>
      <c r="N46" s="2">
        <v>43433</v>
      </c>
      <c r="O46">
        <v>57</v>
      </c>
      <c r="Q46">
        <v>1.1346480000000001</v>
      </c>
      <c r="T46">
        <v>1445483665.5999999</v>
      </c>
      <c r="V46">
        <v>1445483665.5999999</v>
      </c>
      <c r="W46">
        <v>0.15312899999999999</v>
      </c>
      <c r="X46">
        <v>1448000000</v>
      </c>
      <c r="Z46">
        <v>1444440054.1400001</v>
      </c>
      <c r="AA46">
        <v>1.1346480000000001</v>
      </c>
      <c r="AB46">
        <v>1.9333345500000002E-2</v>
      </c>
      <c r="AC46" t="s">
        <v>491</v>
      </c>
      <c r="AE46" t="s">
        <v>469</v>
      </c>
      <c r="AF46" t="s">
        <v>492</v>
      </c>
      <c r="AG46" t="s">
        <v>492</v>
      </c>
      <c r="AH46" t="s">
        <v>330</v>
      </c>
      <c r="AI46" t="s">
        <v>468</v>
      </c>
      <c r="AJ46" t="s">
        <v>464</v>
      </c>
      <c r="AK46" t="s">
        <v>16</v>
      </c>
      <c r="AM46" t="s">
        <v>405</v>
      </c>
      <c r="AN46" t="s">
        <v>292</v>
      </c>
      <c r="AO46" t="s">
        <v>292</v>
      </c>
      <c r="AP46" t="s">
        <v>434</v>
      </c>
      <c r="AQ46" t="s">
        <v>318</v>
      </c>
      <c r="AR46" t="s">
        <v>292</v>
      </c>
      <c r="AS46" t="s">
        <v>292</v>
      </c>
      <c r="AT46" t="s">
        <v>334</v>
      </c>
      <c r="AU46" t="s">
        <v>292</v>
      </c>
      <c r="AV46" t="s">
        <v>435</v>
      </c>
      <c r="AY46" t="s">
        <v>471</v>
      </c>
      <c r="AZ46" t="s">
        <v>472</v>
      </c>
      <c r="BA46" t="s">
        <v>292</v>
      </c>
      <c r="BB46" t="s">
        <v>292</v>
      </c>
      <c r="BC46" t="s">
        <v>292</v>
      </c>
      <c r="BD46" t="s">
        <v>292</v>
      </c>
      <c r="BE46" t="s">
        <v>292</v>
      </c>
      <c r="BF46" t="s">
        <v>292</v>
      </c>
      <c r="CK46" t="s">
        <v>301</v>
      </c>
      <c r="CL46" t="s">
        <v>302</v>
      </c>
      <c r="CM46" t="s">
        <v>9</v>
      </c>
      <c r="CN46" s="2">
        <v>43251</v>
      </c>
      <c r="CO46" t="s">
        <v>292</v>
      </c>
      <c r="CP46" t="s">
        <v>303</v>
      </c>
      <c r="CQ46" t="s">
        <v>303</v>
      </c>
      <c r="CR46" t="s">
        <v>304</v>
      </c>
      <c r="CS46" t="s">
        <v>292</v>
      </c>
      <c r="CT46">
        <v>0</v>
      </c>
      <c r="CU46" t="b">
        <v>0</v>
      </c>
      <c r="CV46" t="s">
        <v>439</v>
      </c>
      <c r="CW46" t="s">
        <v>292</v>
      </c>
      <c r="CX46" t="s">
        <v>292</v>
      </c>
      <c r="CY46" t="b">
        <v>0</v>
      </c>
      <c r="CZ46" t="b">
        <v>0</v>
      </c>
      <c r="DC46" t="s">
        <v>493</v>
      </c>
      <c r="DJ46">
        <f>DataTable[HLD_MaturityDate] - DataTable[SEC_Issue_Date]</f>
        <v>182</v>
      </c>
    </row>
    <row r="47" spans="1:114" x14ac:dyDescent="0.2">
      <c r="A47" s="2">
        <v>43376</v>
      </c>
      <c r="B47" t="s">
        <v>6</v>
      </c>
      <c r="C47" t="s">
        <v>7</v>
      </c>
      <c r="D47" t="s">
        <v>16</v>
      </c>
      <c r="F47" t="s">
        <v>25</v>
      </c>
      <c r="H47" t="s">
        <v>468</v>
      </c>
      <c r="J47" t="s">
        <v>462</v>
      </c>
      <c r="N47" s="2">
        <v>43433</v>
      </c>
      <c r="O47">
        <v>57</v>
      </c>
      <c r="Q47">
        <v>1.19</v>
      </c>
      <c r="T47">
        <v>2994532710</v>
      </c>
      <c r="V47">
        <v>2994289170</v>
      </c>
      <c r="W47">
        <v>0.153145</v>
      </c>
      <c r="X47">
        <v>3000000000</v>
      </c>
      <c r="Z47">
        <v>2990730944.1399999</v>
      </c>
      <c r="AA47">
        <v>1.2431099999999999</v>
      </c>
      <c r="AB47">
        <v>4.0051877899999998E-2</v>
      </c>
      <c r="AC47" t="s">
        <v>25</v>
      </c>
      <c r="AE47" t="s">
        <v>469</v>
      </c>
      <c r="AF47" t="s">
        <v>494</v>
      </c>
      <c r="AG47" t="s">
        <v>494</v>
      </c>
      <c r="AH47" t="s">
        <v>330</v>
      </c>
      <c r="AI47" t="s">
        <v>468</v>
      </c>
      <c r="AJ47" t="s">
        <v>464</v>
      </c>
      <c r="AK47" t="s">
        <v>16</v>
      </c>
      <c r="AM47" t="s">
        <v>405</v>
      </c>
      <c r="AN47" t="s">
        <v>292</v>
      </c>
      <c r="AO47" t="s">
        <v>292</v>
      </c>
      <c r="AP47" t="s">
        <v>434</v>
      </c>
      <c r="AQ47" t="s">
        <v>318</v>
      </c>
      <c r="AR47" t="s">
        <v>292</v>
      </c>
      <c r="AS47" t="s">
        <v>292</v>
      </c>
      <c r="AT47" t="s">
        <v>334</v>
      </c>
      <c r="AU47" t="s">
        <v>292</v>
      </c>
      <c r="AV47" t="s">
        <v>435</v>
      </c>
      <c r="AY47" t="s">
        <v>471</v>
      </c>
      <c r="AZ47" t="s">
        <v>472</v>
      </c>
      <c r="BA47" t="s">
        <v>292</v>
      </c>
      <c r="BB47" t="s">
        <v>292</v>
      </c>
      <c r="BC47" t="s">
        <v>292</v>
      </c>
      <c r="BD47" t="s">
        <v>292</v>
      </c>
      <c r="BE47" t="s">
        <v>292</v>
      </c>
      <c r="BF47" t="s">
        <v>292</v>
      </c>
      <c r="CK47" t="s">
        <v>301</v>
      </c>
      <c r="CL47" t="s">
        <v>302</v>
      </c>
      <c r="CM47" t="s">
        <v>9</v>
      </c>
      <c r="CN47" s="2">
        <v>43342</v>
      </c>
      <c r="CO47" t="s">
        <v>292</v>
      </c>
      <c r="CP47" t="s">
        <v>303</v>
      </c>
      <c r="CQ47" t="s">
        <v>303</v>
      </c>
      <c r="CR47" t="s">
        <v>304</v>
      </c>
      <c r="CS47" t="s">
        <v>292</v>
      </c>
      <c r="CT47">
        <v>0</v>
      </c>
      <c r="CU47" t="b">
        <v>0</v>
      </c>
      <c r="CV47" t="s">
        <v>439</v>
      </c>
      <c r="CW47" t="s">
        <v>292</v>
      </c>
      <c r="CX47" t="s">
        <v>292</v>
      </c>
      <c r="CY47" t="b">
        <v>0</v>
      </c>
      <c r="CZ47" t="b">
        <v>0</v>
      </c>
      <c r="DC47" t="s">
        <v>495</v>
      </c>
      <c r="DJ47">
        <f>DataTable[HLD_MaturityDate] - DataTable[SEC_Issue_Date]</f>
        <v>91</v>
      </c>
    </row>
    <row r="48" spans="1:114" x14ac:dyDescent="0.2">
      <c r="A48" s="2">
        <v>43376</v>
      </c>
      <c r="B48" t="s">
        <v>6</v>
      </c>
      <c r="C48" t="s">
        <v>7</v>
      </c>
      <c r="D48" t="s">
        <v>16</v>
      </c>
      <c r="F48" t="s">
        <v>26</v>
      </c>
      <c r="H48" t="s">
        <v>468</v>
      </c>
      <c r="J48" t="s">
        <v>462</v>
      </c>
      <c r="N48" s="2">
        <v>43377</v>
      </c>
      <c r="O48">
        <v>1</v>
      </c>
      <c r="Q48">
        <v>1.1299999999999999</v>
      </c>
      <c r="T48">
        <v>5000000</v>
      </c>
      <c r="V48">
        <v>5000000</v>
      </c>
      <c r="W48">
        <v>2.7399999999999998E-3</v>
      </c>
      <c r="X48">
        <v>5000000</v>
      </c>
      <c r="Z48">
        <v>4998452.55</v>
      </c>
      <c r="AA48">
        <v>1.1299999999999999</v>
      </c>
      <c r="AB48">
        <v>6.6874999999999999E-5</v>
      </c>
      <c r="AC48" t="s">
        <v>26</v>
      </c>
      <c r="AE48" t="s">
        <v>469</v>
      </c>
      <c r="AF48" t="s">
        <v>496</v>
      </c>
      <c r="AG48" t="s">
        <v>496</v>
      </c>
      <c r="AH48" t="s">
        <v>330</v>
      </c>
      <c r="AI48" t="s">
        <v>468</v>
      </c>
      <c r="AJ48" t="s">
        <v>464</v>
      </c>
      <c r="AK48" t="s">
        <v>16</v>
      </c>
      <c r="AM48" t="s">
        <v>405</v>
      </c>
      <c r="AN48" t="s">
        <v>292</v>
      </c>
      <c r="AO48" t="s">
        <v>292</v>
      </c>
      <c r="AP48" t="s">
        <v>434</v>
      </c>
      <c r="AQ48" t="s">
        <v>318</v>
      </c>
      <c r="AR48" t="s">
        <v>292</v>
      </c>
      <c r="AS48" t="s">
        <v>292</v>
      </c>
      <c r="AT48" t="s">
        <v>334</v>
      </c>
      <c r="AU48" t="s">
        <v>292</v>
      </c>
      <c r="AV48" t="s">
        <v>435</v>
      </c>
      <c r="AY48" t="s">
        <v>471</v>
      </c>
      <c r="AZ48" t="s">
        <v>472</v>
      </c>
      <c r="BA48" t="s">
        <v>292</v>
      </c>
      <c r="BB48" t="s">
        <v>292</v>
      </c>
      <c r="BC48" t="s">
        <v>292</v>
      </c>
      <c r="BD48" t="s">
        <v>292</v>
      </c>
      <c r="BE48" t="s">
        <v>292</v>
      </c>
      <c r="BF48" t="s">
        <v>292</v>
      </c>
      <c r="CK48" t="s">
        <v>301</v>
      </c>
      <c r="CL48" t="s">
        <v>302</v>
      </c>
      <c r="CM48" t="s">
        <v>9</v>
      </c>
      <c r="CN48" s="2">
        <v>43195</v>
      </c>
      <c r="CO48" t="s">
        <v>292</v>
      </c>
      <c r="CP48" t="s">
        <v>303</v>
      </c>
      <c r="CQ48" t="s">
        <v>303</v>
      </c>
      <c r="CR48" t="s">
        <v>304</v>
      </c>
      <c r="CS48" t="s">
        <v>292</v>
      </c>
      <c r="CT48">
        <v>0</v>
      </c>
      <c r="CU48" t="b">
        <v>0</v>
      </c>
      <c r="CV48" t="s">
        <v>439</v>
      </c>
      <c r="CW48" t="s">
        <v>292</v>
      </c>
      <c r="CX48" t="s">
        <v>292</v>
      </c>
      <c r="CY48" t="b">
        <v>0</v>
      </c>
      <c r="CZ48" t="b">
        <v>0</v>
      </c>
      <c r="DC48" t="s">
        <v>497</v>
      </c>
      <c r="DJ48">
        <f>DataTable[HLD_MaturityDate] - DataTable[SEC_Issue_Date]</f>
        <v>182</v>
      </c>
    </row>
    <row r="49" spans="1:114" x14ac:dyDescent="0.2">
      <c r="A49" s="2">
        <v>43376</v>
      </c>
      <c r="B49" t="s">
        <v>6</v>
      </c>
      <c r="C49" t="s">
        <v>7</v>
      </c>
      <c r="D49" t="s">
        <v>16</v>
      </c>
      <c r="F49" t="s">
        <v>27</v>
      </c>
      <c r="H49" t="s">
        <v>468</v>
      </c>
      <c r="J49" t="s">
        <v>462</v>
      </c>
      <c r="N49" s="2">
        <v>43377</v>
      </c>
      <c r="O49">
        <v>1</v>
      </c>
      <c r="Q49">
        <v>1.2999099999999999</v>
      </c>
      <c r="T49">
        <v>2947000000</v>
      </c>
      <c r="V49">
        <v>2947000000</v>
      </c>
      <c r="W49">
        <v>2.7399999999999998E-3</v>
      </c>
      <c r="X49">
        <v>2947000000</v>
      </c>
      <c r="Z49">
        <v>2937754154.4299998</v>
      </c>
      <c r="AA49">
        <v>1.37025</v>
      </c>
      <c r="AB49">
        <v>3.94161279E-2</v>
      </c>
      <c r="AC49" t="s">
        <v>27</v>
      </c>
      <c r="AE49" t="s">
        <v>469</v>
      </c>
      <c r="AF49" t="s">
        <v>498</v>
      </c>
      <c r="AG49" t="s">
        <v>498</v>
      </c>
      <c r="AH49" t="s">
        <v>330</v>
      </c>
      <c r="AI49" t="s">
        <v>468</v>
      </c>
      <c r="AJ49" t="s">
        <v>464</v>
      </c>
      <c r="AK49" t="s">
        <v>16</v>
      </c>
      <c r="AM49" t="s">
        <v>405</v>
      </c>
      <c r="AN49" t="s">
        <v>292</v>
      </c>
      <c r="AO49" t="s">
        <v>292</v>
      </c>
      <c r="AP49" t="s">
        <v>434</v>
      </c>
      <c r="AQ49" t="s">
        <v>318</v>
      </c>
      <c r="AR49" t="s">
        <v>292</v>
      </c>
      <c r="AS49" t="s">
        <v>292</v>
      </c>
      <c r="AT49" t="s">
        <v>334</v>
      </c>
      <c r="AU49" t="s">
        <v>292</v>
      </c>
      <c r="AV49" t="s">
        <v>435</v>
      </c>
      <c r="AY49" t="s">
        <v>471</v>
      </c>
      <c r="AZ49" t="s">
        <v>472</v>
      </c>
      <c r="BA49" t="s">
        <v>292</v>
      </c>
      <c r="BB49" t="s">
        <v>292</v>
      </c>
      <c r="BC49" t="s">
        <v>292</v>
      </c>
      <c r="BD49" t="s">
        <v>292</v>
      </c>
      <c r="BE49" t="s">
        <v>292</v>
      </c>
      <c r="BF49" t="s">
        <v>292</v>
      </c>
      <c r="CK49" t="s">
        <v>301</v>
      </c>
      <c r="CL49" t="s">
        <v>302</v>
      </c>
      <c r="CM49" t="s">
        <v>9</v>
      </c>
      <c r="CN49" s="2">
        <v>43286</v>
      </c>
      <c r="CO49" t="s">
        <v>292</v>
      </c>
      <c r="CP49" t="s">
        <v>303</v>
      </c>
      <c r="CQ49" t="s">
        <v>303</v>
      </c>
      <c r="CR49" t="s">
        <v>304</v>
      </c>
      <c r="CS49" t="s">
        <v>292</v>
      </c>
      <c r="CT49">
        <v>0</v>
      </c>
      <c r="CU49" t="b">
        <v>0</v>
      </c>
      <c r="CV49" t="s">
        <v>439</v>
      </c>
      <c r="CW49" t="s">
        <v>292</v>
      </c>
      <c r="CX49" t="s">
        <v>292</v>
      </c>
      <c r="CY49" t="b">
        <v>0</v>
      </c>
      <c r="CZ49" t="b">
        <v>0</v>
      </c>
      <c r="DC49" t="s">
        <v>499</v>
      </c>
      <c r="DJ49">
        <f>DataTable[HLD_MaturityDate] - DataTable[SEC_Issue_Date]</f>
        <v>91</v>
      </c>
    </row>
    <row r="50" spans="1:114" x14ac:dyDescent="0.2">
      <c r="A50" s="2">
        <v>43376</v>
      </c>
      <c r="B50" t="s">
        <v>6</v>
      </c>
      <c r="C50" t="s">
        <v>7</v>
      </c>
      <c r="D50" t="s">
        <v>16</v>
      </c>
      <c r="F50" t="s">
        <v>28</v>
      </c>
      <c r="H50" t="s">
        <v>468</v>
      </c>
      <c r="J50" t="s">
        <v>462</v>
      </c>
      <c r="N50" s="2">
        <v>43382</v>
      </c>
      <c r="O50">
        <v>6</v>
      </c>
      <c r="Q50">
        <v>1.16547</v>
      </c>
      <c r="T50">
        <v>1262798387.3099999</v>
      </c>
      <c r="V50">
        <v>1262798387.3099999</v>
      </c>
      <c r="W50">
        <v>1.3697000000000001E-2</v>
      </c>
      <c r="X50">
        <v>1263000000</v>
      </c>
      <c r="Z50">
        <v>1262435653.71</v>
      </c>
      <c r="AA50">
        <v>1.16547</v>
      </c>
      <c r="AB50">
        <v>1.68899297E-2</v>
      </c>
      <c r="AC50" t="s">
        <v>28</v>
      </c>
      <c r="AE50" t="s">
        <v>469</v>
      </c>
      <c r="AF50" t="s">
        <v>500</v>
      </c>
      <c r="AG50" t="s">
        <v>500</v>
      </c>
      <c r="AH50" t="s">
        <v>330</v>
      </c>
      <c r="AI50" t="s">
        <v>468</v>
      </c>
      <c r="AJ50" t="s">
        <v>464</v>
      </c>
      <c r="AK50" t="s">
        <v>16</v>
      </c>
      <c r="AM50" t="s">
        <v>405</v>
      </c>
      <c r="AN50" t="s">
        <v>292</v>
      </c>
      <c r="AO50" t="s">
        <v>292</v>
      </c>
      <c r="AP50" t="s">
        <v>434</v>
      </c>
      <c r="AQ50" t="s">
        <v>318</v>
      </c>
      <c r="AR50" t="s">
        <v>292</v>
      </c>
      <c r="AS50" t="s">
        <v>292</v>
      </c>
      <c r="AT50" t="s">
        <v>334</v>
      </c>
      <c r="AU50" t="s">
        <v>292</v>
      </c>
      <c r="AV50" t="s">
        <v>435</v>
      </c>
      <c r="AY50" t="s">
        <v>471</v>
      </c>
      <c r="AZ50" t="s">
        <v>472</v>
      </c>
      <c r="BA50" t="s">
        <v>292</v>
      </c>
      <c r="BB50" t="s">
        <v>292</v>
      </c>
      <c r="BC50" t="s">
        <v>292</v>
      </c>
      <c r="BD50" t="s">
        <v>292</v>
      </c>
      <c r="BE50" t="s">
        <v>292</v>
      </c>
      <c r="BF50" t="s">
        <v>292</v>
      </c>
      <c r="CK50" t="s">
        <v>301</v>
      </c>
      <c r="CL50" t="s">
        <v>302</v>
      </c>
      <c r="CM50" t="s">
        <v>9</v>
      </c>
      <c r="CN50" s="2">
        <v>43368</v>
      </c>
      <c r="CO50" t="s">
        <v>292</v>
      </c>
      <c r="CP50" t="s">
        <v>303</v>
      </c>
      <c r="CQ50" t="s">
        <v>303</v>
      </c>
      <c r="CR50" t="s">
        <v>304</v>
      </c>
      <c r="CS50" t="s">
        <v>292</v>
      </c>
      <c r="CT50">
        <v>0</v>
      </c>
      <c r="CU50" t="b">
        <v>0</v>
      </c>
      <c r="CV50" t="s">
        <v>439</v>
      </c>
      <c r="CW50" t="s">
        <v>292</v>
      </c>
      <c r="CX50" t="s">
        <v>292</v>
      </c>
      <c r="CY50" t="b">
        <v>0</v>
      </c>
      <c r="CZ50" t="b">
        <v>0</v>
      </c>
      <c r="DC50" t="s">
        <v>501</v>
      </c>
      <c r="DJ50">
        <f>DataTable[HLD_MaturityDate] - DataTable[SEC_Issue_Date]</f>
        <v>14</v>
      </c>
    </row>
    <row r="51" spans="1:114" x14ac:dyDescent="0.2">
      <c r="A51" s="2">
        <v>43376</v>
      </c>
      <c r="B51" t="s">
        <v>6</v>
      </c>
      <c r="C51" t="s">
        <v>7</v>
      </c>
      <c r="D51" t="s">
        <v>16</v>
      </c>
      <c r="F51" t="s">
        <v>29</v>
      </c>
      <c r="H51" t="s">
        <v>468</v>
      </c>
      <c r="J51" t="s">
        <v>462</v>
      </c>
      <c r="N51" s="2">
        <v>43384</v>
      </c>
      <c r="O51">
        <v>8</v>
      </c>
      <c r="Q51">
        <v>1.1682079999999999</v>
      </c>
      <c r="T51">
        <v>758829991.59000003</v>
      </c>
      <c r="V51">
        <v>758829991.59000003</v>
      </c>
      <c r="W51">
        <v>1.9174E-2</v>
      </c>
      <c r="X51">
        <v>759000000</v>
      </c>
      <c r="Z51">
        <v>758633687.57000005</v>
      </c>
      <c r="AA51">
        <v>1.1682079999999999</v>
      </c>
      <c r="AB51">
        <v>1.0149351900000001E-2</v>
      </c>
      <c r="AC51" t="s">
        <v>29</v>
      </c>
      <c r="AE51" t="s">
        <v>469</v>
      </c>
      <c r="AF51" t="s">
        <v>502</v>
      </c>
      <c r="AG51" t="s">
        <v>502</v>
      </c>
      <c r="AH51" t="s">
        <v>330</v>
      </c>
      <c r="AI51" t="s">
        <v>468</v>
      </c>
      <c r="AJ51" t="s">
        <v>464</v>
      </c>
      <c r="AK51" t="s">
        <v>16</v>
      </c>
      <c r="AM51" t="s">
        <v>405</v>
      </c>
      <c r="AN51" t="s">
        <v>292</v>
      </c>
      <c r="AO51" t="s">
        <v>292</v>
      </c>
      <c r="AP51" t="s">
        <v>434</v>
      </c>
      <c r="AQ51" t="s">
        <v>318</v>
      </c>
      <c r="AR51" t="s">
        <v>292</v>
      </c>
      <c r="AS51" t="s">
        <v>292</v>
      </c>
      <c r="AT51" t="s">
        <v>334</v>
      </c>
      <c r="AU51" t="s">
        <v>292</v>
      </c>
      <c r="AV51" t="s">
        <v>435</v>
      </c>
      <c r="AY51" t="s">
        <v>471</v>
      </c>
      <c r="AZ51" t="s">
        <v>472</v>
      </c>
      <c r="BA51" t="s">
        <v>292</v>
      </c>
      <c r="BB51" t="s">
        <v>292</v>
      </c>
      <c r="BC51" t="s">
        <v>292</v>
      </c>
      <c r="BD51" t="s">
        <v>292</v>
      </c>
      <c r="BE51" t="s">
        <v>292</v>
      </c>
      <c r="BF51" t="s">
        <v>292</v>
      </c>
      <c r="CK51" t="s">
        <v>301</v>
      </c>
      <c r="CL51" t="s">
        <v>302</v>
      </c>
      <c r="CM51" t="s">
        <v>9</v>
      </c>
      <c r="CN51" s="2">
        <v>43202</v>
      </c>
      <c r="CO51" t="s">
        <v>292</v>
      </c>
      <c r="CP51" t="s">
        <v>303</v>
      </c>
      <c r="CQ51" t="s">
        <v>303</v>
      </c>
      <c r="CR51" t="s">
        <v>304</v>
      </c>
      <c r="CS51" t="s">
        <v>292</v>
      </c>
      <c r="CT51">
        <v>0</v>
      </c>
      <c r="CU51" t="b">
        <v>0</v>
      </c>
      <c r="CV51" t="s">
        <v>439</v>
      </c>
      <c r="CW51" t="s">
        <v>292</v>
      </c>
      <c r="CX51" t="s">
        <v>292</v>
      </c>
      <c r="CY51" t="b">
        <v>0</v>
      </c>
      <c r="CZ51" t="b">
        <v>0</v>
      </c>
      <c r="DC51" t="s">
        <v>503</v>
      </c>
      <c r="DJ51">
        <f>DataTable[HLD_MaturityDate] - DataTable[SEC_Issue_Date]</f>
        <v>182</v>
      </c>
    </row>
    <row r="52" spans="1:114" x14ac:dyDescent="0.2">
      <c r="A52" s="2">
        <v>43376</v>
      </c>
      <c r="B52" t="s">
        <v>6</v>
      </c>
      <c r="C52" t="s">
        <v>7</v>
      </c>
      <c r="D52" t="s">
        <v>16</v>
      </c>
      <c r="F52" t="s">
        <v>30</v>
      </c>
      <c r="H52" t="s">
        <v>468</v>
      </c>
      <c r="J52" t="s">
        <v>462</v>
      </c>
      <c r="N52" s="2">
        <v>43384</v>
      </c>
      <c r="O52">
        <v>8</v>
      </c>
      <c r="Q52">
        <v>1.3136570000000001</v>
      </c>
      <c r="T52">
        <v>3647081178.2399998</v>
      </c>
      <c r="V52">
        <v>3647080849.9200001</v>
      </c>
      <c r="W52">
        <v>1.9174E-2</v>
      </c>
      <c r="X52">
        <v>3648000000</v>
      </c>
      <c r="Z52">
        <v>3637653594.2199998</v>
      </c>
      <c r="AA52">
        <v>1.3141229999999999</v>
      </c>
      <c r="AB52">
        <v>4.87797144E-2</v>
      </c>
      <c r="AC52" t="s">
        <v>30</v>
      </c>
      <c r="AE52" t="s">
        <v>469</v>
      </c>
      <c r="AF52" t="s">
        <v>504</v>
      </c>
      <c r="AG52" t="s">
        <v>504</v>
      </c>
      <c r="AH52" t="s">
        <v>330</v>
      </c>
      <c r="AI52" t="s">
        <v>468</v>
      </c>
      <c r="AJ52" t="s">
        <v>464</v>
      </c>
      <c r="AK52" t="s">
        <v>16</v>
      </c>
      <c r="AM52" t="s">
        <v>405</v>
      </c>
      <c r="AN52" t="s">
        <v>292</v>
      </c>
      <c r="AO52" t="s">
        <v>292</v>
      </c>
      <c r="AP52" t="s">
        <v>434</v>
      </c>
      <c r="AQ52" t="s">
        <v>318</v>
      </c>
      <c r="AR52" t="s">
        <v>292</v>
      </c>
      <c r="AS52" t="s">
        <v>292</v>
      </c>
      <c r="AT52" t="s">
        <v>334</v>
      </c>
      <c r="AU52" t="s">
        <v>292</v>
      </c>
      <c r="AV52" t="s">
        <v>435</v>
      </c>
      <c r="AY52" t="s">
        <v>471</v>
      </c>
      <c r="AZ52" t="s">
        <v>472</v>
      </c>
      <c r="BA52" t="s">
        <v>292</v>
      </c>
      <c r="BB52" t="s">
        <v>292</v>
      </c>
      <c r="BC52" t="s">
        <v>292</v>
      </c>
      <c r="BD52" t="s">
        <v>292</v>
      </c>
      <c r="BE52" t="s">
        <v>292</v>
      </c>
      <c r="BF52" t="s">
        <v>292</v>
      </c>
      <c r="CK52" t="s">
        <v>301</v>
      </c>
      <c r="CL52" t="s">
        <v>302</v>
      </c>
      <c r="CM52" t="s">
        <v>9</v>
      </c>
      <c r="CN52" s="2">
        <v>43293</v>
      </c>
      <c r="CO52" t="s">
        <v>292</v>
      </c>
      <c r="CP52" t="s">
        <v>303</v>
      </c>
      <c r="CQ52" t="s">
        <v>303</v>
      </c>
      <c r="CR52" t="s">
        <v>304</v>
      </c>
      <c r="CS52" t="s">
        <v>292</v>
      </c>
      <c r="CT52">
        <v>0</v>
      </c>
      <c r="CU52" t="b">
        <v>0</v>
      </c>
      <c r="CV52" t="s">
        <v>439</v>
      </c>
      <c r="CW52" t="s">
        <v>292</v>
      </c>
      <c r="CX52" t="s">
        <v>292</v>
      </c>
      <c r="CY52" t="b">
        <v>0</v>
      </c>
      <c r="CZ52" t="b">
        <v>0</v>
      </c>
      <c r="DC52" t="s">
        <v>505</v>
      </c>
      <c r="DJ52">
        <f>DataTable[HLD_MaturityDate] - DataTable[SEC_Issue_Date]</f>
        <v>91</v>
      </c>
    </row>
    <row r="53" spans="1:114" x14ac:dyDescent="0.2">
      <c r="A53" s="2">
        <v>43376</v>
      </c>
      <c r="B53" t="s">
        <v>6</v>
      </c>
      <c r="C53" t="s">
        <v>7</v>
      </c>
      <c r="D53" t="s">
        <v>16</v>
      </c>
      <c r="F53" t="s">
        <v>31</v>
      </c>
      <c r="H53" t="s">
        <v>468</v>
      </c>
      <c r="J53" t="s">
        <v>462</v>
      </c>
      <c r="N53" s="2">
        <v>43391</v>
      </c>
      <c r="O53">
        <v>15</v>
      </c>
      <c r="Q53">
        <v>1.1299999999999999</v>
      </c>
      <c r="T53">
        <v>377836235.27999997</v>
      </c>
      <c r="V53">
        <v>377836235.27999997</v>
      </c>
      <c r="W53">
        <v>3.8338999999999998E-2</v>
      </c>
      <c r="X53">
        <v>378000000</v>
      </c>
      <c r="Z53">
        <v>377723152.05000001</v>
      </c>
      <c r="AA53">
        <v>1.1299999999999999</v>
      </c>
      <c r="AB53">
        <v>5.0535600000000003E-3</v>
      </c>
      <c r="AC53" t="s">
        <v>31</v>
      </c>
      <c r="AE53" t="s">
        <v>469</v>
      </c>
      <c r="AF53" t="s">
        <v>506</v>
      </c>
      <c r="AG53" t="s">
        <v>506</v>
      </c>
      <c r="AH53" t="s">
        <v>330</v>
      </c>
      <c r="AI53" t="s">
        <v>468</v>
      </c>
      <c r="AJ53" t="s">
        <v>464</v>
      </c>
      <c r="AK53" t="s">
        <v>16</v>
      </c>
      <c r="AM53" t="s">
        <v>405</v>
      </c>
      <c r="AN53" t="s">
        <v>292</v>
      </c>
      <c r="AO53" t="s">
        <v>292</v>
      </c>
      <c r="AP53" t="s">
        <v>434</v>
      </c>
      <c r="AQ53" t="s">
        <v>318</v>
      </c>
      <c r="AR53" t="s">
        <v>292</v>
      </c>
      <c r="AS53" t="s">
        <v>292</v>
      </c>
      <c r="AT53" t="s">
        <v>334</v>
      </c>
      <c r="AU53" t="s">
        <v>292</v>
      </c>
      <c r="AV53" t="s">
        <v>435</v>
      </c>
      <c r="AY53" t="s">
        <v>471</v>
      </c>
      <c r="AZ53" t="s">
        <v>472</v>
      </c>
      <c r="BA53" t="s">
        <v>292</v>
      </c>
      <c r="BB53" t="s">
        <v>292</v>
      </c>
      <c r="BC53" t="s">
        <v>292</v>
      </c>
      <c r="BD53" t="s">
        <v>292</v>
      </c>
      <c r="BE53" t="s">
        <v>292</v>
      </c>
      <c r="BF53" t="s">
        <v>292</v>
      </c>
      <c r="CK53" t="s">
        <v>301</v>
      </c>
      <c r="CL53" t="s">
        <v>302</v>
      </c>
      <c r="CM53" t="s">
        <v>9</v>
      </c>
      <c r="CN53" s="2">
        <v>43209</v>
      </c>
      <c r="CO53" t="s">
        <v>292</v>
      </c>
      <c r="CP53" t="s">
        <v>303</v>
      </c>
      <c r="CQ53" t="s">
        <v>303</v>
      </c>
      <c r="CR53" t="s">
        <v>304</v>
      </c>
      <c r="CS53" t="s">
        <v>292</v>
      </c>
      <c r="CT53">
        <v>0</v>
      </c>
      <c r="CU53" t="b">
        <v>0</v>
      </c>
      <c r="CV53" t="s">
        <v>439</v>
      </c>
      <c r="CW53" t="s">
        <v>292</v>
      </c>
      <c r="CX53" t="s">
        <v>292</v>
      </c>
      <c r="CY53" t="b">
        <v>0</v>
      </c>
      <c r="CZ53" t="b">
        <v>0</v>
      </c>
      <c r="DC53" t="s">
        <v>507</v>
      </c>
      <c r="DJ53">
        <f>DataTable[HLD_MaturityDate] - DataTable[SEC_Issue_Date]</f>
        <v>182</v>
      </c>
    </row>
    <row r="54" spans="1:114" x14ac:dyDescent="0.2">
      <c r="A54" s="2">
        <v>43376</v>
      </c>
      <c r="B54" t="s">
        <v>6</v>
      </c>
      <c r="C54" t="s">
        <v>7</v>
      </c>
      <c r="D54" t="s">
        <v>16</v>
      </c>
      <c r="F54" t="s">
        <v>32</v>
      </c>
      <c r="H54" t="s">
        <v>468</v>
      </c>
      <c r="J54" t="s">
        <v>462</v>
      </c>
      <c r="N54" s="2">
        <v>43391</v>
      </c>
      <c r="O54">
        <v>15</v>
      </c>
      <c r="Q54">
        <v>1.302297</v>
      </c>
      <c r="T54">
        <v>2647677460.2600002</v>
      </c>
      <c r="V54">
        <v>2647652003.3699999</v>
      </c>
      <c r="W54">
        <v>3.8338999999999998E-2</v>
      </c>
      <c r="X54">
        <v>2649000000</v>
      </c>
      <c r="Z54">
        <v>2641712492.3200002</v>
      </c>
      <c r="AA54">
        <v>1.3273680000000001</v>
      </c>
      <c r="AB54">
        <v>3.5412688599999999E-2</v>
      </c>
      <c r="AC54" t="s">
        <v>32</v>
      </c>
      <c r="AE54" t="s">
        <v>469</v>
      </c>
      <c r="AF54" t="s">
        <v>508</v>
      </c>
      <c r="AG54" t="s">
        <v>508</v>
      </c>
      <c r="AH54" t="s">
        <v>330</v>
      </c>
      <c r="AI54" t="s">
        <v>468</v>
      </c>
      <c r="AJ54" t="s">
        <v>464</v>
      </c>
      <c r="AK54" t="s">
        <v>16</v>
      </c>
      <c r="AM54" t="s">
        <v>405</v>
      </c>
      <c r="AN54" t="s">
        <v>292</v>
      </c>
      <c r="AO54" t="s">
        <v>292</v>
      </c>
      <c r="AP54" t="s">
        <v>434</v>
      </c>
      <c r="AQ54" t="s">
        <v>318</v>
      </c>
      <c r="AR54" t="s">
        <v>292</v>
      </c>
      <c r="AS54" t="s">
        <v>292</v>
      </c>
      <c r="AT54" t="s">
        <v>334</v>
      </c>
      <c r="AU54" t="s">
        <v>292</v>
      </c>
      <c r="AV54" t="s">
        <v>435</v>
      </c>
      <c r="AY54" t="s">
        <v>471</v>
      </c>
      <c r="AZ54" t="s">
        <v>472</v>
      </c>
      <c r="BA54" t="s">
        <v>292</v>
      </c>
      <c r="BB54" t="s">
        <v>292</v>
      </c>
      <c r="BC54" t="s">
        <v>292</v>
      </c>
      <c r="BD54" t="s">
        <v>292</v>
      </c>
      <c r="BE54" t="s">
        <v>292</v>
      </c>
      <c r="BF54" t="s">
        <v>292</v>
      </c>
      <c r="CK54" t="s">
        <v>301</v>
      </c>
      <c r="CL54" t="s">
        <v>302</v>
      </c>
      <c r="CM54" t="s">
        <v>9</v>
      </c>
      <c r="CN54" s="2">
        <v>43300</v>
      </c>
      <c r="CO54" t="s">
        <v>292</v>
      </c>
      <c r="CP54" t="s">
        <v>303</v>
      </c>
      <c r="CQ54" t="s">
        <v>303</v>
      </c>
      <c r="CR54" t="s">
        <v>304</v>
      </c>
      <c r="CS54" t="s">
        <v>292</v>
      </c>
      <c r="CT54">
        <v>0</v>
      </c>
      <c r="CU54" t="b">
        <v>0</v>
      </c>
      <c r="CV54" t="s">
        <v>439</v>
      </c>
      <c r="CW54" t="s">
        <v>292</v>
      </c>
      <c r="CX54" t="s">
        <v>292</v>
      </c>
      <c r="CY54" t="b">
        <v>0</v>
      </c>
      <c r="CZ54" t="b">
        <v>0</v>
      </c>
      <c r="DC54" t="s">
        <v>509</v>
      </c>
      <c r="DJ54">
        <f>DataTable[HLD_MaturityDate] - DataTable[SEC_Issue_Date]</f>
        <v>91</v>
      </c>
    </row>
    <row r="55" spans="1:114" x14ac:dyDescent="0.2">
      <c r="A55" s="2">
        <v>43376</v>
      </c>
      <c r="B55" t="s">
        <v>6</v>
      </c>
      <c r="C55" t="s">
        <v>7</v>
      </c>
      <c r="D55" t="s">
        <v>16</v>
      </c>
      <c r="F55" t="s">
        <v>33</v>
      </c>
      <c r="H55" t="s">
        <v>468</v>
      </c>
      <c r="J55" t="s">
        <v>462</v>
      </c>
      <c r="N55" s="2">
        <v>43398</v>
      </c>
      <c r="O55">
        <v>22</v>
      </c>
      <c r="Q55">
        <v>1.1713070000000001</v>
      </c>
      <c r="T55">
        <v>741500300.10000002</v>
      </c>
      <c r="V55">
        <v>741500300.10000002</v>
      </c>
      <c r="W55">
        <v>5.7495999999999998E-2</v>
      </c>
      <c r="X55">
        <v>742000000</v>
      </c>
      <c r="Z55">
        <v>741277308.58000004</v>
      </c>
      <c r="AA55">
        <v>1.1713070000000001</v>
      </c>
      <c r="AB55">
        <v>9.9175671999999996E-3</v>
      </c>
      <c r="AC55" t="s">
        <v>33</v>
      </c>
      <c r="AE55" t="s">
        <v>469</v>
      </c>
      <c r="AF55" t="s">
        <v>510</v>
      </c>
      <c r="AG55" t="s">
        <v>510</v>
      </c>
      <c r="AH55" t="s">
        <v>330</v>
      </c>
      <c r="AI55" t="s">
        <v>468</v>
      </c>
      <c r="AJ55" t="s">
        <v>464</v>
      </c>
      <c r="AK55" t="s">
        <v>16</v>
      </c>
      <c r="AM55" t="s">
        <v>405</v>
      </c>
      <c r="AN55" t="s">
        <v>292</v>
      </c>
      <c r="AO55" t="s">
        <v>292</v>
      </c>
      <c r="AP55" t="s">
        <v>434</v>
      </c>
      <c r="AQ55" t="s">
        <v>318</v>
      </c>
      <c r="AR55" t="s">
        <v>292</v>
      </c>
      <c r="AS55" t="s">
        <v>292</v>
      </c>
      <c r="AT55" t="s">
        <v>334</v>
      </c>
      <c r="AU55" t="s">
        <v>292</v>
      </c>
      <c r="AV55" t="s">
        <v>435</v>
      </c>
      <c r="AY55" t="s">
        <v>471</v>
      </c>
      <c r="AZ55" t="s">
        <v>472</v>
      </c>
      <c r="BA55" t="s">
        <v>292</v>
      </c>
      <c r="BB55" t="s">
        <v>292</v>
      </c>
      <c r="BC55" t="s">
        <v>292</v>
      </c>
      <c r="BD55" t="s">
        <v>292</v>
      </c>
      <c r="BE55" t="s">
        <v>292</v>
      </c>
      <c r="BF55" t="s">
        <v>292</v>
      </c>
      <c r="CK55" t="s">
        <v>301</v>
      </c>
      <c r="CL55" t="s">
        <v>302</v>
      </c>
      <c r="CM55" t="s">
        <v>9</v>
      </c>
      <c r="CN55" s="2">
        <v>43216</v>
      </c>
      <c r="CO55" t="s">
        <v>292</v>
      </c>
      <c r="CP55" t="s">
        <v>303</v>
      </c>
      <c r="CQ55" t="s">
        <v>303</v>
      </c>
      <c r="CR55" t="s">
        <v>304</v>
      </c>
      <c r="CS55" t="s">
        <v>292</v>
      </c>
      <c r="CT55">
        <v>0</v>
      </c>
      <c r="CU55" t="b">
        <v>0</v>
      </c>
      <c r="CV55" t="s">
        <v>439</v>
      </c>
      <c r="CW55" t="s">
        <v>292</v>
      </c>
      <c r="CX55" t="s">
        <v>292</v>
      </c>
      <c r="CY55" t="b">
        <v>0</v>
      </c>
      <c r="CZ55" t="b">
        <v>0</v>
      </c>
      <c r="DC55" t="s">
        <v>511</v>
      </c>
      <c r="DJ55">
        <f>DataTable[HLD_MaturityDate] - DataTable[SEC_Issue_Date]</f>
        <v>182</v>
      </c>
    </row>
    <row r="56" spans="1:114" x14ac:dyDescent="0.2">
      <c r="A56" s="2">
        <v>43376</v>
      </c>
      <c r="B56" t="s">
        <v>6</v>
      </c>
      <c r="C56" t="s">
        <v>7</v>
      </c>
      <c r="D56" t="s">
        <v>16</v>
      </c>
      <c r="F56" t="s">
        <v>34</v>
      </c>
      <c r="H56" t="s">
        <v>468</v>
      </c>
      <c r="J56" t="s">
        <v>462</v>
      </c>
      <c r="N56" s="2">
        <v>43398</v>
      </c>
      <c r="O56">
        <v>22</v>
      </c>
      <c r="Q56">
        <v>1.240003</v>
      </c>
      <c r="T56">
        <v>3595434913.8400002</v>
      </c>
      <c r="V56">
        <v>3595347410.48</v>
      </c>
      <c r="W56">
        <v>5.7495999999999998E-2</v>
      </c>
      <c r="X56">
        <v>3598000000</v>
      </c>
      <c r="Z56">
        <v>3588331300.0900002</v>
      </c>
      <c r="AA56">
        <v>1.2823359999999999</v>
      </c>
      <c r="AB56">
        <v>4.8088945500000001E-2</v>
      </c>
      <c r="AC56" t="s">
        <v>34</v>
      </c>
      <c r="AE56" t="s">
        <v>469</v>
      </c>
      <c r="AF56" t="s">
        <v>512</v>
      </c>
      <c r="AG56" t="s">
        <v>512</v>
      </c>
      <c r="AH56" t="s">
        <v>330</v>
      </c>
      <c r="AI56" t="s">
        <v>468</v>
      </c>
      <c r="AJ56" t="s">
        <v>464</v>
      </c>
      <c r="AK56" t="s">
        <v>16</v>
      </c>
      <c r="AM56" t="s">
        <v>405</v>
      </c>
      <c r="AN56" t="s">
        <v>292</v>
      </c>
      <c r="AO56" t="s">
        <v>292</v>
      </c>
      <c r="AP56" t="s">
        <v>434</v>
      </c>
      <c r="AQ56" t="s">
        <v>318</v>
      </c>
      <c r="AR56" t="s">
        <v>292</v>
      </c>
      <c r="AS56" t="s">
        <v>292</v>
      </c>
      <c r="AT56" t="s">
        <v>334</v>
      </c>
      <c r="AU56" t="s">
        <v>292</v>
      </c>
      <c r="AV56" t="s">
        <v>435</v>
      </c>
      <c r="AY56" t="s">
        <v>471</v>
      </c>
      <c r="AZ56" t="s">
        <v>472</v>
      </c>
      <c r="BA56" t="s">
        <v>292</v>
      </c>
      <c r="BB56" t="s">
        <v>292</v>
      </c>
      <c r="BC56" t="s">
        <v>292</v>
      </c>
      <c r="BD56" t="s">
        <v>292</v>
      </c>
      <c r="BE56" t="s">
        <v>292</v>
      </c>
      <c r="BF56" t="s">
        <v>292</v>
      </c>
      <c r="CK56" t="s">
        <v>301</v>
      </c>
      <c r="CL56" t="s">
        <v>302</v>
      </c>
      <c r="CM56" t="s">
        <v>9</v>
      </c>
      <c r="CN56" s="2">
        <v>43307</v>
      </c>
      <c r="CO56" t="s">
        <v>292</v>
      </c>
      <c r="CP56" t="s">
        <v>303</v>
      </c>
      <c r="CQ56" t="s">
        <v>303</v>
      </c>
      <c r="CR56" t="s">
        <v>304</v>
      </c>
      <c r="CS56" t="s">
        <v>292</v>
      </c>
      <c r="CT56">
        <v>0</v>
      </c>
      <c r="CU56" t="b">
        <v>0</v>
      </c>
      <c r="CV56" t="s">
        <v>439</v>
      </c>
      <c r="CW56" t="s">
        <v>292</v>
      </c>
      <c r="CX56" t="s">
        <v>292</v>
      </c>
      <c r="CY56" t="b">
        <v>0</v>
      </c>
      <c r="CZ56" t="b">
        <v>0</v>
      </c>
      <c r="DC56" t="s">
        <v>513</v>
      </c>
      <c r="DJ56">
        <f>DataTable[HLD_MaturityDate] - DataTable[SEC_Issue_Date]</f>
        <v>91</v>
      </c>
    </row>
    <row r="57" spans="1:114" x14ac:dyDescent="0.2">
      <c r="A57" s="2">
        <v>43376</v>
      </c>
      <c r="B57" t="s">
        <v>6</v>
      </c>
      <c r="C57" t="s">
        <v>7</v>
      </c>
      <c r="D57" t="s">
        <v>16</v>
      </c>
      <c r="F57" t="s">
        <v>35</v>
      </c>
      <c r="H57" t="s">
        <v>468</v>
      </c>
      <c r="J57" t="s">
        <v>462</v>
      </c>
      <c r="N57" s="2">
        <v>43468</v>
      </c>
      <c r="O57">
        <v>92</v>
      </c>
      <c r="Q57">
        <v>1.490442</v>
      </c>
      <c r="T57">
        <v>2988934109.27</v>
      </c>
      <c r="V57">
        <v>2988934109.27</v>
      </c>
      <c r="W57">
        <v>0.25205499999999997</v>
      </c>
      <c r="X57">
        <v>3000000000</v>
      </c>
      <c r="Z57">
        <v>2988934109.27</v>
      </c>
      <c r="AA57">
        <v>1.490442</v>
      </c>
      <c r="AB57">
        <v>3.9976996700000003E-2</v>
      </c>
      <c r="AC57" t="s">
        <v>35</v>
      </c>
      <c r="AE57" t="s">
        <v>514</v>
      </c>
      <c r="AF57" t="s">
        <v>515</v>
      </c>
      <c r="AG57" t="s">
        <v>515</v>
      </c>
      <c r="AH57" t="s">
        <v>330</v>
      </c>
      <c r="AI57" t="s">
        <v>468</v>
      </c>
      <c r="AJ57" t="s">
        <v>464</v>
      </c>
      <c r="AK57" t="s">
        <v>16</v>
      </c>
      <c r="AM57" t="s">
        <v>405</v>
      </c>
      <c r="AN57" t="s">
        <v>292</v>
      </c>
      <c r="AO57" t="s">
        <v>292</v>
      </c>
      <c r="AP57" t="s">
        <v>434</v>
      </c>
      <c r="AQ57" t="s">
        <v>318</v>
      </c>
      <c r="AR57" t="s">
        <v>292</v>
      </c>
      <c r="AS57" t="s">
        <v>292</v>
      </c>
      <c r="AT57" t="s">
        <v>334</v>
      </c>
      <c r="AU57" t="s">
        <v>292</v>
      </c>
      <c r="AV57" t="s">
        <v>435</v>
      </c>
      <c r="AY57" t="s">
        <v>471</v>
      </c>
      <c r="AZ57" t="s">
        <v>472</v>
      </c>
      <c r="BA57" t="s">
        <v>292</v>
      </c>
      <c r="BB57" t="s">
        <v>292</v>
      </c>
      <c r="BC57" t="s">
        <v>292</v>
      </c>
      <c r="BD57" t="s">
        <v>292</v>
      </c>
      <c r="BE57" t="s">
        <v>292</v>
      </c>
      <c r="BF57" t="s">
        <v>292</v>
      </c>
      <c r="CK57" t="s">
        <v>301</v>
      </c>
      <c r="CL57" t="s">
        <v>302</v>
      </c>
      <c r="CM57" t="s">
        <v>9</v>
      </c>
      <c r="CN57" s="2">
        <v>43377</v>
      </c>
      <c r="CO57" t="s">
        <v>292</v>
      </c>
      <c r="CP57" t="s">
        <v>303</v>
      </c>
      <c r="CQ57" t="s">
        <v>303</v>
      </c>
      <c r="CR57" t="s">
        <v>304</v>
      </c>
      <c r="CS57" t="s">
        <v>292</v>
      </c>
      <c r="CT57">
        <v>0</v>
      </c>
      <c r="CU57" t="b">
        <v>0</v>
      </c>
      <c r="CV57" t="s">
        <v>439</v>
      </c>
      <c r="CW57" t="s">
        <v>292</v>
      </c>
      <c r="CX57" t="s">
        <v>292</v>
      </c>
      <c r="CY57" t="b">
        <v>0</v>
      </c>
      <c r="CZ57" t="b">
        <v>0</v>
      </c>
      <c r="DC57" t="s">
        <v>292</v>
      </c>
      <c r="DJ57">
        <f>DataTable[HLD_MaturityDate] - DataTable[SEC_Issue_Date]</f>
        <v>91</v>
      </c>
    </row>
    <row r="58" spans="1:114" x14ac:dyDescent="0.2">
      <c r="A58" s="2">
        <v>43376</v>
      </c>
      <c r="B58" t="s">
        <v>6</v>
      </c>
      <c r="C58" t="s">
        <v>7</v>
      </c>
      <c r="D58" t="s">
        <v>36</v>
      </c>
      <c r="F58" t="s">
        <v>516</v>
      </c>
      <c r="G58" t="s">
        <v>517</v>
      </c>
      <c r="H58" t="s">
        <v>518</v>
      </c>
      <c r="I58" t="s">
        <v>286</v>
      </c>
      <c r="J58" t="s">
        <v>519</v>
      </c>
      <c r="K58" t="s">
        <v>359</v>
      </c>
      <c r="N58" s="2">
        <v>43404</v>
      </c>
      <c r="O58">
        <v>28</v>
      </c>
      <c r="P58">
        <v>4.7</v>
      </c>
      <c r="Q58">
        <v>1.5</v>
      </c>
      <c r="R58">
        <v>100000</v>
      </c>
      <c r="S58">
        <v>1002.1527599999999</v>
      </c>
      <c r="T58">
        <v>100215276</v>
      </c>
      <c r="U58">
        <v>2021644</v>
      </c>
      <c r="V58">
        <v>100215276</v>
      </c>
      <c r="W58">
        <v>7.3421E-2</v>
      </c>
      <c r="X58">
        <v>100000000</v>
      </c>
      <c r="Z58">
        <v>100693533</v>
      </c>
      <c r="AA58">
        <v>1.5</v>
      </c>
      <c r="AB58">
        <v>1.3674188999999999E-3</v>
      </c>
      <c r="AC58" t="s">
        <v>516</v>
      </c>
      <c r="AE58" t="s">
        <v>520</v>
      </c>
      <c r="AF58" t="s">
        <v>521</v>
      </c>
      <c r="AG58" t="s">
        <v>522</v>
      </c>
      <c r="AH58" t="s">
        <v>330</v>
      </c>
      <c r="AI58" t="s">
        <v>518</v>
      </c>
      <c r="AJ58" t="s">
        <v>523</v>
      </c>
      <c r="AK58" t="s">
        <v>36</v>
      </c>
      <c r="AM58" t="s">
        <v>519</v>
      </c>
      <c r="AN58" t="s">
        <v>524</v>
      </c>
      <c r="AO58" t="s">
        <v>292</v>
      </c>
      <c r="AP58" t="s">
        <v>434</v>
      </c>
      <c r="AQ58" t="s">
        <v>318</v>
      </c>
      <c r="AR58" t="s">
        <v>292</v>
      </c>
      <c r="AS58" t="s">
        <v>292</v>
      </c>
      <c r="AT58" t="s">
        <v>348</v>
      </c>
      <c r="AU58" t="s">
        <v>292</v>
      </c>
      <c r="AV58" t="s">
        <v>37</v>
      </c>
      <c r="AW58" t="s">
        <v>517</v>
      </c>
      <c r="AX58">
        <v>6</v>
      </c>
      <c r="AY58" t="s">
        <v>525</v>
      </c>
      <c r="AZ58" t="s">
        <v>526</v>
      </c>
      <c r="BA58" t="s">
        <v>286</v>
      </c>
      <c r="BB58" t="s">
        <v>359</v>
      </c>
      <c r="BC58" t="s">
        <v>517</v>
      </c>
      <c r="BD58" t="s">
        <v>292</v>
      </c>
      <c r="BE58" t="s">
        <v>292</v>
      </c>
      <c r="BF58" t="s">
        <v>292</v>
      </c>
      <c r="BG58" t="s">
        <v>359</v>
      </c>
      <c r="BH58">
        <v>5</v>
      </c>
      <c r="CK58" t="s">
        <v>301</v>
      </c>
      <c r="CL58" t="s">
        <v>302</v>
      </c>
      <c r="CM58" t="s">
        <v>9</v>
      </c>
      <c r="CN58" s="2">
        <v>41578</v>
      </c>
      <c r="CO58" t="s">
        <v>292</v>
      </c>
      <c r="CP58" t="s">
        <v>303</v>
      </c>
      <c r="CQ58" t="s">
        <v>303</v>
      </c>
      <c r="CR58" t="s">
        <v>304</v>
      </c>
      <c r="CS58" t="s">
        <v>292</v>
      </c>
      <c r="CT58">
        <v>10000</v>
      </c>
      <c r="CU58" t="b">
        <v>0</v>
      </c>
      <c r="CV58" t="s">
        <v>439</v>
      </c>
      <c r="CW58" t="s">
        <v>292</v>
      </c>
      <c r="CX58" t="s">
        <v>292</v>
      </c>
      <c r="CY58" t="b">
        <v>0</v>
      </c>
      <c r="CZ58" t="b">
        <v>0</v>
      </c>
      <c r="DC58" t="s">
        <v>527</v>
      </c>
      <c r="DJ58">
        <f>DataTable[HLD_MaturityDate] - DataTable[SEC_Issue_Date]</f>
        <v>1826</v>
      </c>
    </row>
    <row r="59" spans="1:114" x14ac:dyDescent="0.2">
      <c r="A59" s="2">
        <v>43376</v>
      </c>
      <c r="B59" t="s">
        <v>6</v>
      </c>
      <c r="C59" t="s">
        <v>528</v>
      </c>
      <c r="D59" t="s">
        <v>529</v>
      </c>
      <c r="F59" t="s">
        <v>530</v>
      </c>
      <c r="H59" t="s">
        <v>285</v>
      </c>
      <c r="I59" t="s">
        <v>286</v>
      </c>
      <c r="J59" t="s">
        <v>287</v>
      </c>
      <c r="K59" t="s">
        <v>288</v>
      </c>
      <c r="N59" s="2">
        <v>43559</v>
      </c>
      <c r="R59">
        <v>1</v>
      </c>
      <c r="T59">
        <v>101261719.17</v>
      </c>
      <c r="V59">
        <v>0</v>
      </c>
      <c r="W59">
        <v>0</v>
      </c>
      <c r="X59">
        <v>0</v>
      </c>
      <c r="Z59">
        <v>0</v>
      </c>
      <c r="AA59">
        <v>0</v>
      </c>
      <c r="AB59">
        <v>1.3543756000000001E-3</v>
      </c>
      <c r="AC59" t="s">
        <v>530</v>
      </c>
      <c r="AE59" t="s">
        <v>531</v>
      </c>
      <c r="AF59" t="s">
        <v>532</v>
      </c>
      <c r="AG59" t="s">
        <v>532</v>
      </c>
      <c r="AH59" t="s">
        <v>533</v>
      </c>
      <c r="AI59" t="s">
        <v>285</v>
      </c>
      <c r="AJ59" t="s">
        <v>534</v>
      </c>
      <c r="AK59" t="s">
        <v>529</v>
      </c>
      <c r="AM59" t="s">
        <v>287</v>
      </c>
      <c r="AN59" t="s">
        <v>433</v>
      </c>
      <c r="AO59" t="s">
        <v>292</v>
      </c>
      <c r="AP59" t="s">
        <v>333</v>
      </c>
      <c r="AQ59" t="s">
        <v>318</v>
      </c>
      <c r="AR59" t="s">
        <v>292</v>
      </c>
      <c r="AS59" t="s">
        <v>292</v>
      </c>
      <c r="AT59" t="s">
        <v>292</v>
      </c>
      <c r="AU59" t="s">
        <v>292</v>
      </c>
      <c r="AV59" t="s">
        <v>292</v>
      </c>
      <c r="AY59" t="s">
        <v>296</v>
      </c>
      <c r="AZ59" t="s">
        <v>297</v>
      </c>
      <c r="BA59" t="s">
        <v>286</v>
      </c>
      <c r="BB59" t="s">
        <v>292</v>
      </c>
      <c r="BC59" t="s">
        <v>288</v>
      </c>
      <c r="BD59" t="s">
        <v>292</v>
      </c>
      <c r="BE59" t="s">
        <v>298</v>
      </c>
      <c r="BF59" t="s">
        <v>299</v>
      </c>
      <c r="BG59" t="s">
        <v>288</v>
      </c>
      <c r="BH59">
        <v>2</v>
      </c>
      <c r="BI59" t="s">
        <v>300</v>
      </c>
      <c r="BJ59" t="s">
        <v>300</v>
      </c>
      <c r="CK59" t="s">
        <v>301</v>
      </c>
      <c r="CL59" t="s">
        <v>302</v>
      </c>
      <c r="CM59" t="s">
        <v>9</v>
      </c>
      <c r="CN59" s="2">
        <v>2</v>
      </c>
      <c r="CO59" t="s">
        <v>292</v>
      </c>
      <c r="CP59" t="s">
        <v>303</v>
      </c>
      <c r="CQ59" t="s">
        <v>303</v>
      </c>
      <c r="CR59" t="s">
        <v>304</v>
      </c>
      <c r="CS59" t="s">
        <v>366</v>
      </c>
      <c r="CT59">
        <v>52000</v>
      </c>
      <c r="CU59" t="b">
        <v>0</v>
      </c>
      <c r="CV59" t="s">
        <v>292</v>
      </c>
      <c r="CW59" t="s">
        <v>292</v>
      </c>
      <c r="CX59" t="s">
        <v>292</v>
      </c>
      <c r="CY59" t="b">
        <v>0</v>
      </c>
      <c r="CZ59" t="b">
        <v>0</v>
      </c>
      <c r="DC59" t="s">
        <v>292</v>
      </c>
      <c r="DD59">
        <v>-522500000</v>
      </c>
      <c r="DE59">
        <v>-101261719.17</v>
      </c>
      <c r="DF59" t="s">
        <v>366</v>
      </c>
      <c r="DG59">
        <v>522500000</v>
      </c>
      <c r="DH59" t="s">
        <v>318</v>
      </c>
      <c r="DI59">
        <v>1</v>
      </c>
      <c r="DJ59">
        <f>DataTable[HLD_MaturityDate] - DataTable[SEC_Issue_Date]</f>
        <v>43557</v>
      </c>
    </row>
    <row r="60" spans="1:114" x14ac:dyDescent="0.2">
      <c r="A60" s="2">
        <v>43376</v>
      </c>
      <c r="B60" t="s">
        <v>6</v>
      </c>
      <c r="C60" t="s">
        <v>528</v>
      </c>
      <c r="D60" t="s">
        <v>529</v>
      </c>
      <c r="F60" t="s">
        <v>535</v>
      </c>
      <c r="H60" t="s">
        <v>285</v>
      </c>
      <c r="I60" t="s">
        <v>286</v>
      </c>
      <c r="J60" t="s">
        <v>287</v>
      </c>
      <c r="K60" t="s">
        <v>288</v>
      </c>
      <c r="N60" s="2">
        <v>43566</v>
      </c>
      <c r="R60">
        <v>1</v>
      </c>
      <c r="T60">
        <v>81495728.969999999</v>
      </c>
      <c r="V60">
        <v>0</v>
      </c>
      <c r="W60">
        <v>0</v>
      </c>
      <c r="X60">
        <v>0</v>
      </c>
      <c r="Z60">
        <v>0</v>
      </c>
      <c r="AA60">
        <v>0</v>
      </c>
      <c r="AB60">
        <v>1.0900055E-3</v>
      </c>
      <c r="AC60" t="s">
        <v>535</v>
      </c>
      <c r="AE60" t="s">
        <v>531</v>
      </c>
      <c r="AF60" t="s">
        <v>532</v>
      </c>
      <c r="AG60" t="s">
        <v>532</v>
      </c>
      <c r="AH60" t="s">
        <v>533</v>
      </c>
      <c r="AI60" t="s">
        <v>285</v>
      </c>
      <c r="AJ60" t="s">
        <v>534</v>
      </c>
      <c r="AK60" t="s">
        <v>529</v>
      </c>
      <c r="AM60" t="s">
        <v>287</v>
      </c>
      <c r="AN60" t="s">
        <v>433</v>
      </c>
      <c r="AO60" t="s">
        <v>292</v>
      </c>
      <c r="AP60" t="s">
        <v>333</v>
      </c>
      <c r="AQ60" t="s">
        <v>318</v>
      </c>
      <c r="AR60" t="s">
        <v>292</v>
      </c>
      <c r="AS60" t="s">
        <v>292</v>
      </c>
      <c r="AT60" t="s">
        <v>292</v>
      </c>
      <c r="AU60" t="s">
        <v>292</v>
      </c>
      <c r="AV60" t="s">
        <v>292</v>
      </c>
      <c r="AY60" t="s">
        <v>296</v>
      </c>
      <c r="AZ60" t="s">
        <v>297</v>
      </c>
      <c r="BA60" t="s">
        <v>286</v>
      </c>
      <c r="BB60" t="s">
        <v>292</v>
      </c>
      <c r="BC60" t="s">
        <v>288</v>
      </c>
      <c r="BD60" t="s">
        <v>292</v>
      </c>
      <c r="BE60" t="s">
        <v>298</v>
      </c>
      <c r="BF60" t="s">
        <v>299</v>
      </c>
      <c r="BG60" t="s">
        <v>288</v>
      </c>
      <c r="BH60">
        <v>2</v>
      </c>
      <c r="BI60" t="s">
        <v>300</v>
      </c>
      <c r="BJ60" t="s">
        <v>300</v>
      </c>
      <c r="CK60" t="s">
        <v>301</v>
      </c>
      <c r="CL60" t="s">
        <v>302</v>
      </c>
      <c r="CM60" t="s">
        <v>9</v>
      </c>
      <c r="CN60" s="2">
        <v>2</v>
      </c>
      <c r="CO60" t="s">
        <v>292</v>
      </c>
      <c r="CP60" t="s">
        <v>303</v>
      </c>
      <c r="CQ60" t="s">
        <v>303</v>
      </c>
      <c r="CR60" t="s">
        <v>304</v>
      </c>
      <c r="CS60" t="s">
        <v>373</v>
      </c>
      <c r="CT60">
        <v>52000</v>
      </c>
      <c r="CU60" t="b">
        <v>0</v>
      </c>
      <c r="CV60" t="s">
        <v>292</v>
      </c>
      <c r="CW60" t="s">
        <v>292</v>
      </c>
      <c r="CX60" t="s">
        <v>292</v>
      </c>
      <c r="CY60" t="b">
        <v>0</v>
      </c>
      <c r="CZ60" t="b">
        <v>0</v>
      </c>
      <c r="DC60" t="s">
        <v>292</v>
      </c>
      <c r="DD60">
        <v>-418047222.22000003</v>
      </c>
      <c r="DE60">
        <v>-81495728.969999999</v>
      </c>
      <c r="DF60" t="s">
        <v>373</v>
      </c>
      <c r="DG60">
        <v>418047222.22000003</v>
      </c>
      <c r="DH60" t="s">
        <v>318</v>
      </c>
      <c r="DI60">
        <v>1</v>
      </c>
      <c r="DJ60">
        <f>DataTable[HLD_MaturityDate] - DataTable[SEC_Issue_Date]</f>
        <v>43564</v>
      </c>
    </row>
    <row r="61" spans="1:114" x14ac:dyDescent="0.2">
      <c r="A61" s="2">
        <v>43376</v>
      </c>
      <c r="B61" t="s">
        <v>6</v>
      </c>
      <c r="C61" t="s">
        <v>528</v>
      </c>
      <c r="D61" t="s">
        <v>529</v>
      </c>
      <c r="F61" t="s">
        <v>536</v>
      </c>
      <c r="H61" t="s">
        <v>285</v>
      </c>
      <c r="I61" t="s">
        <v>286</v>
      </c>
      <c r="J61" t="s">
        <v>287</v>
      </c>
      <c r="K61" t="s">
        <v>288</v>
      </c>
      <c r="N61" s="2">
        <v>43409</v>
      </c>
      <c r="R61">
        <v>1</v>
      </c>
      <c r="T61">
        <v>20330625.530000001</v>
      </c>
      <c r="V61">
        <v>0</v>
      </c>
      <c r="W61">
        <v>0</v>
      </c>
      <c r="X61">
        <v>0</v>
      </c>
      <c r="Z61">
        <v>0</v>
      </c>
      <c r="AA61">
        <v>0</v>
      </c>
      <c r="AB61">
        <v>2.719221E-4</v>
      </c>
      <c r="AC61" t="s">
        <v>536</v>
      </c>
      <c r="AE61" t="s">
        <v>531</v>
      </c>
      <c r="AF61" t="s">
        <v>532</v>
      </c>
      <c r="AG61" t="s">
        <v>532</v>
      </c>
      <c r="AH61" t="s">
        <v>533</v>
      </c>
      <c r="AI61" t="s">
        <v>285</v>
      </c>
      <c r="AJ61" t="s">
        <v>534</v>
      </c>
      <c r="AK61" t="s">
        <v>529</v>
      </c>
      <c r="AM61" t="s">
        <v>287</v>
      </c>
      <c r="AN61" t="s">
        <v>433</v>
      </c>
      <c r="AO61" t="s">
        <v>292</v>
      </c>
      <c r="AP61" t="s">
        <v>333</v>
      </c>
      <c r="AQ61" t="s">
        <v>318</v>
      </c>
      <c r="AR61" t="s">
        <v>292</v>
      </c>
      <c r="AS61" t="s">
        <v>292</v>
      </c>
      <c r="AT61" t="s">
        <v>292</v>
      </c>
      <c r="AU61" t="s">
        <v>292</v>
      </c>
      <c r="AV61" t="s">
        <v>292</v>
      </c>
      <c r="AY61" t="s">
        <v>296</v>
      </c>
      <c r="AZ61" t="s">
        <v>297</v>
      </c>
      <c r="BA61" t="s">
        <v>286</v>
      </c>
      <c r="BB61" t="s">
        <v>292</v>
      </c>
      <c r="BC61" t="s">
        <v>288</v>
      </c>
      <c r="BD61" t="s">
        <v>292</v>
      </c>
      <c r="BE61" t="s">
        <v>298</v>
      </c>
      <c r="BF61" t="s">
        <v>299</v>
      </c>
      <c r="BG61" t="s">
        <v>288</v>
      </c>
      <c r="BH61">
        <v>2</v>
      </c>
      <c r="BI61" t="s">
        <v>300</v>
      </c>
      <c r="BJ61" t="s">
        <v>300</v>
      </c>
      <c r="CK61" t="s">
        <v>301</v>
      </c>
      <c r="CL61" t="s">
        <v>302</v>
      </c>
      <c r="CM61" t="s">
        <v>9</v>
      </c>
      <c r="CN61" s="2">
        <v>2</v>
      </c>
      <c r="CO61" t="s">
        <v>292</v>
      </c>
      <c r="CP61" t="s">
        <v>303</v>
      </c>
      <c r="CQ61" t="s">
        <v>303</v>
      </c>
      <c r="CR61" t="s">
        <v>304</v>
      </c>
      <c r="CS61" t="s">
        <v>395</v>
      </c>
      <c r="CT61">
        <v>52000</v>
      </c>
      <c r="CU61" t="b">
        <v>0</v>
      </c>
      <c r="CV61" t="s">
        <v>292</v>
      </c>
      <c r="CW61" t="s">
        <v>292</v>
      </c>
      <c r="CX61" t="s">
        <v>292</v>
      </c>
      <c r="CY61" t="b">
        <v>0</v>
      </c>
      <c r="CZ61" t="b">
        <v>0</v>
      </c>
      <c r="DC61" t="s">
        <v>292</v>
      </c>
      <c r="DD61">
        <v>-25005166.670000002</v>
      </c>
      <c r="DE61">
        <v>-20330625.530000001</v>
      </c>
      <c r="DF61" t="s">
        <v>395</v>
      </c>
      <c r="DG61">
        <v>25005166.670000002</v>
      </c>
      <c r="DH61" t="s">
        <v>318</v>
      </c>
      <c r="DI61">
        <v>1</v>
      </c>
      <c r="DJ61">
        <f>DataTable[HLD_MaturityDate] - DataTable[SEC_Issue_Date]</f>
        <v>43407</v>
      </c>
    </row>
    <row r="62" spans="1:114" x14ac:dyDescent="0.2">
      <c r="A62" s="2">
        <v>43376</v>
      </c>
      <c r="B62" t="s">
        <v>6</v>
      </c>
      <c r="C62" t="s">
        <v>528</v>
      </c>
      <c r="D62" t="s">
        <v>529</v>
      </c>
      <c r="F62" t="s">
        <v>537</v>
      </c>
      <c r="H62" t="s">
        <v>285</v>
      </c>
      <c r="I62" t="s">
        <v>286</v>
      </c>
      <c r="J62" t="s">
        <v>287</v>
      </c>
      <c r="K62" t="s">
        <v>288</v>
      </c>
      <c r="N62" s="2">
        <v>43543</v>
      </c>
      <c r="R62">
        <v>1</v>
      </c>
      <c r="T62">
        <v>5824622.46</v>
      </c>
      <c r="V62">
        <v>0</v>
      </c>
      <c r="W62">
        <v>0</v>
      </c>
      <c r="X62">
        <v>0</v>
      </c>
      <c r="Z62">
        <v>0</v>
      </c>
      <c r="AA62">
        <v>0</v>
      </c>
      <c r="AB62">
        <v>7.7904299999999999E-5</v>
      </c>
      <c r="AC62" t="s">
        <v>537</v>
      </c>
      <c r="AE62" t="s">
        <v>531</v>
      </c>
      <c r="AF62" t="s">
        <v>532</v>
      </c>
      <c r="AG62" t="s">
        <v>532</v>
      </c>
      <c r="AH62" t="s">
        <v>533</v>
      </c>
      <c r="AI62" t="s">
        <v>285</v>
      </c>
      <c r="AJ62" t="s">
        <v>534</v>
      </c>
      <c r="AK62" t="s">
        <v>529</v>
      </c>
      <c r="AM62" t="s">
        <v>287</v>
      </c>
      <c r="AN62" t="s">
        <v>433</v>
      </c>
      <c r="AO62" t="s">
        <v>292</v>
      </c>
      <c r="AP62" t="s">
        <v>333</v>
      </c>
      <c r="AQ62" t="s">
        <v>318</v>
      </c>
      <c r="AR62" t="s">
        <v>292</v>
      </c>
      <c r="AS62" t="s">
        <v>292</v>
      </c>
      <c r="AT62" t="s">
        <v>292</v>
      </c>
      <c r="AU62" t="s">
        <v>292</v>
      </c>
      <c r="AV62" t="s">
        <v>292</v>
      </c>
      <c r="AY62" t="s">
        <v>296</v>
      </c>
      <c r="AZ62" t="s">
        <v>297</v>
      </c>
      <c r="BA62" t="s">
        <v>286</v>
      </c>
      <c r="BB62" t="s">
        <v>292</v>
      </c>
      <c r="BC62" t="s">
        <v>288</v>
      </c>
      <c r="BD62" t="s">
        <v>292</v>
      </c>
      <c r="BE62" t="s">
        <v>298</v>
      </c>
      <c r="BF62" t="s">
        <v>299</v>
      </c>
      <c r="BG62" t="s">
        <v>288</v>
      </c>
      <c r="BH62">
        <v>2</v>
      </c>
      <c r="BI62" t="s">
        <v>300</v>
      </c>
      <c r="BJ62" t="s">
        <v>300</v>
      </c>
      <c r="CK62" t="s">
        <v>301</v>
      </c>
      <c r="CL62" t="s">
        <v>302</v>
      </c>
      <c r="CM62" t="s">
        <v>9</v>
      </c>
      <c r="CN62" s="2">
        <v>2</v>
      </c>
      <c r="CO62" t="s">
        <v>292</v>
      </c>
      <c r="CP62" t="s">
        <v>303</v>
      </c>
      <c r="CQ62" t="s">
        <v>303</v>
      </c>
      <c r="CR62" t="s">
        <v>304</v>
      </c>
      <c r="CS62" t="s">
        <v>398</v>
      </c>
      <c r="CT62">
        <v>52000</v>
      </c>
      <c r="CU62" t="b">
        <v>0</v>
      </c>
      <c r="CV62" t="s">
        <v>292</v>
      </c>
      <c r="CW62" t="s">
        <v>292</v>
      </c>
      <c r="CX62" t="s">
        <v>292</v>
      </c>
      <c r="CY62" t="b">
        <v>0</v>
      </c>
      <c r="CZ62" t="b">
        <v>0</v>
      </c>
      <c r="DC62" t="s">
        <v>292</v>
      </c>
      <c r="DD62">
        <v>-10002500</v>
      </c>
      <c r="DE62">
        <v>-5824622.46</v>
      </c>
      <c r="DF62" t="s">
        <v>398</v>
      </c>
      <c r="DG62">
        <v>10002500</v>
      </c>
      <c r="DH62" t="s">
        <v>318</v>
      </c>
      <c r="DI62">
        <v>1</v>
      </c>
      <c r="DJ62">
        <f>DataTable[HLD_MaturityDate] - DataTable[SEC_Issue_Date]</f>
        <v>43541</v>
      </c>
    </row>
    <row r="63" spans="1:114" x14ac:dyDescent="0.2">
      <c r="A63" s="2">
        <v>43376</v>
      </c>
      <c r="B63" t="s">
        <v>6</v>
      </c>
      <c r="C63" t="s">
        <v>528</v>
      </c>
      <c r="D63" t="s">
        <v>529</v>
      </c>
      <c r="F63" t="s">
        <v>538</v>
      </c>
      <c r="H63" t="s">
        <v>285</v>
      </c>
      <c r="I63" t="s">
        <v>286</v>
      </c>
      <c r="J63" t="s">
        <v>287</v>
      </c>
      <c r="K63" t="s">
        <v>288</v>
      </c>
      <c r="N63" s="2">
        <v>43580</v>
      </c>
      <c r="R63">
        <v>1</v>
      </c>
      <c r="T63">
        <v>90651663.579999998</v>
      </c>
      <c r="V63">
        <v>0</v>
      </c>
      <c r="W63">
        <v>0</v>
      </c>
      <c r="X63">
        <v>0</v>
      </c>
      <c r="Z63">
        <v>0</v>
      </c>
      <c r="AA63">
        <v>0</v>
      </c>
      <c r="AB63">
        <v>1.2124661E-3</v>
      </c>
      <c r="AC63" t="s">
        <v>538</v>
      </c>
      <c r="AE63" t="s">
        <v>531</v>
      </c>
      <c r="AF63" t="s">
        <v>532</v>
      </c>
      <c r="AG63" t="s">
        <v>532</v>
      </c>
      <c r="AH63" t="s">
        <v>533</v>
      </c>
      <c r="AI63" t="s">
        <v>285</v>
      </c>
      <c r="AJ63" t="s">
        <v>534</v>
      </c>
      <c r="AK63" t="s">
        <v>529</v>
      </c>
      <c r="AM63" t="s">
        <v>287</v>
      </c>
      <c r="AN63" t="s">
        <v>433</v>
      </c>
      <c r="AO63" t="s">
        <v>292</v>
      </c>
      <c r="AP63" t="s">
        <v>333</v>
      </c>
      <c r="AQ63" t="s">
        <v>318</v>
      </c>
      <c r="AR63" t="s">
        <v>292</v>
      </c>
      <c r="AS63" t="s">
        <v>292</v>
      </c>
      <c r="AT63" t="s">
        <v>292</v>
      </c>
      <c r="AU63" t="s">
        <v>292</v>
      </c>
      <c r="AV63" t="s">
        <v>292</v>
      </c>
      <c r="AY63" t="s">
        <v>296</v>
      </c>
      <c r="AZ63" t="s">
        <v>297</v>
      </c>
      <c r="BA63" t="s">
        <v>286</v>
      </c>
      <c r="BB63" t="s">
        <v>292</v>
      </c>
      <c r="BC63" t="s">
        <v>288</v>
      </c>
      <c r="BD63" t="s">
        <v>292</v>
      </c>
      <c r="BE63" t="s">
        <v>298</v>
      </c>
      <c r="BF63" t="s">
        <v>299</v>
      </c>
      <c r="BG63" t="s">
        <v>288</v>
      </c>
      <c r="BH63">
        <v>2</v>
      </c>
      <c r="BI63" t="s">
        <v>300</v>
      </c>
      <c r="BJ63" t="s">
        <v>300</v>
      </c>
      <c r="CK63" t="s">
        <v>301</v>
      </c>
      <c r="CL63" t="s">
        <v>302</v>
      </c>
      <c r="CM63" t="s">
        <v>9</v>
      </c>
      <c r="CN63" s="2">
        <v>2</v>
      </c>
      <c r="CO63" t="s">
        <v>292</v>
      </c>
      <c r="CP63" t="s">
        <v>303</v>
      </c>
      <c r="CQ63" t="s">
        <v>303</v>
      </c>
      <c r="CR63" t="s">
        <v>304</v>
      </c>
      <c r="CS63" t="s">
        <v>375</v>
      </c>
      <c r="CT63">
        <v>52000</v>
      </c>
      <c r="CU63" t="b">
        <v>0</v>
      </c>
      <c r="CV63" t="s">
        <v>292</v>
      </c>
      <c r="CW63" t="s">
        <v>292</v>
      </c>
      <c r="CX63" t="s">
        <v>292</v>
      </c>
      <c r="CY63" t="b">
        <v>0</v>
      </c>
      <c r="CZ63" t="b">
        <v>0</v>
      </c>
      <c r="DC63" t="s">
        <v>292</v>
      </c>
      <c r="DD63">
        <v>-70042583.329999998</v>
      </c>
      <c r="DE63">
        <v>-90651663.579999998</v>
      </c>
      <c r="DF63" t="s">
        <v>375</v>
      </c>
      <c r="DG63">
        <v>70042583.329999998</v>
      </c>
      <c r="DH63" t="s">
        <v>318</v>
      </c>
      <c r="DI63">
        <v>1</v>
      </c>
      <c r="DJ63">
        <f>DataTable[HLD_MaturityDate] - DataTable[SEC_Issue_Date]</f>
        <v>43578</v>
      </c>
    </row>
    <row r="64" spans="1:114" x14ac:dyDescent="0.2">
      <c r="A64" s="2">
        <v>43376</v>
      </c>
      <c r="B64" t="s">
        <v>6</v>
      </c>
      <c r="C64" t="s">
        <v>528</v>
      </c>
      <c r="D64" t="s">
        <v>529</v>
      </c>
      <c r="F64" t="s">
        <v>539</v>
      </c>
      <c r="H64" t="s">
        <v>540</v>
      </c>
      <c r="I64" t="s">
        <v>286</v>
      </c>
      <c r="J64" t="s">
        <v>287</v>
      </c>
      <c r="K64" t="s">
        <v>541</v>
      </c>
      <c r="N64" s="2">
        <v>43595</v>
      </c>
      <c r="R64">
        <v>1</v>
      </c>
      <c r="T64">
        <v>40398812.969999999</v>
      </c>
      <c r="V64">
        <v>0</v>
      </c>
      <c r="W64">
        <v>0</v>
      </c>
      <c r="X64">
        <v>0</v>
      </c>
      <c r="Z64">
        <v>0</v>
      </c>
      <c r="AA64">
        <v>0</v>
      </c>
      <c r="AB64">
        <v>5.4033420000000002E-4</v>
      </c>
      <c r="AC64" t="s">
        <v>539</v>
      </c>
      <c r="AE64" t="s">
        <v>542</v>
      </c>
      <c r="AF64" t="s">
        <v>532</v>
      </c>
      <c r="AG64" t="s">
        <v>532</v>
      </c>
      <c r="AH64" t="s">
        <v>533</v>
      </c>
      <c r="AI64" t="s">
        <v>540</v>
      </c>
      <c r="AJ64" t="s">
        <v>534</v>
      </c>
      <c r="AK64" t="s">
        <v>529</v>
      </c>
      <c r="AM64" t="s">
        <v>287</v>
      </c>
      <c r="AN64" t="s">
        <v>433</v>
      </c>
      <c r="AO64" t="s">
        <v>292</v>
      </c>
      <c r="AP64" t="s">
        <v>333</v>
      </c>
      <c r="AQ64" t="s">
        <v>318</v>
      </c>
      <c r="AR64" t="s">
        <v>292</v>
      </c>
      <c r="AS64" t="s">
        <v>292</v>
      </c>
      <c r="AT64" t="s">
        <v>292</v>
      </c>
      <c r="AU64" t="s">
        <v>292</v>
      </c>
      <c r="AV64" t="s">
        <v>292</v>
      </c>
      <c r="AY64" t="s">
        <v>543</v>
      </c>
      <c r="AZ64" t="s">
        <v>544</v>
      </c>
      <c r="BA64" t="s">
        <v>286</v>
      </c>
      <c r="BB64" t="s">
        <v>541</v>
      </c>
      <c r="BC64" t="s">
        <v>292</v>
      </c>
      <c r="BD64" t="s">
        <v>292</v>
      </c>
      <c r="BE64" t="s">
        <v>292</v>
      </c>
      <c r="BF64" t="s">
        <v>292</v>
      </c>
      <c r="BG64" t="s">
        <v>541</v>
      </c>
      <c r="BH64">
        <v>7</v>
      </c>
      <c r="BI64" t="s">
        <v>300</v>
      </c>
      <c r="BJ64" t="s">
        <v>300</v>
      </c>
      <c r="CK64" t="s">
        <v>301</v>
      </c>
      <c r="CL64" t="s">
        <v>302</v>
      </c>
      <c r="CM64" t="s">
        <v>9</v>
      </c>
      <c r="CN64" s="2">
        <v>2</v>
      </c>
      <c r="CO64" t="s">
        <v>292</v>
      </c>
      <c r="CP64" t="s">
        <v>303</v>
      </c>
      <c r="CQ64" t="s">
        <v>303</v>
      </c>
      <c r="CR64" t="s">
        <v>304</v>
      </c>
      <c r="CS64" t="s">
        <v>342</v>
      </c>
      <c r="CT64">
        <v>16000</v>
      </c>
      <c r="CU64" t="b">
        <v>0</v>
      </c>
      <c r="CV64" t="s">
        <v>292</v>
      </c>
      <c r="CW64" t="s">
        <v>292</v>
      </c>
      <c r="CX64" t="s">
        <v>292</v>
      </c>
      <c r="CY64" t="b">
        <v>0</v>
      </c>
      <c r="CZ64" t="b">
        <v>0</v>
      </c>
      <c r="DC64" t="s">
        <v>292</v>
      </c>
      <c r="DD64">
        <v>-50025347.219999999</v>
      </c>
      <c r="DE64">
        <v>-40398812.969999999</v>
      </c>
      <c r="DF64" t="s">
        <v>342</v>
      </c>
      <c r="DG64">
        <v>50025347.219999999</v>
      </c>
      <c r="DH64" t="s">
        <v>318</v>
      </c>
      <c r="DI64">
        <v>1</v>
      </c>
      <c r="DJ64">
        <f>DataTable[HLD_MaturityDate] - DataTable[SEC_Issue_Date]</f>
        <v>43593</v>
      </c>
    </row>
    <row r="65" spans="1:114" x14ac:dyDescent="0.2">
      <c r="A65" s="2">
        <v>43376</v>
      </c>
      <c r="B65" t="s">
        <v>6</v>
      </c>
      <c r="C65" t="s">
        <v>528</v>
      </c>
      <c r="D65" t="s">
        <v>529</v>
      </c>
      <c r="F65" t="s">
        <v>545</v>
      </c>
      <c r="H65" t="s">
        <v>540</v>
      </c>
      <c r="I65" t="s">
        <v>286</v>
      </c>
      <c r="J65" t="s">
        <v>287</v>
      </c>
      <c r="K65" t="s">
        <v>541</v>
      </c>
      <c r="N65" s="2">
        <v>43410</v>
      </c>
      <c r="R65">
        <v>1</v>
      </c>
      <c r="T65">
        <v>22154907.289999999</v>
      </c>
      <c r="V65">
        <v>0</v>
      </c>
      <c r="W65">
        <v>0</v>
      </c>
      <c r="X65">
        <v>0</v>
      </c>
      <c r="Z65">
        <v>0</v>
      </c>
      <c r="AA65">
        <v>0</v>
      </c>
      <c r="AB65">
        <v>2.9632189999999998E-4</v>
      </c>
      <c r="AC65" t="s">
        <v>545</v>
      </c>
      <c r="AE65" t="s">
        <v>546</v>
      </c>
      <c r="AF65" t="s">
        <v>532</v>
      </c>
      <c r="AG65" t="s">
        <v>532</v>
      </c>
      <c r="AH65" t="s">
        <v>533</v>
      </c>
      <c r="AI65" t="s">
        <v>540</v>
      </c>
      <c r="AJ65" t="s">
        <v>534</v>
      </c>
      <c r="AK65" t="s">
        <v>529</v>
      </c>
      <c r="AM65" t="s">
        <v>287</v>
      </c>
      <c r="AN65" t="s">
        <v>433</v>
      </c>
      <c r="AO65" t="s">
        <v>292</v>
      </c>
      <c r="AP65" t="s">
        <v>333</v>
      </c>
      <c r="AQ65" t="s">
        <v>318</v>
      </c>
      <c r="AR65" t="s">
        <v>292</v>
      </c>
      <c r="AS65" t="s">
        <v>292</v>
      </c>
      <c r="AT65" t="s">
        <v>292</v>
      </c>
      <c r="AU65" t="s">
        <v>292</v>
      </c>
      <c r="AV65" t="s">
        <v>292</v>
      </c>
      <c r="AY65" t="s">
        <v>543</v>
      </c>
      <c r="AZ65" t="s">
        <v>544</v>
      </c>
      <c r="BA65" t="s">
        <v>286</v>
      </c>
      <c r="BB65" t="s">
        <v>541</v>
      </c>
      <c r="BC65" t="s">
        <v>292</v>
      </c>
      <c r="BD65" t="s">
        <v>292</v>
      </c>
      <c r="BE65" t="s">
        <v>292</v>
      </c>
      <c r="BF65" t="s">
        <v>292</v>
      </c>
      <c r="BG65" t="s">
        <v>541</v>
      </c>
      <c r="BH65">
        <v>7</v>
      </c>
      <c r="BI65" t="s">
        <v>300</v>
      </c>
      <c r="BJ65" t="s">
        <v>300</v>
      </c>
      <c r="CK65" t="s">
        <v>301</v>
      </c>
      <c r="CL65" t="s">
        <v>302</v>
      </c>
      <c r="CM65" t="s">
        <v>9</v>
      </c>
      <c r="CN65" s="2">
        <v>2</v>
      </c>
      <c r="CO65" t="s">
        <v>292</v>
      </c>
      <c r="CP65" t="s">
        <v>303</v>
      </c>
      <c r="CQ65" t="s">
        <v>303</v>
      </c>
      <c r="CR65" t="s">
        <v>304</v>
      </c>
      <c r="CS65" t="s">
        <v>357</v>
      </c>
      <c r="CT65">
        <v>16000</v>
      </c>
      <c r="CU65" t="b">
        <v>0</v>
      </c>
      <c r="CV65" t="s">
        <v>292</v>
      </c>
      <c r="CW65" t="s">
        <v>292</v>
      </c>
      <c r="CX65" t="s">
        <v>292</v>
      </c>
      <c r="CY65" t="b">
        <v>0</v>
      </c>
      <c r="CZ65" t="b">
        <v>0</v>
      </c>
      <c r="DC65" t="s">
        <v>292</v>
      </c>
      <c r="DD65">
        <v>-35849364.539999999</v>
      </c>
      <c r="DE65">
        <v>-22154907.289999999</v>
      </c>
      <c r="DF65" t="s">
        <v>357</v>
      </c>
      <c r="DG65">
        <v>35849364.539999999</v>
      </c>
      <c r="DH65" t="s">
        <v>318</v>
      </c>
      <c r="DI65">
        <v>1</v>
      </c>
      <c r="DJ65">
        <f>DataTable[HLD_MaturityDate] - DataTable[SEC_Issue_Date]</f>
        <v>43408</v>
      </c>
    </row>
    <row r="66" spans="1:114" x14ac:dyDescent="0.2">
      <c r="A66" s="2">
        <v>43376</v>
      </c>
      <c r="B66" t="s">
        <v>6</v>
      </c>
      <c r="C66" t="s">
        <v>528</v>
      </c>
      <c r="D66" t="s">
        <v>529</v>
      </c>
      <c r="F66" t="s">
        <v>547</v>
      </c>
      <c r="H66" t="s">
        <v>285</v>
      </c>
      <c r="I66" t="s">
        <v>286</v>
      </c>
      <c r="J66" t="s">
        <v>287</v>
      </c>
      <c r="K66" t="s">
        <v>288</v>
      </c>
      <c r="N66" s="2">
        <v>43389</v>
      </c>
      <c r="R66">
        <v>1</v>
      </c>
      <c r="T66">
        <v>30809014.390000001</v>
      </c>
      <c r="V66">
        <v>0</v>
      </c>
      <c r="W66">
        <v>0</v>
      </c>
      <c r="X66">
        <v>0</v>
      </c>
      <c r="Z66">
        <v>0</v>
      </c>
      <c r="AA66">
        <v>0</v>
      </c>
      <c r="AB66">
        <v>4.1207059999999999E-4</v>
      </c>
      <c r="AC66" t="s">
        <v>547</v>
      </c>
      <c r="AE66" t="s">
        <v>548</v>
      </c>
      <c r="AF66" t="s">
        <v>532</v>
      </c>
      <c r="AG66" t="s">
        <v>532</v>
      </c>
      <c r="AH66" t="s">
        <v>533</v>
      </c>
      <c r="AI66" t="s">
        <v>285</v>
      </c>
      <c r="AJ66" t="s">
        <v>534</v>
      </c>
      <c r="AK66" t="s">
        <v>529</v>
      </c>
      <c r="AM66" t="s">
        <v>287</v>
      </c>
      <c r="AN66" t="s">
        <v>433</v>
      </c>
      <c r="AO66" t="s">
        <v>292</v>
      </c>
      <c r="AP66" t="s">
        <v>333</v>
      </c>
      <c r="AQ66" t="s">
        <v>318</v>
      </c>
      <c r="AR66" t="s">
        <v>292</v>
      </c>
      <c r="AS66" t="s">
        <v>292</v>
      </c>
      <c r="AT66" t="s">
        <v>292</v>
      </c>
      <c r="AU66" t="s">
        <v>292</v>
      </c>
      <c r="AV66" t="s">
        <v>292</v>
      </c>
      <c r="AY66" t="s">
        <v>296</v>
      </c>
      <c r="AZ66" t="s">
        <v>297</v>
      </c>
      <c r="BA66" t="s">
        <v>286</v>
      </c>
      <c r="BB66" t="s">
        <v>292</v>
      </c>
      <c r="BC66" t="s">
        <v>288</v>
      </c>
      <c r="BD66" t="s">
        <v>292</v>
      </c>
      <c r="BE66" t="s">
        <v>298</v>
      </c>
      <c r="BF66" t="s">
        <v>299</v>
      </c>
      <c r="BG66" t="s">
        <v>288</v>
      </c>
      <c r="BH66">
        <v>2</v>
      </c>
      <c r="BI66" t="s">
        <v>300</v>
      </c>
      <c r="BJ66" t="s">
        <v>300</v>
      </c>
      <c r="CK66" t="s">
        <v>301</v>
      </c>
      <c r="CL66" t="s">
        <v>302</v>
      </c>
      <c r="CM66" t="s">
        <v>9</v>
      </c>
      <c r="CN66" s="2">
        <v>2</v>
      </c>
      <c r="CO66" t="s">
        <v>292</v>
      </c>
      <c r="CP66" t="s">
        <v>303</v>
      </c>
      <c r="CQ66" t="s">
        <v>303</v>
      </c>
      <c r="CR66" t="s">
        <v>304</v>
      </c>
      <c r="CS66" t="s">
        <v>365</v>
      </c>
      <c r="CT66">
        <v>52000</v>
      </c>
      <c r="CU66" t="b">
        <v>0</v>
      </c>
      <c r="CV66" t="s">
        <v>292</v>
      </c>
      <c r="CW66" t="s">
        <v>292</v>
      </c>
      <c r="CX66" t="s">
        <v>292</v>
      </c>
      <c r="CY66" t="b">
        <v>0</v>
      </c>
      <c r="CZ66" t="b">
        <v>0</v>
      </c>
      <c r="DC66" t="s">
        <v>292</v>
      </c>
      <c r="DD66">
        <v>-51206666.670000002</v>
      </c>
      <c r="DE66">
        <v>-30809014.390000001</v>
      </c>
      <c r="DF66" t="s">
        <v>365</v>
      </c>
      <c r="DG66">
        <v>51206666.670000002</v>
      </c>
      <c r="DH66" t="s">
        <v>318</v>
      </c>
      <c r="DI66">
        <v>1</v>
      </c>
      <c r="DJ66">
        <f>DataTable[HLD_MaturityDate] - DataTable[SEC_Issue_Date]</f>
        <v>43387</v>
      </c>
    </row>
    <row r="67" spans="1:114" x14ac:dyDescent="0.2">
      <c r="A67" s="2">
        <v>43376</v>
      </c>
      <c r="B67" t="s">
        <v>6</v>
      </c>
      <c r="C67" t="s">
        <v>528</v>
      </c>
      <c r="D67" t="s">
        <v>529</v>
      </c>
      <c r="F67" t="s">
        <v>549</v>
      </c>
      <c r="H67" t="s">
        <v>285</v>
      </c>
      <c r="I67" t="s">
        <v>286</v>
      </c>
      <c r="J67" t="s">
        <v>287</v>
      </c>
      <c r="K67" t="s">
        <v>288</v>
      </c>
      <c r="N67" s="2">
        <v>43389</v>
      </c>
      <c r="R67">
        <v>1</v>
      </c>
      <c r="T67">
        <v>28982560.719999999</v>
      </c>
      <c r="V67">
        <v>0</v>
      </c>
      <c r="W67">
        <v>0</v>
      </c>
      <c r="X67">
        <v>0</v>
      </c>
      <c r="Z67">
        <v>0</v>
      </c>
      <c r="AA67">
        <v>0</v>
      </c>
      <c r="AB67">
        <v>3.8764179999999999E-4</v>
      </c>
      <c r="AC67" t="s">
        <v>549</v>
      </c>
      <c r="AE67" t="s">
        <v>531</v>
      </c>
      <c r="AF67" t="s">
        <v>532</v>
      </c>
      <c r="AG67" t="s">
        <v>532</v>
      </c>
      <c r="AH67" t="s">
        <v>533</v>
      </c>
      <c r="AI67" t="s">
        <v>285</v>
      </c>
      <c r="AJ67" t="s">
        <v>534</v>
      </c>
      <c r="AK67" t="s">
        <v>529</v>
      </c>
      <c r="AM67" t="s">
        <v>287</v>
      </c>
      <c r="AN67" t="s">
        <v>433</v>
      </c>
      <c r="AO67" t="s">
        <v>292</v>
      </c>
      <c r="AP67" t="s">
        <v>333</v>
      </c>
      <c r="AQ67" t="s">
        <v>318</v>
      </c>
      <c r="AR67" t="s">
        <v>292</v>
      </c>
      <c r="AS67" t="s">
        <v>292</v>
      </c>
      <c r="AT67" t="s">
        <v>292</v>
      </c>
      <c r="AU67" t="s">
        <v>292</v>
      </c>
      <c r="AV67" t="s">
        <v>292</v>
      </c>
      <c r="AY67" t="s">
        <v>296</v>
      </c>
      <c r="AZ67" t="s">
        <v>297</v>
      </c>
      <c r="BA67" t="s">
        <v>286</v>
      </c>
      <c r="BB67" t="s">
        <v>292</v>
      </c>
      <c r="BC67" t="s">
        <v>288</v>
      </c>
      <c r="BD67" t="s">
        <v>292</v>
      </c>
      <c r="BE67" t="s">
        <v>298</v>
      </c>
      <c r="BF67" t="s">
        <v>299</v>
      </c>
      <c r="BG67" t="s">
        <v>288</v>
      </c>
      <c r="BH67">
        <v>2</v>
      </c>
      <c r="BI67" t="s">
        <v>300</v>
      </c>
      <c r="BJ67" t="s">
        <v>300</v>
      </c>
      <c r="CK67" t="s">
        <v>301</v>
      </c>
      <c r="CL67" t="s">
        <v>302</v>
      </c>
      <c r="CM67" t="s">
        <v>9</v>
      </c>
      <c r="CN67" s="2">
        <v>2</v>
      </c>
      <c r="CO67" t="s">
        <v>292</v>
      </c>
      <c r="CP67" t="s">
        <v>303</v>
      </c>
      <c r="CQ67" t="s">
        <v>303</v>
      </c>
      <c r="CR67" t="s">
        <v>304</v>
      </c>
      <c r="CS67" t="s">
        <v>392</v>
      </c>
      <c r="CT67">
        <v>52000</v>
      </c>
      <c r="CU67" t="b">
        <v>0</v>
      </c>
      <c r="CV67" t="s">
        <v>292</v>
      </c>
      <c r="CW67" t="s">
        <v>292</v>
      </c>
      <c r="CX67" t="s">
        <v>292</v>
      </c>
      <c r="CY67" t="b">
        <v>0</v>
      </c>
      <c r="CZ67" t="b">
        <v>0</v>
      </c>
      <c r="DC67" t="s">
        <v>292</v>
      </c>
      <c r="DD67">
        <v>-40299733.329999998</v>
      </c>
      <c r="DE67">
        <v>-28982560.719999999</v>
      </c>
      <c r="DF67" t="s">
        <v>392</v>
      </c>
      <c r="DG67">
        <v>40299733.329999998</v>
      </c>
      <c r="DH67" t="s">
        <v>318</v>
      </c>
      <c r="DI67">
        <v>1</v>
      </c>
      <c r="DJ67">
        <f>DataTable[HLD_MaturityDate] - DataTable[SEC_Issue_Date]</f>
        <v>43387</v>
      </c>
    </row>
    <row r="68" spans="1:114" x14ac:dyDescent="0.2">
      <c r="A68" s="2">
        <v>43376</v>
      </c>
      <c r="B68" t="s">
        <v>6</v>
      </c>
      <c r="C68" t="s">
        <v>528</v>
      </c>
      <c r="D68" t="s">
        <v>529</v>
      </c>
      <c r="F68" t="s">
        <v>550</v>
      </c>
      <c r="H68" t="s">
        <v>285</v>
      </c>
      <c r="I68" t="s">
        <v>286</v>
      </c>
      <c r="J68" t="s">
        <v>287</v>
      </c>
      <c r="K68" t="s">
        <v>288</v>
      </c>
      <c r="N68" s="2">
        <v>43580</v>
      </c>
      <c r="R68">
        <v>1</v>
      </c>
      <c r="T68">
        <v>-30803789.23</v>
      </c>
      <c r="V68">
        <v>0</v>
      </c>
      <c r="W68">
        <v>0</v>
      </c>
      <c r="X68">
        <v>0</v>
      </c>
      <c r="Z68">
        <v>0</v>
      </c>
      <c r="AA68">
        <v>0</v>
      </c>
      <c r="AB68">
        <v>-4.1200070000000001E-4</v>
      </c>
      <c r="AC68" t="s">
        <v>550</v>
      </c>
      <c r="AE68" t="s">
        <v>531</v>
      </c>
      <c r="AF68" t="s">
        <v>532</v>
      </c>
      <c r="AG68" t="s">
        <v>532</v>
      </c>
      <c r="AH68" t="s">
        <v>533</v>
      </c>
      <c r="AI68" t="s">
        <v>285</v>
      </c>
      <c r="AJ68" t="s">
        <v>534</v>
      </c>
      <c r="AK68" t="s">
        <v>529</v>
      </c>
      <c r="AM68" t="s">
        <v>287</v>
      </c>
      <c r="AN68" t="s">
        <v>433</v>
      </c>
      <c r="AO68" t="s">
        <v>292</v>
      </c>
      <c r="AP68" t="s">
        <v>333</v>
      </c>
      <c r="AQ68" t="s">
        <v>318</v>
      </c>
      <c r="AR68" t="s">
        <v>292</v>
      </c>
      <c r="AS68" t="s">
        <v>292</v>
      </c>
      <c r="AT68" t="s">
        <v>292</v>
      </c>
      <c r="AU68" t="s">
        <v>292</v>
      </c>
      <c r="AV68" t="s">
        <v>292</v>
      </c>
      <c r="AY68" t="s">
        <v>296</v>
      </c>
      <c r="AZ68" t="s">
        <v>297</v>
      </c>
      <c r="BA68" t="s">
        <v>286</v>
      </c>
      <c r="BB68" t="s">
        <v>292</v>
      </c>
      <c r="BC68" t="s">
        <v>288</v>
      </c>
      <c r="BD68" t="s">
        <v>292</v>
      </c>
      <c r="BE68" t="s">
        <v>298</v>
      </c>
      <c r="BF68" t="s">
        <v>299</v>
      </c>
      <c r="BG68" t="s">
        <v>288</v>
      </c>
      <c r="BH68">
        <v>2</v>
      </c>
      <c r="BI68" t="s">
        <v>300</v>
      </c>
      <c r="BJ68" t="s">
        <v>300</v>
      </c>
      <c r="CK68" t="s">
        <v>301</v>
      </c>
      <c r="CL68" t="s">
        <v>302</v>
      </c>
      <c r="CM68" t="s">
        <v>9</v>
      </c>
      <c r="CN68" s="2">
        <v>2</v>
      </c>
      <c r="CO68" t="s">
        <v>292</v>
      </c>
      <c r="CP68" t="s">
        <v>303</v>
      </c>
      <c r="CQ68" t="s">
        <v>303</v>
      </c>
      <c r="CR68" t="s">
        <v>304</v>
      </c>
      <c r="CS68" t="s">
        <v>353</v>
      </c>
      <c r="CT68">
        <v>52000</v>
      </c>
      <c r="CU68" t="b">
        <v>0</v>
      </c>
      <c r="CV68" t="s">
        <v>292</v>
      </c>
      <c r="CW68" t="s">
        <v>292</v>
      </c>
      <c r="CX68" t="s">
        <v>292</v>
      </c>
      <c r="CY68" t="b">
        <v>0</v>
      </c>
      <c r="CZ68" t="b">
        <v>0</v>
      </c>
      <c r="DC68" t="s">
        <v>292</v>
      </c>
      <c r="DD68">
        <v>-30958925</v>
      </c>
      <c r="DE68">
        <v>30803789.23</v>
      </c>
      <c r="DF68" t="s">
        <v>353</v>
      </c>
      <c r="DG68">
        <v>30958925</v>
      </c>
      <c r="DH68" t="s">
        <v>318</v>
      </c>
      <c r="DI68">
        <v>1</v>
      </c>
      <c r="DJ68">
        <f>DataTable[HLD_MaturityDate] - DataTable[SEC_Issue_Date]</f>
        <v>43578</v>
      </c>
    </row>
    <row r="69" spans="1:114" x14ac:dyDescent="0.2">
      <c r="A69" s="2">
        <v>43376</v>
      </c>
      <c r="B69" t="s">
        <v>6</v>
      </c>
      <c r="C69" t="s">
        <v>551</v>
      </c>
      <c r="D69" t="s">
        <v>552</v>
      </c>
      <c r="E69" t="s">
        <v>40</v>
      </c>
      <c r="F69" t="s">
        <v>10</v>
      </c>
      <c r="R69">
        <v>0</v>
      </c>
      <c r="S69">
        <v>0</v>
      </c>
      <c r="T69">
        <v>7248223.9100000001</v>
      </c>
      <c r="V69">
        <v>7248223.9100000001</v>
      </c>
      <c r="W69">
        <v>0</v>
      </c>
      <c r="Z69">
        <v>24</v>
      </c>
      <c r="AA69">
        <v>0</v>
      </c>
      <c r="AB69">
        <v>9.6945000000000001E-5</v>
      </c>
      <c r="AC69" t="s">
        <v>324</v>
      </c>
      <c r="AE69" t="s">
        <v>292</v>
      </c>
      <c r="AH69" t="s">
        <v>289</v>
      </c>
      <c r="AI69" t="s">
        <v>292</v>
      </c>
      <c r="AJ69" t="s">
        <v>290</v>
      </c>
      <c r="AK69" t="s">
        <v>292</v>
      </c>
      <c r="AM69" t="s">
        <v>292</v>
      </c>
      <c r="AN69" t="s">
        <v>292</v>
      </c>
      <c r="AO69" t="s">
        <v>292</v>
      </c>
      <c r="AP69" t="s">
        <v>292</v>
      </c>
      <c r="AQ69" t="s">
        <v>318</v>
      </c>
      <c r="AR69" t="s">
        <v>292</v>
      </c>
      <c r="AS69" t="s">
        <v>292</v>
      </c>
      <c r="AT69" t="s">
        <v>292</v>
      </c>
      <c r="AU69" t="s">
        <v>295</v>
      </c>
      <c r="AV69" t="s">
        <v>292</v>
      </c>
      <c r="CK69" t="s">
        <v>301</v>
      </c>
      <c r="CL69" t="s">
        <v>302</v>
      </c>
      <c r="CM69" t="s">
        <v>9</v>
      </c>
      <c r="CN69" s="2">
        <v>2</v>
      </c>
      <c r="CO69" t="s">
        <v>292</v>
      </c>
      <c r="CP69" t="s">
        <v>303</v>
      </c>
      <c r="CS69" t="s">
        <v>292</v>
      </c>
      <c r="CU69" t="b">
        <v>1</v>
      </c>
      <c r="CV69" t="s">
        <v>292</v>
      </c>
      <c r="CY69" t="b">
        <v>0</v>
      </c>
      <c r="CZ69" t="b">
        <v>0</v>
      </c>
      <c r="DC69" t="s">
        <v>292</v>
      </c>
      <c r="DJ69">
        <f>DataTable[HLD_MaturityDate] - DataTable[SEC_Issue_Date]</f>
        <v>-2</v>
      </c>
    </row>
    <row r="70" spans="1:114" x14ac:dyDescent="0.2">
      <c r="A70" s="2">
        <v>43376</v>
      </c>
      <c r="B70" t="s">
        <v>6</v>
      </c>
      <c r="C70" t="s">
        <v>38</v>
      </c>
      <c r="D70" t="s">
        <v>39</v>
      </c>
      <c r="E70" t="s">
        <v>40</v>
      </c>
      <c r="F70" t="s">
        <v>35</v>
      </c>
      <c r="R70">
        <v>0</v>
      </c>
      <c r="S70">
        <v>99.629731000000007</v>
      </c>
      <c r="T70">
        <v>-1992594629.27</v>
      </c>
      <c r="V70">
        <v>-1992594629.27</v>
      </c>
      <c r="Z70">
        <v>7</v>
      </c>
      <c r="AA70">
        <v>0</v>
      </c>
      <c r="AB70">
        <v>-2.6650955099999998E-2</v>
      </c>
      <c r="AC70" t="s">
        <v>35</v>
      </c>
      <c r="AE70" t="s">
        <v>514</v>
      </c>
      <c r="AF70" t="s">
        <v>515</v>
      </c>
      <c r="AG70" t="s">
        <v>515</v>
      </c>
      <c r="AH70" t="s">
        <v>330</v>
      </c>
      <c r="AI70" t="s">
        <v>468</v>
      </c>
      <c r="AJ70" t="s">
        <v>464</v>
      </c>
      <c r="AK70" t="s">
        <v>16</v>
      </c>
      <c r="AM70" t="s">
        <v>405</v>
      </c>
      <c r="AN70" t="s">
        <v>292</v>
      </c>
      <c r="AO70" t="s">
        <v>292</v>
      </c>
      <c r="AP70" t="s">
        <v>434</v>
      </c>
      <c r="AQ70" t="s">
        <v>318</v>
      </c>
      <c r="AR70" t="s">
        <v>292</v>
      </c>
      <c r="AS70" t="s">
        <v>292</v>
      </c>
      <c r="AT70" t="s">
        <v>334</v>
      </c>
      <c r="AU70" t="s">
        <v>292</v>
      </c>
      <c r="AV70" t="s">
        <v>435</v>
      </c>
      <c r="AY70" t="s">
        <v>471</v>
      </c>
      <c r="AZ70" t="s">
        <v>472</v>
      </c>
      <c r="BA70" t="s">
        <v>292</v>
      </c>
      <c r="BB70" t="s">
        <v>292</v>
      </c>
      <c r="BC70" t="s">
        <v>292</v>
      </c>
      <c r="BD70" t="s">
        <v>292</v>
      </c>
      <c r="BE70" t="s">
        <v>292</v>
      </c>
      <c r="BF70" t="s">
        <v>292</v>
      </c>
      <c r="CK70" t="s">
        <v>301</v>
      </c>
      <c r="CL70" t="s">
        <v>302</v>
      </c>
      <c r="CM70" t="s">
        <v>9</v>
      </c>
      <c r="CN70" s="2">
        <v>43377</v>
      </c>
      <c r="CO70" t="s">
        <v>292</v>
      </c>
      <c r="CP70" t="s">
        <v>303</v>
      </c>
      <c r="CQ70" t="s">
        <v>303</v>
      </c>
      <c r="CR70" t="s">
        <v>304</v>
      </c>
      <c r="CS70" t="s">
        <v>292</v>
      </c>
      <c r="CT70">
        <v>0</v>
      </c>
      <c r="CU70" t="b">
        <v>0</v>
      </c>
      <c r="CV70" t="s">
        <v>439</v>
      </c>
      <c r="CW70" t="s">
        <v>292</v>
      </c>
      <c r="CX70" t="s">
        <v>292</v>
      </c>
      <c r="CY70" t="b">
        <v>0</v>
      </c>
      <c r="CZ70" t="b">
        <v>0</v>
      </c>
      <c r="DC70" t="s">
        <v>292</v>
      </c>
      <c r="DJ70">
        <f>DataTable[HLD_MaturityDate] - DataTable[SEC_Issue_Date]</f>
        <v>-43377</v>
      </c>
    </row>
    <row r="71" spans="1:114" x14ac:dyDescent="0.2">
      <c r="A71" s="2">
        <v>43376</v>
      </c>
      <c r="B71" t="s">
        <v>6</v>
      </c>
      <c r="C71" t="s">
        <v>38</v>
      </c>
      <c r="D71" t="s">
        <v>39</v>
      </c>
      <c r="E71" t="s">
        <v>553</v>
      </c>
      <c r="F71" t="s">
        <v>35</v>
      </c>
      <c r="R71">
        <v>0</v>
      </c>
      <c r="S71">
        <v>99.633948000000004</v>
      </c>
      <c r="T71">
        <v>-996339480</v>
      </c>
      <c r="V71">
        <v>-996339480</v>
      </c>
      <c r="Z71">
        <v>7</v>
      </c>
      <c r="AA71">
        <v>0</v>
      </c>
      <c r="AB71">
        <v>-1.33260415E-2</v>
      </c>
      <c r="AC71" t="s">
        <v>35</v>
      </c>
      <c r="AE71" t="s">
        <v>514</v>
      </c>
      <c r="AF71" t="s">
        <v>515</v>
      </c>
      <c r="AG71" t="s">
        <v>515</v>
      </c>
      <c r="AH71" t="s">
        <v>330</v>
      </c>
      <c r="AI71" t="s">
        <v>468</v>
      </c>
      <c r="AJ71" t="s">
        <v>464</v>
      </c>
      <c r="AK71" t="s">
        <v>16</v>
      </c>
      <c r="AM71" t="s">
        <v>405</v>
      </c>
      <c r="AN71" t="s">
        <v>292</v>
      </c>
      <c r="AO71" t="s">
        <v>292</v>
      </c>
      <c r="AP71" t="s">
        <v>434</v>
      </c>
      <c r="AQ71" t="s">
        <v>318</v>
      </c>
      <c r="AR71" t="s">
        <v>292</v>
      </c>
      <c r="AS71" t="s">
        <v>292</v>
      </c>
      <c r="AT71" t="s">
        <v>334</v>
      </c>
      <c r="AU71" t="s">
        <v>292</v>
      </c>
      <c r="AV71" t="s">
        <v>435</v>
      </c>
      <c r="AY71" t="s">
        <v>471</v>
      </c>
      <c r="AZ71" t="s">
        <v>472</v>
      </c>
      <c r="BA71" t="s">
        <v>292</v>
      </c>
      <c r="BB71" t="s">
        <v>292</v>
      </c>
      <c r="BC71" t="s">
        <v>292</v>
      </c>
      <c r="BD71" t="s">
        <v>292</v>
      </c>
      <c r="BE71" t="s">
        <v>292</v>
      </c>
      <c r="BF71" t="s">
        <v>292</v>
      </c>
      <c r="CK71" t="s">
        <v>301</v>
      </c>
      <c r="CL71" t="s">
        <v>302</v>
      </c>
      <c r="CM71" t="s">
        <v>9</v>
      </c>
      <c r="CN71" s="2">
        <v>43377</v>
      </c>
      <c r="CO71" t="s">
        <v>292</v>
      </c>
      <c r="CP71" t="s">
        <v>303</v>
      </c>
      <c r="CQ71" t="s">
        <v>303</v>
      </c>
      <c r="CR71" t="s">
        <v>304</v>
      </c>
      <c r="CS71" t="s">
        <v>292</v>
      </c>
      <c r="CT71">
        <v>0</v>
      </c>
      <c r="CU71" t="b">
        <v>0</v>
      </c>
      <c r="CV71" t="s">
        <v>439</v>
      </c>
      <c r="CW71" t="s">
        <v>292</v>
      </c>
      <c r="CX71" t="s">
        <v>292</v>
      </c>
      <c r="CY71" t="b">
        <v>0</v>
      </c>
      <c r="CZ71" t="b">
        <v>0</v>
      </c>
      <c r="DC71" t="s">
        <v>292</v>
      </c>
      <c r="DJ71">
        <f>DataTable[HLD_MaturityDate] - DataTable[SEC_Issue_Date]</f>
        <v>-43377</v>
      </c>
    </row>
    <row r="72" spans="1:114" x14ac:dyDescent="0.2">
      <c r="A72" s="2">
        <v>43376</v>
      </c>
      <c r="B72" t="s">
        <v>6</v>
      </c>
      <c r="C72" t="s">
        <v>38</v>
      </c>
      <c r="D72" t="s">
        <v>41</v>
      </c>
      <c r="E72" t="s">
        <v>41</v>
      </c>
      <c r="F72" t="s">
        <v>41</v>
      </c>
      <c r="T72">
        <v>-173863.3</v>
      </c>
      <c r="Z72">
        <v>0</v>
      </c>
      <c r="AA72">
        <v>0</v>
      </c>
      <c r="AB72">
        <v>-2.3253999999999998E-6</v>
      </c>
      <c r="CK72" t="s">
        <v>301</v>
      </c>
      <c r="CL72" t="s">
        <v>302</v>
      </c>
      <c r="CM72" t="s">
        <v>9</v>
      </c>
      <c r="CN72" s="2"/>
      <c r="DJ72">
        <f>DataTable[HLD_MaturityDate] - DataTable[SEC_Issue_Date]</f>
        <v>0</v>
      </c>
    </row>
    <row r="73" spans="1:114" x14ac:dyDescent="0.2">
      <c r="A73" s="2">
        <v>43376</v>
      </c>
      <c r="B73" t="s">
        <v>6</v>
      </c>
      <c r="C73" t="s">
        <v>38</v>
      </c>
      <c r="D73" t="s">
        <v>41</v>
      </c>
      <c r="E73" t="s">
        <v>41</v>
      </c>
      <c r="F73" t="s">
        <v>41</v>
      </c>
      <c r="T73">
        <v>-1149.44</v>
      </c>
      <c r="Z73">
        <v>0</v>
      </c>
      <c r="AA73">
        <v>0</v>
      </c>
      <c r="AB73">
        <v>-1.5399999999999999E-8</v>
      </c>
      <c r="CK73" t="s">
        <v>301</v>
      </c>
      <c r="CL73" t="s">
        <v>302</v>
      </c>
      <c r="CM73" t="s">
        <v>9</v>
      </c>
      <c r="CN73" s="2"/>
      <c r="DJ73">
        <f>DataTable[HLD_MaturityDate] - DataTable[SEC_Issue_Date]</f>
        <v>0</v>
      </c>
    </row>
    <row r="74" spans="1:114" x14ac:dyDescent="0.2">
      <c r="A74" s="2">
        <v>43376</v>
      </c>
      <c r="B74" t="s">
        <v>6</v>
      </c>
      <c r="C74" t="s">
        <v>38</v>
      </c>
      <c r="D74" t="s">
        <v>42</v>
      </c>
      <c r="T74">
        <v>-1628535.17</v>
      </c>
      <c r="U74">
        <v>0</v>
      </c>
      <c r="Z74">
        <v>0</v>
      </c>
      <c r="AA74">
        <v>0</v>
      </c>
      <c r="AB74">
        <v>-2.1781699999999998E-5</v>
      </c>
      <c r="CK74" t="s">
        <v>301</v>
      </c>
      <c r="CL74" t="s">
        <v>302</v>
      </c>
      <c r="CM74" t="s">
        <v>9</v>
      </c>
      <c r="CN74" s="2"/>
      <c r="DJ74">
        <f>DataTable[HLD_MaturityDate] - DataTable[SEC_Issue_Date]</f>
        <v>0</v>
      </c>
    </row>
    <row r="75" spans="1:114" x14ac:dyDescent="0.2">
      <c r="A75" s="2">
        <v>43376</v>
      </c>
      <c r="B75" t="s">
        <v>6</v>
      </c>
      <c r="C75" t="s">
        <v>38</v>
      </c>
      <c r="D75" t="s">
        <v>554</v>
      </c>
      <c r="E75" t="s">
        <v>554</v>
      </c>
      <c r="T75">
        <v>0</v>
      </c>
      <c r="V75">
        <v>0</v>
      </c>
      <c r="Z75">
        <v>0</v>
      </c>
      <c r="AA75">
        <v>0</v>
      </c>
      <c r="AB75">
        <v>0</v>
      </c>
      <c r="CK75" t="s">
        <v>301</v>
      </c>
      <c r="CL75" t="s">
        <v>302</v>
      </c>
      <c r="CM75" t="s">
        <v>9</v>
      </c>
      <c r="CN75" s="2"/>
      <c r="DJ75">
        <f>DataTable[HLD_MaturityDate] - DataTable[SEC_Issue_Date]</f>
        <v>0</v>
      </c>
    </row>
    <row r="76" spans="1:114" x14ac:dyDescent="0.2">
      <c r="A76" s="2">
        <v>43376</v>
      </c>
      <c r="B76" t="s">
        <v>6</v>
      </c>
      <c r="C76" t="s">
        <v>38</v>
      </c>
      <c r="D76" t="s">
        <v>555</v>
      </c>
      <c r="E76" t="s">
        <v>555</v>
      </c>
      <c r="F76" t="s">
        <v>555</v>
      </c>
      <c r="T76">
        <v>-4182.17</v>
      </c>
      <c r="Z76">
        <v>0</v>
      </c>
      <c r="AA76">
        <v>0</v>
      </c>
      <c r="AB76">
        <v>-5.5899999999999998E-8</v>
      </c>
      <c r="CK76" t="s">
        <v>301</v>
      </c>
      <c r="CL76" t="s">
        <v>302</v>
      </c>
      <c r="CM76" t="s">
        <v>9</v>
      </c>
      <c r="CN76" s="2"/>
      <c r="DJ76">
        <f>DataTable[HLD_MaturityDate] - DataTable[SEC_Issue_Date]</f>
        <v>0</v>
      </c>
    </row>
    <row r="77" spans="1:114" x14ac:dyDescent="0.2">
      <c r="A77" s="2">
        <v>43376</v>
      </c>
      <c r="B77" t="s">
        <v>6</v>
      </c>
      <c r="C77" t="s">
        <v>38</v>
      </c>
      <c r="D77" t="s">
        <v>555</v>
      </c>
      <c r="E77" t="s">
        <v>555</v>
      </c>
      <c r="F77" t="s">
        <v>555</v>
      </c>
      <c r="T77">
        <v>-424.95</v>
      </c>
      <c r="Z77">
        <v>0</v>
      </c>
      <c r="AA77">
        <v>0</v>
      </c>
      <c r="AB77">
        <v>-5.6999999999999998E-9</v>
      </c>
      <c r="CK77" t="s">
        <v>301</v>
      </c>
      <c r="CL77" t="s">
        <v>302</v>
      </c>
      <c r="CM77" t="s">
        <v>9</v>
      </c>
      <c r="CN77" s="2"/>
      <c r="DJ77">
        <f>DataTable[HLD_MaturityDate] - DataTable[SEC_Issue_Date]</f>
        <v>0</v>
      </c>
    </row>
    <row r="78" spans="1:114" x14ac:dyDescent="0.2">
      <c r="A78" s="2">
        <v>43376</v>
      </c>
      <c r="B78" t="s">
        <v>6</v>
      </c>
      <c r="C78" t="s">
        <v>38</v>
      </c>
      <c r="D78" t="s">
        <v>43</v>
      </c>
      <c r="E78" t="s">
        <v>43</v>
      </c>
      <c r="T78">
        <v>-57632079.109999999</v>
      </c>
      <c r="V78">
        <v>-57632079.109999999</v>
      </c>
      <c r="Z78">
        <v>0</v>
      </c>
      <c r="AA78">
        <v>0</v>
      </c>
      <c r="AB78">
        <v>-7.7082910000000004E-4</v>
      </c>
      <c r="CK78" t="s">
        <v>301</v>
      </c>
      <c r="CL78" t="s">
        <v>302</v>
      </c>
      <c r="CM78" t="s">
        <v>9</v>
      </c>
      <c r="CN78" s="2"/>
      <c r="DJ78">
        <f>DataTable[HLD_MaturityDate] - DataTable[SEC_Issue_Date]</f>
        <v>0</v>
      </c>
    </row>
    <row r="79" spans="1:114" x14ac:dyDescent="0.2">
      <c r="A79" s="2">
        <v>43376</v>
      </c>
      <c r="B79" t="s">
        <v>6</v>
      </c>
      <c r="C79" t="s">
        <v>38</v>
      </c>
      <c r="D79" t="s">
        <v>44</v>
      </c>
      <c r="E79" t="s">
        <v>44</v>
      </c>
      <c r="T79">
        <v>-740029.92</v>
      </c>
      <c r="V79">
        <v>-740029.92</v>
      </c>
      <c r="Z79">
        <v>0</v>
      </c>
      <c r="AA79">
        <v>0</v>
      </c>
      <c r="AB79">
        <v>-9.8979000000000006E-6</v>
      </c>
      <c r="CK79" t="s">
        <v>301</v>
      </c>
      <c r="CL79" t="s">
        <v>302</v>
      </c>
      <c r="CM79" t="s">
        <v>9</v>
      </c>
      <c r="CN79" s="2"/>
      <c r="DJ79">
        <f>DataTable[HLD_MaturityDate] - DataTable[SEC_Issue_Date]</f>
        <v>0</v>
      </c>
    </row>
    <row r="80" spans="1:114" x14ac:dyDescent="0.2">
      <c r="A80" s="2">
        <v>43376</v>
      </c>
      <c r="B80" t="s">
        <v>6</v>
      </c>
      <c r="C80" t="s">
        <v>45</v>
      </c>
      <c r="D80" t="s">
        <v>44</v>
      </c>
      <c r="E80" t="s">
        <v>44</v>
      </c>
      <c r="T80">
        <v>-21918.31</v>
      </c>
      <c r="V80">
        <v>-21918.31</v>
      </c>
      <c r="Z80">
        <v>0</v>
      </c>
      <c r="AA80">
        <v>0</v>
      </c>
      <c r="AB80">
        <v>-2.932E-7</v>
      </c>
      <c r="CK80" t="s">
        <v>301</v>
      </c>
      <c r="CL80" t="s">
        <v>302</v>
      </c>
      <c r="CM80" t="s">
        <v>9</v>
      </c>
      <c r="CN80" s="2"/>
      <c r="DJ80">
        <f>DataTable[HLD_MaturityDate] - DataTable[SEC_Issue_Date]</f>
        <v>0</v>
      </c>
    </row>
    <row r="81" spans="1:114" x14ac:dyDescent="0.2">
      <c r="A81" s="2">
        <v>43376</v>
      </c>
      <c r="B81" t="s">
        <v>6</v>
      </c>
      <c r="C81" t="s">
        <v>45</v>
      </c>
      <c r="D81" t="s">
        <v>43</v>
      </c>
      <c r="E81" t="s">
        <v>43</v>
      </c>
      <c r="T81">
        <v>-1706955.23</v>
      </c>
      <c r="V81">
        <v>-1706955.23</v>
      </c>
      <c r="Z81">
        <v>0</v>
      </c>
      <c r="AA81">
        <v>0</v>
      </c>
      <c r="AB81">
        <v>-2.2830500000000001E-5</v>
      </c>
      <c r="CK81" t="s">
        <v>301</v>
      </c>
      <c r="CL81" t="s">
        <v>302</v>
      </c>
      <c r="CM81" t="s">
        <v>9</v>
      </c>
      <c r="CN81" s="2"/>
      <c r="DJ81">
        <f>DataTable[HLD_MaturityDate] - DataTable[SEC_Issue_Date]</f>
        <v>0</v>
      </c>
    </row>
    <row r="82" spans="1:114" x14ac:dyDescent="0.2">
      <c r="A82" s="2">
        <v>43376</v>
      </c>
      <c r="B82" t="s">
        <v>6</v>
      </c>
      <c r="C82" t="s">
        <v>45</v>
      </c>
      <c r="D82" t="s">
        <v>554</v>
      </c>
      <c r="E82" t="s">
        <v>554</v>
      </c>
      <c r="T82">
        <v>0</v>
      </c>
      <c r="V82">
        <v>0</v>
      </c>
      <c r="Z82">
        <v>0</v>
      </c>
      <c r="AA82">
        <v>0</v>
      </c>
      <c r="AB82">
        <v>0</v>
      </c>
      <c r="CK82" t="s">
        <v>301</v>
      </c>
      <c r="CL82" t="s">
        <v>302</v>
      </c>
      <c r="CM82" t="s">
        <v>9</v>
      </c>
      <c r="CN82" s="2"/>
      <c r="DJ82">
        <f>DataTable[HLD_MaturityDate] - DataTable[SEC_Issue_Date]</f>
        <v>0</v>
      </c>
    </row>
    <row r="83" spans="1:114" x14ac:dyDescent="0.2">
      <c r="A83" s="2">
        <v>43376</v>
      </c>
      <c r="B83" t="s">
        <v>46</v>
      </c>
      <c r="C83" t="s">
        <v>7</v>
      </c>
      <c r="D83" t="s">
        <v>8</v>
      </c>
      <c r="F83" t="s">
        <v>556</v>
      </c>
      <c r="G83" t="s">
        <v>313</v>
      </c>
      <c r="H83" t="s">
        <v>557</v>
      </c>
      <c r="T83">
        <v>0</v>
      </c>
      <c r="V83">
        <v>0</v>
      </c>
      <c r="W83">
        <v>0</v>
      </c>
      <c r="X83">
        <v>0</v>
      </c>
      <c r="Z83">
        <v>0</v>
      </c>
      <c r="AA83">
        <v>0</v>
      </c>
      <c r="AB83">
        <v>0</v>
      </c>
      <c r="AC83" t="s">
        <v>556</v>
      </c>
      <c r="AE83" t="s">
        <v>556</v>
      </c>
      <c r="AH83" t="s">
        <v>289</v>
      </c>
      <c r="AI83" t="s">
        <v>557</v>
      </c>
      <c r="AJ83" t="s">
        <v>290</v>
      </c>
      <c r="AK83" t="s">
        <v>291</v>
      </c>
      <c r="AM83" t="s">
        <v>287</v>
      </c>
      <c r="AN83" t="s">
        <v>292</v>
      </c>
      <c r="AO83" t="s">
        <v>292</v>
      </c>
      <c r="AP83" t="s">
        <v>293</v>
      </c>
      <c r="AQ83" t="s">
        <v>558</v>
      </c>
      <c r="AR83" t="s">
        <v>313</v>
      </c>
      <c r="AS83" t="s">
        <v>292</v>
      </c>
      <c r="AT83" t="s">
        <v>292</v>
      </c>
      <c r="AU83" t="s">
        <v>295</v>
      </c>
      <c r="AV83" t="s">
        <v>292</v>
      </c>
      <c r="AY83" t="s">
        <v>292</v>
      </c>
      <c r="AZ83" t="s">
        <v>559</v>
      </c>
      <c r="BA83" t="s">
        <v>292</v>
      </c>
      <c r="BB83" t="s">
        <v>292</v>
      </c>
      <c r="BC83" t="s">
        <v>292</v>
      </c>
      <c r="BD83" t="s">
        <v>292</v>
      </c>
      <c r="BE83" t="s">
        <v>292</v>
      </c>
      <c r="BF83" t="s">
        <v>292</v>
      </c>
      <c r="CK83" t="s">
        <v>560</v>
      </c>
      <c r="CL83" t="s">
        <v>561</v>
      </c>
      <c r="CM83" t="s">
        <v>9</v>
      </c>
      <c r="CN83" s="2">
        <v>2</v>
      </c>
      <c r="CO83" t="s">
        <v>292</v>
      </c>
      <c r="CP83" t="s">
        <v>363</v>
      </c>
      <c r="CQ83" t="s">
        <v>292</v>
      </c>
      <c r="CR83" t="s">
        <v>292</v>
      </c>
      <c r="CS83" t="s">
        <v>292</v>
      </c>
      <c r="CT83">
        <v>0</v>
      </c>
      <c r="CU83" t="b">
        <v>1</v>
      </c>
      <c r="CV83" t="s">
        <v>292</v>
      </c>
      <c r="CW83" t="s">
        <v>292</v>
      </c>
      <c r="CX83" t="s">
        <v>292</v>
      </c>
      <c r="CY83" t="b">
        <v>0</v>
      </c>
      <c r="CZ83" t="b">
        <v>0</v>
      </c>
      <c r="DC83" t="s">
        <v>292</v>
      </c>
      <c r="DD83">
        <v>0</v>
      </c>
      <c r="DE83">
        <v>0</v>
      </c>
      <c r="DG83">
        <v>0</v>
      </c>
      <c r="DH83" t="s">
        <v>558</v>
      </c>
      <c r="DI83">
        <v>8.8091799999999996</v>
      </c>
      <c r="DJ83">
        <f>DataTable[HLD_MaturityDate] - DataTable[SEC_Issue_Date]</f>
        <v>-2</v>
      </c>
    </row>
    <row r="84" spans="1:114" x14ac:dyDescent="0.2">
      <c r="A84" s="2">
        <v>43376</v>
      </c>
      <c r="B84" t="s">
        <v>46</v>
      </c>
      <c r="C84" t="s">
        <v>7</v>
      </c>
      <c r="D84" t="s">
        <v>8</v>
      </c>
      <c r="F84" t="s">
        <v>284</v>
      </c>
      <c r="H84" t="s">
        <v>285</v>
      </c>
      <c r="I84" t="s">
        <v>286</v>
      </c>
      <c r="J84" t="s">
        <v>287</v>
      </c>
      <c r="K84" t="s">
        <v>288</v>
      </c>
      <c r="T84">
        <v>0</v>
      </c>
      <c r="V84">
        <v>0</v>
      </c>
      <c r="W84">
        <v>0</v>
      </c>
      <c r="X84">
        <v>0</v>
      </c>
      <c r="Z84">
        <v>0</v>
      </c>
      <c r="AA84">
        <v>0</v>
      </c>
      <c r="AB84">
        <v>0</v>
      </c>
      <c r="AC84" t="s">
        <v>284</v>
      </c>
      <c r="AE84" t="s">
        <v>284</v>
      </c>
      <c r="AH84" t="s">
        <v>289</v>
      </c>
      <c r="AI84" t="s">
        <v>285</v>
      </c>
      <c r="AJ84" t="s">
        <v>290</v>
      </c>
      <c r="AK84" t="s">
        <v>291</v>
      </c>
      <c r="AM84" t="s">
        <v>287</v>
      </c>
      <c r="AN84" t="s">
        <v>292</v>
      </c>
      <c r="AO84" t="s">
        <v>292</v>
      </c>
      <c r="AP84" t="s">
        <v>293</v>
      </c>
      <c r="AQ84" t="s">
        <v>294</v>
      </c>
      <c r="AR84" t="s">
        <v>292</v>
      </c>
      <c r="AS84" t="s">
        <v>292</v>
      </c>
      <c r="AT84" t="s">
        <v>292</v>
      </c>
      <c r="AU84" t="s">
        <v>295</v>
      </c>
      <c r="AV84" t="s">
        <v>292</v>
      </c>
      <c r="AY84" t="s">
        <v>296</v>
      </c>
      <c r="AZ84" t="s">
        <v>297</v>
      </c>
      <c r="BA84" t="s">
        <v>286</v>
      </c>
      <c r="BB84" t="s">
        <v>292</v>
      </c>
      <c r="BC84" t="s">
        <v>288</v>
      </c>
      <c r="BD84" t="s">
        <v>292</v>
      </c>
      <c r="BE84" t="s">
        <v>298</v>
      </c>
      <c r="BF84" t="s">
        <v>299</v>
      </c>
      <c r="BG84" t="s">
        <v>288</v>
      </c>
      <c r="BH84">
        <v>2</v>
      </c>
      <c r="BI84" t="s">
        <v>300</v>
      </c>
      <c r="BJ84" t="s">
        <v>300</v>
      </c>
      <c r="CK84" t="s">
        <v>560</v>
      </c>
      <c r="CL84" t="s">
        <v>561</v>
      </c>
      <c r="CM84" t="s">
        <v>9</v>
      </c>
      <c r="CN84" s="2">
        <v>2</v>
      </c>
      <c r="CO84" t="s">
        <v>292</v>
      </c>
      <c r="CP84" t="s">
        <v>303</v>
      </c>
      <c r="CQ84" t="s">
        <v>303</v>
      </c>
      <c r="CR84" t="s">
        <v>304</v>
      </c>
      <c r="CS84" t="s">
        <v>292</v>
      </c>
      <c r="CT84">
        <v>52000</v>
      </c>
      <c r="CU84" t="b">
        <v>1</v>
      </c>
      <c r="CV84" t="s">
        <v>292</v>
      </c>
      <c r="CW84" t="s">
        <v>292</v>
      </c>
      <c r="CX84" t="s">
        <v>292</v>
      </c>
      <c r="CY84" t="b">
        <v>0</v>
      </c>
      <c r="CZ84" t="b">
        <v>0</v>
      </c>
      <c r="DC84" t="s">
        <v>292</v>
      </c>
      <c r="DD84">
        <v>0</v>
      </c>
      <c r="DE84">
        <v>0</v>
      </c>
      <c r="DG84">
        <v>0</v>
      </c>
      <c r="DH84" t="s">
        <v>294</v>
      </c>
      <c r="DI84">
        <v>4.6978</v>
      </c>
      <c r="DJ84">
        <f>DataTable[HLD_MaturityDate] - DataTable[SEC_Issue_Date]</f>
        <v>-2</v>
      </c>
    </row>
    <row r="85" spans="1:114" x14ac:dyDescent="0.2">
      <c r="A85" s="2">
        <v>43376</v>
      </c>
      <c r="B85" t="s">
        <v>46</v>
      </c>
      <c r="C85" t="s">
        <v>7</v>
      </c>
      <c r="D85" t="s">
        <v>8</v>
      </c>
      <c r="F85" t="s">
        <v>305</v>
      </c>
      <c r="H85" t="s">
        <v>285</v>
      </c>
      <c r="I85" t="s">
        <v>286</v>
      </c>
      <c r="J85" t="s">
        <v>287</v>
      </c>
      <c r="K85" t="s">
        <v>288</v>
      </c>
      <c r="T85">
        <v>0</v>
      </c>
      <c r="V85">
        <v>0</v>
      </c>
      <c r="W85">
        <v>0</v>
      </c>
      <c r="X85">
        <v>0</v>
      </c>
      <c r="Z85">
        <v>0</v>
      </c>
      <c r="AA85">
        <v>0</v>
      </c>
      <c r="AB85">
        <v>0</v>
      </c>
      <c r="AC85" t="s">
        <v>305</v>
      </c>
      <c r="AE85" t="s">
        <v>306</v>
      </c>
      <c r="AH85" t="s">
        <v>289</v>
      </c>
      <c r="AI85" t="s">
        <v>285</v>
      </c>
      <c r="AJ85" t="s">
        <v>290</v>
      </c>
      <c r="AK85" t="s">
        <v>291</v>
      </c>
      <c r="AM85" t="s">
        <v>287</v>
      </c>
      <c r="AN85" t="s">
        <v>292</v>
      </c>
      <c r="AO85" t="s">
        <v>292</v>
      </c>
      <c r="AP85" t="s">
        <v>293</v>
      </c>
      <c r="AQ85" t="s">
        <v>307</v>
      </c>
      <c r="AR85" t="s">
        <v>292</v>
      </c>
      <c r="AS85" t="s">
        <v>292</v>
      </c>
      <c r="AT85" t="s">
        <v>292</v>
      </c>
      <c r="AU85" t="s">
        <v>295</v>
      </c>
      <c r="AV85" t="s">
        <v>292</v>
      </c>
      <c r="AY85" t="s">
        <v>296</v>
      </c>
      <c r="AZ85" t="s">
        <v>297</v>
      </c>
      <c r="BA85" t="s">
        <v>286</v>
      </c>
      <c r="BB85" t="s">
        <v>292</v>
      </c>
      <c r="BC85" t="s">
        <v>288</v>
      </c>
      <c r="BD85" t="s">
        <v>292</v>
      </c>
      <c r="BE85" t="s">
        <v>298</v>
      </c>
      <c r="BF85" t="s">
        <v>299</v>
      </c>
      <c r="BG85" t="s">
        <v>288</v>
      </c>
      <c r="BH85">
        <v>2</v>
      </c>
      <c r="BI85" t="s">
        <v>300</v>
      </c>
      <c r="BJ85" t="s">
        <v>300</v>
      </c>
      <c r="CK85" t="s">
        <v>560</v>
      </c>
      <c r="CL85" t="s">
        <v>561</v>
      </c>
      <c r="CM85" t="s">
        <v>9</v>
      </c>
      <c r="CN85" s="2">
        <v>2</v>
      </c>
      <c r="CO85" t="s">
        <v>292</v>
      </c>
      <c r="CP85" t="s">
        <v>308</v>
      </c>
      <c r="CQ85" t="s">
        <v>303</v>
      </c>
      <c r="CR85" t="s">
        <v>304</v>
      </c>
      <c r="CS85" t="s">
        <v>292</v>
      </c>
      <c r="CT85">
        <v>52000</v>
      </c>
      <c r="CU85" t="b">
        <v>1</v>
      </c>
      <c r="CV85" t="s">
        <v>292</v>
      </c>
      <c r="CW85" t="s">
        <v>292</v>
      </c>
      <c r="CX85" t="s">
        <v>292</v>
      </c>
      <c r="CY85" t="b">
        <v>0</v>
      </c>
      <c r="CZ85" t="b">
        <v>0</v>
      </c>
      <c r="DC85" t="s">
        <v>292</v>
      </c>
      <c r="DD85">
        <v>0</v>
      </c>
      <c r="DE85">
        <v>0</v>
      </c>
      <c r="DG85">
        <v>0</v>
      </c>
      <c r="DH85" t="s">
        <v>307</v>
      </c>
      <c r="DI85">
        <v>37.445099999999996</v>
      </c>
      <c r="DJ85">
        <f>DataTable[HLD_MaturityDate] - DataTable[SEC_Issue_Date]</f>
        <v>-2</v>
      </c>
    </row>
    <row r="86" spans="1:114" x14ac:dyDescent="0.2">
      <c r="A86" s="2">
        <v>43376</v>
      </c>
      <c r="B86" t="s">
        <v>46</v>
      </c>
      <c r="C86" t="s">
        <v>7</v>
      </c>
      <c r="D86" t="s">
        <v>8</v>
      </c>
      <c r="F86" t="s">
        <v>562</v>
      </c>
      <c r="H86" t="s">
        <v>47</v>
      </c>
      <c r="I86" t="s">
        <v>286</v>
      </c>
      <c r="J86" t="s">
        <v>287</v>
      </c>
      <c r="K86" t="s">
        <v>288</v>
      </c>
      <c r="T86">
        <v>0</v>
      </c>
      <c r="V86">
        <v>0</v>
      </c>
      <c r="W86">
        <v>0</v>
      </c>
      <c r="X86">
        <v>0</v>
      </c>
      <c r="Z86">
        <v>0</v>
      </c>
      <c r="AA86">
        <v>0</v>
      </c>
      <c r="AB86">
        <v>0</v>
      </c>
      <c r="AC86" t="s">
        <v>562</v>
      </c>
      <c r="AE86" t="s">
        <v>562</v>
      </c>
      <c r="AH86" t="s">
        <v>289</v>
      </c>
      <c r="AI86" t="s">
        <v>47</v>
      </c>
      <c r="AJ86" t="s">
        <v>290</v>
      </c>
      <c r="AK86" t="s">
        <v>291</v>
      </c>
      <c r="AM86" t="s">
        <v>287</v>
      </c>
      <c r="AN86" t="s">
        <v>292</v>
      </c>
      <c r="AO86" t="s">
        <v>292</v>
      </c>
      <c r="AP86" t="s">
        <v>293</v>
      </c>
      <c r="AQ86" t="s">
        <v>563</v>
      </c>
      <c r="AR86" t="s">
        <v>292</v>
      </c>
      <c r="AS86" t="s">
        <v>292</v>
      </c>
      <c r="AT86" t="s">
        <v>292</v>
      </c>
      <c r="AU86" t="s">
        <v>295</v>
      </c>
      <c r="AV86" t="s">
        <v>292</v>
      </c>
      <c r="AY86" t="s">
        <v>564</v>
      </c>
      <c r="AZ86" t="s">
        <v>565</v>
      </c>
      <c r="BA86" t="s">
        <v>286</v>
      </c>
      <c r="BB86" t="s">
        <v>292</v>
      </c>
      <c r="BC86" t="s">
        <v>288</v>
      </c>
      <c r="BD86" t="s">
        <v>292</v>
      </c>
      <c r="BE86" t="s">
        <v>298</v>
      </c>
      <c r="BF86" t="s">
        <v>299</v>
      </c>
      <c r="BG86" t="s">
        <v>288</v>
      </c>
      <c r="BH86">
        <v>2</v>
      </c>
      <c r="BI86" t="s">
        <v>300</v>
      </c>
      <c r="BJ86" t="s">
        <v>300</v>
      </c>
      <c r="CK86" t="s">
        <v>560</v>
      </c>
      <c r="CL86" t="s">
        <v>561</v>
      </c>
      <c r="CM86" t="s">
        <v>9</v>
      </c>
      <c r="CN86" s="2">
        <v>2</v>
      </c>
      <c r="CO86" t="s">
        <v>292</v>
      </c>
      <c r="CP86" t="s">
        <v>303</v>
      </c>
      <c r="CQ86" t="s">
        <v>303</v>
      </c>
      <c r="CR86" t="s">
        <v>304</v>
      </c>
      <c r="CS86" t="s">
        <v>292</v>
      </c>
      <c r="CT86">
        <v>39000</v>
      </c>
      <c r="CU86" t="b">
        <v>1</v>
      </c>
      <c r="CV86" t="s">
        <v>311</v>
      </c>
      <c r="CW86" t="s">
        <v>292</v>
      </c>
      <c r="CX86" t="s">
        <v>292</v>
      </c>
      <c r="CY86" t="b">
        <v>0</v>
      </c>
      <c r="CZ86" t="b">
        <v>0</v>
      </c>
      <c r="DC86" t="s">
        <v>292</v>
      </c>
      <c r="DD86">
        <v>0</v>
      </c>
      <c r="DE86">
        <v>0</v>
      </c>
      <c r="DG86">
        <v>0</v>
      </c>
      <c r="DH86" t="s">
        <v>563</v>
      </c>
      <c r="DI86">
        <v>42.116999999999997</v>
      </c>
      <c r="DJ86">
        <f>DataTable[HLD_MaturityDate] - DataTable[SEC_Issue_Date]</f>
        <v>-2</v>
      </c>
    </row>
    <row r="87" spans="1:114" x14ac:dyDescent="0.2">
      <c r="A87" s="2">
        <v>43376</v>
      </c>
      <c r="B87" t="s">
        <v>46</v>
      </c>
      <c r="C87" t="s">
        <v>7</v>
      </c>
      <c r="D87" t="s">
        <v>8</v>
      </c>
      <c r="F87" t="s">
        <v>309</v>
      </c>
      <c r="H87" t="s">
        <v>285</v>
      </c>
      <c r="I87" t="s">
        <v>286</v>
      </c>
      <c r="J87" t="s">
        <v>287</v>
      </c>
      <c r="K87" t="s">
        <v>288</v>
      </c>
      <c r="T87">
        <v>0</v>
      </c>
      <c r="V87">
        <v>0</v>
      </c>
      <c r="W87">
        <v>0</v>
      </c>
      <c r="X87">
        <v>0</v>
      </c>
      <c r="Z87">
        <v>0</v>
      </c>
      <c r="AA87">
        <v>0</v>
      </c>
      <c r="AB87">
        <v>0</v>
      </c>
      <c r="AC87" t="s">
        <v>309</v>
      </c>
      <c r="AE87" t="s">
        <v>309</v>
      </c>
      <c r="AH87" t="s">
        <v>289</v>
      </c>
      <c r="AI87" t="s">
        <v>285</v>
      </c>
      <c r="AJ87" t="s">
        <v>290</v>
      </c>
      <c r="AK87" t="s">
        <v>291</v>
      </c>
      <c r="AM87" t="s">
        <v>287</v>
      </c>
      <c r="AN87" t="s">
        <v>292</v>
      </c>
      <c r="AO87" t="s">
        <v>292</v>
      </c>
      <c r="AP87" t="s">
        <v>293</v>
      </c>
      <c r="AQ87" t="s">
        <v>310</v>
      </c>
      <c r="AR87" t="s">
        <v>292</v>
      </c>
      <c r="AS87" t="s">
        <v>292</v>
      </c>
      <c r="AT87" t="s">
        <v>292</v>
      </c>
      <c r="AU87" t="s">
        <v>295</v>
      </c>
      <c r="AV87" t="s">
        <v>292</v>
      </c>
      <c r="AY87" t="s">
        <v>296</v>
      </c>
      <c r="AZ87" t="s">
        <v>297</v>
      </c>
      <c r="BA87" t="s">
        <v>286</v>
      </c>
      <c r="BB87" t="s">
        <v>292</v>
      </c>
      <c r="BC87" t="s">
        <v>288</v>
      </c>
      <c r="BD87" t="s">
        <v>292</v>
      </c>
      <c r="BE87" t="s">
        <v>298</v>
      </c>
      <c r="BF87" t="s">
        <v>299</v>
      </c>
      <c r="BG87" t="s">
        <v>288</v>
      </c>
      <c r="BH87">
        <v>2</v>
      </c>
      <c r="BI87" t="s">
        <v>300</v>
      </c>
      <c r="BJ87" t="s">
        <v>300</v>
      </c>
      <c r="CK87" t="s">
        <v>560</v>
      </c>
      <c r="CL87" t="s">
        <v>561</v>
      </c>
      <c r="CM87" t="s">
        <v>9</v>
      </c>
      <c r="CN87" s="2">
        <v>2</v>
      </c>
      <c r="CO87" t="s">
        <v>292</v>
      </c>
      <c r="CP87" t="s">
        <v>303</v>
      </c>
      <c r="CQ87" t="s">
        <v>303</v>
      </c>
      <c r="CR87" t="s">
        <v>304</v>
      </c>
      <c r="CS87" t="s">
        <v>292</v>
      </c>
      <c r="CT87">
        <v>52000</v>
      </c>
      <c r="CU87" t="b">
        <v>1</v>
      </c>
      <c r="CV87" t="s">
        <v>311</v>
      </c>
      <c r="CW87" t="s">
        <v>292</v>
      </c>
      <c r="CX87" t="s">
        <v>292</v>
      </c>
      <c r="CY87" t="b">
        <v>0</v>
      </c>
      <c r="CZ87" t="b">
        <v>0</v>
      </c>
      <c r="DC87" t="s">
        <v>292</v>
      </c>
      <c r="DD87">
        <v>0</v>
      </c>
      <c r="DE87">
        <v>0</v>
      </c>
      <c r="DG87">
        <v>0</v>
      </c>
      <c r="DH87" t="s">
        <v>310</v>
      </c>
      <c r="DI87">
        <v>4.1292</v>
      </c>
      <c r="DJ87">
        <f>DataTable[HLD_MaturityDate] - DataTable[SEC_Issue_Date]</f>
        <v>-2</v>
      </c>
    </row>
    <row r="88" spans="1:114" x14ac:dyDescent="0.2">
      <c r="A88" s="2">
        <v>43376</v>
      </c>
      <c r="B88" t="s">
        <v>46</v>
      </c>
      <c r="C88" t="s">
        <v>7</v>
      </c>
      <c r="D88" t="s">
        <v>8</v>
      </c>
      <c r="F88" t="s">
        <v>566</v>
      </c>
      <c r="H88" t="s">
        <v>285</v>
      </c>
      <c r="I88" t="s">
        <v>286</v>
      </c>
      <c r="J88" t="s">
        <v>287</v>
      </c>
      <c r="K88" t="s">
        <v>288</v>
      </c>
      <c r="T88">
        <v>0</v>
      </c>
      <c r="V88">
        <v>0</v>
      </c>
      <c r="W88">
        <v>0</v>
      </c>
      <c r="X88">
        <v>0</v>
      </c>
      <c r="Z88">
        <v>0</v>
      </c>
      <c r="AA88">
        <v>0</v>
      </c>
      <c r="AB88">
        <v>0</v>
      </c>
      <c r="AC88" t="s">
        <v>566</v>
      </c>
      <c r="AE88" t="s">
        <v>320</v>
      </c>
      <c r="AH88" t="s">
        <v>289</v>
      </c>
      <c r="AI88" t="s">
        <v>285</v>
      </c>
      <c r="AJ88" t="s">
        <v>290</v>
      </c>
      <c r="AK88" t="s">
        <v>291</v>
      </c>
      <c r="AM88" t="s">
        <v>287</v>
      </c>
      <c r="AN88" t="s">
        <v>292</v>
      </c>
      <c r="AO88" t="s">
        <v>292</v>
      </c>
      <c r="AP88" t="s">
        <v>293</v>
      </c>
      <c r="AQ88" t="s">
        <v>567</v>
      </c>
      <c r="AR88" t="s">
        <v>292</v>
      </c>
      <c r="AS88" t="s">
        <v>292</v>
      </c>
      <c r="AT88" t="s">
        <v>292</v>
      </c>
      <c r="AU88" t="s">
        <v>295</v>
      </c>
      <c r="AV88" t="s">
        <v>292</v>
      </c>
      <c r="AY88" t="s">
        <v>296</v>
      </c>
      <c r="AZ88" t="s">
        <v>297</v>
      </c>
      <c r="BA88" t="s">
        <v>286</v>
      </c>
      <c r="BB88" t="s">
        <v>292</v>
      </c>
      <c r="BC88" t="s">
        <v>288</v>
      </c>
      <c r="BD88" t="s">
        <v>292</v>
      </c>
      <c r="BE88" t="s">
        <v>298</v>
      </c>
      <c r="BF88" t="s">
        <v>299</v>
      </c>
      <c r="BG88" t="s">
        <v>288</v>
      </c>
      <c r="BH88">
        <v>2</v>
      </c>
      <c r="BI88" t="s">
        <v>300</v>
      </c>
      <c r="BJ88" t="s">
        <v>300</v>
      </c>
      <c r="CK88" t="s">
        <v>560</v>
      </c>
      <c r="CL88" t="s">
        <v>561</v>
      </c>
      <c r="CM88" t="s">
        <v>9</v>
      </c>
      <c r="CN88" s="2">
        <v>2</v>
      </c>
      <c r="CO88" t="s">
        <v>292</v>
      </c>
      <c r="CP88" t="s">
        <v>568</v>
      </c>
      <c r="CQ88" t="s">
        <v>303</v>
      </c>
      <c r="CR88" t="s">
        <v>304</v>
      </c>
      <c r="CS88" t="s">
        <v>292</v>
      </c>
      <c r="CT88">
        <v>52000</v>
      </c>
      <c r="CU88" t="b">
        <v>1</v>
      </c>
      <c r="CV88" t="s">
        <v>292</v>
      </c>
      <c r="CW88" t="s">
        <v>292</v>
      </c>
      <c r="CX88" t="s">
        <v>292</v>
      </c>
      <c r="CY88" t="b">
        <v>0</v>
      </c>
      <c r="CZ88" t="b">
        <v>0</v>
      </c>
      <c r="DC88" t="s">
        <v>292</v>
      </c>
      <c r="DD88">
        <v>0</v>
      </c>
      <c r="DE88">
        <v>0</v>
      </c>
      <c r="DG88">
        <v>0</v>
      </c>
      <c r="DH88" t="s">
        <v>567</v>
      </c>
      <c r="DI88">
        <v>0.28421000000000002</v>
      </c>
      <c r="DJ88">
        <f>DataTable[HLD_MaturityDate] - DataTable[SEC_Issue_Date]</f>
        <v>-2</v>
      </c>
    </row>
    <row r="89" spans="1:114" x14ac:dyDescent="0.2">
      <c r="A89" s="2">
        <v>43376</v>
      </c>
      <c r="B89" t="s">
        <v>46</v>
      </c>
      <c r="C89" t="s">
        <v>7</v>
      </c>
      <c r="D89" t="s">
        <v>8</v>
      </c>
      <c r="F89" t="s">
        <v>319</v>
      </c>
      <c r="H89" t="s">
        <v>285</v>
      </c>
      <c r="I89" t="s">
        <v>286</v>
      </c>
      <c r="J89" t="s">
        <v>287</v>
      </c>
      <c r="K89" t="s">
        <v>288</v>
      </c>
      <c r="T89">
        <v>0</v>
      </c>
      <c r="V89">
        <v>0</v>
      </c>
      <c r="W89">
        <v>0</v>
      </c>
      <c r="X89">
        <v>0</v>
      </c>
      <c r="Z89">
        <v>0</v>
      </c>
      <c r="AA89">
        <v>0</v>
      </c>
      <c r="AB89">
        <v>0</v>
      </c>
      <c r="AC89" t="s">
        <v>319</v>
      </c>
      <c r="AE89" t="s">
        <v>320</v>
      </c>
      <c r="AH89" t="s">
        <v>289</v>
      </c>
      <c r="AI89" t="s">
        <v>285</v>
      </c>
      <c r="AJ89" t="s">
        <v>290</v>
      </c>
      <c r="AK89" t="s">
        <v>291</v>
      </c>
      <c r="AM89" t="s">
        <v>287</v>
      </c>
      <c r="AN89" t="s">
        <v>292</v>
      </c>
      <c r="AO89" t="s">
        <v>292</v>
      </c>
      <c r="AP89" t="s">
        <v>293</v>
      </c>
      <c r="AQ89" t="s">
        <v>321</v>
      </c>
      <c r="AR89" t="s">
        <v>292</v>
      </c>
      <c r="AS89" t="s">
        <v>292</v>
      </c>
      <c r="AT89" t="s">
        <v>292</v>
      </c>
      <c r="AU89" t="s">
        <v>295</v>
      </c>
      <c r="AV89" t="s">
        <v>292</v>
      </c>
      <c r="AY89" t="s">
        <v>296</v>
      </c>
      <c r="AZ89" t="s">
        <v>297</v>
      </c>
      <c r="BA89" t="s">
        <v>286</v>
      </c>
      <c r="BB89" t="s">
        <v>292</v>
      </c>
      <c r="BC89" t="s">
        <v>288</v>
      </c>
      <c r="BD89" t="s">
        <v>292</v>
      </c>
      <c r="BE89" t="s">
        <v>298</v>
      </c>
      <c r="BF89" t="s">
        <v>299</v>
      </c>
      <c r="BG89" t="s">
        <v>288</v>
      </c>
      <c r="BH89">
        <v>2</v>
      </c>
      <c r="BI89" t="s">
        <v>300</v>
      </c>
      <c r="BJ89" t="s">
        <v>300</v>
      </c>
      <c r="CK89" t="s">
        <v>560</v>
      </c>
      <c r="CL89" t="s">
        <v>561</v>
      </c>
      <c r="CM89" t="s">
        <v>9</v>
      </c>
      <c r="CN89" s="2">
        <v>2</v>
      </c>
      <c r="CO89" t="s">
        <v>292</v>
      </c>
      <c r="CP89" t="s">
        <v>322</v>
      </c>
      <c r="CQ89" t="s">
        <v>303</v>
      </c>
      <c r="CR89" t="s">
        <v>304</v>
      </c>
      <c r="CS89" t="s">
        <v>292</v>
      </c>
      <c r="CT89">
        <v>52000</v>
      </c>
      <c r="CU89" t="b">
        <v>1</v>
      </c>
      <c r="CV89" t="s">
        <v>292</v>
      </c>
      <c r="CW89" t="s">
        <v>292</v>
      </c>
      <c r="CX89" t="s">
        <v>292</v>
      </c>
      <c r="CY89" t="b">
        <v>0</v>
      </c>
      <c r="CZ89" t="b">
        <v>0</v>
      </c>
      <c r="DC89" t="s">
        <v>292</v>
      </c>
      <c r="DD89">
        <v>0</v>
      </c>
      <c r="DE89">
        <v>0</v>
      </c>
      <c r="DG89">
        <v>0</v>
      </c>
      <c r="DH89" t="s">
        <v>321</v>
      </c>
      <c r="DI89">
        <v>32.356999999999999</v>
      </c>
      <c r="DJ89">
        <f>DataTable[HLD_MaturityDate] - DataTable[SEC_Issue_Date]</f>
        <v>-2</v>
      </c>
    </row>
    <row r="90" spans="1:114" x14ac:dyDescent="0.2">
      <c r="A90" s="2">
        <v>43376</v>
      </c>
      <c r="B90" t="s">
        <v>46</v>
      </c>
      <c r="C90" t="s">
        <v>7</v>
      </c>
      <c r="D90" t="s">
        <v>8</v>
      </c>
      <c r="F90" t="s">
        <v>10</v>
      </c>
      <c r="H90" t="s">
        <v>323</v>
      </c>
      <c r="J90" t="s">
        <v>287</v>
      </c>
      <c r="T90">
        <v>9573199.4299999997</v>
      </c>
      <c r="U90">
        <v>571165.38</v>
      </c>
      <c r="V90">
        <v>9573199.4299999997</v>
      </c>
      <c r="W90">
        <v>0</v>
      </c>
      <c r="X90">
        <v>0</v>
      </c>
      <c r="Z90">
        <v>9573199.4299999997</v>
      </c>
      <c r="AA90">
        <v>0</v>
      </c>
      <c r="AB90">
        <v>4.69456E-5</v>
      </c>
      <c r="AC90" t="s">
        <v>324</v>
      </c>
      <c r="AE90" t="s">
        <v>292</v>
      </c>
      <c r="AH90" t="s">
        <v>289</v>
      </c>
      <c r="AI90" t="s">
        <v>292</v>
      </c>
      <c r="AJ90" t="s">
        <v>290</v>
      </c>
      <c r="AK90" t="s">
        <v>292</v>
      </c>
      <c r="AM90" t="s">
        <v>292</v>
      </c>
      <c r="AN90" t="s">
        <v>292</v>
      </c>
      <c r="AO90" t="s">
        <v>292</v>
      </c>
      <c r="AP90" t="s">
        <v>292</v>
      </c>
      <c r="AQ90" t="s">
        <v>318</v>
      </c>
      <c r="AR90" t="s">
        <v>292</v>
      </c>
      <c r="AS90" t="s">
        <v>292</v>
      </c>
      <c r="AT90" t="s">
        <v>292</v>
      </c>
      <c r="AU90" t="s">
        <v>295</v>
      </c>
      <c r="AV90" t="s">
        <v>292</v>
      </c>
      <c r="CK90" t="s">
        <v>560</v>
      </c>
      <c r="CL90" t="s">
        <v>561</v>
      </c>
      <c r="CM90" t="s">
        <v>9</v>
      </c>
      <c r="CN90" s="2">
        <v>2</v>
      </c>
      <c r="CO90" t="s">
        <v>292</v>
      </c>
      <c r="CP90" t="s">
        <v>303</v>
      </c>
      <c r="CS90" t="s">
        <v>292</v>
      </c>
      <c r="CU90" t="b">
        <v>1</v>
      </c>
      <c r="CV90" t="s">
        <v>292</v>
      </c>
      <c r="CY90" t="b">
        <v>0</v>
      </c>
      <c r="CZ90" t="b">
        <v>0</v>
      </c>
      <c r="DC90" t="s">
        <v>292</v>
      </c>
      <c r="DJ90">
        <f>DataTable[HLD_MaturityDate] - DataTable[SEC_Issue_Date]</f>
        <v>-2</v>
      </c>
    </row>
    <row r="91" spans="1:114" x14ac:dyDescent="0.2">
      <c r="A91" s="2">
        <v>43376</v>
      </c>
      <c r="B91" t="s">
        <v>46</v>
      </c>
      <c r="C91" t="s">
        <v>7</v>
      </c>
      <c r="D91" t="s">
        <v>11</v>
      </c>
      <c r="F91" t="s">
        <v>569</v>
      </c>
      <c r="H91" t="s">
        <v>570</v>
      </c>
      <c r="I91" t="s">
        <v>344</v>
      </c>
      <c r="J91" t="s">
        <v>287</v>
      </c>
      <c r="K91" t="s">
        <v>313</v>
      </c>
      <c r="N91" s="2">
        <v>43497</v>
      </c>
      <c r="O91">
        <v>121</v>
      </c>
      <c r="Q91">
        <v>0.14000000000000001</v>
      </c>
      <c r="R91">
        <v>100000000</v>
      </c>
      <c r="S91">
        <v>1402.1355140000001</v>
      </c>
      <c r="T91">
        <v>3744510000</v>
      </c>
      <c r="V91">
        <v>3742763377.0900002</v>
      </c>
      <c r="X91">
        <v>100000000</v>
      </c>
      <c r="Z91">
        <v>3864574569.5999999</v>
      </c>
      <c r="AA91">
        <v>0.14000000000000001</v>
      </c>
      <c r="AB91">
        <v>1.7328675299999999E-2</v>
      </c>
      <c r="AC91" t="s">
        <v>571</v>
      </c>
      <c r="AE91" t="s">
        <v>572</v>
      </c>
      <c r="AF91" t="s">
        <v>573</v>
      </c>
      <c r="AG91" t="s">
        <v>573</v>
      </c>
      <c r="AH91" t="s">
        <v>330</v>
      </c>
      <c r="AI91" t="s">
        <v>570</v>
      </c>
      <c r="AJ91" t="s">
        <v>574</v>
      </c>
      <c r="AK91" t="s">
        <v>332</v>
      </c>
      <c r="AM91" t="s">
        <v>287</v>
      </c>
      <c r="AN91" t="s">
        <v>292</v>
      </c>
      <c r="AO91" t="s">
        <v>292</v>
      </c>
      <c r="AP91" t="s">
        <v>333</v>
      </c>
      <c r="AQ91" t="s">
        <v>307</v>
      </c>
      <c r="AR91" t="s">
        <v>292</v>
      </c>
      <c r="AS91" t="s">
        <v>292</v>
      </c>
      <c r="AT91" t="s">
        <v>348</v>
      </c>
      <c r="AU91" t="s">
        <v>292</v>
      </c>
      <c r="AV91" t="s">
        <v>37</v>
      </c>
      <c r="AY91" t="s">
        <v>575</v>
      </c>
      <c r="AZ91" t="s">
        <v>576</v>
      </c>
      <c r="BA91" t="s">
        <v>344</v>
      </c>
      <c r="BB91" t="s">
        <v>292</v>
      </c>
      <c r="BC91" t="s">
        <v>313</v>
      </c>
      <c r="BD91" t="s">
        <v>292</v>
      </c>
      <c r="BE91" t="s">
        <v>298</v>
      </c>
      <c r="BF91" t="s">
        <v>577</v>
      </c>
      <c r="BG91" t="s">
        <v>313</v>
      </c>
      <c r="BH91">
        <v>9</v>
      </c>
      <c r="BI91" t="s">
        <v>300</v>
      </c>
      <c r="BJ91" t="s">
        <v>300</v>
      </c>
      <c r="CK91" t="s">
        <v>560</v>
      </c>
      <c r="CL91" t="s">
        <v>561</v>
      </c>
      <c r="CM91" t="s">
        <v>9</v>
      </c>
      <c r="CN91" s="2">
        <v>43136</v>
      </c>
      <c r="CO91" t="s">
        <v>292</v>
      </c>
      <c r="CP91" t="s">
        <v>308</v>
      </c>
      <c r="CQ91" t="s">
        <v>308</v>
      </c>
      <c r="CR91" t="s">
        <v>578</v>
      </c>
      <c r="CS91" t="s">
        <v>292</v>
      </c>
      <c r="CT91">
        <v>20000</v>
      </c>
      <c r="CU91" t="b">
        <v>0</v>
      </c>
      <c r="CV91" t="s">
        <v>311</v>
      </c>
      <c r="CW91" t="s">
        <v>292</v>
      </c>
      <c r="CX91" t="s">
        <v>292</v>
      </c>
      <c r="CY91" t="b">
        <v>0</v>
      </c>
      <c r="CZ91" t="b">
        <v>0</v>
      </c>
      <c r="DC91" t="s">
        <v>579</v>
      </c>
      <c r="DD91">
        <v>3864574569.5500002</v>
      </c>
      <c r="DE91">
        <v>0</v>
      </c>
      <c r="DG91">
        <v>0</v>
      </c>
      <c r="DH91" t="s">
        <v>307</v>
      </c>
      <c r="DI91">
        <v>37.445099999999996</v>
      </c>
      <c r="DJ91">
        <f>DataTable[HLD_MaturityDate] - DataTable[SEC_Issue_Date]</f>
        <v>361</v>
      </c>
    </row>
    <row r="92" spans="1:114" x14ac:dyDescent="0.2">
      <c r="A92" s="2">
        <v>43376</v>
      </c>
      <c r="B92" t="s">
        <v>46</v>
      </c>
      <c r="C92" t="s">
        <v>7</v>
      </c>
      <c r="D92" t="s">
        <v>11</v>
      </c>
      <c r="F92" t="s">
        <v>580</v>
      </c>
      <c r="G92" t="s">
        <v>354</v>
      </c>
      <c r="H92" t="s">
        <v>581</v>
      </c>
      <c r="I92" t="s">
        <v>344</v>
      </c>
      <c r="J92" t="s">
        <v>287</v>
      </c>
      <c r="K92" t="s">
        <v>12</v>
      </c>
      <c r="N92" s="2">
        <v>43481</v>
      </c>
      <c r="O92">
        <v>105</v>
      </c>
      <c r="P92">
        <v>2.5</v>
      </c>
      <c r="Q92">
        <v>2.6850000000000001</v>
      </c>
      <c r="R92">
        <v>30000000</v>
      </c>
      <c r="S92">
        <v>1046.1378689999999</v>
      </c>
      <c r="T92">
        <v>969933432</v>
      </c>
      <c r="U92">
        <v>17594118.75</v>
      </c>
      <c r="V92">
        <v>970059779.61000001</v>
      </c>
      <c r="X92">
        <v>30000000</v>
      </c>
      <c r="Z92">
        <v>964236093.65999997</v>
      </c>
      <c r="AA92">
        <v>2.6850000000000001</v>
      </c>
      <c r="AB92">
        <v>4.5700356999999999E-3</v>
      </c>
      <c r="AC92" t="s">
        <v>571</v>
      </c>
      <c r="AE92" t="s">
        <v>582</v>
      </c>
      <c r="AF92" t="s">
        <v>583</v>
      </c>
      <c r="AG92" t="s">
        <v>583</v>
      </c>
      <c r="AH92" t="s">
        <v>330</v>
      </c>
      <c r="AI92" t="s">
        <v>581</v>
      </c>
      <c r="AJ92" t="s">
        <v>574</v>
      </c>
      <c r="AK92" t="s">
        <v>332</v>
      </c>
      <c r="AM92" t="s">
        <v>287</v>
      </c>
      <c r="AN92" t="s">
        <v>292</v>
      </c>
      <c r="AO92" t="s">
        <v>292</v>
      </c>
      <c r="AP92" t="s">
        <v>333</v>
      </c>
      <c r="AQ92" t="s">
        <v>321</v>
      </c>
      <c r="AR92" t="s">
        <v>355</v>
      </c>
      <c r="AS92" t="s">
        <v>356</v>
      </c>
      <c r="AT92" t="s">
        <v>348</v>
      </c>
      <c r="AU92" t="s">
        <v>292</v>
      </c>
      <c r="AV92" t="s">
        <v>37</v>
      </c>
      <c r="AW92" t="s">
        <v>354</v>
      </c>
      <c r="AY92" t="s">
        <v>584</v>
      </c>
      <c r="AZ92" t="s">
        <v>584</v>
      </c>
      <c r="BA92" t="s">
        <v>344</v>
      </c>
      <c r="BB92" t="s">
        <v>292</v>
      </c>
      <c r="BC92" t="s">
        <v>12</v>
      </c>
      <c r="BD92" t="s">
        <v>292</v>
      </c>
      <c r="BE92" t="s">
        <v>12</v>
      </c>
      <c r="BF92" t="s">
        <v>350</v>
      </c>
      <c r="BG92" t="s">
        <v>12</v>
      </c>
      <c r="BH92">
        <v>6</v>
      </c>
      <c r="BI92" t="s">
        <v>300</v>
      </c>
      <c r="BJ92" t="s">
        <v>300</v>
      </c>
      <c r="CK92" t="s">
        <v>560</v>
      </c>
      <c r="CL92" t="s">
        <v>561</v>
      </c>
      <c r="CM92" t="s">
        <v>9</v>
      </c>
      <c r="CN92" s="2">
        <v>43116</v>
      </c>
      <c r="CO92" t="s">
        <v>292</v>
      </c>
      <c r="CP92" t="s">
        <v>363</v>
      </c>
      <c r="CQ92" t="s">
        <v>363</v>
      </c>
      <c r="CR92" t="s">
        <v>364</v>
      </c>
      <c r="CS92" t="s">
        <v>292</v>
      </c>
      <c r="CT92">
        <v>40000</v>
      </c>
      <c r="CU92" t="b">
        <v>0</v>
      </c>
      <c r="CV92" t="s">
        <v>311</v>
      </c>
      <c r="CW92" t="s">
        <v>292</v>
      </c>
      <c r="CX92" t="s">
        <v>292</v>
      </c>
      <c r="CY92" t="b">
        <v>0</v>
      </c>
      <c r="CZ92" t="b">
        <v>0</v>
      </c>
      <c r="DC92" t="s">
        <v>585</v>
      </c>
      <c r="DD92">
        <v>964236093.65999997</v>
      </c>
      <c r="DE92">
        <v>0</v>
      </c>
      <c r="DG92">
        <v>0</v>
      </c>
      <c r="DH92" t="s">
        <v>321</v>
      </c>
      <c r="DI92">
        <v>32.356999999999999</v>
      </c>
      <c r="DJ92">
        <f>DataTable[HLD_MaturityDate] - DataTable[SEC_Issue_Date]</f>
        <v>365</v>
      </c>
    </row>
    <row r="93" spans="1:114" x14ac:dyDescent="0.2">
      <c r="A93" s="2">
        <v>43376</v>
      </c>
      <c r="B93" t="s">
        <v>46</v>
      </c>
      <c r="C93" t="s">
        <v>7</v>
      </c>
      <c r="D93" t="s">
        <v>11</v>
      </c>
      <c r="F93" t="s">
        <v>586</v>
      </c>
      <c r="H93" t="s">
        <v>326</v>
      </c>
      <c r="I93" t="s">
        <v>286</v>
      </c>
      <c r="J93" t="s">
        <v>287</v>
      </c>
      <c r="K93" t="s">
        <v>327</v>
      </c>
      <c r="N93" s="2">
        <v>43602</v>
      </c>
      <c r="O93">
        <v>226</v>
      </c>
      <c r="P93">
        <v>1.65</v>
      </c>
      <c r="T93">
        <v>2000000000</v>
      </c>
      <c r="U93">
        <v>12657534.25</v>
      </c>
      <c r="V93">
        <v>2000000000</v>
      </c>
      <c r="W93">
        <v>0.61295500000000003</v>
      </c>
      <c r="X93">
        <v>2000000000</v>
      </c>
      <c r="Z93">
        <v>2000000000</v>
      </c>
      <c r="AA93">
        <v>1.65</v>
      </c>
      <c r="AB93">
        <v>9.3140862000000001E-3</v>
      </c>
      <c r="AC93" t="s">
        <v>586</v>
      </c>
      <c r="AE93" t="s">
        <v>328</v>
      </c>
      <c r="AF93" t="s">
        <v>329</v>
      </c>
      <c r="AG93" t="s">
        <v>329</v>
      </c>
      <c r="AH93" t="s">
        <v>330</v>
      </c>
      <c r="AI93" t="s">
        <v>326</v>
      </c>
      <c r="AJ93" t="s">
        <v>331</v>
      </c>
      <c r="AK93" t="s">
        <v>332</v>
      </c>
      <c r="AM93" t="s">
        <v>287</v>
      </c>
      <c r="AN93" t="s">
        <v>292</v>
      </c>
      <c r="AO93" t="s">
        <v>292</v>
      </c>
      <c r="AP93" t="s">
        <v>333</v>
      </c>
      <c r="AQ93" t="s">
        <v>318</v>
      </c>
      <c r="AR93" t="s">
        <v>292</v>
      </c>
      <c r="AS93" t="s">
        <v>292</v>
      </c>
      <c r="AT93" t="s">
        <v>334</v>
      </c>
      <c r="AU93" t="s">
        <v>292</v>
      </c>
      <c r="AV93" t="s">
        <v>335</v>
      </c>
      <c r="AY93" t="s">
        <v>336</v>
      </c>
      <c r="AZ93" t="s">
        <v>337</v>
      </c>
      <c r="BA93" t="s">
        <v>286</v>
      </c>
      <c r="BB93" t="s">
        <v>327</v>
      </c>
      <c r="BC93" t="s">
        <v>338</v>
      </c>
      <c r="BD93" t="s">
        <v>292</v>
      </c>
      <c r="BE93" t="s">
        <v>292</v>
      </c>
      <c r="BF93" t="s">
        <v>292</v>
      </c>
      <c r="BG93" t="s">
        <v>327</v>
      </c>
      <c r="BH93">
        <v>4</v>
      </c>
      <c r="BI93" t="s">
        <v>300</v>
      </c>
      <c r="BJ93" t="s">
        <v>300</v>
      </c>
      <c r="CK93" t="s">
        <v>560</v>
      </c>
      <c r="CL93" t="s">
        <v>561</v>
      </c>
      <c r="CM93" t="s">
        <v>9</v>
      </c>
      <c r="CN93" s="2">
        <v>43237</v>
      </c>
      <c r="CO93" t="s">
        <v>292</v>
      </c>
      <c r="CP93" t="s">
        <v>303</v>
      </c>
      <c r="CQ93" t="s">
        <v>303</v>
      </c>
      <c r="CR93" t="s">
        <v>304</v>
      </c>
      <c r="CS93" t="s">
        <v>292</v>
      </c>
      <c r="CT93">
        <v>40000</v>
      </c>
      <c r="CU93" t="b">
        <v>0</v>
      </c>
      <c r="CV93" t="s">
        <v>311</v>
      </c>
      <c r="CW93" t="s">
        <v>292</v>
      </c>
      <c r="CX93" t="s">
        <v>292</v>
      </c>
      <c r="CY93" t="b">
        <v>0</v>
      </c>
      <c r="CZ93" t="b">
        <v>0</v>
      </c>
      <c r="DC93" t="s">
        <v>292</v>
      </c>
      <c r="DJ93">
        <f>DataTable[HLD_MaturityDate] - DataTable[SEC_Issue_Date]</f>
        <v>365</v>
      </c>
    </row>
    <row r="94" spans="1:114" x14ac:dyDescent="0.2">
      <c r="A94" s="2">
        <v>43376</v>
      </c>
      <c r="B94" t="s">
        <v>46</v>
      </c>
      <c r="C94" t="s">
        <v>7</v>
      </c>
      <c r="D94" t="s">
        <v>11</v>
      </c>
      <c r="F94" t="s">
        <v>587</v>
      </c>
      <c r="H94" t="s">
        <v>588</v>
      </c>
      <c r="I94" t="s">
        <v>344</v>
      </c>
      <c r="J94" t="s">
        <v>287</v>
      </c>
      <c r="K94" t="s">
        <v>12</v>
      </c>
      <c r="N94" s="2">
        <v>43530</v>
      </c>
      <c r="O94">
        <v>154</v>
      </c>
      <c r="Q94">
        <v>0</v>
      </c>
      <c r="R94">
        <v>100000000</v>
      </c>
      <c r="S94">
        <v>1402.1355140000001</v>
      </c>
      <c r="T94">
        <v>3744510000</v>
      </c>
      <c r="V94">
        <v>3744510000</v>
      </c>
      <c r="X94">
        <v>100000000</v>
      </c>
      <c r="Z94">
        <v>3845000000</v>
      </c>
      <c r="AA94">
        <v>0</v>
      </c>
      <c r="AB94">
        <v>1.7328675299999999E-2</v>
      </c>
      <c r="AC94" t="s">
        <v>571</v>
      </c>
      <c r="AE94" t="s">
        <v>589</v>
      </c>
      <c r="AF94" t="s">
        <v>590</v>
      </c>
      <c r="AG94" t="s">
        <v>590</v>
      </c>
      <c r="AH94" t="s">
        <v>330</v>
      </c>
      <c r="AI94" t="s">
        <v>588</v>
      </c>
      <c r="AJ94" t="s">
        <v>347</v>
      </c>
      <c r="AK94" t="s">
        <v>332</v>
      </c>
      <c r="AM94" t="s">
        <v>287</v>
      </c>
      <c r="AN94" t="s">
        <v>292</v>
      </c>
      <c r="AO94" t="s">
        <v>292</v>
      </c>
      <c r="AP94" t="s">
        <v>333</v>
      </c>
      <c r="AQ94" t="s">
        <v>307</v>
      </c>
      <c r="AR94" t="s">
        <v>292</v>
      </c>
      <c r="AS94" t="s">
        <v>292</v>
      </c>
      <c r="AT94" t="s">
        <v>348</v>
      </c>
      <c r="AU94" t="s">
        <v>292</v>
      </c>
      <c r="AV94" t="s">
        <v>37</v>
      </c>
      <c r="AY94" t="s">
        <v>591</v>
      </c>
      <c r="AZ94" t="s">
        <v>591</v>
      </c>
      <c r="BA94" t="s">
        <v>344</v>
      </c>
      <c r="BB94" t="s">
        <v>292</v>
      </c>
      <c r="BC94" t="s">
        <v>12</v>
      </c>
      <c r="BD94" t="s">
        <v>292</v>
      </c>
      <c r="BE94" t="s">
        <v>12</v>
      </c>
      <c r="BF94" t="s">
        <v>350</v>
      </c>
      <c r="BG94" t="s">
        <v>12</v>
      </c>
      <c r="BH94">
        <v>6</v>
      </c>
      <c r="BI94" t="s">
        <v>300</v>
      </c>
      <c r="BJ94" t="s">
        <v>300</v>
      </c>
      <c r="CK94" t="s">
        <v>560</v>
      </c>
      <c r="CL94" t="s">
        <v>561</v>
      </c>
      <c r="CM94" t="s">
        <v>9</v>
      </c>
      <c r="CN94" s="2">
        <v>43165</v>
      </c>
      <c r="CO94" t="s">
        <v>292</v>
      </c>
      <c r="CP94" t="s">
        <v>351</v>
      </c>
      <c r="CQ94" t="s">
        <v>351</v>
      </c>
      <c r="CR94" t="s">
        <v>352</v>
      </c>
      <c r="CS94" t="s">
        <v>292</v>
      </c>
      <c r="CT94">
        <v>0</v>
      </c>
      <c r="CU94" t="b">
        <v>0</v>
      </c>
      <c r="CV94" t="s">
        <v>311</v>
      </c>
      <c r="CW94" t="s">
        <v>292</v>
      </c>
      <c r="CX94" t="s">
        <v>292</v>
      </c>
      <c r="CY94" t="b">
        <v>0</v>
      </c>
      <c r="CZ94" t="b">
        <v>0</v>
      </c>
      <c r="DC94" t="s">
        <v>592</v>
      </c>
      <c r="DD94">
        <v>3844999999.96</v>
      </c>
      <c r="DE94">
        <v>0</v>
      </c>
      <c r="DG94">
        <v>0</v>
      </c>
      <c r="DH94" t="s">
        <v>307</v>
      </c>
      <c r="DI94">
        <v>37.445099999999996</v>
      </c>
      <c r="DJ94">
        <f>DataTable[HLD_MaturityDate] - DataTable[SEC_Issue_Date]</f>
        <v>365</v>
      </c>
    </row>
    <row r="95" spans="1:114" x14ac:dyDescent="0.2">
      <c r="A95" s="2">
        <v>43376</v>
      </c>
      <c r="B95" t="s">
        <v>46</v>
      </c>
      <c r="C95" t="s">
        <v>7</v>
      </c>
      <c r="D95" t="s">
        <v>11</v>
      </c>
      <c r="F95" t="s">
        <v>593</v>
      </c>
      <c r="G95" t="s">
        <v>354</v>
      </c>
      <c r="H95" t="s">
        <v>588</v>
      </c>
      <c r="I95" t="s">
        <v>344</v>
      </c>
      <c r="J95" t="s">
        <v>287</v>
      </c>
      <c r="K95" t="s">
        <v>12</v>
      </c>
      <c r="N95" s="2">
        <v>43441</v>
      </c>
      <c r="O95">
        <v>65</v>
      </c>
      <c r="Q95">
        <v>-0.01</v>
      </c>
      <c r="R95">
        <v>50000000</v>
      </c>
      <c r="S95">
        <v>1402.1355140000001</v>
      </c>
      <c r="T95">
        <v>1872255000</v>
      </c>
      <c r="V95">
        <v>1872288285.1300001</v>
      </c>
      <c r="X95">
        <v>50000000</v>
      </c>
      <c r="Z95">
        <v>1944197121.5999999</v>
      </c>
      <c r="AA95">
        <v>-0.01</v>
      </c>
      <c r="AB95">
        <v>8.6643377000000001E-3</v>
      </c>
      <c r="AC95" t="s">
        <v>571</v>
      </c>
      <c r="AE95" t="s">
        <v>589</v>
      </c>
      <c r="AF95" t="s">
        <v>590</v>
      </c>
      <c r="AG95" t="s">
        <v>590</v>
      </c>
      <c r="AH95" t="s">
        <v>330</v>
      </c>
      <c r="AI95" t="s">
        <v>588</v>
      </c>
      <c r="AJ95" t="s">
        <v>574</v>
      </c>
      <c r="AK95" t="s">
        <v>332</v>
      </c>
      <c r="AM95" t="s">
        <v>287</v>
      </c>
      <c r="AN95" t="s">
        <v>292</v>
      </c>
      <c r="AO95" t="s">
        <v>292</v>
      </c>
      <c r="AP95" t="s">
        <v>333</v>
      </c>
      <c r="AQ95" t="s">
        <v>307</v>
      </c>
      <c r="AR95" t="s">
        <v>355</v>
      </c>
      <c r="AS95" t="s">
        <v>356</v>
      </c>
      <c r="AT95" t="s">
        <v>348</v>
      </c>
      <c r="AU95" t="s">
        <v>292</v>
      </c>
      <c r="AV95" t="s">
        <v>37</v>
      </c>
      <c r="AW95" t="s">
        <v>354</v>
      </c>
      <c r="AY95" t="s">
        <v>591</v>
      </c>
      <c r="AZ95" t="s">
        <v>591</v>
      </c>
      <c r="BA95" t="s">
        <v>344</v>
      </c>
      <c r="BB95" t="s">
        <v>292</v>
      </c>
      <c r="BC95" t="s">
        <v>12</v>
      </c>
      <c r="BD95" t="s">
        <v>292</v>
      </c>
      <c r="BE95" t="s">
        <v>12</v>
      </c>
      <c r="BF95" t="s">
        <v>350</v>
      </c>
      <c r="BG95" t="s">
        <v>12</v>
      </c>
      <c r="BH95">
        <v>6</v>
      </c>
      <c r="BI95" t="s">
        <v>300</v>
      </c>
      <c r="BJ95" t="s">
        <v>300</v>
      </c>
      <c r="CK95" t="s">
        <v>560</v>
      </c>
      <c r="CL95" t="s">
        <v>561</v>
      </c>
      <c r="CM95" t="s">
        <v>9</v>
      </c>
      <c r="CN95" s="2">
        <v>43076</v>
      </c>
      <c r="CO95" t="s">
        <v>292</v>
      </c>
      <c r="CP95" t="s">
        <v>351</v>
      </c>
      <c r="CQ95" t="s">
        <v>351</v>
      </c>
      <c r="CR95" t="s">
        <v>352</v>
      </c>
      <c r="CS95" t="s">
        <v>292</v>
      </c>
      <c r="CT95">
        <v>0</v>
      </c>
      <c r="CU95" t="b">
        <v>0</v>
      </c>
      <c r="CV95" t="s">
        <v>311</v>
      </c>
      <c r="CW95" t="s">
        <v>292</v>
      </c>
      <c r="CX95" t="s">
        <v>292</v>
      </c>
      <c r="CY95" t="b">
        <v>0</v>
      </c>
      <c r="CZ95" t="b">
        <v>0</v>
      </c>
      <c r="DC95" t="s">
        <v>594</v>
      </c>
      <c r="DD95">
        <v>1944197121.5999999</v>
      </c>
      <c r="DE95">
        <v>0</v>
      </c>
      <c r="DG95">
        <v>0</v>
      </c>
      <c r="DH95" t="s">
        <v>307</v>
      </c>
      <c r="DI95">
        <v>37.445099999999996</v>
      </c>
      <c r="DJ95">
        <f>DataTable[HLD_MaturityDate] - DataTable[SEC_Issue_Date]</f>
        <v>365</v>
      </c>
    </row>
    <row r="96" spans="1:114" x14ac:dyDescent="0.2">
      <c r="A96" s="2">
        <v>43376</v>
      </c>
      <c r="B96" t="s">
        <v>46</v>
      </c>
      <c r="C96" t="s">
        <v>7</v>
      </c>
      <c r="D96" t="s">
        <v>11</v>
      </c>
      <c r="F96" t="s">
        <v>595</v>
      </c>
      <c r="G96" t="s">
        <v>354</v>
      </c>
      <c r="H96" t="s">
        <v>596</v>
      </c>
      <c r="I96" t="s">
        <v>344</v>
      </c>
      <c r="J96" t="s">
        <v>287</v>
      </c>
      <c r="K96" t="s">
        <v>12</v>
      </c>
      <c r="N96" s="2">
        <v>43504</v>
      </c>
      <c r="O96">
        <v>128</v>
      </c>
      <c r="P96">
        <v>2.8</v>
      </c>
      <c r="Q96">
        <v>0</v>
      </c>
      <c r="R96">
        <v>50000000</v>
      </c>
      <c r="S96">
        <v>1046.975449</v>
      </c>
      <c r="T96">
        <v>1617850000</v>
      </c>
      <c r="U96">
        <v>29822368.329999998</v>
      </c>
      <c r="V96">
        <v>1617850000</v>
      </c>
      <c r="X96">
        <v>50000000</v>
      </c>
      <c r="Z96">
        <v>1583000000</v>
      </c>
      <c r="AA96">
        <v>2.8</v>
      </c>
      <c r="AB96">
        <v>7.6250242000000003E-3</v>
      </c>
      <c r="AC96" t="s">
        <v>571</v>
      </c>
      <c r="AE96" t="s">
        <v>597</v>
      </c>
      <c r="AF96" t="s">
        <v>598</v>
      </c>
      <c r="AG96" t="s">
        <v>598</v>
      </c>
      <c r="AH96" t="s">
        <v>330</v>
      </c>
      <c r="AI96" t="s">
        <v>596</v>
      </c>
      <c r="AJ96" t="s">
        <v>347</v>
      </c>
      <c r="AK96" t="s">
        <v>332</v>
      </c>
      <c r="AM96" t="s">
        <v>287</v>
      </c>
      <c r="AN96" t="s">
        <v>292</v>
      </c>
      <c r="AO96" t="s">
        <v>292</v>
      </c>
      <c r="AP96" t="s">
        <v>333</v>
      </c>
      <c r="AQ96" t="s">
        <v>321</v>
      </c>
      <c r="AR96" t="s">
        <v>355</v>
      </c>
      <c r="AS96" t="s">
        <v>356</v>
      </c>
      <c r="AT96" t="s">
        <v>348</v>
      </c>
      <c r="AU96" t="s">
        <v>292</v>
      </c>
      <c r="AV96" t="s">
        <v>37</v>
      </c>
      <c r="AW96" t="s">
        <v>354</v>
      </c>
      <c r="AY96" t="s">
        <v>599</v>
      </c>
      <c r="AZ96" t="s">
        <v>599</v>
      </c>
      <c r="BA96" t="s">
        <v>344</v>
      </c>
      <c r="BB96" t="s">
        <v>292</v>
      </c>
      <c r="BC96" t="s">
        <v>12</v>
      </c>
      <c r="BD96" t="s">
        <v>292</v>
      </c>
      <c r="BE96" t="s">
        <v>12</v>
      </c>
      <c r="BF96" t="s">
        <v>350</v>
      </c>
      <c r="BG96" t="s">
        <v>12</v>
      </c>
      <c r="BH96">
        <v>6</v>
      </c>
      <c r="BI96" t="s">
        <v>300</v>
      </c>
      <c r="BJ96" t="s">
        <v>300</v>
      </c>
      <c r="CK96" t="s">
        <v>560</v>
      </c>
      <c r="CL96" t="s">
        <v>561</v>
      </c>
      <c r="CM96" t="s">
        <v>9</v>
      </c>
      <c r="CN96" s="2">
        <v>43140</v>
      </c>
      <c r="CO96" t="s">
        <v>292</v>
      </c>
      <c r="CP96" t="s">
        <v>600</v>
      </c>
      <c r="CQ96" t="s">
        <v>600</v>
      </c>
      <c r="CR96" t="s">
        <v>601</v>
      </c>
      <c r="CS96" t="s">
        <v>292</v>
      </c>
      <c r="CT96">
        <v>40000</v>
      </c>
      <c r="CU96" t="b">
        <v>0</v>
      </c>
      <c r="CV96" t="s">
        <v>311</v>
      </c>
      <c r="CW96" t="s">
        <v>292</v>
      </c>
      <c r="CX96" t="s">
        <v>292</v>
      </c>
      <c r="CY96" t="b">
        <v>0</v>
      </c>
      <c r="CZ96" t="b">
        <v>0</v>
      </c>
      <c r="DC96" t="s">
        <v>602</v>
      </c>
      <c r="DD96">
        <v>1582999999.99</v>
      </c>
      <c r="DE96">
        <v>0</v>
      </c>
      <c r="DG96">
        <v>0</v>
      </c>
      <c r="DH96" t="s">
        <v>321</v>
      </c>
      <c r="DI96">
        <v>32.356999999999999</v>
      </c>
      <c r="DJ96">
        <f>DataTable[HLD_MaturityDate] - DataTable[SEC_Issue_Date]</f>
        <v>364</v>
      </c>
    </row>
    <row r="97" spans="1:114" x14ac:dyDescent="0.2">
      <c r="A97" s="2">
        <v>43376</v>
      </c>
      <c r="B97" t="s">
        <v>46</v>
      </c>
      <c r="C97" t="s">
        <v>7</v>
      </c>
      <c r="D97" t="s">
        <v>11</v>
      </c>
      <c r="F97" t="s">
        <v>603</v>
      </c>
      <c r="H97" t="s">
        <v>343</v>
      </c>
      <c r="I97" t="s">
        <v>344</v>
      </c>
      <c r="J97" t="s">
        <v>287</v>
      </c>
      <c r="K97" t="s">
        <v>12</v>
      </c>
      <c r="N97" s="2">
        <v>43509</v>
      </c>
      <c r="O97">
        <v>133</v>
      </c>
      <c r="P97">
        <v>0.05</v>
      </c>
      <c r="T97">
        <v>3744510000</v>
      </c>
      <c r="U97">
        <v>1211765.04</v>
      </c>
      <c r="V97">
        <v>3865000000</v>
      </c>
      <c r="W97">
        <v>0.36937599999999998</v>
      </c>
      <c r="X97">
        <v>100000000</v>
      </c>
      <c r="Z97">
        <v>3865000000</v>
      </c>
      <c r="AA97">
        <v>0.05</v>
      </c>
      <c r="AB97">
        <v>1.73342831E-2</v>
      </c>
      <c r="AC97" t="s">
        <v>603</v>
      </c>
      <c r="AE97" t="s">
        <v>604</v>
      </c>
      <c r="AF97" t="s">
        <v>346</v>
      </c>
      <c r="AG97" t="s">
        <v>346</v>
      </c>
      <c r="AH97" t="s">
        <v>330</v>
      </c>
      <c r="AI97" t="s">
        <v>343</v>
      </c>
      <c r="AJ97" t="s">
        <v>347</v>
      </c>
      <c r="AK97" t="s">
        <v>10</v>
      </c>
      <c r="AM97" t="s">
        <v>287</v>
      </c>
      <c r="AN97" t="s">
        <v>292</v>
      </c>
      <c r="AO97" t="s">
        <v>292</v>
      </c>
      <c r="AP97" t="s">
        <v>333</v>
      </c>
      <c r="AQ97" t="s">
        <v>307</v>
      </c>
      <c r="AR97" t="s">
        <v>292</v>
      </c>
      <c r="AS97" t="s">
        <v>292</v>
      </c>
      <c r="AT97" t="s">
        <v>348</v>
      </c>
      <c r="AU97" t="s">
        <v>292</v>
      </c>
      <c r="AV97" t="s">
        <v>335</v>
      </c>
      <c r="AY97" t="s">
        <v>349</v>
      </c>
      <c r="AZ97" t="s">
        <v>349</v>
      </c>
      <c r="BA97" t="s">
        <v>344</v>
      </c>
      <c r="BB97" t="s">
        <v>292</v>
      </c>
      <c r="BC97" t="s">
        <v>12</v>
      </c>
      <c r="BD97" t="s">
        <v>292</v>
      </c>
      <c r="BE97" t="s">
        <v>12</v>
      </c>
      <c r="BF97" t="s">
        <v>350</v>
      </c>
      <c r="BG97" t="s">
        <v>12</v>
      </c>
      <c r="BH97">
        <v>6</v>
      </c>
      <c r="BI97" t="s">
        <v>300</v>
      </c>
      <c r="BJ97" t="s">
        <v>300</v>
      </c>
      <c r="CK97" t="s">
        <v>560</v>
      </c>
      <c r="CL97" t="s">
        <v>561</v>
      </c>
      <c r="CM97" t="s">
        <v>9</v>
      </c>
      <c r="CN97" s="2">
        <v>43144</v>
      </c>
      <c r="CO97" t="s">
        <v>292</v>
      </c>
      <c r="CP97" t="s">
        <v>351</v>
      </c>
      <c r="CQ97" t="s">
        <v>351</v>
      </c>
      <c r="CR97" t="s">
        <v>352</v>
      </c>
      <c r="CS97" t="s">
        <v>292</v>
      </c>
      <c r="CT97">
        <v>80000</v>
      </c>
      <c r="CU97" t="b">
        <v>0</v>
      </c>
      <c r="CV97" t="s">
        <v>311</v>
      </c>
      <c r="CW97" t="s">
        <v>292</v>
      </c>
      <c r="CX97" t="s">
        <v>292</v>
      </c>
      <c r="CY97" t="b">
        <v>0</v>
      </c>
      <c r="CZ97" t="b">
        <v>0</v>
      </c>
      <c r="DC97" t="s">
        <v>292</v>
      </c>
      <c r="DD97">
        <v>3865000000.0100002</v>
      </c>
      <c r="DE97">
        <v>0</v>
      </c>
      <c r="DG97">
        <v>0</v>
      </c>
      <c r="DH97" t="s">
        <v>307</v>
      </c>
      <c r="DI97">
        <v>37.445099999999996</v>
      </c>
      <c r="DJ97">
        <f>DataTable[HLD_MaturityDate] - DataTable[SEC_Issue_Date]</f>
        <v>365</v>
      </c>
    </row>
    <row r="98" spans="1:114" x14ac:dyDescent="0.2">
      <c r="A98" s="2">
        <v>43376</v>
      </c>
      <c r="B98" t="s">
        <v>46</v>
      </c>
      <c r="C98" t="s">
        <v>7</v>
      </c>
      <c r="D98" t="s">
        <v>11</v>
      </c>
      <c r="F98" t="s">
        <v>605</v>
      </c>
      <c r="G98" t="s">
        <v>354</v>
      </c>
      <c r="H98" t="s">
        <v>343</v>
      </c>
      <c r="I98" t="s">
        <v>344</v>
      </c>
      <c r="J98" t="s">
        <v>287</v>
      </c>
      <c r="K98" t="s">
        <v>12</v>
      </c>
      <c r="N98" s="2">
        <v>43546</v>
      </c>
      <c r="O98">
        <v>170</v>
      </c>
      <c r="P98">
        <v>0.04</v>
      </c>
      <c r="T98">
        <v>1123353000</v>
      </c>
      <c r="U98">
        <v>244641.32</v>
      </c>
      <c r="V98">
        <v>1140000000</v>
      </c>
      <c r="W98">
        <v>0.47213300000000002</v>
      </c>
      <c r="X98">
        <v>30000000</v>
      </c>
      <c r="Z98">
        <v>1140000000</v>
      </c>
      <c r="AA98">
        <v>0.04</v>
      </c>
      <c r="AB98">
        <v>5.1997346999999999E-3</v>
      </c>
      <c r="AC98" t="s">
        <v>605</v>
      </c>
      <c r="AE98" t="s">
        <v>345</v>
      </c>
      <c r="AF98" t="s">
        <v>346</v>
      </c>
      <c r="AG98" t="s">
        <v>346</v>
      </c>
      <c r="AH98" t="s">
        <v>330</v>
      </c>
      <c r="AI98" t="s">
        <v>343</v>
      </c>
      <c r="AJ98" t="s">
        <v>347</v>
      </c>
      <c r="AK98" t="s">
        <v>10</v>
      </c>
      <c r="AM98" t="s">
        <v>287</v>
      </c>
      <c r="AN98" t="s">
        <v>292</v>
      </c>
      <c r="AO98" t="s">
        <v>292</v>
      </c>
      <c r="AP98" t="s">
        <v>333</v>
      </c>
      <c r="AQ98" t="s">
        <v>307</v>
      </c>
      <c r="AR98" t="s">
        <v>355</v>
      </c>
      <c r="AS98" t="s">
        <v>356</v>
      </c>
      <c r="AT98" t="s">
        <v>348</v>
      </c>
      <c r="AU98" t="s">
        <v>292</v>
      </c>
      <c r="AV98" t="s">
        <v>335</v>
      </c>
      <c r="AW98" t="s">
        <v>354</v>
      </c>
      <c r="AY98" t="s">
        <v>349</v>
      </c>
      <c r="AZ98" t="s">
        <v>349</v>
      </c>
      <c r="BA98" t="s">
        <v>344</v>
      </c>
      <c r="BB98" t="s">
        <v>292</v>
      </c>
      <c r="BC98" t="s">
        <v>12</v>
      </c>
      <c r="BD98" t="s">
        <v>292</v>
      </c>
      <c r="BE98" t="s">
        <v>12</v>
      </c>
      <c r="BF98" t="s">
        <v>350</v>
      </c>
      <c r="BG98" t="s">
        <v>12</v>
      </c>
      <c r="BH98">
        <v>6</v>
      </c>
      <c r="BI98" t="s">
        <v>300</v>
      </c>
      <c r="BJ98" t="s">
        <v>300</v>
      </c>
      <c r="CK98" t="s">
        <v>560</v>
      </c>
      <c r="CL98" t="s">
        <v>561</v>
      </c>
      <c r="CM98" t="s">
        <v>9</v>
      </c>
      <c r="CN98" s="2">
        <v>43181</v>
      </c>
      <c r="CO98" t="s">
        <v>292</v>
      </c>
      <c r="CP98" t="s">
        <v>351</v>
      </c>
      <c r="CQ98" t="s">
        <v>351</v>
      </c>
      <c r="CR98" t="s">
        <v>352</v>
      </c>
      <c r="CS98" t="s">
        <v>292</v>
      </c>
      <c r="CT98">
        <v>80000</v>
      </c>
      <c r="CU98" t="b">
        <v>0</v>
      </c>
      <c r="CV98" t="s">
        <v>311</v>
      </c>
      <c r="CW98" t="s">
        <v>292</v>
      </c>
      <c r="CX98" t="s">
        <v>292</v>
      </c>
      <c r="CY98" t="b">
        <v>0</v>
      </c>
      <c r="CZ98" t="b">
        <v>0</v>
      </c>
      <c r="DC98" t="s">
        <v>292</v>
      </c>
      <c r="DD98">
        <v>1139999999.99</v>
      </c>
      <c r="DE98">
        <v>0</v>
      </c>
      <c r="DG98">
        <v>0</v>
      </c>
      <c r="DH98" t="s">
        <v>307</v>
      </c>
      <c r="DI98">
        <v>37.445099999999996</v>
      </c>
      <c r="DJ98">
        <f>DataTable[HLD_MaturityDate] - DataTable[SEC_Issue_Date]</f>
        <v>365</v>
      </c>
    </row>
    <row r="99" spans="1:114" x14ac:dyDescent="0.2">
      <c r="A99" s="2">
        <v>43376</v>
      </c>
      <c r="B99" t="s">
        <v>46</v>
      </c>
      <c r="C99" t="s">
        <v>7</v>
      </c>
      <c r="D99" t="s">
        <v>11</v>
      </c>
      <c r="F99" t="s">
        <v>606</v>
      </c>
      <c r="H99" t="s">
        <v>343</v>
      </c>
      <c r="I99" t="s">
        <v>344</v>
      </c>
      <c r="J99" t="s">
        <v>287</v>
      </c>
      <c r="K99" t="s">
        <v>12</v>
      </c>
      <c r="N99" s="2">
        <v>43608</v>
      </c>
      <c r="O99">
        <v>232</v>
      </c>
      <c r="P99">
        <v>0.14000000000000001</v>
      </c>
      <c r="T99">
        <v>2995608000</v>
      </c>
      <c r="U99">
        <v>1549395.03</v>
      </c>
      <c r="V99">
        <v>3010400000</v>
      </c>
      <c r="W99">
        <v>0.64386399999999999</v>
      </c>
      <c r="X99">
        <v>80000000</v>
      </c>
      <c r="Z99">
        <v>3010400000</v>
      </c>
      <c r="AA99">
        <v>0.14000000000000001</v>
      </c>
      <c r="AB99">
        <v>1.3870110499999999E-2</v>
      </c>
      <c r="AC99" t="s">
        <v>606</v>
      </c>
      <c r="AE99" t="s">
        <v>345</v>
      </c>
      <c r="AF99" t="s">
        <v>346</v>
      </c>
      <c r="AG99" t="s">
        <v>346</v>
      </c>
      <c r="AH99" t="s">
        <v>330</v>
      </c>
      <c r="AI99" t="s">
        <v>343</v>
      </c>
      <c r="AJ99" t="s">
        <v>347</v>
      </c>
      <c r="AK99" t="s">
        <v>10</v>
      </c>
      <c r="AM99" t="s">
        <v>287</v>
      </c>
      <c r="AN99" t="s">
        <v>292</v>
      </c>
      <c r="AO99" t="s">
        <v>292</v>
      </c>
      <c r="AP99" t="s">
        <v>333</v>
      </c>
      <c r="AQ99" t="s">
        <v>307</v>
      </c>
      <c r="AR99" t="s">
        <v>292</v>
      </c>
      <c r="AS99" t="s">
        <v>292</v>
      </c>
      <c r="AT99" t="s">
        <v>348</v>
      </c>
      <c r="AU99" t="s">
        <v>292</v>
      </c>
      <c r="AV99" t="s">
        <v>335</v>
      </c>
      <c r="AY99" t="s">
        <v>349</v>
      </c>
      <c r="AZ99" t="s">
        <v>349</v>
      </c>
      <c r="BA99" t="s">
        <v>344</v>
      </c>
      <c r="BB99" t="s">
        <v>292</v>
      </c>
      <c r="BC99" t="s">
        <v>12</v>
      </c>
      <c r="BD99" t="s">
        <v>292</v>
      </c>
      <c r="BE99" t="s">
        <v>12</v>
      </c>
      <c r="BF99" t="s">
        <v>350</v>
      </c>
      <c r="BG99" t="s">
        <v>12</v>
      </c>
      <c r="BH99">
        <v>6</v>
      </c>
      <c r="BI99" t="s">
        <v>300</v>
      </c>
      <c r="BJ99" t="s">
        <v>300</v>
      </c>
      <c r="CK99" t="s">
        <v>560</v>
      </c>
      <c r="CL99" t="s">
        <v>561</v>
      </c>
      <c r="CM99" t="s">
        <v>9</v>
      </c>
      <c r="CN99" s="2">
        <v>43244</v>
      </c>
      <c r="CO99" t="s">
        <v>292</v>
      </c>
      <c r="CP99" t="s">
        <v>351</v>
      </c>
      <c r="CQ99" t="s">
        <v>351</v>
      </c>
      <c r="CR99" t="s">
        <v>352</v>
      </c>
      <c r="CS99" t="s">
        <v>292</v>
      </c>
      <c r="CT99">
        <v>80000</v>
      </c>
      <c r="CU99" t="b">
        <v>0</v>
      </c>
      <c r="CV99" t="s">
        <v>311</v>
      </c>
      <c r="CW99" t="s">
        <v>292</v>
      </c>
      <c r="CX99" t="s">
        <v>292</v>
      </c>
      <c r="CY99" t="b">
        <v>0</v>
      </c>
      <c r="CZ99" t="b">
        <v>0</v>
      </c>
      <c r="DC99" t="s">
        <v>292</v>
      </c>
      <c r="DD99">
        <v>3010400000.02</v>
      </c>
      <c r="DE99">
        <v>0</v>
      </c>
      <c r="DG99">
        <v>0</v>
      </c>
      <c r="DH99" t="s">
        <v>307</v>
      </c>
      <c r="DI99">
        <v>37.445099999999996</v>
      </c>
      <c r="DJ99">
        <f>DataTable[HLD_MaturityDate] - DataTable[SEC_Issue_Date]</f>
        <v>364</v>
      </c>
    </row>
    <row r="100" spans="1:114" x14ac:dyDescent="0.2">
      <c r="A100" s="2">
        <v>43376</v>
      </c>
      <c r="B100" t="s">
        <v>46</v>
      </c>
      <c r="C100" t="s">
        <v>7</v>
      </c>
      <c r="D100" t="s">
        <v>11</v>
      </c>
      <c r="F100" t="s">
        <v>607</v>
      </c>
      <c r="H100" t="s">
        <v>343</v>
      </c>
      <c r="I100" t="s">
        <v>344</v>
      </c>
      <c r="J100" t="s">
        <v>287</v>
      </c>
      <c r="K100" t="s">
        <v>12</v>
      </c>
      <c r="N100" s="2">
        <v>43641</v>
      </c>
      <c r="O100">
        <v>265</v>
      </c>
      <c r="P100">
        <v>3.32</v>
      </c>
      <c r="T100">
        <v>2750345000</v>
      </c>
      <c r="U100">
        <v>25617935.710000001</v>
      </c>
      <c r="V100">
        <v>2803725000</v>
      </c>
      <c r="W100">
        <v>0.71870699999999998</v>
      </c>
      <c r="X100">
        <v>85000000</v>
      </c>
      <c r="Z100">
        <v>2803725000</v>
      </c>
      <c r="AA100">
        <v>3.32</v>
      </c>
      <c r="AB100">
        <v>1.28464767E-2</v>
      </c>
      <c r="AC100" t="s">
        <v>607</v>
      </c>
      <c r="AE100" t="s">
        <v>345</v>
      </c>
      <c r="AF100" t="s">
        <v>346</v>
      </c>
      <c r="AG100" t="s">
        <v>346</v>
      </c>
      <c r="AH100" t="s">
        <v>330</v>
      </c>
      <c r="AI100" t="s">
        <v>343</v>
      </c>
      <c r="AJ100" t="s">
        <v>347</v>
      </c>
      <c r="AK100" t="s">
        <v>10</v>
      </c>
      <c r="AM100" t="s">
        <v>287</v>
      </c>
      <c r="AN100" t="s">
        <v>292</v>
      </c>
      <c r="AO100" t="s">
        <v>292</v>
      </c>
      <c r="AP100" t="s">
        <v>333</v>
      </c>
      <c r="AQ100" t="s">
        <v>321</v>
      </c>
      <c r="AR100" t="s">
        <v>292</v>
      </c>
      <c r="AS100" t="s">
        <v>292</v>
      </c>
      <c r="AT100" t="s">
        <v>348</v>
      </c>
      <c r="AU100" t="s">
        <v>292</v>
      </c>
      <c r="AV100" t="s">
        <v>335</v>
      </c>
      <c r="AY100" t="s">
        <v>349</v>
      </c>
      <c r="AZ100" t="s">
        <v>349</v>
      </c>
      <c r="BA100" t="s">
        <v>344</v>
      </c>
      <c r="BB100" t="s">
        <v>292</v>
      </c>
      <c r="BC100" t="s">
        <v>12</v>
      </c>
      <c r="BD100" t="s">
        <v>292</v>
      </c>
      <c r="BE100" t="s">
        <v>12</v>
      </c>
      <c r="BF100" t="s">
        <v>350</v>
      </c>
      <c r="BG100" t="s">
        <v>12</v>
      </c>
      <c r="BH100">
        <v>6</v>
      </c>
      <c r="BI100" t="s">
        <v>300</v>
      </c>
      <c r="BJ100" t="s">
        <v>300</v>
      </c>
      <c r="CK100" t="s">
        <v>560</v>
      </c>
      <c r="CL100" t="s">
        <v>561</v>
      </c>
      <c r="CM100" t="s">
        <v>9</v>
      </c>
      <c r="CN100" s="2">
        <v>43276</v>
      </c>
      <c r="CO100" t="s">
        <v>292</v>
      </c>
      <c r="CP100" t="s">
        <v>351</v>
      </c>
      <c r="CQ100" t="s">
        <v>351</v>
      </c>
      <c r="CR100" t="s">
        <v>352</v>
      </c>
      <c r="CS100" t="s">
        <v>292</v>
      </c>
      <c r="CT100">
        <v>80000</v>
      </c>
      <c r="CU100" t="b">
        <v>0</v>
      </c>
      <c r="CV100" t="s">
        <v>311</v>
      </c>
      <c r="CW100" t="s">
        <v>292</v>
      </c>
      <c r="CX100" t="s">
        <v>292</v>
      </c>
      <c r="CY100" t="b">
        <v>0</v>
      </c>
      <c r="CZ100" t="b">
        <v>0</v>
      </c>
      <c r="DC100" t="s">
        <v>292</v>
      </c>
      <c r="DD100">
        <v>2803724999.96</v>
      </c>
      <c r="DE100">
        <v>0</v>
      </c>
      <c r="DG100">
        <v>0</v>
      </c>
      <c r="DH100" t="s">
        <v>321</v>
      </c>
      <c r="DI100">
        <v>32.356999999999999</v>
      </c>
      <c r="DJ100">
        <f>DataTable[HLD_MaturityDate] - DataTable[SEC_Issue_Date]</f>
        <v>365</v>
      </c>
    </row>
    <row r="101" spans="1:114" x14ac:dyDescent="0.2">
      <c r="A101" s="2">
        <v>43376</v>
      </c>
      <c r="B101" t="s">
        <v>46</v>
      </c>
      <c r="C101" t="s">
        <v>7</v>
      </c>
      <c r="D101" t="s">
        <v>11</v>
      </c>
      <c r="F101" t="s">
        <v>608</v>
      </c>
      <c r="H101" t="s">
        <v>343</v>
      </c>
      <c r="I101" t="s">
        <v>344</v>
      </c>
      <c r="J101" t="s">
        <v>287</v>
      </c>
      <c r="K101" t="s">
        <v>12</v>
      </c>
      <c r="N101" s="2">
        <v>43581</v>
      </c>
      <c r="O101">
        <v>205</v>
      </c>
      <c r="P101">
        <v>3.17</v>
      </c>
      <c r="T101">
        <v>1941420000</v>
      </c>
      <c r="U101">
        <v>27523403.48</v>
      </c>
      <c r="V101">
        <v>1887600000</v>
      </c>
      <c r="W101">
        <v>0.55948500000000001</v>
      </c>
      <c r="X101">
        <v>60000000</v>
      </c>
      <c r="Z101">
        <v>1887600000</v>
      </c>
      <c r="AA101">
        <v>3.17</v>
      </c>
      <c r="AB101">
        <v>9.1117878999999995E-3</v>
      </c>
      <c r="AC101" t="s">
        <v>608</v>
      </c>
      <c r="AE101" t="s">
        <v>345</v>
      </c>
      <c r="AF101" t="s">
        <v>346</v>
      </c>
      <c r="AG101" t="s">
        <v>346</v>
      </c>
      <c r="AH101" t="s">
        <v>330</v>
      </c>
      <c r="AI101" t="s">
        <v>343</v>
      </c>
      <c r="AJ101" t="s">
        <v>347</v>
      </c>
      <c r="AK101" t="s">
        <v>10</v>
      </c>
      <c r="AM101" t="s">
        <v>287</v>
      </c>
      <c r="AN101" t="s">
        <v>292</v>
      </c>
      <c r="AO101" t="s">
        <v>292</v>
      </c>
      <c r="AP101" t="s">
        <v>333</v>
      </c>
      <c r="AQ101" t="s">
        <v>321</v>
      </c>
      <c r="AR101" t="s">
        <v>292</v>
      </c>
      <c r="AS101" t="s">
        <v>292</v>
      </c>
      <c r="AT101" t="s">
        <v>348</v>
      </c>
      <c r="AU101" t="s">
        <v>292</v>
      </c>
      <c r="AV101" t="s">
        <v>335</v>
      </c>
      <c r="AY101" t="s">
        <v>349</v>
      </c>
      <c r="AZ101" t="s">
        <v>349</v>
      </c>
      <c r="BA101" t="s">
        <v>344</v>
      </c>
      <c r="BB101" t="s">
        <v>292</v>
      </c>
      <c r="BC101" t="s">
        <v>12</v>
      </c>
      <c r="BD101" t="s">
        <v>292</v>
      </c>
      <c r="BE101" t="s">
        <v>12</v>
      </c>
      <c r="BF101" t="s">
        <v>350</v>
      </c>
      <c r="BG101" t="s">
        <v>12</v>
      </c>
      <c r="BH101">
        <v>6</v>
      </c>
      <c r="BI101" t="s">
        <v>300</v>
      </c>
      <c r="BJ101" t="s">
        <v>300</v>
      </c>
      <c r="CK101" t="s">
        <v>560</v>
      </c>
      <c r="CL101" t="s">
        <v>561</v>
      </c>
      <c r="CM101" t="s">
        <v>9</v>
      </c>
      <c r="CN101" s="2">
        <v>43216</v>
      </c>
      <c r="CO101" t="s">
        <v>292</v>
      </c>
      <c r="CP101" t="s">
        <v>351</v>
      </c>
      <c r="CQ101" t="s">
        <v>351</v>
      </c>
      <c r="CR101" t="s">
        <v>352</v>
      </c>
      <c r="CS101" t="s">
        <v>292</v>
      </c>
      <c r="CT101">
        <v>80000</v>
      </c>
      <c r="CU101" t="b">
        <v>0</v>
      </c>
      <c r="CV101" t="s">
        <v>311</v>
      </c>
      <c r="CW101" t="s">
        <v>292</v>
      </c>
      <c r="CX101" t="s">
        <v>292</v>
      </c>
      <c r="CY101" t="b">
        <v>0</v>
      </c>
      <c r="CZ101" t="b">
        <v>0</v>
      </c>
      <c r="DC101" t="s">
        <v>292</v>
      </c>
      <c r="DD101">
        <v>1887599999.99</v>
      </c>
      <c r="DE101">
        <v>0</v>
      </c>
      <c r="DG101">
        <v>0</v>
      </c>
      <c r="DH101" t="s">
        <v>321</v>
      </c>
      <c r="DI101">
        <v>32.356999999999999</v>
      </c>
      <c r="DJ101">
        <f>DataTable[HLD_MaturityDate] - DataTable[SEC_Issue_Date]</f>
        <v>365</v>
      </c>
    </row>
    <row r="102" spans="1:114" x14ac:dyDescent="0.2">
      <c r="A102" s="2">
        <v>43376</v>
      </c>
      <c r="B102" t="s">
        <v>46</v>
      </c>
      <c r="C102" t="s">
        <v>7</v>
      </c>
      <c r="D102" t="s">
        <v>11</v>
      </c>
      <c r="F102" t="s">
        <v>609</v>
      </c>
      <c r="H102" t="s">
        <v>343</v>
      </c>
      <c r="I102" t="s">
        <v>344</v>
      </c>
      <c r="J102" t="s">
        <v>287</v>
      </c>
      <c r="K102" t="s">
        <v>12</v>
      </c>
      <c r="N102" s="2">
        <v>43551</v>
      </c>
      <c r="O102">
        <v>175</v>
      </c>
      <c r="P102">
        <v>0.11</v>
      </c>
      <c r="T102">
        <v>2995608000</v>
      </c>
      <c r="U102">
        <v>1748270.11</v>
      </c>
      <c r="V102">
        <v>3051200000</v>
      </c>
      <c r="W102">
        <v>0.48585099999999998</v>
      </c>
      <c r="X102">
        <v>80000000</v>
      </c>
      <c r="Z102">
        <v>3051200000</v>
      </c>
      <c r="AA102">
        <v>0.11</v>
      </c>
      <c r="AB102">
        <v>1.38710308E-2</v>
      </c>
      <c r="AC102" t="s">
        <v>609</v>
      </c>
      <c r="AE102" t="s">
        <v>345</v>
      </c>
      <c r="AF102" t="s">
        <v>346</v>
      </c>
      <c r="AG102" t="s">
        <v>346</v>
      </c>
      <c r="AH102" t="s">
        <v>330</v>
      </c>
      <c r="AI102" t="s">
        <v>343</v>
      </c>
      <c r="AJ102" t="s">
        <v>347</v>
      </c>
      <c r="AK102" t="s">
        <v>10</v>
      </c>
      <c r="AM102" t="s">
        <v>287</v>
      </c>
      <c r="AN102" t="s">
        <v>292</v>
      </c>
      <c r="AO102" t="s">
        <v>292</v>
      </c>
      <c r="AP102" t="s">
        <v>333</v>
      </c>
      <c r="AQ102" t="s">
        <v>307</v>
      </c>
      <c r="AR102" t="s">
        <v>292</v>
      </c>
      <c r="AS102" t="s">
        <v>292</v>
      </c>
      <c r="AT102" t="s">
        <v>348</v>
      </c>
      <c r="AU102" t="s">
        <v>292</v>
      </c>
      <c r="AV102" t="s">
        <v>335</v>
      </c>
      <c r="AY102" t="s">
        <v>349</v>
      </c>
      <c r="AZ102" t="s">
        <v>349</v>
      </c>
      <c r="BA102" t="s">
        <v>344</v>
      </c>
      <c r="BB102" t="s">
        <v>292</v>
      </c>
      <c r="BC102" t="s">
        <v>12</v>
      </c>
      <c r="BD102" t="s">
        <v>292</v>
      </c>
      <c r="BE102" t="s">
        <v>12</v>
      </c>
      <c r="BF102" t="s">
        <v>350</v>
      </c>
      <c r="BG102" t="s">
        <v>12</v>
      </c>
      <c r="BH102">
        <v>6</v>
      </c>
      <c r="BI102" t="s">
        <v>300</v>
      </c>
      <c r="BJ102" t="s">
        <v>300</v>
      </c>
      <c r="CK102" t="s">
        <v>560</v>
      </c>
      <c r="CL102" t="s">
        <v>561</v>
      </c>
      <c r="CM102" t="s">
        <v>9</v>
      </c>
      <c r="CN102" s="2">
        <v>43186</v>
      </c>
      <c r="CO102" t="s">
        <v>292</v>
      </c>
      <c r="CP102" t="s">
        <v>351</v>
      </c>
      <c r="CQ102" t="s">
        <v>351</v>
      </c>
      <c r="CR102" t="s">
        <v>352</v>
      </c>
      <c r="CS102" t="s">
        <v>292</v>
      </c>
      <c r="CT102">
        <v>80000</v>
      </c>
      <c r="CU102" t="b">
        <v>0</v>
      </c>
      <c r="CV102" t="s">
        <v>311</v>
      </c>
      <c r="CW102" t="s">
        <v>292</v>
      </c>
      <c r="CX102" t="s">
        <v>292</v>
      </c>
      <c r="CY102" t="b">
        <v>0</v>
      </c>
      <c r="CZ102" t="b">
        <v>0</v>
      </c>
      <c r="DC102" t="s">
        <v>292</v>
      </c>
      <c r="DD102">
        <v>3051199999.9899998</v>
      </c>
      <c r="DE102">
        <v>0</v>
      </c>
      <c r="DG102">
        <v>0</v>
      </c>
      <c r="DH102" t="s">
        <v>307</v>
      </c>
      <c r="DI102">
        <v>37.445099999999996</v>
      </c>
      <c r="DJ102">
        <f>DataTable[HLD_MaturityDate] - DataTable[SEC_Issue_Date]</f>
        <v>365</v>
      </c>
    </row>
    <row r="103" spans="1:114" x14ac:dyDescent="0.2">
      <c r="A103" s="2">
        <v>43376</v>
      </c>
      <c r="B103" t="s">
        <v>46</v>
      </c>
      <c r="C103" t="s">
        <v>7</v>
      </c>
      <c r="D103" t="s">
        <v>11</v>
      </c>
      <c r="F103" t="s">
        <v>610</v>
      </c>
      <c r="H103" t="s">
        <v>343</v>
      </c>
      <c r="I103" t="s">
        <v>344</v>
      </c>
      <c r="J103" t="s">
        <v>287</v>
      </c>
      <c r="K103" t="s">
        <v>12</v>
      </c>
      <c r="N103" s="2">
        <v>43552</v>
      </c>
      <c r="O103">
        <v>176</v>
      </c>
      <c r="P103">
        <v>0.105</v>
      </c>
      <c r="T103">
        <v>2995608000</v>
      </c>
      <c r="U103">
        <v>1660066.1</v>
      </c>
      <c r="V103">
        <v>3065600000</v>
      </c>
      <c r="W103">
        <v>0.48863800000000002</v>
      </c>
      <c r="X103">
        <v>80000000</v>
      </c>
      <c r="Z103">
        <v>3065600000</v>
      </c>
      <c r="AA103">
        <v>0.105</v>
      </c>
      <c r="AB103">
        <v>1.38706226E-2</v>
      </c>
      <c r="AC103" t="s">
        <v>610</v>
      </c>
      <c r="AE103" t="s">
        <v>345</v>
      </c>
      <c r="AF103" t="s">
        <v>346</v>
      </c>
      <c r="AG103" t="s">
        <v>346</v>
      </c>
      <c r="AH103" t="s">
        <v>330</v>
      </c>
      <c r="AI103" t="s">
        <v>343</v>
      </c>
      <c r="AJ103" t="s">
        <v>347</v>
      </c>
      <c r="AK103" t="s">
        <v>10</v>
      </c>
      <c r="AM103" t="s">
        <v>287</v>
      </c>
      <c r="AN103" t="s">
        <v>292</v>
      </c>
      <c r="AO103" t="s">
        <v>292</v>
      </c>
      <c r="AP103" t="s">
        <v>333</v>
      </c>
      <c r="AQ103" t="s">
        <v>307</v>
      </c>
      <c r="AR103" t="s">
        <v>292</v>
      </c>
      <c r="AS103" t="s">
        <v>292</v>
      </c>
      <c r="AT103" t="s">
        <v>348</v>
      </c>
      <c r="AU103" t="s">
        <v>292</v>
      </c>
      <c r="AV103" t="s">
        <v>335</v>
      </c>
      <c r="AY103" t="s">
        <v>349</v>
      </c>
      <c r="AZ103" t="s">
        <v>349</v>
      </c>
      <c r="BA103" t="s">
        <v>344</v>
      </c>
      <c r="BB103" t="s">
        <v>292</v>
      </c>
      <c r="BC103" t="s">
        <v>12</v>
      </c>
      <c r="BD103" t="s">
        <v>292</v>
      </c>
      <c r="BE103" t="s">
        <v>12</v>
      </c>
      <c r="BF103" t="s">
        <v>350</v>
      </c>
      <c r="BG103" t="s">
        <v>12</v>
      </c>
      <c r="BH103">
        <v>6</v>
      </c>
      <c r="BI103" t="s">
        <v>300</v>
      </c>
      <c r="BJ103" t="s">
        <v>300</v>
      </c>
      <c r="CK103" t="s">
        <v>560</v>
      </c>
      <c r="CL103" t="s">
        <v>561</v>
      </c>
      <c r="CM103" t="s">
        <v>9</v>
      </c>
      <c r="CN103" s="2">
        <v>43187</v>
      </c>
      <c r="CO103" t="s">
        <v>292</v>
      </c>
      <c r="CP103" t="s">
        <v>351</v>
      </c>
      <c r="CQ103" t="s">
        <v>351</v>
      </c>
      <c r="CR103" t="s">
        <v>352</v>
      </c>
      <c r="CS103" t="s">
        <v>292</v>
      </c>
      <c r="CT103">
        <v>80000</v>
      </c>
      <c r="CU103" t="b">
        <v>0</v>
      </c>
      <c r="CV103" t="s">
        <v>311</v>
      </c>
      <c r="CW103" t="s">
        <v>292</v>
      </c>
      <c r="CX103" t="s">
        <v>292</v>
      </c>
      <c r="CY103" t="b">
        <v>0</v>
      </c>
      <c r="CZ103" t="b">
        <v>0</v>
      </c>
      <c r="DC103" t="s">
        <v>292</v>
      </c>
      <c r="DD103">
        <v>3065599999.9899998</v>
      </c>
      <c r="DE103">
        <v>0</v>
      </c>
      <c r="DG103">
        <v>0</v>
      </c>
      <c r="DH103" t="s">
        <v>307</v>
      </c>
      <c r="DI103">
        <v>37.445099999999996</v>
      </c>
      <c r="DJ103">
        <f>DataTable[HLD_MaturityDate] - DataTable[SEC_Issue_Date]</f>
        <v>365</v>
      </c>
    </row>
    <row r="104" spans="1:114" x14ac:dyDescent="0.2">
      <c r="A104" s="2">
        <v>43376</v>
      </c>
      <c r="B104" t="s">
        <v>46</v>
      </c>
      <c r="C104" t="s">
        <v>7</v>
      </c>
      <c r="D104" t="s">
        <v>11</v>
      </c>
      <c r="F104" t="s">
        <v>611</v>
      </c>
      <c r="G104" t="s">
        <v>354</v>
      </c>
      <c r="H104" t="s">
        <v>343</v>
      </c>
      <c r="I104" t="s">
        <v>344</v>
      </c>
      <c r="J104" t="s">
        <v>287</v>
      </c>
      <c r="K104" t="s">
        <v>12</v>
      </c>
      <c r="N104" s="2">
        <v>43496</v>
      </c>
      <c r="O104">
        <v>120</v>
      </c>
      <c r="P104">
        <v>0.15</v>
      </c>
      <c r="T104">
        <v>3744510000</v>
      </c>
      <c r="U104">
        <v>3838122.75</v>
      </c>
      <c r="V104">
        <v>3880000000</v>
      </c>
      <c r="W104">
        <v>0.33316699999999999</v>
      </c>
      <c r="X104">
        <v>100000000</v>
      </c>
      <c r="Z104">
        <v>3880000000</v>
      </c>
      <c r="AA104">
        <v>0.15</v>
      </c>
      <c r="AB104">
        <v>1.7346437199999998E-2</v>
      </c>
      <c r="AC104" t="s">
        <v>611</v>
      </c>
      <c r="AE104" t="s">
        <v>345</v>
      </c>
      <c r="AF104" t="s">
        <v>346</v>
      </c>
      <c r="AG104" t="s">
        <v>346</v>
      </c>
      <c r="AH104" t="s">
        <v>330</v>
      </c>
      <c r="AI104" t="s">
        <v>343</v>
      </c>
      <c r="AJ104" t="s">
        <v>347</v>
      </c>
      <c r="AK104" t="s">
        <v>10</v>
      </c>
      <c r="AM104" t="s">
        <v>287</v>
      </c>
      <c r="AN104" t="s">
        <v>292</v>
      </c>
      <c r="AO104" t="s">
        <v>292</v>
      </c>
      <c r="AP104" t="s">
        <v>333</v>
      </c>
      <c r="AQ104" t="s">
        <v>307</v>
      </c>
      <c r="AR104" t="s">
        <v>355</v>
      </c>
      <c r="AS104" t="s">
        <v>356</v>
      </c>
      <c r="AT104" t="s">
        <v>348</v>
      </c>
      <c r="AU104" t="s">
        <v>292</v>
      </c>
      <c r="AV104" t="s">
        <v>335</v>
      </c>
      <c r="AW104" t="s">
        <v>354</v>
      </c>
      <c r="AY104" t="s">
        <v>349</v>
      </c>
      <c r="AZ104" t="s">
        <v>349</v>
      </c>
      <c r="BA104" t="s">
        <v>344</v>
      </c>
      <c r="BB104" t="s">
        <v>292</v>
      </c>
      <c r="BC104" t="s">
        <v>12</v>
      </c>
      <c r="BD104" t="s">
        <v>292</v>
      </c>
      <c r="BE104" t="s">
        <v>12</v>
      </c>
      <c r="BF104" t="s">
        <v>350</v>
      </c>
      <c r="BG104" t="s">
        <v>12</v>
      </c>
      <c r="BH104">
        <v>6</v>
      </c>
      <c r="BI104" t="s">
        <v>300</v>
      </c>
      <c r="BJ104" t="s">
        <v>300</v>
      </c>
      <c r="CK104" t="s">
        <v>560</v>
      </c>
      <c r="CL104" t="s">
        <v>561</v>
      </c>
      <c r="CM104" t="s">
        <v>9</v>
      </c>
      <c r="CN104" s="2">
        <v>43131</v>
      </c>
      <c r="CO104" t="s">
        <v>292</v>
      </c>
      <c r="CP104" t="s">
        <v>351</v>
      </c>
      <c r="CQ104" t="s">
        <v>351</v>
      </c>
      <c r="CR104" t="s">
        <v>352</v>
      </c>
      <c r="CS104" t="s">
        <v>292</v>
      </c>
      <c r="CT104">
        <v>80000</v>
      </c>
      <c r="CU104" t="b">
        <v>0</v>
      </c>
      <c r="CV104" t="s">
        <v>311</v>
      </c>
      <c r="CW104" t="s">
        <v>292</v>
      </c>
      <c r="CX104" t="s">
        <v>292</v>
      </c>
      <c r="CY104" t="b">
        <v>0</v>
      </c>
      <c r="CZ104" t="b">
        <v>0</v>
      </c>
      <c r="DC104" t="s">
        <v>292</v>
      </c>
      <c r="DD104">
        <v>3880000000.04</v>
      </c>
      <c r="DE104">
        <v>0</v>
      </c>
      <c r="DG104">
        <v>0</v>
      </c>
      <c r="DH104" t="s">
        <v>307</v>
      </c>
      <c r="DI104">
        <v>37.445099999999996</v>
      </c>
      <c r="DJ104">
        <f>DataTable[HLD_MaturityDate] - DataTable[SEC_Issue_Date]</f>
        <v>365</v>
      </c>
    </row>
    <row r="105" spans="1:114" x14ac:dyDescent="0.2">
      <c r="A105" s="2">
        <v>43376</v>
      </c>
      <c r="B105" t="s">
        <v>46</v>
      </c>
      <c r="C105" t="s">
        <v>7</v>
      </c>
      <c r="D105" t="s">
        <v>11</v>
      </c>
      <c r="F105" t="s">
        <v>612</v>
      </c>
      <c r="H105" t="s">
        <v>343</v>
      </c>
      <c r="I105" t="s">
        <v>344</v>
      </c>
      <c r="J105" t="s">
        <v>287</v>
      </c>
      <c r="K105" t="s">
        <v>12</v>
      </c>
      <c r="N105" s="2">
        <v>43616</v>
      </c>
      <c r="O105">
        <v>240</v>
      </c>
      <c r="P105">
        <v>0.14000000000000001</v>
      </c>
      <c r="T105">
        <v>1872255000</v>
      </c>
      <c r="U105">
        <v>924685.94</v>
      </c>
      <c r="V105">
        <v>1855000000</v>
      </c>
      <c r="W105">
        <v>0.666045</v>
      </c>
      <c r="X105">
        <v>50000000</v>
      </c>
      <c r="Z105">
        <v>1855000000</v>
      </c>
      <c r="AA105">
        <v>0.14000000000000001</v>
      </c>
      <c r="AB105">
        <v>8.6686169000000004E-3</v>
      </c>
      <c r="AC105" t="s">
        <v>612</v>
      </c>
      <c r="AE105" t="s">
        <v>345</v>
      </c>
      <c r="AF105" t="s">
        <v>346</v>
      </c>
      <c r="AG105" t="s">
        <v>346</v>
      </c>
      <c r="AH105" t="s">
        <v>330</v>
      </c>
      <c r="AI105" t="s">
        <v>343</v>
      </c>
      <c r="AJ105" t="s">
        <v>347</v>
      </c>
      <c r="AK105" t="s">
        <v>10</v>
      </c>
      <c r="AM105" t="s">
        <v>287</v>
      </c>
      <c r="AN105" t="s">
        <v>292</v>
      </c>
      <c r="AO105" t="s">
        <v>292</v>
      </c>
      <c r="AP105" t="s">
        <v>333</v>
      </c>
      <c r="AQ105" t="s">
        <v>307</v>
      </c>
      <c r="AR105" t="s">
        <v>292</v>
      </c>
      <c r="AS105" t="s">
        <v>292</v>
      </c>
      <c r="AT105" t="s">
        <v>348</v>
      </c>
      <c r="AU105" t="s">
        <v>292</v>
      </c>
      <c r="AV105" t="s">
        <v>335</v>
      </c>
      <c r="AY105" t="s">
        <v>349</v>
      </c>
      <c r="AZ105" t="s">
        <v>349</v>
      </c>
      <c r="BA105" t="s">
        <v>344</v>
      </c>
      <c r="BB105" t="s">
        <v>292</v>
      </c>
      <c r="BC105" t="s">
        <v>12</v>
      </c>
      <c r="BD105" t="s">
        <v>292</v>
      </c>
      <c r="BE105" t="s">
        <v>12</v>
      </c>
      <c r="BF105" t="s">
        <v>350</v>
      </c>
      <c r="BG105" t="s">
        <v>12</v>
      </c>
      <c r="BH105">
        <v>6</v>
      </c>
      <c r="BI105" t="s">
        <v>300</v>
      </c>
      <c r="BJ105" t="s">
        <v>300</v>
      </c>
      <c r="CK105" t="s">
        <v>560</v>
      </c>
      <c r="CL105" t="s">
        <v>561</v>
      </c>
      <c r="CM105" t="s">
        <v>9</v>
      </c>
      <c r="CN105" s="2">
        <v>43250</v>
      </c>
      <c r="CO105" t="s">
        <v>292</v>
      </c>
      <c r="CP105" t="s">
        <v>351</v>
      </c>
      <c r="CQ105" t="s">
        <v>351</v>
      </c>
      <c r="CR105" t="s">
        <v>352</v>
      </c>
      <c r="CS105" t="s">
        <v>292</v>
      </c>
      <c r="CT105">
        <v>80000</v>
      </c>
      <c r="CU105" t="b">
        <v>0</v>
      </c>
      <c r="CV105" t="s">
        <v>311</v>
      </c>
      <c r="CW105" t="s">
        <v>292</v>
      </c>
      <c r="CX105" t="s">
        <v>292</v>
      </c>
      <c r="CY105" t="b">
        <v>0</v>
      </c>
      <c r="CZ105" t="b">
        <v>0</v>
      </c>
      <c r="DC105" t="s">
        <v>292</v>
      </c>
      <c r="DD105">
        <v>1854999999.97</v>
      </c>
      <c r="DE105">
        <v>0</v>
      </c>
      <c r="DG105">
        <v>0</v>
      </c>
      <c r="DH105" t="s">
        <v>307</v>
      </c>
      <c r="DI105">
        <v>37.445099999999996</v>
      </c>
      <c r="DJ105">
        <f>DataTable[HLD_MaturityDate] - DataTable[SEC_Issue_Date]</f>
        <v>366</v>
      </c>
    </row>
    <row r="106" spans="1:114" x14ac:dyDescent="0.2">
      <c r="A106" s="2">
        <v>43376</v>
      </c>
      <c r="B106" t="s">
        <v>46</v>
      </c>
      <c r="C106" t="s">
        <v>7</v>
      </c>
      <c r="D106" t="s">
        <v>11</v>
      </c>
      <c r="F106" t="s">
        <v>357</v>
      </c>
      <c r="G106" t="s">
        <v>354</v>
      </c>
      <c r="H106" t="s">
        <v>358</v>
      </c>
      <c r="I106" t="s">
        <v>344</v>
      </c>
      <c r="J106" t="s">
        <v>287</v>
      </c>
      <c r="K106" t="s">
        <v>359</v>
      </c>
      <c r="N106" s="2">
        <v>43410</v>
      </c>
      <c r="O106">
        <v>34</v>
      </c>
      <c r="P106">
        <v>2.4066999999999998</v>
      </c>
      <c r="T106">
        <v>1132495000</v>
      </c>
      <c r="U106">
        <v>24984444.07</v>
      </c>
      <c r="V106">
        <v>1158500000</v>
      </c>
      <c r="W106">
        <v>9.4234999999999999E-2</v>
      </c>
      <c r="X106">
        <v>35000000</v>
      </c>
      <c r="Z106">
        <v>1158500000</v>
      </c>
      <c r="AA106">
        <v>2.4066999999999998</v>
      </c>
      <c r="AB106">
        <v>5.3565313999999996E-3</v>
      </c>
      <c r="AC106" t="s">
        <v>357</v>
      </c>
      <c r="AE106" t="s">
        <v>360</v>
      </c>
      <c r="AF106" t="s">
        <v>361</v>
      </c>
      <c r="AG106" t="s">
        <v>361</v>
      </c>
      <c r="AH106" t="s">
        <v>330</v>
      </c>
      <c r="AI106" t="s">
        <v>358</v>
      </c>
      <c r="AJ106" t="s">
        <v>347</v>
      </c>
      <c r="AK106" t="s">
        <v>10</v>
      </c>
      <c r="AM106" t="s">
        <v>287</v>
      </c>
      <c r="AN106" t="s">
        <v>292</v>
      </c>
      <c r="AO106" t="s">
        <v>292</v>
      </c>
      <c r="AP106" t="s">
        <v>333</v>
      </c>
      <c r="AQ106" t="s">
        <v>321</v>
      </c>
      <c r="AR106" t="s">
        <v>355</v>
      </c>
      <c r="AS106" t="s">
        <v>356</v>
      </c>
      <c r="AT106" t="s">
        <v>348</v>
      </c>
      <c r="AU106" t="s">
        <v>292</v>
      </c>
      <c r="AV106" t="s">
        <v>335</v>
      </c>
      <c r="AW106" t="s">
        <v>354</v>
      </c>
      <c r="AY106" t="s">
        <v>362</v>
      </c>
      <c r="AZ106" t="s">
        <v>362</v>
      </c>
      <c r="BA106" t="s">
        <v>344</v>
      </c>
      <c r="BB106" t="s">
        <v>292</v>
      </c>
      <c r="BC106" t="s">
        <v>359</v>
      </c>
      <c r="BD106" t="s">
        <v>292</v>
      </c>
      <c r="BE106" t="s">
        <v>12</v>
      </c>
      <c r="BF106" t="s">
        <v>350</v>
      </c>
      <c r="BG106" t="s">
        <v>359</v>
      </c>
      <c r="BH106">
        <v>5</v>
      </c>
      <c r="BI106" t="s">
        <v>300</v>
      </c>
      <c r="BJ106" t="s">
        <v>300</v>
      </c>
      <c r="CK106" t="s">
        <v>560</v>
      </c>
      <c r="CL106" t="s">
        <v>561</v>
      </c>
      <c r="CM106" t="s">
        <v>9</v>
      </c>
      <c r="CN106" s="2">
        <v>43047</v>
      </c>
      <c r="CO106" t="s">
        <v>292</v>
      </c>
      <c r="CP106" t="s">
        <v>363</v>
      </c>
      <c r="CQ106" t="s">
        <v>363</v>
      </c>
      <c r="CR106" t="s">
        <v>364</v>
      </c>
      <c r="CS106" t="s">
        <v>292</v>
      </c>
      <c r="CT106">
        <v>40000</v>
      </c>
      <c r="CU106" t="b">
        <v>0</v>
      </c>
      <c r="CV106" t="s">
        <v>311</v>
      </c>
      <c r="CW106" t="s">
        <v>292</v>
      </c>
      <c r="CX106" t="s">
        <v>292</v>
      </c>
      <c r="CY106" t="b">
        <v>0</v>
      </c>
      <c r="CZ106" t="b">
        <v>0</v>
      </c>
      <c r="DC106" t="s">
        <v>292</v>
      </c>
      <c r="DD106">
        <v>1158499999.98</v>
      </c>
      <c r="DE106">
        <v>0</v>
      </c>
      <c r="DG106">
        <v>0</v>
      </c>
      <c r="DH106" t="s">
        <v>321</v>
      </c>
      <c r="DI106">
        <v>32.356999999999999</v>
      </c>
      <c r="DJ106">
        <f>DataTable[HLD_MaturityDate] - DataTable[SEC_Issue_Date]</f>
        <v>363</v>
      </c>
    </row>
    <row r="107" spans="1:114" x14ac:dyDescent="0.2">
      <c r="A107" s="2">
        <v>43376</v>
      </c>
      <c r="B107" t="s">
        <v>46</v>
      </c>
      <c r="C107" t="s">
        <v>7</v>
      </c>
      <c r="D107" t="s">
        <v>11</v>
      </c>
      <c r="F107" t="s">
        <v>365</v>
      </c>
      <c r="G107" t="s">
        <v>354</v>
      </c>
      <c r="H107" t="s">
        <v>358</v>
      </c>
      <c r="I107" t="s">
        <v>344</v>
      </c>
      <c r="J107" t="s">
        <v>287</v>
      </c>
      <c r="K107" t="s">
        <v>359</v>
      </c>
      <c r="N107" s="2">
        <v>43389</v>
      </c>
      <c r="O107">
        <v>13</v>
      </c>
      <c r="P107">
        <v>2.4</v>
      </c>
      <c r="T107">
        <v>1617850000</v>
      </c>
      <c r="U107">
        <v>37749833.329999998</v>
      </c>
      <c r="V107">
        <v>1654000000</v>
      </c>
      <c r="W107">
        <v>3.6080000000000001E-2</v>
      </c>
      <c r="X107">
        <v>50000000</v>
      </c>
      <c r="Z107">
        <v>1654000000</v>
      </c>
      <c r="AA107">
        <v>2.4</v>
      </c>
      <c r="AB107">
        <v>7.6617105999999997E-3</v>
      </c>
      <c r="AC107" t="s">
        <v>365</v>
      </c>
      <c r="AE107" t="s">
        <v>360</v>
      </c>
      <c r="AF107" t="s">
        <v>361</v>
      </c>
      <c r="AG107" t="s">
        <v>361</v>
      </c>
      <c r="AH107" t="s">
        <v>330</v>
      </c>
      <c r="AI107" t="s">
        <v>358</v>
      </c>
      <c r="AJ107" t="s">
        <v>347</v>
      </c>
      <c r="AK107" t="s">
        <v>10</v>
      </c>
      <c r="AM107" t="s">
        <v>287</v>
      </c>
      <c r="AN107" t="s">
        <v>292</v>
      </c>
      <c r="AO107" t="s">
        <v>292</v>
      </c>
      <c r="AP107" t="s">
        <v>333</v>
      </c>
      <c r="AQ107" t="s">
        <v>321</v>
      </c>
      <c r="AR107" t="s">
        <v>355</v>
      </c>
      <c r="AS107" t="s">
        <v>356</v>
      </c>
      <c r="AT107" t="s">
        <v>348</v>
      </c>
      <c r="AU107" t="s">
        <v>292</v>
      </c>
      <c r="AV107" t="s">
        <v>335</v>
      </c>
      <c r="AW107" t="s">
        <v>354</v>
      </c>
      <c r="AY107" t="s">
        <v>362</v>
      </c>
      <c r="AZ107" t="s">
        <v>362</v>
      </c>
      <c r="BA107" t="s">
        <v>344</v>
      </c>
      <c r="BB107" t="s">
        <v>292</v>
      </c>
      <c r="BC107" t="s">
        <v>359</v>
      </c>
      <c r="BD107" t="s">
        <v>292</v>
      </c>
      <c r="BE107" t="s">
        <v>12</v>
      </c>
      <c r="BF107" t="s">
        <v>350</v>
      </c>
      <c r="BG107" t="s">
        <v>359</v>
      </c>
      <c r="BH107">
        <v>5</v>
      </c>
      <c r="BI107" t="s">
        <v>300</v>
      </c>
      <c r="BJ107" t="s">
        <v>300</v>
      </c>
      <c r="CK107" t="s">
        <v>560</v>
      </c>
      <c r="CL107" t="s">
        <v>561</v>
      </c>
      <c r="CM107" t="s">
        <v>9</v>
      </c>
      <c r="CN107" s="2">
        <v>43027</v>
      </c>
      <c r="CO107" t="s">
        <v>292</v>
      </c>
      <c r="CP107" t="s">
        <v>363</v>
      </c>
      <c r="CQ107" t="s">
        <v>363</v>
      </c>
      <c r="CR107" t="s">
        <v>364</v>
      </c>
      <c r="CS107" t="s">
        <v>292</v>
      </c>
      <c r="CT107">
        <v>40000</v>
      </c>
      <c r="CU107" t="b">
        <v>0</v>
      </c>
      <c r="CV107" t="s">
        <v>311</v>
      </c>
      <c r="CW107" t="s">
        <v>292</v>
      </c>
      <c r="CX107" t="s">
        <v>292</v>
      </c>
      <c r="CY107" t="b">
        <v>0</v>
      </c>
      <c r="CZ107" t="b">
        <v>0</v>
      </c>
      <c r="DC107" t="s">
        <v>292</v>
      </c>
      <c r="DD107">
        <v>1654000000.01</v>
      </c>
      <c r="DE107">
        <v>0</v>
      </c>
      <c r="DG107">
        <v>0</v>
      </c>
      <c r="DH107" t="s">
        <v>321</v>
      </c>
      <c r="DI107">
        <v>32.356999999999999</v>
      </c>
      <c r="DJ107">
        <f>DataTable[HLD_MaturityDate] - DataTable[SEC_Issue_Date]</f>
        <v>362</v>
      </c>
    </row>
    <row r="108" spans="1:114" x14ac:dyDescent="0.2">
      <c r="A108" s="2">
        <v>43376</v>
      </c>
      <c r="B108" t="s">
        <v>46</v>
      </c>
      <c r="C108" t="s">
        <v>7</v>
      </c>
      <c r="D108" t="s">
        <v>11</v>
      </c>
      <c r="F108" t="s">
        <v>613</v>
      </c>
      <c r="H108" t="s">
        <v>358</v>
      </c>
      <c r="I108" t="s">
        <v>344</v>
      </c>
      <c r="J108" t="s">
        <v>287</v>
      </c>
      <c r="K108" t="s">
        <v>359</v>
      </c>
      <c r="N108" s="2">
        <v>43452</v>
      </c>
      <c r="O108">
        <v>76</v>
      </c>
      <c r="P108">
        <v>2.9</v>
      </c>
      <c r="T108">
        <v>3523672120</v>
      </c>
      <c r="U108">
        <v>82316895.909999996</v>
      </c>
      <c r="V108">
        <v>3542000000</v>
      </c>
      <c r="W108">
        <v>0.20985599999999999</v>
      </c>
      <c r="X108">
        <v>400000000</v>
      </c>
      <c r="Z108">
        <v>3542000000</v>
      </c>
      <c r="AA108">
        <v>2.9</v>
      </c>
      <c r="AB108">
        <v>1.6687634100000001E-2</v>
      </c>
      <c r="AC108" t="s">
        <v>613</v>
      </c>
      <c r="AE108" t="s">
        <v>360</v>
      </c>
      <c r="AF108" t="s">
        <v>361</v>
      </c>
      <c r="AG108" t="s">
        <v>361</v>
      </c>
      <c r="AH108" t="s">
        <v>330</v>
      </c>
      <c r="AI108" t="s">
        <v>358</v>
      </c>
      <c r="AJ108" t="s">
        <v>347</v>
      </c>
      <c r="AK108" t="s">
        <v>10</v>
      </c>
      <c r="AM108" t="s">
        <v>287</v>
      </c>
      <c r="AN108" t="s">
        <v>292</v>
      </c>
      <c r="AO108" t="s">
        <v>292</v>
      </c>
      <c r="AP108" t="s">
        <v>333</v>
      </c>
      <c r="AQ108" t="s">
        <v>558</v>
      </c>
      <c r="AR108" t="s">
        <v>292</v>
      </c>
      <c r="AS108" t="s">
        <v>292</v>
      </c>
      <c r="AT108" t="s">
        <v>348</v>
      </c>
      <c r="AU108" t="s">
        <v>292</v>
      </c>
      <c r="AV108" t="s">
        <v>335</v>
      </c>
      <c r="AY108" t="s">
        <v>362</v>
      </c>
      <c r="AZ108" t="s">
        <v>362</v>
      </c>
      <c r="BA108" t="s">
        <v>344</v>
      </c>
      <c r="BB108" t="s">
        <v>292</v>
      </c>
      <c r="BC108" t="s">
        <v>359</v>
      </c>
      <c r="BD108" t="s">
        <v>292</v>
      </c>
      <c r="BE108" t="s">
        <v>12</v>
      </c>
      <c r="BF108" t="s">
        <v>350</v>
      </c>
      <c r="BG108" t="s">
        <v>359</v>
      </c>
      <c r="BH108">
        <v>5</v>
      </c>
      <c r="BI108" t="s">
        <v>300</v>
      </c>
      <c r="BJ108" t="s">
        <v>300</v>
      </c>
      <c r="CK108" t="s">
        <v>560</v>
      </c>
      <c r="CL108" t="s">
        <v>561</v>
      </c>
      <c r="CM108" t="s">
        <v>9</v>
      </c>
      <c r="CN108" s="2">
        <v>43087</v>
      </c>
      <c r="CO108" t="s">
        <v>292</v>
      </c>
      <c r="CP108" t="s">
        <v>363</v>
      </c>
      <c r="CQ108" t="s">
        <v>363</v>
      </c>
      <c r="CR108" t="s">
        <v>364</v>
      </c>
      <c r="CS108" t="s">
        <v>292</v>
      </c>
      <c r="CT108">
        <v>40000</v>
      </c>
      <c r="CU108" t="b">
        <v>0</v>
      </c>
      <c r="CV108" t="s">
        <v>311</v>
      </c>
      <c r="CW108" t="s">
        <v>292</v>
      </c>
      <c r="CX108" t="s">
        <v>292</v>
      </c>
      <c r="CY108" t="b">
        <v>0</v>
      </c>
      <c r="CZ108" t="b">
        <v>0</v>
      </c>
      <c r="DC108" t="s">
        <v>292</v>
      </c>
      <c r="DD108">
        <v>3542000000</v>
      </c>
      <c r="DE108">
        <v>0</v>
      </c>
      <c r="DG108">
        <v>0</v>
      </c>
      <c r="DH108" t="s">
        <v>558</v>
      </c>
      <c r="DI108">
        <v>8.8091799999999996</v>
      </c>
      <c r="DJ108">
        <f>DataTable[HLD_MaturityDate] - DataTable[SEC_Issue_Date]</f>
        <v>365</v>
      </c>
    </row>
    <row r="109" spans="1:114" x14ac:dyDescent="0.2">
      <c r="A109" s="2">
        <v>43376</v>
      </c>
      <c r="B109" t="s">
        <v>46</v>
      </c>
      <c r="C109" t="s">
        <v>7</v>
      </c>
      <c r="D109" t="s">
        <v>11</v>
      </c>
      <c r="F109" t="s">
        <v>614</v>
      </c>
      <c r="H109" t="s">
        <v>367</v>
      </c>
      <c r="I109" t="s">
        <v>344</v>
      </c>
      <c r="J109" t="s">
        <v>287</v>
      </c>
      <c r="K109" t="s">
        <v>12</v>
      </c>
      <c r="N109" s="2">
        <v>43587</v>
      </c>
      <c r="O109">
        <v>211</v>
      </c>
      <c r="P109">
        <v>0.06</v>
      </c>
      <c r="T109">
        <v>2621157000</v>
      </c>
      <c r="U109">
        <v>668395.04</v>
      </c>
      <c r="V109">
        <v>2660000000</v>
      </c>
      <c r="W109">
        <v>0.58590500000000001</v>
      </c>
      <c r="X109">
        <v>70000000</v>
      </c>
      <c r="Z109">
        <v>2660000000</v>
      </c>
      <c r="AA109">
        <v>0.06</v>
      </c>
      <c r="AB109">
        <v>1.2133165899999999E-2</v>
      </c>
      <c r="AC109" t="s">
        <v>614</v>
      </c>
      <c r="AE109" t="s">
        <v>368</v>
      </c>
      <c r="AF109" t="s">
        <v>369</v>
      </c>
      <c r="AG109" t="s">
        <v>369</v>
      </c>
      <c r="AH109" t="s">
        <v>330</v>
      </c>
      <c r="AI109" t="s">
        <v>367</v>
      </c>
      <c r="AJ109" t="s">
        <v>347</v>
      </c>
      <c r="AK109" t="s">
        <v>10</v>
      </c>
      <c r="AM109" t="s">
        <v>287</v>
      </c>
      <c r="AN109" t="s">
        <v>292</v>
      </c>
      <c r="AO109" t="s">
        <v>292</v>
      </c>
      <c r="AP109" t="s">
        <v>333</v>
      </c>
      <c r="AQ109" t="s">
        <v>307</v>
      </c>
      <c r="AR109" t="s">
        <v>292</v>
      </c>
      <c r="AS109" t="s">
        <v>292</v>
      </c>
      <c r="AT109" t="s">
        <v>348</v>
      </c>
      <c r="AU109" t="s">
        <v>292</v>
      </c>
      <c r="AV109" t="s">
        <v>335</v>
      </c>
      <c r="AY109" t="s">
        <v>370</v>
      </c>
      <c r="AZ109" t="s">
        <v>370</v>
      </c>
      <c r="BA109" t="s">
        <v>344</v>
      </c>
      <c r="BB109" t="s">
        <v>292</v>
      </c>
      <c r="BC109" t="s">
        <v>12</v>
      </c>
      <c r="BD109" t="s">
        <v>292</v>
      </c>
      <c r="BE109" t="s">
        <v>12</v>
      </c>
      <c r="BF109" t="s">
        <v>350</v>
      </c>
      <c r="BG109" t="s">
        <v>12</v>
      </c>
      <c r="BH109">
        <v>6</v>
      </c>
      <c r="BI109" t="s">
        <v>300</v>
      </c>
      <c r="BJ109" t="s">
        <v>300</v>
      </c>
      <c r="CK109" t="s">
        <v>560</v>
      </c>
      <c r="CL109" t="s">
        <v>561</v>
      </c>
      <c r="CM109" t="s">
        <v>9</v>
      </c>
      <c r="CN109" s="2">
        <v>43224</v>
      </c>
      <c r="CO109" t="s">
        <v>292</v>
      </c>
      <c r="CP109" t="s">
        <v>371</v>
      </c>
      <c r="CQ109" t="s">
        <v>371</v>
      </c>
      <c r="CR109" t="s">
        <v>372</v>
      </c>
      <c r="CS109" t="s">
        <v>292</v>
      </c>
      <c r="CT109">
        <v>100000</v>
      </c>
      <c r="CU109" t="b">
        <v>0</v>
      </c>
      <c r="CV109" t="s">
        <v>311</v>
      </c>
      <c r="CW109" t="s">
        <v>292</v>
      </c>
      <c r="CX109" t="s">
        <v>292</v>
      </c>
      <c r="CY109" t="b">
        <v>0</v>
      </c>
      <c r="CZ109" t="b">
        <v>0</v>
      </c>
      <c r="DC109" t="s">
        <v>292</v>
      </c>
      <c r="DD109">
        <v>2659999999.9699998</v>
      </c>
      <c r="DE109">
        <v>0</v>
      </c>
      <c r="DG109">
        <v>0</v>
      </c>
      <c r="DH109" t="s">
        <v>307</v>
      </c>
      <c r="DI109">
        <v>37.445099999999996</v>
      </c>
      <c r="DJ109">
        <f>DataTable[HLD_MaturityDate] - DataTable[SEC_Issue_Date]</f>
        <v>363</v>
      </c>
    </row>
    <row r="110" spans="1:114" x14ac:dyDescent="0.2">
      <c r="A110" s="2">
        <v>43376</v>
      </c>
      <c r="B110" t="s">
        <v>46</v>
      </c>
      <c r="C110" t="s">
        <v>7</v>
      </c>
      <c r="D110" t="s">
        <v>11</v>
      </c>
      <c r="F110" t="s">
        <v>615</v>
      </c>
      <c r="H110" t="s">
        <v>367</v>
      </c>
      <c r="I110" t="s">
        <v>344</v>
      </c>
      <c r="J110" t="s">
        <v>287</v>
      </c>
      <c r="K110" t="s">
        <v>12</v>
      </c>
      <c r="N110" s="2">
        <v>43473</v>
      </c>
      <c r="O110">
        <v>97</v>
      </c>
      <c r="P110">
        <v>2.67</v>
      </c>
      <c r="T110">
        <v>3235700000</v>
      </c>
      <c r="U110">
        <v>64554911.420000002</v>
      </c>
      <c r="V110">
        <v>3230500000</v>
      </c>
      <c r="W110">
        <v>0.26755699999999999</v>
      </c>
      <c r="X110">
        <v>100000000</v>
      </c>
      <c r="Z110">
        <v>3230500000</v>
      </c>
      <c r="AA110">
        <v>2.67</v>
      </c>
      <c r="AB110">
        <v>1.5272771500000001E-2</v>
      </c>
      <c r="AC110" t="s">
        <v>615</v>
      </c>
      <c r="AE110" t="s">
        <v>368</v>
      </c>
      <c r="AF110" t="s">
        <v>369</v>
      </c>
      <c r="AG110" t="s">
        <v>369</v>
      </c>
      <c r="AH110" t="s">
        <v>330</v>
      </c>
      <c r="AI110" t="s">
        <v>367</v>
      </c>
      <c r="AJ110" t="s">
        <v>347</v>
      </c>
      <c r="AK110" t="s">
        <v>10</v>
      </c>
      <c r="AM110" t="s">
        <v>287</v>
      </c>
      <c r="AN110" t="s">
        <v>292</v>
      </c>
      <c r="AO110" t="s">
        <v>292</v>
      </c>
      <c r="AP110" t="s">
        <v>333</v>
      </c>
      <c r="AQ110" t="s">
        <v>321</v>
      </c>
      <c r="AR110" t="s">
        <v>292</v>
      </c>
      <c r="AS110" t="s">
        <v>292</v>
      </c>
      <c r="AT110" t="s">
        <v>348</v>
      </c>
      <c r="AU110" t="s">
        <v>292</v>
      </c>
      <c r="AV110" t="s">
        <v>335</v>
      </c>
      <c r="AY110" t="s">
        <v>370</v>
      </c>
      <c r="AZ110" t="s">
        <v>370</v>
      </c>
      <c r="BA110" t="s">
        <v>344</v>
      </c>
      <c r="BB110" t="s">
        <v>292</v>
      </c>
      <c r="BC110" t="s">
        <v>12</v>
      </c>
      <c r="BD110" t="s">
        <v>292</v>
      </c>
      <c r="BE110" t="s">
        <v>12</v>
      </c>
      <c r="BF110" t="s">
        <v>350</v>
      </c>
      <c r="BG110" t="s">
        <v>12</v>
      </c>
      <c r="BH110">
        <v>6</v>
      </c>
      <c r="BI110" t="s">
        <v>300</v>
      </c>
      <c r="BJ110" t="s">
        <v>300</v>
      </c>
      <c r="CK110" t="s">
        <v>560</v>
      </c>
      <c r="CL110" t="s">
        <v>561</v>
      </c>
      <c r="CM110" t="s">
        <v>9</v>
      </c>
      <c r="CN110" s="2">
        <v>43108</v>
      </c>
      <c r="CO110" t="s">
        <v>292</v>
      </c>
      <c r="CP110" t="s">
        <v>371</v>
      </c>
      <c r="CQ110" t="s">
        <v>371</v>
      </c>
      <c r="CR110" t="s">
        <v>372</v>
      </c>
      <c r="CS110" t="s">
        <v>292</v>
      </c>
      <c r="CT110">
        <v>100000</v>
      </c>
      <c r="CU110" t="b">
        <v>0</v>
      </c>
      <c r="CV110" t="s">
        <v>311</v>
      </c>
      <c r="CW110" t="s">
        <v>292</v>
      </c>
      <c r="CX110" t="s">
        <v>292</v>
      </c>
      <c r="CY110" t="b">
        <v>0</v>
      </c>
      <c r="CZ110" t="b">
        <v>0</v>
      </c>
      <c r="DC110" t="s">
        <v>292</v>
      </c>
      <c r="DD110">
        <v>3230500000.04</v>
      </c>
      <c r="DE110">
        <v>0</v>
      </c>
      <c r="DG110">
        <v>0</v>
      </c>
      <c r="DH110" t="s">
        <v>321</v>
      </c>
      <c r="DI110">
        <v>32.356999999999999</v>
      </c>
      <c r="DJ110">
        <f>DataTable[HLD_MaturityDate] - DataTable[SEC_Issue_Date]</f>
        <v>365</v>
      </c>
    </row>
    <row r="111" spans="1:114" x14ac:dyDescent="0.2">
      <c r="A111" s="2">
        <v>43376</v>
      </c>
      <c r="B111" t="s">
        <v>46</v>
      </c>
      <c r="C111" t="s">
        <v>7</v>
      </c>
      <c r="D111" t="s">
        <v>11</v>
      </c>
      <c r="F111" t="s">
        <v>616</v>
      </c>
      <c r="H111" t="s">
        <v>367</v>
      </c>
      <c r="I111" t="s">
        <v>344</v>
      </c>
      <c r="J111" t="s">
        <v>287</v>
      </c>
      <c r="K111" t="s">
        <v>12</v>
      </c>
      <c r="N111" s="2">
        <v>43474</v>
      </c>
      <c r="O111">
        <v>98</v>
      </c>
      <c r="P111">
        <v>2.67</v>
      </c>
      <c r="T111">
        <v>3170986000</v>
      </c>
      <c r="U111">
        <v>63028631.729999997</v>
      </c>
      <c r="V111">
        <v>3155600000</v>
      </c>
      <c r="W111">
        <v>0.27029599999999998</v>
      </c>
      <c r="X111">
        <v>98000000</v>
      </c>
      <c r="Z111">
        <v>3155600000</v>
      </c>
      <c r="AA111">
        <v>2.67</v>
      </c>
      <c r="AB111">
        <v>1.4966227800000001E-2</v>
      </c>
      <c r="AC111" t="s">
        <v>616</v>
      </c>
      <c r="AE111" t="s">
        <v>368</v>
      </c>
      <c r="AF111" t="s">
        <v>374</v>
      </c>
      <c r="AG111" t="s">
        <v>374</v>
      </c>
      <c r="AH111" t="s">
        <v>330</v>
      </c>
      <c r="AI111" t="s">
        <v>367</v>
      </c>
      <c r="AJ111" t="s">
        <v>347</v>
      </c>
      <c r="AK111" t="s">
        <v>10</v>
      </c>
      <c r="AM111" t="s">
        <v>287</v>
      </c>
      <c r="AN111" t="s">
        <v>292</v>
      </c>
      <c r="AO111" t="s">
        <v>292</v>
      </c>
      <c r="AP111" t="s">
        <v>333</v>
      </c>
      <c r="AQ111" t="s">
        <v>321</v>
      </c>
      <c r="AR111" t="s">
        <v>292</v>
      </c>
      <c r="AS111" t="s">
        <v>292</v>
      </c>
      <c r="AT111" t="s">
        <v>348</v>
      </c>
      <c r="AU111" t="s">
        <v>292</v>
      </c>
      <c r="AV111" t="s">
        <v>335</v>
      </c>
      <c r="AY111" t="s">
        <v>370</v>
      </c>
      <c r="AZ111" t="s">
        <v>370</v>
      </c>
      <c r="BA111" t="s">
        <v>344</v>
      </c>
      <c r="BB111" t="s">
        <v>292</v>
      </c>
      <c r="BC111" t="s">
        <v>12</v>
      </c>
      <c r="BD111" t="s">
        <v>292</v>
      </c>
      <c r="BE111" t="s">
        <v>12</v>
      </c>
      <c r="BF111" t="s">
        <v>350</v>
      </c>
      <c r="BG111" t="s">
        <v>12</v>
      </c>
      <c r="BH111">
        <v>6</v>
      </c>
      <c r="BI111" t="s">
        <v>300</v>
      </c>
      <c r="BJ111" t="s">
        <v>300</v>
      </c>
      <c r="CK111" t="s">
        <v>560</v>
      </c>
      <c r="CL111" t="s">
        <v>561</v>
      </c>
      <c r="CM111" t="s">
        <v>9</v>
      </c>
      <c r="CN111" s="2">
        <v>43109</v>
      </c>
      <c r="CO111" t="s">
        <v>292</v>
      </c>
      <c r="CP111" t="s">
        <v>371</v>
      </c>
      <c r="CQ111" t="s">
        <v>371</v>
      </c>
      <c r="CR111" t="s">
        <v>372</v>
      </c>
      <c r="CS111" t="s">
        <v>292</v>
      </c>
      <c r="CT111">
        <v>100000</v>
      </c>
      <c r="CU111" t="b">
        <v>0</v>
      </c>
      <c r="CV111" t="s">
        <v>311</v>
      </c>
      <c r="CW111" t="s">
        <v>292</v>
      </c>
      <c r="CX111" t="s">
        <v>292</v>
      </c>
      <c r="CY111" t="b">
        <v>0</v>
      </c>
      <c r="CZ111" t="b">
        <v>0</v>
      </c>
      <c r="DC111" t="s">
        <v>292</v>
      </c>
      <c r="DD111">
        <v>3155600000.0100002</v>
      </c>
      <c r="DE111">
        <v>0</v>
      </c>
      <c r="DG111">
        <v>0</v>
      </c>
      <c r="DH111" t="s">
        <v>321</v>
      </c>
      <c r="DI111">
        <v>32.356999999999999</v>
      </c>
      <c r="DJ111">
        <f>DataTable[HLD_MaturityDate] - DataTable[SEC_Issue_Date]</f>
        <v>365</v>
      </c>
    </row>
    <row r="112" spans="1:114" x14ac:dyDescent="0.2">
      <c r="A112" s="2">
        <v>43376</v>
      </c>
      <c r="B112" t="s">
        <v>46</v>
      </c>
      <c r="C112" t="s">
        <v>7</v>
      </c>
      <c r="D112" t="s">
        <v>11</v>
      </c>
      <c r="F112" t="s">
        <v>617</v>
      </c>
      <c r="H112" t="s">
        <v>367</v>
      </c>
      <c r="I112" t="s">
        <v>344</v>
      </c>
      <c r="J112" t="s">
        <v>287</v>
      </c>
      <c r="K112" t="s">
        <v>12</v>
      </c>
      <c r="N112" s="2">
        <v>43452</v>
      </c>
      <c r="O112">
        <v>76</v>
      </c>
      <c r="P112">
        <v>2.7</v>
      </c>
      <c r="T112">
        <v>2912130000</v>
      </c>
      <c r="U112">
        <v>62683598.25</v>
      </c>
      <c r="V112">
        <v>2945700000</v>
      </c>
      <c r="W112">
        <v>0.20993999999999999</v>
      </c>
      <c r="X112">
        <v>90000000</v>
      </c>
      <c r="Z112">
        <v>2945700000</v>
      </c>
      <c r="AA112">
        <v>2.7</v>
      </c>
      <c r="AB112">
        <v>1.3766708799999999E-2</v>
      </c>
      <c r="AC112" t="s">
        <v>617</v>
      </c>
      <c r="AE112" t="s">
        <v>368</v>
      </c>
      <c r="AF112" t="s">
        <v>374</v>
      </c>
      <c r="AG112" t="s">
        <v>374</v>
      </c>
      <c r="AH112" t="s">
        <v>330</v>
      </c>
      <c r="AI112" t="s">
        <v>367</v>
      </c>
      <c r="AJ112" t="s">
        <v>347</v>
      </c>
      <c r="AK112" t="s">
        <v>10</v>
      </c>
      <c r="AM112" t="s">
        <v>287</v>
      </c>
      <c r="AN112" t="s">
        <v>292</v>
      </c>
      <c r="AO112" t="s">
        <v>292</v>
      </c>
      <c r="AP112" t="s">
        <v>333</v>
      </c>
      <c r="AQ112" t="s">
        <v>321</v>
      </c>
      <c r="AR112" t="s">
        <v>292</v>
      </c>
      <c r="AS112" t="s">
        <v>292</v>
      </c>
      <c r="AT112" t="s">
        <v>348</v>
      </c>
      <c r="AU112" t="s">
        <v>292</v>
      </c>
      <c r="AV112" t="s">
        <v>335</v>
      </c>
      <c r="AY112" t="s">
        <v>370</v>
      </c>
      <c r="AZ112" t="s">
        <v>370</v>
      </c>
      <c r="BA112" t="s">
        <v>344</v>
      </c>
      <c r="BB112" t="s">
        <v>292</v>
      </c>
      <c r="BC112" t="s">
        <v>12</v>
      </c>
      <c r="BD112" t="s">
        <v>292</v>
      </c>
      <c r="BE112" t="s">
        <v>12</v>
      </c>
      <c r="BF112" t="s">
        <v>350</v>
      </c>
      <c r="BG112" t="s">
        <v>12</v>
      </c>
      <c r="BH112">
        <v>6</v>
      </c>
      <c r="BI112" t="s">
        <v>300</v>
      </c>
      <c r="BJ112" t="s">
        <v>300</v>
      </c>
      <c r="CK112" t="s">
        <v>560</v>
      </c>
      <c r="CL112" t="s">
        <v>561</v>
      </c>
      <c r="CM112" t="s">
        <v>9</v>
      </c>
      <c r="CN112" s="2">
        <v>43090</v>
      </c>
      <c r="CO112" t="s">
        <v>292</v>
      </c>
      <c r="CP112" t="s">
        <v>371</v>
      </c>
      <c r="CQ112" t="s">
        <v>371</v>
      </c>
      <c r="CR112" t="s">
        <v>372</v>
      </c>
      <c r="CS112" t="s">
        <v>292</v>
      </c>
      <c r="CT112">
        <v>100000</v>
      </c>
      <c r="CU112" t="b">
        <v>0</v>
      </c>
      <c r="CV112" t="s">
        <v>311</v>
      </c>
      <c r="CW112" t="s">
        <v>292</v>
      </c>
      <c r="CX112" t="s">
        <v>292</v>
      </c>
      <c r="CY112" t="b">
        <v>0</v>
      </c>
      <c r="CZ112" t="b">
        <v>0</v>
      </c>
      <c r="DC112" t="s">
        <v>292</v>
      </c>
      <c r="DD112">
        <v>2945700000.04</v>
      </c>
      <c r="DE112">
        <v>0</v>
      </c>
      <c r="DG112">
        <v>0</v>
      </c>
      <c r="DH112" t="s">
        <v>321</v>
      </c>
      <c r="DI112">
        <v>32.356999999999999</v>
      </c>
      <c r="DJ112">
        <f>DataTable[HLD_MaturityDate] - DataTable[SEC_Issue_Date]</f>
        <v>362</v>
      </c>
    </row>
    <row r="113" spans="1:114" x14ac:dyDescent="0.2">
      <c r="A113" s="2">
        <v>43376</v>
      </c>
      <c r="B113" t="s">
        <v>46</v>
      </c>
      <c r="C113" t="s">
        <v>7</v>
      </c>
      <c r="D113" t="s">
        <v>11</v>
      </c>
      <c r="F113" t="s">
        <v>618</v>
      </c>
      <c r="H113" t="s">
        <v>367</v>
      </c>
      <c r="I113" t="s">
        <v>344</v>
      </c>
      <c r="J113" t="s">
        <v>287</v>
      </c>
      <c r="K113" t="s">
        <v>12</v>
      </c>
      <c r="N113" s="2">
        <v>43644</v>
      </c>
      <c r="O113">
        <v>268</v>
      </c>
      <c r="P113">
        <v>3.4</v>
      </c>
      <c r="T113">
        <v>2750345000</v>
      </c>
      <c r="U113">
        <v>25455970.940000001</v>
      </c>
      <c r="V113">
        <v>2805637500</v>
      </c>
      <c r="W113">
        <v>0.72606700000000002</v>
      </c>
      <c r="X113">
        <v>85000000</v>
      </c>
      <c r="Z113">
        <v>2805637500</v>
      </c>
      <c r="AA113">
        <v>3.4</v>
      </c>
      <c r="AB113">
        <v>1.2845727100000001E-2</v>
      </c>
      <c r="AC113" t="s">
        <v>618</v>
      </c>
      <c r="AE113" t="s">
        <v>368</v>
      </c>
      <c r="AF113" t="s">
        <v>374</v>
      </c>
      <c r="AG113" t="s">
        <v>374</v>
      </c>
      <c r="AH113" t="s">
        <v>330</v>
      </c>
      <c r="AI113" t="s">
        <v>367</v>
      </c>
      <c r="AJ113" t="s">
        <v>347</v>
      </c>
      <c r="AK113" t="s">
        <v>10</v>
      </c>
      <c r="AM113" t="s">
        <v>287</v>
      </c>
      <c r="AN113" t="s">
        <v>292</v>
      </c>
      <c r="AO113" t="s">
        <v>292</v>
      </c>
      <c r="AP113" t="s">
        <v>333</v>
      </c>
      <c r="AQ113" t="s">
        <v>321</v>
      </c>
      <c r="AR113" t="s">
        <v>292</v>
      </c>
      <c r="AS113" t="s">
        <v>292</v>
      </c>
      <c r="AT113" t="s">
        <v>348</v>
      </c>
      <c r="AU113" t="s">
        <v>292</v>
      </c>
      <c r="AV113" t="s">
        <v>335</v>
      </c>
      <c r="AY113" t="s">
        <v>370</v>
      </c>
      <c r="AZ113" t="s">
        <v>370</v>
      </c>
      <c r="BA113" t="s">
        <v>344</v>
      </c>
      <c r="BB113" t="s">
        <v>292</v>
      </c>
      <c r="BC113" t="s">
        <v>12</v>
      </c>
      <c r="BD113" t="s">
        <v>292</v>
      </c>
      <c r="BE113" t="s">
        <v>12</v>
      </c>
      <c r="BF113" t="s">
        <v>350</v>
      </c>
      <c r="BG113" t="s">
        <v>12</v>
      </c>
      <c r="BH113">
        <v>6</v>
      </c>
      <c r="BI113" t="s">
        <v>300</v>
      </c>
      <c r="BJ113" t="s">
        <v>300</v>
      </c>
      <c r="CK113" t="s">
        <v>560</v>
      </c>
      <c r="CL113" t="s">
        <v>561</v>
      </c>
      <c r="CM113" t="s">
        <v>9</v>
      </c>
      <c r="CN113" s="2">
        <v>43279</v>
      </c>
      <c r="CO113" t="s">
        <v>292</v>
      </c>
      <c r="CP113" t="s">
        <v>371</v>
      </c>
      <c r="CQ113" t="s">
        <v>371</v>
      </c>
      <c r="CR113" t="s">
        <v>372</v>
      </c>
      <c r="CS113" t="s">
        <v>292</v>
      </c>
      <c r="CT113">
        <v>100000</v>
      </c>
      <c r="CU113" t="b">
        <v>0</v>
      </c>
      <c r="CV113" t="s">
        <v>311</v>
      </c>
      <c r="CW113" t="s">
        <v>292</v>
      </c>
      <c r="CX113" t="s">
        <v>292</v>
      </c>
      <c r="CY113" t="b">
        <v>0</v>
      </c>
      <c r="CZ113" t="b">
        <v>0</v>
      </c>
      <c r="DC113" t="s">
        <v>292</v>
      </c>
      <c r="DD113">
        <v>2805637499.96</v>
      </c>
      <c r="DE113">
        <v>0</v>
      </c>
      <c r="DG113">
        <v>0</v>
      </c>
      <c r="DH113" t="s">
        <v>321</v>
      </c>
      <c r="DI113">
        <v>32.356999999999999</v>
      </c>
      <c r="DJ113">
        <f>DataTable[HLD_MaturityDate] - DataTable[SEC_Issue_Date]</f>
        <v>365</v>
      </c>
    </row>
    <row r="114" spans="1:114" x14ac:dyDescent="0.2">
      <c r="A114" s="2">
        <v>43376</v>
      </c>
      <c r="B114" t="s">
        <v>46</v>
      </c>
      <c r="C114" t="s">
        <v>7</v>
      </c>
      <c r="D114" t="s">
        <v>11</v>
      </c>
      <c r="F114" t="s">
        <v>619</v>
      </c>
      <c r="H114" t="s">
        <v>377</v>
      </c>
      <c r="I114" t="s">
        <v>378</v>
      </c>
      <c r="J114" t="s">
        <v>287</v>
      </c>
      <c r="K114" t="s">
        <v>379</v>
      </c>
      <c r="N114" s="2">
        <v>43678</v>
      </c>
      <c r="O114">
        <v>302</v>
      </c>
      <c r="P114">
        <v>1.7</v>
      </c>
      <c r="T114">
        <v>670000000</v>
      </c>
      <c r="U114">
        <v>1997150.68</v>
      </c>
      <c r="V114">
        <v>670000000</v>
      </c>
      <c r="W114">
        <v>0.81595399999999996</v>
      </c>
      <c r="X114">
        <v>670000000</v>
      </c>
      <c r="Z114">
        <v>670000000</v>
      </c>
      <c r="AA114">
        <v>1.7</v>
      </c>
      <c r="AB114">
        <v>3.1098382999999999E-3</v>
      </c>
      <c r="AC114" t="s">
        <v>619</v>
      </c>
      <c r="AE114" t="s">
        <v>380</v>
      </c>
      <c r="AF114" t="s">
        <v>381</v>
      </c>
      <c r="AG114" t="s">
        <v>381</v>
      </c>
      <c r="AH114" t="s">
        <v>330</v>
      </c>
      <c r="AI114" t="s">
        <v>377</v>
      </c>
      <c r="AJ114" t="s">
        <v>382</v>
      </c>
      <c r="AK114" t="s">
        <v>10</v>
      </c>
      <c r="AM114" t="s">
        <v>287</v>
      </c>
      <c r="AN114" t="s">
        <v>292</v>
      </c>
      <c r="AO114" t="s">
        <v>292</v>
      </c>
      <c r="AP114" t="s">
        <v>333</v>
      </c>
      <c r="AQ114" t="s">
        <v>318</v>
      </c>
      <c r="AR114" t="s">
        <v>292</v>
      </c>
      <c r="AS114" t="s">
        <v>292</v>
      </c>
      <c r="AT114" t="s">
        <v>334</v>
      </c>
      <c r="AU114" t="s">
        <v>292</v>
      </c>
      <c r="AV114" t="s">
        <v>335</v>
      </c>
      <c r="AY114" t="s">
        <v>383</v>
      </c>
      <c r="AZ114" t="s">
        <v>384</v>
      </c>
      <c r="BA114" t="s">
        <v>378</v>
      </c>
      <c r="BB114" t="s">
        <v>292</v>
      </c>
      <c r="BC114" t="s">
        <v>379</v>
      </c>
      <c r="BD114" t="s">
        <v>292</v>
      </c>
      <c r="BE114" t="s">
        <v>292</v>
      </c>
      <c r="BF114" t="s">
        <v>299</v>
      </c>
      <c r="BG114" t="s">
        <v>379</v>
      </c>
      <c r="BH114">
        <v>1</v>
      </c>
      <c r="BI114" t="s">
        <v>300</v>
      </c>
      <c r="BJ114" t="s">
        <v>300</v>
      </c>
      <c r="CK114" t="s">
        <v>560</v>
      </c>
      <c r="CL114" t="s">
        <v>561</v>
      </c>
      <c r="CM114" t="s">
        <v>9</v>
      </c>
      <c r="CN114" s="2">
        <v>43313</v>
      </c>
      <c r="CO114" t="s">
        <v>292</v>
      </c>
      <c r="CP114" t="s">
        <v>303</v>
      </c>
      <c r="CQ114" t="s">
        <v>303</v>
      </c>
      <c r="CR114" t="s">
        <v>304</v>
      </c>
      <c r="CS114" t="s">
        <v>292</v>
      </c>
      <c r="CT114">
        <v>30000</v>
      </c>
      <c r="CU114" t="b">
        <v>0</v>
      </c>
      <c r="CV114" t="s">
        <v>311</v>
      </c>
      <c r="CW114" t="s">
        <v>292</v>
      </c>
      <c r="CX114" t="s">
        <v>292</v>
      </c>
      <c r="CY114" t="b">
        <v>0</v>
      </c>
      <c r="CZ114" t="b">
        <v>0</v>
      </c>
      <c r="DC114" t="s">
        <v>292</v>
      </c>
      <c r="DJ114">
        <f>DataTable[HLD_MaturityDate] - DataTable[SEC_Issue_Date]</f>
        <v>365</v>
      </c>
    </row>
    <row r="115" spans="1:114" x14ac:dyDescent="0.2">
      <c r="A115" s="2">
        <v>43376</v>
      </c>
      <c r="B115" t="s">
        <v>46</v>
      </c>
      <c r="C115" t="s">
        <v>7</v>
      </c>
      <c r="D115" t="s">
        <v>11</v>
      </c>
      <c r="F115" t="s">
        <v>620</v>
      </c>
      <c r="H115" t="s">
        <v>377</v>
      </c>
      <c r="I115" t="s">
        <v>378</v>
      </c>
      <c r="J115" t="s">
        <v>287</v>
      </c>
      <c r="K115" t="s">
        <v>379</v>
      </c>
      <c r="N115" s="2">
        <v>43679</v>
      </c>
      <c r="O115">
        <v>303</v>
      </c>
      <c r="P115">
        <v>1.7</v>
      </c>
      <c r="T115">
        <v>1000000000</v>
      </c>
      <c r="U115">
        <v>2934246.58</v>
      </c>
      <c r="V115">
        <v>1000000000</v>
      </c>
      <c r="W115">
        <v>0.81861799999999996</v>
      </c>
      <c r="X115">
        <v>1000000000</v>
      </c>
      <c r="Z115">
        <v>1000000000</v>
      </c>
      <c r="AA115">
        <v>1.7</v>
      </c>
      <c r="AB115">
        <v>4.6413341E-3</v>
      </c>
      <c r="AC115" t="s">
        <v>620</v>
      </c>
      <c r="AE115" t="s">
        <v>380</v>
      </c>
      <c r="AF115" t="s">
        <v>381</v>
      </c>
      <c r="AG115" t="s">
        <v>381</v>
      </c>
      <c r="AH115" t="s">
        <v>330</v>
      </c>
      <c r="AI115" t="s">
        <v>377</v>
      </c>
      <c r="AJ115" t="s">
        <v>382</v>
      </c>
      <c r="AK115" t="s">
        <v>10</v>
      </c>
      <c r="AM115" t="s">
        <v>287</v>
      </c>
      <c r="AN115" t="s">
        <v>292</v>
      </c>
      <c r="AO115" t="s">
        <v>292</v>
      </c>
      <c r="AP115" t="s">
        <v>333</v>
      </c>
      <c r="AQ115" t="s">
        <v>318</v>
      </c>
      <c r="AR115" t="s">
        <v>292</v>
      </c>
      <c r="AS115" t="s">
        <v>292</v>
      </c>
      <c r="AT115" t="s">
        <v>334</v>
      </c>
      <c r="AU115" t="s">
        <v>292</v>
      </c>
      <c r="AV115" t="s">
        <v>335</v>
      </c>
      <c r="AY115" t="s">
        <v>383</v>
      </c>
      <c r="AZ115" t="s">
        <v>384</v>
      </c>
      <c r="BA115" t="s">
        <v>378</v>
      </c>
      <c r="BB115" t="s">
        <v>292</v>
      </c>
      <c r="BC115" t="s">
        <v>379</v>
      </c>
      <c r="BD115" t="s">
        <v>292</v>
      </c>
      <c r="BE115" t="s">
        <v>292</v>
      </c>
      <c r="BF115" t="s">
        <v>299</v>
      </c>
      <c r="BG115" t="s">
        <v>379</v>
      </c>
      <c r="BH115">
        <v>1</v>
      </c>
      <c r="BI115" t="s">
        <v>300</v>
      </c>
      <c r="BJ115" t="s">
        <v>300</v>
      </c>
      <c r="CK115" t="s">
        <v>560</v>
      </c>
      <c r="CL115" t="s">
        <v>561</v>
      </c>
      <c r="CM115" t="s">
        <v>9</v>
      </c>
      <c r="CN115" s="2">
        <v>43314</v>
      </c>
      <c r="CO115" t="s">
        <v>292</v>
      </c>
      <c r="CP115" t="s">
        <v>303</v>
      </c>
      <c r="CQ115" t="s">
        <v>303</v>
      </c>
      <c r="CR115" t="s">
        <v>304</v>
      </c>
      <c r="CS115" t="s">
        <v>292</v>
      </c>
      <c r="CT115">
        <v>30000</v>
      </c>
      <c r="CU115" t="b">
        <v>0</v>
      </c>
      <c r="CV115" t="s">
        <v>311</v>
      </c>
      <c r="CW115" t="s">
        <v>292</v>
      </c>
      <c r="CX115" t="s">
        <v>292</v>
      </c>
      <c r="CY115" t="b">
        <v>0</v>
      </c>
      <c r="CZ115" t="b">
        <v>0</v>
      </c>
      <c r="DC115" t="s">
        <v>292</v>
      </c>
      <c r="DJ115">
        <f>DataTable[HLD_MaturityDate] - DataTable[SEC_Issue_Date]</f>
        <v>365</v>
      </c>
    </row>
    <row r="116" spans="1:114" x14ac:dyDescent="0.2">
      <c r="A116" s="2">
        <v>43376</v>
      </c>
      <c r="B116" t="s">
        <v>46</v>
      </c>
      <c r="C116" t="s">
        <v>7</v>
      </c>
      <c r="D116" t="s">
        <v>11</v>
      </c>
      <c r="F116" t="s">
        <v>376</v>
      </c>
      <c r="H116" t="s">
        <v>377</v>
      </c>
      <c r="I116" t="s">
        <v>378</v>
      </c>
      <c r="J116" t="s">
        <v>287</v>
      </c>
      <c r="K116" t="s">
        <v>379</v>
      </c>
      <c r="N116" s="2">
        <v>43679</v>
      </c>
      <c r="O116">
        <v>303</v>
      </c>
      <c r="P116">
        <v>1.7</v>
      </c>
      <c r="T116">
        <v>700000000</v>
      </c>
      <c r="U116">
        <v>2021369.86</v>
      </c>
      <c r="V116">
        <v>700000000</v>
      </c>
      <c r="W116">
        <v>0.81861700000000004</v>
      </c>
      <c r="X116">
        <v>700000000</v>
      </c>
      <c r="Z116">
        <v>700000000</v>
      </c>
      <c r="AA116">
        <v>1.7</v>
      </c>
      <c r="AB116">
        <v>3.2487829999999999E-3</v>
      </c>
      <c r="AC116" t="s">
        <v>376</v>
      </c>
      <c r="AE116" t="s">
        <v>380</v>
      </c>
      <c r="AF116" t="s">
        <v>381</v>
      </c>
      <c r="AG116" t="s">
        <v>381</v>
      </c>
      <c r="AH116" t="s">
        <v>330</v>
      </c>
      <c r="AI116" t="s">
        <v>377</v>
      </c>
      <c r="AJ116" t="s">
        <v>382</v>
      </c>
      <c r="AK116" t="s">
        <v>10</v>
      </c>
      <c r="AM116" t="s">
        <v>287</v>
      </c>
      <c r="AN116" t="s">
        <v>292</v>
      </c>
      <c r="AO116" t="s">
        <v>292</v>
      </c>
      <c r="AP116" t="s">
        <v>333</v>
      </c>
      <c r="AQ116" t="s">
        <v>318</v>
      </c>
      <c r="AR116" t="s">
        <v>292</v>
      </c>
      <c r="AS116" t="s">
        <v>292</v>
      </c>
      <c r="AT116" t="s">
        <v>334</v>
      </c>
      <c r="AU116" t="s">
        <v>292</v>
      </c>
      <c r="AV116" t="s">
        <v>335</v>
      </c>
      <c r="AY116" t="s">
        <v>383</v>
      </c>
      <c r="AZ116" t="s">
        <v>384</v>
      </c>
      <c r="BA116" t="s">
        <v>378</v>
      </c>
      <c r="BB116" t="s">
        <v>292</v>
      </c>
      <c r="BC116" t="s">
        <v>379</v>
      </c>
      <c r="BD116" t="s">
        <v>292</v>
      </c>
      <c r="BE116" t="s">
        <v>292</v>
      </c>
      <c r="BF116" t="s">
        <v>299</v>
      </c>
      <c r="BG116" t="s">
        <v>379</v>
      </c>
      <c r="BH116">
        <v>1</v>
      </c>
      <c r="BI116" t="s">
        <v>300</v>
      </c>
      <c r="BJ116" t="s">
        <v>300</v>
      </c>
      <c r="CK116" t="s">
        <v>560</v>
      </c>
      <c r="CL116" t="s">
        <v>561</v>
      </c>
      <c r="CM116" t="s">
        <v>9</v>
      </c>
      <c r="CN116" s="2">
        <v>43315</v>
      </c>
      <c r="CO116" t="s">
        <v>292</v>
      </c>
      <c r="CP116" t="s">
        <v>303</v>
      </c>
      <c r="CQ116" t="s">
        <v>303</v>
      </c>
      <c r="CR116" t="s">
        <v>304</v>
      </c>
      <c r="CS116" t="s">
        <v>292</v>
      </c>
      <c r="CT116">
        <v>30000</v>
      </c>
      <c r="CU116" t="b">
        <v>0</v>
      </c>
      <c r="CV116" t="s">
        <v>311</v>
      </c>
      <c r="CW116" t="s">
        <v>292</v>
      </c>
      <c r="CX116" t="s">
        <v>292</v>
      </c>
      <c r="CY116" t="b">
        <v>0</v>
      </c>
      <c r="CZ116" t="b">
        <v>0</v>
      </c>
      <c r="DC116" t="s">
        <v>292</v>
      </c>
      <c r="DJ116">
        <f>DataTable[HLD_MaturityDate] - DataTable[SEC_Issue_Date]</f>
        <v>364</v>
      </c>
    </row>
    <row r="117" spans="1:114" x14ac:dyDescent="0.2">
      <c r="A117" s="2">
        <v>43376</v>
      </c>
      <c r="B117" t="s">
        <v>46</v>
      </c>
      <c r="C117" t="s">
        <v>7</v>
      </c>
      <c r="D117" t="s">
        <v>11</v>
      </c>
      <c r="F117" t="s">
        <v>48</v>
      </c>
      <c r="H117" t="s">
        <v>377</v>
      </c>
      <c r="I117" t="s">
        <v>378</v>
      </c>
      <c r="J117" t="s">
        <v>287</v>
      </c>
      <c r="K117" t="s">
        <v>379</v>
      </c>
      <c r="N117" s="2">
        <v>43672</v>
      </c>
      <c r="O117">
        <v>296</v>
      </c>
      <c r="P117">
        <v>1.7</v>
      </c>
      <c r="T117">
        <v>160000000</v>
      </c>
      <c r="U117">
        <v>521643.84</v>
      </c>
      <c r="V117">
        <v>160000000</v>
      </c>
      <c r="W117">
        <v>0.79996599999999995</v>
      </c>
      <c r="X117">
        <v>160000000</v>
      </c>
      <c r="Z117">
        <v>160000000</v>
      </c>
      <c r="AA117">
        <v>1.7</v>
      </c>
      <c r="AB117">
        <v>7.4285490000000002E-4</v>
      </c>
      <c r="AC117" t="s">
        <v>48</v>
      </c>
      <c r="AE117" t="s">
        <v>380</v>
      </c>
      <c r="AF117" t="s">
        <v>381</v>
      </c>
      <c r="AG117" t="s">
        <v>381</v>
      </c>
      <c r="AH117" t="s">
        <v>330</v>
      </c>
      <c r="AI117" t="s">
        <v>377</v>
      </c>
      <c r="AJ117" t="s">
        <v>382</v>
      </c>
      <c r="AK117" t="s">
        <v>10</v>
      </c>
      <c r="AM117" t="s">
        <v>287</v>
      </c>
      <c r="AN117" t="s">
        <v>292</v>
      </c>
      <c r="AO117" t="s">
        <v>292</v>
      </c>
      <c r="AP117" t="s">
        <v>333</v>
      </c>
      <c r="AQ117" t="s">
        <v>318</v>
      </c>
      <c r="AR117" t="s">
        <v>292</v>
      </c>
      <c r="AS117" t="s">
        <v>292</v>
      </c>
      <c r="AT117" t="s">
        <v>334</v>
      </c>
      <c r="AU117" t="s">
        <v>292</v>
      </c>
      <c r="AV117" t="s">
        <v>335</v>
      </c>
      <c r="AY117" t="s">
        <v>383</v>
      </c>
      <c r="AZ117" t="s">
        <v>384</v>
      </c>
      <c r="BA117" t="s">
        <v>378</v>
      </c>
      <c r="BB117" t="s">
        <v>292</v>
      </c>
      <c r="BC117" t="s">
        <v>379</v>
      </c>
      <c r="BD117" t="s">
        <v>292</v>
      </c>
      <c r="BE117" t="s">
        <v>292</v>
      </c>
      <c r="BF117" t="s">
        <v>299</v>
      </c>
      <c r="BG117" t="s">
        <v>379</v>
      </c>
      <c r="BH117">
        <v>1</v>
      </c>
      <c r="BI117" t="s">
        <v>300</v>
      </c>
      <c r="BJ117" t="s">
        <v>300</v>
      </c>
      <c r="CK117" t="s">
        <v>560</v>
      </c>
      <c r="CL117" t="s">
        <v>561</v>
      </c>
      <c r="CM117" t="s">
        <v>9</v>
      </c>
      <c r="CN117" s="2">
        <v>43307</v>
      </c>
      <c r="CO117" t="s">
        <v>292</v>
      </c>
      <c r="CP117" t="s">
        <v>303</v>
      </c>
      <c r="CQ117" t="s">
        <v>303</v>
      </c>
      <c r="CR117" t="s">
        <v>304</v>
      </c>
      <c r="CS117" t="s">
        <v>292</v>
      </c>
      <c r="CT117">
        <v>30000</v>
      </c>
      <c r="CU117" t="b">
        <v>0</v>
      </c>
      <c r="CV117" t="s">
        <v>311</v>
      </c>
      <c r="CW117" t="s">
        <v>292</v>
      </c>
      <c r="CX117" t="s">
        <v>292</v>
      </c>
      <c r="CY117" t="b">
        <v>0</v>
      </c>
      <c r="CZ117" t="b">
        <v>0</v>
      </c>
      <c r="DC117" t="s">
        <v>292</v>
      </c>
      <c r="DJ117">
        <f>DataTable[HLD_MaturityDate] - DataTable[SEC_Issue_Date]</f>
        <v>365</v>
      </c>
    </row>
    <row r="118" spans="1:114" x14ac:dyDescent="0.2">
      <c r="A118" s="2">
        <v>43376</v>
      </c>
      <c r="B118" t="s">
        <v>46</v>
      </c>
      <c r="C118" t="s">
        <v>7</v>
      </c>
      <c r="D118" t="s">
        <v>11</v>
      </c>
      <c r="F118" t="s">
        <v>621</v>
      </c>
      <c r="H118" t="s">
        <v>622</v>
      </c>
      <c r="I118" t="s">
        <v>344</v>
      </c>
      <c r="J118" t="s">
        <v>287</v>
      </c>
      <c r="K118" t="s">
        <v>359</v>
      </c>
      <c r="N118" s="2">
        <v>43739</v>
      </c>
      <c r="O118">
        <v>363</v>
      </c>
      <c r="P118">
        <v>3.4</v>
      </c>
      <c r="T118">
        <v>2912130000</v>
      </c>
      <c r="U118">
        <v>2475310.5</v>
      </c>
      <c r="V118">
        <v>2914650000</v>
      </c>
      <c r="W118">
        <v>0.974935</v>
      </c>
      <c r="X118">
        <v>90000000</v>
      </c>
      <c r="Z118">
        <v>2914650000</v>
      </c>
      <c r="AA118">
        <v>3.4</v>
      </c>
      <c r="AB118">
        <v>1.3488079599999999E-2</v>
      </c>
      <c r="AC118" t="s">
        <v>621</v>
      </c>
      <c r="AE118" t="s">
        <v>623</v>
      </c>
      <c r="AF118" t="s">
        <v>624</v>
      </c>
      <c r="AG118" t="s">
        <v>624</v>
      </c>
      <c r="AH118" t="s">
        <v>330</v>
      </c>
      <c r="AI118" t="s">
        <v>622</v>
      </c>
      <c r="AJ118" t="s">
        <v>347</v>
      </c>
      <c r="AK118" t="s">
        <v>10</v>
      </c>
      <c r="AM118" t="s">
        <v>287</v>
      </c>
      <c r="AN118" t="s">
        <v>292</v>
      </c>
      <c r="AO118" t="s">
        <v>292</v>
      </c>
      <c r="AP118" t="s">
        <v>333</v>
      </c>
      <c r="AQ118" t="s">
        <v>321</v>
      </c>
      <c r="AR118" t="s">
        <v>292</v>
      </c>
      <c r="AS118" t="s">
        <v>292</v>
      </c>
      <c r="AT118" t="s">
        <v>348</v>
      </c>
      <c r="AU118" t="s">
        <v>292</v>
      </c>
      <c r="AV118" t="s">
        <v>335</v>
      </c>
      <c r="AY118" t="s">
        <v>625</v>
      </c>
      <c r="AZ118" t="s">
        <v>626</v>
      </c>
      <c r="BA118" t="s">
        <v>344</v>
      </c>
      <c r="BB118" t="s">
        <v>292</v>
      </c>
      <c r="BC118" t="s">
        <v>359</v>
      </c>
      <c r="BD118" t="s">
        <v>292</v>
      </c>
      <c r="BE118" t="s">
        <v>292</v>
      </c>
      <c r="BF118" t="s">
        <v>350</v>
      </c>
      <c r="BG118" t="s">
        <v>359</v>
      </c>
      <c r="BH118">
        <v>5</v>
      </c>
      <c r="BI118" t="s">
        <v>300</v>
      </c>
      <c r="BJ118" t="s">
        <v>300</v>
      </c>
      <c r="CK118" t="s">
        <v>560</v>
      </c>
      <c r="CL118" t="s">
        <v>561</v>
      </c>
      <c r="CM118" t="s">
        <v>9</v>
      </c>
      <c r="CN118" s="2">
        <v>43368</v>
      </c>
      <c r="CO118" t="s">
        <v>292</v>
      </c>
      <c r="CP118" t="s">
        <v>363</v>
      </c>
      <c r="CQ118" t="s">
        <v>363</v>
      </c>
      <c r="CR118" t="s">
        <v>364</v>
      </c>
      <c r="CS118" t="s">
        <v>292</v>
      </c>
      <c r="CT118">
        <v>27000</v>
      </c>
      <c r="CU118" t="b">
        <v>0</v>
      </c>
      <c r="CV118" t="s">
        <v>311</v>
      </c>
      <c r="CW118" t="s">
        <v>292</v>
      </c>
      <c r="CX118" t="s">
        <v>292</v>
      </c>
      <c r="CY118" t="b">
        <v>0</v>
      </c>
      <c r="CZ118" t="b">
        <v>0</v>
      </c>
      <c r="DC118" t="s">
        <v>292</v>
      </c>
      <c r="DD118">
        <v>2914649999.96</v>
      </c>
      <c r="DE118">
        <v>0</v>
      </c>
      <c r="DG118">
        <v>0</v>
      </c>
      <c r="DH118" t="s">
        <v>321</v>
      </c>
      <c r="DI118">
        <v>32.356999999999999</v>
      </c>
      <c r="DJ118">
        <f>DataTable[HLD_MaturityDate] - DataTable[SEC_Issue_Date]</f>
        <v>371</v>
      </c>
    </row>
    <row r="119" spans="1:114" x14ac:dyDescent="0.2">
      <c r="A119" s="2">
        <v>43376</v>
      </c>
      <c r="B119" t="s">
        <v>46</v>
      </c>
      <c r="C119" t="s">
        <v>7</v>
      </c>
      <c r="D119" t="s">
        <v>11</v>
      </c>
      <c r="F119" t="s">
        <v>627</v>
      </c>
      <c r="H119" t="s">
        <v>622</v>
      </c>
      <c r="I119" t="s">
        <v>344</v>
      </c>
      <c r="J119" t="s">
        <v>287</v>
      </c>
      <c r="K119" t="s">
        <v>359</v>
      </c>
      <c r="N119" s="2">
        <v>43740</v>
      </c>
      <c r="O119">
        <v>364</v>
      </c>
      <c r="P119">
        <v>3.4</v>
      </c>
      <c r="T119">
        <v>2912130000</v>
      </c>
      <c r="U119">
        <v>2200276</v>
      </c>
      <c r="V119">
        <v>2922750000</v>
      </c>
      <c r="W119">
        <v>0.97752799999999995</v>
      </c>
      <c r="X119">
        <v>90000000</v>
      </c>
      <c r="Z119">
        <v>2922750000</v>
      </c>
      <c r="AA119">
        <v>3.4</v>
      </c>
      <c r="AB119">
        <v>1.3486806800000001E-2</v>
      </c>
      <c r="AC119" t="s">
        <v>627</v>
      </c>
      <c r="AE119" t="s">
        <v>623</v>
      </c>
      <c r="AF119" t="s">
        <v>624</v>
      </c>
      <c r="AG119" t="s">
        <v>624</v>
      </c>
      <c r="AH119" t="s">
        <v>330</v>
      </c>
      <c r="AI119" t="s">
        <v>622</v>
      </c>
      <c r="AJ119" t="s">
        <v>347</v>
      </c>
      <c r="AK119" t="s">
        <v>10</v>
      </c>
      <c r="AM119" t="s">
        <v>287</v>
      </c>
      <c r="AN119" t="s">
        <v>292</v>
      </c>
      <c r="AO119" t="s">
        <v>292</v>
      </c>
      <c r="AP119" t="s">
        <v>333</v>
      </c>
      <c r="AQ119" t="s">
        <v>321</v>
      </c>
      <c r="AR119" t="s">
        <v>292</v>
      </c>
      <c r="AS119" t="s">
        <v>292</v>
      </c>
      <c r="AT119" t="s">
        <v>348</v>
      </c>
      <c r="AU119" t="s">
        <v>292</v>
      </c>
      <c r="AV119" t="s">
        <v>335</v>
      </c>
      <c r="AY119" t="s">
        <v>625</v>
      </c>
      <c r="AZ119" t="s">
        <v>626</v>
      </c>
      <c r="BA119" t="s">
        <v>344</v>
      </c>
      <c r="BB119" t="s">
        <v>292</v>
      </c>
      <c r="BC119" t="s">
        <v>359</v>
      </c>
      <c r="BD119" t="s">
        <v>292</v>
      </c>
      <c r="BE119" t="s">
        <v>292</v>
      </c>
      <c r="BF119" t="s">
        <v>350</v>
      </c>
      <c r="BG119" t="s">
        <v>359</v>
      </c>
      <c r="BH119">
        <v>5</v>
      </c>
      <c r="BI119" t="s">
        <v>300</v>
      </c>
      <c r="BJ119" t="s">
        <v>300</v>
      </c>
      <c r="CK119" t="s">
        <v>560</v>
      </c>
      <c r="CL119" t="s">
        <v>561</v>
      </c>
      <c r="CM119" t="s">
        <v>9</v>
      </c>
      <c r="CN119" s="2">
        <v>43369</v>
      </c>
      <c r="CO119" t="s">
        <v>292</v>
      </c>
      <c r="CP119" t="s">
        <v>363</v>
      </c>
      <c r="CQ119" t="s">
        <v>363</v>
      </c>
      <c r="CR119" t="s">
        <v>364</v>
      </c>
      <c r="CS119" t="s">
        <v>292</v>
      </c>
      <c r="CT119">
        <v>27000</v>
      </c>
      <c r="CU119" t="b">
        <v>0</v>
      </c>
      <c r="CV119" t="s">
        <v>311</v>
      </c>
      <c r="CW119" t="s">
        <v>292</v>
      </c>
      <c r="CX119" t="s">
        <v>292</v>
      </c>
      <c r="CY119" t="b">
        <v>0</v>
      </c>
      <c r="CZ119" t="b">
        <v>0</v>
      </c>
      <c r="DC119" t="s">
        <v>292</v>
      </c>
      <c r="DD119">
        <v>2922749999.9899998</v>
      </c>
      <c r="DE119">
        <v>0</v>
      </c>
      <c r="DG119">
        <v>0</v>
      </c>
      <c r="DH119" t="s">
        <v>321</v>
      </c>
      <c r="DI119">
        <v>32.356999999999999</v>
      </c>
      <c r="DJ119">
        <f>DataTable[HLD_MaturityDate] - DataTable[SEC_Issue_Date]</f>
        <v>371</v>
      </c>
    </row>
    <row r="120" spans="1:114" x14ac:dyDescent="0.2">
      <c r="A120" s="2">
        <v>43376</v>
      </c>
      <c r="B120" t="s">
        <v>46</v>
      </c>
      <c r="C120" t="s">
        <v>7</v>
      </c>
      <c r="D120" t="s">
        <v>11</v>
      </c>
      <c r="F120" t="s">
        <v>628</v>
      </c>
      <c r="G120" t="s">
        <v>354</v>
      </c>
      <c r="H120" t="s">
        <v>622</v>
      </c>
      <c r="I120" t="s">
        <v>344</v>
      </c>
      <c r="J120" t="s">
        <v>287</v>
      </c>
      <c r="K120" t="s">
        <v>359</v>
      </c>
      <c r="N120" s="2">
        <v>43377</v>
      </c>
      <c r="O120">
        <v>1</v>
      </c>
      <c r="P120">
        <v>2.8</v>
      </c>
      <c r="T120">
        <v>3083213105</v>
      </c>
      <c r="U120">
        <v>88967827.040000007</v>
      </c>
      <c r="V120">
        <v>3150350000</v>
      </c>
      <c r="W120">
        <v>2.7780000000000001E-3</v>
      </c>
      <c r="X120">
        <v>350000000</v>
      </c>
      <c r="Z120">
        <v>3150350000</v>
      </c>
      <c r="AA120">
        <v>2.8</v>
      </c>
      <c r="AB120">
        <v>1.46800765E-2</v>
      </c>
      <c r="AC120" t="s">
        <v>628</v>
      </c>
      <c r="AE120" t="s">
        <v>623</v>
      </c>
      <c r="AF120" t="s">
        <v>624</v>
      </c>
      <c r="AH120" t="s">
        <v>330</v>
      </c>
      <c r="AI120" t="s">
        <v>622</v>
      </c>
      <c r="AJ120" t="s">
        <v>347</v>
      </c>
      <c r="AK120" t="s">
        <v>10</v>
      </c>
      <c r="AM120" t="s">
        <v>287</v>
      </c>
      <c r="AN120" t="s">
        <v>292</v>
      </c>
      <c r="AO120" t="s">
        <v>292</v>
      </c>
      <c r="AP120" t="s">
        <v>333</v>
      </c>
      <c r="AQ120" t="s">
        <v>558</v>
      </c>
      <c r="AR120" t="s">
        <v>292</v>
      </c>
      <c r="AS120" t="s">
        <v>356</v>
      </c>
      <c r="AT120" t="s">
        <v>348</v>
      </c>
      <c r="AU120" t="s">
        <v>292</v>
      </c>
      <c r="AV120" t="s">
        <v>335</v>
      </c>
      <c r="AW120" t="s">
        <v>354</v>
      </c>
      <c r="AY120" t="s">
        <v>625</v>
      </c>
      <c r="AZ120" t="s">
        <v>626</v>
      </c>
      <c r="BA120" t="s">
        <v>344</v>
      </c>
      <c r="BB120" t="s">
        <v>292</v>
      </c>
      <c r="BC120" t="s">
        <v>359</v>
      </c>
      <c r="BD120" t="s">
        <v>292</v>
      </c>
      <c r="BE120" t="s">
        <v>292</v>
      </c>
      <c r="BF120" t="s">
        <v>350</v>
      </c>
      <c r="BG120" t="s">
        <v>359</v>
      </c>
      <c r="BH120">
        <v>5</v>
      </c>
      <c r="BI120" t="s">
        <v>300</v>
      </c>
      <c r="BJ120" t="s">
        <v>300</v>
      </c>
      <c r="CK120" t="s">
        <v>560</v>
      </c>
      <c r="CL120" t="s">
        <v>561</v>
      </c>
      <c r="CM120" t="s">
        <v>9</v>
      </c>
      <c r="CN120" s="2">
        <v>43006</v>
      </c>
      <c r="CO120" t="s">
        <v>292</v>
      </c>
      <c r="CP120" t="s">
        <v>363</v>
      </c>
      <c r="CQ120" t="s">
        <v>363</v>
      </c>
      <c r="CR120" t="s">
        <v>364</v>
      </c>
      <c r="CS120" t="s">
        <v>292</v>
      </c>
      <c r="CT120">
        <v>27000</v>
      </c>
      <c r="CU120" t="b">
        <v>0</v>
      </c>
      <c r="CV120" t="s">
        <v>311</v>
      </c>
      <c r="CW120" t="s">
        <v>292</v>
      </c>
      <c r="CX120" t="s">
        <v>292</v>
      </c>
      <c r="CY120" t="b">
        <v>0</v>
      </c>
      <c r="CZ120" t="b">
        <v>0</v>
      </c>
      <c r="DC120" t="s">
        <v>292</v>
      </c>
      <c r="DD120">
        <v>3150349999.9899998</v>
      </c>
      <c r="DE120">
        <v>0</v>
      </c>
      <c r="DG120">
        <v>0</v>
      </c>
      <c r="DH120" t="s">
        <v>558</v>
      </c>
      <c r="DI120">
        <v>8.8091799999999996</v>
      </c>
      <c r="DJ120">
        <f>DataTable[HLD_MaturityDate] - DataTable[SEC_Issue_Date]</f>
        <v>371</v>
      </c>
    </row>
    <row r="121" spans="1:114" x14ac:dyDescent="0.2">
      <c r="A121" s="2">
        <v>43376</v>
      </c>
      <c r="B121" t="s">
        <v>46</v>
      </c>
      <c r="C121" t="s">
        <v>7</v>
      </c>
      <c r="D121" t="s">
        <v>11</v>
      </c>
      <c r="F121" t="s">
        <v>392</v>
      </c>
      <c r="H121" t="s">
        <v>343</v>
      </c>
      <c r="I121" t="s">
        <v>344</v>
      </c>
      <c r="J121" t="s">
        <v>287</v>
      </c>
      <c r="K121" t="s">
        <v>12</v>
      </c>
      <c r="N121" s="2">
        <v>43389</v>
      </c>
      <c r="O121">
        <v>13</v>
      </c>
      <c r="P121">
        <v>2.81</v>
      </c>
      <c r="T121">
        <v>1294280000</v>
      </c>
      <c r="U121">
        <v>8486162.5299999993</v>
      </c>
      <c r="V121">
        <v>1326400000</v>
      </c>
      <c r="W121">
        <v>3.6075000000000003E-2</v>
      </c>
      <c r="X121">
        <v>40000000</v>
      </c>
      <c r="Z121">
        <v>1326400000</v>
      </c>
      <c r="AA121">
        <v>2.81</v>
      </c>
      <c r="AB121">
        <v>6.0288827999999996E-3</v>
      </c>
      <c r="AC121" t="s">
        <v>392</v>
      </c>
      <c r="AE121" t="s">
        <v>393</v>
      </c>
      <c r="AF121" t="s">
        <v>394</v>
      </c>
      <c r="AG121" t="s">
        <v>394</v>
      </c>
      <c r="AH121" t="s">
        <v>330</v>
      </c>
      <c r="AI121" t="s">
        <v>343</v>
      </c>
      <c r="AJ121" t="s">
        <v>347</v>
      </c>
      <c r="AK121" t="s">
        <v>10</v>
      </c>
      <c r="AM121" t="s">
        <v>287</v>
      </c>
      <c r="AN121" t="s">
        <v>292</v>
      </c>
      <c r="AO121" t="s">
        <v>292</v>
      </c>
      <c r="AP121" t="s">
        <v>333</v>
      </c>
      <c r="AQ121" t="s">
        <v>321</v>
      </c>
      <c r="AR121" t="s">
        <v>292</v>
      </c>
      <c r="AS121" t="s">
        <v>292</v>
      </c>
      <c r="AT121" t="s">
        <v>348</v>
      </c>
      <c r="AU121" t="s">
        <v>292</v>
      </c>
      <c r="AV121" t="s">
        <v>335</v>
      </c>
      <c r="AY121" t="s">
        <v>349</v>
      </c>
      <c r="AZ121" t="s">
        <v>349</v>
      </c>
      <c r="BA121" t="s">
        <v>344</v>
      </c>
      <c r="BB121" t="s">
        <v>292</v>
      </c>
      <c r="BC121" t="s">
        <v>12</v>
      </c>
      <c r="BD121" t="s">
        <v>292</v>
      </c>
      <c r="BE121" t="s">
        <v>12</v>
      </c>
      <c r="BF121" t="s">
        <v>350</v>
      </c>
      <c r="BG121" t="s">
        <v>12</v>
      </c>
      <c r="BH121">
        <v>6</v>
      </c>
      <c r="BI121" t="s">
        <v>300</v>
      </c>
      <c r="BJ121" t="s">
        <v>300</v>
      </c>
      <c r="CK121" t="s">
        <v>560</v>
      </c>
      <c r="CL121" t="s">
        <v>561</v>
      </c>
      <c r="CM121" t="s">
        <v>9</v>
      </c>
      <c r="CN121" s="2">
        <v>43293</v>
      </c>
      <c r="CO121" t="s">
        <v>292</v>
      </c>
      <c r="CP121" t="s">
        <v>351</v>
      </c>
      <c r="CQ121" t="s">
        <v>351</v>
      </c>
      <c r="CR121" t="s">
        <v>352</v>
      </c>
      <c r="CS121" t="s">
        <v>292</v>
      </c>
      <c r="CT121">
        <v>80000</v>
      </c>
      <c r="CU121" t="b">
        <v>0</v>
      </c>
      <c r="CV121" t="s">
        <v>311</v>
      </c>
      <c r="CW121" t="s">
        <v>292</v>
      </c>
      <c r="CX121" t="s">
        <v>292</v>
      </c>
      <c r="CY121" t="b">
        <v>0</v>
      </c>
      <c r="CZ121" t="b">
        <v>0</v>
      </c>
      <c r="DC121" t="s">
        <v>292</v>
      </c>
      <c r="DD121">
        <v>1326400000.01</v>
      </c>
      <c r="DE121">
        <v>0</v>
      </c>
      <c r="DG121">
        <v>0</v>
      </c>
      <c r="DH121" t="s">
        <v>321</v>
      </c>
      <c r="DI121">
        <v>32.356999999999999</v>
      </c>
      <c r="DJ121">
        <f>DataTable[HLD_MaturityDate] - DataTable[SEC_Issue_Date]</f>
        <v>96</v>
      </c>
    </row>
    <row r="122" spans="1:114" x14ac:dyDescent="0.2">
      <c r="A122" s="2">
        <v>43376</v>
      </c>
      <c r="B122" t="s">
        <v>46</v>
      </c>
      <c r="C122" t="s">
        <v>7</v>
      </c>
      <c r="D122" t="s">
        <v>11</v>
      </c>
      <c r="F122" t="s">
        <v>629</v>
      </c>
      <c r="H122" t="s">
        <v>343</v>
      </c>
      <c r="I122" t="s">
        <v>344</v>
      </c>
      <c r="J122" t="s">
        <v>287</v>
      </c>
      <c r="K122" t="s">
        <v>12</v>
      </c>
      <c r="N122" s="2">
        <v>43395</v>
      </c>
      <c r="O122">
        <v>19</v>
      </c>
      <c r="P122">
        <v>2.36</v>
      </c>
      <c r="T122">
        <v>1651680000</v>
      </c>
      <c r="U122">
        <v>8116310.2699999996</v>
      </c>
      <c r="V122">
        <v>1698400000</v>
      </c>
      <c r="W122">
        <v>5.1991000000000002E-2</v>
      </c>
      <c r="X122">
        <v>400000000</v>
      </c>
      <c r="Z122">
        <v>1698400000</v>
      </c>
      <c r="AA122">
        <v>2.36</v>
      </c>
      <c r="AB122">
        <v>7.6811309000000003E-3</v>
      </c>
      <c r="AC122" t="s">
        <v>629</v>
      </c>
      <c r="AE122" t="s">
        <v>393</v>
      </c>
      <c r="AF122" t="s">
        <v>394</v>
      </c>
      <c r="AG122" t="s">
        <v>394</v>
      </c>
      <c r="AH122" t="s">
        <v>330</v>
      </c>
      <c r="AI122" t="s">
        <v>343</v>
      </c>
      <c r="AJ122" t="s">
        <v>331</v>
      </c>
      <c r="AK122" t="s">
        <v>10</v>
      </c>
      <c r="AM122" t="s">
        <v>287</v>
      </c>
      <c r="AN122" t="s">
        <v>292</v>
      </c>
      <c r="AO122" t="s">
        <v>292</v>
      </c>
      <c r="AP122" t="s">
        <v>333</v>
      </c>
      <c r="AQ122" t="s">
        <v>310</v>
      </c>
      <c r="AR122" t="s">
        <v>292</v>
      </c>
      <c r="AS122" t="s">
        <v>292</v>
      </c>
      <c r="AT122" t="s">
        <v>348</v>
      </c>
      <c r="AU122" t="s">
        <v>292</v>
      </c>
      <c r="AV122" t="s">
        <v>335</v>
      </c>
      <c r="AY122" t="s">
        <v>349</v>
      </c>
      <c r="AZ122" t="s">
        <v>349</v>
      </c>
      <c r="BA122" t="s">
        <v>344</v>
      </c>
      <c r="BB122" t="s">
        <v>292</v>
      </c>
      <c r="BC122" t="s">
        <v>12</v>
      </c>
      <c r="BD122" t="s">
        <v>292</v>
      </c>
      <c r="BE122" t="s">
        <v>12</v>
      </c>
      <c r="BF122" t="s">
        <v>350</v>
      </c>
      <c r="BG122" t="s">
        <v>12</v>
      </c>
      <c r="BH122">
        <v>6</v>
      </c>
      <c r="BI122" t="s">
        <v>300</v>
      </c>
      <c r="BJ122" t="s">
        <v>300</v>
      </c>
      <c r="CK122" t="s">
        <v>560</v>
      </c>
      <c r="CL122" t="s">
        <v>561</v>
      </c>
      <c r="CM122" t="s">
        <v>9</v>
      </c>
      <c r="CN122" s="2">
        <v>43301</v>
      </c>
      <c r="CO122" t="s">
        <v>292</v>
      </c>
      <c r="CP122" t="s">
        <v>351</v>
      </c>
      <c r="CQ122" t="s">
        <v>351</v>
      </c>
      <c r="CR122" t="s">
        <v>352</v>
      </c>
      <c r="CS122" t="s">
        <v>292</v>
      </c>
      <c r="CT122">
        <v>80000</v>
      </c>
      <c r="CU122" t="b">
        <v>0</v>
      </c>
      <c r="CV122" t="s">
        <v>311</v>
      </c>
      <c r="CW122" t="s">
        <v>292</v>
      </c>
      <c r="CX122" t="s">
        <v>292</v>
      </c>
      <c r="CY122" t="b">
        <v>0</v>
      </c>
      <c r="CZ122" t="b">
        <v>0</v>
      </c>
      <c r="DC122" t="s">
        <v>292</v>
      </c>
      <c r="DD122">
        <v>1698400000</v>
      </c>
      <c r="DE122">
        <v>0</v>
      </c>
      <c r="DG122">
        <v>0</v>
      </c>
      <c r="DH122" t="s">
        <v>310</v>
      </c>
      <c r="DI122">
        <v>4.1292</v>
      </c>
      <c r="DJ122">
        <f>DataTable[HLD_MaturityDate] - DataTable[SEC_Issue_Date]</f>
        <v>94</v>
      </c>
    </row>
    <row r="123" spans="1:114" x14ac:dyDescent="0.2">
      <c r="A123" s="2">
        <v>43376</v>
      </c>
      <c r="B123" t="s">
        <v>46</v>
      </c>
      <c r="C123" t="s">
        <v>7</v>
      </c>
      <c r="D123" t="s">
        <v>11</v>
      </c>
      <c r="F123" t="s">
        <v>630</v>
      </c>
      <c r="H123" t="s">
        <v>343</v>
      </c>
      <c r="I123" t="s">
        <v>344</v>
      </c>
      <c r="J123" t="s">
        <v>287</v>
      </c>
      <c r="K123" t="s">
        <v>12</v>
      </c>
      <c r="N123" s="2">
        <v>43536</v>
      </c>
      <c r="O123">
        <v>160</v>
      </c>
      <c r="P123">
        <v>2.5499999999999998</v>
      </c>
      <c r="T123">
        <v>1280052000</v>
      </c>
      <c r="U123">
        <v>1788565.81</v>
      </c>
      <c r="V123">
        <v>1296265000</v>
      </c>
      <c r="W123">
        <v>0.43351699999999999</v>
      </c>
      <c r="X123">
        <v>310000000</v>
      </c>
      <c r="Z123">
        <v>1296265000</v>
      </c>
      <c r="AA123">
        <v>2.5499999999999998</v>
      </c>
      <c r="AB123">
        <v>5.9320442000000001E-3</v>
      </c>
      <c r="AC123" t="s">
        <v>630</v>
      </c>
      <c r="AE123" t="s">
        <v>631</v>
      </c>
      <c r="AF123" t="s">
        <v>632</v>
      </c>
      <c r="AG123" t="s">
        <v>632</v>
      </c>
      <c r="AH123" t="s">
        <v>330</v>
      </c>
      <c r="AI123" t="s">
        <v>343</v>
      </c>
      <c r="AJ123" t="s">
        <v>331</v>
      </c>
      <c r="AK123" t="s">
        <v>10</v>
      </c>
      <c r="AM123" t="s">
        <v>287</v>
      </c>
      <c r="AN123" t="s">
        <v>292</v>
      </c>
      <c r="AO123" t="s">
        <v>292</v>
      </c>
      <c r="AP123" t="s">
        <v>333</v>
      </c>
      <c r="AQ123" t="s">
        <v>310</v>
      </c>
      <c r="AR123" t="s">
        <v>292</v>
      </c>
      <c r="AS123" t="s">
        <v>292</v>
      </c>
      <c r="AT123" t="s">
        <v>348</v>
      </c>
      <c r="AU123" t="s">
        <v>292</v>
      </c>
      <c r="AV123" t="s">
        <v>335</v>
      </c>
      <c r="AY123" t="s">
        <v>349</v>
      </c>
      <c r="AZ123" t="s">
        <v>349</v>
      </c>
      <c r="BA123" t="s">
        <v>344</v>
      </c>
      <c r="BB123" t="s">
        <v>292</v>
      </c>
      <c r="BC123" t="s">
        <v>12</v>
      </c>
      <c r="BD123" t="s">
        <v>292</v>
      </c>
      <c r="BE123" t="s">
        <v>12</v>
      </c>
      <c r="BF123" t="s">
        <v>350</v>
      </c>
      <c r="BG123" t="s">
        <v>12</v>
      </c>
      <c r="BH123">
        <v>6</v>
      </c>
      <c r="BI123" t="s">
        <v>300</v>
      </c>
      <c r="BJ123" t="s">
        <v>300</v>
      </c>
      <c r="CK123" t="s">
        <v>560</v>
      </c>
      <c r="CL123" t="s">
        <v>561</v>
      </c>
      <c r="CM123" t="s">
        <v>9</v>
      </c>
      <c r="CN123" s="2">
        <v>43357</v>
      </c>
      <c r="CO123" t="s">
        <v>292</v>
      </c>
      <c r="CP123" t="s">
        <v>351</v>
      </c>
      <c r="CQ123" t="s">
        <v>351</v>
      </c>
      <c r="CR123" t="s">
        <v>352</v>
      </c>
      <c r="CS123" t="s">
        <v>292</v>
      </c>
      <c r="CT123">
        <v>80000</v>
      </c>
      <c r="CU123" t="b">
        <v>0</v>
      </c>
      <c r="CV123" t="s">
        <v>311</v>
      </c>
      <c r="CW123" t="s">
        <v>292</v>
      </c>
      <c r="CX123" t="s">
        <v>292</v>
      </c>
      <c r="CY123" t="b">
        <v>0</v>
      </c>
      <c r="CZ123" t="b">
        <v>0</v>
      </c>
      <c r="DC123" t="s">
        <v>292</v>
      </c>
      <c r="DD123">
        <v>1296265000</v>
      </c>
      <c r="DE123">
        <v>0</v>
      </c>
      <c r="DG123">
        <v>0</v>
      </c>
      <c r="DH123" t="s">
        <v>310</v>
      </c>
      <c r="DI123">
        <v>4.1292</v>
      </c>
      <c r="DJ123">
        <f>DataTable[HLD_MaturityDate] - DataTable[SEC_Issue_Date]</f>
        <v>179</v>
      </c>
    </row>
    <row r="124" spans="1:114" x14ac:dyDescent="0.2">
      <c r="A124" s="2">
        <v>43376</v>
      </c>
      <c r="B124" t="s">
        <v>46</v>
      </c>
      <c r="C124" t="s">
        <v>7</v>
      </c>
      <c r="D124" t="s">
        <v>11</v>
      </c>
      <c r="F124" t="s">
        <v>633</v>
      </c>
      <c r="H124" t="s">
        <v>358</v>
      </c>
      <c r="I124" t="s">
        <v>344</v>
      </c>
      <c r="J124" t="s">
        <v>287</v>
      </c>
      <c r="K124" t="s">
        <v>359</v>
      </c>
      <c r="N124" s="2">
        <v>43398</v>
      </c>
      <c r="O124">
        <v>22</v>
      </c>
      <c r="P124">
        <v>3</v>
      </c>
      <c r="T124">
        <v>1294280000</v>
      </c>
      <c r="U124">
        <v>17472780</v>
      </c>
      <c r="V124">
        <v>1258000000</v>
      </c>
      <c r="W124">
        <v>6.1001E-2</v>
      </c>
      <c r="X124">
        <v>40000000</v>
      </c>
      <c r="Z124">
        <v>1258000000</v>
      </c>
      <c r="AA124">
        <v>3</v>
      </c>
      <c r="AB124">
        <v>6.0704705999999999E-3</v>
      </c>
      <c r="AC124" t="s">
        <v>633</v>
      </c>
      <c r="AE124" t="s">
        <v>634</v>
      </c>
      <c r="AF124" t="s">
        <v>635</v>
      </c>
      <c r="AG124" t="s">
        <v>635</v>
      </c>
      <c r="AH124" t="s">
        <v>330</v>
      </c>
      <c r="AI124" t="s">
        <v>358</v>
      </c>
      <c r="AJ124" t="s">
        <v>347</v>
      </c>
      <c r="AK124" t="s">
        <v>10</v>
      </c>
      <c r="AM124" t="s">
        <v>287</v>
      </c>
      <c r="AN124" t="s">
        <v>292</v>
      </c>
      <c r="AO124" t="s">
        <v>292</v>
      </c>
      <c r="AP124" t="s">
        <v>333</v>
      </c>
      <c r="AQ124" t="s">
        <v>321</v>
      </c>
      <c r="AR124" t="s">
        <v>292</v>
      </c>
      <c r="AS124" t="s">
        <v>292</v>
      </c>
      <c r="AT124" t="s">
        <v>348</v>
      </c>
      <c r="AU124" t="s">
        <v>292</v>
      </c>
      <c r="AV124" t="s">
        <v>335</v>
      </c>
      <c r="AY124" t="s">
        <v>362</v>
      </c>
      <c r="AZ124" t="s">
        <v>362</v>
      </c>
      <c r="BA124" t="s">
        <v>344</v>
      </c>
      <c r="BB124" t="s">
        <v>292</v>
      </c>
      <c r="BC124" t="s">
        <v>359</v>
      </c>
      <c r="BD124" t="s">
        <v>292</v>
      </c>
      <c r="BE124" t="s">
        <v>12</v>
      </c>
      <c r="BF124" t="s">
        <v>350</v>
      </c>
      <c r="BG124" t="s">
        <v>359</v>
      </c>
      <c r="BH124">
        <v>5</v>
      </c>
      <c r="BI124" t="s">
        <v>300</v>
      </c>
      <c r="BJ124" t="s">
        <v>300</v>
      </c>
      <c r="CK124" t="s">
        <v>560</v>
      </c>
      <c r="CL124" t="s">
        <v>561</v>
      </c>
      <c r="CM124" t="s">
        <v>9</v>
      </c>
      <c r="CN124" s="2">
        <v>43215</v>
      </c>
      <c r="CO124" t="s">
        <v>292</v>
      </c>
      <c r="CP124" t="s">
        <v>363</v>
      </c>
      <c r="CQ124" t="s">
        <v>363</v>
      </c>
      <c r="CR124" t="s">
        <v>364</v>
      </c>
      <c r="CS124" t="s">
        <v>292</v>
      </c>
      <c r="CT124">
        <v>40000</v>
      </c>
      <c r="CU124" t="b">
        <v>0</v>
      </c>
      <c r="CV124" t="s">
        <v>311</v>
      </c>
      <c r="CW124" t="s">
        <v>292</v>
      </c>
      <c r="CX124" t="s">
        <v>292</v>
      </c>
      <c r="CY124" t="b">
        <v>0</v>
      </c>
      <c r="CZ124" t="b">
        <v>0</v>
      </c>
      <c r="DC124" t="s">
        <v>292</v>
      </c>
      <c r="DD124">
        <v>1257999999.99</v>
      </c>
      <c r="DE124">
        <v>0</v>
      </c>
      <c r="DG124">
        <v>0</v>
      </c>
      <c r="DH124" t="s">
        <v>321</v>
      </c>
      <c r="DI124">
        <v>32.356999999999999</v>
      </c>
      <c r="DJ124">
        <f>DataTable[HLD_MaturityDate] - DataTable[SEC_Issue_Date]</f>
        <v>183</v>
      </c>
    </row>
    <row r="125" spans="1:114" x14ac:dyDescent="0.2">
      <c r="A125" s="2">
        <v>43376</v>
      </c>
      <c r="B125" t="s">
        <v>46</v>
      </c>
      <c r="C125" t="s">
        <v>7</v>
      </c>
      <c r="D125" t="s">
        <v>11</v>
      </c>
      <c r="F125" t="s">
        <v>636</v>
      </c>
      <c r="H125" t="s">
        <v>358</v>
      </c>
      <c r="I125" t="s">
        <v>344</v>
      </c>
      <c r="J125" t="s">
        <v>287</v>
      </c>
      <c r="K125" t="s">
        <v>359</v>
      </c>
      <c r="N125" s="2">
        <v>43430</v>
      </c>
      <c r="O125">
        <v>54</v>
      </c>
      <c r="P125">
        <v>3</v>
      </c>
      <c r="T125">
        <v>1617850000</v>
      </c>
      <c r="U125">
        <v>17931170.829999998</v>
      </c>
      <c r="V125">
        <v>1603000000</v>
      </c>
      <c r="W125">
        <v>0.149335</v>
      </c>
      <c r="X125">
        <v>50000000</v>
      </c>
      <c r="Z125">
        <v>1603000000</v>
      </c>
      <c r="AA125">
        <v>3</v>
      </c>
      <c r="AB125">
        <v>7.5699946999999998E-3</v>
      </c>
      <c r="AC125" t="s">
        <v>636</v>
      </c>
      <c r="AE125" t="s">
        <v>634</v>
      </c>
      <c r="AF125" t="s">
        <v>635</v>
      </c>
      <c r="AG125" t="s">
        <v>635</v>
      </c>
      <c r="AH125" t="s">
        <v>330</v>
      </c>
      <c r="AI125" t="s">
        <v>358</v>
      </c>
      <c r="AJ125" t="s">
        <v>347</v>
      </c>
      <c r="AK125" t="s">
        <v>10</v>
      </c>
      <c r="AM125" t="s">
        <v>287</v>
      </c>
      <c r="AN125" t="s">
        <v>292</v>
      </c>
      <c r="AO125" t="s">
        <v>292</v>
      </c>
      <c r="AP125" t="s">
        <v>333</v>
      </c>
      <c r="AQ125" t="s">
        <v>321</v>
      </c>
      <c r="AR125" t="s">
        <v>292</v>
      </c>
      <c r="AS125" t="s">
        <v>292</v>
      </c>
      <c r="AT125" t="s">
        <v>348</v>
      </c>
      <c r="AU125" t="s">
        <v>292</v>
      </c>
      <c r="AV125" t="s">
        <v>335</v>
      </c>
      <c r="AY125" t="s">
        <v>362</v>
      </c>
      <c r="AZ125" t="s">
        <v>362</v>
      </c>
      <c r="BA125" t="s">
        <v>344</v>
      </c>
      <c r="BB125" t="s">
        <v>292</v>
      </c>
      <c r="BC125" t="s">
        <v>359</v>
      </c>
      <c r="BD125" t="s">
        <v>292</v>
      </c>
      <c r="BE125" t="s">
        <v>12</v>
      </c>
      <c r="BF125" t="s">
        <v>350</v>
      </c>
      <c r="BG125" t="s">
        <v>359</v>
      </c>
      <c r="BH125">
        <v>5</v>
      </c>
      <c r="BI125" t="s">
        <v>300</v>
      </c>
      <c r="BJ125" t="s">
        <v>300</v>
      </c>
      <c r="CK125" t="s">
        <v>560</v>
      </c>
      <c r="CL125" t="s">
        <v>561</v>
      </c>
      <c r="CM125" t="s">
        <v>9</v>
      </c>
      <c r="CN125" s="2">
        <v>43244</v>
      </c>
      <c r="CO125" t="s">
        <v>292</v>
      </c>
      <c r="CP125" t="s">
        <v>363</v>
      </c>
      <c r="CQ125" t="s">
        <v>363</v>
      </c>
      <c r="CR125" t="s">
        <v>364</v>
      </c>
      <c r="CS125" t="s">
        <v>292</v>
      </c>
      <c r="CT125">
        <v>40000</v>
      </c>
      <c r="CU125" t="b">
        <v>0</v>
      </c>
      <c r="CV125" t="s">
        <v>311</v>
      </c>
      <c r="CW125" t="s">
        <v>292</v>
      </c>
      <c r="CX125" t="s">
        <v>292</v>
      </c>
      <c r="CY125" t="b">
        <v>0</v>
      </c>
      <c r="CZ125" t="b">
        <v>0</v>
      </c>
      <c r="DC125" t="s">
        <v>292</v>
      </c>
      <c r="DD125">
        <v>1602999999.98</v>
      </c>
      <c r="DE125">
        <v>0</v>
      </c>
      <c r="DG125">
        <v>0</v>
      </c>
      <c r="DH125" t="s">
        <v>321</v>
      </c>
      <c r="DI125">
        <v>32.356999999999999</v>
      </c>
      <c r="DJ125">
        <f>DataTable[HLD_MaturityDate] - DataTable[SEC_Issue_Date]</f>
        <v>186</v>
      </c>
    </row>
    <row r="126" spans="1:114" x14ac:dyDescent="0.2">
      <c r="A126" s="2">
        <v>43376</v>
      </c>
      <c r="B126" t="s">
        <v>46</v>
      </c>
      <c r="C126" t="s">
        <v>7</v>
      </c>
      <c r="D126" t="s">
        <v>11</v>
      </c>
      <c r="F126" t="s">
        <v>395</v>
      </c>
      <c r="H126" t="s">
        <v>367</v>
      </c>
      <c r="I126" t="s">
        <v>344</v>
      </c>
      <c r="J126" t="s">
        <v>287</v>
      </c>
      <c r="K126" t="s">
        <v>12</v>
      </c>
      <c r="N126" s="2">
        <v>43409</v>
      </c>
      <c r="O126">
        <v>33</v>
      </c>
      <c r="P126">
        <v>0.04</v>
      </c>
      <c r="T126">
        <v>2808382500</v>
      </c>
      <c r="U126">
        <v>480545.45</v>
      </c>
      <c r="V126">
        <v>2850000000</v>
      </c>
      <c r="W126">
        <v>9.1662999999999994E-2</v>
      </c>
      <c r="X126">
        <v>75000000</v>
      </c>
      <c r="Z126">
        <v>2850000000</v>
      </c>
      <c r="AA126">
        <v>0.04</v>
      </c>
      <c r="AB126">
        <v>1.2998730300000001E-2</v>
      </c>
      <c r="AC126" t="s">
        <v>395</v>
      </c>
      <c r="AE126" t="s">
        <v>396</v>
      </c>
      <c r="AF126" t="s">
        <v>397</v>
      </c>
      <c r="AG126" t="s">
        <v>397</v>
      </c>
      <c r="AH126" t="s">
        <v>330</v>
      </c>
      <c r="AI126" t="s">
        <v>367</v>
      </c>
      <c r="AJ126" t="s">
        <v>347</v>
      </c>
      <c r="AK126" t="s">
        <v>10</v>
      </c>
      <c r="AM126" t="s">
        <v>287</v>
      </c>
      <c r="AN126" t="s">
        <v>292</v>
      </c>
      <c r="AO126" t="s">
        <v>292</v>
      </c>
      <c r="AP126" t="s">
        <v>333</v>
      </c>
      <c r="AQ126" t="s">
        <v>307</v>
      </c>
      <c r="AR126" t="s">
        <v>292</v>
      </c>
      <c r="AS126" t="s">
        <v>292</v>
      </c>
      <c r="AT126" t="s">
        <v>348</v>
      </c>
      <c r="AU126" t="s">
        <v>292</v>
      </c>
      <c r="AV126" t="s">
        <v>335</v>
      </c>
      <c r="AY126" t="s">
        <v>370</v>
      </c>
      <c r="AZ126" t="s">
        <v>370</v>
      </c>
      <c r="BA126" t="s">
        <v>344</v>
      </c>
      <c r="BB126" t="s">
        <v>292</v>
      </c>
      <c r="BC126" t="s">
        <v>12</v>
      </c>
      <c r="BD126" t="s">
        <v>292</v>
      </c>
      <c r="BE126" t="s">
        <v>12</v>
      </c>
      <c r="BF126" t="s">
        <v>350</v>
      </c>
      <c r="BG126" t="s">
        <v>12</v>
      </c>
      <c r="BH126">
        <v>6</v>
      </c>
      <c r="BI126" t="s">
        <v>300</v>
      </c>
      <c r="BJ126" t="s">
        <v>300</v>
      </c>
      <c r="CK126" t="s">
        <v>560</v>
      </c>
      <c r="CL126" t="s">
        <v>561</v>
      </c>
      <c r="CM126" t="s">
        <v>9</v>
      </c>
      <c r="CN126" s="2">
        <v>43223</v>
      </c>
      <c r="CO126" t="s">
        <v>292</v>
      </c>
      <c r="CP126" t="s">
        <v>371</v>
      </c>
      <c r="CQ126" t="s">
        <v>371</v>
      </c>
      <c r="CR126" t="s">
        <v>372</v>
      </c>
      <c r="CS126" t="s">
        <v>292</v>
      </c>
      <c r="CT126">
        <v>100000</v>
      </c>
      <c r="CU126" t="b">
        <v>0</v>
      </c>
      <c r="CV126" t="s">
        <v>311</v>
      </c>
      <c r="CW126" t="s">
        <v>292</v>
      </c>
      <c r="CX126" t="s">
        <v>292</v>
      </c>
      <c r="CY126" t="b">
        <v>0</v>
      </c>
      <c r="CZ126" t="b">
        <v>0</v>
      </c>
      <c r="DC126" t="s">
        <v>292</v>
      </c>
      <c r="DD126">
        <v>2849999999.9699998</v>
      </c>
      <c r="DE126">
        <v>0</v>
      </c>
      <c r="DG126">
        <v>0</v>
      </c>
      <c r="DH126" t="s">
        <v>307</v>
      </c>
      <c r="DI126">
        <v>37.445099999999996</v>
      </c>
      <c r="DJ126">
        <f>DataTable[HLD_MaturityDate] - DataTable[SEC_Issue_Date]</f>
        <v>186</v>
      </c>
    </row>
    <row r="127" spans="1:114" x14ac:dyDescent="0.2">
      <c r="A127" s="2">
        <v>43376</v>
      </c>
      <c r="B127" t="s">
        <v>46</v>
      </c>
      <c r="C127" t="s">
        <v>7</v>
      </c>
      <c r="D127" t="s">
        <v>11</v>
      </c>
      <c r="F127" t="s">
        <v>637</v>
      </c>
      <c r="H127" t="s">
        <v>367</v>
      </c>
      <c r="I127" t="s">
        <v>344</v>
      </c>
      <c r="J127" t="s">
        <v>287</v>
      </c>
      <c r="K127" t="s">
        <v>12</v>
      </c>
      <c r="N127" s="2">
        <v>43423</v>
      </c>
      <c r="O127">
        <v>47</v>
      </c>
      <c r="P127">
        <v>2.92</v>
      </c>
      <c r="T127">
        <v>1617850000</v>
      </c>
      <c r="U127">
        <v>18371585.559999999</v>
      </c>
      <c r="V127">
        <v>1596250000</v>
      </c>
      <c r="W127">
        <v>0.13006499999999999</v>
      </c>
      <c r="X127">
        <v>50000000</v>
      </c>
      <c r="Z127">
        <v>1596250000</v>
      </c>
      <c r="AA127">
        <v>2.92</v>
      </c>
      <c r="AB127">
        <v>7.5720327999999996E-3</v>
      </c>
      <c r="AC127" t="s">
        <v>637</v>
      </c>
      <c r="AE127" t="s">
        <v>396</v>
      </c>
      <c r="AF127" t="s">
        <v>397</v>
      </c>
      <c r="AG127" t="s">
        <v>397</v>
      </c>
      <c r="AH127" t="s">
        <v>330</v>
      </c>
      <c r="AI127" t="s">
        <v>367</v>
      </c>
      <c r="AJ127" t="s">
        <v>347</v>
      </c>
      <c r="AK127" t="s">
        <v>10</v>
      </c>
      <c r="AM127" t="s">
        <v>287</v>
      </c>
      <c r="AN127" t="s">
        <v>292</v>
      </c>
      <c r="AO127" t="s">
        <v>292</v>
      </c>
      <c r="AP127" t="s">
        <v>333</v>
      </c>
      <c r="AQ127" t="s">
        <v>321</v>
      </c>
      <c r="AR127" t="s">
        <v>292</v>
      </c>
      <c r="AS127" t="s">
        <v>292</v>
      </c>
      <c r="AT127" t="s">
        <v>348</v>
      </c>
      <c r="AU127" t="s">
        <v>292</v>
      </c>
      <c r="AV127" t="s">
        <v>335</v>
      </c>
      <c r="AY127" t="s">
        <v>370</v>
      </c>
      <c r="AZ127" t="s">
        <v>370</v>
      </c>
      <c r="BA127" t="s">
        <v>344</v>
      </c>
      <c r="BB127" t="s">
        <v>292</v>
      </c>
      <c r="BC127" t="s">
        <v>12</v>
      </c>
      <c r="BD127" t="s">
        <v>292</v>
      </c>
      <c r="BE127" t="s">
        <v>12</v>
      </c>
      <c r="BF127" t="s">
        <v>350</v>
      </c>
      <c r="BG127" t="s">
        <v>12</v>
      </c>
      <c r="BH127">
        <v>6</v>
      </c>
      <c r="BI127" t="s">
        <v>300</v>
      </c>
      <c r="BJ127" t="s">
        <v>300</v>
      </c>
      <c r="CK127" t="s">
        <v>560</v>
      </c>
      <c r="CL127" t="s">
        <v>561</v>
      </c>
      <c r="CM127" t="s">
        <v>9</v>
      </c>
      <c r="CN127" s="2">
        <v>43237</v>
      </c>
      <c r="CO127" t="s">
        <v>292</v>
      </c>
      <c r="CP127" t="s">
        <v>371</v>
      </c>
      <c r="CQ127" t="s">
        <v>371</v>
      </c>
      <c r="CR127" t="s">
        <v>372</v>
      </c>
      <c r="CS127" t="s">
        <v>292</v>
      </c>
      <c r="CT127">
        <v>100000</v>
      </c>
      <c r="CU127" t="b">
        <v>0</v>
      </c>
      <c r="CV127" t="s">
        <v>311</v>
      </c>
      <c r="CW127" t="s">
        <v>292</v>
      </c>
      <c r="CX127" t="s">
        <v>292</v>
      </c>
      <c r="CY127" t="b">
        <v>0</v>
      </c>
      <c r="CZ127" t="b">
        <v>0</v>
      </c>
      <c r="DC127" t="s">
        <v>292</v>
      </c>
      <c r="DD127">
        <v>1596250000.01</v>
      </c>
      <c r="DE127">
        <v>0</v>
      </c>
      <c r="DG127">
        <v>0</v>
      </c>
      <c r="DH127" t="s">
        <v>321</v>
      </c>
      <c r="DI127">
        <v>32.356999999999999</v>
      </c>
      <c r="DJ127">
        <f>DataTable[HLD_MaturityDate] - DataTable[SEC_Issue_Date]</f>
        <v>186</v>
      </c>
    </row>
    <row r="128" spans="1:114" x14ac:dyDescent="0.2">
      <c r="A128" s="2">
        <v>43376</v>
      </c>
      <c r="B128" t="s">
        <v>46</v>
      </c>
      <c r="C128" t="s">
        <v>7</v>
      </c>
      <c r="D128" t="s">
        <v>11</v>
      </c>
      <c r="F128" t="s">
        <v>638</v>
      </c>
      <c r="H128" t="s">
        <v>367</v>
      </c>
      <c r="I128" t="s">
        <v>344</v>
      </c>
      <c r="J128" t="s">
        <v>287</v>
      </c>
      <c r="K128" t="s">
        <v>12</v>
      </c>
      <c r="N128" s="2">
        <v>43424</v>
      </c>
      <c r="O128">
        <v>48</v>
      </c>
      <c r="P128">
        <v>2.92</v>
      </c>
      <c r="T128">
        <v>452998000</v>
      </c>
      <c r="U128">
        <v>5107300.78</v>
      </c>
      <c r="V128">
        <v>449330000</v>
      </c>
      <c r="W128">
        <v>0.132822</v>
      </c>
      <c r="X128">
        <v>14000000</v>
      </c>
      <c r="Z128">
        <v>449330000</v>
      </c>
      <c r="AA128">
        <v>2.92</v>
      </c>
      <c r="AB128">
        <v>2.1199991E-3</v>
      </c>
      <c r="AC128" t="s">
        <v>638</v>
      </c>
      <c r="AE128" t="s">
        <v>396</v>
      </c>
      <c r="AF128" t="s">
        <v>397</v>
      </c>
      <c r="AG128" t="s">
        <v>397</v>
      </c>
      <c r="AH128" t="s">
        <v>330</v>
      </c>
      <c r="AI128" t="s">
        <v>367</v>
      </c>
      <c r="AJ128" t="s">
        <v>347</v>
      </c>
      <c r="AK128" t="s">
        <v>10</v>
      </c>
      <c r="AM128" t="s">
        <v>287</v>
      </c>
      <c r="AN128" t="s">
        <v>292</v>
      </c>
      <c r="AO128" t="s">
        <v>292</v>
      </c>
      <c r="AP128" t="s">
        <v>333</v>
      </c>
      <c r="AQ128" t="s">
        <v>321</v>
      </c>
      <c r="AR128" t="s">
        <v>292</v>
      </c>
      <c r="AS128" t="s">
        <v>292</v>
      </c>
      <c r="AT128" t="s">
        <v>348</v>
      </c>
      <c r="AU128" t="s">
        <v>292</v>
      </c>
      <c r="AV128" t="s">
        <v>335</v>
      </c>
      <c r="AY128" t="s">
        <v>370</v>
      </c>
      <c r="AZ128" t="s">
        <v>370</v>
      </c>
      <c r="BA128" t="s">
        <v>344</v>
      </c>
      <c r="BB128" t="s">
        <v>292</v>
      </c>
      <c r="BC128" t="s">
        <v>12</v>
      </c>
      <c r="BD128" t="s">
        <v>292</v>
      </c>
      <c r="BE128" t="s">
        <v>12</v>
      </c>
      <c r="BF128" t="s">
        <v>350</v>
      </c>
      <c r="BG128" t="s">
        <v>12</v>
      </c>
      <c r="BH128">
        <v>6</v>
      </c>
      <c r="BI128" t="s">
        <v>300</v>
      </c>
      <c r="BJ128" t="s">
        <v>300</v>
      </c>
      <c r="CK128" t="s">
        <v>560</v>
      </c>
      <c r="CL128" t="s">
        <v>561</v>
      </c>
      <c r="CM128" t="s">
        <v>9</v>
      </c>
      <c r="CN128" s="2">
        <v>43238</v>
      </c>
      <c r="CO128" t="s">
        <v>292</v>
      </c>
      <c r="CP128" t="s">
        <v>371</v>
      </c>
      <c r="CQ128" t="s">
        <v>371</v>
      </c>
      <c r="CR128" t="s">
        <v>372</v>
      </c>
      <c r="CS128" t="s">
        <v>292</v>
      </c>
      <c r="CT128">
        <v>100000</v>
      </c>
      <c r="CU128" t="b">
        <v>0</v>
      </c>
      <c r="CV128" t="s">
        <v>311</v>
      </c>
      <c r="CW128" t="s">
        <v>292</v>
      </c>
      <c r="CX128" t="s">
        <v>292</v>
      </c>
      <c r="CY128" t="b">
        <v>0</v>
      </c>
      <c r="CZ128" t="b">
        <v>0</v>
      </c>
      <c r="DC128" t="s">
        <v>292</v>
      </c>
      <c r="DD128">
        <v>449330000.00999999</v>
      </c>
      <c r="DE128">
        <v>0</v>
      </c>
      <c r="DG128">
        <v>0</v>
      </c>
      <c r="DH128" t="s">
        <v>321</v>
      </c>
      <c r="DI128">
        <v>32.356999999999999</v>
      </c>
      <c r="DJ128">
        <f>DataTable[HLD_MaturityDate] - DataTable[SEC_Issue_Date]</f>
        <v>186</v>
      </c>
    </row>
    <row r="129" spans="1:114" x14ac:dyDescent="0.2">
      <c r="A129" s="2">
        <v>43376</v>
      </c>
      <c r="B129" t="s">
        <v>46</v>
      </c>
      <c r="C129" t="s">
        <v>7</v>
      </c>
      <c r="D129" t="s">
        <v>11</v>
      </c>
      <c r="F129" t="s">
        <v>639</v>
      </c>
      <c r="H129" t="s">
        <v>408</v>
      </c>
      <c r="I129" t="s">
        <v>286</v>
      </c>
      <c r="J129" t="s">
        <v>287</v>
      </c>
      <c r="K129" t="s">
        <v>288</v>
      </c>
      <c r="N129" s="2">
        <v>44196</v>
      </c>
      <c r="O129">
        <v>820</v>
      </c>
      <c r="P129">
        <v>0.375</v>
      </c>
      <c r="T129">
        <v>9535.0499999999993</v>
      </c>
      <c r="U129">
        <v>9.31</v>
      </c>
      <c r="V129">
        <v>9535.0499999999993</v>
      </c>
      <c r="W129">
        <v>0</v>
      </c>
      <c r="X129">
        <v>9535.0499999999993</v>
      </c>
      <c r="Z129">
        <v>9535.0499999999993</v>
      </c>
      <c r="AA129">
        <v>0</v>
      </c>
      <c r="AB129">
        <v>4.4199999999999999E-8</v>
      </c>
      <c r="AC129" t="s">
        <v>639</v>
      </c>
      <c r="AE129" t="s">
        <v>409</v>
      </c>
      <c r="AF129" t="s">
        <v>410</v>
      </c>
      <c r="AG129" t="s">
        <v>410</v>
      </c>
      <c r="AH129" t="s">
        <v>330</v>
      </c>
      <c r="AI129" t="s">
        <v>408</v>
      </c>
      <c r="AJ129" t="s">
        <v>404</v>
      </c>
      <c r="AK129" t="s">
        <v>10</v>
      </c>
      <c r="AL129" t="s">
        <v>317</v>
      </c>
      <c r="AM129" t="s">
        <v>287</v>
      </c>
      <c r="AN129" t="s">
        <v>292</v>
      </c>
      <c r="AO129" t="s">
        <v>292</v>
      </c>
      <c r="AP129" t="s">
        <v>333</v>
      </c>
      <c r="AQ129" t="s">
        <v>318</v>
      </c>
      <c r="AR129" t="s">
        <v>292</v>
      </c>
      <c r="AS129" t="s">
        <v>292</v>
      </c>
      <c r="AT129" t="s">
        <v>292</v>
      </c>
      <c r="AU129" t="s">
        <v>292</v>
      </c>
      <c r="AV129" t="s">
        <v>335</v>
      </c>
      <c r="AY129" t="s">
        <v>411</v>
      </c>
      <c r="AZ129" t="s">
        <v>412</v>
      </c>
      <c r="BA129" t="s">
        <v>286</v>
      </c>
      <c r="BB129" t="s">
        <v>292</v>
      </c>
      <c r="BC129" t="s">
        <v>288</v>
      </c>
      <c r="BD129" t="s">
        <v>292</v>
      </c>
      <c r="BE129" t="s">
        <v>313</v>
      </c>
      <c r="BF129" t="s">
        <v>299</v>
      </c>
      <c r="BG129" t="s">
        <v>288</v>
      </c>
      <c r="BH129">
        <v>2</v>
      </c>
      <c r="BI129" t="s">
        <v>300</v>
      </c>
      <c r="BJ129" t="s">
        <v>300</v>
      </c>
      <c r="CK129" t="s">
        <v>560</v>
      </c>
      <c r="CL129" t="s">
        <v>561</v>
      </c>
      <c r="CM129" t="s">
        <v>9</v>
      </c>
      <c r="CN129" s="2">
        <v>41946</v>
      </c>
      <c r="CO129" t="s">
        <v>292</v>
      </c>
      <c r="CP129" t="s">
        <v>303</v>
      </c>
      <c r="CQ129" t="s">
        <v>303</v>
      </c>
      <c r="CR129" t="s">
        <v>304</v>
      </c>
      <c r="CS129" t="s">
        <v>292</v>
      </c>
      <c r="CT129">
        <v>39000</v>
      </c>
      <c r="CU129" t="b">
        <v>1</v>
      </c>
      <c r="CV129" t="s">
        <v>292</v>
      </c>
      <c r="CW129" t="s">
        <v>292</v>
      </c>
      <c r="CX129" t="s">
        <v>292</v>
      </c>
      <c r="CY129" t="b">
        <v>0</v>
      </c>
      <c r="CZ129" t="b">
        <v>0</v>
      </c>
      <c r="DC129" t="s">
        <v>292</v>
      </c>
      <c r="DJ129">
        <f>DataTable[HLD_MaturityDate] - DataTable[SEC_Issue_Date]</f>
        <v>2250</v>
      </c>
    </row>
    <row r="130" spans="1:114" x14ac:dyDescent="0.2">
      <c r="A130" s="2">
        <v>43376</v>
      </c>
      <c r="B130" t="s">
        <v>46</v>
      </c>
      <c r="C130" t="s">
        <v>7</v>
      </c>
      <c r="D130" t="s">
        <v>11</v>
      </c>
      <c r="F130" t="s">
        <v>640</v>
      </c>
      <c r="H130" t="s">
        <v>285</v>
      </c>
      <c r="I130" t="s">
        <v>286</v>
      </c>
      <c r="J130" t="s">
        <v>287</v>
      </c>
      <c r="K130" t="s">
        <v>288</v>
      </c>
      <c r="N130" s="2">
        <v>44196</v>
      </c>
      <c r="O130">
        <v>820</v>
      </c>
      <c r="P130">
        <v>0.25</v>
      </c>
      <c r="T130">
        <v>73728200.260000005</v>
      </c>
      <c r="U130">
        <v>48640.13</v>
      </c>
      <c r="V130">
        <v>85887038.310000002</v>
      </c>
      <c r="W130">
        <v>0</v>
      </c>
      <c r="X130">
        <v>15694197.34</v>
      </c>
      <c r="Z130">
        <v>85887038.310000002</v>
      </c>
      <c r="AA130">
        <v>0</v>
      </c>
      <c r="AB130">
        <v>3.4142120000000002E-4</v>
      </c>
      <c r="AC130" t="s">
        <v>640</v>
      </c>
      <c r="AE130" t="s">
        <v>409</v>
      </c>
      <c r="AF130" t="s">
        <v>641</v>
      </c>
      <c r="AG130" t="s">
        <v>641</v>
      </c>
      <c r="AH130" t="s">
        <v>330</v>
      </c>
      <c r="AI130" t="s">
        <v>285</v>
      </c>
      <c r="AJ130" t="s">
        <v>404</v>
      </c>
      <c r="AK130" t="s">
        <v>10</v>
      </c>
      <c r="AL130" t="s">
        <v>317</v>
      </c>
      <c r="AM130" t="s">
        <v>287</v>
      </c>
      <c r="AN130" t="s">
        <v>292</v>
      </c>
      <c r="AO130" t="s">
        <v>292</v>
      </c>
      <c r="AP130" t="s">
        <v>333</v>
      </c>
      <c r="AQ130" t="s">
        <v>294</v>
      </c>
      <c r="AR130" t="s">
        <v>292</v>
      </c>
      <c r="AS130" t="s">
        <v>292</v>
      </c>
      <c r="AT130" t="s">
        <v>348</v>
      </c>
      <c r="AU130" t="s">
        <v>292</v>
      </c>
      <c r="AV130" t="s">
        <v>335</v>
      </c>
      <c r="AY130" t="s">
        <v>296</v>
      </c>
      <c r="AZ130" t="s">
        <v>297</v>
      </c>
      <c r="BA130" t="s">
        <v>286</v>
      </c>
      <c r="BB130" t="s">
        <v>292</v>
      </c>
      <c r="BC130" t="s">
        <v>288</v>
      </c>
      <c r="BD130" t="s">
        <v>292</v>
      </c>
      <c r="BE130" t="s">
        <v>298</v>
      </c>
      <c r="BF130" t="s">
        <v>299</v>
      </c>
      <c r="BG130" t="s">
        <v>288</v>
      </c>
      <c r="BH130">
        <v>2</v>
      </c>
      <c r="BI130" t="s">
        <v>300</v>
      </c>
      <c r="BJ130" t="s">
        <v>300</v>
      </c>
      <c r="CK130" t="s">
        <v>560</v>
      </c>
      <c r="CL130" t="s">
        <v>561</v>
      </c>
      <c r="CM130" t="s">
        <v>9</v>
      </c>
      <c r="CN130" s="2">
        <v>41614</v>
      </c>
      <c r="CO130" t="s">
        <v>642</v>
      </c>
      <c r="CP130" t="s">
        <v>303</v>
      </c>
      <c r="CQ130" t="s">
        <v>303</v>
      </c>
      <c r="CR130" t="s">
        <v>304</v>
      </c>
      <c r="CS130" t="s">
        <v>292</v>
      </c>
      <c r="CT130">
        <v>52000</v>
      </c>
      <c r="CU130" t="b">
        <v>1</v>
      </c>
      <c r="CV130" t="s">
        <v>311</v>
      </c>
      <c r="CW130" t="s">
        <v>292</v>
      </c>
      <c r="CX130" t="s">
        <v>292</v>
      </c>
      <c r="CY130" t="b">
        <v>0</v>
      </c>
      <c r="CZ130" t="b">
        <v>0</v>
      </c>
      <c r="DC130" t="s">
        <v>292</v>
      </c>
      <c r="DD130">
        <v>85887038.310000002</v>
      </c>
      <c r="DE130">
        <v>0</v>
      </c>
      <c r="DG130">
        <v>0</v>
      </c>
      <c r="DH130" t="s">
        <v>294</v>
      </c>
      <c r="DI130">
        <v>4.6978</v>
      </c>
      <c r="DJ130">
        <f>DataTable[HLD_MaturityDate] - DataTable[SEC_Issue_Date]</f>
        <v>2582</v>
      </c>
    </row>
    <row r="131" spans="1:114" x14ac:dyDescent="0.2">
      <c r="A131" s="2">
        <v>43376</v>
      </c>
      <c r="B131" t="s">
        <v>46</v>
      </c>
      <c r="C131" t="s">
        <v>7</v>
      </c>
      <c r="D131" t="s">
        <v>11</v>
      </c>
      <c r="F131" t="s">
        <v>643</v>
      </c>
      <c r="H131" t="s">
        <v>285</v>
      </c>
      <c r="I131" t="s">
        <v>286</v>
      </c>
      <c r="J131" t="s">
        <v>287</v>
      </c>
      <c r="K131" t="s">
        <v>288</v>
      </c>
      <c r="N131" s="2">
        <v>44196</v>
      </c>
      <c r="O131">
        <v>820</v>
      </c>
      <c r="P131">
        <v>0.05</v>
      </c>
      <c r="T131">
        <v>121631587.64</v>
      </c>
      <c r="U131">
        <v>16048.75</v>
      </c>
      <c r="V131">
        <v>129319397.17</v>
      </c>
      <c r="W131">
        <v>0</v>
      </c>
      <c r="X131">
        <v>3759050.21</v>
      </c>
      <c r="Z131">
        <v>129319397.17</v>
      </c>
      <c r="AA131">
        <v>0</v>
      </c>
      <c r="AB131">
        <v>5.6295550000000003E-4</v>
      </c>
      <c r="AC131" t="s">
        <v>643</v>
      </c>
      <c r="AE131" t="s">
        <v>409</v>
      </c>
      <c r="AF131" t="s">
        <v>641</v>
      </c>
      <c r="AG131" t="s">
        <v>641</v>
      </c>
      <c r="AH131" t="s">
        <v>330</v>
      </c>
      <c r="AI131" t="s">
        <v>285</v>
      </c>
      <c r="AJ131" t="s">
        <v>404</v>
      </c>
      <c r="AK131" t="s">
        <v>10</v>
      </c>
      <c r="AL131" t="s">
        <v>317</v>
      </c>
      <c r="AM131" t="s">
        <v>287</v>
      </c>
      <c r="AO131" t="s">
        <v>292</v>
      </c>
      <c r="AP131" t="s">
        <v>333</v>
      </c>
      <c r="AQ131" t="s">
        <v>321</v>
      </c>
      <c r="AR131" t="s">
        <v>292</v>
      </c>
      <c r="AS131" t="s">
        <v>292</v>
      </c>
      <c r="AT131" t="s">
        <v>292</v>
      </c>
      <c r="AU131" t="s">
        <v>292</v>
      </c>
      <c r="AV131" t="s">
        <v>335</v>
      </c>
      <c r="AY131" t="s">
        <v>296</v>
      </c>
      <c r="AZ131" t="s">
        <v>297</v>
      </c>
      <c r="BA131" t="s">
        <v>286</v>
      </c>
      <c r="BB131" t="s">
        <v>292</v>
      </c>
      <c r="BC131" t="s">
        <v>288</v>
      </c>
      <c r="BD131" t="s">
        <v>292</v>
      </c>
      <c r="BE131" t="s">
        <v>298</v>
      </c>
      <c r="BF131" t="s">
        <v>299</v>
      </c>
      <c r="BG131" t="s">
        <v>288</v>
      </c>
      <c r="BH131">
        <v>2</v>
      </c>
      <c r="BI131" t="s">
        <v>300</v>
      </c>
      <c r="BJ131" t="s">
        <v>300</v>
      </c>
      <c r="CK131" t="s">
        <v>560</v>
      </c>
      <c r="CL131" t="s">
        <v>561</v>
      </c>
      <c r="CM131" t="s">
        <v>9</v>
      </c>
      <c r="CN131" s="2">
        <v>41617</v>
      </c>
      <c r="CO131" t="s">
        <v>292</v>
      </c>
      <c r="CP131" t="s">
        <v>303</v>
      </c>
      <c r="CQ131" t="s">
        <v>303</v>
      </c>
      <c r="CR131" t="s">
        <v>304</v>
      </c>
      <c r="CS131" t="s">
        <v>292</v>
      </c>
      <c r="CT131">
        <v>52000</v>
      </c>
      <c r="CU131" t="b">
        <v>1</v>
      </c>
      <c r="CV131" t="s">
        <v>311</v>
      </c>
      <c r="CW131" t="s">
        <v>292</v>
      </c>
      <c r="CX131" t="s">
        <v>292</v>
      </c>
      <c r="CY131" t="b">
        <v>0</v>
      </c>
      <c r="CZ131" t="b">
        <v>0</v>
      </c>
      <c r="DC131" t="s">
        <v>292</v>
      </c>
      <c r="DD131">
        <v>129319397.17</v>
      </c>
      <c r="DE131">
        <v>0</v>
      </c>
      <c r="DG131">
        <v>0</v>
      </c>
      <c r="DH131" t="s">
        <v>321</v>
      </c>
      <c r="DI131">
        <v>32.356999999999999</v>
      </c>
      <c r="DJ131">
        <f>DataTable[HLD_MaturityDate] - DataTable[SEC_Issue_Date]</f>
        <v>2579</v>
      </c>
    </row>
    <row r="132" spans="1:114" x14ac:dyDescent="0.2">
      <c r="A132" s="2">
        <v>43376</v>
      </c>
      <c r="B132" t="s">
        <v>46</v>
      </c>
      <c r="C132" t="s">
        <v>7</v>
      </c>
      <c r="D132" t="s">
        <v>11</v>
      </c>
      <c r="F132" t="s">
        <v>644</v>
      </c>
      <c r="H132" t="s">
        <v>414</v>
      </c>
      <c r="I132" t="s">
        <v>415</v>
      </c>
      <c r="J132" t="s">
        <v>287</v>
      </c>
      <c r="K132" t="s">
        <v>379</v>
      </c>
      <c r="N132" s="2">
        <v>44196</v>
      </c>
      <c r="O132">
        <v>820</v>
      </c>
      <c r="P132">
        <v>0.85</v>
      </c>
      <c r="T132">
        <v>92730392.329999998</v>
      </c>
      <c r="U132">
        <v>1407469.29</v>
      </c>
      <c r="V132">
        <v>92730392.329999998</v>
      </c>
      <c r="W132">
        <v>0</v>
      </c>
      <c r="X132">
        <v>92730392.329999998</v>
      </c>
      <c r="Z132">
        <v>92730392.329999998</v>
      </c>
      <c r="AA132">
        <v>0</v>
      </c>
      <c r="AB132">
        <v>4.35647E-4</v>
      </c>
      <c r="AC132" t="s">
        <v>644</v>
      </c>
      <c r="AE132" t="s">
        <v>409</v>
      </c>
      <c r="AF132" t="s">
        <v>416</v>
      </c>
      <c r="AG132" t="s">
        <v>416</v>
      </c>
      <c r="AH132" t="s">
        <v>330</v>
      </c>
      <c r="AI132" t="s">
        <v>414</v>
      </c>
      <c r="AJ132" t="s">
        <v>404</v>
      </c>
      <c r="AK132" t="s">
        <v>10</v>
      </c>
      <c r="AL132" t="s">
        <v>317</v>
      </c>
      <c r="AM132" t="s">
        <v>405</v>
      </c>
      <c r="AO132" t="s">
        <v>292</v>
      </c>
      <c r="AP132" t="s">
        <v>333</v>
      </c>
      <c r="AQ132" t="s">
        <v>318</v>
      </c>
      <c r="AR132" t="s">
        <v>292</v>
      </c>
      <c r="AS132" t="s">
        <v>292</v>
      </c>
      <c r="AT132" t="s">
        <v>292</v>
      </c>
      <c r="AU132" t="s">
        <v>295</v>
      </c>
      <c r="AV132" t="s">
        <v>335</v>
      </c>
      <c r="AY132" t="s">
        <v>417</v>
      </c>
      <c r="AZ132" t="s">
        <v>418</v>
      </c>
      <c r="BA132" t="s">
        <v>415</v>
      </c>
      <c r="BB132" t="s">
        <v>292</v>
      </c>
      <c r="BC132" t="s">
        <v>379</v>
      </c>
      <c r="BD132" t="s">
        <v>292</v>
      </c>
      <c r="BE132" t="s">
        <v>292</v>
      </c>
      <c r="BF132" t="s">
        <v>299</v>
      </c>
      <c r="BG132" t="s">
        <v>379</v>
      </c>
      <c r="BH132">
        <v>1</v>
      </c>
      <c r="BI132" t="s">
        <v>300</v>
      </c>
      <c r="BJ132" t="s">
        <v>300</v>
      </c>
      <c r="CK132" t="s">
        <v>560</v>
      </c>
      <c r="CL132" t="s">
        <v>561</v>
      </c>
      <c r="CM132" t="s">
        <v>9</v>
      </c>
      <c r="CN132" s="2">
        <v>41652</v>
      </c>
      <c r="CO132" t="s">
        <v>292</v>
      </c>
      <c r="CP132" t="s">
        <v>303</v>
      </c>
      <c r="CQ132" t="s">
        <v>303</v>
      </c>
      <c r="CR132" t="s">
        <v>304</v>
      </c>
      <c r="CS132" t="s">
        <v>292</v>
      </c>
      <c r="CT132">
        <v>17000</v>
      </c>
      <c r="CU132" t="b">
        <v>1</v>
      </c>
      <c r="CV132" t="s">
        <v>292</v>
      </c>
      <c r="CW132" t="s">
        <v>419</v>
      </c>
      <c r="CX132" t="s">
        <v>420</v>
      </c>
      <c r="CY132" t="b">
        <v>0</v>
      </c>
      <c r="CZ132" t="b">
        <v>0</v>
      </c>
      <c r="DC132" t="s">
        <v>292</v>
      </c>
      <c r="DJ132">
        <f>DataTable[HLD_MaturityDate] - DataTable[SEC_Issue_Date]</f>
        <v>2544</v>
      </c>
    </row>
    <row r="133" spans="1:114" x14ac:dyDescent="0.2">
      <c r="A133" s="2">
        <v>43376</v>
      </c>
      <c r="B133" t="s">
        <v>46</v>
      </c>
      <c r="C133" t="s">
        <v>7</v>
      </c>
      <c r="D133" t="s">
        <v>11</v>
      </c>
      <c r="F133" t="s">
        <v>421</v>
      </c>
      <c r="H133" t="s">
        <v>285</v>
      </c>
      <c r="I133" t="s">
        <v>286</v>
      </c>
      <c r="J133" t="s">
        <v>287</v>
      </c>
      <c r="K133" t="s">
        <v>288</v>
      </c>
      <c r="N133" s="2">
        <v>43468</v>
      </c>
      <c r="O133">
        <v>92</v>
      </c>
      <c r="P133">
        <v>1.5</v>
      </c>
      <c r="T133">
        <v>1500000000</v>
      </c>
      <c r="U133">
        <v>863013.7</v>
      </c>
      <c r="V133">
        <v>1500000000</v>
      </c>
      <c r="W133">
        <v>0.251106</v>
      </c>
      <c r="X133">
        <v>1500000000</v>
      </c>
      <c r="Z133">
        <v>1500000000</v>
      </c>
      <c r="AA133">
        <v>1.5</v>
      </c>
      <c r="AB133">
        <v>6.9456264999999996E-3</v>
      </c>
      <c r="AC133" t="s">
        <v>421</v>
      </c>
      <c r="AE133" t="s">
        <v>422</v>
      </c>
      <c r="AF133" t="s">
        <v>423</v>
      </c>
      <c r="AG133" t="s">
        <v>423</v>
      </c>
      <c r="AH133" t="s">
        <v>330</v>
      </c>
      <c r="AI133" t="s">
        <v>285</v>
      </c>
      <c r="AJ133" t="s">
        <v>331</v>
      </c>
      <c r="AK133" t="s">
        <v>10</v>
      </c>
      <c r="AM133" t="s">
        <v>287</v>
      </c>
      <c r="AN133" t="s">
        <v>292</v>
      </c>
      <c r="AO133" t="s">
        <v>292</v>
      </c>
      <c r="AP133" t="s">
        <v>333</v>
      </c>
      <c r="AQ133" t="s">
        <v>318</v>
      </c>
      <c r="AR133" t="s">
        <v>292</v>
      </c>
      <c r="AS133" t="s">
        <v>292</v>
      </c>
      <c r="AT133" t="s">
        <v>334</v>
      </c>
      <c r="AU133" t="s">
        <v>292</v>
      </c>
      <c r="AV133" t="s">
        <v>335</v>
      </c>
      <c r="AY133" t="s">
        <v>296</v>
      </c>
      <c r="AZ133" t="s">
        <v>297</v>
      </c>
      <c r="BA133" t="s">
        <v>286</v>
      </c>
      <c r="BB133" t="s">
        <v>292</v>
      </c>
      <c r="BC133" t="s">
        <v>288</v>
      </c>
      <c r="BD133" t="s">
        <v>292</v>
      </c>
      <c r="BE133" t="s">
        <v>298</v>
      </c>
      <c r="BF133" t="s">
        <v>299</v>
      </c>
      <c r="BG133" t="s">
        <v>288</v>
      </c>
      <c r="BH133">
        <v>2</v>
      </c>
      <c r="BI133" t="s">
        <v>300</v>
      </c>
      <c r="BJ133" t="s">
        <v>300</v>
      </c>
      <c r="CK133" t="s">
        <v>560</v>
      </c>
      <c r="CL133" t="s">
        <v>561</v>
      </c>
      <c r="CM133" t="s">
        <v>9</v>
      </c>
      <c r="CN133" s="2">
        <v>43363</v>
      </c>
      <c r="CO133" t="s">
        <v>292</v>
      </c>
      <c r="CP133" t="s">
        <v>303</v>
      </c>
      <c r="CQ133" t="s">
        <v>303</v>
      </c>
      <c r="CR133" t="s">
        <v>304</v>
      </c>
      <c r="CS133" t="s">
        <v>292</v>
      </c>
      <c r="CT133">
        <v>52000</v>
      </c>
      <c r="CU133" t="b">
        <v>0</v>
      </c>
      <c r="CV133" t="s">
        <v>311</v>
      </c>
      <c r="CW133" t="s">
        <v>292</v>
      </c>
      <c r="CX133" t="s">
        <v>292</v>
      </c>
      <c r="CY133" t="b">
        <v>0</v>
      </c>
      <c r="CZ133" t="b">
        <v>0</v>
      </c>
      <c r="DC133" t="s">
        <v>292</v>
      </c>
      <c r="DJ133">
        <f>DataTable[HLD_MaturityDate] - DataTable[SEC_Issue_Date]</f>
        <v>105</v>
      </c>
    </row>
    <row r="134" spans="1:114" x14ac:dyDescent="0.2">
      <c r="A134" s="2">
        <v>43376</v>
      </c>
      <c r="B134" t="s">
        <v>46</v>
      </c>
      <c r="C134" t="s">
        <v>7</v>
      </c>
      <c r="D134" t="s">
        <v>424</v>
      </c>
      <c r="F134" t="s">
        <v>645</v>
      </c>
      <c r="H134" t="s">
        <v>646</v>
      </c>
      <c r="I134" t="s">
        <v>286</v>
      </c>
      <c r="J134" t="s">
        <v>647</v>
      </c>
      <c r="K134" t="s">
        <v>359</v>
      </c>
      <c r="N134" s="2">
        <v>43502</v>
      </c>
      <c r="O134">
        <v>126</v>
      </c>
      <c r="Q134">
        <v>1.650558</v>
      </c>
      <c r="T134">
        <v>1352355684.8</v>
      </c>
      <c r="V134">
        <v>1352128020.8</v>
      </c>
      <c r="W134">
        <v>0.34054099999999998</v>
      </c>
      <c r="X134">
        <v>1360000000</v>
      </c>
      <c r="Z134">
        <v>1348444025.5999999</v>
      </c>
      <c r="AA134">
        <v>1.7</v>
      </c>
      <c r="AB134">
        <v>6.2583709E-3</v>
      </c>
      <c r="AC134" t="s">
        <v>645</v>
      </c>
      <c r="AE134" t="s">
        <v>648</v>
      </c>
      <c r="AF134" t="s">
        <v>649</v>
      </c>
      <c r="AG134" t="s">
        <v>650</v>
      </c>
      <c r="AH134" t="s">
        <v>330</v>
      </c>
      <c r="AI134" t="s">
        <v>646</v>
      </c>
      <c r="AJ134" t="s">
        <v>431</v>
      </c>
      <c r="AK134" t="s">
        <v>432</v>
      </c>
      <c r="AM134" t="s">
        <v>647</v>
      </c>
      <c r="AN134" t="s">
        <v>651</v>
      </c>
      <c r="AO134" t="s">
        <v>292</v>
      </c>
      <c r="AP134" t="s">
        <v>434</v>
      </c>
      <c r="AQ134" t="s">
        <v>318</v>
      </c>
      <c r="AR134" t="s">
        <v>292</v>
      </c>
      <c r="AS134" t="s">
        <v>292</v>
      </c>
      <c r="AT134" t="s">
        <v>348</v>
      </c>
      <c r="AU134" t="s">
        <v>292</v>
      </c>
      <c r="AV134" t="s">
        <v>435</v>
      </c>
      <c r="AY134" t="s">
        <v>648</v>
      </c>
      <c r="AZ134" t="s">
        <v>652</v>
      </c>
      <c r="BA134" t="s">
        <v>286</v>
      </c>
      <c r="BB134" t="s">
        <v>359</v>
      </c>
      <c r="BC134" t="s">
        <v>292</v>
      </c>
      <c r="BD134" t="s">
        <v>292</v>
      </c>
      <c r="BE134" t="s">
        <v>292</v>
      </c>
      <c r="BF134" t="s">
        <v>292</v>
      </c>
      <c r="BG134" t="s">
        <v>359</v>
      </c>
      <c r="BH134">
        <v>5</v>
      </c>
      <c r="CK134" t="s">
        <v>560</v>
      </c>
      <c r="CL134" t="s">
        <v>561</v>
      </c>
      <c r="CM134" t="s">
        <v>9</v>
      </c>
      <c r="CN134" s="2">
        <v>43318</v>
      </c>
      <c r="CO134" t="s">
        <v>292</v>
      </c>
      <c r="CP134" t="s">
        <v>303</v>
      </c>
      <c r="CQ134" t="s">
        <v>303</v>
      </c>
      <c r="CR134" t="s">
        <v>304</v>
      </c>
      <c r="CS134" t="s">
        <v>292</v>
      </c>
      <c r="CT134">
        <v>10000</v>
      </c>
      <c r="CU134" t="b">
        <v>0</v>
      </c>
      <c r="CV134" t="s">
        <v>439</v>
      </c>
      <c r="CW134" t="s">
        <v>292</v>
      </c>
      <c r="CX134" t="s">
        <v>292</v>
      </c>
      <c r="CY134" t="b">
        <v>0</v>
      </c>
      <c r="CZ134" t="b">
        <v>0</v>
      </c>
      <c r="DC134" t="s">
        <v>292</v>
      </c>
      <c r="DJ134">
        <f>DataTable[HLD_MaturityDate] - DataTable[SEC_Issue_Date]</f>
        <v>184</v>
      </c>
    </row>
    <row r="135" spans="1:114" x14ac:dyDescent="0.2">
      <c r="A135" s="2">
        <v>43376</v>
      </c>
      <c r="B135" t="s">
        <v>46</v>
      </c>
      <c r="C135" t="s">
        <v>7</v>
      </c>
      <c r="D135" t="s">
        <v>424</v>
      </c>
      <c r="F135" t="s">
        <v>653</v>
      </c>
      <c r="H135" t="s">
        <v>654</v>
      </c>
      <c r="I135" t="s">
        <v>286</v>
      </c>
      <c r="J135" t="s">
        <v>655</v>
      </c>
      <c r="K135" t="s">
        <v>12</v>
      </c>
      <c r="N135" s="2">
        <v>43424</v>
      </c>
      <c r="O135">
        <v>48</v>
      </c>
      <c r="Q135">
        <v>1.7755890000000001</v>
      </c>
      <c r="T135">
        <v>299315652</v>
      </c>
      <c r="V135">
        <v>299325492</v>
      </c>
      <c r="W135">
        <v>0.12848100000000001</v>
      </c>
      <c r="X135">
        <v>300000000</v>
      </c>
      <c r="Z135">
        <v>298625505</v>
      </c>
      <c r="AA135">
        <v>1.75</v>
      </c>
      <c r="AB135">
        <v>1.3851594999999999E-3</v>
      </c>
      <c r="AC135" t="s">
        <v>653</v>
      </c>
      <c r="AE135" t="s">
        <v>656</v>
      </c>
      <c r="AF135" t="s">
        <v>657</v>
      </c>
      <c r="AG135" t="s">
        <v>658</v>
      </c>
      <c r="AH135" t="s">
        <v>330</v>
      </c>
      <c r="AI135" t="s">
        <v>654</v>
      </c>
      <c r="AJ135" t="s">
        <v>431</v>
      </c>
      <c r="AK135" t="s">
        <v>432</v>
      </c>
      <c r="AM135" t="s">
        <v>659</v>
      </c>
      <c r="AN135" t="s">
        <v>524</v>
      </c>
      <c r="AO135" t="s">
        <v>292</v>
      </c>
      <c r="AP135" t="s">
        <v>434</v>
      </c>
      <c r="AQ135" t="s">
        <v>318</v>
      </c>
      <c r="AR135" t="s">
        <v>292</v>
      </c>
      <c r="AS135" t="s">
        <v>292</v>
      </c>
      <c r="AT135" t="s">
        <v>348</v>
      </c>
      <c r="AU135" t="s">
        <v>292</v>
      </c>
      <c r="AV135" t="s">
        <v>435</v>
      </c>
      <c r="AY135" t="s">
        <v>656</v>
      </c>
      <c r="AZ135" t="s">
        <v>660</v>
      </c>
      <c r="BA135" t="s">
        <v>286</v>
      </c>
      <c r="BB135" t="s">
        <v>12</v>
      </c>
      <c r="BC135" t="s">
        <v>292</v>
      </c>
      <c r="BD135" t="s">
        <v>292</v>
      </c>
      <c r="BE135" t="s">
        <v>292</v>
      </c>
      <c r="BF135" t="s">
        <v>292</v>
      </c>
      <c r="BG135" t="s">
        <v>12</v>
      </c>
      <c r="BH135">
        <v>6</v>
      </c>
      <c r="BI135" t="s">
        <v>300</v>
      </c>
      <c r="BJ135" t="s">
        <v>300</v>
      </c>
      <c r="CK135" t="s">
        <v>560</v>
      </c>
      <c r="CL135" t="s">
        <v>561</v>
      </c>
      <c r="CM135" t="s">
        <v>9</v>
      </c>
      <c r="CN135" s="2">
        <v>43328</v>
      </c>
      <c r="CO135" t="s">
        <v>292</v>
      </c>
      <c r="CP135" t="s">
        <v>303</v>
      </c>
      <c r="CQ135" t="s">
        <v>303</v>
      </c>
      <c r="CR135" t="s">
        <v>304</v>
      </c>
      <c r="CS135" t="s">
        <v>292</v>
      </c>
      <c r="CT135">
        <v>6000</v>
      </c>
      <c r="CU135" t="b">
        <v>0</v>
      </c>
      <c r="CV135" t="s">
        <v>439</v>
      </c>
      <c r="CW135" t="s">
        <v>292</v>
      </c>
      <c r="CX135" t="s">
        <v>292</v>
      </c>
      <c r="CY135" t="b">
        <v>0</v>
      </c>
      <c r="CZ135" t="b">
        <v>0</v>
      </c>
      <c r="DC135" t="s">
        <v>292</v>
      </c>
      <c r="DJ135">
        <f>DataTable[HLD_MaturityDate] - DataTable[SEC_Issue_Date]</f>
        <v>96</v>
      </c>
    </row>
    <row r="136" spans="1:114" x14ac:dyDescent="0.2">
      <c r="A136" s="2">
        <v>43376</v>
      </c>
      <c r="B136" t="s">
        <v>46</v>
      </c>
      <c r="C136" t="s">
        <v>7</v>
      </c>
      <c r="D136" t="s">
        <v>424</v>
      </c>
      <c r="F136" t="s">
        <v>661</v>
      </c>
      <c r="H136" t="s">
        <v>662</v>
      </c>
      <c r="I136" t="s">
        <v>286</v>
      </c>
      <c r="J136" t="s">
        <v>663</v>
      </c>
      <c r="K136" t="s">
        <v>359</v>
      </c>
      <c r="N136" s="2">
        <v>43447</v>
      </c>
      <c r="O136">
        <v>71</v>
      </c>
      <c r="Q136">
        <v>1.598085</v>
      </c>
      <c r="T136">
        <v>1993889080</v>
      </c>
      <c r="V136">
        <v>1993938980</v>
      </c>
      <c r="W136">
        <v>0.19118299999999999</v>
      </c>
      <c r="X136">
        <v>2000000000</v>
      </c>
      <c r="Z136">
        <v>1979371160</v>
      </c>
      <c r="AA136">
        <v>1.585</v>
      </c>
      <c r="AB136">
        <v>9.2272303999999996E-3</v>
      </c>
      <c r="AC136" t="s">
        <v>661</v>
      </c>
      <c r="AE136" t="s">
        <v>664</v>
      </c>
      <c r="AF136" t="s">
        <v>665</v>
      </c>
      <c r="AG136" t="s">
        <v>666</v>
      </c>
      <c r="AH136" t="s">
        <v>330</v>
      </c>
      <c r="AI136" t="s">
        <v>662</v>
      </c>
      <c r="AJ136" t="s">
        <v>431</v>
      </c>
      <c r="AK136" t="s">
        <v>432</v>
      </c>
      <c r="AM136" t="s">
        <v>446</v>
      </c>
      <c r="AN136" t="s">
        <v>447</v>
      </c>
      <c r="AO136" t="s">
        <v>292</v>
      </c>
      <c r="AP136" t="s">
        <v>434</v>
      </c>
      <c r="AQ136" t="s">
        <v>318</v>
      </c>
      <c r="AR136" t="s">
        <v>292</v>
      </c>
      <c r="AS136" t="s">
        <v>292</v>
      </c>
      <c r="AT136" t="s">
        <v>348</v>
      </c>
      <c r="AU136" t="s">
        <v>292</v>
      </c>
      <c r="AV136" t="s">
        <v>435</v>
      </c>
      <c r="AY136" t="s">
        <v>667</v>
      </c>
      <c r="AZ136" t="s">
        <v>668</v>
      </c>
      <c r="BA136" t="s">
        <v>286</v>
      </c>
      <c r="BB136" t="s">
        <v>359</v>
      </c>
      <c r="BC136" t="s">
        <v>292</v>
      </c>
      <c r="BD136" t="s">
        <v>292</v>
      </c>
      <c r="BE136" t="s">
        <v>292</v>
      </c>
      <c r="BF136" t="s">
        <v>292</v>
      </c>
      <c r="BG136" t="s">
        <v>359</v>
      </c>
      <c r="BH136">
        <v>5</v>
      </c>
      <c r="BI136" t="s">
        <v>300</v>
      </c>
      <c r="BJ136" t="s">
        <v>300</v>
      </c>
      <c r="CK136" t="s">
        <v>560</v>
      </c>
      <c r="CL136" t="s">
        <v>561</v>
      </c>
      <c r="CM136" t="s">
        <v>9</v>
      </c>
      <c r="CN136" s="2">
        <v>43207</v>
      </c>
      <c r="CO136" t="s">
        <v>292</v>
      </c>
      <c r="CP136" t="s">
        <v>303</v>
      </c>
      <c r="CQ136" t="s">
        <v>303</v>
      </c>
      <c r="CR136" t="s">
        <v>304</v>
      </c>
      <c r="CS136" t="s">
        <v>292</v>
      </c>
      <c r="CT136">
        <v>31000</v>
      </c>
      <c r="CU136" t="b">
        <v>0</v>
      </c>
      <c r="CV136" t="s">
        <v>439</v>
      </c>
      <c r="CW136" t="s">
        <v>292</v>
      </c>
      <c r="CX136" t="s">
        <v>292</v>
      </c>
      <c r="CY136" t="b">
        <v>0</v>
      </c>
      <c r="CZ136" t="b">
        <v>0</v>
      </c>
      <c r="DC136" t="s">
        <v>292</v>
      </c>
      <c r="DJ136">
        <f>DataTable[HLD_MaturityDate] - DataTable[SEC_Issue_Date]</f>
        <v>240</v>
      </c>
    </row>
    <row r="137" spans="1:114" x14ac:dyDescent="0.2">
      <c r="A137" s="2">
        <v>43376</v>
      </c>
      <c r="B137" t="s">
        <v>46</v>
      </c>
      <c r="C137" t="s">
        <v>7</v>
      </c>
      <c r="D137" t="s">
        <v>424</v>
      </c>
      <c r="F137" t="s">
        <v>669</v>
      </c>
      <c r="H137" t="s">
        <v>662</v>
      </c>
      <c r="I137" t="s">
        <v>286</v>
      </c>
      <c r="J137" t="s">
        <v>663</v>
      </c>
      <c r="K137" t="s">
        <v>359</v>
      </c>
      <c r="N137" s="2">
        <v>43494</v>
      </c>
      <c r="O137">
        <v>118</v>
      </c>
      <c r="Q137">
        <v>1.7504690000000001</v>
      </c>
      <c r="T137">
        <v>397768088</v>
      </c>
      <c r="V137">
        <v>397641928</v>
      </c>
      <c r="W137">
        <v>0.31875900000000001</v>
      </c>
      <c r="X137">
        <v>400000000</v>
      </c>
      <c r="Z137">
        <v>397301616</v>
      </c>
      <c r="AA137">
        <v>1.85</v>
      </c>
      <c r="AB137">
        <v>1.8407733000000001E-3</v>
      </c>
      <c r="AC137" t="s">
        <v>669</v>
      </c>
      <c r="AE137" t="s">
        <v>664</v>
      </c>
      <c r="AF137" t="s">
        <v>670</v>
      </c>
      <c r="AG137" t="s">
        <v>671</v>
      </c>
      <c r="AH137" t="s">
        <v>330</v>
      </c>
      <c r="AI137" t="s">
        <v>662</v>
      </c>
      <c r="AJ137" t="s">
        <v>431</v>
      </c>
      <c r="AK137" t="s">
        <v>432</v>
      </c>
      <c r="AM137" t="s">
        <v>672</v>
      </c>
      <c r="AN137" t="s">
        <v>447</v>
      </c>
      <c r="AO137" t="s">
        <v>292</v>
      </c>
      <c r="AP137" t="s">
        <v>434</v>
      </c>
      <c r="AQ137" t="s">
        <v>318</v>
      </c>
      <c r="AR137" t="s">
        <v>292</v>
      </c>
      <c r="AS137" t="s">
        <v>292</v>
      </c>
      <c r="AT137" t="s">
        <v>348</v>
      </c>
      <c r="AU137" t="s">
        <v>292</v>
      </c>
      <c r="AV137" t="s">
        <v>435</v>
      </c>
      <c r="AY137" t="s">
        <v>667</v>
      </c>
      <c r="AZ137" t="s">
        <v>668</v>
      </c>
      <c r="BA137" t="s">
        <v>286</v>
      </c>
      <c r="BB137" t="s">
        <v>359</v>
      </c>
      <c r="BC137" t="s">
        <v>292</v>
      </c>
      <c r="BD137" t="s">
        <v>292</v>
      </c>
      <c r="BE137" t="s">
        <v>292</v>
      </c>
      <c r="BF137" t="s">
        <v>292</v>
      </c>
      <c r="BG137" t="s">
        <v>359</v>
      </c>
      <c r="BH137">
        <v>5</v>
      </c>
      <c r="BI137" t="s">
        <v>300</v>
      </c>
      <c r="BJ137" t="s">
        <v>300</v>
      </c>
      <c r="CK137" t="s">
        <v>560</v>
      </c>
      <c r="CL137" t="s">
        <v>561</v>
      </c>
      <c r="CM137" t="s">
        <v>9</v>
      </c>
      <c r="CN137" s="2">
        <v>43360</v>
      </c>
      <c r="CO137" t="s">
        <v>292</v>
      </c>
      <c r="CP137" t="s">
        <v>303</v>
      </c>
      <c r="CQ137" t="s">
        <v>303</v>
      </c>
      <c r="CR137" t="s">
        <v>304</v>
      </c>
      <c r="CS137" t="s">
        <v>292</v>
      </c>
      <c r="CT137">
        <v>31000</v>
      </c>
      <c r="CU137" t="b">
        <v>0</v>
      </c>
      <c r="CV137" t="s">
        <v>439</v>
      </c>
      <c r="CW137" t="s">
        <v>292</v>
      </c>
      <c r="CX137" t="s">
        <v>292</v>
      </c>
      <c r="CY137" t="b">
        <v>0</v>
      </c>
      <c r="CZ137" t="b">
        <v>0</v>
      </c>
      <c r="DC137" t="s">
        <v>292</v>
      </c>
      <c r="DJ137">
        <f>DataTable[HLD_MaturityDate] - DataTable[SEC_Issue_Date]</f>
        <v>134</v>
      </c>
    </row>
    <row r="138" spans="1:114" x14ac:dyDescent="0.2">
      <c r="A138" s="2">
        <v>43376</v>
      </c>
      <c r="B138" t="s">
        <v>46</v>
      </c>
      <c r="C138" t="s">
        <v>7</v>
      </c>
      <c r="D138" t="s">
        <v>424</v>
      </c>
      <c r="F138" t="s">
        <v>673</v>
      </c>
      <c r="H138" t="s">
        <v>674</v>
      </c>
      <c r="I138" t="s">
        <v>415</v>
      </c>
      <c r="J138" t="s">
        <v>442</v>
      </c>
      <c r="K138" t="s">
        <v>359</v>
      </c>
      <c r="N138" s="2">
        <v>43440</v>
      </c>
      <c r="O138">
        <v>64</v>
      </c>
      <c r="Q138">
        <v>1.5607260000000001</v>
      </c>
      <c r="T138">
        <v>1396238732</v>
      </c>
      <c r="V138">
        <v>1396024196</v>
      </c>
      <c r="W138">
        <v>0.17213800000000001</v>
      </c>
      <c r="X138">
        <v>1400000000</v>
      </c>
      <c r="Z138">
        <v>1383365508</v>
      </c>
      <c r="AA138">
        <v>1.65</v>
      </c>
      <c r="AB138">
        <v>6.4614509000000004E-3</v>
      </c>
      <c r="AC138" t="s">
        <v>673</v>
      </c>
      <c r="AE138" t="s">
        <v>675</v>
      </c>
      <c r="AF138" t="s">
        <v>676</v>
      </c>
      <c r="AG138" t="s">
        <v>677</v>
      </c>
      <c r="AH138" t="s">
        <v>330</v>
      </c>
      <c r="AI138" t="s">
        <v>674</v>
      </c>
      <c r="AJ138" t="s">
        <v>431</v>
      </c>
      <c r="AK138" t="s">
        <v>432</v>
      </c>
      <c r="AM138" t="s">
        <v>446</v>
      </c>
      <c r="AN138" t="s">
        <v>447</v>
      </c>
      <c r="AO138" t="s">
        <v>292</v>
      </c>
      <c r="AP138" t="s">
        <v>434</v>
      </c>
      <c r="AQ138" t="s">
        <v>318</v>
      </c>
      <c r="AR138" t="s">
        <v>292</v>
      </c>
      <c r="AS138" t="s">
        <v>292</v>
      </c>
      <c r="AT138" t="s">
        <v>348</v>
      </c>
      <c r="AU138" t="s">
        <v>292</v>
      </c>
      <c r="AV138" t="s">
        <v>435</v>
      </c>
      <c r="AY138" t="s">
        <v>675</v>
      </c>
      <c r="AZ138" t="s">
        <v>678</v>
      </c>
      <c r="BA138" t="s">
        <v>415</v>
      </c>
      <c r="BB138" t="s">
        <v>359</v>
      </c>
      <c r="BC138" t="s">
        <v>292</v>
      </c>
      <c r="BD138" t="s">
        <v>292</v>
      </c>
      <c r="BE138" t="s">
        <v>292</v>
      </c>
      <c r="BF138" t="s">
        <v>292</v>
      </c>
      <c r="BG138" t="s">
        <v>359</v>
      </c>
      <c r="BH138">
        <v>5</v>
      </c>
      <c r="BI138" t="s">
        <v>300</v>
      </c>
      <c r="BJ138" t="s">
        <v>300</v>
      </c>
      <c r="CK138" t="s">
        <v>560</v>
      </c>
      <c r="CL138" t="s">
        <v>561</v>
      </c>
      <c r="CM138" t="s">
        <v>9</v>
      </c>
      <c r="CN138" s="2">
        <v>43174</v>
      </c>
      <c r="CO138" t="s">
        <v>292</v>
      </c>
      <c r="CP138" t="s">
        <v>303</v>
      </c>
      <c r="CQ138" t="s">
        <v>303</v>
      </c>
      <c r="CR138" t="s">
        <v>304</v>
      </c>
      <c r="CS138" t="s">
        <v>292</v>
      </c>
      <c r="CT138">
        <v>9000</v>
      </c>
      <c r="CU138" t="b">
        <v>0</v>
      </c>
      <c r="CV138" t="s">
        <v>439</v>
      </c>
      <c r="CW138" t="s">
        <v>292</v>
      </c>
      <c r="CX138" t="s">
        <v>292</v>
      </c>
      <c r="CY138" t="b">
        <v>0</v>
      </c>
      <c r="CZ138" t="b">
        <v>0</v>
      </c>
      <c r="DC138" t="s">
        <v>292</v>
      </c>
      <c r="DJ138">
        <f>DataTable[HLD_MaturityDate] - DataTable[SEC_Issue_Date]</f>
        <v>266</v>
      </c>
    </row>
    <row r="139" spans="1:114" x14ac:dyDescent="0.2">
      <c r="A139" s="2">
        <v>43376</v>
      </c>
      <c r="B139" t="s">
        <v>46</v>
      </c>
      <c r="C139" t="s">
        <v>7</v>
      </c>
      <c r="D139" t="s">
        <v>424</v>
      </c>
      <c r="F139" t="s">
        <v>679</v>
      </c>
      <c r="H139" t="s">
        <v>674</v>
      </c>
      <c r="I139" t="s">
        <v>415</v>
      </c>
      <c r="J139" t="s">
        <v>442</v>
      </c>
      <c r="K139" t="s">
        <v>359</v>
      </c>
      <c r="N139" s="2">
        <v>43550</v>
      </c>
      <c r="O139">
        <v>174</v>
      </c>
      <c r="Q139">
        <v>1.8464320000000001</v>
      </c>
      <c r="T139">
        <v>991324340</v>
      </c>
      <c r="V139">
        <v>991773710</v>
      </c>
      <c r="W139">
        <v>0.46986099999999997</v>
      </c>
      <c r="X139">
        <v>1000000000</v>
      </c>
      <c r="Z139">
        <v>989374390</v>
      </c>
      <c r="AA139">
        <v>1.75</v>
      </c>
      <c r="AB139">
        <v>4.5876062999999998E-3</v>
      </c>
      <c r="AC139" t="s">
        <v>679</v>
      </c>
      <c r="AE139" t="s">
        <v>675</v>
      </c>
      <c r="AF139" t="s">
        <v>680</v>
      </c>
      <c r="AG139" t="s">
        <v>681</v>
      </c>
      <c r="AH139" t="s">
        <v>330</v>
      </c>
      <c r="AI139" t="s">
        <v>674</v>
      </c>
      <c r="AJ139" t="s">
        <v>431</v>
      </c>
      <c r="AK139" t="s">
        <v>432</v>
      </c>
      <c r="AM139" t="s">
        <v>446</v>
      </c>
      <c r="AN139" t="s">
        <v>447</v>
      </c>
      <c r="AO139" t="s">
        <v>292</v>
      </c>
      <c r="AP139" t="s">
        <v>434</v>
      </c>
      <c r="AQ139" t="s">
        <v>318</v>
      </c>
      <c r="AR139" t="s">
        <v>292</v>
      </c>
      <c r="AS139" t="s">
        <v>292</v>
      </c>
      <c r="AT139" t="s">
        <v>348</v>
      </c>
      <c r="AU139" t="s">
        <v>292</v>
      </c>
      <c r="AV139" t="s">
        <v>435</v>
      </c>
      <c r="AY139" t="s">
        <v>675</v>
      </c>
      <c r="AZ139" t="s">
        <v>678</v>
      </c>
      <c r="BA139" t="s">
        <v>415</v>
      </c>
      <c r="BB139" t="s">
        <v>359</v>
      </c>
      <c r="BC139" t="s">
        <v>292</v>
      </c>
      <c r="BD139" t="s">
        <v>292</v>
      </c>
      <c r="BE139" t="s">
        <v>292</v>
      </c>
      <c r="BF139" t="s">
        <v>292</v>
      </c>
      <c r="BG139" t="s">
        <v>359</v>
      </c>
      <c r="BH139">
        <v>5</v>
      </c>
      <c r="BI139" t="s">
        <v>300</v>
      </c>
      <c r="BJ139" t="s">
        <v>300</v>
      </c>
      <c r="CK139" t="s">
        <v>560</v>
      </c>
      <c r="CL139" t="s">
        <v>561</v>
      </c>
      <c r="CM139" t="s">
        <v>9</v>
      </c>
      <c r="CN139" s="2">
        <v>43326</v>
      </c>
      <c r="CO139" t="s">
        <v>292</v>
      </c>
      <c r="CP139" t="s">
        <v>303</v>
      </c>
      <c r="CQ139" t="s">
        <v>303</v>
      </c>
      <c r="CR139" t="s">
        <v>304</v>
      </c>
      <c r="CS139" t="s">
        <v>292</v>
      </c>
      <c r="CT139">
        <v>9000</v>
      </c>
      <c r="CU139" t="b">
        <v>0</v>
      </c>
      <c r="CV139" t="s">
        <v>439</v>
      </c>
      <c r="CW139" t="s">
        <v>292</v>
      </c>
      <c r="CX139" t="s">
        <v>292</v>
      </c>
      <c r="CY139" t="b">
        <v>0</v>
      </c>
      <c r="CZ139" t="b">
        <v>0</v>
      </c>
      <c r="DC139" t="s">
        <v>292</v>
      </c>
      <c r="DJ139">
        <f>DataTable[HLD_MaturityDate] - DataTable[SEC_Issue_Date]</f>
        <v>224</v>
      </c>
    </row>
    <row r="140" spans="1:114" x14ac:dyDescent="0.2">
      <c r="A140" s="2">
        <v>43376</v>
      </c>
      <c r="B140" t="s">
        <v>46</v>
      </c>
      <c r="C140" t="s">
        <v>7</v>
      </c>
      <c r="D140" t="s">
        <v>424</v>
      </c>
      <c r="F140" t="s">
        <v>682</v>
      </c>
      <c r="H140" t="s">
        <v>683</v>
      </c>
      <c r="I140" t="s">
        <v>286</v>
      </c>
      <c r="J140" t="s">
        <v>455</v>
      </c>
      <c r="K140" t="s">
        <v>684</v>
      </c>
      <c r="N140" s="2">
        <v>43417</v>
      </c>
      <c r="O140">
        <v>41</v>
      </c>
      <c r="Q140">
        <v>1.6</v>
      </c>
      <c r="T140">
        <v>1497374460</v>
      </c>
      <c r="V140">
        <v>1497374460</v>
      </c>
      <c r="W140">
        <v>0.109403</v>
      </c>
      <c r="X140">
        <v>1500000000</v>
      </c>
      <c r="Z140">
        <v>1494235935</v>
      </c>
      <c r="AA140">
        <v>1.6</v>
      </c>
      <c r="AB140">
        <v>6.9294823000000004E-3</v>
      </c>
      <c r="AC140" t="s">
        <v>682</v>
      </c>
      <c r="AE140" t="s">
        <v>685</v>
      </c>
      <c r="AF140" t="s">
        <v>686</v>
      </c>
      <c r="AG140" t="s">
        <v>687</v>
      </c>
      <c r="AH140" t="s">
        <v>330</v>
      </c>
      <c r="AI140" t="s">
        <v>683</v>
      </c>
      <c r="AJ140" t="s">
        <v>431</v>
      </c>
      <c r="AK140" t="s">
        <v>432</v>
      </c>
      <c r="AM140" t="s">
        <v>455</v>
      </c>
      <c r="AN140" t="s">
        <v>688</v>
      </c>
      <c r="AO140" t="s">
        <v>292</v>
      </c>
      <c r="AP140" t="s">
        <v>434</v>
      </c>
      <c r="AQ140" t="s">
        <v>318</v>
      </c>
      <c r="AR140" t="s">
        <v>292</v>
      </c>
      <c r="AS140" t="s">
        <v>292</v>
      </c>
      <c r="AT140" t="s">
        <v>348</v>
      </c>
      <c r="AU140" t="s">
        <v>292</v>
      </c>
      <c r="AV140" t="s">
        <v>435</v>
      </c>
      <c r="AY140" t="s">
        <v>685</v>
      </c>
      <c r="AZ140" t="s">
        <v>689</v>
      </c>
      <c r="BA140" t="s">
        <v>286</v>
      </c>
      <c r="BB140" t="s">
        <v>684</v>
      </c>
      <c r="BC140" t="s">
        <v>292</v>
      </c>
      <c r="BD140" t="s">
        <v>292</v>
      </c>
      <c r="BE140" t="s">
        <v>292</v>
      </c>
      <c r="BF140" t="s">
        <v>292</v>
      </c>
      <c r="BG140" t="s">
        <v>684</v>
      </c>
      <c r="BH140">
        <v>3</v>
      </c>
      <c r="CK140" t="s">
        <v>560</v>
      </c>
      <c r="CL140" t="s">
        <v>561</v>
      </c>
      <c r="CM140" t="s">
        <v>9</v>
      </c>
      <c r="CN140" s="2">
        <v>43329</v>
      </c>
      <c r="CO140" t="s">
        <v>292</v>
      </c>
      <c r="CP140" t="s">
        <v>303</v>
      </c>
      <c r="CQ140" t="s">
        <v>303</v>
      </c>
      <c r="CR140" t="s">
        <v>304</v>
      </c>
      <c r="CS140" t="s">
        <v>292</v>
      </c>
      <c r="CT140">
        <v>5000</v>
      </c>
      <c r="CU140" t="b">
        <v>0</v>
      </c>
      <c r="CV140" t="s">
        <v>439</v>
      </c>
      <c r="CW140" t="s">
        <v>292</v>
      </c>
      <c r="CX140" t="s">
        <v>292</v>
      </c>
      <c r="CY140" t="b">
        <v>0</v>
      </c>
      <c r="CZ140" t="b">
        <v>0</v>
      </c>
      <c r="DC140" t="s">
        <v>292</v>
      </c>
      <c r="DJ140">
        <f>DataTable[HLD_MaturityDate] - DataTable[SEC_Issue_Date]</f>
        <v>88</v>
      </c>
    </row>
    <row r="141" spans="1:114" x14ac:dyDescent="0.2">
      <c r="A141" s="2">
        <v>43376</v>
      </c>
      <c r="B141" t="s">
        <v>46</v>
      </c>
      <c r="C141" t="s">
        <v>7</v>
      </c>
      <c r="D141" t="s">
        <v>424</v>
      </c>
      <c r="F141" t="s">
        <v>440</v>
      </c>
      <c r="H141" t="s">
        <v>441</v>
      </c>
      <c r="I141" t="s">
        <v>415</v>
      </c>
      <c r="J141" t="s">
        <v>442</v>
      </c>
      <c r="K141" t="s">
        <v>359</v>
      </c>
      <c r="N141" s="2">
        <v>43382</v>
      </c>
      <c r="O141">
        <v>6</v>
      </c>
      <c r="Q141">
        <v>1.58</v>
      </c>
      <c r="T141">
        <v>1199740332</v>
      </c>
      <c r="V141">
        <v>1199740332</v>
      </c>
      <c r="W141">
        <v>1.3696E-2</v>
      </c>
      <c r="X141">
        <v>1200000000</v>
      </c>
      <c r="Z141">
        <v>1196788020</v>
      </c>
      <c r="AA141">
        <v>1.58</v>
      </c>
      <c r="AB141">
        <v>5.5521045000000002E-3</v>
      </c>
      <c r="AC141" t="s">
        <v>440</v>
      </c>
      <c r="AE141" t="s">
        <v>443</v>
      </c>
      <c r="AF141" t="s">
        <v>444</v>
      </c>
      <c r="AG141" t="s">
        <v>445</v>
      </c>
      <c r="AH141" t="s">
        <v>330</v>
      </c>
      <c r="AI141" t="s">
        <v>441</v>
      </c>
      <c r="AJ141" t="s">
        <v>431</v>
      </c>
      <c r="AK141" t="s">
        <v>432</v>
      </c>
      <c r="AM141" t="s">
        <v>446</v>
      </c>
      <c r="AN141" t="s">
        <v>447</v>
      </c>
      <c r="AO141" t="s">
        <v>292</v>
      </c>
      <c r="AP141" t="s">
        <v>434</v>
      </c>
      <c r="AQ141" t="s">
        <v>318</v>
      </c>
      <c r="AR141" t="s">
        <v>292</v>
      </c>
      <c r="AS141" t="s">
        <v>292</v>
      </c>
      <c r="AT141" t="s">
        <v>348</v>
      </c>
      <c r="AU141" t="s">
        <v>292</v>
      </c>
      <c r="AV141" t="s">
        <v>435</v>
      </c>
      <c r="AY141" t="s">
        <v>448</v>
      </c>
      <c r="AZ141" t="s">
        <v>449</v>
      </c>
      <c r="BA141" t="s">
        <v>415</v>
      </c>
      <c r="BB141" t="s">
        <v>359</v>
      </c>
      <c r="BC141" t="s">
        <v>292</v>
      </c>
      <c r="BD141" t="s">
        <v>292</v>
      </c>
      <c r="BE141" t="s">
        <v>292</v>
      </c>
      <c r="BF141" t="s">
        <v>292</v>
      </c>
      <c r="BG141" t="s">
        <v>359</v>
      </c>
      <c r="BH141">
        <v>5</v>
      </c>
      <c r="CK141" t="s">
        <v>560</v>
      </c>
      <c r="CL141" t="s">
        <v>561</v>
      </c>
      <c r="CM141" t="s">
        <v>9</v>
      </c>
      <c r="CN141" s="2">
        <v>43320</v>
      </c>
      <c r="CO141" t="s">
        <v>292</v>
      </c>
      <c r="CP141" t="s">
        <v>303</v>
      </c>
      <c r="CQ141" t="s">
        <v>303</v>
      </c>
      <c r="CR141" t="s">
        <v>304</v>
      </c>
      <c r="CS141" t="s">
        <v>292</v>
      </c>
      <c r="CT141">
        <v>17000</v>
      </c>
      <c r="CU141" t="b">
        <v>0</v>
      </c>
      <c r="CV141" t="s">
        <v>439</v>
      </c>
      <c r="CW141" t="s">
        <v>292</v>
      </c>
      <c r="CX141" t="s">
        <v>292</v>
      </c>
      <c r="CY141" t="b">
        <v>0</v>
      </c>
      <c r="CZ141" t="b">
        <v>0</v>
      </c>
      <c r="DC141" t="s">
        <v>292</v>
      </c>
      <c r="DJ141">
        <f>DataTable[HLD_MaturityDate] - DataTable[SEC_Issue_Date]</f>
        <v>62</v>
      </c>
    </row>
    <row r="142" spans="1:114" x14ac:dyDescent="0.2">
      <c r="A142" s="2">
        <v>43376</v>
      </c>
      <c r="B142" t="s">
        <v>46</v>
      </c>
      <c r="C142" t="s">
        <v>7</v>
      </c>
      <c r="D142" t="s">
        <v>424</v>
      </c>
      <c r="F142" t="s">
        <v>690</v>
      </c>
      <c r="H142" t="s">
        <v>691</v>
      </c>
      <c r="I142" t="s">
        <v>286</v>
      </c>
      <c r="J142" t="s">
        <v>455</v>
      </c>
      <c r="K142" t="s">
        <v>298</v>
      </c>
      <c r="N142" s="2">
        <v>43397</v>
      </c>
      <c r="O142">
        <v>21</v>
      </c>
      <c r="Q142">
        <v>1.868609</v>
      </c>
      <c r="T142">
        <v>99897715</v>
      </c>
      <c r="V142">
        <v>99885064</v>
      </c>
      <c r="W142">
        <v>5.4739000000000003E-2</v>
      </c>
      <c r="X142">
        <v>100000000</v>
      </c>
      <c r="Z142">
        <v>98929931</v>
      </c>
      <c r="AA142">
        <v>2.1</v>
      </c>
      <c r="AB142">
        <v>4.6230220000000001E-4</v>
      </c>
      <c r="AC142" t="s">
        <v>690</v>
      </c>
      <c r="AE142" t="s">
        <v>692</v>
      </c>
      <c r="AF142" t="s">
        <v>693</v>
      </c>
      <c r="AG142" t="s">
        <v>694</v>
      </c>
      <c r="AH142" t="s">
        <v>330</v>
      </c>
      <c r="AI142" t="s">
        <v>691</v>
      </c>
      <c r="AJ142" t="s">
        <v>431</v>
      </c>
      <c r="AK142" t="s">
        <v>432</v>
      </c>
      <c r="AM142" t="s">
        <v>455</v>
      </c>
      <c r="AN142" t="s">
        <v>688</v>
      </c>
      <c r="AO142" t="s">
        <v>292</v>
      </c>
      <c r="AP142" t="s">
        <v>434</v>
      </c>
      <c r="AQ142" t="s">
        <v>318</v>
      </c>
      <c r="AR142" t="s">
        <v>292</v>
      </c>
      <c r="AS142" t="s">
        <v>292</v>
      </c>
      <c r="AT142" t="s">
        <v>348</v>
      </c>
      <c r="AU142" t="s">
        <v>292</v>
      </c>
      <c r="AV142" t="s">
        <v>435</v>
      </c>
      <c r="AY142" t="s">
        <v>692</v>
      </c>
      <c r="AZ142" t="s">
        <v>695</v>
      </c>
      <c r="BA142" t="s">
        <v>286</v>
      </c>
      <c r="BB142" t="s">
        <v>298</v>
      </c>
      <c r="BC142" t="s">
        <v>292</v>
      </c>
      <c r="BD142" t="s">
        <v>292</v>
      </c>
      <c r="BE142" t="s">
        <v>292</v>
      </c>
      <c r="BF142" t="s">
        <v>292</v>
      </c>
      <c r="BG142" t="s">
        <v>298</v>
      </c>
      <c r="BH142">
        <v>8</v>
      </c>
      <c r="CK142" t="s">
        <v>560</v>
      </c>
      <c r="CL142" t="s">
        <v>561</v>
      </c>
      <c r="CM142" t="s">
        <v>9</v>
      </c>
      <c r="CN142" s="2">
        <v>43209</v>
      </c>
      <c r="CO142" t="s">
        <v>292</v>
      </c>
      <c r="CP142" t="s">
        <v>303</v>
      </c>
      <c r="CQ142" t="s">
        <v>303</v>
      </c>
      <c r="CR142" t="s">
        <v>304</v>
      </c>
      <c r="CS142" t="s">
        <v>292</v>
      </c>
      <c r="CT142">
        <v>5000</v>
      </c>
      <c r="CU142" t="b">
        <v>0</v>
      </c>
      <c r="CV142" t="s">
        <v>439</v>
      </c>
      <c r="CW142" t="s">
        <v>292</v>
      </c>
      <c r="CX142" t="s">
        <v>292</v>
      </c>
      <c r="CY142" t="b">
        <v>0</v>
      </c>
      <c r="CZ142" t="b">
        <v>0</v>
      </c>
      <c r="DC142" t="s">
        <v>292</v>
      </c>
      <c r="DJ142">
        <f>DataTable[HLD_MaturityDate] - DataTable[SEC_Issue_Date]</f>
        <v>188</v>
      </c>
    </row>
    <row r="143" spans="1:114" x14ac:dyDescent="0.2">
      <c r="A143" s="2">
        <v>43376</v>
      </c>
      <c r="B143" t="s">
        <v>46</v>
      </c>
      <c r="C143" t="s">
        <v>7</v>
      </c>
      <c r="D143" t="s">
        <v>424</v>
      </c>
      <c r="F143" t="s">
        <v>696</v>
      </c>
      <c r="H143" t="s">
        <v>454</v>
      </c>
      <c r="I143" t="s">
        <v>286</v>
      </c>
      <c r="J143" t="s">
        <v>455</v>
      </c>
      <c r="K143" t="s">
        <v>12</v>
      </c>
      <c r="N143" s="2">
        <v>43496</v>
      </c>
      <c r="O143">
        <v>120</v>
      </c>
      <c r="Q143">
        <v>1.5489010000000001</v>
      </c>
      <c r="T143">
        <v>696482871.80999994</v>
      </c>
      <c r="V143">
        <v>696423910.91999996</v>
      </c>
      <c r="W143">
        <v>0.32438899999999998</v>
      </c>
      <c r="X143">
        <v>700000000</v>
      </c>
      <c r="Z143">
        <v>691967955</v>
      </c>
      <c r="AA143">
        <v>1.575</v>
      </c>
      <c r="AB143">
        <v>3.2231522E-3</v>
      </c>
      <c r="AC143" t="s">
        <v>696</v>
      </c>
      <c r="AE143" t="s">
        <v>456</v>
      </c>
      <c r="AF143" t="s">
        <v>697</v>
      </c>
      <c r="AG143" t="s">
        <v>698</v>
      </c>
      <c r="AH143" t="s">
        <v>330</v>
      </c>
      <c r="AI143" t="s">
        <v>454</v>
      </c>
      <c r="AJ143" t="s">
        <v>699</v>
      </c>
      <c r="AK143" t="s">
        <v>432</v>
      </c>
      <c r="AM143" t="s">
        <v>427</v>
      </c>
      <c r="AN143" t="s">
        <v>433</v>
      </c>
      <c r="AO143" t="s">
        <v>292</v>
      </c>
      <c r="AP143" t="s">
        <v>434</v>
      </c>
      <c r="AQ143" t="s">
        <v>318</v>
      </c>
      <c r="AR143" t="s">
        <v>292</v>
      </c>
      <c r="AS143" t="s">
        <v>292</v>
      </c>
      <c r="AT143" t="s">
        <v>348</v>
      </c>
      <c r="AU143" t="s">
        <v>292</v>
      </c>
      <c r="AV143" t="s">
        <v>435</v>
      </c>
      <c r="AY143" t="s">
        <v>459</v>
      </c>
      <c r="AZ143" t="s">
        <v>460</v>
      </c>
      <c r="BA143" t="s">
        <v>286</v>
      </c>
      <c r="BB143" t="s">
        <v>12</v>
      </c>
      <c r="BC143" t="s">
        <v>292</v>
      </c>
      <c r="BD143" t="s">
        <v>292</v>
      </c>
      <c r="BE143" t="s">
        <v>292</v>
      </c>
      <c r="BF143" t="s">
        <v>292</v>
      </c>
      <c r="BG143" t="s">
        <v>12</v>
      </c>
      <c r="BH143">
        <v>6</v>
      </c>
      <c r="CK143" t="s">
        <v>560</v>
      </c>
      <c r="CL143" t="s">
        <v>561</v>
      </c>
      <c r="CM143" t="s">
        <v>9</v>
      </c>
      <c r="CN143" s="2">
        <v>43227</v>
      </c>
      <c r="CO143" t="s">
        <v>292</v>
      </c>
      <c r="CP143" t="s">
        <v>303</v>
      </c>
      <c r="CQ143" t="s">
        <v>303</v>
      </c>
      <c r="CR143" t="s">
        <v>304</v>
      </c>
      <c r="CS143" t="s">
        <v>292</v>
      </c>
      <c r="CT143">
        <v>7000</v>
      </c>
      <c r="CU143" t="b">
        <v>0</v>
      </c>
      <c r="CV143" t="s">
        <v>439</v>
      </c>
      <c r="CW143" t="s">
        <v>292</v>
      </c>
      <c r="CX143" t="s">
        <v>292</v>
      </c>
      <c r="CY143" t="b">
        <v>0</v>
      </c>
      <c r="CZ143" t="b">
        <v>0</v>
      </c>
      <c r="DC143" t="s">
        <v>292</v>
      </c>
      <c r="DJ143">
        <f>DataTable[HLD_MaturityDate] - DataTable[SEC_Issue_Date]</f>
        <v>269</v>
      </c>
    </row>
    <row r="144" spans="1:114" x14ac:dyDescent="0.2">
      <c r="A144" s="2">
        <v>43376</v>
      </c>
      <c r="B144" t="s">
        <v>46</v>
      </c>
      <c r="C144" t="s">
        <v>7</v>
      </c>
      <c r="D144" t="s">
        <v>424</v>
      </c>
      <c r="F144" t="s">
        <v>453</v>
      </c>
      <c r="H144" t="s">
        <v>454</v>
      </c>
      <c r="I144" t="s">
        <v>286</v>
      </c>
      <c r="J144" t="s">
        <v>455</v>
      </c>
      <c r="K144" t="s">
        <v>12</v>
      </c>
      <c r="N144" s="2">
        <v>43514</v>
      </c>
      <c r="O144">
        <v>138</v>
      </c>
      <c r="Q144">
        <v>1.5995360000000001</v>
      </c>
      <c r="T144">
        <v>844927276.5</v>
      </c>
      <c r="V144">
        <v>844673696</v>
      </c>
      <c r="W144">
        <v>0.37310199999999999</v>
      </c>
      <c r="X144">
        <v>850000000</v>
      </c>
      <c r="Z144">
        <v>839566377.5</v>
      </c>
      <c r="AA144">
        <v>1.68</v>
      </c>
      <c r="AB144">
        <v>3.9101164999999997E-3</v>
      </c>
      <c r="AC144" t="s">
        <v>453</v>
      </c>
      <c r="AE144" t="s">
        <v>456</v>
      </c>
      <c r="AF144" t="s">
        <v>457</v>
      </c>
      <c r="AG144" t="s">
        <v>458</v>
      </c>
      <c r="AH144" t="s">
        <v>330</v>
      </c>
      <c r="AI144" t="s">
        <v>454</v>
      </c>
      <c r="AJ144" t="s">
        <v>431</v>
      </c>
      <c r="AK144" t="s">
        <v>432</v>
      </c>
      <c r="AM144" t="s">
        <v>427</v>
      </c>
      <c r="AN144" t="s">
        <v>433</v>
      </c>
      <c r="AO144" t="s">
        <v>292</v>
      </c>
      <c r="AP144" t="s">
        <v>434</v>
      </c>
      <c r="AQ144" t="s">
        <v>318</v>
      </c>
      <c r="AR144" t="s">
        <v>292</v>
      </c>
      <c r="AS144" t="s">
        <v>292</v>
      </c>
      <c r="AT144" t="s">
        <v>348</v>
      </c>
      <c r="AU144" t="s">
        <v>292</v>
      </c>
      <c r="AV144" t="s">
        <v>435</v>
      </c>
      <c r="AY144" t="s">
        <v>459</v>
      </c>
      <c r="AZ144" t="s">
        <v>460</v>
      </c>
      <c r="BA144" t="s">
        <v>286</v>
      </c>
      <c r="BB144" t="s">
        <v>12</v>
      </c>
      <c r="BC144" t="s">
        <v>292</v>
      </c>
      <c r="BD144" t="s">
        <v>292</v>
      </c>
      <c r="BE144" t="s">
        <v>292</v>
      </c>
      <c r="BF144" t="s">
        <v>292</v>
      </c>
      <c r="BG144" t="s">
        <v>12</v>
      </c>
      <c r="BH144">
        <v>6</v>
      </c>
      <c r="CK144" t="s">
        <v>560</v>
      </c>
      <c r="CL144" t="s">
        <v>561</v>
      </c>
      <c r="CM144" t="s">
        <v>9</v>
      </c>
      <c r="CN144" s="2">
        <v>43244</v>
      </c>
      <c r="CO144" t="s">
        <v>292</v>
      </c>
      <c r="CP144" t="s">
        <v>303</v>
      </c>
      <c r="CQ144" t="s">
        <v>303</v>
      </c>
      <c r="CR144" t="s">
        <v>304</v>
      </c>
      <c r="CS144" t="s">
        <v>292</v>
      </c>
      <c r="CT144">
        <v>7000</v>
      </c>
      <c r="CU144" t="b">
        <v>0</v>
      </c>
      <c r="CV144" t="s">
        <v>439</v>
      </c>
      <c r="CW144" t="s">
        <v>292</v>
      </c>
      <c r="CX144" t="s">
        <v>292</v>
      </c>
      <c r="CY144" t="b">
        <v>0</v>
      </c>
      <c r="CZ144" t="b">
        <v>0</v>
      </c>
      <c r="DC144" t="s">
        <v>292</v>
      </c>
      <c r="DJ144">
        <f>DataTable[HLD_MaturityDate] - DataTable[SEC_Issue_Date]</f>
        <v>270</v>
      </c>
    </row>
    <row r="145" spans="1:114" x14ac:dyDescent="0.2">
      <c r="A145" s="2">
        <v>43376</v>
      </c>
      <c r="B145" t="s">
        <v>46</v>
      </c>
      <c r="C145" t="s">
        <v>7</v>
      </c>
      <c r="D145" t="s">
        <v>424</v>
      </c>
      <c r="F145" t="s">
        <v>700</v>
      </c>
      <c r="H145" t="s">
        <v>701</v>
      </c>
      <c r="I145" t="s">
        <v>286</v>
      </c>
      <c r="J145" t="s">
        <v>427</v>
      </c>
      <c r="K145" t="s">
        <v>541</v>
      </c>
      <c r="N145" s="2">
        <v>43381</v>
      </c>
      <c r="O145">
        <v>5</v>
      </c>
      <c r="P145">
        <v>1.58</v>
      </c>
      <c r="Q145">
        <v>1.58</v>
      </c>
      <c r="R145">
        <v>1000000</v>
      </c>
      <c r="S145">
        <v>999.99956999999995</v>
      </c>
      <c r="T145">
        <v>999999570</v>
      </c>
      <c r="U145">
        <v>2467400</v>
      </c>
      <c r="V145">
        <v>1000000000</v>
      </c>
      <c r="W145">
        <v>1.0957E-2</v>
      </c>
      <c r="X145">
        <v>1000000000</v>
      </c>
      <c r="Z145">
        <v>1000000000</v>
      </c>
      <c r="AA145">
        <v>1.58</v>
      </c>
      <c r="AB145">
        <v>4.6391716000000003E-3</v>
      </c>
      <c r="AC145" t="s">
        <v>700</v>
      </c>
      <c r="AE145" t="s">
        <v>702</v>
      </c>
      <c r="AF145" t="s">
        <v>703</v>
      </c>
      <c r="AG145" t="s">
        <v>704</v>
      </c>
      <c r="AH145" t="s">
        <v>330</v>
      </c>
      <c r="AI145" t="s">
        <v>701</v>
      </c>
      <c r="AJ145" t="s">
        <v>705</v>
      </c>
      <c r="AK145" t="s">
        <v>432</v>
      </c>
      <c r="AM145" t="s">
        <v>427</v>
      </c>
      <c r="AN145" t="s">
        <v>433</v>
      </c>
      <c r="AO145" t="s">
        <v>292</v>
      </c>
      <c r="AP145" t="s">
        <v>434</v>
      </c>
      <c r="AQ145" t="s">
        <v>318</v>
      </c>
      <c r="AR145" t="s">
        <v>292</v>
      </c>
      <c r="AS145" t="s">
        <v>292</v>
      </c>
      <c r="AT145" t="s">
        <v>348</v>
      </c>
      <c r="AU145" t="s">
        <v>292</v>
      </c>
      <c r="AV145" t="s">
        <v>37</v>
      </c>
      <c r="AY145" t="s">
        <v>406</v>
      </c>
      <c r="AZ145" t="s">
        <v>706</v>
      </c>
      <c r="BA145" t="s">
        <v>286</v>
      </c>
      <c r="BB145" t="s">
        <v>541</v>
      </c>
      <c r="BC145" t="s">
        <v>292</v>
      </c>
      <c r="BD145" t="s">
        <v>438</v>
      </c>
      <c r="BE145" t="s">
        <v>292</v>
      </c>
      <c r="BF145" t="s">
        <v>292</v>
      </c>
      <c r="BG145" t="s">
        <v>541</v>
      </c>
      <c r="BH145">
        <v>7</v>
      </c>
      <c r="BI145" t="s">
        <v>300</v>
      </c>
      <c r="BJ145" t="s">
        <v>300</v>
      </c>
      <c r="CK145" t="s">
        <v>560</v>
      </c>
      <c r="CL145" t="s">
        <v>561</v>
      </c>
      <c r="CM145" t="s">
        <v>9</v>
      </c>
      <c r="CN145" s="2">
        <v>43320</v>
      </c>
      <c r="CO145" t="s">
        <v>292</v>
      </c>
      <c r="CP145" t="s">
        <v>303</v>
      </c>
      <c r="CQ145" t="s">
        <v>303</v>
      </c>
      <c r="CR145" t="s">
        <v>304</v>
      </c>
      <c r="CS145" t="s">
        <v>292</v>
      </c>
      <c r="CT145">
        <v>2000</v>
      </c>
      <c r="CU145" t="b">
        <v>0</v>
      </c>
      <c r="CV145" t="s">
        <v>439</v>
      </c>
      <c r="CW145" t="s">
        <v>292</v>
      </c>
      <c r="CX145" t="s">
        <v>292</v>
      </c>
      <c r="CY145" t="b">
        <v>0</v>
      </c>
      <c r="CZ145" t="b">
        <v>0</v>
      </c>
      <c r="DC145" t="s">
        <v>292</v>
      </c>
      <c r="DJ145">
        <f>DataTable[HLD_MaturityDate] - DataTable[SEC_Issue_Date]</f>
        <v>61</v>
      </c>
    </row>
    <row r="146" spans="1:114" x14ac:dyDescent="0.2">
      <c r="A146" s="2">
        <v>43376</v>
      </c>
      <c r="B146" t="s">
        <v>46</v>
      </c>
      <c r="C146" t="s">
        <v>7</v>
      </c>
      <c r="D146" t="s">
        <v>15</v>
      </c>
      <c r="F146" t="s">
        <v>49</v>
      </c>
      <c r="H146" t="s">
        <v>462</v>
      </c>
      <c r="I146" t="s">
        <v>293</v>
      </c>
      <c r="J146" t="s">
        <v>462</v>
      </c>
      <c r="K146" t="s">
        <v>298</v>
      </c>
      <c r="N146" s="2">
        <v>43418</v>
      </c>
      <c r="O146">
        <v>42</v>
      </c>
      <c r="Q146">
        <v>1.231587</v>
      </c>
      <c r="T146">
        <v>787909980.72000003</v>
      </c>
      <c r="V146">
        <v>787882484.07000005</v>
      </c>
      <c r="W146">
        <v>0.112179</v>
      </c>
      <c r="X146">
        <v>789000000</v>
      </c>
      <c r="Z146">
        <v>786038997.53999996</v>
      </c>
      <c r="AA146">
        <v>1.2626999999999999</v>
      </c>
      <c r="AB146">
        <v>3.6462544E-3</v>
      </c>
      <c r="AC146" t="s">
        <v>49</v>
      </c>
      <c r="AE146" t="s">
        <v>15</v>
      </c>
      <c r="AF146" t="s">
        <v>707</v>
      </c>
      <c r="AG146" t="s">
        <v>707</v>
      </c>
      <c r="AH146" t="s">
        <v>330</v>
      </c>
      <c r="AI146" t="s">
        <v>462</v>
      </c>
      <c r="AJ146" t="s">
        <v>464</v>
      </c>
      <c r="AK146" t="s">
        <v>15</v>
      </c>
      <c r="AM146" t="s">
        <v>405</v>
      </c>
      <c r="AN146" t="s">
        <v>292</v>
      </c>
      <c r="AO146" t="s">
        <v>292</v>
      </c>
      <c r="AP146" t="s">
        <v>434</v>
      </c>
      <c r="AQ146" t="s">
        <v>318</v>
      </c>
      <c r="AR146" t="s">
        <v>292</v>
      </c>
      <c r="AS146" t="s">
        <v>292</v>
      </c>
      <c r="AT146" t="s">
        <v>334</v>
      </c>
      <c r="AU146" t="s">
        <v>292</v>
      </c>
      <c r="AV146" t="s">
        <v>435</v>
      </c>
      <c r="AY146" t="s">
        <v>465</v>
      </c>
      <c r="AZ146" t="s">
        <v>466</v>
      </c>
      <c r="BA146" t="s">
        <v>293</v>
      </c>
      <c r="BB146" t="s">
        <v>292</v>
      </c>
      <c r="BC146" t="s">
        <v>298</v>
      </c>
      <c r="BD146" t="s">
        <v>292</v>
      </c>
      <c r="BE146" t="s">
        <v>298</v>
      </c>
      <c r="BF146" t="s">
        <v>299</v>
      </c>
      <c r="BG146" t="s">
        <v>298</v>
      </c>
      <c r="BH146">
        <v>8</v>
      </c>
      <c r="BI146" t="s">
        <v>300</v>
      </c>
      <c r="BJ146" t="s">
        <v>300</v>
      </c>
      <c r="CK146" t="s">
        <v>560</v>
      </c>
      <c r="CL146" t="s">
        <v>561</v>
      </c>
      <c r="CM146" t="s">
        <v>9</v>
      </c>
      <c r="CN146" s="2">
        <v>43054</v>
      </c>
      <c r="CO146" t="s">
        <v>292</v>
      </c>
      <c r="CP146" t="s">
        <v>303</v>
      </c>
      <c r="CQ146" t="s">
        <v>303</v>
      </c>
      <c r="CR146" t="s">
        <v>304</v>
      </c>
      <c r="CS146" t="s">
        <v>292</v>
      </c>
      <c r="CT146">
        <v>0</v>
      </c>
      <c r="CU146" t="b">
        <v>0</v>
      </c>
      <c r="CV146" t="s">
        <v>439</v>
      </c>
      <c r="CW146" t="s">
        <v>292</v>
      </c>
      <c r="CX146" t="s">
        <v>292</v>
      </c>
      <c r="CY146" t="b">
        <v>0</v>
      </c>
      <c r="CZ146" t="b">
        <v>0</v>
      </c>
      <c r="DC146" t="s">
        <v>708</v>
      </c>
      <c r="DJ146">
        <f>DataTable[HLD_MaturityDate] - DataTable[SEC_Issue_Date]</f>
        <v>364</v>
      </c>
    </row>
    <row r="147" spans="1:114" x14ac:dyDescent="0.2">
      <c r="A147" s="2">
        <v>43376</v>
      </c>
      <c r="B147" t="s">
        <v>46</v>
      </c>
      <c r="C147" t="s">
        <v>7</v>
      </c>
      <c r="D147" t="s">
        <v>15</v>
      </c>
      <c r="F147" t="s">
        <v>461</v>
      </c>
      <c r="H147" t="s">
        <v>462</v>
      </c>
      <c r="I147" t="s">
        <v>293</v>
      </c>
      <c r="J147" t="s">
        <v>462</v>
      </c>
      <c r="K147" t="s">
        <v>298</v>
      </c>
      <c r="N147" s="2">
        <v>43558</v>
      </c>
      <c r="O147">
        <v>182</v>
      </c>
      <c r="Q147">
        <v>1.5805450000000001</v>
      </c>
      <c r="T147">
        <v>1180745584.2</v>
      </c>
      <c r="V147">
        <v>1182307352.0999999</v>
      </c>
      <c r="W147">
        <v>0.49203400000000003</v>
      </c>
      <c r="X147">
        <v>1190000000</v>
      </c>
      <c r="Z147">
        <v>1174650707.47</v>
      </c>
      <c r="AA147">
        <v>1.312079</v>
      </c>
      <c r="AB147">
        <v>5.4642014000000003E-3</v>
      </c>
      <c r="AC147" t="s">
        <v>461</v>
      </c>
      <c r="AE147" t="s">
        <v>15</v>
      </c>
      <c r="AF147" t="s">
        <v>463</v>
      </c>
      <c r="AG147" t="s">
        <v>463</v>
      </c>
      <c r="AH147" t="s">
        <v>330</v>
      </c>
      <c r="AI147" t="s">
        <v>462</v>
      </c>
      <c r="AJ147" t="s">
        <v>464</v>
      </c>
      <c r="AK147" t="s">
        <v>15</v>
      </c>
      <c r="AM147" t="s">
        <v>405</v>
      </c>
      <c r="AN147" t="s">
        <v>292</v>
      </c>
      <c r="AO147" t="s">
        <v>292</v>
      </c>
      <c r="AP147" t="s">
        <v>434</v>
      </c>
      <c r="AQ147" t="s">
        <v>318</v>
      </c>
      <c r="AR147" t="s">
        <v>292</v>
      </c>
      <c r="AS147" t="s">
        <v>292</v>
      </c>
      <c r="AT147" t="s">
        <v>334</v>
      </c>
      <c r="AU147" t="s">
        <v>292</v>
      </c>
      <c r="AV147" t="s">
        <v>435</v>
      </c>
      <c r="AY147" t="s">
        <v>465</v>
      </c>
      <c r="AZ147" t="s">
        <v>466</v>
      </c>
      <c r="BA147" t="s">
        <v>293</v>
      </c>
      <c r="BB147" t="s">
        <v>292</v>
      </c>
      <c r="BC147" t="s">
        <v>298</v>
      </c>
      <c r="BD147" t="s">
        <v>292</v>
      </c>
      <c r="BE147" t="s">
        <v>298</v>
      </c>
      <c r="BF147" t="s">
        <v>299</v>
      </c>
      <c r="BG147" t="s">
        <v>298</v>
      </c>
      <c r="BH147">
        <v>8</v>
      </c>
      <c r="BI147" t="s">
        <v>300</v>
      </c>
      <c r="BJ147" t="s">
        <v>300</v>
      </c>
      <c r="CK147" t="s">
        <v>560</v>
      </c>
      <c r="CL147" t="s">
        <v>561</v>
      </c>
      <c r="CM147" t="s">
        <v>9</v>
      </c>
      <c r="CN147" s="2">
        <v>43194</v>
      </c>
      <c r="CO147" t="s">
        <v>292</v>
      </c>
      <c r="CP147" t="s">
        <v>303</v>
      </c>
      <c r="CQ147" t="s">
        <v>303</v>
      </c>
      <c r="CR147" t="s">
        <v>304</v>
      </c>
      <c r="CS147" t="s">
        <v>292</v>
      </c>
      <c r="CT147">
        <v>0</v>
      </c>
      <c r="CU147" t="b">
        <v>0</v>
      </c>
      <c r="CV147" t="s">
        <v>439</v>
      </c>
      <c r="CW147" t="s">
        <v>292</v>
      </c>
      <c r="CX147" t="s">
        <v>292</v>
      </c>
      <c r="CY147" t="b">
        <v>0</v>
      </c>
      <c r="CZ147" t="b">
        <v>0</v>
      </c>
      <c r="DC147" t="s">
        <v>467</v>
      </c>
      <c r="DJ147">
        <f>DataTable[HLD_MaturityDate] - DataTable[SEC_Issue_Date]</f>
        <v>364</v>
      </c>
    </row>
    <row r="148" spans="1:114" x14ac:dyDescent="0.2">
      <c r="A148" s="2">
        <v>43376</v>
      </c>
      <c r="B148" t="s">
        <v>46</v>
      </c>
      <c r="C148" t="s">
        <v>7</v>
      </c>
      <c r="D148" t="s">
        <v>16</v>
      </c>
      <c r="F148" t="s">
        <v>17</v>
      </c>
      <c r="H148" t="s">
        <v>468</v>
      </c>
      <c r="J148" t="s">
        <v>462</v>
      </c>
      <c r="N148" s="2">
        <v>43440</v>
      </c>
      <c r="O148">
        <v>64</v>
      </c>
      <c r="Q148">
        <v>1.3</v>
      </c>
      <c r="T148">
        <v>6984328330</v>
      </c>
      <c r="V148">
        <v>6983815860</v>
      </c>
      <c r="W148">
        <v>0.17222399999999999</v>
      </c>
      <c r="X148">
        <v>7000000000</v>
      </c>
      <c r="Z148">
        <v>6976646860.5299997</v>
      </c>
      <c r="AA148">
        <v>1.3426100000000001</v>
      </c>
      <c r="AB148">
        <v>3.23217612E-2</v>
      </c>
      <c r="AC148" t="s">
        <v>17</v>
      </c>
      <c r="AE148" t="s">
        <v>469</v>
      </c>
      <c r="AF148" t="s">
        <v>470</v>
      </c>
      <c r="AG148" t="s">
        <v>470</v>
      </c>
      <c r="AH148" t="s">
        <v>330</v>
      </c>
      <c r="AI148" t="s">
        <v>468</v>
      </c>
      <c r="AJ148" t="s">
        <v>464</v>
      </c>
      <c r="AK148" t="s">
        <v>16</v>
      </c>
      <c r="AM148" t="s">
        <v>405</v>
      </c>
      <c r="AN148" t="s">
        <v>292</v>
      </c>
      <c r="AO148" t="s">
        <v>292</v>
      </c>
      <c r="AP148" t="s">
        <v>434</v>
      </c>
      <c r="AQ148" t="s">
        <v>318</v>
      </c>
      <c r="AR148" t="s">
        <v>292</v>
      </c>
      <c r="AS148" t="s">
        <v>292</v>
      </c>
      <c r="AT148" t="s">
        <v>334</v>
      </c>
      <c r="AU148" t="s">
        <v>292</v>
      </c>
      <c r="AV148" t="s">
        <v>435</v>
      </c>
      <c r="AY148" t="s">
        <v>471</v>
      </c>
      <c r="AZ148" t="s">
        <v>472</v>
      </c>
      <c r="BA148" t="s">
        <v>292</v>
      </c>
      <c r="BB148" t="s">
        <v>292</v>
      </c>
      <c r="BC148" t="s">
        <v>292</v>
      </c>
      <c r="BD148" t="s">
        <v>292</v>
      </c>
      <c r="BE148" t="s">
        <v>292</v>
      </c>
      <c r="BF148" t="s">
        <v>292</v>
      </c>
      <c r="CK148" t="s">
        <v>560</v>
      </c>
      <c r="CL148" t="s">
        <v>561</v>
      </c>
      <c r="CM148" t="s">
        <v>9</v>
      </c>
      <c r="CN148" s="2">
        <v>43349</v>
      </c>
      <c r="CO148" t="s">
        <v>292</v>
      </c>
      <c r="CP148" t="s">
        <v>303</v>
      </c>
      <c r="CQ148" t="s">
        <v>303</v>
      </c>
      <c r="CR148" t="s">
        <v>304</v>
      </c>
      <c r="CS148" t="s">
        <v>292</v>
      </c>
      <c r="CT148">
        <v>0</v>
      </c>
      <c r="CU148" t="b">
        <v>0</v>
      </c>
      <c r="CV148" t="s">
        <v>439</v>
      </c>
      <c r="CW148" t="s">
        <v>292</v>
      </c>
      <c r="CX148" t="s">
        <v>292</v>
      </c>
      <c r="CY148" t="b">
        <v>0</v>
      </c>
      <c r="CZ148" t="b">
        <v>0</v>
      </c>
      <c r="DC148" t="s">
        <v>473</v>
      </c>
      <c r="DJ148">
        <f>DataTable[HLD_MaturityDate] - DataTable[SEC_Issue_Date]</f>
        <v>91</v>
      </c>
    </row>
    <row r="149" spans="1:114" x14ac:dyDescent="0.2">
      <c r="A149" s="2">
        <v>43376</v>
      </c>
      <c r="B149" t="s">
        <v>46</v>
      </c>
      <c r="C149" t="s">
        <v>7</v>
      </c>
      <c r="D149" t="s">
        <v>16</v>
      </c>
      <c r="F149" t="s">
        <v>709</v>
      </c>
      <c r="H149" t="s">
        <v>468</v>
      </c>
      <c r="J149" t="s">
        <v>462</v>
      </c>
      <c r="N149" s="2">
        <v>43447</v>
      </c>
      <c r="O149">
        <v>71</v>
      </c>
      <c r="Q149">
        <v>1.261633</v>
      </c>
      <c r="T149">
        <v>549670034.76999998</v>
      </c>
      <c r="V149">
        <v>549670034.76999998</v>
      </c>
      <c r="W149">
        <v>0.19128600000000001</v>
      </c>
      <c r="X149">
        <v>551000000</v>
      </c>
      <c r="Z149">
        <v>549553219.5</v>
      </c>
      <c r="AA149">
        <v>1.261633</v>
      </c>
      <c r="AB149">
        <v>2.5437382999999999E-3</v>
      </c>
      <c r="AC149" t="s">
        <v>709</v>
      </c>
      <c r="AE149" t="s">
        <v>469</v>
      </c>
      <c r="AF149" t="s">
        <v>710</v>
      </c>
      <c r="AG149" t="s">
        <v>710</v>
      </c>
      <c r="AH149" t="s">
        <v>330</v>
      </c>
      <c r="AI149" t="s">
        <v>468</v>
      </c>
      <c r="AJ149" t="s">
        <v>464</v>
      </c>
      <c r="AK149" t="s">
        <v>16</v>
      </c>
      <c r="AM149" t="s">
        <v>405</v>
      </c>
      <c r="AN149" t="s">
        <v>292</v>
      </c>
      <c r="AO149" t="s">
        <v>292</v>
      </c>
      <c r="AP149" t="s">
        <v>434</v>
      </c>
      <c r="AQ149" t="s">
        <v>318</v>
      </c>
      <c r="AR149" t="s">
        <v>292</v>
      </c>
      <c r="AS149" t="s">
        <v>292</v>
      </c>
      <c r="AT149" t="s">
        <v>334</v>
      </c>
      <c r="AU149" t="s">
        <v>292</v>
      </c>
      <c r="AV149" t="s">
        <v>435</v>
      </c>
      <c r="AY149" t="s">
        <v>471</v>
      </c>
      <c r="AZ149" t="s">
        <v>472</v>
      </c>
      <c r="BA149" t="s">
        <v>292</v>
      </c>
      <c r="BB149" t="s">
        <v>292</v>
      </c>
      <c r="BC149" t="s">
        <v>292</v>
      </c>
      <c r="BD149" t="s">
        <v>292</v>
      </c>
      <c r="BE149" t="s">
        <v>292</v>
      </c>
      <c r="BF149" t="s">
        <v>292</v>
      </c>
      <c r="CK149" t="s">
        <v>560</v>
      </c>
      <c r="CL149" t="s">
        <v>561</v>
      </c>
      <c r="CM149" t="s">
        <v>9</v>
      </c>
      <c r="CN149" s="2">
        <v>43265</v>
      </c>
      <c r="CO149" t="s">
        <v>292</v>
      </c>
      <c r="CP149" t="s">
        <v>303</v>
      </c>
      <c r="CQ149" t="s">
        <v>303</v>
      </c>
      <c r="CR149" t="s">
        <v>304</v>
      </c>
      <c r="CS149" t="s">
        <v>292</v>
      </c>
      <c r="CT149">
        <v>0</v>
      </c>
      <c r="CU149" t="b">
        <v>0</v>
      </c>
      <c r="CV149" t="s">
        <v>439</v>
      </c>
      <c r="CW149" t="s">
        <v>292</v>
      </c>
      <c r="CX149" t="s">
        <v>292</v>
      </c>
      <c r="CY149" t="b">
        <v>0</v>
      </c>
      <c r="CZ149" t="b">
        <v>0</v>
      </c>
      <c r="DC149" t="s">
        <v>711</v>
      </c>
      <c r="DJ149">
        <f>DataTable[HLD_MaturityDate] - DataTable[SEC_Issue_Date]</f>
        <v>182</v>
      </c>
    </row>
    <row r="150" spans="1:114" x14ac:dyDescent="0.2">
      <c r="A150" s="2">
        <v>43376</v>
      </c>
      <c r="B150" t="s">
        <v>46</v>
      </c>
      <c r="C150" t="s">
        <v>7</v>
      </c>
      <c r="D150" t="s">
        <v>16</v>
      </c>
      <c r="F150" t="s">
        <v>18</v>
      </c>
      <c r="H150" t="s">
        <v>468</v>
      </c>
      <c r="J150" t="s">
        <v>462</v>
      </c>
      <c r="N150" s="2">
        <v>43447</v>
      </c>
      <c r="O150">
        <v>71</v>
      </c>
      <c r="Q150">
        <v>1.1536930000000001</v>
      </c>
      <c r="T150">
        <v>5125659147.8400002</v>
      </c>
      <c r="V150">
        <v>5125547931.79</v>
      </c>
      <c r="W150">
        <v>0.19130800000000001</v>
      </c>
      <c r="X150">
        <v>5137000000</v>
      </c>
      <c r="Z150">
        <v>5122151604.2799997</v>
      </c>
      <c r="AA150">
        <v>1.165035</v>
      </c>
      <c r="AB150">
        <v>2.3720295299999999E-2</v>
      </c>
      <c r="AC150" t="s">
        <v>18</v>
      </c>
      <c r="AE150" t="s">
        <v>469</v>
      </c>
      <c r="AF150" t="s">
        <v>474</v>
      </c>
      <c r="AG150" t="s">
        <v>474</v>
      </c>
      <c r="AH150" t="s">
        <v>330</v>
      </c>
      <c r="AI150" t="s">
        <v>468</v>
      </c>
      <c r="AJ150" t="s">
        <v>464</v>
      </c>
      <c r="AK150" t="s">
        <v>16</v>
      </c>
      <c r="AM150" t="s">
        <v>405</v>
      </c>
      <c r="AN150" t="s">
        <v>292</v>
      </c>
      <c r="AO150" t="s">
        <v>292</v>
      </c>
      <c r="AP150" t="s">
        <v>434</v>
      </c>
      <c r="AQ150" t="s">
        <v>318</v>
      </c>
      <c r="AR150" t="s">
        <v>292</v>
      </c>
      <c r="AS150" t="s">
        <v>292</v>
      </c>
      <c r="AT150" t="s">
        <v>334</v>
      </c>
      <c r="AU150" t="s">
        <v>292</v>
      </c>
      <c r="AV150" t="s">
        <v>435</v>
      </c>
      <c r="AY150" t="s">
        <v>471</v>
      </c>
      <c r="AZ150" t="s">
        <v>472</v>
      </c>
      <c r="BA150" t="s">
        <v>292</v>
      </c>
      <c r="BB150" t="s">
        <v>292</v>
      </c>
      <c r="BC150" t="s">
        <v>292</v>
      </c>
      <c r="BD150" t="s">
        <v>292</v>
      </c>
      <c r="BE150" t="s">
        <v>292</v>
      </c>
      <c r="BF150" t="s">
        <v>292</v>
      </c>
      <c r="CK150" t="s">
        <v>560</v>
      </c>
      <c r="CL150" t="s">
        <v>561</v>
      </c>
      <c r="CM150" t="s">
        <v>9</v>
      </c>
      <c r="CN150" s="2">
        <v>43356</v>
      </c>
      <c r="CO150" t="s">
        <v>292</v>
      </c>
      <c r="CP150" t="s">
        <v>303</v>
      </c>
      <c r="CQ150" t="s">
        <v>303</v>
      </c>
      <c r="CR150" t="s">
        <v>304</v>
      </c>
      <c r="CS150" t="s">
        <v>292</v>
      </c>
      <c r="CT150">
        <v>0</v>
      </c>
      <c r="CU150" t="b">
        <v>0</v>
      </c>
      <c r="CV150" t="s">
        <v>439</v>
      </c>
      <c r="CW150" t="s">
        <v>292</v>
      </c>
      <c r="CX150" t="s">
        <v>292</v>
      </c>
      <c r="CY150" t="b">
        <v>0</v>
      </c>
      <c r="CZ150" t="b">
        <v>0</v>
      </c>
      <c r="DC150" t="s">
        <v>475</v>
      </c>
      <c r="DJ150">
        <f>DataTable[HLD_MaturityDate] - DataTable[SEC_Issue_Date]</f>
        <v>91</v>
      </c>
    </row>
    <row r="151" spans="1:114" x14ac:dyDescent="0.2">
      <c r="A151" s="2">
        <v>43376</v>
      </c>
      <c r="B151" t="s">
        <v>46</v>
      </c>
      <c r="C151" t="s">
        <v>7</v>
      </c>
      <c r="D151" t="s">
        <v>16</v>
      </c>
      <c r="F151" t="s">
        <v>19</v>
      </c>
      <c r="H151" t="s">
        <v>468</v>
      </c>
      <c r="J151" t="s">
        <v>462</v>
      </c>
      <c r="N151" s="2">
        <v>43454</v>
      </c>
      <c r="O151">
        <v>78</v>
      </c>
      <c r="Q151">
        <v>1.2549999999999999</v>
      </c>
      <c r="T151">
        <v>4487120210.54</v>
      </c>
      <c r="V151">
        <v>4485969411.3299999</v>
      </c>
      <c r="W151">
        <v>0.21034700000000001</v>
      </c>
      <c r="X151">
        <v>4499000000</v>
      </c>
      <c r="Z151">
        <v>4483657709.3699999</v>
      </c>
      <c r="AA151">
        <v>1.376922</v>
      </c>
      <c r="AB151">
        <v>2.07652935E-2</v>
      </c>
      <c r="AC151" t="s">
        <v>19</v>
      </c>
      <c r="AE151" t="s">
        <v>469</v>
      </c>
      <c r="AF151" t="s">
        <v>476</v>
      </c>
      <c r="AG151" t="s">
        <v>476</v>
      </c>
      <c r="AH151" t="s">
        <v>330</v>
      </c>
      <c r="AI151" t="s">
        <v>468</v>
      </c>
      <c r="AJ151" t="s">
        <v>464</v>
      </c>
      <c r="AK151" t="s">
        <v>16</v>
      </c>
      <c r="AM151" t="s">
        <v>405</v>
      </c>
      <c r="AN151" t="s">
        <v>292</v>
      </c>
      <c r="AO151" t="s">
        <v>292</v>
      </c>
      <c r="AP151" t="s">
        <v>434</v>
      </c>
      <c r="AQ151" t="s">
        <v>318</v>
      </c>
      <c r="AR151" t="s">
        <v>292</v>
      </c>
      <c r="AS151" t="s">
        <v>292</v>
      </c>
      <c r="AT151" t="s">
        <v>334</v>
      </c>
      <c r="AU151" t="s">
        <v>292</v>
      </c>
      <c r="AV151" t="s">
        <v>435</v>
      </c>
      <c r="AY151" t="s">
        <v>471</v>
      </c>
      <c r="AZ151" t="s">
        <v>472</v>
      </c>
      <c r="BA151" t="s">
        <v>292</v>
      </c>
      <c r="BB151" t="s">
        <v>292</v>
      </c>
      <c r="BC151" t="s">
        <v>292</v>
      </c>
      <c r="BD151" t="s">
        <v>292</v>
      </c>
      <c r="BE151" t="s">
        <v>292</v>
      </c>
      <c r="BF151" t="s">
        <v>292</v>
      </c>
      <c r="CK151" t="s">
        <v>560</v>
      </c>
      <c r="CL151" t="s">
        <v>561</v>
      </c>
      <c r="CM151" t="s">
        <v>9</v>
      </c>
      <c r="CN151" s="2">
        <v>43363</v>
      </c>
      <c r="CO151" t="s">
        <v>292</v>
      </c>
      <c r="CP151" t="s">
        <v>303</v>
      </c>
      <c r="CQ151" t="s">
        <v>303</v>
      </c>
      <c r="CR151" t="s">
        <v>304</v>
      </c>
      <c r="CS151" t="s">
        <v>292</v>
      </c>
      <c r="CT151">
        <v>0</v>
      </c>
      <c r="CU151" t="b">
        <v>0</v>
      </c>
      <c r="CV151" t="s">
        <v>439</v>
      </c>
      <c r="CW151" t="s">
        <v>292</v>
      </c>
      <c r="CX151" t="s">
        <v>292</v>
      </c>
      <c r="CY151" t="b">
        <v>0</v>
      </c>
      <c r="CZ151" t="b">
        <v>0</v>
      </c>
      <c r="DC151" t="s">
        <v>477</v>
      </c>
      <c r="DJ151">
        <f>DataTable[HLD_MaturityDate] - DataTable[SEC_Issue_Date]</f>
        <v>91</v>
      </c>
    </row>
    <row r="152" spans="1:114" x14ac:dyDescent="0.2">
      <c r="A152" s="2">
        <v>43376</v>
      </c>
      <c r="B152" t="s">
        <v>46</v>
      </c>
      <c r="C152" t="s">
        <v>7</v>
      </c>
      <c r="D152" t="s">
        <v>16</v>
      </c>
      <c r="F152" t="s">
        <v>50</v>
      </c>
      <c r="H152" t="s">
        <v>468</v>
      </c>
      <c r="J152" t="s">
        <v>462</v>
      </c>
      <c r="N152" s="2">
        <v>43461</v>
      </c>
      <c r="O152">
        <v>85</v>
      </c>
      <c r="Q152">
        <v>1.38</v>
      </c>
      <c r="T152">
        <v>847309036</v>
      </c>
      <c r="V152">
        <v>847087500.5</v>
      </c>
      <c r="W152">
        <v>0.229406</v>
      </c>
      <c r="X152">
        <v>850000000</v>
      </c>
      <c r="Z152">
        <v>846845701</v>
      </c>
      <c r="AA152">
        <v>1.494</v>
      </c>
      <c r="AB152">
        <v>3.9211387E-3</v>
      </c>
      <c r="AC152" t="s">
        <v>50</v>
      </c>
      <c r="AE152" t="s">
        <v>469</v>
      </c>
      <c r="AF152" t="s">
        <v>712</v>
      </c>
      <c r="AG152" t="s">
        <v>712</v>
      </c>
      <c r="AH152" t="s">
        <v>330</v>
      </c>
      <c r="AI152" t="s">
        <v>468</v>
      </c>
      <c r="AJ152" t="s">
        <v>464</v>
      </c>
      <c r="AK152" t="s">
        <v>16</v>
      </c>
      <c r="AM152" t="s">
        <v>405</v>
      </c>
      <c r="AN152" t="s">
        <v>292</v>
      </c>
      <c r="AO152" t="s">
        <v>292</v>
      </c>
      <c r="AP152" t="s">
        <v>434</v>
      </c>
      <c r="AQ152" t="s">
        <v>318</v>
      </c>
      <c r="AR152" t="s">
        <v>292</v>
      </c>
      <c r="AS152" t="s">
        <v>292</v>
      </c>
      <c r="AT152" t="s">
        <v>334</v>
      </c>
      <c r="AU152" t="s">
        <v>292</v>
      </c>
      <c r="AV152" t="s">
        <v>435</v>
      </c>
      <c r="AY152" t="s">
        <v>471</v>
      </c>
      <c r="AZ152" t="s">
        <v>472</v>
      </c>
      <c r="BA152" t="s">
        <v>292</v>
      </c>
      <c r="BB152" t="s">
        <v>292</v>
      </c>
      <c r="BC152" t="s">
        <v>292</v>
      </c>
      <c r="BD152" t="s">
        <v>292</v>
      </c>
      <c r="BE152" t="s">
        <v>292</v>
      </c>
      <c r="BF152" t="s">
        <v>292</v>
      </c>
      <c r="CK152" t="s">
        <v>560</v>
      </c>
      <c r="CL152" t="s">
        <v>561</v>
      </c>
      <c r="CM152" t="s">
        <v>9</v>
      </c>
      <c r="CN152" s="2">
        <v>43370</v>
      </c>
      <c r="CO152" t="s">
        <v>292</v>
      </c>
      <c r="CP152" t="s">
        <v>303</v>
      </c>
      <c r="CQ152" t="s">
        <v>303</v>
      </c>
      <c r="CR152" t="s">
        <v>304</v>
      </c>
      <c r="CS152" t="s">
        <v>292</v>
      </c>
      <c r="CT152">
        <v>0</v>
      </c>
      <c r="CU152" t="b">
        <v>0</v>
      </c>
      <c r="CV152" t="s">
        <v>439</v>
      </c>
      <c r="CW152" t="s">
        <v>292</v>
      </c>
      <c r="CX152" t="s">
        <v>292</v>
      </c>
      <c r="CY152" t="b">
        <v>0</v>
      </c>
      <c r="CZ152" t="b">
        <v>0</v>
      </c>
      <c r="DC152" t="s">
        <v>713</v>
      </c>
      <c r="DJ152">
        <f>DataTable[HLD_MaturityDate] - DataTable[SEC_Issue_Date]</f>
        <v>91</v>
      </c>
    </row>
    <row r="153" spans="1:114" x14ac:dyDescent="0.2">
      <c r="A153" s="2">
        <v>43376</v>
      </c>
      <c r="B153" t="s">
        <v>46</v>
      </c>
      <c r="C153" t="s">
        <v>7</v>
      </c>
      <c r="D153" t="s">
        <v>16</v>
      </c>
      <c r="F153" t="s">
        <v>51</v>
      </c>
      <c r="H153" t="s">
        <v>468</v>
      </c>
      <c r="J153" t="s">
        <v>462</v>
      </c>
      <c r="N153" s="2">
        <v>43405</v>
      </c>
      <c r="O153">
        <v>29</v>
      </c>
      <c r="Q153">
        <v>1.140522</v>
      </c>
      <c r="T153">
        <v>621456272.48000002</v>
      </c>
      <c r="V153">
        <v>621456272.48000002</v>
      </c>
      <c r="W153">
        <v>7.6644000000000004E-2</v>
      </c>
      <c r="X153">
        <v>622000000</v>
      </c>
      <c r="Z153">
        <v>621051648.87</v>
      </c>
      <c r="AA153">
        <v>1.140523</v>
      </c>
      <c r="AB153">
        <v>2.8759473999999999E-3</v>
      </c>
      <c r="AC153" t="s">
        <v>51</v>
      </c>
      <c r="AE153" t="s">
        <v>469</v>
      </c>
      <c r="AF153" t="s">
        <v>714</v>
      </c>
      <c r="AG153" t="s">
        <v>714</v>
      </c>
      <c r="AH153" t="s">
        <v>330</v>
      </c>
      <c r="AI153" t="s">
        <v>468</v>
      </c>
      <c r="AJ153" t="s">
        <v>464</v>
      </c>
      <c r="AK153" t="s">
        <v>16</v>
      </c>
      <c r="AM153" t="s">
        <v>405</v>
      </c>
      <c r="AN153" t="s">
        <v>292</v>
      </c>
      <c r="AO153" t="s">
        <v>292</v>
      </c>
      <c r="AP153" t="s">
        <v>434</v>
      </c>
      <c r="AQ153" t="s">
        <v>318</v>
      </c>
      <c r="AR153" t="s">
        <v>292</v>
      </c>
      <c r="AS153" t="s">
        <v>292</v>
      </c>
      <c r="AT153" t="s">
        <v>334</v>
      </c>
      <c r="AU153" t="s">
        <v>292</v>
      </c>
      <c r="AV153" t="s">
        <v>435</v>
      </c>
      <c r="AY153" t="s">
        <v>471</v>
      </c>
      <c r="AZ153" t="s">
        <v>472</v>
      </c>
      <c r="BA153" t="s">
        <v>292</v>
      </c>
      <c r="BB153" t="s">
        <v>292</v>
      </c>
      <c r="BC153" t="s">
        <v>292</v>
      </c>
      <c r="BD153" t="s">
        <v>292</v>
      </c>
      <c r="BE153" t="s">
        <v>292</v>
      </c>
      <c r="BF153" t="s">
        <v>292</v>
      </c>
      <c r="CK153" t="s">
        <v>560</v>
      </c>
      <c r="CL153" t="s">
        <v>561</v>
      </c>
      <c r="CM153" t="s">
        <v>9</v>
      </c>
      <c r="CN153" s="2">
        <v>43223</v>
      </c>
      <c r="CO153" t="s">
        <v>292</v>
      </c>
      <c r="CP153" t="s">
        <v>303</v>
      </c>
      <c r="CQ153" t="s">
        <v>303</v>
      </c>
      <c r="CR153" t="s">
        <v>304</v>
      </c>
      <c r="CS153" t="s">
        <v>292</v>
      </c>
      <c r="CT153">
        <v>0</v>
      </c>
      <c r="CU153" t="b">
        <v>0</v>
      </c>
      <c r="CV153" t="s">
        <v>439</v>
      </c>
      <c r="CW153" t="s">
        <v>292</v>
      </c>
      <c r="CX153" t="s">
        <v>292</v>
      </c>
      <c r="CY153" t="b">
        <v>0</v>
      </c>
      <c r="CZ153" t="b">
        <v>0</v>
      </c>
      <c r="DC153" t="s">
        <v>715</v>
      </c>
      <c r="DJ153">
        <f>DataTable[HLD_MaturityDate] - DataTable[SEC_Issue_Date]</f>
        <v>182</v>
      </c>
    </row>
    <row r="154" spans="1:114" x14ac:dyDescent="0.2">
      <c r="A154" s="2">
        <v>43376</v>
      </c>
      <c r="B154" t="s">
        <v>46</v>
      </c>
      <c r="C154" t="s">
        <v>7</v>
      </c>
      <c r="D154" t="s">
        <v>16</v>
      </c>
      <c r="F154" t="s">
        <v>20</v>
      </c>
      <c r="H154" t="s">
        <v>468</v>
      </c>
      <c r="J154" t="s">
        <v>462</v>
      </c>
      <c r="N154" s="2">
        <v>43405</v>
      </c>
      <c r="O154">
        <v>29</v>
      </c>
      <c r="Q154">
        <v>1.2874129999999999</v>
      </c>
      <c r="T154">
        <v>3571472797.75</v>
      </c>
      <c r="V154">
        <v>3571451133.25</v>
      </c>
      <c r="W154">
        <v>7.6643000000000003E-2</v>
      </c>
      <c r="X154">
        <v>3575000000</v>
      </c>
      <c r="Z154">
        <v>3563632675.1599998</v>
      </c>
      <c r="AA154">
        <v>1.295328</v>
      </c>
      <c r="AB154">
        <v>1.6527901500000001E-2</v>
      </c>
      <c r="AC154" t="s">
        <v>20</v>
      </c>
      <c r="AE154" t="s">
        <v>469</v>
      </c>
      <c r="AF154" t="s">
        <v>478</v>
      </c>
      <c r="AG154" t="s">
        <v>478</v>
      </c>
      <c r="AH154" t="s">
        <v>330</v>
      </c>
      <c r="AI154" t="s">
        <v>468</v>
      </c>
      <c r="AJ154" t="s">
        <v>464</v>
      </c>
      <c r="AK154" t="s">
        <v>16</v>
      </c>
      <c r="AM154" t="s">
        <v>405</v>
      </c>
      <c r="AN154" t="s">
        <v>292</v>
      </c>
      <c r="AO154" t="s">
        <v>292</v>
      </c>
      <c r="AP154" t="s">
        <v>434</v>
      </c>
      <c r="AQ154" t="s">
        <v>318</v>
      </c>
      <c r="AR154" t="s">
        <v>292</v>
      </c>
      <c r="AS154" t="s">
        <v>292</v>
      </c>
      <c r="AT154" t="s">
        <v>334</v>
      </c>
      <c r="AU154" t="s">
        <v>292</v>
      </c>
      <c r="AV154" t="s">
        <v>435</v>
      </c>
      <c r="AY154" t="s">
        <v>471</v>
      </c>
      <c r="AZ154" t="s">
        <v>472</v>
      </c>
      <c r="BA154" t="s">
        <v>292</v>
      </c>
      <c r="BB154" t="s">
        <v>292</v>
      </c>
      <c r="BC154" t="s">
        <v>292</v>
      </c>
      <c r="BD154" t="s">
        <v>292</v>
      </c>
      <c r="BE154" t="s">
        <v>292</v>
      </c>
      <c r="BF154" t="s">
        <v>292</v>
      </c>
      <c r="CK154" t="s">
        <v>560</v>
      </c>
      <c r="CL154" t="s">
        <v>561</v>
      </c>
      <c r="CM154" t="s">
        <v>9</v>
      </c>
      <c r="CN154" s="2">
        <v>43314</v>
      </c>
      <c r="CO154" t="s">
        <v>292</v>
      </c>
      <c r="CP154" t="s">
        <v>303</v>
      </c>
      <c r="CQ154" t="s">
        <v>303</v>
      </c>
      <c r="CR154" t="s">
        <v>304</v>
      </c>
      <c r="CS154" t="s">
        <v>292</v>
      </c>
      <c r="CT154">
        <v>0</v>
      </c>
      <c r="CU154" t="b">
        <v>0</v>
      </c>
      <c r="CV154" t="s">
        <v>439</v>
      </c>
      <c r="CW154" t="s">
        <v>292</v>
      </c>
      <c r="CX154" t="s">
        <v>292</v>
      </c>
      <c r="CY154" t="b">
        <v>0</v>
      </c>
      <c r="CZ154" t="b">
        <v>0</v>
      </c>
      <c r="DC154" t="s">
        <v>479</v>
      </c>
      <c r="DJ154">
        <f>DataTable[HLD_MaturityDate] - DataTable[SEC_Issue_Date]</f>
        <v>91</v>
      </c>
    </row>
    <row r="155" spans="1:114" x14ac:dyDescent="0.2">
      <c r="A155" s="2">
        <v>43376</v>
      </c>
      <c r="B155" t="s">
        <v>46</v>
      </c>
      <c r="C155" t="s">
        <v>7</v>
      </c>
      <c r="D155" t="s">
        <v>16</v>
      </c>
      <c r="F155" t="s">
        <v>21</v>
      </c>
      <c r="H155" t="s">
        <v>468</v>
      </c>
      <c r="J155" t="s">
        <v>462</v>
      </c>
      <c r="N155" s="2">
        <v>43412</v>
      </c>
      <c r="O155">
        <v>36</v>
      </c>
      <c r="Q155">
        <v>1.2126969999999999</v>
      </c>
      <c r="T155">
        <v>698188104.50999999</v>
      </c>
      <c r="V155">
        <v>698188104.50999999</v>
      </c>
      <c r="W155">
        <v>9.5782000000000006E-2</v>
      </c>
      <c r="X155">
        <v>699000000</v>
      </c>
      <c r="Z155">
        <v>697692970.89999998</v>
      </c>
      <c r="AA155">
        <v>1.2126969999999999</v>
      </c>
      <c r="AB155">
        <v>3.2310436000000001E-3</v>
      </c>
      <c r="AC155" t="s">
        <v>21</v>
      </c>
      <c r="AE155" t="s">
        <v>469</v>
      </c>
      <c r="AF155" t="s">
        <v>480</v>
      </c>
      <c r="AG155" t="s">
        <v>480</v>
      </c>
      <c r="AH155" t="s">
        <v>330</v>
      </c>
      <c r="AI155" t="s">
        <v>468</v>
      </c>
      <c r="AJ155" t="s">
        <v>464</v>
      </c>
      <c r="AK155" t="s">
        <v>16</v>
      </c>
      <c r="AM155" t="s">
        <v>405</v>
      </c>
      <c r="AN155" t="s">
        <v>292</v>
      </c>
      <c r="AO155" t="s">
        <v>292</v>
      </c>
      <c r="AP155" t="s">
        <v>434</v>
      </c>
      <c r="AQ155" t="s">
        <v>318</v>
      </c>
      <c r="AR155" t="s">
        <v>292</v>
      </c>
      <c r="AS155" t="s">
        <v>292</v>
      </c>
      <c r="AT155" t="s">
        <v>334</v>
      </c>
      <c r="AU155" t="s">
        <v>292</v>
      </c>
      <c r="AV155" t="s">
        <v>435</v>
      </c>
      <c r="AY155" t="s">
        <v>471</v>
      </c>
      <c r="AZ155" t="s">
        <v>472</v>
      </c>
      <c r="BA155" t="s">
        <v>292</v>
      </c>
      <c r="BB155" t="s">
        <v>292</v>
      </c>
      <c r="BC155" t="s">
        <v>292</v>
      </c>
      <c r="BD155" t="s">
        <v>292</v>
      </c>
      <c r="BE155" t="s">
        <v>292</v>
      </c>
      <c r="BF155" t="s">
        <v>292</v>
      </c>
      <c r="CK155" t="s">
        <v>560</v>
      </c>
      <c r="CL155" t="s">
        <v>561</v>
      </c>
      <c r="CM155" t="s">
        <v>9</v>
      </c>
      <c r="CN155" s="2">
        <v>43230</v>
      </c>
      <c r="CO155" t="s">
        <v>292</v>
      </c>
      <c r="CP155" t="s">
        <v>303</v>
      </c>
      <c r="CQ155" t="s">
        <v>303</v>
      </c>
      <c r="CR155" t="s">
        <v>304</v>
      </c>
      <c r="CS155" t="s">
        <v>292</v>
      </c>
      <c r="CT155">
        <v>0</v>
      </c>
      <c r="CU155" t="b">
        <v>0</v>
      </c>
      <c r="CV155" t="s">
        <v>439</v>
      </c>
      <c r="CW155" t="s">
        <v>292</v>
      </c>
      <c r="CX155" t="s">
        <v>292</v>
      </c>
      <c r="CY155" t="b">
        <v>0</v>
      </c>
      <c r="CZ155" t="b">
        <v>0</v>
      </c>
      <c r="DC155" t="s">
        <v>481</v>
      </c>
      <c r="DJ155">
        <f>DataTable[HLD_MaturityDate] - DataTable[SEC_Issue_Date]</f>
        <v>182</v>
      </c>
    </row>
    <row r="156" spans="1:114" x14ac:dyDescent="0.2">
      <c r="A156" s="2">
        <v>43376</v>
      </c>
      <c r="B156" t="s">
        <v>46</v>
      </c>
      <c r="C156" t="s">
        <v>7</v>
      </c>
      <c r="D156" t="s">
        <v>16</v>
      </c>
      <c r="F156" t="s">
        <v>22</v>
      </c>
      <c r="H156" t="s">
        <v>468</v>
      </c>
      <c r="J156" t="s">
        <v>462</v>
      </c>
      <c r="N156" s="2">
        <v>43412</v>
      </c>
      <c r="O156">
        <v>36</v>
      </c>
      <c r="Q156">
        <v>1.2616039999999999</v>
      </c>
      <c r="T156">
        <v>5692113898.3000002</v>
      </c>
      <c r="V156">
        <v>5692080787.1099997</v>
      </c>
      <c r="W156">
        <v>9.5780000000000004E-2</v>
      </c>
      <c r="X156">
        <v>5699000000</v>
      </c>
      <c r="Z156">
        <v>5682815104.3900003</v>
      </c>
      <c r="AA156">
        <v>1.267687</v>
      </c>
      <c r="AB156">
        <v>2.6341709200000001E-2</v>
      </c>
      <c r="AC156" t="s">
        <v>22</v>
      </c>
      <c r="AE156" t="s">
        <v>469</v>
      </c>
      <c r="AF156" t="s">
        <v>482</v>
      </c>
      <c r="AG156" t="s">
        <v>482</v>
      </c>
      <c r="AH156" t="s">
        <v>330</v>
      </c>
      <c r="AI156" t="s">
        <v>468</v>
      </c>
      <c r="AJ156" t="s">
        <v>464</v>
      </c>
      <c r="AK156" t="s">
        <v>16</v>
      </c>
      <c r="AM156" t="s">
        <v>405</v>
      </c>
      <c r="AN156" t="s">
        <v>292</v>
      </c>
      <c r="AO156" t="s">
        <v>292</v>
      </c>
      <c r="AP156" t="s">
        <v>434</v>
      </c>
      <c r="AQ156" t="s">
        <v>318</v>
      </c>
      <c r="AR156" t="s">
        <v>292</v>
      </c>
      <c r="AS156" t="s">
        <v>292</v>
      </c>
      <c r="AT156" t="s">
        <v>334</v>
      </c>
      <c r="AU156" t="s">
        <v>292</v>
      </c>
      <c r="AV156" t="s">
        <v>435</v>
      </c>
      <c r="AY156" t="s">
        <v>471</v>
      </c>
      <c r="AZ156" t="s">
        <v>472</v>
      </c>
      <c r="BA156" t="s">
        <v>292</v>
      </c>
      <c r="BB156" t="s">
        <v>292</v>
      </c>
      <c r="BC156" t="s">
        <v>292</v>
      </c>
      <c r="BD156" t="s">
        <v>292</v>
      </c>
      <c r="BE156" t="s">
        <v>292</v>
      </c>
      <c r="BF156" t="s">
        <v>292</v>
      </c>
      <c r="CK156" t="s">
        <v>560</v>
      </c>
      <c r="CL156" t="s">
        <v>561</v>
      </c>
      <c r="CM156" t="s">
        <v>9</v>
      </c>
      <c r="CN156" s="2">
        <v>43321</v>
      </c>
      <c r="CO156" t="s">
        <v>292</v>
      </c>
      <c r="CP156" t="s">
        <v>303</v>
      </c>
      <c r="CQ156" t="s">
        <v>303</v>
      </c>
      <c r="CR156" t="s">
        <v>304</v>
      </c>
      <c r="CS156" t="s">
        <v>292</v>
      </c>
      <c r="CT156">
        <v>0</v>
      </c>
      <c r="CU156" t="b">
        <v>0</v>
      </c>
      <c r="CV156" t="s">
        <v>439</v>
      </c>
      <c r="CW156" t="s">
        <v>292</v>
      </c>
      <c r="CX156" t="s">
        <v>292</v>
      </c>
      <c r="CY156" t="b">
        <v>0</v>
      </c>
      <c r="CZ156" t="b">
        <v>0</v>
      </c>
      <c r="DC156" t="s">
        <v>483</v>
      </c>
      <c r="DJ156">
        <f>DataTable[HLD_MaturityDate] - DataTable[SEC_Issue_Date]</f>
        <v>91</v>
      </c>
    </row>
    <row r="157" spans="1:114" x14ac:dyDescent="0.2">
      <c r="A157" s="2">
        <v>43376</v>
      </c>
      <c r="B157" t="s">
        <v>46</v>
      </c>
      <c r="C157" t="s">
        <v>7</v>
      </c>
      <c r="D157" t="s">
        <v>16</v>
      </c>
      <c r="F157" t="s">
        <v>716</v>
      </c>
      <c r="H157" t="s">
        <v>468</v>
      </c>
      <c r="J157" t="s">
        <v>462</v>
      </c>
      <c r="N157" s="2">
        <v>43419</v>
      </c>
      <c r="O157">
        <v>43</v>
      </c>
      <c r="Q157">
        <v>1.1621809999999999</v>
      </c>
      <c r="T157">
        <v>579225398.39999998</v>
      </c>
      <c r="V157">
        <v>579225398.39999998</v>
      </c>
      <c r="W157">
        <v>0.11491</v>
      </c>
      <c r="X157">
        <v>580000000</v>
      </c>
      <c r="Z157">
        <v>578862047.82000005</v>
      </c>
      <c r="AA157">
        <v>1.1621809999999999</v>
      </c>
      <c r="AB157">
        <v>2.6805132999999999E-3</v>
      </c>
      <c r="AC157" t="s">
        <v>716</v>
      </c>
      <c r="AE157" t="s">
        <v>469</v>
      </c>
      <c r="AF157" t="s">
        <v>717</v>
      </c>
      <c r="AG157" t="s">
        <v>717</v>
      </c>
      <c r="AH157" t="s">
        <v>330</v>
      </c>
      <c r="AI157" t="s">
        <v>468</v>
      </c>
      <c r="AJ157" t="s">
        <v>464</v>
      </c>
      <c r="AK157" t="s">
        <v>16</v>
      </c>
      <c r="AM157" t="s">
        <v>405</v>
      </c>
      <c r="AN157" t="s">
        <v>292</v>
      </c>
      <c r="AO157" t="s">
        <v>292</v>
      </c>
      <c r="AP157" t="s">
        <v>434</v>
      </c>
      <c r="AQ157" t="s">
        <v>318</v>
      </c>
      <c r="AR157" t="s">
        <v>292</v>
      </c>
      <c r="AS157" t="s">
        <v>292</v>
      </c>
      <c r="AT157" t="s">
        <v>334</v>
      </c>
      <c r="AU157" t="s">
        <v>292</v>
      </c>
      <c r="AV157" t="s">
        <v>435</v>
      </c>
      <c r="AY157" t="s">
        <v>471</v>
      </c>
      <c r="AZ157" t="s">
        <v>472</v>
      </c>
      <c r="BA157" t="s">
        <v>292</v>
      </c>
      <c r="BB157" t="s">
        <v>292</v>
      </c>
      <c r="BC157" t="s">
        <v>292</v>
      </c>
      <c r="BD157" t="s">
        <v>292</v>
      </c>
      <c r="BE157" t="s">
        <v>292</v>
      </c>
      <c r="BF157" t="s">
        <v>292</v>
      </c>
      <c r="CK157" t="s">
        <v>560</v>
      </c>
      <c r="CL157" t="s">
        <v>561</v>
      </c>
      <c r="CM157" t="s">
        <v>9</v>
      </c>
      <c r="CN157" s="2">
        <v>43237</v>
      </c>
      <c r="CO157" t="s">
        <v>292</v>
      </c>
      <c r="CP157" t="s">
        <v>303</v>
      </c>
      <c r="CQ157" t="s">
        <v>303</v>
      </c>
      <c r="CR157" t="s">
        <v>304</v>
      </c>
      <c r="CS157" t="s">
        <v>292</v>
      </c>
      <c r="CT157">
        <v>0</v>
      </c>
      <c r="CU157" t="b">
        <v>0</v>
      </c>
      <c r="CV157" t="s">
        <v>439</v>
      </c>
      <c r="CW157" t="s">
        <v>292</v>
      </c>
      <c r="CX157" t="s">
        <v>292</v>
      </c>
      <c r="CY157" t="b">
        <v>0</v>
      </c>
      <c r="CZ157" t="b">
        <v>0</v>
      </c>
      <c r="DC157" t="s">
        <v>718</v>
      </c>
      <c r="DJ157">
        <f>DataTable[HLD_MaturityDate] - DataTable[SEC_Issue_Date]</f>
        <v>182</v>
      </c>
    </row>
    <row r="158" spans="1:114" x14ac:dyDescent="0.2">
      <c r="A158" s="2">
        <v>43376</v>
      </c>
      <c r="B158" t="s">
        <v>46</v>
      </c>
      <c r="C158" t="s">
        <v>7</v>
      </c>
      <c r="D158" t="s">
        <v>16</v>
      </c>
      <c r="F158" t="s">
        <v>23</v>
      </c>
      <c r="H158" t="s">
        <v>468</v>
      </c>
      <c r="J158" t="s">
        <v>462</v>
      </c>
      <c r="N158" s="2">
        <v>43419</v>
      </c>
      <c r="O158">
        <v>43</v>
      </c>
      <c r="Q158">
        <v>1.2558640000000001</v>
      </c>
      <c r="T158">
        <v>8162204754.5200005</v>
      </c>
      <c r="V158">
        <v>8162194373.54</v>
      </c>
      <c r="W158">
        <v>0.114912</v>
      </c>
      <c r="X158">
        <v>8174000000</v>
      </c>
      <c r="Z158">
        <v>8148989774.6300001</v>
      </c>
      <c r="AA158">
        <v>1.2569760000000001</v>
      </c>
      <c r="AB158">
        <v>3.7772684799999998E-2</v>
      </c>
      <c r="AC158" t="s">
        <v>23</v>
      </c>
      <c r="AE158" t="s">
        <v>469</v>
      </c>
      <c r="AF158" t="s">
        <v>484</v>
      </c>
      <c r="AG158" t="s">
        <v>484</v>
      </c>
      <c r="AH158" t="s">
        <v>330</v>
      </c>
      <c r="AI158" t="s">
        <v>468</v>
      </c>
      <c r="AJ158" t="s">
        <v>464</v>
      </c>
      <c r="AK158" t="s">
        <v>16</v>
      </c>
      <c r="AM158" t="s">
        <v>405</v>
      </c>
      <c r="AN158" t="s">
        <v>292</v>
      </c>
      <c r="AO158" t="s">
        <v>292</v>
      </c>
      <c r="AP158" t="s">
        <v>434</v>
      </c>
      <c r="AQ158" t="s">
        <v>318</v>
      </c>
      <c r="AR158" t="s">
        <v>292</v>
      </c>
      <c r="AS158" t="s">
        <v>292</v>
      </c>
      <c r="AT158" t="s">
        <v>334</v>
      </c>
      <c r="AU158" t="s">
        <v>292</v>
      </c>
      <c r="AV158" t="s">
        <v>435</v>
      </c>
      <c r="AY158" t="s">
        <v>471</v>
      </c>
      <c r="AZ158" t="s">
        <v>472</v>
      </c>
      <c r="BA158" t="s">
        <v>292</v>
      </c>
      <c r="BB158" t="s">
        <v>292</v>
      </c>
      <c r="BC158" t="s">
        <v>292</v>
      </c>
      <c r="BD158" t="s">
        <v>292</v>
      </c>
      <c r="BE158" t="s">
        <v>292</v>
      </c>
      <c r="BF158" t="s">
        <v>292</v>
      </c>
      <c r="CK158" t="s">
        <v>560</v>
      </c>
      <c r="CL158" t="s">
        <v>561</v>
      </c>
      <c r="CM158" t="s">
        <v>9</v>
      </c>
      <c r="CN158" s="2">
        <v>43328</v>
      </c>
      <c r="CO158" t="s">
        <v>292</v>
      </c>
      <c r="CP158" t="s">
        <v>303</v>
      </c>
      <c r="CQ158" t="s">
        <v>303</v>
      </c>
      <c r="CR158" t="s">
        <v>304</v>
      </c>
      <c r="CS158" t="s">
        <v>292</v>
      </c>
      <c r="CT158">
        <v>0</v>
      </c>
      <c r="CU158" t="b">
        <v>0</v>
      </c>
      <c r="CV158" t="s">
        <v>439</v>
      </c>
      <c r="CW158" t="s">
        <v>292</v>
      </c>
      <c r="CX158" t="s">
        <v>292</v>
      </c>
      <c r="CY158" t="b">
        <v>0</v>
      </c>
      <c r="CZ158" t="b">
        <v>0</v>
      </c>
      <c r="DC158" t="s">
        <v>485</v>
      </c>
      <c r="DJ158">
        <f>DataTable[HLD_MaturityDate] - DataTable[SEC_Issue_Date]</f>
        <v>91</v>
      </c>
    </row>
    <row r="159" spans="1:114" x14ac:dyDescent="0.2">
      <c r="A159" s="2">
        <v>43376</v>
      </c>
      <c r="B159" t="s">
        <v>46</v>
      </c>
      <c r="C159" t="s">
        <v>7</v>
      </c>
      <c r="D159" t="s">
        <v>16</v>
      </c>
      <c r="F159" t="s">
        <v>486</v>
      </c>
      <c r="H159" t="s">
        <v>468</v>
      </c>
      <c r="J159" t="s">
        <v>462</v>
      </c>
      <c r="N159" s="2">
        <v>43426</v>
      </c>
      <c r="O159">
        <v>50</v>
      </c>
      <c r="Q159">
        <v>1.23</v>
      </c>
      <c r="T159">
        <v>2646629799.9899998</v>
      </c>
      <c r="V159">
        <v>2646629799.9899998</v>
      </c>
      <c r="W159">
        <v>0.134023</v>
      </c>
      <c r="X159">
        <v>2651000000</v>
      </c>
      <c r="Z159">
        <v>2643553683.0700002</v>
      </c>
      <c r="AA159">
        <v>1.23</v>
      </c>
      <c r="AB159">
        <v>1.2247954599999999E-2</v>
      </c>
      <c r="AC159" t="s">
        <v>486</v>
      </c>
      <c r="AE159" t="s">
        <v>469</v>
      </c>
      <c r="AF159" t="s">
        <v>487</v>
      </c>
      <c r="AG159" t="s">
        <v>487</v>
      </c>
      <c r="AH159" t="s">
        <v>330</v>
      </c>
      <c r="AI159" t="s">
        <v>468</v>
      </c>
      <c r="AJ159" t="s">
        <v>464</v>
      </c>
      <c r="AK159" t="s">
        <v>16</v>
      </c>
      <c r="AM159" t="s">
        <v>405</v>
      </c>
      <c r="AN159" t="s">
        <v>292</v>
      </c>
      <c r="AO159" t="s">
        <v>292</v>
      </c>
      <c r="AP159" t="s">
        <v>434</v>
      </c>
      <c r="AQ159" t="s">
        <v>318</v>
      </c>
      <c r="AR159" t="s">
        <v>292</v>
      </c>
      <c r="AS159" t="s">
        <v>292</v>
      </c>
      <c r="AT159" t="s">
        <v>334</v>
      </c>
      <c r="AU159" t="s">
        <v>292</v>
      </c>
      <c r="AV159" t="s">
        <v>435</v>
      </c>
      <c r="AY159" t="s">
        <v>471</v>
      </c>
      <c r="AZ159" t="s">
        <v>472</v>
      </c>
      <c r="BA159" t="s">
        <v>292</v>
      </c>
      <c r="BB159" t="s">
        <v>292</v>
      </c>
      <c r="BC159" t="s">
        <v>292</v>
      </c>
      <c r="BD159" t="s">
        <v>292</v>
      </c>
      <c r="BE159" t="s">
        <v>292</v>
      </c>
      <c r="BF159" t="s">
        <v>292</v>
      </c>
      <c r="CK159" t="s">
        <v>560</v>
      </c>
      <c r="CL159" t="s">
        <v>561</v>
      </c>
      <c r="CM159" t="s">
        <v>9</v>
      </c>
      <c r="CN159" s="2">
        <v>43244</v>
      </c>
      <c r="CO159" t="s">
        <v>292</v>
      </c>
      <c r="CP159" t="s">
        <v>303</v>
      </c>
      <c r="CQ159" t="s">
        <v>303</v>
      </c>
      <c r="CR159" t="s">
        <v>304</v>
      </c>
      <c r="CS159" t="s">
        <v>292</v>
      </c>
      <c r="CT159">
        <v>0</v>
      </c>
      <c r="CU159" t="b">
        <v>0</v>
      </c>
      <c r="CV159" t="s">
        <v>439</v>
      </c>
      <c r="CW159" t="s">
        <v>292</v>
      </c>
      <c r="CX159" t="s">
        <v>292</v>
      </c>
      <c r="CY159" t="b">
        <v>0</v>
      </c>
      <c r="CZ159" t="b">
        <v>0</v>
      </c>
      <c r="DC159" t="s">
        <v>488</v>
      </c>
      <c r="DJ159">
        <f>DataTable[HLD_MaturityDate] - DataTable[SEC_Issue_Date]</f>
        <v>182</v>
      </c>
    </row>
    <row r="160" spans="1:114" x14ac:dyDescent="0.2">
      <c r="A160" s="2">
        <v>43376</v>
      </c>
      <c r="B160" t="s">
        <v>46</v>
      </c>
      <c r="C160" t="s">
        <v>7</v>
      </c>
      <c r="D160" t="s">
        <v>16</v>
      </c>
      <c r="F160" t="s">
        <v>24</v>
      </c>
      <c r="H160" t="s">
        <v>468</v>
      </c>
      <c r="J160" t="s">
        <v>462</v>
      </c>
      <c r="N160" s="2">
        <v>43426</v>
      </c>
      <c r="O160">
        <v>50</v>
      </c>
      <c r="Q160">
        <v>1.250019</v>
      </c>
      <c r="T160">
        <v>4737050701.5</v>
      </c>
      <c r="V160">
        <v>4736904175.8999996</v>
      </c>
      <c r="W160">
        <v>0.13402800000000001</v>
      </c>
      <c r="X160">
        <v>4745000000</v>
      </c>
      <c r="Z160">
        <v>4730369862.3100004</v>
      </c>
      <c r="AA160">
        <v>1.273101</v>
      </c>
      <c r="AB160">
        <v>2.19219106E-2</v>
      </c>
      <c r="AC160" t="s">
        <v>24</v>
      </c>
      <c r="AE160" t="s">
        <v>469</v>
      </c>
      <c r="AF160" t="s">
        <v>489</v>
      </c>
      <c r="AG160" t="s">
        <v>489</v>
      </c>
      <c r="AH160" t="s">
        <v>330</v>
      </c>
      <c r="AI160" t="s">
        <v>468</v>
      </c>
      <c r="AJ160" t="s">
        <v>464</v>
      </c>
      <c r="AK160" t="s">
        <v>16</v>
      </c>
      <c r="AM160" t="s">
        <v>405</v>
      </c>
      <c r="AN160" t="s">
        <v>292</v>
      </c>
      <c r="AO160" t="s">
        <v>292</v>
      </c>
      <c r="AP160" t="s">
        <v>434</v>
      </c>
      <c r="AQ160" t="s">
        <v>318</v>
      </c>
      <c r="AR160" t="s">
        <v>292</v>
      </c>
      <c r="AS160" t="s">
        <v>292</v>
      </c>
      <c r="AT160" t="s">
        <v>334</v>
      </c>
      <c r="AU160" t="s">
        <v>292</v>
      </c>
      <c r="AV160" t="s">
        <v>435</v>
      </c>
      <c r="AY160" t="s">
        <v>471</v>
      </c>
      <c r="AZ160" t="s">
        <v>472</v>
      </c>
      <c r="BA160" t="s">
        <v>292</v>
      </c>
      <c r="BB160" t="s">
        <v>292</v>
      </c>
      <c r="BC160" t="s">
        <v>292</v>
      </c>
      <c r="BD160" t="s">
        <v>292</v>
      </c>
      <c r="BE160" t="s">
        <v>292</v>
      </c>
      <c r="BF160" t="s">
        <v>292</v>
      </c>
      <c r="CK160" t="s">
        <v>560</v>
      </c>
      <c r="CL160" t="s">
        <v>561</v>
      </c>
      <c r="CM160" t="s">
        <v>9</v>
      </c>
      <c r="CN160" s="2">
        <v>43335</v>
      </c>
      <c r="CO160" t="s">
        <v>292</v>
      </c>
      <c r="CP160" t="s">
        <v>303</v>
      </c>
      <c r="CQ160" t="s">
        <v>303</v>
      </c>
      <c r="CR160" t="s">
        <v>304</v>
      </c>
      <c r="CS160" t="s">
        <v>292</v>
      </c>
      <c r="CT160">
        <v>0</v>
      </c>
      <c r="CU160" t="b">
        <v>0</v>
      </c>
      <c r="CV160" t="s">
        <v>439</v>
      </c>
      <c r="CW160" t="s">
        <v>292</v>
      </c>
      <c r="CX160" t="s">
        <v>292</v>
      </c>
      <c r="CY160" t="b">
        <v>0</v>
      </c>
      <c r="CZ160" t="b">
        <v>0</v>
      </c>
      <c r="DC160" t="s">
        <v>490</v>
      </c>
      <c r="DJ160">
        <f>DataTable[HLD_MaturityDate] - DataTable[SEC_Issue_Date]</f>
        <v>91</v>
      </c>
    </row>
    <row r="161" spans="1:114" x14ac:dyDescent="0.2">
      <c r="A161" s="2">
        <v>43376</v>
      </c>
      <c r="B161" t="s">
        <v>46</v>
      </c>
      <c r="C161" t="s">
        <v>7</v>
      </c>
      <c r="D161" t="s">
        <v>16</v>
      </c>
      <c r="F161" t="s">
        <v>491</v>
      </c>
      <c r="H161" t="s">
        <v>468</v>
      </c>
      <c r="J161" t="s">
        <v>462</v>
      </c>
      <c r="N161" s="2">
        <v>43433</v>
      </c>
      <c r="O161">
        <v>57</v>
      </c>
      <c r="Q161">
        <v>1.2233229999999999</v>
      </c>
      <c r="T161">
        <v>605862870.48000002</v>
      </c>
      <c r="V161">
        <v>605863125.41999996</v>
      </c>
      <c r="W161">
        <v>0.15312899999999999</v>
      </c>
      <c r="X161">
        <v>607000000</v>
      </c>
      <c r="Z161">
        <v>605392262.88</v>
      </c>
      <c r="AA161">
        <v>1.2230479999999999</v>
      </c>
      <c r="AB161">
        <v>2.803785E-3</v>
      </c>
      <c r="AC161" t="s">
        <v>491</v>
      </c>
      <c r="AE161" t="s">
        <v>469</v>
      </c>
      <c r="AF161" t="s">
        <v>492</v>
      </c>
      <c r="AG161" t="s">
        <v>492</v>
      </c>
      <c r="AH161" t="s">
        <v>330</v>
      </c>
      <c r="AI161" t="s">
        <v>468</v>
      </c>
      <c r="AJ161" t="s">
        <v>464</v>
      </c>
      <c r="AK161" t="s">
        <v>16</v>
      </c>
      <c r="AM161" t="s">
        <v>405</v>
      </c>
      <c r="AN161" t="s">
        <v>292</v>
      </c>
      <c r="AO161" t="s">
        <v>292</v>
      </c>
      <c r="AP161" t="s">
        <v>434</v>
      </c>
      <c r="AQ161" t="s">
        <v>318</v>
      </c>
      <c r="AR161" t="s">
        <v>292</v>
      </c>
      <c r="AS161" t="s">
        <v>292</v>
      </c>
      <c r="AT161" t="s">
        <v>334</v>
      </c>
      <c r="AU161" t="s">
        <v>292</v>
      </c>
      <c r="AV161" t="s">
        <v>435</v>
      </c>
      <c r="AY161" t="s">
        <v>471</v>
      </c>
      <c r="AZ161" t="s">
        <v>472</v>
      </c>
      <c r="BA161" t="s">
        <v>292</v>
      </c>
      <c r="BB161" t="s">
        <v>292</v>
      </c>
      <c r="BC161" t="s">
        <v>292</v>
      </c>
      <c r="BD161" t="s">
        <v>292</v>
      </c>
      <c r="BE161" t="s">
        <v>292</v>
      </c>
      <c r="BF161" t="s">
        <v>292</v>
      </c>
      <c r="CK161" t="s">
        <v>560</v>
      </c>
      <c r="CL161" t="s">
        <v>561</v>
      </c>
      <c r="CM161" t="s">
        <v>9</v>
      </c>
      <c r="CN161" s="2">
        <v>43251</v>
      </c>
      <c r="CO161" t="s">
        <v>292</v>
      </c>
      <c r="CP161" t="s">
        <v>303</v>
      </c>
      <c r="CQ161" t="s">
        <v>303</v>
      </c>
      <c r="CR161" t="s">
        <v>304</v>
      </c>
      <c r="CS161" t="s">
        <v>292</v>
      </c>
      <c r="CT161">
        <v>0</v>
      </c>
      <c r="CU161" t="b">
        <v>0</v>
      </c>
      <c r="CV161" t="s">
        <v>439</v>
      </c>
      <c r="CW161" t="s">
        <v>292</v>
      </c>
      <c r="CX161" t="s">
        <v>292</v>
      </c>
      <c r="CY161" t="b">
        <v>0</v>
      </c>
      <c r="CZ161" t="b">
        <v>0</v>
      </c>
      <c r="DC161" t="s">
        <v>493</v>
      </c>
      <c r="DJ161">
        <f>DataTable[HLD_MaturityDate] - DataTable[SEC_Issue_Date]</f>
        <v>182</v>
      </c>
    </row>
    <row r="162" spans="1:114" x14ac:dyDescent="0.2">
      <c r="A162" s="2">
        <v>43376</v>
      </c>
      <c r="B162" t="s">
        <v>46</v>
      </c>
      <c r="C162" t="s">
        <v>7</v>
      </c>
      <c r="D162" t="s">
        <v>16</v>
      </c>
      <c r="F162" t="s">
        <v>25</v>
      </c>
      <c r="H162" t="s">
        <v>468</v>
      </c>
      <c r="J162" t="s">
        <v>462</v>
      </c>
      <c r="N162" s="2">
        <v>43433</v>
      </c>
      <c r="O162">
        <v>57</v>
      </c>
      <c r="Q162">
        <v>1.190833</v>
      </c>
      <c r="T162">
        <v>7046126501.6999998</v>
      </c>
      <c r="V162">
        <v>7045559875.7700005</v>
      </c>
      <c r="W162">
        <v>0.153145</v>
      </c>
      <c r="X162">
        <v>7059000000</v>
      </c>
      <c r="Z162">
        <v>7037257223.54</v>
      </c>
      <c r="AA162">
        <v>1.2433479999999999</v>
      </c>
      <c r="AB162">
        <v>3.2607747999999999E-2</v>
      </c>
      <c r="AC162" t="s">
        <v>25</v>
      </c>
      <c r="AE162" t="s">
        <v>469</v>
      </c>
      <c r="AF162" t="s">
        <v>494</v>
      </c>
      <c r="AG162" t="s">
        <v>494</v>
      </c>
      <c r="AH162" t="s">
        <v>330</v>
      </c>
      <c r="AI162" t="s">
        <v>468</v>
      </c>
      <c r="AJ162" t="s">
        <v>464</v>
      </c>
      <c r="AK162" t="s">
        <v>16</v>
      </c>
      <c r="AM162" t="s">
        <v>405</v>
      </c>
      <c r="AN162" t="s">
        <v>292</v>
      </c>
      <c r="AO162" t="s">
        <v>292</v>
      </c>
      <c r="AP162" t="s">
        <v>434</v>
      </c>
      <c r="AQ162" t="s">
        <v>318</v>
      </c>
      <c r="AR162" t="s">
        <v>292</v>
      </c>
      <c r="AS162" t="s">
        <v>292</v>
      </c>
      <c r="AT162" t="s">
        <v>334</v>
      </c>
      <c r="AU162" t="s">
        <v>292</v>
      </c>
      <c r="AV162" t="s">
        <v>435</v>
      </c>
      <c r="AY162" t="s">
        <v>471</v>
      </c>
      <c r="AZ162" t="s">
        <v>472</v>
      </c>
      <c r="BA162" t="s">
        <v>292</v>
      </c>
      <c r="BB162" t="s">
        <v>292</v>
      </c>
      <c r="BC162" t="s">
        <v>292</v>
      </c>
      <c r="BD162" t="s">
        <v>292</v>
      </c>
      <c r="BE162" t="s">
        <v>292</v>
      </c>
      <c r="BF162" t="s">
        <v>292</v>
      </c>
      <c r="CK162" t="s">
        <v>560</v>
      </c>
      <c r="CL162" t="s">
        <v>561</v>
      </c>
      <c r="CM162" t="s">
        <v>9</v>
      </c>
      <c r="CN162" s="2">
        <v>43342</v>
      </c>
      <c r="CO162" t="s">
        <v>292</v>
      </c>
      <c r="CP162" t="s">
        <v>303</v>
      </c>
      <c r="CQ162" t="s">
        <v>303</v>
      </c>
      <c r="CR162" t="s">
        <v>304</v>
      </c>
      <c r="CS162" t="s">
        <v>292</v>
      </c>
      <c r="CT162">
        <v>0</v>
      </c>
      <c r="CU162" t="b">
        <v>0</v>
      </c>
      <c r="CV162" t="s">
        <v>439</v>
      </c>
      <c r="CW162" t="s">
        <v>292</v>
      </c>
      <c r="CX162" t="s">
        <v>292</v>
      </c>
      <c r="CY162" t="b">
        <v>0</v>
      </c>
      <c r="CZ162" t="b">
        <v>0</v>
      </c>
      <c r="DC162" t="s">
        <v>495</v>
      </c>
      <c r="DJ162">
        <f>DataTable[HLD_MaturityDate] - DataTable[SEC_Issue_Date]</f>
        <v>91</v>
      </c>
    </row>
    <row r="163" spans="1:114" x14ac:dyDescent="0.2">
      <c r="A163" s="2">
        <v>43376</v>
      </c>
      <c r="B163" t="s">
        <v>46</v>
      </c>
      <c r="C163" t="s">
        <v>7</v>
      </c>
      <c r="D163" t="s">
        <v>16</v>
      </c>
      <c r="F163" t="s">
        <v>26</v>
      </c>
      <c r="H163" t="s">
        <v>468</v>
      </c>
      <c r="J163" t="s">
        <v>462</v>
      </c>
      <c r="N163" s="2">
        <v>43377</v>
      </c>
      <c r="O163">
        <v>1</v>
      </c>
      <c r="Q163">
        <v>1.3106910000000001</v>
      </c>
      <c r="T163">
        <v>2224000000</v>
      </c>
      <c r="V163">
        <v>2224000000</v>
      </c>
      <c r="W163">
        <v>2.7399999999999998E-3</v>
      </c>
      <c r="X163">
        <v>2224000000</v>
      </c>
      <c r="Z163">
        <v>2212166177.6100001</v>
      </c>
      <c r="AA163">
        <v>1.1718999999999999</v>
      </c>
      <c r="AB163">
        <v>1.02921274E-2</v>
      </c>
      <c r="AC163" t="s">
        <v>26</v>
      </c>
      <c r="AE163" t="s">
        <v>469</v>
      </c>
      <c r="AF163" t="s">
        <v>496</v>
      </c>
      <c r="AG163" t="s">
        <v>496</v>
      </c>
      <c r="AH163" t="s">
        <v>330</v>
      </c>
      <c r="AI163" t="s">
        <v>468</v>
      </c>
      <c r="AJ163" t="s">
        <v>464</v>
      </c>
      <c r="AK163" t="s">
        <v>16</v>
      </c>
      <c r="AM163" t="s">
        <v>405</v>
      </c>
      <c r="AN163" t="s">
        <v>292</v>
      </c>
      <c r="AO163" t="s">
        <v>292</v>
      </c>
      <c r="AP163" t="s">
        <v>434</v>
      </c>
      <c r="AQ163" t="s">
        <v>318</v>
      </c>
      <c r="AR163" t="s">
        <v>292</v>
      </c>
      <c r="AS163" t="s">
        <v>292</v>
      </c>
      <c r="AT163" t="s">
        <v>334</v>
      </c>
      <c r="AU163" t="s">
        <v>292</v>
      </c>
      <c r="AV163" t="s">
        <v>435</v>
      </c>
      <c r="AY163" t="s">
        <v>471</v>
      </c>
      <c r="AZ163" t="s">
        <v>472</v>
      </c>
      <c r="BA163" t="s">
        <v>292</v>
      </c>
      <c r="BB163" t="s">
        <v>292</v>
      </c>
      <c r="BC163" t="s">
        <v>292</v>
      </c>
      <c r="BD163" t="s">
        <v>292</v>
      </c>
      <c r="BE163" t="s">
        <v>292</v>
      </c>
      <c r="BF163" t="s">
        <v>292</v>
      </c>
      <c r="CK163" t="s">
        <v>560</v>
      </c>
      <c r="CL163" t="s">
        <v>561</v>
      </c>
      <c r="CM163" t="s">
        <v>9</v>
      </c>
      <c r="CN163" s="2">
        <v>43195</v>
      </c>
      <c r="CO163" t="s">
        <v>292</v>
      </c>
      <c r="CP163" t="s">
        <v>303</v>
      </c>
      <c r="CQ163" t="s">
        <v>303</v>
      </c>
      <c r="CR163" t="s">
        <v>304</v>
      </c>
      <c r="CS163" t="s">
        <v>292</v>
      </c>
      <c r="CT163">
        <v>0</v>
      </c>
      <c r="CU163" t="b">
        <v>0</v>
      </c>
      <c r="CV163" t="s">
        <v>439</v>
      </c>
      <c r="CW163" t="s">
        <v>292</v>
      </c>
      <c r="CX163" t="s">
        <v>292</v>
      </c>
      <c r="CY163" t="b">
        <v>0</v>
      </c>
      <c r="CZ163" t="b">
        <v>0</v>
      </c>
      <c r="DC163" t="s">
        <v>497</v>
      </c>
      <c r="DJ163">
        <f>DataTable[HLD_MaturityDate] - DataTable[SEC_Issue_Date]</f>
        <v>182</v>
      </c>
    </row>
    <row r="164" spans="1:114" x14ac:dyDescent="0.2">
      <c r="A164" s="2">
        <v>43376</v>
      </c>
      <c r="B164" t="s">
        <v>46</v>
      </c>
      <c r="C164" t="s">
        <v>7</v>
      </c>
      <c r="D164" t="s">
        <v>16</v>
      </c>
      <c r="F164" t="s">
        <v>27</v>
      </c>
      <c r="H164" t="s">
        <v>468</v>
      </c>
      <c r="J164" t="s">
        <v>462</v>
      </c>
      <c r="N164" s="2">
        <v>43377</v>
      </c>
      <c r="O164">
        <v>1</v>
      </c>
      <c r="Q164">
        <v>1.245725</v>
      </c>
      <c r="T164">
        <v>6391000000</v>
      </c>
      <c r="V164">
        <v>6391000000</v>
      </c>
      <c r="W164">
        <v>2.7399999999999998E-3</v>
      </c>
      <c r="X164">
        <v>6391000000</v>
      </c>
      <c r="Z164">
        <v>6376471089.5100002</v>
      </c>
      <c r="AA164">
        <v>1.288675</v>
      </c>
      <c r="AB164">
        <v>2.9575982899999999E-2</v>
      </c>
      <c r="AC164" t="s">
        <v>27</v>
      </c>
      <c r="AE164" t="s">
        <v>469</v>
      </c>
      <c r="AF164" t="s">
        <v>498</v>
      </c>
      <c r="AG164" t="s">
        <v>498</v>
      </c>
      <c r="AH164" t="s">
        <v>330</v>
      </c>
      <c r="AI164" t="s">
        <v>468</v>
      </c>
      <c r="AJ164" t="s">
        <v>464</v>
      </c>
      <c r="AK164" t="s">
        <v>16</v>
      </c>
      <c r="AM164" t="s">
        <v>405</v>
      </c>
      <c r="AN164" t="s">
        <v>292</v>
      </c>
      <c r="AO164" t="s">
        <v>292</v>
      </c>
      <c r="AP164" t="s">
        <v>434</v>
      </c>
      <c r="AQ164" t="s">
        <v>318</v>
      </c>
      <c r="AR164" t="s">
        <v>292</v>
      </c>
      <c r="AS164" t="s">
        <v>292</v>
      </c>
      <c r="AT164" t="s">
        <v>334</v>
      </c>
      <c r="AU164" t="s">
        <v>292</v>
      </c>
      <c r="AV164" t="s">
        <v>435</v>
      </c>
      <c r="AY164" t="s">
        <v>471</v>
      </c>
      <c r="AZ164" t="s">
        <v>472</v>
      </c>
      <c r="BA164" t="s">
        <v>292</v>
      </c>
      <c r="BB164" t="s">
        <v>292</v>
      </c>
      <c r="BC164" t="s">
        <v>292</v>
      </c>
      <c r="BD164" t="s">
        <v>292</v>
      </c>
      <c r="BE164" t="s">
        <v>292</v>
      </c>
      <c r="BF164" t="s">
        <v>292</v>
      </c>
      <c r="CK164" t="s">
        <v>560</v>
      </c>
      <c r="CL164" t="s">
        <v>561</v>
      </c>
      <c r="CM164" t="s">
        <v>9</v>
      </c>
      <c r="CN164" s="2">
        <v>43286</v>
      </c>
      <c r="CO164" t="s">
        <v>292</v>
      </c>
      <c r="CP164" t="s">
        <v>303</v>
      </c>
      <c r="CQ164" t="s">
        <v>303</v>
      </c>
      <c r="CR164" t="s">
        <v>304</v>
      </c>
      <c r="CS164" t="s">
        <v>292</v>
      </c>
      <c r="CT164">
        <v>0</v>
      </c>
      <c r="CU164" t="b">
        <v>0</v>
      </c>
      <c r="CV164" t="s">
        <v>439</v>
      </c>
      <c r="CW164" t="s">
        <v>292</v>
      </c>
      <c r="CX164" t="s">
        <v>292</v>
      </c>
      <c r="CY164" t="b">
        <v>0</v>
      </c>
      <c r="CZ164" t="b">
        <v>0</v>
      </c>
      <c r="DC164" t="s">
        <v>499</v>
      </c>
      <c r="DJ164">
        <f>DataTable[HLD_MaturityDate] - DataTable[SEC_Issue_Date]</f>
        <v>91</v>
      </c>
    </row>
    <row r="165" spans="1:114" x14ac:dyDescent="0.2">
      <c r="A165" s="2">
        <v>43376</v>
      </c>
      <c r="B165" t="s">
        <v>46</v>
      </c>
      <c r="C165" t="s">
        <v>7</v>
      </c>
      <c r="D165" t="s">
        <v>16</v>
      </c>
      <c r="F165" t="s">
        <v>28</v>
      </c>
      <c r="H165" t="s">
        <v>468</v>
      </c>
      <c r="J165" t="s">
        <v>462</v>
      </c>
      <c r="N165" s="2">
        <v>43382</v>
      </c>
      <c r="O165">
        <v>6</v>
      </c>
      <c r="Q165">
        <v>1.16547</v>
      </c>
      <c r="T165">
        <v>946848830.38999999</v>
      </c>
      <c r="V165">
        <v>946848830.38999999</v>
      </c>
      <c r="W165">
        <v>1.3697000000000001E-2</v>
      </c>
      <c r="X165">
        <v>947000000</v>
      </c>
      <c r="Z165">
        <v>946576851.99000001</v>
      </c>
      <c r="AA165">
        <v>1.16547</v>
      </c>
      <c r="AB165">
        <v>4.3817845000000003E-3</v>
      </c>
      <c r="AC165" t="s">
        <v>28</v>
      </c>
      <c r="AE165" t="s">
        <v>469</v>
      </c>
      <c r="AF165" t="s">
        <v>500</v>
      </c>
      <c r="AG165" t="s">
        <v>500</v>
      </c>
      <c r="AH165" t="s">
        <v>330</v>
      </c>
      <c r="AI165" t="s">
        <v>468</v>
      </c>
      <c r="AJ165" t="s">
        <v>464</v>
      </c>
      <c r="AK165" t="s">
        <v>16</v>
      </c>
      <c r="AM165" t="s">
        <v>405</v>
      </c>
      <c r="AN165" t="s">
        <v>292</v>
      </c>
      <c r="AO165" t="s">
        <v>292</v>
      </c>
      <c r="AP165" t="s">
        <v>434</v>
      </c>
      <c r="AQ165" t="s">
        <v>318</v>
      </c>
      <c r="AR165" t="s">
        <v>292</v>
      </c>
      <c r="AS165" t="s">
        <v>292</v>
      </c>
      <c r="AT165" t="s">
        <v>334</v>
      </c>
      <c r="AU165" t="s">
        <v>292</v>
      </c>
      <c r="AV165" t="s">
        <v>435</v>
      </c>
      <c r="AY165" t="s">
        <v>471</v>
      </c>
      <c r="AZ165" t="s">
        <v>472</v>
      </c>
      <c r="BA165" t="s">
        <v>292</v>
      </c>
      <c r="BB165" t="s">
        <v>292</v>
      </c>
      <c r="BC165" t="s">
        <v>292</v>
      </c>
      <c r="BD165" t="s">
        <v>292</v>
      </c>
      <c r="BE165" t="s">
        <v>292</v>
      </c>
      <c r="BF165" t="s">
        <v>292</v>
      </c>
      <c r="CK165" t="s">
        <v>560</v>
      </c>
      <c r="CL165" t="s">
        <v>561</v>
      </c>
      <c r="CM165" t="s">
        <v>9</v>
      </c>
      <c r="CN165" s="2">
        <v>43368</v>
      </c>
      <c r="CO165" t="s">
        <v>292</v>
      </c>
      <c r="CP165" t="s">
        <v>303</v>
      </c>
      <c r="CQ165" t="s">
        <v>303</v>
      </c>
      <c r="CR165" t="s">
        <v>304</v>
      </c>
      <c r="CS165" t="s">
        <v>292</v>
      </c>
      <c r="CT165">
        <v>0</v>
      </c>
      <c r="CU165" t="b">
        <v>0</v>
      </c>
      <c r="CV165" t="s">
        <v>439</v>
      </c>
      <c r="CW165" t="s">
        <v>292</v>
      </c>
      <c r="CX165" t="s">
        <v>292</v>
      </c>
      <c r="CY165" t="b">
        <v>0</v>
      </c>
      <c r="CZ165" t="b">
        <v>0</v>
      </c>
      <c r="DC165" t="s">
        <v>501</v>
      </c>
      <c r="DJ165">
        <f>DataTable[HLD_MaturityDate] - DataTable[SEC_Issue_Date]</f>
        <v>14</v>
      </c>
    </row>
    <row r="166" spans="1:114" x14ac:dyDescent="0.2">
      <c r="A166" s="2">
        <v>43376</v>
      </c>
      <c r="B166" t="s">
        <v>46</v>
      </c>
      <c r="C166" t="s">
        <v>7</v>
      </c>
      <c r="D166" t="s">
        <v>16</v>
      </c>
      <c r="F166" t="s">
        <v>29</v>
      </c>
      <c r="H166" t="s">
        <v>468</v>
      </c>
      <c r="J166" t="s">
        <v>462</v>
      </c>
      <c r="N166" s="2">
        <v>43384</v>
      </c>
      <c r="O166">
        <v>8</v>
      </c>
      <c r="Q166">
        <v>1.1412450000000001</v>
      </c>
      <c r="T166">
        <v>451901093.36000001</v>
      </c>
      <c r="V166">
        <v>451901093.36000001</v>
      </c>
      <c r="W166">
        <v>1.9174E-2</v>
      </c>
      <c r="X166">
        <v>452000000</v>
      </c>
      <c r="Z166">
        <v>451786093.20999998</v>
      </c>
      <c r="AA166">
        <v>1.1412439999999999</v>
      </c>
      <c r="AB166">
        <v>2.0912876E-3</v>
      </c>
      <c r="AC166" t="s">
        <v>29</v>
      </c>
      <c r="AE166" t="s">
        <v>469</v>
      </c>
      <c r="AF166" t="s">
        <v>502</v>
      </c>
      <c r="AG166" t="s">
        <v>502</v>
      </c>
      <c r="AH166" t="s">
        <v>330</v>
      </c>
      <c r="AI166" t="s">
        <v>468</v>
      </c>
      <c r="AJ166" t="s">
        <v>464</v>
      </c>
      <c r="AK166" t="s">
        <v>16</v>
      </c>
      <c r="AM166" t="s">
        <v>405</v>
      </c>
      <c r="AN166" t="s">
        <v>292</v>
      </c>
      <c r="AO166" t="s">
        <v>292</v>
      </c>
      <c r="AP166" t="s">
        <v>434</v>
      </c>
      <c r="AQ166" t="s">
        <v>318</v>
      </c>
      <c r="AR166" t="s">
        <v>292</v>
      </c>
      <c r="AS166" t="s">
        <v>292</v>
      </c>
      <c r="AT166" t="s">
        <v>334</v>
      </c>
      <c r="AU166" t="s">
        <v>292</v>
      </c>
      <c r="AV166" t="s">
        <v>435</v>
      </c>
      <c r="AY166" t="s">
        <v>471</v>
      </c>
      <c r="AZ166" t="s">
        <v>472</v>
      </c>
      <c r="BA166" t="s">
        <v>292</v>
      </c>
      <c r="BB166" t="s">
        <v>292</v>
      </c>
      <c r="BC166" t="s">
        <v>292</v>
      </c>
      <c r="BD166" t="s">
        <v>292</v>
      </c>
      <c r="BE166" t="s">
        <v>292</v>
      </c>
      <c r="BF166" t="s">
        <v>292</v>
      </c>
      <c r="CK166" t="s">
        <v>560</v>
      </c>
      <c r="CL166" t="s">
        <v>561</v>
      </c>
      <c r="CM166" t="s">
        <v>9</v>
      </c>
      <c r="CN166" s="2">
        <v>43202</v>
      </c>
      <c r="CO166" t="s">
        <v>292</v>
      </c>
      <c r="CP166" t="s">
        <v>303</v>
      </c>
      <c r="CQ166" t="s">
        <v>303</v>
      </c>
      <c r="CR166" t="s">
        <v>304</v>
      </c>
      <c r="CS166" t="s">
        <v>292</v>
      </c>
      <c r="CT166">
        <v>0</v>
      </c>
      <c r="CU166" t="b">
        <v>0</v>
      </c>
      <c r="CV166" t="s">
        <v>439</v>
      </c>
      <c r="CW166" t="s">
        <v>292</v>
      </c>
      <c r="CX166" t="s">
        <v>292</v>
      </c>
      <c r="CY166" t="b">
        <v>0</v>
      </c>
      <c r="CZ166" t="b">
        <v>0</v>
      </c>
      <c r="DC166" t="s">
        <v>503</v>
      </c>
      <c r="DJ166">
        <f>DataTable[HLD_MaturityDate] - DataTable[SEC_Issue_Date]</f>
        <v>182</v>
      </c>
    </row>
    <row r="167" spans="1:114" x14ac:dyDescent="0.2">
      <c r="A167" s="2">
        <v>43376</v>
      </c>
      <c r="B167" t="s">
        <v>46</v>
      </c>
      <c r="C167" t="s">
        <v>7</v>
      </c>
      <c r="D167" t="s">
        <v>16</v>
      </c>
      <c r="F167" t="s">
        <v>30</v>
      </c>
      <c r="H167" t="s">
        <v>468</v>
      </c>
      <c r="J167" t="s">
        <v>462</v>
      </c>
      <c r="N167" s="2">
        <v>43384</v>
      </c>
      <c r="O167">
        <v>8</v>
      </c>
      <c r="Q167">
        <v>1.309429</v>
      </c>
      <c r="T167">
        <v>5124713066.4399996</v>
      </c>
      <c r="V167">
        <v>5124712656.3599997</v>
      </c>
      <c r="W167">
        <v>1.9174E-2</v>
      </c>
      <c r="X167">
        <v>5126000000</v>
      </c>
      <c r="Z167">
        <v>5111320349.04</v>
      </c>
      <c r="AA167">
        <v>1.309858</v>
      </c>
      <c r="AB167">
        <v>2.3715917100000001E-2</v>
      </c>
      <c r="AC167" t="s">
        <v>30</v>
      </c>
      <c r="AE167" t="s">
        <v>469</v>
      </c>
      <c r="AF167" t="s">
        <v>504</v>
      </c>
      <c r="AG167" t="s">
        <v>504</v>
      </c>
      <c r="AH167" t="s">
        <v>330</v>
      </c>
      <c r="AI167" t="s">
        <v>468</v>
      </c>
      <c r="AJ167" t="s">
        <v>464</v>
      </c>
      <c r="AK167" t="s">
        <v>16</v>
      </c>
      <c r="AM167" t="s">
        <v>405</v>
      </c>
      <c r="AN167" t="s">
        <v>292</v>
      </c>
      <c r="AO167" t="s">
        <v>292</v>
      </c>
      <c r="AP167" t="s">
        <v>434</v>
      </c>
      <c r="AQ167" t="s">
        <v>318</v>
      </c>
      <c r="AR167" t="s">
        <v>292</v>
      </c>
      <c r="AS167" t="s">
        <v>292</v>
      </c>
      <c r="AT167" t="s">
        <v>334</v>
      </c>
      <c r="AU167" t="s">
        <v>292</v>
      </c>
      <c r="AV167" t="s">
        <v>435</v>
      </c>
      <c r="AY167" t="s">
        <v>471</v>
      </c>
      <c r="AZ167" t="s">
        <v>472</v>
      </c>
      <c r="BA167" t="s">
        <v>292</v>
      </c>
      <c r="BB167" t="s">
        <v>292</v>
      </c>
      <c r="BC167" t="s">
        <v>292</v>
      </c>
      <c r="BD167" t="s">
        <v>292</v>
      </c>
      <c r="BE167" t="s">
        <v>292</v>
      </c>
      <c r="BF167" t="s">
        <v>292</v>
      </c>
      <c r="CK167" t="s">
        <v>560</v>
      </c>
      <c r="CL167" t="s">
        <v>561</v>
      </c>
      <c r="CM167" t="s">
        <v>9</v>
      </c>
      <c r="CN167" s="2">
        <v>43293</v>
      </c>
      <c r="CO167" t="s">
        <v>292</v>
      </c>
      <c r="CP167" t="s">
        <v>303</v>
      </c>
      <c r="CQ167" t="s">
        <v>303</v>
      </c>
      <c r="CR167" t="s">
        <v>304</v>
      </c>
      <c r="CS167" t="s">
        <v>292</v>
      </c>
      <c r="CT167">
        <v>0</v>
      </c>
      <c r="CU167" t="b">
        <v>0</v>
      </c>
      <c r="CV167" t="s">
        <v>439</v>
      </c>
      <c r="CW167" t="s">
        <v>292</v>
      </c>
      <c r="CX167" t="s">
        <v>292</v>
      </c>
      <c r="CY167" t="b">
        <v>0</v>
      </c>
      <c r="CZ167" t="b">
        <v>0</v>
      </c>
      <c r="DC167" t="s">
        <v>505</v>
      </c>
      <c r="DJ167">
        <f>DataTable[HLD_MaturityDate] - DataTable[SEC_Issue_Date]</f>
        <v>91</v>
      </c>
    </row>
    <row r="168" spans="1:114" x14ac:dyDescent="0.2">
      <c r="A168" s="2">
        <v>43376</v>
      </c>
      <c r="B168" t="s">
        <v>46</v>
      </c>
      <c r="C168" t="s">
        <v>7</v>
      </c>
      <c r="D168" t="s">
        <v>16</v>
      </c>
      <c r="F168" t="s">
        <v>52</v>
      </c>
      <c r="H168" t="s">
        <v>468</v>
      </c>
      <c r="J168" t="s">
        <v>462</v>
      </c>
      <c r="N168" s="2">
        <v>43389</v>
      </c>
      <c r="O168">
        <v>13</v>
      </c>
      <c r="Q168">
        <v>1.1120859999999999</v>
      </c>
      <c r="T168">
        <v>5272072458.4799995</v>
      </c>
      <c r="V168">
        <v>5272072458.4799995</v>
      </c>
      <c r="W168">
        <v>3.2864999999999998E-2</v>
      </c>
      <c r="X168">
        <v>5274000000</v>
      </c>
      <c r="Z168">
        <v>5271920064.8000002</v>
      </c>
      <c r="AA168">
        <v>1.1120859999999999</v>
      </c>
      <c r="AB168">
        <v>2.4397860300000001E-2</v>
      </c>
      <c r="AC168" t="s">
        <v>52</v>
      </c>
      <c r="AE168" t="s">
        <v>719</v>
      </c>
      <c r="AF168" t="s">
        <v>720</v>
      </c>
      <c r="AG168" t="s">
        <v>720</v>
      </c>
      <c r="AH168" t="s">
        <v>330</v>
      </c>
      <c r="AI168" t="s">
        <v>468</v>
      </c>
      <c r="AJ168" t="s">
        <v>464</v>
      </c>
      <c r="AK168" t="s">
        <v>16</v>
      </c>
      <c r="AM168" t="s">
        <v>405</v>
      </c>
      <c r="AN168" t="s">
        <v>292</v>
      </c>
      <c r="AO168" t="s">
        <v>292</v>
      </c>
      <c r="AP168" t="s">
        <v>434</v>
      </c>
      <c r="AQ168" t="s">
        <v>318</v>
      </c>
      <c r="AR168" t="s">
        <v>292</v>
      </c>
      <c r="AS168" t="s">
        <v>292</v>
      </c>
      <c r="AT168" t="s">
        <v>334</v>
      </c>
      <c r="AU168" t="s">
        <v>292</v>
      </c>
      <c r="AV168" t="s">
        <v>435</v>
      </c>
      <c r="AY168" t="s">
        <v>471</v>
      </c>
      <c r="AZ168" t="s">
        <v>472</v>
      </c>
      <c r="BA168" t="s">
        <v>292</v>
      </c>
      <c r="BB168" t="s">
        <v>292</v>
      </c>
      <c r="BC168" t="s">
        <v>292</v>
      </c>
      <c r="BD168" t="s">
        <v>292</v>
      </c>
      <c r="BE168" t="s">
        <v>292</v>
      </c>
      <c r="BF168" t="s">
        <v>292</v>
      </c>
      <c r="CK168" t="s">
        <v>560</v>
      </c>
      <c r="CL168" t="s">
        <v>561</v>
      </c>
      <c r="CM168" t="s">
        <v>9</v>
      </c>
      <c r="CN168" s="2">
        <v>43375</v>
      </c>
      <c r="CO168" t="s">
        <v>292</v>
      </c>
      <c r="CP168" t="s">
        <v>303</v>
      </c>
      <c r="CQ168" t="s">
        <v>303</v>
      </c>
      <c r="CR168" t="s">
        <v>304</v>
      </c>
      <c r="CS168" t="s">
        <v>292</v>
      </c>
      <c r="CT168">
        <v>0</v>
      </c>
      <c r="CU168" t="b">
        <v>0</v>
      </c>
      <c r="CV168" t="s">
        <v>439</v>
      </c>
      <c r="CW168" t="s">
        <v>292</v>
      </c>
      <c r="CX168" t="s">
        <v>292</v>
      </c>
      <c r="CY168" t="b">
        <v>0</v>
      </c>
      <c r="CZ168" t="b">
        <v>0</v>
      </c>
      <c r="DC168" t="s">
        <v>292</v>
      </c>
      <c r="DJ168">
        <f>DataTable[HLD_MaturityDate] - DataTable[SEC_Issue_Date]</f>
        <v>14</v>
      </c>
    </row>
    <row r="169" spans="1:114" x14ac:dyDescent="0.2">
      <c r="A169" s="2">
        <v>43376</v>
      </c>
      <c r="B169" t="s">
        <v>46</v>
      </c>
      <c r="C169" t="s">
        <v>7</v>
      </c>
      <c r="D169" t="s">
        <v>16</v>
      </c>
      <c r="F169" t="s">
        <v>31</v>
      </c>
      <c r="H169" t="s">
        <v>468</v>
      </c>
      <c r="J169" t="s">
        <v>462</v>
      </c>
      <c r="N169" s="2">
        <v>43391</v>
      </c>
      <c r="O169">
        <v>15</v>
      </c>
      <c r="Q169">
        <v>1.1626540000000001</v>
      </c>
      <c r="T169">
        <v>568746368.25</v>
      </c>
      <c r="V169">
        <v>568746368.25</v>
      </c>
      <c r="W169">
        <v>3.8338999999999998E-2</v>
      </c>
      <c r="X169">
        <v>569000000</v>
      </c>
      <c r="Z169">
        <v>568517424.82000005</v>
      </c>
      <c r="AA169">
        <v>1.1626540000000001</v>
      </c>
      <c r="AB169">
        <v>2.6320189000000002E-3</v>
      </c>
      <c r="AC169" t="s">
        <v>31</v>
      </c>
      <c r="AE169" t="s">
        <v>469</v>
      </c>
      <c r="AF169" t="s">
        <v>506</v>
      </c>
      <c r="AG169" t="s">
        <v>506</v>
      </c>
      <c r="AH169" t="s">
        <v>330</v>
      </c>
      <c r="AI169" t="s">
        <v>468</v>
      </c>
      <c r="AJ169" t="s">
        <v>464</v>
      </c>
      <c r="AK169" t="s">
        <v>16</v>
      </c>
      <c r="AM169" t="s">
        <v>405</v>
      </c>
      <c r="AN169" t="s">
        <v>292</v>
      </c>
      <c r="AO169" t="s">
        <v>292</v>
      </c>
      <c r="AP169" t="s">
        <v>434</v>
      </c>
      <c r="AQ169" t="s">
        <v>318</v>
      </c>
      <c r="AR169" t="s">
        <v>292</v>
      </c>
      <c r="AS169" t="s">
        <v>292</v>
      </c>
      <c r="AT169" t="s">
        <v>334</v>
      </c>
      <c r="AU169" t="s">
        <v>292</v>
      </c>
      <c r="AV169" t="s">
        <v>435</v>
      </c>
      <c r="AY169" t="s">
        <v>471</v>
      </c>
      <c r="AZ169" t="s">
        <v>472</v>
      </c>
      <c r="BA169" t="s">
        <v>292</v>
      </c>
      <c r="BB169" t="s">
        <v>292</v>
      </c>
      <c r="BC169" t="s">
        <v>292</v>
      </c>
      <c r="BD169" t="s">
        <v>292</v>
      </c>
      <c r="BE169" t="s">
        <v>292</v>
      </c>
      <c r="BF169" t="s">
        <v>292</v>
      </c>
      <c r="CK169" t="s">
        <v>560</v>
      </c>
      <c r="CL169" t="s">
        <v>561</v>
      </c>
      <c r="CM169" t="s">
        <v>9</v>
      </c>
      <c r="CN169" s="2">
        <v>43209</v>
      </c>
      <c r="CO169" t="s">
        <v>292</v>
      </c>
      <c r="CP169" t="s">
        <v>303</v>
      </c>
      <c r="CQ169" t="s">
        <v>303</v>
      </c>
      <c r="CR169" t="s">
        <v>304</v>
      </c>
      <c r="CS169" t="s">
        <v>292</v>
      </c>
      <c r="CT169">
        <v>0</v>
      </c>
      <c r="CU169" t="b">
        <v>0</v>
      </c>
      <c r="CV169" t="s">
        <v>439</v>
      </c>
      <c r="CW169" t="s">
        <v>292</v>
      </c>
      <c r="CX169" t="s">
        <v>292</v>
      </c>
      <c r="CY169" t="b">
        <v>0</v>
      </c>
      <c r="CZ169" t="b">
        <v>0</v>
      </c>
      <c r="DC169" t="s">
        <v>507</v>
      </c>
      <c r="DJ169">
        <f>DataTable[HLD_MaturityDate] - DataTable[SEC_Issue_Date]</f>
        <v>182</v>
      </c>
    </row>
    <row r="170" spans="1:114" x14ac:dyDescent="0.2">
      <c r="A170" s="2">
        <v>43376</v>
      </c>
      <c r="B170" t="s">
        <v>46</v>
      </c>
      <c r="C170" t="s">
        <v>7</v>
      </c>
      <c r="D170" t="s">
        <v>16</v>
      </c>
      <c r="F170" t="s">
        <v>32</v>
      </c>
      <c r="H170" t="s">
        <v>468</v>
      </c>
      <c r="J170" t="s">
        <v>462</v>
      </c>
      <c r="N170" s="2">
        <v>43391</v>
      </c>
      <c r="O170">
        <v>15</v>
      </c>
      <c r="Q170">
        <v>1.318235</v>
      </c>
      <c r="T170">
        <v>6013959188.71</v>
      </c>
      <c r="V170">
        <v>6013894686.4700003</v>
      </c>
      <c r="W170">
        <v>3.8338999999999998E-2</v>
      </c>
      <c r="X170">
        <v>6017000000</v>
      </c>
      <c r="Z170">
        <v>5998593757.8100004</v>
      </c>
      <c r="AA170">
        <v>1.346217</v>
      </c>
      <c r="AB170">
        <v>2.7831130400000001E-2</v>
      </c>
      <c r="AC170" t="s">
        <v>32</v>
      </c>
      <c r="AE170" t="s">
        <v>469</v>
      </c>
      <c r="AF170" t="s">
        <v>508</v>
      </c>
      <c r="AG170" t="s">
        <v>508</v>
      </c>
      <c r="AH170" t="s">
        <v>330</v>
      </c>
      <c r="AI170" t="s">
        <v>468</v>
      </c>
      <c r="AJ170" t="s">
        <v>464</v>
      </c>
      <c r="AK170" t="s">
        <v>16</v>
      </c>
      <c r="AM170" t="s">
        <v>405</v>
      </c>
      <c r="AN170" t="s">
        <v>292</v>
      </c>
      <c r="AO170" t="s">
        <v>292</v>
      </c>
      <c r="AP170" t="s">
        <v>434</v>
      </c>
      <c r="AQ170" t="s">
        <v>318</v>
      </c>
      <c r="AR170" t="s">
        <v>292</v>
      </c>
      <c r="AS170" t="s">
        <v>292</v>
      </c>
      <c r="AT170" t="s">
        <v>334</v>
      </c>
      <c r="AU170" t="s">
        <v>292</v>
      </c>
      <c r="AV170" t="s">
        <v>435</v>
      </c>
      <c r="AY170" t="s">
        <v>471</v>
      </c>
      <c r="AZ170" t="s">
        <v>472</v>
      </c>
      <c r="BA170" t="s">
        <v>292</v>
      </c>
      <c r="BB170" t="s">
        <v>292</v>
      </c>
      <c r="BC170" t="s">
        <v>292</v>
      </c>
      <c r="BD170" t="s">
        <v>292</v>
      </c>
      <c r="BE170" t="s">
        <v>292</v>
      </c>
      <c r="BF170" t="s">
        <v>292</v>
      </c>
      <c r="CK170" t="s">
        <v>560</v>
      </c>
      <c r="CL170" t="s">
        <v>561</v>
      </c>
      <c r="CM170" t="s">
        <v>9</v>
      </c>
      <c r="CN170" s="2">
        <v>43300</v>
      </c>
      <c r="CO170" t="s">
        <v>292</v>
      </c>
      <c r="CP170" t="s">
        <v>303</v>
      </c>
      <c r="CQ170" t="s">
        <v>303</v>
      </c>
      <c r="CR170" t="s">
        <v>304</v>
      </c>
      <c r="CS170" t="s">
        <v>292</v>
      </c>
      <c r="CT170">
        <v>0</v>
      </c>
      <c r="CU170" t="b">
        <v>0</v>
      </c>
      <c r="CV170" t="s">
        <v>439</v>
      </c>
      <c r="CW170" t="s">
        <v>292</v>
      </c>
      <c r="CX170" t="s">
        <v>292</v>
      </c>
      <c r="CY170" t="b">
        <v>0</v>
      </c>
      <c r="CZ170" t="b">
        <v>0</v>
      </c>
      <c r="DC170" t="s">
        <v>509</v>
      </c>
      <c r="DJ170">
        <f>DataTable[HLD_MaturityDate] - DataTable[SEC_Issue_Date]</f>
        <v>91</v>
      </c>
    </row>
    <row r="171" spans="1:114" x14ac:dyDescent="0.2">
      <c r="A171" s="2">
        <v>43376</v>
      </c>
      <c r="B171" t="s">
        <v>46</v>
      </c>
      <c r="C171" t="s">
        <v>7</v>
      </c>
      <c r="D171" t="s">
        <v>16</v>
      </c>
      <c r="F171" t="s">
        <v>33</v>
      </c>
      <c r="H171" t="s">
        <v>468</v>
      </c>
      <c r="J171" t="s">
        <v>462</v>
      </c>
      <c r="N171" s="2">
        <v>43398</v>
      </c>
      <c r="O171">
        <v>22</v>
      </c>
      <c r="Q171">
        <v>1.1568210000000001</v>
      </c>
      <c r="T171">
        <v>409727296.69999999</v>
      </c>
      <c r="V171">
        <v>409727296.69999999</v>
      </c>
      <c r="W171">
        <v>5.7495999999999998E-2</v>
      </c>
      <c r="X171">
        <v>410000000</v>
      </c>
      <c r="Z171">
        <v>409565806.44</v>
      </c>
      <c r="AA171">
        <v>1.1568210000000001</v>
      </c>
      <c r="AB171">
        <v>1.8961176000000001E-3</v>
      </c>
      <c r="AC171" t="s">
        <v>33</v>
      </c>
      <c r="AE171" t="s">
        <v>469</v>
      </c>
      <c r="AF171" t="s">
        <v>510</v>
      </c>
      <c r="AG171" t="s">
        <v>510</v>
      </c>
      <c r="AH171" t="s">
        <v>330</v>
      </c>
      <c r="AI171" t="s">
        <v>468</v>
      </c>
      <c r="AJ171" t="s">
        <v>464</v>
      </c>
      <c r="AK171" t="s">
        <v>16</v>
      </c>
      <c r="AM171" t="s">
        <v>405</v>
      </c>
      <c r="AN171" t="s">
        <v>292</v>
      </c>
      <c r="AO171" t="s">
        <v>292</v>
      </c>
      <c r="AP171" t="s">
        <v>434</v>
      </c>
      <c r="AQ171" t="s">
        <v>318</v>
      </c>
      <c r="AR171" t="s">
        <v>292</v>
      </c>
      <c r="AS171" t="s">
        <v>292</v>
      </c>
      <c r="AT171" t="s">
        <v>334</v>
      </c>
      <c r="AU171" t="s">
        <v>292</v>
      </c>
      <c r="AV171" t="s">
        <v>435</v>
      </c>
      <c r="AY171" t="s">
        <v>471</v>
      </c>
      <c r="AZ171" t="s">
        <v>472</v>
      </c>
      <c r="BA171" t="s">
        <v>292</v>
      </c>
      <c r="BB171" t="s">
        <v>292</v>
      </c>
      <c r="BC171" t="s">
        <v>292</v>
      </c>
      <c r="BD171" t="s">
        <v>292</v>
      </c>
      <c r="BE171" t="s">
        <v>292</v>
      </c>
      <c r="BF171" t="s">
        <v>292</v>
      </c>
      <c r="CK171" t="s">
        <v>560</v>
      </c>
      <c r="CL171" t="s">
        <v>561</v>
      </c>
      <c r="CM171" t="s">
        <v>9</v>
      </c>
      <c r="CN171" s="2">
        <v>43216</v>
      </c>
      <c r="CO171" t="s">
        <v>292</v>
      </c>
      <c r="CP171" t="s">
        <v>303</v>
      </c>
      <c r="CQ171" t="s">
        <v>303</v>
      </c>
      <c r="CR171" t="s">
        <v>304</v>
      </c>
      <c r="CS171" t="s">
        <v>292</v>
      </c>
      <c r="CT171">
        <v>0</v>
      </c>
      <c r="CU171" t="b">
        <v>0</v>
      </c>
      <c r="CV171" t="s">
        <v>439</v>
      </c>
      <c r="CW171" t="s">
        <v>292</v>
      </c>
      <c r="CX171" t="s">
        <v>292</v>
      </c>
      <c r="CY171" t="b">
        <v>0</v>
      </c>
      <c r="CZ171" t="b">
        <v>0</v>
      </c>
      <c r="DC171" t="s">
        <v>511</v>
      </c>
      <c r="DJ171">
        <f>DataTable[HLD_MaturityDate] - DataTable[SEC_Issue_Date]</f>
        <v>182</v>
      </c>
    </row>
    <row r="172" spans="1:114" x14ac:dyDescent="0.2">
      <c r="A172" s="2">
        <v>43376</v>
      </c>
      <c r="B172" t="s">
        <v>46</v>
      </c>
      <c r="C172" t="s">
        <v>7</v>
      </c>
      <c r="D172" t="s">
        <v>16</v>
      </c>
      <c r="F172" t="s">
        <v>34</v>
      </c>
      <c r="H172" t="s">
        <v>468</v>
      </c>
      <c r="J172" t="s">
        <v>462</v>
      </c>
      <c r="N172" s="2">
        <v>43398</v>
      </c>
      <c r="O172">
        <v>22</v>
      </c>
      <c r="Q172">
        <v>1.2516830000000001</v>
      </c>
      <c r="T172">
        <v>7014948197.3999996</v>
      </c>
      <c r="V172">
        <v>7014735000</v>
      </c>
      <c r="W172">
        <v>5.7495999999999998E-2</v>
      </c>
      <c r="X172">
        <v>7020000000</v>
      </c>
      <c r="Z172">
        <v>6998153843.1099997</v>
      </c>
      <c r="AA172">
        <v>1.304557</v>
      </c>
      <c r="AB172">
        <v>3.2463462399999997E-2</v>
      </c>
      <c r="AC172" t="s">
        <v>34</v>
      </c>
      <c r="AE172" t="s">
        <v>469</v>
      </c>
      <c r="AF172" t="s">
        <v>512</v>
      </c>
      <c r="AG172" t="s">
        <v>512</v>
      </c>
      <c r="AH172" t="s">
        <v>330</v>
      </c>
      <c r="AI172" t="s">
        <v>468</v>
      </c>
      <c r="AJ172" t="s">
        <v>464</v>
      </c>
      <c r="AK172" t="s">
        <v>16</v>
      </c>
      <c r="AM172" t="s">
        <v>405</v>
      </c>
      <c r="AN172" t="s">
        <v>292</v>
      </c>
      <c r="AO172" t="s">
        <v>292</v>
      </c>
      <c r="AP172" t="s">
        <v>434</v>
      </c>
      <c r="AQ172" t="s">
        <v>318</v>
      </c>
      <c r="AR172" t="s">
        <v>292</v>
      </c>
      <c r="AS172" t="s">
        <v>292</v>
      </c>
      <c r="AT172" t="s">
        <v>334</v>
      </c>
      <c r="AU172" t="s">
        <v>292</v>
      </c>
      <c r="AV172" t="s">
        <v>435</v>
      </c>
      <c r="AY172" t="s">
        <v>471</v>
      </c>
      <c r="AZ172" t="s">
        <v>472</v>
      </c>
      <c r="BA172" t="s">
        <v>292</v>
      </c>
      <c r="BB172" t="s">
        <v>292</v>
      </c>
      <c r="BC172" t="s">
        <v>292</v>
      </c>
      <c r="BD172" t="s">
        <v>292</v>
      </c>
      <c r="BE172" t="s">
        <v>292</v>
      </c>
      <c r="BF172" t="s">
        <v>292</v>
      </c>
      <c r="CK172" t="s">
        <v>560</v>
      </c>
      <c r="CL172" t="s">
        <v>561</v>
      </c>
      <c r="CM172" t="s">
        <v>9</v>
      </c>
      <c r="CN172" s="2">
        <v>43307</v>
      </c>
      <c r="CO172" t="s">
        <v>292</v>
      </c>
      <c r="CP172" t="s">
        <v>303</v>
      </c>
      <c r="CQ172" t="s">
        <v>303</v>
      </c>
      <c r="CR172" t="s">
        <v>304</v>
      </c>
      <c r="CS172" t="s">
        <v>292</v>
      </c>
      <c r="CT172">
        <v>0</v>
      </c>
      <c r="CU172" t="b">
        <v>0</v>
      </c>
      <c r="CV172" t="s">
        <v>439</v>
      </c>
      <c r="CW172" t="s">
        <v>292</v>
      </c>
      <c r="CX172" t="s">
        <v>292</v>
      </c>
      <c r="CY172" t="b">
        <v>0</v>
      </c>
      <c r="CZ172" t="b">
        <v>0</v>
      </c>
      <c r="DC172" t="s">
        <v>513</v>
      </c>
      <c r="DJ172">
        <f>DataTable[HLD_MaturityDate] - DataTable[SEC_Issue_Date]</f>
        <v>91</v>
      </c>
    </row>
    <row r="173" spans="1:114" x14ac:dyDescent="0.2">
      <c r="A173" s="2">
        <v>43376</v>
      </c>
      <c r="B173" t="s">
        <v>46</v>
      </c>
      <c r="C173" t="s">
        <v>7</v>
      </c>
      <c r="D173" t="s">
        <v>16</v>
      </c>
      <c r="F173" t="s">
        <v>721</v>
      </c>
      <c r="H173" t="s">
        <v>468</v>
      </c>
      <c r="J173" t="s">
        <v>462</v>
      </c>
      <c r="N173" s="2">
        <v>43468</v>
      </c>
      <c r="O173">
        <v>92</v>
      </c>
      <c r="Q173">
        <v>1.49</v>
      </c>
      <c r="T173">
        <v>301878581.85000002</v>
      </c>
      <c r="V173">
        <v>301875663.95999998</v>
      </c>
      <c r="W173">
        <v>0.248392</v>
      </c>
      <c r="X173">
        <v>303000000</v>
      </c>
      <c r="Z173">
        <v>301875662.52999997</v>
      </c>
      <c r="AA173">
        <v>1.4938940000000001</v>
      </c>
      <c r="AB173">
        <v>1.3970202E-3</v>
      </c>
      <c r="AC173" t="s">
        <v>721</v>
      </c>
      <c r="AE173" t="s">
        <v>469</v>
      </c>
      <c r="AF173" t="s">
        <v>722</v>
      </c>
      <c r="AG173" t="s">
        <v>722</v>
      </c>
      <c r="AH173" t="s">
        <v>330</v>
      </c>
      <c r="AI173" t="s">
        <v>468</v>
      </c>
      <c r="AJ173" t="s">
        <v>464</v>
      </c>
      <c r="AK173" t="s">
        <v>16</v>
      </c>
      <c r="AM173" t="s">
        <v>405</v>
      </c>
      <c r="AN173" t="s">
        <v>292</v>
      </c>
      <c r="AO173" t="s">
        <v>292</v>
      </c>
      <c r="AP173" t="s">
        <v>434</v>
      </c>
      <c r="AQ173" t="s">
        <v>318</v>
      </c>
      <c r="AR173" t="s">
        <v>292</v>
      </c>
      <c r="AS173" t="s">
        <v>292</v>
      </c>
      <c r="AT173" t="s">
        <v>334</v>
      </c>
      <c r="AU173" t="s">
        <v>292</v>
      </c>
      <c r="AV173" t="s">
        <v>435</v>
      </c>
      <c r="AY173" t="s">
        <v>471</v>
      </c>
      <c r="AZ173" t="s">
        <v>472</v>
      </c>
      <c r="BA173" t="s">
        <v>292</v>
      </c>
      <c r="BB173" t="s">
        <v>292</v>
      </c>
      <c r="BC173" t="s">
        <v>292</v>
      </c>
      <c r="BD173" t="s">
        <v>292</v>
      </c>
      <c r="BE173" t="s">
        <v>292</v>
      </c>
      <c r="BF173" t="s">
        <v>292</v>
      </c>
      <c r="CK173" t="s">
        <v>560</v>
      </c>
      <c r="CL173" t="s">
        <v>561</v>
      </c>
      <c r="CM173" t="s">
        <v>9</v>
      </c>
      <c r="CN173" s="2">
        <v>43286</v>
      </c>
      <c r="CO173" t="s">
        <v>292</v>
      </c>
      <c r="CP173" t="s">
        <v>303</v>
      </c>
      <c r="CQ173" t="s">
        <v>303</v>
      </c>
      <c r="CR173" t="s">
        <v>304</v>
      </c>
      <c r="CS173" t="s">
        <v>292</v>
      </c>
      <c r="CT173">
        <v>0</v>
      </c>
      <c r="CU173" t="b">
        <v>0</v>
      </c>
      <c r="CV173" t="s">
        <v>439</v>
      </c>
      <c r="CW173" t="s">
        <v>292</v>
      </c>
      <c r="CX173" t="s">
        <v>292</v>
      </c>
      <c r="CY173" t="b">
        <v>0</v>
      </c>
      <c r="CZ173" t="b">
        <v>0</v>
      </c>
      <c r="DC173" t="s">
        <v>723</v>
      </c>
      <c r="DJ173">
        <f>DataTable[HLD_MaturityDate] - DataTable[SEC_Issue_Date]</f>
        <v>182</v>
      </c>
    </row>
    <row r="174" spans="1:114" x14ac:dyDescent="0.2">
      <c r="A174" s="2">
        <v>43376</v>
      </c>
      <c r="B174" t="s">
        <v>46</v>
      </c>
      <c r="C174" t="s">
        <v>7</v>
      </c>
      <c r="D174" t="s">
        <v>16</v>
      </c>
      <c r="F174" t="s">
        <v>35</v>
      </c>
      <c r="H174" t="s">
        <v>468</v>
      </c>
      <c r="J174" t="s">
        <v>462</v>
      </c>
      <c r="N174" s="2">
        <v>43468</v>
      </c>
      <c r="O174">
        <v>92</v>
      </c>
      <c r="Q174">
        <v>1.490618</v>
      </c>
      <c r="T174">
        <v>6394236863.75</v>
      </c>
      <c r="V174">
        <v>6394236863.75</v>
      </c>
      <c r="W174">
        <v>0.25205499999999997</v>
      </c>
      <c r="X174">
        <v>6418000000</v>
      </c>
      <c r="Z174">
        <v>6394236863.75</v>
      </c>
      <c r="AA174">
        <v>1.490618</v>
      </c>
      <c r="AB174">
        <v>2.95909624E-2</v>
      </c>
      <c r="AC174" t="s">
        <v>35</v>
      </c>
      <c r="AE174" t="s">
        <v>514</v>
      </c>
      <c r="AF174" t="s">
        <v>515</v>
      </c>
      <c r="AG174" t="s">
        <v>515</v>
      </c>
      <c r="AH174" t="s">
        <v>330</v>
      </c>
      <c r="AI174" t="s">
        <v>468</v>
      </c>
      <c r="AJ174" t="s">
        <v>464</v>
      </c>
      <c r="AK174" t="s">
        <v>16</v>
      </c>
      <c r="AM174" t="s">
        <v>405</v>
      </c>
      <c r="AN174" t="s">
        <v>292</v>
      </c>
      <c r="AO174" t="s">
        <v>292</v>
      </c>
      <c r="AP174" t="s">
        <v>434</v>
      </c>
      <c r="AQ174" t="s">
        <v>318</v>
      </c>
      <c r="AR174" t="s">
        <v>292</v>
      </c>
      <c r="AS174" t="s">
        <v>292</v>
      </c>
      <c r="AT174" t="s">
        <v>334</v>
      </c>
      <c r="AU174" t="s">
        <v>292</v>
      </c>
      <c r="AV174" t="s">
        <v>435</v>
      </c>
      <c r="AY174" t="s">
        <v>471</v>
      </c>
      <c r="AZ174" t="s">
        <v>472</v>
      </c>
      <c r="BA174" t="s">
        <v>292</v>
      </c>
      <c r="BB174" t="s">
        <v>292</v>
      </c>
      <c r="BC174" t="s">
        <v>292</v>
      </c>
      <c r="BD174" t="s">
        <v>292</v>
      </c>
      <c r="BE174" t="s">
        <v>292</v>
      </c>
      <c r="BF174" t="s">
        <v>292</v>
      </c>
      <c r="CK174" t="s">
        <v>560</v>
      </c>
      <c r="CL174" t="s">
        <v>561</v>
      </c>
      <c r="CM174" t="s">
        <v>9</v>
      </c>
      <c r="CN174" s="2">
        <v>43377</v>
      </c>
      <c r="CO174" t="s">
        <v>292</v>
      </c>
      <c r="CP174" t="s">
        <v>303</v>
      </c>
      <c r="CQ174" t="s">
        <v>303</v>
      </c>
      <c r="CR174" t="s">
        <v>304</v>
      </c>
      <c r="CS174" t="s">
        <v>292</v>
      </c>
      <c r="CT174">
        <v>0</v>
      </c>
      <c r="CU174" t="b">
        <v>0</v>
      </c>
      <c r="CV174" t="s">
        <v>439</v>
      </c>
      <c r="CW174" t="s">
        <v>292</v>
      </c>
      <c r="CX174" t="s">
        <v>292</v>
      </c>
      <c r="CY174" t="b">
        <v>0</v>
      </c>
      <c r="CZ174" t="b">
        <v>0</v>
      </c>
      <c r="DC174" t="s">
        <v>292</v>
      </c>
      <c r="DJ174">
        <f>DataTable[HLD_MaturityDate] - DataTable[SEC_Issue_Date]</f>
        <v>91</v>
      </c>
    </row>
    <row r="175" spans="1:114" x14ac:dyDescent="0.2">
      <c r="A175" s="2">
        <v>43376</v>
      </c>
      <c r="B175" t="s">
        <v>46</v>
      </c>
      <c r="C175" t="s">
        <v>7</v>
      </c>
      <c r="D175" t="s">
        <v>36</v>
      </c>
      <c r="F175" t="s">
        <v>724</v>
      </c>
      <c r="G175" t="s">
        <v>359</v>
      </c>
      <c r="H175" t="s">
        <v>725</v>
      </c>
      <c r="I175" t="s">
        <v>286</v>
      </c>
      <c r="J175" t="s">
        <v>726</v>
      </c>
      <c r="K175" t="s">
        <v>359</v>
      </c>
      <c r="N175" s="2">
        <v>43454</v>
      </c>
      <c r="O175">
        <v>78</v>
      </c>
      <c r="P175">
        <v>4.59</v>
      </c>
      <c r="Q175">
        <v>1.5007159999999999</v>
      </c>
      <c r="R175">
        <v>15000</v>
      </c>
      <c r="S175">
        <v>1006.39876</v>
      </c>
      <c r="T175">
        <v>15095981.4</v>
      </c>
      <c r="U175">
        <v>199947.9</v>
      </c>
      <c r="V175">
        <v>15080976.15</v>
      </c>
      <c r="W175">
        <v>0.20937</v>
      </c>
      <c r="X175">
        <v>15000000</v>
      </c>
      <c r="Z175">
        <v>15802862.25</v>
      </c>
      <c r="AA175">
        <v>1.97</v>
      </c>
      <c r="AB175">
        <v>7.0785799999999996E-5</v>
      </c>
      <c r="AC175" t="s">
        <v>724</v>
      </c>
      <c r="AE175" t="s">
        <v>727</v>
      </c>
      <c r="AF175" t="s">
        <v>728</v>
      </c>
      <c r="AG175" t="s">
        <v>729</v>
      </c>
      <c r="AH175" t="s">
        <v>330</v>
      </c>
      <c r="AI175" t="s">
        <v>725</v>
      </c>
      <c r="AJ175" t="s">
        <v>523</v>
      </c>
      <c r="AK175" t="s">
        <v>36</v>
      </c>
      <c r="AM175" t="s">
        <v>726</v>
      </c>
      <c r="AN175" t="s">
        <v>524</v>
      </c>
      <c r="AO175" t="s">
        <v>292</v>
      </c>
      <c r="AP175" t="s">
        <v>434</v>
      </c>
      <c r="AQ175" t="s">
        <v>318</v>
      </c>
      <c r="AR175" t="s">
        <v>292</v>
      </c>
      <c r="AS175" t="s">
        <v>292</v>
      </c>
      <c r="AT175" t="s">
        <v>348</v>
      </c>
      <c r="AU175" t="s">
        <v>292</v>
      </c>
      <c r="AV175" t="s">
        <v>37</v>
      </c>
      <c r="AW175" t="s">
        <v>359</v>
      </c>
      <c r="AX175">
        <v>5</v>
      </c>
      <c r="AY175" t="s">
        <v>730</v>
      </c>
      <c r="AZ175" t="s">
        <v>731</v>
      </c>
      <c r="BA175" t="s">
        <v>286</v>
      </c>
      <c r="BB175" t="s">
        <v>359</v>
      </c>
      <c r="BC175" t="s">
        <v>292</v>
      </c>
      <c r="BD175" t="s">
        <v>292</v>
      </c>
      <c r="BE175" t="s">
        <v>292</v>
      </c>
      <c r="BF175" t="s">
        <v>292</v>
      </c>
      <c r="BG175" t="s">
        <v>359</v>
      </c>
      <c r="BH175">
        <v>5</v>
      </c>
      <c r="BI175" t="s">
        <v>300</v>
      </c>
      <c r="BJ175" t="s">
        <v>300</v>
      </c>
      <c r="CK175" t="s">
        <v>560</v>
      </c>
      <c r="CL175" t="s">
        <v>561</v>
      </c>
      <c r="CM175" t="s">
        <v>9</v>
      </c>
      <c r="CN175" s="2">
        <v>40897</v>
      </c>
      <c r="CO175" t="s">
        <v>292</v>
      </c>
      <c r="CP175" t="s">
        <v>303</v>
      </c>
      <c r="CQ175" t="s">
        <v>303</v>
      </c>
      <c r="CR175" t="s">
        <v>304</v>
      </c>
      <c r="CS175" t="s">
        <v>292</v>
      </c>
      <c r="CT175">
        <v>1500</v>
      </c>
      <c r="CU175" t="b">
        <v>0</v>
      </c>
      <c r="CV175" t="s">
        <v>439</v>
      </c>
      <c r="CW175" t="s">
        <v>292</v>
      </c>
      <c r="CX175" t="s">
        <v>292</v>
      </c>
      <c r="CY175" t="b">
        <v>0</v>
      </c>
      <c r="CZ175" t="b">
        <v>0</v>
      </c>
      <c r="DC175" t="s">
        <v>732</v>
      </c>
      <c r="DJ175">
        <f>DataTable[HLD_MaturityDate] - DataTable[SEC_Issue_Date]</f>
        <v>2557</v>
      </c>
    </row>
    <row r="176" spans="1:114" x14ac:dyDescent="0.2">
      <c r="A176" s="2">
        <v>43376</v>
      </c>
      <c r="B176" t="s">
        <v>46</v>
      </c>
      <c r="C176" t="s">
        <v>7</v>
      </c>
      <c r="D176" t="s">
        <v>36</v>
      </c>
      <c r="F176" t="s">
        <v>733</v>
      </c>
      <c r="G176" t="s">
        <v>359</v>
      </c>
      <c r="H176" t="s">
        <v>734</v>
      </c>
      <c r="I176" t="s">
        <v>286</v>
      </c>
      <c r="J176" t="s">
        <v>519</v>
      </c>
      <c r="K176" t="s">
        <v>359</v>
      </c>
      <c r="N176" s="2">
        <v>43990</v>
      </c>
      <c r="O176">
        <v>614</v>
      </c>
      <c r="P176">
        <v>2.71</v>
      </c>
      <c r="Q176">
        <v>2.6794190000000002</v>
      </c>
      <c r="R176">
        <v>50000</v>
      </c>
      <c r="S176">
        <v>1000.44073</v>
      </c>
      <c r="T176">
        <v>50022036.5</v>
      </c>
      <c r="U176">
        <v>438055</v>
      </c>
      <c r="V176">
        <v>50750401.5</v>
      </c>
      <c r="W176">
        <v>1.616687</v>
      </c>
      <c r="X176">
        <v>50000000</v>
      </c>
      <c r="Z176">
        <v>51013648</v>
      </c>
      <c r="AA176">
        <v>1.7949999999999999</v>
      </c>
      <c r="AB176">
        <v>2.335169E-4</v>
      </c>
      <c r="AC176" t="s">
        <v>733</v>
      </c>
      <c r="AE176" t="s">
        <v>735</v>
      </c>
      <c r="AF176" t="s">
        <v>736</v>
      </c>
      <c r="AG176" t="s">
        <v>737</v>
      </c>
      <c r="AH176" t="s">
        <v>330</v>
      </c>
      <c r="AI176" t="s">
        <v>734</v>
      </c>
      <c r="AJ176" t="s">
        <v>523</v>
      </c>
      <c r="AK176" t="s">
        <v>36</v>
      </c>
      <c r="AM176" t="s">
        <v>519</v>
      </c>
      <c r="AN176" t="s">
        <v>524</v>
      </c>
      <c r="AO176" t="s">
        <v>292</v>
      </c>
      <c r="AP176" t="s">
        <v>434</v>
      </c>
      <c r="AQ176" t="s">
        <v>318</v>
      </c>
      <c r="AR176" t="s">
        <v>292</v>
      </c>
      <c r="AS176" t="s">
        <v>292</v>
      </c>
      <c r="AT176" t="s">
        <v>348</v>
      </c>
      <c r="AU176" t="s">
        <v>292</v>
      </c>
      <c r="AV176" t="s">
        <v>37</v>
      </c>
      <c r="AW176" t="s">
        <v>359</v>
      </c>
      <c r="AX176">
        <v>5</v>
      </c>
      <c r="AY176" t="s">
        <v>735</v>
      </c>
      <c r="AZ176" t="s">
        <v>738</v>
      </c>
      <c r="BA176" t="s">
        <v>286</v>
      </c>
      <c r="BB176" t="s">
        <v>359</v>
      </c>
      <c r="BC176" t="s">
        <v>292</v>
      </c>
      <c r="BD176" t="s">
        <v>292</v>
      </c>
      <c r="BE176" t="s">
        <v>292</v>
      </c>
      <c r="BF176" t="s">
        <v>292</v>
      </c>
      <c r="BG176" t="s">
        <v>359</v>
      </c>
      <c r="BH176">
        <v>5</v>
      </c>
      <c r="CK176" t="s">
        <v>560</v>
      </c>
      <c r="CL176" t="s">
        <v>561</v>
      </c>
      <c r="CM176" t="s">
        <v>9</v>
      </c>
      <c r="CN176" s="2">
        <v>42712</v>
      </c>
      <c r="CO176" t="s">
        <v>292</v>
      </c>
      <c r="CP176" t="s">
        <v>303</v>
      </c>
      <c r="CQ176" t="s">
        <v>303</v>
      </c>
      <c r="CR176" t="s">
        <v>304</v>
      </c>
      <c r="CS176" t="s">
        <v>292</v>
      </c>
      <c r="CT176">
        <v>10000</v>
      </c>
      <c r="CU176" t="b">
        <v>0</v>
      </c>
      <c r="CV176" t="s">
        <v>439</v>
      </c>
      <c r="CW176" t="s">
        <v>292</v>
      </c>
      <c r="CX176" t="s">
        <v>292</v>
      </c>
      <c r="CY176" t="b">
        <v>0</v>
      </c>
      <c r="CZ176" t="b">
        <v>0</v>
      </c>
      <c r="DC176" t="s">
        <v>739</v>
      </c>
      <c r="DJ176">
        <f>DataTable[HLD_MaturityDate] - DataTable[SEC_Issue_Date]</f>
        <v>1278</v>
      </c>
    </row>
    <row r="177" spans="1:114" x14ac:dyDescent="0.2">
      <c r="A177" s="2">
        <v>43376</v>
      </c>
      <c r="B177" t="s">
        <v>46</v>
      </c>
      <c r="C177" t="s">
        <v>7</v>
      </c>
      <c r="D177" t="s">
        <v>36</v>
      </c>
      <c r="F177" t="s">
        <v>740</v>
      </c>
      <c r="G177" t="s">
        <v>12</v>
      </c>
      <c r="H177" t="s">
        <v>741</v>
      </c>
      <c r="I177" t="s">
        <v>415</v>
      </c>
      <c r="J177" t="s">
        <v>442</v>
      </c>
      <c r="K177" t="s">
        <v>12</v>
      </c>
      <c r="N177" s="2">
        <v>43783</v>
      </c>
      <c r="O177">
        <v>407</v>
      </c>
      <c r="P177">
        <v>3.52</v>
      </c>
      <c r="Q177">
        <v>1.99163</v>
      </c>
      <c r="R177">
        <v>8000</v>
      </c>
      <c r="S177">
        <v>1016.57147</v>
      </c>
      <c r="T177">
        <v>8132571.7599999998</v>
      </c>
      <c r="U177">
        <v>110325.44</v>
      </c>
      <c r="V177">
        <v>8154046.6399999997</v>
      </c>
      <c r="W177">
        <v>1.0761309999999999</v>
      </c>
      <c r="X177">
        <v>8000000</v>
      </c>
      <c r="Z177">
        <v>8202076.3200000003</v>
      </c>
      <c r="AA177">
        <v>1.75</v>
      </c>
      <c r="AB177">
        <v>3.8146099999999997E-5</v>
      </c>
      <c r="AC177" t="s">
        <v>740</v>
      </c>
      <c r="AE177" t="s">
        <v>742</v>
      </c>
      <c r="AF177" t="s">
        <v>743</v>
      </c>
      <c r="AG177" t="s">
        <v>744</v>
      </c>
      <c r="AH177" t="s">
        <v>330</v>
      </c>
      <c r="AI177" t="s">
        <v>741</v>
      </c>
      <c r="AJ177" t="s">
        <v>523</v>
      </c>
      <c r="AK177" t="s">
        <v>36</v>
      </c>
      <c r="AM177" t="s">
        <v>446</v>
      </c>
      <c r="AN177" t="s">
        <v>292</v>
      </c>
      <c r="AO177" t="s">
        <v>292</v>
      </c>
      <c r="AP177" t="s">
        <v>434</v>
      </c>
      <c r="AQ177" t="s">
        <v>318</v>
      </c>
      <c r="AR177" t="s">
        <v>292</v>
      </c>
      <c r="AS177" t="s">
        <v>292</v>
      </c>
      <c r="AT177" t="s">
        <v>348</v>
      </c>
      <c r="AU177" t="s">
        <v>292</v>
      </c>
      <c r="AV177" t="s">
        <v>37</v>
      </c>
      <c r="AW177" t="s">
        <v>12</v>
      </c>
      <c r="AX177">
        <v>6</v>
      </c>
      <c r="AY177" t="s">
        <v>742</v>
      </c>
      <c r="AZ177" t="s">
        <v>745</v>
      </c>
      <c r="BA177" t="s">
        <v>415</v>
      </c>
      <c r="BB177" t="s">
        <v>12</v>
      </c>
      <c r="BC177" t="s">
        <v>292</v>
      </c>
      <c r="BD177" t="s">
        <v>292</v>
      </c>
      <c r="BE177" t="s">
        <v>292</v>
      </c>
      <c r="BF177" t="s">
        <v>292</v>
      </c>
      <c r="BG177" t="s">
        <v>12</v>
      </c>
      <c r="BH177">
        <v>6</v>
      </c>
      <c r="BI177" t="s">
        <v>300</v>
      </c>
      <c r="BJ177" t="s">
        <v>300</v>
      </c>
      <c r="CK177" t="s">
        <v>560</v>
      </c>
      <c r="CL177" t="s">
        <v>561</v>
      </c>
      <c r="CM177" t="s">
        <v>9</v>
      </c>
      <c r="CN177" s="2">
        <v>41957</v>
      </c>
      <c r="CO177" t="s">
        <v>292</v>
      </c>
      <c r="CP177" t="s">
        <v>303</v>
      </c>
      <c r="CQ177" t="s">
        <v>303</v>
      </c>
      <c r="CR177" t="s">
        <v>304</v>
      </c>
      <c r="CS177" t="s">
        <v>292</v>
      </c>
      <c r="CT177">
        <v>4000</v>
      </c>
      <c r="CU177" t="b">
        <v>0</v>
      </c>
      <c r="CV177" t="s">
        <v>439</v>
      </c>
      <c r="CW177" t="s">
        <v>292</v>
      </c>
      <c r="CX177" t="s">
        <v>292</v>
      </c>
      <c r="CY177" t="b">
        <v>0</v>
      </c>
      <c r="CZ177" t="b">
        <v>0</v>
      </c>
      <c r="DC177" t="s">
        <v>746</v>
      </c>
      <c r="DJ177">
        <f>DataTable[HLD_MaturityDate] - DataTable[SEC_Issue_Date]</f>
        <v>1826</v>
      </c>
    </row>
    <row r="178" spans="1:114" x14ac:dyDescent="0.2">
      <c r="A178" s="2">
        <v>43376</v>
      </c>
      <c r="B178" t="s">
        <v>46</v>
      </c>
      <c r="C178" t="s">
        <v>7</v>
      </c>
      <c r="D178" t="s">
        <v>36</v>
      </c>
      <c r="F178" t="s">
        <v>516</v>
      </c>
      <c r="G178" t="s">
        <v>517</v>
      </c>
      <c r="H178" t="s">
        <v>518</v>
      </c>
      <c r="I178" t="s">
        <v>286</v>
      </c>
      <c r="J178" t="s">
        <v>519</v>
      </c>
      <c r="K178" t="s">
        <v>359</v>
      </c>
      <c r="N178" s="2">
        <v>43404</v>
      </c>
      <c r="O178">
        <v>28</v>
      </c>
      <c r="P178">
        <v>4.7</v>
      </c>
      <c r="Q178">
        <v>1.544748</v>
      </c>
      <c r="R178">
        <v>40000</v>
      </c>
      <c r="S178">
        <v>1002.1191700000001</v>
      </c>
      <c r="T178">
        <v>40084766.799999997</v>
      </c>
      <c r="U178">
        <v>808657.6</v>
      </c>
      <c r="V178">
        <v>40059156.399999999</v>
      </c>
      <c r="W178">
        <v>7.3421E-2</v>
      </c>
      <c r="X178">
        <v>40000000</v>
      </c>
      <c r="Z178">
        <v>41756343.200000003</v>
      </c>
      <c r="AA178">
        <v>2.4</v>
      </c>
      <c r="AB178">
        <v>1.8924480000000001E-4</v>
      </c>
      <c r="AC178" t="s">
        <v>516</v>
      </c>
      <c r="AE178" t="s">
        <v>520</v>
      </c>
      <c r="AF178" t="s">
        <v>521</v>
      </c>
      <c r="AG178" t="s">
        <v>522</v>
      </c>
      <c r="AH178" t="s">
        <v>330</v>
      </c>
      <c r="AI178" t="s">
        <v>518</v>
      </c>
      <c r="AJ178" t="s">
        <v>523</v>
      </c>
      <c r="AK178" t="s">
        <v>36</v>
      </c>
      <c r="AM178" t="s">
        <v>519</v>
      </c>
      <c r="AN178" t="s">
        <v>524</v>
      </c>
      <c r="AO178" t="s">
        <v>292</v>
      </c>
      <c r="AP178" t="s">
        <v>434</v>
      </c>
      <c r="AQ178" t="s">
        <v>318</v>
      </c>
      <c r="AR178" t="s">
        <v>292</v>
      </c>
      <c r="AS178" t="s">
        <v>292</v>
      </c>
      <c r="AT178" t="s">
        <v>348</v>
      </c>
      <c r="AU178" t="s">
        <v>292</v>
      </c>
      <c r="AV178" t="s">
        <v>37</v>
      </c>
      <c r="AW178" t="s">
        <v>517</v>
      </c>
      <c r="AX178">
        <v>6</v>
      </c>
      <c r="AY178" t="s">
        <v>525</v>
      </c>
      <c r="AZ178" t="s">
        <v>526</v>
      </c>
      <c r="BA178" t="s">
        <v>286</v>
      </c>
      <c r="BB178" t="s">
        <v>359</v>
      </c>
      <c r="BC178" t="s">
        <v>517</v>
      </c>
      <c r="BD178" t="s">
        <v>292</v>
      </c>
      <c r="BE178" t="s">
        <v>292</v>
      </c>
      <c r="BF178" t="s">
        <v>292</v>
      </c>
      <c r="BG178" t="s">
        <v>359</v>
      </c>
      <c r="BH178">
        <v>5</v>
      </c>
      <c r="CK178" t="s">
        <v>560</v>
      </c>
      <c r="CL178" t="s">
        <v>561</v>
      </c>
      <c r="CM178" t="s">
        <v>9</v>
      </c>
      <c r="CN178" s="2">
        <v>41578</v>
      </c>
      <c r="CO178" t="s">
        <v>292</v>
      </c>
      <c r="CP178" t="s">
        <v>303</v>
      </c>
      <c r="CQ178" t="s">
        <v>303</v>
      </c>
      <c r="CR178" t="s">
        <v>304</v>
      </c>
      <c r="CS178" t="s">
        <v>292</v>
      </c>
      <c r="CT178">
        <v>10000</v>
      </c>
      <c r="CU178" t="b">
        <v>0</v>
      </c>
      <c r="CV178" t="s">
        <v>439</v>
      </c>
      <c r="CW178" t="s">
        <v>292</v>
      </c>
      <c r="CX178" t="s">
        <v>292</v>
      </c>
      <c r="CY178" t="b">
        <v>0</v>
      </c>
      <c r="CZ178" t="b">
        <v>0</v>
      </c>
      <c r="DC178" t="s">
        <v>527</v>
      </c>
      <c r="DJ178">
        <f>DataTable[HLD_MaturityDate] - DataTable[SEC_Issue_Date]</f>
        <v>1826</v>
      </c>
    </row>
    <row r="179" spans="1:114" x14ac:dyDescent="0.2">
      <c r="A179" s="2">
        <v>43376</v>
      </c>
      <c r="B179" t="s">
        <v>46</v>
      </c>
      <c r="C179" t="s">
        <v>7</v>
      </c>
      <c r="D179" t="s">
        <v>36</v>
      </c>
      <c r="F179" t="s">
        <v>747</v>
      </c>
      <c r="G179" t="s">
        <v>517</v>
      </c>
      <c r="H179" t="s">
        <v>518</v>
      </c>
      <c r="I179" t="s">
        <v>286</v>
      </c>
      <c r="J179" t="s">
        <v>519</v>
      </c>
      <c r="K179" t="s">
        <v>359</v>
      </c>
      <c r="N179" s="2">
        <v>43551</v>
      </c>
      <c r="O179">
        <v>175</v>
      </c>
      <c r="P179">
        <v>4.3</v>
      </c>
      <c r="Q179">
        <v>1.847267</v>
      </c>
      <c r="R179">
        <v>1000</v>
      </c>
      <c r="S179">
        <v>1011.76028</v>
      </c>
      <c r="T179">
        <v>1011760.28</v>
      </c>
      <c r="U179">
        <v>824.66</v>
      </c>
      <c r="V179">
        <v>1008173.07</v>
      </c>
      <c r="W179">
        <v>0.47234999999999999</v>
      </c>
      <c r="X179">
        <v>1000000</v>
      </c>
      <c r="Z179">
        <v>1035830.77</v>
      </c>
      <c r="AA179">
        <v>2.6</v>
      </c>
      <c r="AB179">
        <v>4.6859999999999997E-6</v>
      </c>
      <c r="AC179" t="s">
        <v>747</v>
      </c>
      <c r="AE179" t="s">
        <v>520</v>
      </c>
      <c r="AF179" t="s">
        <v>748</v>
      </c>
      <c r="AG179" t="s">
        <v>749</v>
      </c>
      <c r="AH179" t="s">
        <v>330</v>
      </c>
      <c r="AI179" t="s">
        <v>518</v>
      </c>
      <c r="AJ179" t="s">
        <v>523</v>
      </c>
      <c r="AK179" t="s">
        <v>36</v>
      </c>
      <c r="AM179" t="s">
        <v>519</v>
      </c>
      <c r="AN179" t="s">
        <v>524</v>
      </c>
      <c r="AO179" t="s">
        <v>292</v>
      </c>
      <c r="AP179" t="s">
        <v>434</v>
      </c>
      <c r="AQ179" t="s">
        <v>318</v>
      </c>
      <c r="AR179" t="s">
        <v>292</v>
      </c>
      <c r="AS179" t="s">
        <v>292</v>
      </c>
      <c r="AT179" t="s">
        <v>348</v>
      </c>
      <c r="AU179" t="s">
        <v>292</v>
      </c>
      <c r="AV179" t="s">
        <v>37</v>
      </c>
      <c r="AW179" t="s">
        <v>517</v>
      </c>
      <c r="AX179">
        <v>6</v>
      </c>
      <c r="AY179" t="s">
        <v>525</v>
      </c>
      <c r="AZ179" t="s">
        <v>526</v>
      </c>
      <c r="BA179" t="s">
        <v>286</v>
      </c>
      <c r="BB179" t="s">
        <v>359</v>
      </c>
      <c r="BC179" t="s">
        <v>517</v>
      </c>
      <c r="BD179" t="s">
        <v>292</v>
      </c>
      <c r="BE179" t="s">
        <v>292</v>
      </c>
      <c r="BF179" t="s">
        <v>292</v>
      </c>
      <c r="BG179" t="s">
        <v>359</v>
      </c>
      <c r="BH179">
        <v>5</v>
      </c>
      <c r="CK179" t="s">
        <v>560</v>
      </c>
      <c r="CL179" t="s">
        <v>561</v>
      </c>
      <c r="CM179" t="s">
        <v>9</v>
      </c>
      <c r="CN179" s="2">
        <v>41725</v>
      </c>
      <c r="CO179" t="s">
        <v>292</v>
      </c>
      <c r="CP179" t="s">
        <v>303</v>
      </c>
      <c r="CQ179" t="s">
        <v>303</v>
      </c>
      <c r="CR179" t="s">
        <v>304</v>
      </c>
      <c r="CS179" t="s">
        <v>292</v>
      </c>
      <c r="CT179">
        <v>10000</v>
      </c>
      <c r="CU179" t="b">
        <v>0</v>
      </c>
      <c r="CV179" t="s">
        <v>439</v>
      </c>
      <c r="CW179" t="s">
        <v>292</v>
      </c>
      <c r="CX179" t="s">
        <v>292</v>
      </c>
      <c r="CY179" t="b">
        <v>0</v>
      </c>
      <c r="CZ179" t="b">
        <v>0</v>
      </c>
      <c r="DC179" t="s">
        <v>750</v>
      </c>
      <c r="DJ179">
        <f>DataTable[HLD_MaturityDate] - DataTable[SEC_Issue_Date]</f>
        <v>1826</v>
      </c>
    </row>
    <row r="180" spans="1:114" x14ac:dyDescent="0.2">
      <c r="A180" s="2">
        <v>43376</v>
      </c>
      <c r="B180" t="s">
        <v>46</v>
      </c>
      <c r="C180" t="s">
        <v>7</v>
      </c>
      <c r="D180" t="s">
        <v>36</v>
      </c>
      <c r="F180" t="s">
        <v>751</v>
      </c>
      <c r="G180" t="s">
        <v>298</v>
      </c>
      <c r="H180" t="s">
        <v>752</v>
      </c>
      <c r="I180" t="s">
        <v>286</v>
      </c>
      <c r="J180" t="s">
        <v>655</v>
      </c>
      <c r="K180" t="s">
        <v>298</v>
      </c>
      <c r="N180" s="2">
        <v>43434</v>
      </c>
      <c r="O180">
        <v>58</v>
      </c>
      <c r="P180">
        <v>2.33</v>
      </c>
      <c r="Q180">
        <v>1.8622840000000001</v>
      </c>
      <c r="R180">
        <v>70000</v>
      </c>
      <c r="S180">
        <v>1000.61862</v>
      </c>
      <c r="T180">
        <v>70043303.400000006</v>
      </c>
      <c r="U180">
        <v>567498.4</v>
      </c>
      <c r="V180">
        <v>70000000</v>
      </c>
      <c r="W180">
        <v>0.15474299999999999</v>
      </c>
      <c r="X180">
        <v>70000000</v>
      </c>
      <c r="Z180">
        <v>70000000</v>
      </c>
      <c r="AA180">
        <v>2.33</v>
      </c>
      <c r="AB180">
        <v>3.2676949999999998E-4</v>
      </c>
      <c r="AC180" t="s">
        <v>751</v>
      </c>
      <c r="AE180" t="s">
        <v>753</v>
      </c>
      <c r="AF180" t="s">
        <v>754</v>
      </c>
      <c r="AG180" t="s">
        <v>755</v>
      </c>
      <c r="AH180" t="s">
        <v>330</v>
      </c>
      <c r="AI180" t="s">
        <v>752</v>
      </c>
      <c r="AJ180" t="s">
        <v>523</v>
      </c>
      <c r="AK180" t="s">
        <v>36</v>
      </c>
      <c r="AM180" t="s">
        <v>659</v>
      </c>
      <c r="AN180" t="s">
        <v>524</v>
      </c>
      <c r="AO180" t="s">
        <v>292</v>
      </c>
      <c r="AP180" t="s">
        <v>434</v>
      </c>
      <c r="AQ180" t="s">
        <v>318</v>
      </c>
      <c r="AR180" t="s">
        <v>292</v>
      </c>
      <c r="AS180" t="s">
        <v>292</v>
      </c>
      <c r="AT180" t="s">
        <v>348</v>
      </c>
      <c r="AU180" t="s">
        <v>292</v>
      </c>
      <c r="AV180" t="s">
        <v>37</v>
      </c>
      <c r="AW180" t="s">
        <v>298</v>
      </c>
      <c r="AX180">
        <v>8</v>
      </c>
      <c r="AY180" t="s">
        <v>756</v>
      </c>
      <c r="AZ180" t="s">
        <v>757</v>
      </c>
      <c r="BA180" t="s">
        <v>286</v>
      </c>
      <c r="BB180" t="s">
        <v>298</v>
      </c>
      <c r="BC180" t="s">
        <v>292</v>
      </c>
      <c r="BD180" t="s">
        <v>292</v>
      </c>
      <c r="BE180" t="s">
        <v>292</v>
      </c>
      <c r="BF180" t="s">
        <v>292</v>
      </c>
      <c r="BG180" t="s">
        <v>298</v>
      </c>
      <c r="BH180">
        <v>8</v>
      </c>
      <c r="BI180" t="s">
        <v>300</v>
      </c>
      <c r="BJ180" t="s">
        <v>300</v>
      </c>
      <c r="CK180" t="s">
        <v>560</v>
      </c>
      <c r="CL180" t="s">
        <v>561</v>
      </c>
      <c r="CM180" t="s">
        <v>9</v>
      </c>
      <c r="CN180" s="2">
        <v>43069</v>
      </c>
      <c r="CO180" t="s">
        <v>292</v>
      </c>
      <c r="CP180" t="s">
        <v>303</v>
      </c>
      <c r="CQ180" t="s">
        <v>303</v>
      </c>
      <c r="CR180" t="s">
        <v>304</v>
      </c>
      <c r="CS180" t="s">
        <v>292</v>
      </c>
      <c r="CT180">
        <v>600</v>
      </c>
      <c r="CU180" t="b">
        <v>0</v>
      </c>
      <c r="CV180" t="s">
        <v>439</v>
      </c>
      <c r="CW180" t="s">
        <v>292</v>
      </c>
      <c r="CX180" t="s">
        <v>292</v>
      </c>
      <c r="CY180" t="b">
        <v>0</v>
      </c>
      <c r="CZ180" t="b">
        <v>0</v>
      </c>
      <c r="DC180" t="s">
        <v>758</v>
      </c>
      <c r="DJ180">
        <f>DataTable[HLD_MaturityDate] - DataTable[SEC_Issue_Date]</f>
        <v>365</v>
      </c>
    </row>
    <row r="181" spans="1:114" x14ac:dyDescent="0.2">
      <c r="A181" s="2">
        <v>43376</v>
      </c>
      <c r="B181" t="s">
        <v>46</v>
      </c>
      <c r="C181" t="s">
        <v>7</v>
      </c>
      <c r="D181" t="s">
        <v>36</v>
      </c>
      <c r="F181" t="s">
        <v>759</v>
      </c>
      <c r="G181" t="s">
        <v>298</v>
      </c>
      <c r="H181" t="s">
        <v>752</v>
      </c>
      <c r="I181" t="s">
        <v>286</v>
      </c>
      <c r="J181" t="s">
        <v>655</v>
      </c>
      <c r="K181" t="s">
        <v>298</v>
      </c>
      <c r="N181" s="2">
        <v>44165</v>
      </c>
      <c r="O181">
        <v>789</v>
      </c>
      <c r="P181">
        <v>3.08</v>
      </c>
      <c r="Q181">
        <v>3.4115500000000001</v>
      </c>
      <c r="R181">
        <v>69000</v>
      </c>
      <c r="S181">
        <v>993.00928999999996</v>
      </c>
      <c r="T181">
        <v>68517641.010000005</v>
      </c>
      <c r="U181">
        <v>739452.99</v>
      </c>
      <c r="V181">
        <v>69000000</v>
      </c>
      <c r="W181">
        <v>2.0462199999999999</v>
      </c>
      <c r="X181">
        <v>69000000</v>
      </c>
      <c r="Z181">
        <v>69000000</v>
      </c>
      <c r="AA181">
        <v>3.08</v>
      </c>
      <c r="AB181">
        <v>3.2050489999999997E-4</v>
      </c>
      <c r="AC181" t="s">
        <v>759</v>
      </c>
      <c r="AE181" t="s">
        <v>753</v>
      </c>
      <c r="AF181" t="s">
        <v>760</v>
      </c>
      <c r="AG181" t="s">
        <v>761</v>
      </c>
      <c r="AH181" t="s">
        <v>330</v>
      </c>
      <c r="AI181" t="s">
        <v>752</v>
      </c>
      <c r="AJ181" t="s">
        <v>523</v>
      </c>
      <c r="AK181" t="s">
        <v>36</v>
      </c>
      <c r="AM181" t="s">
        <v>659</v>
      </c>
      <c r="AN181" t="s">
        <v>524</v>
      </c>
      <c r="AO181" t="s">
        <v>292</v>
      </c>
      <c r="AP181" t="s">
        <v>434</v>
      </c>
      <c r="AQ181" t="s">
        <v>318</v>
      </c>
      <c r="AR181" t="s">
        <v>292</v>
      </c>
      <c r="AS181" t="s">
        <v>292</v>
      </c>
      <c r="AT181" t="s">
        <v>348</v>
      </c>
      <c r="AU181" t="s">
        <v>292</v>
      </c>
      <c r="AV181" t="s">
        <v>37</v>
      </c>
      <c r="AW181" t="s">
        <v>298</v>
      </c>
      <c r="AX181">
        <v>8</v>
      </c>
      <c r="AY181" t="s">
        <v>756</v>
      </c>
      <c r="AZ181" t="s">
        <v>757</v>
      </c>
      <c r="BA181" t="s">
        <v>286</v>
      </c>
      <c r="BB181" t="s">
        <v>298</v>
      </c>
      <c r="BC181" t="s">
        <v>292</v>
      </c>
      <c r="BD181" t="s">
        <v>292</v>
      </c>
      <c r="BE181" t="s">
        <v>292</v>
      </c>
      <c r="BF181" t="s">
        <v>292</v>
      </c>
      <c r="BG181" t="s">
        <v>298</v>
      </c>
      <c r="BH181">
        <v>8</v>
      </c>
      <c r="BI181" t="s">
        <v>300</v>
      </c>
      <c r="BJ181" t="s">
        <v>300</v>
      </c>
      <c r="CK181" t="s">
        <v>560</v>
      </c>
      <c r="CL181" t="s">
        <v>561</v>
      </c>
      <c r="CM181" t="s">
        <v>9</v>
      </c>
      <c r="CN181" s="2">
        <v>43069</v>
      </c>
      <c r="CO181" t="s">
        <v>292</v>
      </c>
      <c r="CP181" t="s">
        <v>303</v>
      </c>
      <c r="CQ181" t="s">
        <v>303</v>
      </c>
      <c r="CR181" t="s">
        <v>304</v>
      </c>
      <c r="CS181" t="s">
        <v>292</v>
      </c>
      <c r="CT181">
        <v>600</v>
      </c>
      <c r="CU181" t="b">
        <v>0</v>
      </c>
      <c r="CV181" t="s">
        <v>439</v>
      </c>
      <c r="CW181" t="s">
        <v>292</v>
      </c>
      <c r="CX181" t="s">
        <v>292</v>
      </c>
      <c r="CY181" t="b">
        <v>0</v>
      </c>
      <c r="CZ181" t="b">
        <v>0</v>
      </c>
      <c r="DC181" t="s">
        <v>762</v>
      </c>
      <c r="DJ181">
        <f>DataTable[HLD_MaturityDate] - DataTable[SEC_Issue_Date]</f>
        <v>1096</v>
      </c>
    </row>
    <row r="182" spans="1:114" x14ac:dyDescent="0.2">
      <c r="A182" s="2">
        <v>43376</v>
      </c>
      <c r="B182" t="s">
        <v>46</v>
      </c>
      <c r="C182" t="s">
        <v>7</v>
      </c>
      <c r="D182" t="s">
        <v>36</v>
      </c>
      <c r="F182" t="s">
        <v>763</v>
      </c>
      <c r="H182" t="s">
        <v>764</v>
      </c>
      <c r="I182" t="s">
        <v>286</v>
      </c>
      <c r="J182" t="s">
        <v>455</v>
      </c>
      <c r="K182" t="s">
        <v>298</v>
      </c>
      <c r="N182" s="2">
        <v>43792</v>
      </c>
      <c r="O182">
        <v>416</v>
      </c>
      <c r="P182">
        <v>3.35</v>
      </c>
      <c r="Q182">
        <v>2.873605</v>
      </c>
      <c r="R182">
        <v>313000</v>
      </c>
      <c r="S182">
        <v>1005.13024</v>
      </c>
      <c r="T182">
        <v>314605765.12</v>
      </c>
      <c r="U182">
        <v>3849471.19</v>
      </c>
      <c r="V182">
        <v>313000000</v>
      </c>
      <c r="W182">
        <v>1.096746</v>
      </c>
      <c r="X182">
        <v>313000000</v>
      </c>
      <c r="Z182">
        <v>313000000</v>
      </c>
      <c r="AA182">
        <v>3.35</v>
      </c>
      <c r="AB182">
        <v>1.4737328E-3</v>
      </c>
      <c r="AC182" t="s">
        <v>763</v>
      </c>
      <c r="AE182" t="s">
        <v>765</v>
      </c>
      <c r="AF182" t="s">
        <v>766</v>
      </c>
      <c r="AG182" t="s">
        <v>767</v>
      </c>
      <c r="AH182" t="s">
        <v>330</v>
      </c>
      <c r="AI182" t="s">
        <v>764</v>
      </c>
      <c r="AJ182" t="s">
        <v>523</v>
      </c>
      <c r="AK182" t="s">
        <v>36</v>
      </c>
      <c r="AM182" t="s">
        <v>455</v>
      </c>
      <c r="AN182" t="s">
        <v>688</v>
      </c>
      <c r="AO182" t="s">
        <v>292</v>
      </c>
      <c r="AP182" t="s">
        <v>434</v>
      </c>
      <c r="AQ182" t="s">
        <v>318</v>
      </c>
      <c r="AR182" t="s">
        <v>292</v>
      </c>
      <c r="AS182" t="s">
        <v>292</v>
      </c>
      <c r="AT182" t="s">
        <v>348</v>
      </c>
      <c r="AU182" t="s">
        <v>292</v>
      </c>
      <c r="AV182" t="s">
        <v>37</v>
      </c>
      <c r="AY182" t="s">
        <v>765</v>
      </c>
      <c r="AZ182" t="s">
        <v>768</v>
      </c>
      <c r="BA182" t="s">
        <v>286</v>
      </c>
      <c r="BB182" t="s">
        <v>298</v>
      </c>
      <c r="BC182" t="s">
        <v>292</v>
      </c>
      <c r="BD182" t="s">
        <v>292</v>
      </c>
      <c r="BE182" t="s">
        <v>292</v>
      </c>
      <c r="BF182" t="s">
        <v>292</v>
      </c>
      <c r="BG182" t="s">
        <v>298</v>
      </c>
      <c r="BH182">
        <v>8</v>
      </c>
      <c r="BI182" t="s">
        <v>300</v>
      </c>
      <c r="BJ182" t="s">
        <v>300</v>
      </c>
      <c r="CK182" t="s">
        <v>560</v>
      </c>
      <c r="CL182" t="s">
        <v>561</v>
      </c>
      <c r="CM182" t="s">
        <v>9</v>
      </c>
      <c r="CN182" s="2">
        <v>42697</v>
      </c>
      <c r="CO182" t="s">
        <v>292</v>
      </c>
      <c r="CP182" t="s">
        <v>303</v>
      </c>
      <c r="CQ182" t="s">
        <v>303</v>
      </c>
      <c r="CR182" t="s">
        <v>304</v>
      </c>
      <c r="CS182" t="s">
        <v>292</v>
      </c>
      <c r="CT182">
        <v>3400</v>
      </c>
      <c r="CU182" t="b">
        <v>0</v>
      </c>
      <c r="CV182" t="s">
        <v>439</v>
      </c>
      <c r="CW182" t="s">
        <v>292</v>
      </c>
      <c r="CX182" t="s">
        <v>292</v>
      </c>
      <c r="CY182" t="b">
        <v>0</v>
      </c>
      <c r="CZ182" t="b">
        <v>0</v>
      </c>
      <c r="DC182" t="s">
        <v>769</v>
      </c>
      <c r="DJ182">
        <f>DataTable[HLD_MaturityDate] - DataTable[SEC_Issue_Date]</f>
        <v>1095</v>
      </c>
    </row>
    <row r="183" spans="1:114" x14ac:dyDescent="0.2">
      <c r="A183" s="2">
        <v>43376</v>
      </c>
      <c r="B183" t="s">
        <v>46</v>
      </c>
      <c r="C183" t="s">
        <v>7</v>
      </c>
      <c r="D183" t="s">
        <v>36</v>
      </c>
      <c r="F183" t="s">
        <v>770</v>
      </c>
      <c r="G183" t="s">
        <v>379</v>
      </c>
      <c r="H183" t="s">
        <v>771</v>
      </c>
      <c r="I183" t="s">
        <v>415</v>
      </c>
      <c r="J183" t="s">
        <v>427</v>
      </c>
      <c r="K183" t="s">
        <v>379</v>
      </c>
      <c r="N183" s="2">
        <v>43795</v>
      </c>
      <c r="O183">
        <v>419</v>
      </c>
      <c r="P183">
        <v>2.15</v>
      </c>
      <c r="Q183">
        <v>2.108511</v>
      </c>
      <c r="R183">
        <v>10000</v>
      </c>
      <c r="S183">
        <v>1000.36703</v>
      </c>
      <c r="T183">
        <v>10003670.300000001</v>
      </c>
      <c r="U183">
        <v>77164.399999999994</v>
      </c>
      <c r="V183">
        <v>10070288.1</v>
      </c>
      <c r="W183">
        <v>1.117532</v>
      </c>
      <c r="X183">
        <v>10000000</v>
      </c>
      <c r="Z183">
        <v>10101613.1</v>
      </c>
      <c r="AA183">
        <v>1.52</v>
      </c>
      <c r="AB183">
        <v>4.6651599999999999E-5</v>
      </c>
      <c r="AC183" t="s">
        <v>770</v>
      </c>
      <c r="AE183" t="s">
        <v>772</v>
      </c>
      <c r="AF183" t="s">
        <v>773</v>
      </c>
      <c r="AG183" t="s">
        <v>774</v>
      </c>
      <c r="AH183" t="s">
        <v>330</v>
      </c>
      <c r="AI183" t="s">
        <v>771</v>
      </c>
      <c r="AJ183" t="s">
        <v>523</v>
      </c>
      <c r="AK183" t="s">
        <v>36</v>
      </c>
      <c r="AM183" t="s">
        <v>427</v>
      </c>
      <c r="AN183" t="s">
        <v>433</v>
      </c>
      <c r="AO183" t="s">
        <v>292</v>
      </c>
      <c r="AP183" t="s">
        <v>434</v>
      </c>
      <c r="AQ183" t="s">
        <v>318</v>
      </c>
      <c r="AR183" t="s">
        <v>292</v>
      </c>
      <c r="AS183" t="s">
        <v>292</v>
      </c>
      <c r="AT183" t="s">
        <v>348</v>
      </c>
      <c r="AU183" t="s">
        <v>292</v>
      </c>
      <c r="AV183" t="s">
        <v>37</v>
      </c>
      <c r="AW183" t="s">
        <v>379</v>
      </c>
      <c r="AX183">
        <v>1</v>
      </c>
      <c r="AY183" t="s">
        <v>775</v>
      </c>
      <c r="AZ183" t="s">
        <v>776</v>
      </c>
      <c r="BA183" t="s">
        <v>415</v>
      </c>
      <c r="BB183" t="s">
        <v>292</v>
      </c>
      <c r="BC183" t="s">
        <v>379</v>
      </c>
      <c r="BD183" t="s">
        <v>438</v>
      </c>
      <c r="BE183" t="s">
        <v>292</v>
      </c>
      <c r="BF183" t="s">
        <v>292</v>
      </c>
      <c r="BG183" t="s">
        <v>379</v>
      </c>
      <c r="BH183">
        <v>1</v>
      </c>
      <c r="BI183" t="s">
        <v>300</v>
      </c>
      <c r="BJ183" t="s">
        <v>300</v>
      </c>
      <c r="CK183" t="s">
        <v>560</v>
      </c>
      <c r="CL183" t="s">
        <v>561</v>
      </c>
      <c r="CM183" t="s">
        <v>9</v>
      </c>
      <c r="CN183" s="2">
        <v>42881</v>
      </c>
      <c r="CO183" t="s">
        <v>292</v>
      </c>
      <c r="CP183" t="s">
        <v>303</v>
      </c>
      <c r="CQ183" t="s">
        <v>303</v>
      </c>
      <c r="CR183" t="s">
        <v>304</v>
      </c>
      <c r="CS183" t="s">
        <v>292</v>
      </c>
      <c r="CT183">
        <v>1100</v>
      </c>
      <c r="CU183" t="b">
        <v>0</v>
      </c>
      <c r="CV183" t="s">
        <v>439</v>
      </c>
      <c r="CW183" t="s">
        <v>292</v>
      </c>
      <c r="CX183" t="s">
        <v>292</v>
      </c>
      <c r="CY183" t="b">
        <v>0</v>
      </c>
      <c r="CZ183" t="b">
        <v>0</v>
      </c>
      <c r="DC183" t="s">
        <v>777</v>
      </c>
      <c r="DJ183">
        <f>DataTable[HLD_MaturityDate] - DataTable[SEC_Issue_Date]</f>
        <v>914</v>
      </c>
    </row>
    <row r="184" spans="1:114" x14ac:dyDescent="0.2">
      <c r="A184" s="2">
        <v>43376</v>
      </c>
      <c r="B184" t="s">
        <v>46</v>
      </c>
      <c r="C184" t="s">
        <v>7</v>
      </c>
      <c r="D184" t="s">
        <v>36</v>
      </c>
      <c r="F184" t="s">
        <v>778</v>
      </c>
      <c r="H184" t="s">
        <v>540</v>
      </c>
      <c r="I184" t="s">
        <v>286</v>
      </c>
      <c r="J184" t="s">
        <v>287</v>
      </c>
      <c r="K184" t="s">
        <v>541</v>
      </c>
      <c r="N184" s="2">
        <v>43419</v>
      </c>
      <c r="O184">
        <v>43</v>
      </c>
      <c r="P184">
        <v>1.6</v>
      </c>
      <c r="Q184">
        <v>1.481109</v>
      </c>
      <c r="R184">
        <v>500000</v>
      </c>
      <c r="S184">
        <v>1000.11987</v>
      </c>
      <c r="T184">
        <v>500059935</v>
      </c>
      <c r="U184">
        <v>4909590</v>
      </c>
      <c r="V184">
        <v>500000000</v>
      </c>
      <c r="W184">
        <v>0.114885</v>
      </c>
      <c r="X184">
        <v>500000000</v>
      </c>
      <c r="Z184">
        <v>500000000</v>
      </c>
      <c r="AA184">
        <v>1.6</v>
      </c>
      <c r="AB184">
        <v>2.3368753000000001E-3</v>
      </c>
      <c r="AC184" t="s">
        <v>778</v>
      </c>
      <c r="AE184" t="s">
        <v>543</v>
      </c>
      <c r="AF184" t="s">
        <v>779</v>
      </c>
      <c r="AG184" t="s">
        <v>780</v>
      </c>
      <c r="AH184" t="s">
        <v>330</v>
      </c>
      <c r="AI184" t="s">
        <v>540</v>
      </c>
      <c r="AJ184" t="s">
        <v>705</v>
      </c>
      <c r="AK184" t="s">
        <v>36</v>
      </c>
      <c r="AM184" t="s">
        <v>287</v>
      </c>
      <c r="AN184" t="s">
        <v>433</v>
      </c>
      <c r="AO184" t="s">
        <v>292</v>
      </c>
      <c r="AP184" t="s">
        <v>434</v>
      </c>
      <c r="AQ184" t="s">
        <v>318</v>
      </c>
      <c r="AR184" t="s">
        <v>292</v>
      </c>
      <c r="AS184" t="s">
        <v>292</v>
      </c>
      <c r="AT184" t="s">
        <v>348</v>
      </c>
      <c r="AU184" t="s">
        <v>292</v>
      </c>
      <c r="AV184" t="s">
        <v>37</v>
      </c>
      <c r="AY184" t="s">
        <v>543</v>
      </c>
      <c r="AZ184" t="s">
        <v>544</v>
      </c>
      <c r="BA184" t="s">
        <v>286</v>
      </c>
      <c r="BB184" t="s">
        <v>541</v>
      </c>
      <c r="BC184" t="s">
        <v>292</v>
      </c>
      <c r="BD184" t="s">
        <v>292</v>
      </c>
      <c r="BE184" t="s">
        <v>292</v>
      </c>
      <c r="BF184" t="s">
        <v>292</v>
      </c>
      <c r="BG184" t="s">
        <v>541</v>
      </c>
      <c r="BH184">
        <v>7</v>
      </c>
      <c r="BI184" t="s">
        <v>300</v>
      </c>
      <c r="BJ184" t="s">
        <v>300</v>
      </c>
      <c r="CK184" t="s">
        <v>560</v>
      </c>
      <c r="CL184" t="s">
        <v>561</v>
      </c>
      <c r="CM184" t="s">
        <v>9</v>
      </c>
      <c r="CN184" s="2">
        <v>43153</v>
      </c>
      <c r="CO184" t="s">
        <v>292</v>
      </c>
      <c r="CP184" t="s">
        <v>303</v>
      </c>
      <c r="CQ184" t="s">
        <v>303</v>
      </c>
      <c r="CR184" t="s">
        <v>304</v>
      </c>
      <c r="CS184" t="s">
        <v>292</v>
      </c>
      <c r="CT184">
        <v>16000</v>
      </c>
      <c r="CU184" t="b">
        <v>0</v>
      </c>
      <c r="CV184" t="s">
        <v>439</v>
      </c>
      <c r="CW184" t="s">
        <v>292</v>
      </c>
      <c r="CX184" t="s">
        <v>292</v>
      </c>
      <c r="CY184" t="b">
        <v>0</v>
      </c>
      <c r="CZ184" t="b">
        <v>0</v>
      </c>
      <c r="DC184" t="s">
        <v>292</v>
      </c>
      <c r="DJ184">
        <f>DataTable[HLD_MaturityDate] - DataTable[SEC_Issue_Date]</f>
        <v>266</v>
      </c>
    </row>
    <row r="185" spans="1:114" x14ac:dyDescent="0.2">
      <c r="A185" s="2">
        <v>43376</v>
      </c>
      <c r="B185" t="s">
        <v>46</v>
      </c>
      <c r="C185" t="s">
        <v>7</v>
      </c>
      <c r="D185" t="s">
        <v>36</v>
      </c>
      <c r="F185" t="s">
        <v>781</v>
      </c>
      <c r="H185" t="s">
        <v>540</v>
      </c>
      <c r="I185" t="s">
        <v>286</v>
      </c>
      <c r="J185" t="s">
        <v>287</v>
      </c>
      <c r="K185" t="s">
        <v>541</v>
      </c>
      <c r="N185" s="2">
        <v>43424</v>
      </c>
      <c r="O185">
        <v>48</v>
      </c>
      <c r="P185">
        <v>1.6</v>
      </c>
      <c r="Q185">
        <v>1.47966</v>
      </c>
      <c r="R185">
        <v>500000</v>
      </c>
      <c r="S185">
        <v>1000.13632</v>
      </c>
      <c r="T185">
        <v>500068160</v>
      </c>
      <c r="U185">
        <v>4821920</v>
      </c>
      <c r="V185">
        <v>500000000</v>
      </c>
      <c r="W185">
        <v>0.12853500000000001</v>
      </c>
      <c r="X185">
        <v>500000000</v>
      </c>
      <c r="Z185">
        <v>500000000</v>
      </c>
      <c r="AA185">
        <v>1.6</v>
      </c>
      <c r="AB185">
        <v>2.3365077000000001E-3</v>
      </c>
      <c r="AC185" t="s">
        <v>781</v>
      </c>
      <c r="AE185" t="s">
        <v>543</v>
      </c>
      <c r="AF185" t="s">
        <v>782</v>
      </c>
      <c r="AG185" t="s">
        <v>783</v>
      </c>
      <c r="AH185" t="s">
        <v>330</v>
      </c>
      <c r="AI185" t="s">
        <v>540</v>
      </c>
      <c r="AJ185" t="s">
        <v>705</v>
      </c>
      <c r="AK185" t="s">
        <v>36</v>
      </c>
      <c r="AM185" t="s">
        <v>287</v>
      </c>
      <c r="AN185" t="s">
        <v>433</v>
      </c>
      <c r="AO185" t="s">
        <v>292</v>
      </c>
      <c r="AP185" t="s">
        <v>434</v>
      </c>
      <c r="AQ185" t="s">
        <v>318</v>
      </c>
      <c r="AR185" t="s">
        <v>292</v>
      </c>
      <c r="AS185" t="s">
        <v>292</v>
      </c>
      <c r="AT185" t="s">
        <v>348</v>
      </c>
      <c r="AU185" t="s">
        <v>292</v>
      </c>
      <c r="AV185" t="s">
        <v>37</v>
      </c>
      <c r="AY185" t="s">
        <v>543</v>
      </c>
      <c r="AZ185" t="s">
        <v>544</v>
      </c>
      <c r="BA185" t="s">
        <v>286</v>
      </c>
      <c r="BB185" t="s">
        <v>541</v>
      </c>
      <c r="BC185" t="s">
        <v>292</v>
      </c>
      <c r="BD185" t="s">
        <v>292</v>
      </c>
      <c r="BE185" t="s">
        <v>292</v>
      </c>
      <c r="BF185" t="s">
        <v>292</v>
      </c>
      <c r="BG185" t="s">
        <v>541</v>
      </c>
      <c r="BH185">
        <v>7</v>
      </c>
      <c r="BI185" t="s">
        <v>300</v>
      </c>
      <c r="BJ185" t="s">
        <v>300</v>
      </c>
      <c r="CK185" t="s">
        <v>560</v>
      </c>
      <c r="CL185" t="s">
        <v>561</v>
      </c>
      <c r="CM185" t="s">
        <v>9</v>
      </c>
      <c r="CN185" s="2">
        <v>43157</v>
      </c>
      <c r="CO185" t="s">
        <v>292</v>
      </c>
      <c r="CP185" t="s">
        <v>303</v>
      </c>
      <c r="CQ185" t="s">
        <v>303</v>
      </c>
      <c r="CR185" t="s">
        <v>304</v>
      </c>
      <c r="CS185" t="s">
        <v>292</v>
      </c>
      <c r="CT185">
        <v>16000</v>
      </c>
      <c r="CU185" t="b">
        <v>0</v>
      </c>
      <c r="CV185" t="s">
        <v>439</v>
      </c>
      <c r="CW185" t="s">
        <v>292</v>
      </c>
      <c r="CX185" t="s">
        <v>292</v>
      </c>
      <c r="CY185" t="b">
        <v>0</v>
      </c>
      <c r="CZ185" t="b">
        <v>0</v>
      </c>
      <c r="DC185" t="s">
        <v>292</v>
      </c>
      <c r="DJ185">
        <f>DataTable[HLD_MaturityDate] - DataTable[SEC_Issue_Date]</f>
        <v>267</v>
      </c>
    </row>
    <row r="186" spans="1:114" x14ac:dyDescent="0.2">
      <c r="A186" s="2">
        <v>43376</v>
      </c>
      <c r="B186" t="s">
        <v>46</v>
      </c>
      <c r="C186" t="s">
        <v>7</v>
      </c>
      <c r="D186" t="s">
        <v>36</v>
      </c>
      <c r="F186" t="s">
        <v>784</v>
      </c>
      <c r="H186" t="s">
        <v>540</v>
      </c>
      <c r="I186" t="s">
        <v>286</v>
      </c>
      <c r="J186" t="s">
        <v>287</v>
      </c>
      <c r="K186" t="s">
        <v>541</v>
      </c>
      <c r="N186" s="2">
        <v>43426</v>
      </c>
      <c r="O186">
        <v>50</v>
      </c>
      <c r="P186">
        <v>1.6</v>
      </c>
      <c r="Q186">
        <v>1.48692</v>
      </c>
      <c r="R186">
        <v>500000</v>
      </c>
      <c r="S186">
        <v>1000.13238</v>
      </c>
      <c r="T186">
        <v>500066190</v>
      </c>
      <c r="U186">
        <v>4800000</v>
      </c>
      <c r="V186">
        <v>500000000</v>
      </c>
      <c r="W186">
        <v>0.133994</v>
      </c>
      <c r="X186">
        <v>500000000</v>
      </c>
      <c r="Z186">
        <v>500000000</v>
      </c>
      <c r="AA186">
        <v>1.6</v>
      </c>
      <c r="AB186">
        <v>2.3363971000000001E-3</v>
      </c>
      <c r="AC186" t="s">
        <v>784</v>
      </c>
      <c r="AE186" t="s">
        <v>543</v>
      </c>
      <c r="AF186" t="s">
        <v>785</v>
      </c>
      <c r="AG186" t="s">
        <v>786</v>
      </c>
      <c r="AH186" t="s">
        <v>330</v>
      </c>
      <c r="AI186" t="s">
        <v>540</v>
      </c>
      <c r="AJ186" t="s">
        <v>705</v>
      </c>
      <c r="AK186" t="s">
        <v>36</v>
      </c>
      <c r="AM186" t="s">
        <v>287</v>
      </c>
      <c r="AN186" t="s">
        <v>433</v>
      </c>
      <c r="AO186" t="s">
        <v>292</v>
      </c>
      <c r="AP186" t="s">
        <v>434</v>
      </c>
      <c r="AQ186" t="s">
        <v>318</v>
      </c>
      <c r="AR186" t="s">
        <v>292</v>
      </c>
      <c r="AS186" t="s">
        <v>292</v>
      </c>
      <c r="AT186" t="s">
        <v>348</v>
      </c>
      <c r="AU186" t="s">
        <v>292</v>
      </c>
      <c r="AV186" t="s">
        <v>37</v>
      </c>
      <c r="AY186" t="s">
        <v>543</v>
      </c>
      <c r="AZ186" t="s">
        <v>544</v>
      </c>
      <c r="BA186" t="s">
        <v>286</v>
      </c>
      <c r="BB186" t="s">
        <v>541</v>
      </c>
      <c r="BC186" t="s">
        <v>292</v>
      </c>
      <c r="BD186" t="s">
        <v>292</v>
      </c>
      <c r="BE186" t="s">
        <v>292</v>
      </c>
      <c r="BF186" t="s">
        <v>292</v>
      </c>
      <c r="BG186" t="s">
        <v>541</v>
      </c>
      <c r="BH186">
        <v>7</v>
      </c>
      <c r="BI186" t="s">
        <v>300</v>
      </c>
      <c r="BJ186" t="s">
        <v>300</v>
      </c>
      <c r="CK186" t="s">
        <v>560</v>
      </c>
      <c r="CL186" t="s">
        <v>561</v>
      </c>
      <c r="CM186" t="s">
        <v>9</v>
      </c>
      <c r="CN186" s="2">
        <v>43158</v>
      </c>
      <c r="CO186" t="s">
        <v>292</v>
      </c>
      <c r="CP186" t="s">
        <v>303</v>
      </c>
      <c r="CQ186" t="s">
        <v>303</v>
      </c>
      <c r="CR186" t="s">
        <v>304</v>
      </c>
      <c r="CS186" t="s">
        <v>292</v>
      </c>
      <c r="CT186">
        <v>16000</v>
      </c>
      <c r="CU186" t="b">
        <v>0</v>
      </c>
      <c r="CV186" t="s">
        <v>439</v>
      </c>
      <c r="CW186" t="s">
        <v>292</v>
      </c>
      <c r="CX186" t="s">
        <v>292</v>
      </c>
      <c r="CY186" t="b">
        <v>0</v>
      </c>
      <c r="CZ186" t="b">
        <v>0</v>
      </c>
      <c r="DC186" t="s">
        <v>292</v>
      </c>
      <c r="DJ186">
        <f>DataTable[HLD_MaturityDate] - DataTable[SEC_Issue_Date]</f>
        <v>268</v>
      </c>
    </row>
    <row r="187" spans="1:114" x14ac:dyDescent="0.2">
      <c r="A187" s="2">
        <v>43376</v>
      </c>
      <c r="B187" t="s">
        <v>46</v>
      </c>
      <c r="C187" t="s">
        <v>7</v>
      </c>
      <c r="D187" t="s">
        <v>36</v>
      </c>
      <c r="F187" t="s">
        <v>787</v>
      </c>
      <c r="H187" t="s">
        <v>540</v>
      </c>
      <c r="I187" t="s">
        <v>286</v>
      </c>
      <c r="J187" t="s">
        <v>287</v>
      </c>
      <c r="K187" t="s">
        <v>541</v>
      </c>
      <c r="N187" s="2">
        <v>43427</v>
      </c>
      <c r="O187">
        <v>51</v>
      </c>
      <c r="P187">
        <v>1.6</v>
      </c>
      <c r="Q187">
        <v>1.489452</v>
      </c>
      <c r="R187">
        <v>500000</v>
      </c>
      <c r="S187">
        <v>1000.13158</v>
      </c>
      <c r="T187">
        <v>500065790</v>
      </c>
      <c r="U187">
        <v>4800000</v>
      </c>
      <c r="V187">
        <v>500000000</v>
      </c>
      <c r="W187">
        <v>0.13672300000000001</v>
      </c>
      <c r="X187">
        <v>500000000</v>
      </c>
      <c r="Z187">
        <v>500000000</v>
      </c>
      <c r="AA187">
        <v>1.6</v>
      </c>
      <c r="AB187">
        <v>2.3363951999999999E-3</v>
      </c>
      <c r="AC187" t="s">
        <v>787</v>
      </c>
      <c r="AE187" t="s">
        <v>543</v>
      </c>
      <c r="AF187" t="s">
        <v>788</v>
      </c>
      <c r="AG187" t="s">
        <v>789</v>
      </c>
      <c r="AH187" t="s">
        <v>330</v>
      </c>
      <c r="AI187" t="s">
        <v>540</v>
      </c>
      <c r="AJ187" t="s">
        <v>705</v>
      </c>
      <c r="AK187" t="s">
        <v>36</v>
      </c>
      <c r="AM187" t="s">
        <v>287</v>
      </c>
      <c r="AN187" t="s">
        <v>433</v>
      </c>
      <c r="AO187" t="s">
        <v>292</v>
      </c>
      <c r="AP187" t="s">
        <v>434</v>
      </c>
      <c r="AQ187" t="s">
        <v>318</v>
      </c>
      <c r="AR187" t="s">
        <v>292</v>
      </c>
      <c r="AS187" t="s">
        <v>292</v>
      </c>
      <c r="AT187" t="s">
        <v>348</v>
      </c>
      <c r="AU187" t="s">
        <v>292</v>
      </c>
      <c r="AV187" t="s">
        <v>37</v>
      </c>
      <c r="AY187" t="s">
        <v>543</v>
      </c>
      <c r="AZ187" t="s">
        <v>544</v>
      </c>
      <c r="BA187" t="s">
        <v>286</v>
      </c>
      <c r="BB187" t="s">
        <v>541</v>
      </c>
      <c r="BC187" t="s">
        <v>292</v>
      </c>
      <c r="BD187" t="s">
        <v>292</v>
      </c>
      <c r="BE187" t="s">
        <v>292</v>
      </c>
      <c r="BF187" t="s">
        <v>292</v>
      </c>
      <c r="BG187" t="s">
        <v>541</v>
      </c>
      <c r="BH187">
        <v>7</v>
      </c>
      <c r="BI187" t="s">
        <v>300</v>
      </c>
      <c r="BJ187" t="s">
        <v>300</v>
      </c>
      <c r="CK187" t="s">
        <v>560</v>
      </c>
      <c r="CL187" t="s">
        <v>561</v>
      </c>
      <c r="CM187" t="s">
        <v>9</v>
      </c>
      <c r="CN187" s="2">
        <v>43158</v>
      </c>
      <c r="CO187" t="s">
        <v>292</v>
      </c>
      <c r="CP187" t="s">
        <v>303</v>
      </c>
      <c r="CQ187" t="s">
        <v>303</v>
      </c>
      <c r="CR187" t="s">
        <v>304</v>
      </c>
      <c r="CS187" t="s">
        <v>292</v>
      </c>
      <c r="CT187">
        <v>16000</v>
      </c>
      <c r="CU187" t="b">
        <v>0</v>
      </c>
      <c r="CV187" t="s">
        <v>439</v>
      </c>
      <c r="CW187" t="s">
        <v>292</v>
      </c>
      <c r="CX187" t="s">
        <v>292</v>
      </c>
      <c r="CY187" t="b">
        <v>0</v>
      </c>
      <c r="CZ187" t="b">
        <v>0</v>
      </c>
      <c r="DC187" t="s">
        <v>292</v>
      </c>
      <c r="DJ187">
        <f>DataTable[HLD_MaturityDate] - DataTable[SEC_Issue_Date]</f>
        <v>269</v>
      </c>
    </row>
    <row r="188" spans="1:114" x14ac:dyDescent="0.2">
      <c r="A188" s="2">
        <v>43376</v>
      </c>
      <c r="B188" t="s">
        <v>46</v>
      </c>
      <c r="C188" t="s">
        <v>7</v>
      </c>
      <c r="D188" t="s">
        <v>36</v>
      </c>
      <c r="F188" t="s">
        <v>790</v>
      </c>
      <c r="H188" t="s">
        <v>540</v>
      </c>
      <c r="I188" t="s">
        <v>286</v>
      </c>
      <c r="J188" t="s">
        <v>287</v>
      </c>
      <c r="K188" t="s">
        <v>541</v>
      </c>
      <c r="N188" s="2">
        <v>43434</v>
      </c>
      <c r="O188">
        <v>58</v>
      </c>
      <c r="P188">
        <v>1.6</v>
      </c>
      <c r="Q188">
        <v>1.468547</v>
      </c>
      <c r="R188">
        <v>130000</v>
      </c>
      <c r="S188">
        <v>1000.18364</v>
      </c>
      <c r="T188">
        <v>130023873.2</v>
      </c>
      <c r="U188">
        <v>1202411.6000000001</v>
      </c>
      <c r="V188">
        <v>130000000</v>
      </c>
      <c r="W188">
        <v>0.15581700000000001</v>
      </c>
      <c r="X188">
        <v>130000000</v>
      </c>
      <c r="Z188">
        <v>130000000</v>
      </c>
      <c r="AA188">
        <v>1.6</v>
      </c>
      <c r="AB188">
        <v>6.0728310000000005E-4</v>
      </c>
      <c r="AC188" t="s">
        <v>790</v>
      </c>
      <c r="AE188" t="s">
        <v>543</v>
      </c>
      <c r="AF188" t="s">
        <v>791</v>
      </c>
      <c r="AG188" t="s">
        <v>792</v>
      </c>
      <c r="AH188" t="s">
        <v>330</v>
      </c>
      <c r="AI188" t="s">
        <v>540</v>
      </c>
      <c r="AJ188" t="s">
        <v>705</v>
      </c>
      <c r="AK188" t="s">
        <v>36</v>
      </c>
      <c r="AM188" t="s">
        <v>287</v>
      </c>
      <c r="AN188" t="s">
        <v>433</v>
      </c>
      <c r="AO188" t="s">
        <v>292</v>
      </c>
      <c r="AP188" t="s">
        <v>434</v>
      </c>
      <c r="AQ188" t="s">
        <v>318</v>
      </c>
      <c r="AR188" t="s">
        <v>292</v>
      </c>
      <c r="AS188" t="s">
        <v>292</v>
      </c>
      <c r="AT188" t="s">
        <v>348</v>
      </c>
      <c r="AU188" t="s">
        <v>292</v>
      </c>
      <c r="AV188" t="s">
        <v>37</v>
      </c>
      <c r="AY188" t="s">
        <v>543</v>
      </c>
      <c r="AZ188" t="s">
        <v>544</v>
      </c>
      <c r="BA188" t="s">
        <v>286</v>
      </c>
      <c r="BB188" t="s">
        <v>541</v>
      </c>
      <c r="BC188" t="s">
        <v>292</v>
      </c>
      <c r="BD188" t="s">
        <v>292</v>
      </c>
      <c r="BE188" t="s">
        <v>292</v>
      </c>
      <c r="BF188" t="s">
        <v>292</v>
      </c>
      <c r="BG188" t="s">
        <v>541</v>
      </c>
      <c r="BH188">
        <v>7</v>
      </c>
      <c r="BI188" t="s">
        <v>300</v>
      </c>
      <c r="BJ188" t="s">
        <v>300</v>
      </c>
      <c r="CK188" t="s">
        <v>560</v>
      </c>
      <c r="CL188" t="s">
        <v>561</v>
      </c>
      <c r="CM188" t="s">
        <v>9</v>
      </c>
      <c r="CN188" s="2">
        <v>43166</v>
      </c>
      <c r="CO188" t="s">
        <v>292</v>
      </c>
      <c r="CP188" t="s">
        <v>303</v>
      </c>
      <c r="CQ188" t="s">
        <v>303</v>
      </c>
      <c r="CR188" t="s">
        <v>304</v>
      </c>
      <c r="CS188" t="s">
        <v>292</v>
      </c>
      <c r="CT188">
        <v>16000</v>
      </c>
      <c r="CU188" t="b">
        <v>0</v>
      </c>
      <c r="CV188" t="s">
        <v>439</v>
      </c>
      <c r="CW188" t="s">
        <v>292</v>
      </c>
      <c r="CX188" t="s">
        <v>292</v>
      </c>
      <c r="CY188" t="b">
        <v>0</v>
      </c>
      <c r="CZ188" t="b">
        <v>0</v>
      </c>
      <c r="DC188" t="s">
        <v>292</v>
      </c>
      <c r="DJ188">
        <f>DataTable[HLD_MaturityDate] - DataTable[SEC_Issue_Date]</f>
        <v>268</v>
      </c>
    </row>
    <row r="189" spans="1:114" x14ac:dyDescent="0.2">
      <c r="A189" s="2">
        <v>43376</v>
      </c>
      <c r="B189" t="s">
        <v>46</v>
      </c>
      <c r="C189" t="s">
        <v>7</v>
      </c>
      <c r="D189" t="s">
        <v>36</v>
      </c>
      <c r="F189" t="s">
        <v>793</v>
      </c>
      <c r="H189" t="s">
        <v>540</v>
      </c>
      <c r="I189" t="s">
        <v>286</v>
      </c>
      <c r="J189" t="s">
        <v>287</v>
      </c>
      <c r="K189" t="s">
        <v>541</v>
      </c>
      <c r="N189" s="2">
        <v>43483</v>
      </c>
      <c r="O189">
        <v>107</v>
      </c>
      <c r="P189">
        <v>1.6</v>
      </c>
      <c r="Q189">
        <v>1.5710409999999999</v>
      </c>
      <c r="R189">
        <v>200000</v>
      </c>
      <c r="S189">
        <v>1000.05126</v>
      </c>
      <c r="T189">
        <v>200010252</v>
      </c>
      <c r="U189">
        <v>1429042</v>
      </c>
      <c r="V189">
        <v>200000000</v>
      </c>
      <c r="W189">
        <v>0.28909200000000002</v>
      </c>
      <c r="X189">
        <v>200000000</v>
      </c>
      <c r="Z189">
        <v>200000000</v>
      </c>
      <c r="AA189">
        <v>1.6</v>
      </c>
      <c r="AB189">
        <v>9.3221169999999998E-4</v>
      </c>
      <c r="AC189" t="s">
        <v>793</v>
      </c>
      <c r="AE189" t="s">
        <v>543</v>
      </c>
      <c r="AF189" t="s">
        <v>794</v>
      </c>
      <c r="AG189" t="s">
        <v>795</v>
      </c>
      <c r="AH189" t="s">
        <v>330</v>
      </c>
      <c r="AI189" t="s">
        <v>540</v>
      </c>
      <c r="AJ189" t="s">
        <v>705</v>
      </c>
      <c r="AK189" t="s">
        <v>36</v>
      </c>
      <c r="AM189" t="s">
        <v>287</v>
      </c>
      <c r="AN189" t="s">
        <v>433</v>
      </c>
      <c r="AO189" t="s">
        <v>292</v>
      </c>
      <c r="AP189" t="s">
        <v>434</v>
      </c>
      <c r="AQ189" t="s">
        <v>318</v>
      </c>
      <c r="AR189" t="s">
        <v>292</v>
      </c>
      <c r="AS189" t="s">
        <v>292</v>
      </c>
      <c r="AT189" t="s">
        <v>348</v>
      </c>
      <c r="AU189" t="s">
        <v>292</v>
      </c>
      <c r="AV189" t="s">
        <v>37</v>
      </c>
      <c r="AY189" t="s">
        <v>543</v>
      </c>
      <c r="AZ189" t="s">
        <v>544</v>
      </c>
      <c r="BA189" t="s">
        <v>286</v>
      </c>
      <c r="BB189" t="s">
        <v>541</v>
      </c>
      <c r="BC189" t="s">
        <v>292</v>
      </c>
      <c r="BD189" t="s">
        <v>292</v>
      </c>
      <c r="BE189" t="s">
        <v>292</v>
      </c>
      <c r="BF189" t="s">
        <v>292</v>
      </c>
      <c r="BG189" t="s">
        <v>541</v>
      </c>
      <c r="BH189">
        <v>7</v>
      </c>
      <c r="BI189" t="s">
        <v>300</v>
      </c>
      <c r="BJ189" t="s">
        <v>300</v>
      </c>
      <c r="CK189" t="s">
        <v>560</v>
      </c>
      <c r="CL189" t="s">
        <v>561</v>
      </c>
      <c r="CM189" t="s">
        <v>9</v>
      </c>
      <c r="CN189" s="2">
        <v>43214</v>
      </c>
      <c r="CO189" t="s">
        <v>292</v>
      </c>
      <c r="CP189" t="s">
        <v>303</v>
      </c>
      <c r="CQ189" t="s">
        <v>303</v>
      </c>
      <c r="CR189" t="s">
        <v>304</v>
      </c>
      <c r="CS189" t="s">
        <v>292</v>
      </c>
      <c r="CT189">
        <v>16000</v>
      </c>
      <c r="CU189" t="b">
        <v>0</v>
      </c>
      <c r="CV189" t="s">
        <v>439</v>
      </c>
      <c r="CW189" t="s">
        <v>292</v>
      </c>
      <c r="CX189" t="s">
        <v>292</v>
      </c>
      <c r="CY189" t="b">
        <v>0</v>
      </c>
      <c r="CZ189" t="b">
        <v>0</v>
      </c>
      <c r="DC189" t="s">
        <v>292</v>
      </c>
      <c r="DJ189">
        <f>DataTable[HLD_MaturityDate] - DataTable[SEC_Issue_Date]</f>
        <v>269</v>
      </c>
    </row>
    <row r="190" spans="1:114" x14ac:dyDescent="0.2">
      <c r="A190" s="2">
        <v>43376</v>
      </c>
      <c r="B190" t="s">
        <v>46</v>
      </c>
      <c r="C190" t="s">
        <v>7</v>
      </c>
      <c r="D190" t="s">
        <v>36</v>
      </c>
      <c r="F190" t="s">
        <v>796</v>
      </c>
      <c r="H190" t="s">
        <v>540</v>
      </c>
      <c r="I190" t="s">
        <v>286</v>
      </c>
      <c r="J190" t="s">
        <v>287</v>
      </c>
      <c r="K190" t="s">
        <v>541</v>
      </c>
      <c r="N190" s="2">
        <v>43483</v>
      </c>
      <c r="O190">
        <v>107</v>
      </c>
      <c r="P190">
        <v>1.6</v>
      </c>
      <c r="Q190">
        <v>1.5710409999999999</v>
      </c>
      <c r="R190">
        <v>850000</v>
      </c>
      <c r="S190">
        <v>1000.05147</v>
      </c>
      <c r="T190">
        <v>850043749.5</v>
      </c>
      <c r="U190">
        <v>6036164.5</v>
      </c>
      <c r="V190">
        <v>850000000</v>
      </c>
      <c r="W190">
        <v>0.28909200000000002</v>
      </c>
      <c r="X190">
        <v>850000000</v>
      </c>
      <c r="Z190">
        <v>850000000</v>
      </c>
      <c r="AA190">
        <v>1.6</v>
      </c>
      <c r="AB190">
        <v>3.9617282000000004E-3</v>
      </c>
      <c r="AC190" t="s">
        <v>796</v>
      </c>
      <c r="AE190" t="s">
        <v>543</v>
      </c>
      <c r="AF190" t="s">
        <v>797</v>
      </c>
      <c r="AG190" t="s">
        <v>798</v>
      </c>
      <c r="AH190" t="s">
        <v>330</v>
      </c>
      <c r="AI190" t="s">
        <v>540</v>
      </c>
      <c r="AJ190" t="s">
        <v>705</v>
      </c>
      <c r="AK190" t="s">
        <v>36</v>
      </c>
      <c r="AM190" t="s">
        <v>287</v>
      </c>
      <c r="AN190" t="s">
        <v>433</v>
      </c>
      <c r="AO190" t="s">
        <v>292</v>
      </c>
      <c r="AP190" t="s">
        <v>434</v>
      </c>
      <c r="AQ190" t="s">
        <v>318</v>
      </c>
      <c r="AR190" t="s">
        <v>292</v>
      </c>
      <c r="AS190" t="s">
        <v>292</v>
      </c>
      <c r="AT190" t="s">
        <v>348</v>
      </c>
      <c r="AU190" t="s">
        <v>292</v>
      </c>
      <c r="AV190" t="s">
        <v>37</v>
      </c>
      <c r="AY190" t="s">
        <v>543</v>
      </c>
      <c r="AZ190" t="s">
        <v>544</v>
      </c>
      <c r="BA190" t="s">
        <v>286</v>
      </c>
      <c r="BB190" t="s">
        <v>541</v>
      </c>
      <c r="BC190" t="s">
        <v>292</v>
      </c>
      <c r="BD190" t="s">
        <v>292</v>
      </c>
      <c r="BE190" t="s">
        <v>292</v>
      </c>
      <c r="BF190" t="s">
        <v>292</v>
      </c>
      <c r="BG190" t="s">
        <v>541</v>
      </c>
      <c r="BH190">
        <v>7</v>
      </c>
      <c r="BI190" t="s">
        <v>300</v>
      </c>
      <c r="BJ190" t="s">
        <v>300</v>
      </c>
      <c r="CK190" t="s">
        <v>560</v>
      </c>
      <c r="CL190" t="s">
        <v>561</v>
      </c>
      <c r="CM190" t="s">
        <v>9</v>
      </c>
      <c r="CN190" s="2">
        <v>43215</v>
      </c>
      <c r="CO190" t="s">
        <v>292</v>
      </c>
      <c r="CP190" t="s">
        <v>303</v>
      </c>
      <c r="CQ190" t="s">
        <v>303</v>
      </c>
      <c r="CR190" t="s">
        <v>304</v>
      </c>
      <c r="CS190" t="s">
        <v>292</v>
      </c>
      <c r="CT190">
        <v>16000</v>
      </c>
      <c r="CU190" t="b">
        <v>0</v>
      </c>
      <c r="CV190" t="s">
        <v>439</v>
      </c>
      <c r="CW190" t="s">
        <v>292</v>
      </c>
      <c r="CX190" t="s">
        <v>292</v>
      </c>
      <c r="CY190" t="b">
        <v>0</v>
      </c>
      <c r="CZ190" t="b">
        <v>0</v>
      </c>
      <c r="DC190" t="s">
        <v>292</v>
      </c>
      <c r="DJ190">
        <f>DataTable[HLD_MaturityDate] - DataTable[SEC_Issue_Date]</f>
        <v>268</v>
      </c>
    </row>
    <row r="191" spans="1:114" x14ac:dyDescent="0.2">
      <c r="A191" s="2">
        <v>43376</v>
      </c>
      <c r="B191" t="s">
        <v>46</v>
      </c>
      <c r="C191" t="s">
        <v>7</v>
      </c>
      <c r="D191" t="s">
        <v>36</v>
      </c>
      <c r="F191" t="s">
        <v>799</v>
      </c>
      <c r="G191" t="s">
        <v>541</v>
      </c>
      <c r="H191" t="s">
        <v>540</v>
      </c>
      <c r="I191" t="s">
        <v>286</v>
      </c>
      <c r="J191" t="s">
        <v>287</v>
      </c>
      <c r="K191" t="s">
        <v>541</v>
      </c>
      <c r="N191" s="2">
        <v>43910</v>
      </c>
      <c r="O191">
        <v>534</v>
      </c>
      <c r="P191">
        <v>1.72</v>
      </c>
      <c r="Q191">
        <v>2.2653089999999998</v>
      </c>
      <c r="R191">
        <v>925000</v>
      </c>
      <c r="S191">
        <v>992.29187000000002</v>
      </c>
      <c r="T191">
        <v>917869979.75</v>
      </c>
      <c r="U191">
        <v>610250.25</v>
      </c>
      <c r="V191">
        <v>925000000</v>
      </c>
      <c r="W191">
        <v>1.4285429999999999</v>
      </c>
      <c r="X191">
        <v>925000000</v>
      </c>
      <c r="Z191">
        <v>925000000</v>
      </c>
      <c r="AA191">
        <v>1.72</v>
      </c>
      <c r="AB191">
        <v>4.2505015999999996E-3</v>
      </c>
      <c r="AC191" t="s">
        <v>799</v>
      </c>
      <c r="AE191" t="s">
        <v>543</v>
      </c>
      <c r="AF191" t="s">
        <v>800</v>
      </c>
      <c r="AG191" t="s">
        <v>801</v>
      </c>
      <c r="AH191" t="s">
        <v>330</v>
      </c>
      <c r="AI191" t="s">
        <v>540</v>
      </c>
      <c r="AJ191" t="s">
        <v>523</v>
      </c>
      <c r="AK191" t="s">
        <v>36</v>
      </c>
      <c r="AM191" t="s">
        <v>287</v>
      </c>
      <c r="AN191" t="s">
        <v>433</v>
      </c>
      <c r="AO191" t="s">
        <v>292</v>
      </c>
      <c r="AP191" t="s">
        <v>434</v>
      </c>
      <c r="AQ191" t="s">
        <v>318</v>
      </c>
      <c r="AR191" t="s">
        <v>292</v>
      </c>
      <c r="AS191" t="s">
        <v>292</v>
      </c>
      <c r="AT191" t="s">
        <v>348</v>
      </c>
      <c r="AU191" t="s">
        <v>292</v>
      </c>
      <c r="AV191" t="s">
        <v>37</v>
      </c>
      <c r="AW191" t="s">
        <v>541</v>
      </c>
      <c r="AX191">
        <v>7</v>
      </c>
      <c r="AY191" t="s">
        <v>543</v>
      </c>
      <c r="AZ191" t="s">
        <v>544</v>
      </c>
      <c r="BA191" t="s">
        <v>286</v>
      </c>
      <c r="BB191" t="s">
        <v>541</v>
      </c>
      <c r="BC191" t="s">
        <v>292</v>
      </c>
      <c r="BD191" t="s">
        <v>292</v>
      </c>
      <c r="BE191" t="s">
        <v>292</v>
      </c>
      <c r="BF191" t="s">
        <v>292</v>
      </c>
      <c r="BG191" t="s">
        <v>541</v>
      </c>
      <c r="BH191">
        <v>7</v>
      </c>
      <c r="BI191" t="s">
        <v>300</v>
      </c>
      <c r="BJ191" t="s">
        <v>300</v>
      </c>
      <c r="CK191" t="s">
        <v>560</v>
      </c>
      <c r="CL191" t="s">
        <v>561</v>
      </c>
      <c r="CM191" t="s">
        <v>9</v>
      </c>
      <c r="CN191" s="2">
        <v>43179</v>
      </c>
      <c r="CO191" t="s">
        <v>292</v>
      </c>
      <c r="CP191" t="s">
        <v>303</v>
      </c>
      <c r="CQ191" t="s">
        <v>303</v>
      </c>
      <c r="CR191" t="s">
        <v>304</v>
      </c>
      <c r="CS191" t="s">
        <v>292</v>
      </c>
      <c r="CT191">
        <v>16000</v>
      </c>
      <c r="CU191" t="b">
        <v>0</v>
      </c>
      <c r="CV191" t="s">
        <v>439</v>
      </c>
      <c r="CW191" t="s">
        <v>292</v>
      </c>
      <c r="CX191" t="s">
        <v>292</v>
      </c>
      <c r="CY191" t="b">
        <v>0</v>
      </c>
      <c r="CZ191" t="b">
        <v>0</v>
      </c>
      <c r="DC191" t="s">
        <v>802</v>
      </c>
      <c r="DJ191">
        <f>DataTable[HLD_MaturityDate] - DataTable[SEC_Issue_Date]</f>
        <v>731</v>
      </c>
    </row>
    <row r="192" spans="1:114" x14ac:dyDescent="0.2">
      <c r="A192" s="2">
        <v>43376</v>
      </c>
      <c r="B192" t="s">
        <v>46</v>
      </c>
      <c r="C192" t="s">
        <v>7</v>
      </c>
      <c r="D192" t="s">
        <v>36</v>
      </c>
      <c r="F192" t="s">
        <v>803</v>
      </c>
      <c r="H192" t="s">
        <v>804</v>
      </c>
      <c r="I192" t="s">
        <v>415</v>
      </c>
      <c r="J192" t="s">
        <v>287</v>
      </c>
      <c r="K192" t="s">
        <v>541</v>
      </c>
      <c r="N192" s="2">
        <v>43738</v>
      </c>
      <c r="O192">
        <v>362</v>
      </c>
      <c r="P192">
        <v>1.7</v>
      </c>
      <c r="Q192">
        <v>2.1571600000000002</v>
      </c>
      <c r="R192">
        <v>1159000</v>
      </c>
      <c r="S192">
        <v>995.63692000000003</v>
      </c>
      <c r="T192">
        <v>1153943190.28</v>
      </c>
      <c r="U192">
        <v>215921.7</v>
      </c>
      <c r="V192">
        <v>1159000000</v>
      </c>
      <c r="W192">
        <v>0.97024299999999997</v>
      </c>
      <c r="X192">
        <v>1159000000</v>
      </c>
      <c r="Z192">
        <v>1159000000</v>
      </c>
      <c r="AA192">
        <v>1.7</v>
      </c>
      <c r="AB192">
        <v>5.3411657E-3</v>
      </c>
      <c r="AC192" t="s">
        <v>803</v>
      </c>
      <c r="AE192" t="s">
        <v>805</v>
      </c>
      <c r="AF192" t="s">
        <v>806</v>
      </c>
      <c r="AG192" t="s">
        <v>807</v>
      </c>
      <c r="AH192" t="s">
        <v>330</v>
      </c>
      <c r="AI192" t="s">
        <v>804</v>
      </c>
      <c r="AJ192" t="s">
        <v>523</v>
      </c>
      <c r="AK192" t="s">
        <v>36</v>
      </c>
      <c r="AM192" t="s">
        <v>287</v>
      </c>
      <c r="AN192" t="s">
        <v>433</v>
      </c>
      <c r="AO192" t="s">
        <v>292</v>
      </c>
      <c r="AP192" t="s">
        <v>434</v>
      </c>
      <c r="AQ192" t="s">
        <v>318</v>
      </c>
      <c r="AR192" t="s">
        <v>292</v>
      </c>
      <c r="AS192" t="s">
        <v>292</v>
      </c>
      <c r="AT192" t="s">
        <v>348</v>
      </c>
      <c r="AU192" t="s">
        <v>292</v>
      </c>
      <c r="AV192" t="s">
        <v>37</v>
      </c>
      <c r="AY192" t="s">
        <v>808</v>
      </c>
      <c r="AZ192" t="s">
        <v>809</v>
      </c>
      <c r="BA192" t="s">
        <v>415</v>
      </c>
      <c r="BB192" t="s">
        <v>541</v>
      </c>
      <c r="BC192" t="s">
        <v>292</v>
      </c>
      <c r="BD192" t="s">
        <v>292</v>
      </c>
      <c r="BE192" t="s">
        <v>292</v>
      </c>
      <c r="BF192" t="s">
        <v>292</v>
      </c>
      <c r="BG192" t="s">
        <v>541</v>
      </c>
      <c r="BH192">
        <v>7</v>
      </c>
      <c r="BI192" t="s">
        <v>300</v>
      </c>
      <c r="BJ192" t="s">
        <v>300</v>
      </c>
      <c r="CK192" t="s">
        <v>560</v>
      </c>
      <c r="CL192" t="s">
        <v>561</v>
      </c>
      <c r="CM192" t="s">
        <v>9</v>
      </c>
      <c r="CN192" s="2">
        <v>43189</v>
      </c>
      <c r="CO192" t="s">
        <v>292</v>
      </c>
      <c r="CP192" t="s">
        <v>303</v>
      </c>
      <c r="CQ192" t="s">
        <v>303</v>
      </c>
      <c r="CR192" t="s">
        <v>304</v>
      </c>
      <c r="CS192" t="s">
        <v>292</v>
      </c>
      <c r="CT192">
        <v>13000</v>
      </c>
      <c r="CU192" t="b">
        <v>0</v>
      </c>
      <c r="CV192" t="s">
        <v>439</v>
      </c>
      <c r="CW192" t="s">
        <v>292</v>
      </c>
      <c r="CX192" t="s">
        <v>292</v>
      </c>
      <c r="CY192" t="b">
        <v>0</v>
      </c>
      <c r="CZ192" t="b">
        <v>0</v>
      </c>
      <c r="DC192" t="s">
        <v>292</v>
      </c>
      <c r="DJ192">
        <f>DataTable[HLD_MaturityDate] - DataTable[SEC_Issue_Date]</f>
        <v>549</v>
      </c>
    </row>
    <row r="193" spans="1:114" x14ac:dyDescent="0.2">
      <c r="A193" s="2">
        <v>43376</v>
      </c>
      <c r="B193" t="s">
        <v>46</v>
      </c>
      <c r="C193" t="s">
        <v>7</v>
      </c>
      <c r="D193" t="s">
        <v>36</v>
      </c>
      <c r="F193" t="s">
        <v>810</v>
      </c>
      <c r="H193" t="s">
        <v>804</v>
      </c>
      <c r="I193" t="s">
        <v>415</v>
      </c>
      <c r="J193" t="s">
        <v>287</v>
      </c>
      <c r="K193" t="s">
        <v>541</v>
      </c>
      <c r="N193" s="2">
        <v>43920</v>
      </c>
      <c r="O193">
        <v>544</v>
      </c>
      <c r="P193">
        <v>1.75</v>
      </c>
      <c r="Q193">
        <v>2.281263</v>
      </c>
      <c r="R193">
        <v>160000</v>
      </c>
      <c r="S193">
        <v>992.35686999999996</v>
      </c>
      <c r="T193">
        <v>158777099.19999999</v>
      </c>
      <c r="U193">
        <v>30684.799999999999</v>
      </c>
      <c r="V193">
        <v>160000000</v>
      </c>
      <c r="W193">
        <v>1.4553020000000001</v>
      </c>
      <c r="X193">
        <v>160000000</v>
      </c>
      <c r="Z193">
        <v>160000000</v>
      </c>
      <c r="AA193">
        <v>1.75</v>
      </c>
      <c r="AB193">
        <v>7.3492350000000002E-4</v>
      </c>
      <c r="AC193" t="s">
        <v>810</v>
      </c>
      <c r="AE193" t="s">
        <v>805</v>
      </c>
      <c r="AF193" t="s">
        <v>811</v>
      </c>
      <c r="AG193" t="s">
        <v>812</v>
      </c>
      <c r="AH193" t="s">
        <v>330</v>
      </c>
      <c r="AI193" t="s">
        <v>804</v>
      </c>
      <c r="AJ193" t="s">
        <v>523</v>
      </c>
      <c r="AK193" t="s">
        <v>36</v>
      </c>
      <c r="AM193" t="s">
        <v>287</v>
      </c>
      <c r="AN193" t="s">
        <v>433</v>
      </c>
      <c r="AO193" t="s">
        <v>292</v>
      </c>
      <c r="AP193" t="s">
        <v>434</v>
      </c>
      <c r="AQ193" t="s">
        <v>318</v>
      </c>
      <c r="AR193" t="s">
        <v>292</v>
      </c>
      <c r="AS193" t="s">
        <v>292</v>
      </c>
      <c r="AT193" t="s">
        <v>348</v>
      </c>
      <c r="AU193" t="s">
        <v>292</v>
      </c>
      <c r="AV193" t="s">
        <v>37</v>
      </c>
      <c r="AY193" t="s">
        <v>808</v>
      </c>
      <c r="AZ193" t="s">
        <v>809</v>
      </c>
      <c r="BA193" t="s">
        <v>415</v>
      </c>
      <c r="BB193" t="s">
        <v>541</v>
      </c>
      <c r="BC193" t="s">
        <v>292</v>
      </c>
      <c r="BD193" t="s">
        <v>292</v>
      </c>
      <c r="BE193" t="s">
        <v>292</v>
      </c>
      <c r="BF193" t="s">
        <v>292</v>
      </c>
      <c r="BG193" t="s">
        <v>541</v>
      </c>
      <c r="BH193">
        <v>7</v>
      </c>
      <c r="BI193" t="s">
        <v>300</v>
      </c>
      <c r="BJ193" t="s">
        <v>300</v>
      </c>
      <c r="CK193" t="s">
        <v>560</v>
      </c>
      <c r="CL193" t="s">
        <v>561</v>
      </c>
      <c r="CM193" t="s">
        <v>9</v>
      </c>
      <c r="CN193" s="2">
        <v>43189</v>
      </c>
      <c r="CO193" t="s">
        <v>292</v>
      </c>
      <c r="CP193" t="s">
        <v>303</v>
      </c>
      <c r="CQ193" t="s">
        <v>303</v>
      </c>
      <c r="CR193" t="s">
        <v>304</v>
      </c>
      <c r="CS193" t="s">
        <v>292</v>
      </c>
      <c r="CT193">
        <v>13000</v>
      </c>
      <c r="CU193" t="b">
        <v>0</v>
      </c>
      <c r="CV193" t="s">
        <v>439</v>
      </c>
      <c r="CW193" t="s">
        <v>292</v>
      </c>
      <c r="CX193" t="s">
        <v>292</v>
      </c>
      <c r="CY193" t="b">
        <v>0</v>
      </c>
      <c r="CZ193" t="b">
        <v>0</v>
      </c>
      <c r="DC193" t="s">
        <v>292</v>
      </c>
      <c r="DJ193">
        <f>DataTable[HLD_MaturityDate] - DataTable[SEC_Issue_Date]</f>
        <v>731</v>
      </c>
    </row>
    <row r="194" spans="1:114" x14ac:dyDescent="0.2">
      <c r="A194" s="2">
        <v>43376</v>
      </c>
      <c r="B194" t="s">
        <v>46</v>
      </c>
      <c r="C194" t="s">
        <v>7</v>
      </c>
      <c r="D194" t="s">
        <v>36</v>
      </c>
      <c r="F194" t="s">
        <v>813</v>
      </c>
      <c r="G194" t="s">
        <v>359</v>
      </c>
      <c r="H194" t="s">
        <v>441</v>
      </c>
      <c r="I194" t="s">
        <v>415</v>
      </c>
      <c r="J194" t="s">
        <v>442</v>
      </c>
      <c r="K194" t="s">
        <v>359</v>
      </c>
      <c r="N194" s="2">
        <v>43390</v>
      </c>
      <c r="O194">
        <v>14</v>
      </c>
      <c r="P194">
        <v>4.53</v>
      </c>
      <c r="Q194">
        <v>1.5024999999999999</v>
      </c>
      <c r="R194">
        <v>70000</v>
      </c>
      <c r="S194">
        <v>1001.0063</v>
      </c>
      <c r="T194">
        <v>70070441</v>
      </c>
      <c r="U194">
        <v>1476904.1</v>
      </c>
      <c r="V194">
        <v>70056386.400000006</v>
      </c>
      <c r="W194">
        <v>3.5357E-2</v>
      </c>
      <c r="X194">
        <v>70000000</v>
      </c>
      <c r="Z194">
        <v>73246362</v>
      </c>
      <c r="AA194">
        <v>2.0590000000000002</v>
      </c>
      <c r="AB194">
        <v>3.3110360000000001E-4</v>
      </c>
      <c r="AC194" t="s">
        <v>813</v>
      </c>
      <c r="AE194" t="s">
        <v>443</v>
      </c>
      <c r="AF194" t="s">
        <v>814</v>
      </c>
      <c r="AG194" t="s">
        <v>815</v>
      </c>
      <c r="AH194" t="s">
        <v>330</v>
      </c>
      <c r="AI194" t="s">
        <v>441</v>
      </c>
      <c r="AJ194" t="s">
        <v>523</v>
      </c>
      <c r="AK194" t="s">
        <v>36</v>
      </c>
      <c r="AM194" t="s">
        <v>446</v>
      </c>
      <c r="AN194" t="s">
        <v>447</v>
      </c>
      <c r="AO194" t="s">
        <v>292</v>
      </c>
      <c r="AP194" t="s">
        <v>434</v>
      </c>
      <c r="AQ194" t="s">
        <v>318</v>
      </c>
      <c r="AR194" t="s">
        <v>292</v>
      </c>
      <c r="AS194" t="s">
        <v>292</v>
      </c>
      <c r="AT194" t="s">
        <v>348</v>
      </c>
      <c r="AU194" t="s">
        <v>292</v>
      </c>
      <c r="AV194" t="s">
        <v>37</v>
      </c>
      <c r="AW194" t="s">
        <v>359</v>
      </c>
      <c r="AX194">
        <v>5</v>
      </c>
      <c r="AY194" t="s">
        <v>448</v>
      </c>
      <c r="AZ194" t="s">
        <v>449</v>
      </c>
      <c r="BA194" t="s">
        <v>415</v>
      </c>
      <c r="BB194" t="s">
        <v>359</v>
      </c>
      <c r="BC194" t="s">
        <v>292</v>
      </c>
      <c r="BD194" t="s">
        <v>292</v>
      </c>
      <c r="BE194" t="s">
        <v>292</v>
      </c>
      <c r="BF194" t="s">
        <v>292</v>
      </c>
      <c r="BG194" t="s">
        <v>359</v>
      </c>
      <c r="BH194">
        <v>5</v>
      </c>
      <c r="CK194" t="s">
        <v>560</v>
      </c>
      <c r="CL194" t="s">
        <v>561</v>
      </c>
      <c r="CM194" t="s">
        <v>9</v>
      </c>
      <c r="CN194" s="2">
        <v>41564</v>
      </c>
      <c r="CO194" t="s">
        <v>292</v>
      </c>
      <c r="CP194" t="s">
        <v>303</v>
      </c>
      <c r="CQ194" t="s">
        <v>303</v>
      </c>
      <c r="CR194" t="s">
        <v>304</v>
      </c>
      <c r="CS194" t="s">
        <v>292</v>
      </c>
      <c r="CT194">
        <v>17000</v>
      </c>
      <c r="CU194" t="b">
        <v>0</v>
      </c>
      <c r="CV194" t="s">
        <v>439</v>
      </c>
      <c r="CW194" t="s">
        <v>292</v>
      </c>
      <c r="CX194" t="s">
        <v>292</v>
      </c>
      <c r="CY194" t="b">
        <v>0</v>
      </c>
      <c r="CZ194" t="b">
        <v>0</v>
      </c>
      <c r="DC194" t="s">
        <v>816</v>
      </c>
      <c r="DJ194">
        <f>DataTable[HLD_MaturityDate] - DataTable[SEC_Issue_Date]</f>
        <v>1826</v>
      </c>
    </row>
    <row r="195" spans="1:114" x14ac:dyDescent="0.2">
      <c r="A195" s="2">
        <v>43376</v>
      </c>
      <c r="B195" t="s">
        <v>46</v>
      </c>
      <c r="C195" t="s">
        <v>7</v>
      </c>
      <c r="D195" t="s">
        <v>36</v>
      </c>
      <c r="F195" t="s">
        <v>817</v>
      </c>
      <c r="G195" t="s">
        <v>12</v>
      </c>
      <c r="H195" t="s">
        <v>818</v>
      </c>
      <c r="I195" t="s">
        <v>286</v>
      </c>
      <c r="J195" t="s">
        <v>455</v>
      </c>
      <c r="K195" t="s">
        <v>12</v>
      </c>
      <c r="N195" s="2">
        <v>43417</v>
      </c>
      <c r="O195">
        <v>41</v>
      </c>
      <c r="P195">
        <v>2.68</v>
      </c>
      <c r="Q195">
        <v>1.459903</v>
      </c>
      <c r="R195">
        <v>13500</v>
      </c>
      <c r="S195">
        <v>1001.27552</v>
      </c>
      <c r="T195">
        <v>13517219.52</v>
      </c>
      <c r="U195">
        <v>51544.08</v>
      </c>
      <c r="V195">
        <v>13506786.720000001</v>
      </c>
      <c r="W195">
        <v>0.109195</v>
      </c>
      <c r="X195">
        <v>13500000</v>
      </c>
      <c r="Z195">
        <v>13623817.58</v>
      </c>
      <c r="AA195">
        <v>2.1649630000000002</v>
      </c>
      <c r="AB195">
        <v>6.27929E-5</v>
      </c>
      <c r="AC195" t="s">
        <v>817</v>
      </c>
      <c r="AE195" t="s">
        <v>819</v>
      </c>
      <c r="AF195" t="s">
        <v>820</v>
      </c>
      <c r="AG195" t="s">
        <v>821</v>
      </c>
      <c r="AH195" t="s">
        <v>330</v>
      </c>
      <c r="AI195" t="s">
        <v>818</v>
      </c>
      <c r="AJ195" t="s">
        <v>822</v>
      </c>
      <c r="AK195" t="s">
        <v>36</v>
      </c>
      <c r="AM195" t="s">
        <v>455</v>
      </c>
      <c r="AN195" t="s">
        <v>688</v>
      </c>
      <c r="AO195" t="s">
        <v>292</v>
      </c>
      <c r="AP195" t="s">
        <v>434</v>
      </c>
      <c r="AQ195" t="s">
        <v>318</v>
      </c>
      <c r="AR195" t="s">
        <v>292</v>
      </c>
      <c r="AS195" t="s">
        <v>292</v>
      </c>
      <c r="AT195" t="s">
        <v>334</v>
      </c>
      <c r="AU195" t="s">
        <v>292</v>
      </c>
      <c r="AV195" t="s">
        <v>37</v>
      </c>
      <c r="AW195" t="s">
        <v>12</v>
      </c>
      <c r="AX195">
        <v>6</v>
      </c>
      <c r="AY195" t="s">
        <v>823</v>
      </c>
      <c r="AZ195" t="s">
        <v>824</v>
      </c>
      <c r="BA195" t="s">
        <v>286</v>
      </c>
      <c r="BB195" t="s">
        <v>12</v>
      </c>
      <c r="BC195" t="s">
        <v>292</v>
      </c>
      <c r="BD195" t="s">
        <v>292</v>
      </c>
      <c r="BE195" t="s">
        <v>292</v>
      </c>
      <c r="BF195" t="s">
        <v>292</v>
      </c>
      <c r="BG195" t="s">
        <v>12</v>
      </c>
      <c r="BH195">
        <v>6</v>
      </c>
      <c r="CK195" t="s">
        <v>560</v>
      </c>
      <c r="CL195" t="s">
        <v>561</v>
      </c>
      <c r="CM195" t="s">
        <v>9</v>
      </c>
      <c r="CN195" s="2">
        <v>42137</v>
      </c>
      <c r="CO195" t="s">
        <v>292</v>
      </c>
      <c r="CP195" t="s">
        <v>303</v>
      </c>
      <c r="CQ195" t="s">
        <v>303</v>
      </c>
      <c r="CR195" t="s">
        <v>304</v>
      </c>
      <c r="CS195" t="s">
        <v>292</v>
      </c>
      <c r="CT195">
        <v>7000</v>
      </c>
      <c r="CU195" t="b">
        <v>0</v>
      </c>
      <c r="CV195" t="s">
        <v>439</v>
      </c>
      <c r="CW195" t="s">
        <v>292</v>
      </c>
      <c r="CX195" t="s">
        <v>292</v>
      </c>
      <c r="CY195" t="b">
        <v>0</v>
      </c>
      <c r="CZ195" t="b">
        <v>0</v>
      </c>
      <c r="DC195" t="s">
        <v>825</v>
      </c>
      <c r="DJ195">
        <f>DataTable[HLD_MaturityDate] - DataTable[SEC_Issue_Date]</f>
        <v>1280</v>
      </c>
    </row>
    <row r="196" spans="1:114" x14ac:dyDescent="0.2">
      <c r="A196" s="2">
        <v>43376</v>
      </c>
      <c r="B196" t="s">
        <v>46</v>
      </c>
      <c r="C196" t="s">
        <v>7</v>
      </c>
      <c r="D196" t="s">
        <v>36</v>
      </c>
      <c r="F196" t="s">
        <v>826</v>
      </c>
      <c r="G196" t="s">
        <v>541</v>
      </c>
      <c r="H196" t="s">
        <v>827</v>
      </c>
      <c r="I196" t="s">
        <v>286</v>
      </c>
      <c r="J196" t="s">
        <v>455</v>
      </c>
      <c r="K196" t="s">
        <v>541</v>
      </c>
      <c r="N196" s="2">
        <v>44260</v>
      </c>
      <c r="O196">
        <v>884</v>
      </c>
      <c r="P196">
        <v>2.16</v>
      </c>
      <c r="Q196">
        <v>2.6300370000000002</v>
      </c>
      <c r="R196">
        <v>363000</v>
      </c>
      <c r="S196">
        <v>989.14369999999997</v>
      </c>
      <c r="T196">
        <v>359059163.10000002</v>
      </c>
      <c r="U196">
        <v>622966.07999999996</v>
      </c>
      <c r="V196">
        <v>363000000</v>
      </c>
      <c r="W196">
        <v>2.3325520000000002</v>
      </c>
      <c r="X196">
        <v>363000000</v>
      </c>
      <c r="Z196">
        <v>363000000</v>
      </c>
      <c r="AA196">
        <v>2.16</v>
      </c>
      <c r="AB196">
        <v>1.6645207999999999E-3</v>
      </c>
      <c r="AC196" t="s">
        <v>826</v>
      </c>
      <c r="AE196" t="s">
        <v>828</v>
      </c>
      <c r="AF196" t="s">
        <v>829</v>
      </c>
      <c r="AG196" t="s">
        <v>830</v>
      </c>
      <c r="AH196" t="s">
        <v>330</v>
      </c>
      <c r="AI196" t="s">
        <v>827</v>
      </c>
      <c r="AJ196" t="s">
        <v>523</v>
      </c>
      <c r="AK196" t="s">
        <v>36</v>
      </c>
      <c r="AM196" t="s">
        <v>455</v>
      </c>
      <c r="AN196" t="s">
        <v>688</v>
      </c>
      <c r="AO196" t="s">
        <v>292</v>
      </c>
      <c r="AP196" t="s">
        <v>434</v>
      </c>
      <c r="AQ196" t="s">
        <v>318</v>
      </c>
      <c r="AR196" t="s">
        <v>292</v>
      </c>
      <c r="AS196" t="s">
        <v>292</v>
      </c>
      <c r="AT196" t="s">
        <v>348</v>
      </c>
      <c r="AU196" t="s">
        <v>292</v>
      </c>
      <c r="AV196" t="s">
        <v>37</v>
      </c>
      <c r="AW196" t="s">
        <v>541</v>
      </c>
      <c r="AX196">
        <v>7</v>
      </c>
      <c r="AY196" t="s">
        <v>828</v>
      </c>
      <c r="AZ196" t="s">
        <v>831</v>
      </c>
      <c r="BA196" t="s">
        <v>286</v>
      </c>
      <c r="BB196" t="s">
        <v>541</v>
      </c>
      <c r="BC196" t="s">
        <v>292</v>
      </c>
      <c r="BD196" t="s">
        <v>292</v>
      </c>
      <c r="BE196" t="s">
        <v>292</v>
      </c>
      <c r="BF196" t="s">
        <v>292</v>
      </c>
      <c r="BG196" t="s">
        <v>541</v>
      </c>
      <c r="BH196">
        <v>7</v>
      </c>
      <c r="CK196" t="s">
        <v>560</v>
      </c>
      <c r="CL196" t="s">
        <v>561</v>
      </c>
      <c r="CM196" t="s">
        <v>9</v>
      </c>
      <c r="CN196" s="2">
        <v>43164</v>
      </c>
      <c r="CO196" t="s">
        <v>292</v>
      </c>
      <c r="CP196" t="s">
        <v>303</v>
      </c>
      <c r="CQ196" t="s">
        <v>303</v>
      </c>
      <c r="CR196" t="s">
        <v>304</v>
      </c>
      <c r="CS196" t="s">
        <v>292</v>
      </c>
      <c r="CT196">
        <v>3000</v>
      </c>
      <c r="CU196" t="b">
        <v>0</v>
      </c>
      <c r="CV196" t="s">
        <v>439</v>
      </c>
      <c r="CW196" t="s">
        <v>292</v>
      </c>
      <c r="CX196" t="s">
        <v>292</v>
      </c>
      <c r="CY196" t="b">
        <v>0</v>
      </c>
      <c r="CZ196" t="b">
        <v>0</v>
      </c>
      <c r="DC196" t="s">
        <v>832</v>
      </c>
      <c r="DJ196">
        <f>DataTable[HLD_MaturityDate] - DataTable[SEC_Issue_Date]</f>
        <v>1096</v>
      </c>
    </row>
    <row r="197" spans="1:114" x14ac:dyDescent="0.2">
      <c r="A197" s="2">
        <v>43376</v>
      </c>
      <c r="B197" t="s">
        <v>46</v>
      </c>
      <c r="C197" t="s">
        <v>7</v>
      </c>
      <c r="D197" t="s">
        <v>36</v>
      </c>
      <c r="F197" t="s">
        <v>833</v>
      </c>
      <c r="G197" t="s">
        <v>388</v>
      </c>
      <c r="H197" t="s">
        <v>285</v>
      </c>
      <c r="I197" t="s">
        <v>286</v>
      </c>
      <c r="J197" t="s">
        <v>287</v>
      </c>
      <c r="K197" t="s">
        <v>288</v>
      </c>
      <c r="N197" s="2">
        <v>43514</v>
      </c>
      <c r="O197">
        <v>138</v>
      </c>
      <c r="P197">
        <v>1.6</v>
      </c>
      <c r="Q197">
        <v>1.565096</v>
      </c>
      <c r="R197">
        <v>616000</v>
      </c>
      <c r="S197">
        <v>1000.11796</v>
      </c>
      <c r="T197">
        <v>616072663.36000001</v>
      </c>
      <c r="U197">
        <v>1296131.76</v>
      </c>
      <c r="V197">
        <v>616000000</v>
      </c>
      <c r="W197">
        <v>0.37314999999999998</v>
      </c>
      <c r="X197">
        <v>616000000</v>
      </c>
      <c r="Z197">
        <v>616000000</v>
      </c>
      <c r="AA197">
        <v>1.6</v>
      </c>
      <c r="AB197">
        <v>2.8570316000000001E-3</v>
      </c>
      <c r="AC197" t="s">
        <v>833</v>
      </c>
      <c r="AE197" t="s">
        <v>834</v>
      </c>
      <c r="AF197" t="s">
        <v>835</v>
      </c>
      <c r="AG197" t="s">
        <v>836</v>
      </c>
      <c r="AH197" t="s">
        <v>330</v>
      </c>
      <c r="AI197" t="s">
        <v>285</v>
      </c>
      <c r="AJ197" t="s">
        <v>705</v>
      </c>
      <c r="AK197" t="s">
        <v>36</v>
      </c>
      <c r="AM197" t="s">
        <v>287</v>
      </c>
      <c r="AN197" t="s">
        <v>433</v>
      </c>
      <c r="AO197" t="s">
        <v>292</v>
      </c>
      <c r="AP197" t="s">
        <v>434</v>
      </c>
      <c r="AQ197" t="s">
        <v>318</v>
      </c>
      <c r="AR197" t="s">
        <v>292</v>
      </c>
      <c r="AS197" t="s">
        <v>292</v>
      </c>
      <c r="AT197" t="s">
        <v>348</v>
      </c>
      <c r="AU197" t="s">
        <v>292</v>
      </c>
      <c r="AV197" t="s">
        <v>37</v>
      </c>
      <c r="AW197" t="s">
        <v>388</v>
      </c>
      <c r="AX197">
        <v>1</v>
      </c>
      <c r="AY197" t="s">
        <v>296</v>
      </c>
      <c r="AZ197" t="s">
        <v>297</v>
      </c>
      <c r="BA197" t="s">
        <v>286</v>
      </c>
      <c r="BB197" t="s">
        <v>292</v>
      </c>
      <c r="BC197" t="s">
        <v>288</v>
      </c>
      <c r="BD197" t="s">
        <v>292</v>
      </c>
      <c r="BE197" t="s">
        <v>298</v>
      </c>
      <c r="BF197" t="s">
        <v>299</v>
      </c>
      <c r="BG197" t="s">
        <v>288</v>
      </c>
      <c r="BH197">
        <v>2</v>
      </c>
      <c r="BI197" t="s">
        <v>300</v>
      </c>
      <c r="BJ197" t="s">
        <v>300</v>
      </c>
      <c r="CK197" t="s">
        <v>560</v>
      </c>
      <c r="CL197" t="s">
        <v>561</v>
      </c>
      <c r="CM197" t="s">
        <v>9</v>
      </c>
      <c r="CN197" s="2">
        <v>43329</v>
      </c>
      <c r="CO197" t="s">
        <v>292</v>
      </c>
      <c r="CP197" t="s">
        <v>303</v>
      </c>
      <c r="CQ197" t="s">
        <v>303</v>
      </c>
      <c r="CR197" t="s">
        <v>304</v>
      </c>
      <c r="CS197" t="s">
        <v>292</v>
      </c>
      <c r="CT197">
        <v>52000</v>
      </c>
      <c r="CU197" t="b">
        <v>0</v>
      </c>
      <c r="CV197" t="s">
        <v>439</v>
      </c>
      <c r="CW197" t="s">
        <v>292</v>
      </c>
      <c r="CX197" t="s">
        <v>292</v>
      </c>
      <c r="CY197" t="b">
        <v>0</v>
      </c>
      <c r="CZ197" t="b">
        <v>0</v>
      </c>
      <c r="DC197" t="s">
        <v>292</v>
      </c>
      <c r="DJ197">
        <f>DataTable[HLD_MaturityDate] - DataTable[SEC_Issue_Date]</f>
        <v>185</v>
      </c>
    </row>
    <row r="198" spans="1:114" x14ac:dyDescent="0.2">
      <c r="A198" s="2">
        <v>43376</v>
      </c>
      <c r="B198" t="s">
        <v>46</v>
      </c>
      <c r="C198" t="s">
        <v>7</v>
      </c>
      <c r="D198" t="s">
        <v>36</v>
      </c>
      <c r="F198" t="s">
        <v>837</v>
      </c>
      <c r="G198" t="s">
        <v>12</v>
      </c>
      <c r="H198" t="s">
        <v>454</v>
      </c>
      <c r="I198" t="s">
        <v>286</v>
      </c>
      <c r="J198" t="s">
        <v>455</v>
      </c>
      <c r="K198" t="s">
        <v>12</v>
      </c>
      <c r="N198" s="2">
        <v>44270</v>
      </c>
      <c r="O198">
        <v>894</v>
      </c>
      <c r="P198">
        <v>2.09</v>
      </c>
      <c r="Q198">
        <v>2.47255</v>
      </c>
      <c r="R198">
        <v>113000</v>
      </c>
      <c r="S198">
        <v>991.06142</v>
      </c>
      <c r="T198">
        <v>111989940.45999999</v>
      </c>
      <c r="U198">
        <v>122938.35</v>
      </c>
      <c r="V198">
        <v>113000000</v>
      </c>
      <c r="W198">
        <v>2.3631609999999998</v>
      </c>
      <c r="X198">
        <v>113000000</v>
      </c>
      <c r="Z198">
        <v>113000000</v>
      </c>
      <c r="AA198">
        <v>2.09</v>
      </c>
      <c r="AB198">
        <v>5.1883090000000005E-4</v>
      </c>
      <c r="AC198" t="s">
        <v>837</v>
      </c>
      <c r="AE198" t="s">
        <v>456</v>
      </c>
      <c r="AF198" t="s">
        <v>838</v>
      </c>
      <c r="AG198" t="s">
        <v>839</v>
      </c>
      <c r="AH198" t="s">
        <v>330</v>
      </c>
      <c r="AI198" t="s">
        <v>454</v>
      </c>
      <c r="AJ198" t="s">
        <v>523</v>
      </c>
      <c r="AK198" t="s">
        <v>36</v>
      </c>
      <c r="AM198" t="s">
        <v>455</v>
      </c>
      <c r="AN198" t="s">
        <v>688</v>
      </c>
      <c r="AO198" t="s">
        <v>292</v>
      </c>
      <c r="AP198" t="s">
        <v>434</v>
      </c>
      <c r="AQ198" t="s">
        <v>318</v>
      </c>
      <c r="AR198" t="s">
        <v>292</v>
      </c>
      <c r="AS198" t="s">
        <v>292</v>
      </c>
      <c r="AT198" t="s">
        <v>348</v>
      </c>
      <c r="AU198" t="s">
        <v>292</v>
      </c>
      <c r="AV198" t="s">
        <v>37</v>
      </c>
      <c r="AW198" t="s">
        <v>12</v>
      </c>
      <c r="AX198">
        <v>6</v>
      </c>
      <c r="AY198" t="s">
        <v>459</v>
      </c>
      <c r="AZ198" t="s">
        <v>460</v>
      </c>
      <c r="BA198" t="s">
        <v>286</v>
      </c>
      <c r="BB198" t="s">
        <v>12</v>
      </c>
      <c r="BC198" t="s">
        <v>292</v>
      </c>
      <c r="BD198" t="s">
        <v>292</v>
      </c>
      <c r="BE198" t="s">
        <v>292</v>
      </c>
      <c r="BF198" t="s">
        <v>292</v>
      </c>
      <c r="BG198" t="s">
        <v>12</v>
      </c>
      <c r="BH198">
        <v>6</v>
      </c>
      <c r="CK198" t="s">
        <v>560</v>
      </c>
      <c r="CL198" t="s">
        <v>561</v>
      </c>
      <c r="CM198" t="s">
        <v>9</v>
      </c>
      <c r="CN198" s="2">
        <v>43174</v>
      </c>
      <c r="CO198" t="s">
        <v>292</v>
      </c>
      <c r="CP198" t="s">
        <v>303</v>
      </c>
      <c r="CQ198" t="s">
        <v>303</v>
      </c>
      <c r="CR198" t="s">
        <v>304</v>
      </c>
      <c r="CS198" t="s">
        <v>292</v>
      </c>
      <c r="CT198">
        <v>7000</v>
      </c>
      <c r="CU198" t="b">
        <v>0</v>
      </c>
      <c r="CV198" t="s">
        <v>439</v>
      </c>
      <c r="CW198" t="s">
        <v>292</v>
      </c>
      <c r="CX198" t="s">
        <v>292</v>
      </c>
      <c r="CY198" t="b">
        <v>0</v>
      </c>
      <c r="CZ198" t="b">
        <v>0</v>
      </c>
      <c r="DC198" t="s">
        <v>840</v>
      </c>
      <c r="DJ198">
        <f>DataTable[HLD_MaturityDate] - DataTable[SEC_Issue_Date]</f>
        <v>1096</v>
      </c>
    </row>
    <row r="199" spans="1:114" x14ac:dyDescent="0.2">
      <c r="A199" s="2">
        <v>43376</v>
      </c>
      <c r="B199" t="s">
        <v>46</v>
      </c>
      <c r="C199" t="s">
        <v>7</v>
      </c>
      <c r="D199" t="s">
        <v>36</v>
      </c>
      <c r="F199" t="s">
        <v>841</v>
      </c>
      <c r="G199" t="s">
        <v>684</v>
      </c>
      <c r="H199" t="s">
        <v>842</v>
      </c>
      <c r="I199" t="s">
        <v>415</v>
      </c>
      <c r="J199" t="s">
        <v>663</v>
      </c>
      <c r="K199" t="s">
        <v>684</v>
      </c>
      <c r="N199" s="2">
        <v>43912</v>
      </c>
      <c r="O199">
        <v>536</v>
      </c>
      <c r="P199">
        <v>1.79</v>
      </c>
      <c r="Q199">
        <v>2.318921</v>
      </c>
      <c r="R199">
        <v>450000</v>
      </c>
      <c r="S199">
        <v>992.50468000000001</v>
      </c>
      <c r="T199">
        <v>446627106</v>
      </c>
      <c r="U199">
        <v>264820.5</v>
      </c>
      <c r="V199">
        <v>450000000</v>
      </c>
      <c r="W199">
        <v>1.433074</v>
      </c>
      <c r="X199">
        <v>450000000</v>
      </c>
      <c r="Z199">
        <v>450000000</v>
      </c>
      <c r="AA199">
        <v>1.79</v>
      </c>
      <c r="AB199">
        <v>2.0681063999999998E-3</v>
      </c>
      <c r="AC199" t="s">
        <v>841</v>
      </c>
      <c r="AE199" t="s">
        <v>843</v>
      </c>
      <c r="AF199" t="s">
        <v>844</v>
      </c>
      <c r="AG199" t="s">
        <v>845</v>
      </c>
      <c r="AH199" t="s">
        <v>330</v>
      </c>
      <c r="AI199" t="s">
        <v>842</v>
      </c>
      <c r="AJ199" t="s">
        <v>523</v>
      </c>
      <c r="AK199" t="s">
        <v>36</v>
      </c>
      <c r="AM199" t="s">
        <v>672</v>
      </c>
      <c r="AN199" t="s">
        <v>447</v>
      </c>
      <c r="AO199" t="s">
        <v>292</v>
      </c>
      <c r="AP199" t="s">
        <v>434</v>
      </c>
      <c r="AQ199" t="s">
        <v>318</v>
      </c>
      <c r="AR199" t="s">
        <v>292</v>
      </c>
      <c r="AS199" t="s">
        <v>292</v>
      </c>
      <c r="AT199" t="s">
        <v>348</v>
      </c>
      <c r="AU199" t="s">
        <v>292</v>
      </c>
      <c r="AV199" t="s">
        <v>37</v>
      </c>
      <c r="AW199" t="s">
        <v>684</v>
      </c>
      <c r="AX199">
        <v>3</v>
      </c>
      <c r="AY199" t="s">
        <v>846</v>
      </c>
      <c r="AZ199" t="s">
        <v>847</v>
      </c>
      <c r="BA199" t="s">
        <v>415</v>
      </c>
      <c r="BB199" t="s">
        <v>684</v>
      </c>
      <c r="BC199" t="s">
        <v>848</v>
      </c>
      <c r="BD199" t="s">
        <v>292</v>
      </c>
      <c r="BE199" t="s">
        <v>292</v>
      </c>
      <c r="BF199" t="s">
        <v>849</v>
      </c>
      <c r="BG199" t="s">
        <v>684</v>
      </c>
      <c r="BH199">
        <v>3</v>
      </c>
      <c r="CK199" t="s">
        <v>560</v>
      </c>
      <c r="CL199" t="s">
        <v>561</v>
      </c>
      <c r="CM199" t="s">
        <v>9</v>
      </c>
      <c r="CN199" s="2">
        <v>43181</v>
      </c>
      <c r="CO199" t="s">
        <v>292</v>
      </c>
      <c r="CP199" t="s">
        <v>303</v>
      </c>
      <c r="CQ199" t="s">
        <v>303</v>
      </c>
      <c r="CR199" t="s">
        <v>304</v>
      </c>
      <c r="CS199" t="s">
        <v>292</v>
      </c>
      <c r="CT199">
        <v>15000</v>
      </c>
      <c r="CU199" t="b">
        <v>0</v>
      </c>
      <c r="CV199" t="s">
        <v>439</v>
      </c>
      <c r="CW199" t="s">
        <v>292</v>
      </c>
      <c r="CX199" t="s">
        <v>292</v>
      </c>
      <c r="CY199" t="b">
        <v>0</v>
      </c>
      <c r="CZ199" t="b">
        <v>0</v>
      </c>
      <c r="DC199" t="s">
        <v>292</v>
      </c>
      <c r="DJ199">
        <f>DataTable[HLD_MaturityDate] - DataTable[SEC_Issue_Date]</f>
        <v>731</v>
      </c>
    </row>
    <row r="200" spans="1:114" x14ac:dyDescent="0.2">
      <c r="A200" s="2">
        <v>43376</v>
      </c>
      <c r="B200" t="s">
        <v>46</v>
      </c>
      <c r="C200" t="s">
        <v>7</v>
      </c>
      <c r="D200" t="s">
        <v>36</v>
      </c>
      <c r="F200" t="s">
        <v>850</v>
      </c>
      <c r="G200" t="s">
        <v>684</v>
      </c>
      <c r="H200" t="s">
        <v>842</v>
      </c>
      <c r="I200" t="s">
        <v>415</v>
      </c>
      <c r="J200" t="s">
        <v>663</v>
      </c>
      <c r="K200" t="s">
        <v>684</v>
      </c>
      <c r="N200" s="2">
        <v>44277</v>
      </c>
      <c r="O200">
        <v>901</v>
      </c>
      <c r="P200">
        <v>2.1</v>
      </c>
      <c r="Q200">
        <v>2.6102599999999998</v>
      </c>
      <c r="R200">
        <v>1498000</v>
      </c>
      <c r="S200">
        <v>987.98560999999995</v>
      </c>
      <c r="T200">
        <v>1480002443.78</v>
      </c>
      <c r="U200">
        <v>1034234.18</v>
      </c>
      <c r="V200">
        <v>1498139194.1600001</v>
      </c>
      <c r="W200">
        <v>2.3801540000000001</v>
      </c>
      <c r="X200">
        <v>1498000000</v>
      </c>
      <c r="Z200">
        <v>1498014104.3</v>
      </c>
      <c r="AA200">
        <v>2.0995659999999998</v>
      </c>
      <c r="AB200">
        <v>6.8538751000000002E-3</v>
      </c>
      <c r="AC200" t="s">
        <v>850</v>
      </c>
      <c r="AE200" t="s">
        <v>843</v>
      </c>
      <c r="AF200" t="s">
        <v>851</v>
      </c>
      <c r="AG200" t="s">
        <v>852</v>
      </c>
      <c r="AH200" t="s">
        <v>330</v>
      </c>
      <c r="AI200" t="s">
        <v>842</v>
      </c>
      <c r="AJ200" t="s">
        <v>523</v>
      </c>
      <c r="AK200" t="s">
        <v>36</v>
      </c>
      <c r="AM200" t="s">
        <v>672</v>
      </c>
      <c r="AN200" t="s">
        <v>447</v>
      </c>
      <c r="AO200" t="s">
        <v>292</v>
      </c>
      <c r="AP200" t="s">
        <v>434</v>
      </c>
      <c r="AQ200" t="s">
        <v>318</v>
      </c>
      <c r="AR200" t="s">
        <v>292</v>
      </c>
      <c r="AS200" t="s">
        <v>292</v>
      </c>
      <c r="AT200" t="s">
        <v>348</v>
      </c>
      <c r="AU200" t="s">
        <v>292</v>
      </c>
      <c r="AV200" t="s">
        <v>37</v>
      </c>
      <c r="AW200" t="s">
        <v>684</v>
      </c>
      <c r="AX200">
        <v>3</v>
      </c>
      <c r="AY200" t="s">
        <v>846</v>
      </c>
      <c r="AZ200" t="s">
        <v>847</v>
      </c>
      <c r="BA200" t="s">
        <v>415</v>
      </c>
      <c r="BB200" t="s">
        <v>684</v>
      </c>
      <c r="BC200" t="s">
        <v>848</v>
      </c>
      <c r="BD200" t="s">
        <v>292</v>
      </c>
      <c r="BE200" t="s">
        <v>292</v>
      </c>
      <c r="BF200" t="s">
        <v>849</v>
      </c>
      <c r="BG200" t="s">
        <v>684</v>
      </c>
      <c r="BH200">
        <v>3</v>
      </c>
      <c r="CK200" t="s">
        <v>560</v>
      </c>
      <c r="CL200" t="s">
        <v>561</v>
      </c>
      <c r="CM200" t="s">
        <v>9</v>
      </c>
      <c r="CN200" s="2">
        <v>43181</v>
      </c>
      <c r="CO200" t="s">
        <v>292</v>
      </c>
      <c r="CP200" t="s">
        <v>303</v>
      </c>
      <c r="CQ200" t="s">
        <v>303</v>
      </c>
      <c r="CR200" t="s">
        <v>304</v>
      </c>
      <c r="CS200" t="s">
        <v>292</v>
      </c>
      <c r="CT200">
        <v>15000</v>
      </c>
      <c r="CU200" t="b">
        <v>0</v>
      </c>
      <c r="CV200" t="s">
        <v>439</v>
      </c>
      <c r="CW200" t="s">
        <v>292</v>
      </c>
      <c r="CX200" t="s">
        <v>292</v>
      </c>
      <c r="CY200" t="b">
        <v>0</v>
      </c>
      <c r="CZ200" t="b">
        <v>0</v>
      </c>
      <c r="DC200" t="s">
        <v>853</v>
      </c>
      <c r="DJ200">
        <f>DataTable[HLD_MaturityDate] - DataTable[SEC_Issue_Date]</f>
        <v>1096</v>
      </c>
    </row>
    <row r="201" spans="1:114" x14ac:dyDescent="0.2">
      <c r="A201" s="2">
        <v>43376</v>
      </c>
      <c r="B201" t="s">
        <v>46</v>
      </c>
      <c r="C201" t="s">
        <v>7</v>
      </c>
      <c r="D201" t="s">
        <v>36</v>
      </c>
      <c r="F201" t="s">
        <v>854</v>
      </c>
      <c r="G201" t="s">
        <v>541</v>
      </c>
      <c r="H201" t="s">
        <v>855</v>
      </c>
      <c r="I201" t="s">
        <v>286</v>
      </c>
      <c r="J201" t="s">
        <v>856</v>
      </c>
      <c r="K201" t="s">
        <v>541</v>
      </c>
      <c r="N201" s="2">
        <v>43740</v>
      </c>
      <c r="O201">
        <v>364</v>
      </c>
      <c r="P201">
        <v>4.28</v>
      </c>
      <c r="Q201">
        <v>2.0836600000000001</v>
      </c>
      <c r="R201">
        <v>161900</v>
      </c>
      <c r="S201">
        <v>1021.53541</v>
      </c>
      <c r="T201">
        <v>165386582.88</v>
      </c>
      <c r="U201">
        <v>37968.79</v>
      </c>
      <c r="V201">
        <v>166005643.15000001</v>
      </c>
      <c r="W201">
        <v>0.97265199999999996</v>
      </c>
      <c r="X201">
        <v>161900000</v>
      </c>
      <c r="Z201">
        <v>168533556.22</v>
      </c>
      <c r="AA201">
        <v>1.7</v>
      </c>
      <c r="AB201">
        <v>7.6554430000000005E-4</v>
      </c>
      <c r="AC201" t="s">
        <v>854</v>
      </c>
      <c r="AE201" t="s">
        <v>857</v>
      </c>
      <c r="AF201" t="s">
        <v>858</v>
      </c>
      <c r="AG201" t="s">
        <v>858</v>
      </c>
      <c r="AH201" t="s">
        <v>330</v>
      </c>
      <c r="AI201" t="s">
        <v>855</v>
      </c>
      <c r="AJ201" t="s">
        <v>523</v>
      </c>
      <c r="AK201" t="s">
        <v>36</v>
      </c>
      <c r="AM201" t="s">
        <v>859</v>
      </c>
      <c r="AN201" t="s">
        <v>860</v>
      </c>
      <c r="AO201" t="s">
        <v>292</v>
      </c>
      <c r="AP201" t="s">
        <v>434</v>
      </c>
      <c r="AQ201" t="s">
        <v>318</v>
      </c>
      <c r="AR201" t="s">
        <v>292</v>
      </c>
      <c r="AS201" t="s">
        <v>292</v>
      </c>
      <c r="AT201" t="s">
        <v>348</v>
      </c>
      <c r="AU201" t="s">
        <v>292</v>
      </c>
      <c r="AV201" t="s">
        <v>37</v>
      </c>
      <c r="AW201" t="s">
        <v>541</v>
      </c>
      <c r="AX201">
        <v>7</v>
      </c>
      <c r="AY201" t="s">
        <v>857</v>
      </c>
      <c r="AZ201" t="s">
        <v>861</v>
      </c>
      <c r="BA201" t="s">
        <v>286</v>
      </c>
      <c r="BB201" t="s">
        <v>541</v>
      </c>
      <c r="BC201" t="s">
        <v>292</v>
      </c>
      <c r="BD201" t="s">
        <v>292</v>
      </c>
      <c r="BE201" t="s">
        <v>292</v>
      </c>
      <c r="BF201" t="s">
        <v>292</v>
      </c>
      <c r="BG201" t="s">
        <v>541</v>
      </c>
      <c r="BH201">
        <v>7</v>
      </c>
      <c r="CK201" t="s">
        <v>560</v>
      </c>
      <c r="CL201" t="s">
        <v>561</v>
      </c>
      <c r="CM201" t="s">
        <v>9</v>
      </c>
      <c r="CN201" s="2">
        <v>41914</v>
      </c>
      <c r="CO201" t="s">
        <v>292</v>
      </c>
      <c r="CP201" t="s">
        <v>303</v>
      </c>
      <c r="CQ201" t="s">
        <v>303</v>
      </c>
      <c r="CR201" t="s">
        <v>304</v>
      </c>
      <c r="CS201" t="s">
        <v>292</v>
      </c>
      <c r="CT201">
        <v>3000</v>
      </c>
      <c r="CU201" t="b">
        <v>0</v>
      </c>
      <c r="CV201" t="s">
        <v>439</v>
      </c>
      <c r="CW201" t="s">
        <v>292</v>
      </c>
      <c r="CX201" t="s">
        <v>292</v>
      </c>
      <c r="CY201" t="b">
        <v>0</v>
      </c>
      <c r="CZ201" t="b">
        <v>0</v>
      </c>
      <c r="DC201" t="s">
        <v>292</v>
      </c>
      <c r="DJ201">
        <f>DataTable[HLD_MaturityDate] - DataTable[SEC_Issue_Date]</f>
        <v>1826</v>
      </c>
    </row>
    <row r="202" spans="1:114" x14ac:dyDescent="0.2">
      <c r="A202" s="2">
        <v>43376</v>
      </c>
      <c r="B202" t="s">
        <v>46</v>
      </c>
      <c r="C202" t="s">
        <v>7</v>
      </c>
      <c r="D202" t="s">
        <v>36</v>
      </c>
      <c r="F202" t="s">
        <v>53</v>
      </c>
      <c r="G202" t="s">
        <v>12</v>
      </c>
      <c r="H202" t="s">
        <v>400</v>
      </c>
      <c r="I202" t="s">
        <v>286</v>
      </c>
      <c r="J202" t="s">
        <v>287</v>
      </c>
      <c r="K202" t="s">
        <v>12</v>
      </c>
      <c r="N202" s="2">
        <v>43433</v>
      </c>
      <c r="O202">
        <v>57</v>
      </c>
      <c r="P202">
        <v>1.85</v>
      </c>
      <c r="Q202">
        <v>1.4454370000000001</v>
      </c>
      <c r="R202">
        <v>300000</v>
      </c>
      <c r="S202">
        <v>1000.53467</v>
      </c>
      <c r="T202">
        <v>300160401</v>
      </c>
      <c r="U202">
        <v>1946301</v>
      </c>
      <c r="V202">
        <v>300000000</v>
      </c>
      <c r="W202">
        <v>0.15229799999999999</v>
      </c>
      <c r="X202">
        <v>300000000</v>
      </c>
      <c r="Z202">
        <v>300000000</v>
      </c>
      <c r="AA202">
        <v>1.85</v>
      </c>
      <c r="AB202">
        <v>1.3980758E-3</v>
      </c>
      <c r="AC202" t="s">
        <v>53</v>
      </c>
      <c r="AE202" t="s">
        <v>406</v>
      </c>
      <c r="AF202" t="s">
        <v>862</v>
      </c>
      <c r="AG202" t="s">
        <v>863</v>
      </c>
      <c r="AH202" t="s">
        <v>330</v>
      </c>
      <c r="AI202" t="s">
        <v>400</v>
      </c>
      <c r="AJ202" t="s">
        <v>523</v>
      </c>
      <c r="AK202" t="s">
        <v>36</v>
      </c>
      <c r="AM202" t="s">
        <v>287</v>
      </c>
      <c r="AN202" t="s">
        <v>433</v>
      </c>
      <c r="AO202" t="s">
        <v>292</v>
      </c>
      <c r="AP202" t="s">
        <v>434</v>
      </c>
      <c r="AQ202" t="s">
        <v>318</v>
      </c>
      <c r="AR202" t="s">
        <v>292</v>
      </c>
      <c r="AS202" t="s">
        <v>292</v>
      </c>
      <c r="AT202" t="s">
        <v>348</v>
      </c>
      <c r="AU202" t="s">
        <v>292</v>
      </c>
      <c r="AV202" t="s">
        <v>37</v>
      </c>
      <c r="AW202" t="s">
        <v>12</v>
      </c>
      <c r="AX202">
        <v>6</v>
      </c>
      <c r="AY202" t="s">
        <v>406</v>
      </c>
      <c r="AZ202" t="s">
        <v>403</v>
      </c>
      <c r="BA202" t="s">
        <v>286</v>
      </c>
      <c r="BB202" t="s">
        <v>12</v>
      </c>
      <c r="BC202" t="s">
        <v>292</v>
      </c>
      <c r="BD202" t="s">
        <v>292</v>
      </c>
      <c r="BE202" t="s">
        <v>292</v>
      </c>
      <c r="BF202" t="s">
        <v>292</v>
      </c>
      <c r="BG202" t="s">
        <v>12</v>
      </c>
      <c r="BH202">
        <v>6</v>
      </c>
      <c r="BI202" t="s">
        <v>300</v>
      </c>
      <c r="BJ202" t="s">
        <v>300</v>
      </c>
      <c r="CK202" t="s">
        <v>560</v>
      </c>
      <c r="CL202" t="s">
        <v>561</v>
      </c>
      <c r="CM202" t="s">
        <v>9</v>
      </c>
      <c r="CN202" s="2">
        <v>42884</v>
      </c>
      <c r="CO202" t="s">
        <v>292</v>
      </c>
      <c r="CP202" t="s">
        <v>303</v>
      </c>
      <c r="CQ202" t="s">
        <v>303</v>
      </c>
      <c r="CR202" t="s">
        <v>304</v>
      </c>
      <c r="CS202" t="s">
        <v>292</v>
      </c>
      <c r="CT202">
        <v>8900</v>
      </c>
      <c r="CU202" t="b">
        <v>0</v>
      </c>
      <c r="CV202" t="s">
        <v>439</v>
      </c>
      <c r="CW202" t="s">
        <v>292</v>
      </c>
      <c r="CX202" t="s">
        <v>292</v>
      </c>
      <c r="CY202" t="b">
        <v>0</v>
      </c>
      <c r="CZ202" t="b">
        <v>0</v>
      </c>
      <c r="DC202" t="s">
        <v>864</v>
      </c>
      <c r="DJ202">
        <f>DataTable[HLD_MaturityDate] - DataTable[SEC_Issue_Date]</f>
        <v>549</v>
      </c>
    </row>
    <row r="203" spans="1:114" x14ac:dyDescent="0.2">
      <c r="A203" s="2">
        <v>43376</v>
      </c>
      <c r="B203" t="s">
        <v>46</v>
      </c>
      <c r="C203" t="s">
        <v>7</v>
      </c>
      <c r="D203" t="s">
        <v>36</v>
      </c>
      <c r="F203" t="s">
        <v>865</v>
      </c>
      <c r="G203" t="s">
        <v>12</v>
      </c>
      <c r="H203" t="s">
        <v>400</v>
      </c>
      <c r="I203" t="s">
        <v>286</v>
      </c>
      <c r="J203" t="s">
        <v>287</v>
      </c>
      <c r="K203" t="s">
        <v>12</v>
      </c>
      <c r="N203" s="2">
        <v>43686</v>
      </c>
      <c r="O203">
        <v>310</v>
      </c>
      <c r="P203">
        <v>1.68</v>
      </c>
      <c r="Q203">
        <v>2.0084680000000001</v>
      </c>
      <c r="R203">
        <v>625000</v>
      </c>
      <c r="S203">
        <v>997.16539</v>
      </c>
      <c r="T203">
        <v>623228368.75</v>
      </c>
      <c r="U203">
        <v>1610956.25</v>
      </c>
      <c r="V203">
        <v>625000000</v>
      </c>
      <c r="W203">
        <v>0.83809699999999998</v>
      </c>
      <c r="X203">
        <v>625000000</v>
      </c>
      <c r="Z203">
        <v>625000000</v>
      </c>
      <c r="AA203">
        <v>1.68</v>
      </c>
      <c r="AB203">
        <v>2.8916034000000001E-3</v>
      </c>
      <c r="AC203" t="s">
        <v>865</v>
      </c>
      <c r="AE203" t="s">
        <v>406</v>
      </c>
      <c r="AF203" t="s">
        <v>866</v>
      </c>
      <c r="AG203" t="s">
        <v>867</v>
      </c>
      <c r="AH203" t="s">
        <v>330</v>
      </c>
      <c r="AI203" t="s">
        <v>400</v>
      </c>
      <c r="AJ203" t="s">
        <v>523</v>
      </c>
      <c r="AK203" t="s">
        <v>36</v>
      </c>
      <c r="AM203" t="s">
        <v>287</v>
      </c>
      <c r="AN203" t="s">
        <v>433</v>
      </c>
      <c r="AO203" t="s">
        <v>292</v>
      </c>
      <c r="AP203" t="s">
        <v>434</v>
      </c>
      <c r="AQ203" t="s">
        <v>318</v>
      </c>
      <c r="AR203" t="s">
        <v>292</v>
      </c>
      <c r="AS203" t="s">
        <v>292</v>
      </c>
      <c r="AT203" t="s">
        <v>348</v>
      </c>
      <c r="AU203" t="s">
        <v>292</v>
      </c>
      <c r="AV203" t="s">
        <v>37</v>
      </c>
      <c r="AW203" t="s">
        <v>12</v>
      </c>
      <c r="AX203">
        <v>6</v>
      </c>
      <c r="AY203" t="s">
        <v>406</v>
      </c>
      <c r="AZ203" t="s">
        <v>403</v>
      </c>
      <c r="BA203" t="s">
        <v>286</v>
      </c>
      <c r="BB203" t="s">
        <v>12</v>
      </c>
      <c r="BC203" t="s">
        <v>292</v>
      </c>
      <c r="BD203" t="s">
        <v>292</v>
      </c>
      <c r="BE203" t="s">
        <v>292</v>
      </c>
      <c r="BF203" t="s">
        <v>292</v>
      </c>
      <c r="BG203" t="s">
        <v>12</v>
      </c>
      <c r="BH203">
        <v>6</v>
      </c>
      <c r="BI203" t="s">
        <v>300</v>
      </c>
      <c r="BJ203" t="s">
        <v>300</v>
      </c>
      <c r="CK203" t="s">
        <v>560</v>
      </c>
      <c r="CL203" t="s">
        <v>561</v>
      </c>
      <c r="CM203" t="s">
        <v>9</v>
      </c>
      <c r="CN203" s="2">
        <v>43140</v>
      </c>
      <c r="CO203" t="s">
        <v>292</v>
      </c>
      <c r="CP203" t="s">
        <v>303</v>
      </c>
      <c r="CQ203" t="s">
        <v>303</v>
      </c>
      <c r="CR203" t="s">
        <v>304</v>
      </c>
      <c r="CS203" t="s">
        <v>292</v>
      </c>
      <c r="CT203">
        <v>8900</v>
      </c>
      <c r="CU203" t="b">
        <v>0</v>
      </c>
      <c r="CV203" t="s">
        <v>439</v>
      </c>
      <c r="CW203" t="s">
        <v>292</v>
      </c>
      <c r="CX203" t="s">
        <v>292</v>
      </c>
      <c r="CY203" t="b">
        <v>0</v>
      </c>
      <c r="CZ203" t="b">
        <v>0</v>
      </c>
      <c r="DC203" t="s">
        <v>292</v>
      </c>
      <c r="DJ203">
        <f>DataTable[HLD_MaturityDate] - DataTable[SEC_Issue_Date]</f>
        <v>546</v>
      </c>
    </row>
    <row r="204" spans="1:114" x14ac:dyDescent="0.2">
      <c r="A204" s="2">
        <v>43376</v>
      </c>
      <c r="B204" t="s">
        <v>46</v>
      </c>
      <c r="C204" t="s">
        <v>7</v>
      </c>
      <c r="D204" t="s">
        <v>36</v>
      </c>
      <c r="F204" t="s">
        <v>868</v>
      </c>
      <c r="G204" t="s">
        <v>12</v>
      </c>
      <c r="H204" t="s">
        <v>400</v>
      </c>
      <c r="I204" t="s">
        <v>286</v>
      </c>
      <c r="J204" t="s">
        <v>287</v>
      </c>
      <c r="K204" t="s">
        <v>12</v>
      </c>
      <c r="N204" s="2">
        <v>43972</v>
      </c>
      <c r="O204">
        <v>596</v>
      </c>
      <c r="P204">
        <v>1.75</v>
      </c>
      <c r="Q204">
        <v>2.0527350000000002</v>
      </c>
      <c r="R204">
        <v>19000</v>
      </c>
      <c r="S204">
        <v>995.08641</v>
      </c>
      <c r="T204">
        <v>18906641.789999999</v>
      </c>
      <c r="U204">
        <v>123890.45</v>
      </c>
      <c r="V204">
        <v>19000000</v>
      </c>
      <c r="W204">
        <v>1.589234</v>
      </c>
      <c r="X204">
        <v>19000000</v>
      </c>
      <c r="Z204">
        <v>19000000</v>
      </c>
      <c r="AA204">
        <v>1.75</v>
      </c>
      <c r="AB204">
        <v>8.8068599999999999E-5</v>
      </c>
      <c r="AC204" t="s">
        <v>868</v>
      </c>
      <c r="AE204" t="s">
        <v>406</v>
      </c>
      <c r="AF204" t="s">
        <v>869</v>
      </c>
      <c r="AG204" t="s">
        <v>870</v>
      </c>
      <c r="AH204" t="s">
        <v>330</v>
      </c>
      <c r="AI204" t="s">
        <v>400</v>
      </c>
      <c r="AJ204" t="s">
        <v>523</v>
      </c>
      <c r="AK204" t="s">
        <v>36</v>
      </c>
      <c r="AM204" t="s">
        <v>287</v>
      </c>
      <c r="AN204" t="s">
        <v>433</v>
      </c>
      <c r="AO204" t="s">
        <v>292</v>
      </c>
      <c r="AP204" t="s">
        <v>434</v>
      </c>
      <c r="AQ204" t="s">
        <v>318</v>
      </c>
      <c r="AR204" t="s">
        <v>292</v>
      </c>
      <c r="AS204" t="s">
        <v>292</v>
      </c>
      <c r="AT204" t="s">
        <v>348</v>
      </c>
      <c r="AU204" t="s">
        <v>292</v>
      </c>
      <c r="AV204" t="s">
        <v>37</v>
      </c>
      <c r="AW204" t="s">
        <v>12</v>
      </c>
      <c r="AX204">
        <v>6</v>
      </c>
      <c r="AY204" t="s">
        <v>406</v>
      </c>
      <c r="AZ204" t="s">
        <v>403</v>
      </c>
      <c r="BA204" t="s">
        <v>286</v>
      </c>
      <c r="BB204" t="s">
        <v>12</v>
      </c>
      <c r="BC204" t="s">
        <v>292</v>
      </c>
      <c r="BD204" t="s">
        <v>292</v>
      </c>
      <c r="BE204" t="s">
        <v>292</v>
      </c>
      <c r="BF204" t="s">
        <v>292</v>
      </c>
      <c r="BG204" t="s">
        <v>12</v>
      </c>
      <c r="BH204">
        <v>6</v>
      </c>
      <c r="BI204" t="s">
        <v>300</v>
      </c>
      <c r="BJ204" t="s">
        <v>300</v>
      </c>
      <c r="CK204" t="s">
        <v>560</v>
      </c>
      <c r="CL204" t="s">
        <v>561</v>
      </c>
      <c r="CM204" t="s">
        <v>9</v>
      </c>
      <c r="CN204" s="2">
        <v>43241</v>
      </c>
      <c r="CO204" t="s">
        <v>292</v>
      </c>
      <c r="CP204" t="s">
        <v>303</v>
      </c>
      <c r="CQ204" t="s">
        <v>303</v>
      </c>
      <c r="CR204" t="s">
        <v>304</v>
      </c>
      <c r="CS204" t="s">
        <v>292</v>
      </c>
      <c r="CT204">
        <v>8900</v>
      </c>
      <c r="CU204" t="b">
        <v>0</v>
      </c>
      <c r="CV204" t="s">
        <v>439</v>
      </c>
      <c r="CW204" t="s">
        <v>292</v>
      </c>
      <c r="CX204" t="s">
        <v>292</v>
      </c>
      <c r="CY204" t="b">
        <v>0</v>
      </c>
      <c r="CZ204" t="b">
        <v>0</v>
      </c>
      <c r="DC204" t="s">
        <v>292</v>
      </c>
      <c r="DJ204">
        <f>DataTable[HLD_MaturityDate] - DataTable[SEC_Issue_Date]</f>
        <v>731</v>
      </c>
    </row>
    <row r="205" spans="1:114" x14ac:dyDescent="0.2">
      <c r="A205" s="2">
        <v>43376</v>
      </c>
      <c r="B205" t="s">
        <v>46</v>
      </c>
      <c r="C205" t="s">
        <v>7</v>
      </c>
      <c r="D205" t="s">
        <v>36</v>
      </c>
      <c r="F205" t="s">
        <v>871</v>
      </c>
      <c r="H205" t="s">
        <v>872</v>
      </c>
      <c r="I205" t="s">
        <v>286</v>
      </c>
      <c r="J205" t="s">
        <v>856</v>
      </c>
      <c r="K205" t="s">
        <v>298</v>
      </c>
      <c r="N205" s="2">
        <v>43518</v>
      </c>
      <c r="O205">
        <v>142</v>
      </c>
      <c r="P205">
        <v>2.78</v>
      </c>
      <c r="Q205">
        <v>2.6818249999999999</v>
      </c>
      <c r="R205">
        <v>5450000</v>
      </c>
      <c r="S205">
        <v>1000.19808</v>
      </c>
      <c r="T205">
        <v>5451079536</v>
      </c>
      <c r="U205">
        <v>94226794</v>
      </c>
      <c r="V205">
        <v>5450000000</v>
      </c>
      <c r="W205">
        <v>0.38234000000000001</v>
      </c>
      <c r="X205">
        <v>5450000000</v>
      </c>
      <c r="Z205">
        <v>5450000000</v>
      </c>
      <c r="AA205">
        <v>2.78</v>
      </c>
      <c r="AB205">
        <v>2.5662319699999998E-2</v>
      </c>
      <c r="AC205" t="s">
        <v>871</v>
      </c>
      <c r="AE205" t="s">
        <v>873</v>
      </c>
      <c r="AF205" t="s">
        <v>874</v>
      </c>
      <c r="AG205" t="s">
        <v>875</v>
      </c>
      <c r="AH205" t="s">
        <v>330</v>
      </c>
      <c r="AI205" t="s">
        <v>872</v>
      </c>
      <c r="AJ205" t="s">
        <v>705</v>
      </c>
      <c r="AK205" t="s">
        <v>36</v>
      </c>
      <c r="AM205" t="s">
        <v>859</v>
      </c>
      <c r="AN205" t="s">
        <v>860</v>
      </c>
      <c r="AO205" t="s">
        <v>292</v>
      </c>
      <c r="AP205" t="s">
        <v>434</v>
      </c>
      <c r="AQ205" t="s">
        <v>318</v>
      </c>
      <c r="AR205" t="s">
        <v>292</v>
      </c>
      <c r="AS205" t="s">
        <v>292</v>
      </c>
      <c r="AT205" t="s">
        <v>348</v>
      </c>
      <c r="AU205" t="s">
        <v>292</v>
      </c>
      <c r="AV205" t="s">
        <v>37</v>
      </c>
      <c r="AY205" t="s">
        <v>873</v>
      </c>
      <c r="AZ205" t="s">
        <v>876</v>
      </c>
      <c r="BA205" t="s">
        <v>286</v>
      </c>
      <c r="BB205" t="s">
        <v>298</v>
      </c>
      <c r="BC205" t="s">
        <v>292</v>
      </c>
      <c r="BD205" t="s">
        <v>292</v>
      </c>
      <c r="BE205" t="s">
        <v>292</v>
      </c>
      <c r="BF205" t="s">
        <v>292</v>
      </c>
      <c r="BG205" t="s">
        <v>298</v>
      </c>
      <c r="BH205">
        <v>8</v>
      </c>
      <c r="CK205" t="s">
        <v>560</v>
      </c>
      <c r="CL205" t="s">
        <v>561</v>
      </c>
      <c r="CM205" t="s">
        <v>9</v>
      </c>
      <c r="CN205" s="2">
        <v>43150</v>
      </c>
      <c r="CO205" t="s">
        <v>292</v>
      </c>
      <c r="CP205" t="s">
        <v>303</v>
      </c>
      <c r="CQ205" t="s">
        <v>303</v>
      </c>
      <c r="CR205" t="s">
        <v>304</v>
      </c>
      <c r="CS205" t="s">
        <v>292</v>
      </c>
      <c r="CT205">
        <v>22000</v>
      </c>
      <c r="CU205" t="b">
        <v>0</v>
      </c>
      <c r="CV205" t="s">
        <v>439</v>
      </c>
      <c r="CW205" t="s">
        <v>292</v>
      </c>
      <c r="CX205" t="s">
        <v>292</v>
      </c>
      <c r="CY205" t="b">
        <v>0</v>
      </c>
      <c r="CZ205" t="b">
        <v>0</v>
      </c>
      <c r="DC205" t="s">
        <v>292</v>
      </c>
      <c r="DJ205">
        <f>DataTable[HLD_MaturityDate] - DataTable[SEC_Issue_Date]</f>
        <v>368</v>
      </c>
    </row>
    <row r="206" spans="1:114" x14ac:dyDescent="0.2">
      <c r="A206" s="2">
        <v>43376</v>
      </c>
      <c r="B206" t="s">
        <v>46</v>
      </c>
      <c r="C206" t="s">
        <v>7</v>
      </c>
      <c r="D206" t="s">
        <v>36</v>
      </c>
      <c r="F206" t="s">
        <v>877</v>
      </c>
      <c r="H206" t="s">
        <v>878</v>
      </c>
      <c r="I206" t="s">
        <v>415</v>
      </c>
      <c r="J206" t="s">
        <v>856</v>
      </c>
      <c r="K206" t="s">
        <v>298</v>
      </c>
      <c r="N206" s="2">
        <v>43494</v>
      </c>
      <c r="O206">
        <v>118</v>
      </c>
      <c r="P206">
        <v>2.2999999999999998</v>
      </c>
      <c r="Q206">
        <v>2.2032859999999999</v>
      </c>
      <c r="R206">
        <v>498000</v>
      </c>
      <c r="S206">
        <v>1000.25083</v>
      </c>
      <c r="T206">
        <v>498124913.33999997</v>
      </c>
      <c r="U206">
        <v>4048127.46</v>
      </c>
      <c r="V206">
        <v>498000000</v>
      </c>
      <c r="W206">
        <v>0.31830000000000003</v>
      </c>
      <c r="X206">
        <v>498000000</v>
      </c>
      <c r="Z206">
        <v>498000000</v>
      </c>
      <c r="AA206">
        <v>2.2999999999999998</v>
      </c>
      <c r="AB206">
        <v>2.3239339000000001E-3</v>
      </c>
      <c r="AC206" t="s">
        <v>877</v>
      </c>
      <c r="AE206" t="s">
        <v>879</v>
      </c>
      <c r="AF206" t="s">
        <v>880</v>
      </c>
      <c r="AG206" t="s">
        <v>881</v>
      </c>
      <c r="AH206" t="s">
        <v>330</v>
      </c>
      <c r="AI206" t="s">
        <v>878</v>
      </c>
      <c r="AJ206" t="s">
        <v>705</v>
      </c>
      <c r="AK206" t="s">
        <v>36</v>
      </c>
      <c r="AM206" t="s">
        <v>859</v>
      </c>
      <c r="AN206" t="s">
        <v>860</v>
      </c>
      <c r="AO206" t="s">
        <v>292</v>
      </c>
      <c r="AP206" t="s">
        <v>434</v>
      </c>
      <c r="AQ206" t="s">
        <v>318</v>
      </c>
      <c r="AR206" t="s">
        <v>292</v>
      </c>
      <c r="AS206" t="s">
        <v>292</v>
      </c>
      <c r="AT206" t="s">
        <v>348</v>
      </c>
      <c r="AU206" t="s">
        <v>292</v>
      </c>
      <c r="AV206" t="s">
        <v>37</v>
      </c>
      <c r="AY206" t="s">
        <v>882</v>
      </c>
      <c r="AZ206" t="s">
        <v>883</v>
      </c>
      <c r="BA206" t="s">
        <v>415</v>
      </c>
      <c r="BB206" t="s">
        <v>298</v>
      </c>
      <c r="BC206" t="s">
        <v>292</v>
      </c>
      <c r="BD206" t="s">
        <v>292</v>
      </c>
      <c r="BE206" t="s">
        <v>292</v>
      </c>
      <c r="BF206" t="s">
        <v>292</v>
      </c>
      <c r="BG206" t="s">
        <v>298</v>
      </c>
      <c r="BH206">
        <v>8</v>
      </c>
      <c r="BI206" t="s">
        <v>300</v>
      </c>
      <c r="BJ206" t="s">
        <v>300</v>
      </c>
      <c r="CK206" t="s">
        <v>560</v>
      </c>
      <c r="CL206" t="s">
        <v>561</v>
      </c>
      <c r="CM206" t="s">
        <v>9</v>
      </c>
      <c r="CN206" s="2">
        <v>43248</v>
      </c>
      <c r="CO206" t="s">
        <v>292</v>
      </c>
      <c r="CP206" t="s">
        <v>303</v>
      </c>
      <c r="CQ206" t="s">
        <v>303</v>
      </c>
      <c r="CR206" t="s">
        <v>304</v>
      </c>
      <c r="CS206" t="s">
        <v>292</v>
      </c>
      <c r="CT206">
        <v>22000</v>
      </c>
      <c r="CU206" t="b">
        <v>0</v>
      </c>
      <c r="CV206" t="s">
        <v>439</v>
      </c>
      <c r="CW206" t="s">
        <v>292</v>
      </c>
      <c r="CX206" t="s">
        <v>292</v>
      </c>
      <c r="CY206" t="b">
        <v>0</v>
      </c>
      <c r="CZ206" t="b">
        <v>0</v>
      </c>
      <c r="DC206" t="s">
        <v>292</v>
      </c>
      <c r="DJ206">
        <f>DataTable[HLD_MaturityDate] - DataTable[SEC_Issue_Date]</f>
        <v>246</v>
      </c>
    </row>
    <row r="207" spans="1:114" x14ac:dyDescent="0.2">
      <c r="A207" s="2">
        <v>43376</v>
      </c>
      <c r="B207" t="s">
        <v>46</v>
      </c>
      <c r="C207" t="s">
        <v>7</v>
      </c>
      <c r="D207" t="s">
        <v>36</v>
      </c>
      <c r="F207" t="s">
        <v>884</v>
      </c>
      <c r="G207" t="s">
        <v>298</v>
      </c>
      <c r="H207" t="s">
        <v>878</v>
      </c>
      <c r="I207" t="s">
        <v>415</v>
      </c>
      <c r="J207" t="s">
        <v>856</v>
      </c>
      <c r="K207" t="s">
        <v>298</v>
      </c>
      <c r="N207" s="2">
        <v>44410</v>
      </c>
      <c r="O207">
        <v>1034</v>
      </c>
      <c r="P207">
        <v>3.7</v>
      </c>
      <c r="Q207">
        <v>3.7081689999999998</v>
      </c>
      <c r="R207">
        <v>1368000</v>
      </c>
      <c r="S207">
        <v>999.69624999999996</v>
      </c>
      <c r="T207">
        <v>1367584470</v>
      </c>
      <c r="U207">
        <v>8736458.4000000004</v>
      </c>
      <c r="V207">
        <v>1368000000</v>
      </c>
      <c r="W207">
        <v>2.6580889999999999</v>
      </c>
      <c r="X207">
        <v>1368000000</v>
      </c>
      <c r="Z207">
        <v>1368000000</v>
      </c>
      <c r="AA207">
        <v>3.7</v>
      </c>
      <c r="AB207">
        <v>6.3692762000000002E-3</v>
      </c>
      <c r="AC207" t="s">
        <v>884</v>
      </c>
      <c r="AE207" t="s">
        <v>882</v>
      </c>
      <c r="AF207" t="s">
        <v>885</v>
      </c>
      <c r="AG207" t="s">
        <v>886</v>
      </c>
      <c r="AH207" t="s">
        <v>330</v>
      </c>
      <c r="AI207" t="s">
        <v>878</v>
      </c>
      <c r="AJ207" t="s">
        <v>822</v>
      </c>
      <c r="AK207" t="s">
        <v>36</v>
      </c>
      <c r="AM207" t="s">
        <v>859</v>
      </c>
      <c r="AN207" t="s">
        <v>860</v>
      </c>
      <c r="AO207" t="s">
        <v>292</v>
      </c>
      <c r="AP207" t="s">
        <v>434</v>
      </c>
      <c r="AQ207" t="s">
        <v>318</v>
      </c>
      <c r="AR207" t="s">
        <v>292</v>
      </c>
      <c r="AS207" t="s">
        <v>292</v>
      </c>
      <c r="AT207" t="s">
        <v>334</v>
      </c>
      <c r="AU207" t="s">
        <v>292</v>
      </c>
      <c r="AV207" t="s">
        <v>37</v>
      </c>
      <c r="AW207" t="s">
        <v>298</v>
      </c>
      <c r="AX207">
        <v>8</v>
      </c>
      <c r="AY207" t="s">
        <v>882</v>
      </c>
      <c r="AZ207" t="s">
        <v>883</v>
      </c>
      <c r="BA207" t="s">
        <v>415</v>
      </c>
      <c r="BB207" t="s">
        <v>298</v>
      </c>
      <c r="BC207" t="s">
        <v>292</v>
      </c>
      <c r="BD207" t="s">
        <v>292</v>
      </c>
      <c r="BE207" t="s">
        <v>292</v>
      </c>
      <c r="BF207" t="s">
        <v>292</v>
      </c>
      <c r="BG207" t="s">
        <v>298</v>
      </c>
      <c r="BH207">
        <v>8</v>
      </c>
      <c r="BI207" t="s">
        <v>300</v>
      </c>
      <c r="BJ207" t="s">
        <v>300</v>
      </c>
      <c r="CK207" t="s">
        <v>560</v>
      </c>
      <c r="CL207" t="s">
        <v>561</v>
      </c>
      <c r="CM207" t="s">
        <v>9</v>
      </c>
      <c r="CN207" s="2">
        <v>43314</v>
      </c>
      <c r="CO207" t="s">
        <v>292</v>
      </c>
      <c r="CP207" t="s">
        <v>303</v>
      </c>
      <c r="CQ207" t="s">
        <v>303</v>
      </c>
      <c r="CR207" t="s">
        <v>304</v>
      </c>
      <c r="CS207" t="s">
        <v>292</v>
      </c>
      <c r="CT207">
        <v>22000</v>
      </c>
      <c r="CU207" t="b">
        <v>0</v>
      </c>
      <c r="CV207" t="s">
        <v>439</v>
      </c>
      <c r="CW207" t="s">
        <v>292</v>
      </c>
      <c r="CX207" t="s">
        <v>292</v>
      </c>
      <c r="CY207" t="b">
        <v>0</v>
      </c>
      <c r="CZ207" t="b">
        <v>0</v>
      </c>
      <c r="DC207" t="s">
        <v>887</v>
      </c>
      <c r="DJ207">
        <f>DataTable[HLD_MaturityDate] - DataTable[SEC_Issue_Date]</f>
        <v>1096</v>
      </c>
    </row>
    <row r="208" spans="1:114" x14ac:dyDescent="0.2">
      <c r="A208" s="2">
        <v>43376</v>
      </c>
      <c r="B208" t="s">
        <v>46</v>
      </c>
      <c r="C208" t="s">
        <v>7</v>
      </c>
      <c r="D208" t="s">
        <v>36</v>
      </c>
      <c r="F208" t="s">
        <v>888</v>
      </c>
      <c r="G208" t="s">
        <v>541</v>
      </c>
      <c r="H208" t="s">
        <v>889</v>
      </c>
      <c r="I208" t="s">
        <v>286</v>
      </c>
      <c r="J208" t="s">
        <v>455</v>
      </c>
      <c r="K208" t="s">
        <v>541</v>
      </c>
      <c r="N208" s="2">
        <v>44313</v>
      </c>
      <c r="O208">
        <v>937</v>
      </c>
      <c r="P208">
        <v>2.39</v>
      </c>
      <c r="Q208">
        <v>2.696904</v>
      </c>
      <c r="R208">
        <v>70000</v>
      </c>
      <c r="S208">
        <v>992.37144999999998</v>
      </c>
      <c r="T208">
        <v>69466001.5</v>
      </c>
      <c r="U208">
        <v>316265.59999999998</v>
      </c>
      <c r="V208">
        <v>70000000</v>
      </c>
      <c r="W208">
        <v>2.4657469999999999</v>
      </c>
      <c r="X208">
        <v>70000000</v>
      </c>
      <c r="Z208">
        <v>70000000</v>
      </c>
      <c r="AA208">
        <v>2.39</v>
      </c>
      <c r="AB208">
        <v>3.2293520000000001E-4</v>
      </c>
      <c r="AC208" t="s">
        <v>888</v>
      </c>
      <c r="AE208" t="s">
        <v>890</v>
      </c>
      <c r="AF208" t="s">
        <v>891</v>
      </c>
      <c r="AG208" t="s">
        <v>892</v>
      </c>
      <c r="AH208" t="s">
        <v>330</v>
      </c>
      <c r="AI208" t="s">
        <v>889</v>
      </c>
      <c r="AJ208" t="s">
        <v>822</v>
      </c>
      <c r="AK208" t="s">
        <v>36</v>
      </c>
      <c r="AM208" t="s">
        <v>455</v>
      </c>
      <c r="AN208" t="s">
        <v>688</v>
      </c>
      <c r="AO208" t="s">
        <v>292</v>
      </c>
      <c r="AP208" t="s">
        <v>434</v>
      </c>
      <c r="AQ208" t="s">
        <v>318</v>
      </c>
      <c r="AR208" t="s">
        <v>292</v>
      </c>
      <c r="AS208" t="s">
        <v>292</v>
      </c>
      <c r="AT208" t="s">
        <v>348</v>
      </c>
      <c r="AU208" t="s">
        <v>292</v>
      </c>
      <c r="AV208" t="s">
        <v>37</v>
      </c>
      <c r="AW208" t="s">
        <v>541</v>
      </c>
      <c r="AX208">
        <v>7</v>
      </c>
      <c r="AY208" t="s">
        <v>890</v>
      </c>
      <c r="AZ208" t="s">
        <v>893</v>
      </c>
      <c r="BA208" t="s">
        <v>286</v>
      </c>
      <c r="BB208" t="s">
        <v>541</v>
      </c>
      <c r="BC208" t="s">
        <v>292</v>
      </c>
      <c r="BD208" t="s">
        <v>292</v>
      </c>
      <c r="BE208" t="s">
        <v>292</v>
      </c>
      <c r="BF208" t="s">
        <v>292</v>
      </c>
      <c r="BG208" t="s">
        <v>541</v>
      </c>
      <c r="BH208">
        <v>7</v>
      </c>
      <c r="BI208" t="s">
        <v>300</v>
      </c>
      <c r="BJ208" t="s">
        <v>300</v>
      </c>
      <c r="CK208" t="s">
        <v>560</v>
      </c>
      <c r="CL208" t="s">
        <v>561</v>
      </c>
      <c r="CM208" t="s">
        <v>9</v>
      </c>
      <c r="CN208" s="2">
        <v>43217</v>
      </c>
      <c r="CO208" t="s">
        <v>292</v>
      </c>
      <c r="CP208" t="s">
        <v>303</v>
      </c>
      <c r="CQ208" t="s">
        <v>303</v>
      </c>
      <c r="CR208" t="s">
        <v>304</v>
      </c>
      <c r="CS208" t="s">
        <v>292</v>
      </c>
      <c r="CT208">
        <v>2000</v>
      </c>
      <c r="CU208" t="b">
        <v>0</v>
      </c>
      <c r="CV208" t="s">
        <v>439</v>
      </c>
      <c r="CW208" t="s">
        <v>292</v>
      </c>
      <c r="CX208" t="s">
        <v>292</v>
      </c>
      <c r="CY208" t="b">
        <v>0</v>
      </c>
      <c r="CZ208" t="b">
        <v>0</v>
      </c>
      <c r="DC208" t="s">
        <v>292</v>
      </c>
      <c r="DJ208">
        <f>DataTable[HLD_MaturityDate] - DataTable[SEC_Issue_Date]</f>
        <v>1096</v>
      </c>
    </row>
    <row r="209" spans="1:114" x14ac:dyDescent="0.2">
      <c r="A209" s="2">
        <v>43376</v>
      </c>
      <c r="B209" t="s">
        <v>46</v>
      </c>
      <c r="C209" t="s">
        <v>7</v>
      </c>
      <c r="D209" t="s">
        <v>36</v>
      </c>
      <c r="F209" t="s">
        <v>894</v>
      </c>
      <c r="G209" t="s">
        <v>12</v>
      </c>
      <c r="H209" t="s">
        <v>895</v>
      </c>
      <c r="I209" t="s">
        <v>286</v>
      </c>
      <c r="J209" t="s">
        <v>896</v>
      </c>
      <c r="K209" t="s">
        <v>12</v>
      </c>
      <c r="N209" s="2">
        <v>44285</v>
      </c>
      <c r="O209">
        <v>909</v>
      </c>
      <c r="P209">
        <v>2.2599999999999998</v>
      </c>
      <c r="Q209">
        <v>2.5347200000000001</v>
      </c>
      <c r="R209">
        <v>262000</v>
      </c>
      <c r="S209">
        <v>993.41004999999996</v>
      </c>
      <c r="T209">
        <v>260273433.09999999</v>
      </c>
      <c r="U209">
        <v>64889.54</v>
      </c>
      <c r="V209">
        <v>262000000</v>
      </c>
      <c r="W209">
        <v>2.4105530000000002</v>
      </c>
      <c r="X209">
        <v>262000000</v>
      </c>
      <c r="Z209">
        <v>262000000</v>
      </c>
      <c r="AA209">
        <v>2.2599999999999998</v>
      </c>
      <c r="AB209">
        <v>1.2047819999999999E-3</v>
      </c>
      <c r="AC209" t="s">
        <v>894</v>
      </c>
      <c r="AE209" t="s">
        <v>897</v>
      </c>
      <c r="AF209" t="s">
        <v>898</v>
      </c>
      <c r="AG209" t="s">
        <v>899</v>
      </c>
      <c r="AH209" t="s">
        <v>330</v>
      </c>
      <c r="AI209" t="s">
        <v>895</v>
      </c>
      <c r="AJ209" t="s">
        <v>822</v>
      </c>
      <c r="AK209" t="s">
        <v>36</v>
      </c>
      <c r="AM209" t="s">
        <v>896</v>
      </c>
      <c r="AN209" t="s">
        <v>688</v>
      </c>
      <c r="AO209" t="s">
        <v>292</v>
      </c>
      <c r="AP209" t="s">
        <v>434</v>
      </c>
      <c r="AQ209" t="s">
        <v>318</v>
      </c>
      <c r="AR209" t="s">
        <v>292</v>
      </c>
      <c r="AS209" t="s">
        <v>292</v>
      </c>
      <c r="AT209" t="s">
        <v>348</v>
      </c>
      <c r="AU209" t="s">
        <v>292</v>
      </c>
      <c r="AV209" t="s">
        <v>37</v>
      </c>
      <c r="AW209" t="s">
        <v>12</v>
      </c>
      <c r="AX209">
        <v>6</v>
      </c>
      <c r="AY209" t="s">
        <v>897</v>
      </c>
      <c r="AZ209" t="s">
        <v>900</v>
      </c>
      <c r="BA209" t="s">
        <v>286</v>
      </c>
      <c r="BB209" t="s">
        <v>12</v>
      </c>
      <c r="BC209" t="s">
        <v>292</v>
      </c>
      <c r="BD209" t="s">
        <v>292</v>
      </c>
      <c r="BE209" t="s">
        <v>292</v>
      </c>
      <c r="BF209" t="s">
        <v>292</v>
      </c>
      <c r="BG209" t="s">
        <v>12</v>
      </c>
      <c r="BH209">
        <v>6</v>
      </c>
      <c r="BI209" t="s">
        <v>300</v>
      </c>
      <c r="BJ209" t="s">
        <v>300</v>
      </c>
      <c r="CK209" t="s">
        <v>560</v>
      </c>
      <c r="CL209" t="s">
        <v>561</v>
      </c>
      <c r="CM209" t="s">
        <v>9</v>
      </c>
      <c r="CN209" s="2">
        <v>43189</v>
      </c>
      <c r="CO209" t="s">
        <v>292</v>
      </c>
      <c r="CP209" t="s">
        <v>303</v>
      </c>
      <c r="CQ209" t="s">
        <v>303</v>
      </c>
      <c r="CR209" t="s">
        <v>304</v>
      </c>
      <c r="CS209" t="s">
        <v>292</v>
      </c>
      <c r="CT209">
        <v>2600</v>
      </c>
      <c r="CU209" t="b">
        <v>0</v>
      </c>
      <c r="CV209" t="s">
        <v>439</v>
      </c>
      <c r="CW209" t="s">
        <v>292</v>
      </c>
      <c r="CX209" t="s">
        <v>292</v>
      </c>
      <c r="CY209" t="b">
        <v>0</v>
      </c>
      <c r="CZ209" t="b">
        <v>0</v>
      </c>
      <c r="DC209" t="s">
        <v>901</v>
      </c>
      <c r="DJ209">
        <f>DataTable[HLD_MaturityDate] - DataTable[SEC_Issue_Date]</f>
        <v>1096</v>
      </c>
    </row>
    <row r="210" spans="1:114" x14ac:dyDescent="0.2">
      <c r="A210" s="2">
        <v>43376</v>
      </c>
      <c r="B210" t="s">
        <v>46</v>
      </c>
      <c r="C210" t="s">
        <v>7</v>
      </c>
      <c r="D210" t="s">
        <v>36</v>
      </c>
      <c r="F210" t="s">
        <v>902</v>
      </c>
      <c r="G210" t="s">
        <v>541</v>
      </c>
      <c r="H210" t="s">
        <v>903</v>
      </c>
      <c r="I210" t="s">
        <v>286</v>
      </c>
      <c r="J210" t="s">
        <v>647</v>
      </c>
      <c r="K210" t="s">
        <v>541</v>
      </c>
      <c r="N210" s="2">
        <v>44061</v>
      </c>
      <c r="O210">
        <v>685</v>
      </c>
      <c r="P210">
        <v>3.33</v>
      </c>
      <c r="Q210">
        <v>2.810095</v>
      </c>
      <c r="R210">
        <v>390000</v>
      </c>
      <c r="S210">
        <v>1009.27459</v>
      </c>
      <c r="T210">
        <v>393617090.10000002</v>
      </c>
      <c r="U210">
        <v>1672300.5</v>
      </c>
      <c r="V210">
        <v>390000000</v>
      </c>
      <c r="W210">
        <v>1.8017080000000001</v>
      </c>
      <c r="X210">
        <v>390000000</v>
      </c>
      <c r="Z210">
        <v>390000000</v>
      </c>
      <c r="AA210">
        <v>3.33</v>
      </c>
      <c r="AB210">
        <v>1.8293025000000001E-3</v>
      </c>
      <c r="AC210" t="s">
        <v>902</v>
      </c>
      <c r="AE210" t="s">
        <v>904</v>
      </c>
      <c r="AF210" t="s">
        <v>905</v>
      </c>
      <c r="AG210" t="s">
        <v>906</v>
      </c>
      <c r="AH210" t="s">
        <v>330</v>
      </c>
      <c r="AI210" t="s">
        <v>903</v>
      </c>
      <c r="AJ210" t="s">
        <v>523</v>
      </c>
      <c r="AK210" t="s">
        <v>36</v>
      </c>
      <c r="AM210" t="s">
        <v>647</v>
      </c>
      <c r="AN210" t="s">
        <v>651</v>
      </c>
      <c r="AO210" t="s">
        <v>292</v>
      </c>
      <c r="AP210" t="s">
        <v>434</v>
      </c>
      <c r="AQ210" t="s">
        <v>318</v>
      </c>
      <c r="AR210" t="s">
        <v>292</v>
      </c>
      <c r="AS210" t="s">
        <v>292</v>
      </c>
      <c r="AT210" t="s">
        <v>348</v>
      </c>
      <c r="AU210" t="s">
        <v>292</v>
      </c>
      <c r="AV210" t="s">
        <v>37</v>
      </c>
      <c r="AW210" t="s">
        <v>541</v>
      </c>
      <c r="AX210">
        <v>7</v>
      </c>
      <c r="AY210" t="s">
        <v>904</v>
      </c>
      <c r="AZ210" t="s">
        <v>907</v>
      </c>
      <c r="BA210" t="s">
        <v>286</v>
      </c>
      <c r="BB210" t="s">
        <v>541</v>
      </c>
      <c r="BC210" t="s">
        <v>292</v>
      </c>
      <c r="BD210" t="s">
        <v>292</v>
      </c>
      <c r="BE210" t="s">
        <v>292</v>
      </c>
      <c r="BF210" t="s">
        <v>292</v>
      </c>
      <c r="BG210" t="s">
        <v>541</v>
      </c>
      <c r="BH210">
        <v>7</v>
      </c>
      <c r="BI210" t="s">
        <v>300</v>
      </c>
      <c r="BJ210" t="s">
        <v>300</v>
      </c>
      <c r="CK210" t="s">
        <v>560</v>
      </c>
      <c r="CL210" t="s">
        <v>561</v>
      </c>
      <c r="CM210" t="s">
        <v>9</v>
      </c>
      <c r="CN210" s="2">
        <v>42965</v>
      </c>
      <c r="CO210" t="s">
        <v>292</v>
      </c>
      <c r="CP210" t="s">
        <v>303</v>
      </c>
      <c r="CQ210" t="s">
        <v>303</v>
      </c>
      <c r="CR210" t="s">
        <v>304</v>
      </c>
      <c r="CS210" t="s">
        <v>292</v>
      </c>
      <c r="CT210">
        <v>2000</v>
      </c>
      <c r="CU210" t="b">
        <v>0</v>
      </c>
      <c r="CV210" t="s">
        <v>439</v>
      </c>
      <c r="CW210" t="s">
        <v>292</v>
      </c>
      <c r="CX210" t="s">
        <v>292</v>
      </c>
      <c r="CY210" t="b">
        <v>0</v>
      </c>
      <c r="CZ210" t="b">
        <v>0</v>
      </c>
      <c r="DC210" t="s">
        <v>908</v>
      </c>
      <c r="DJ210">
        <f>DataTable[HLD_MaturityDate] - DataTable[SEC_Issue_Date]</f>
        <v>1096</v>
      </c>
    </row>
    <row r="211" spans="1:114" x14ac:dyDescent="0.2">
      <c r="A211" s="2">
        <v>43376</v>
      </c>
      <c r="B211" t="s">
        <v>46</v>
      </c>
      <c r="C211" t="s">
        <v>7</v>
      </c>
      <c r="D211" t="s">
        <v>909</v>
      </c>
      <c r="F211" t="s">
        <v>910</v>
      </c>
      <c r="H211" t="s">
        <v>911</v>
      </c>
      <c r="I211" t="s">
        <v>344</v>
      </c>
      <c r="J211" t="s">
        <v>287</v>
      </c>
      <c r="K211" t="s">
        <v>12</v>
      </c>
      <c r="N211" s="2">
        <v>43531</v>
      </c>
      <c r="O211">
        <v>155</v>
      </c>
      <c r="P211">
        <v>2.93</v>
      </c>
      <c r="R211">
        <v>100000</v>
      </c>
      <c r="S211">
        <v>1046975.449</v>
      </c>
      <c r="T211">
        <v>3235700000</v>
      </c>
      <c r="U211">
        <v>55566855.859999999</v>
      </c>
      <c r="V211">
        <v>3235700000</v>
      </c>
      <c r="W211">
        <v>0.42519200000000001</v>
      </c>
      <c r="X211">
        <v>100000000</v>
      </c>
      <c r="Z211">
        <v>3150000000</v>
      </c>
      <c r="AA211">
        <v>2.93</v>
      </c>
      <c r="AB211">
        <v>1.5231177E-2</v>
      </c>
      <c r="AC211" t="s">
        <v>910</v>
      </c>
      <c r="AE211" t="s">
        <v>912</v>
      </c>
      <c r="AF211" t="s">
        <v>913</v>
      </c>
      <c r="AG211" t="s">
        <v>913</v>
      </c>
      <c r="AH211" t="s">
        <v>330</v>
      </c>
      <c r="AI211" t="s">
        <v>911</v>
      </c>
      <c r="AJ211" t="s">
        <v>914</v>
      </c>
      <c r="AK211" t="s">
        <v>915</v>
      </c>
      <c r="AM211" t="s">
        <v>287</v>
      </c>
      <c r="AN211" t="s">
        <v>292</v>
      </c>
      <c r="AO211" t="s">
        <v>292</v>
      </c>
      <c r="AP211" t="s">
        <v>333</v>
      </c>
      <c r="AQ211" t="s">
        <v>321</v>
      </c>
      <c r="AR211" t="s">
        <v>292</v>
      </c>
      <c r="AS211" t="s">
        <v>292</v>
      </c>
      <c r="AT211" t="s">
        <v>348</v>
      </c>
      <c r="AU211" t="s">
        <v>292</v>
      </c>
      <c r="AV211" t="s">
        <v>37</v>
      </c>
      <c r="AY211" t="s">
        <v>912</v>
      </c>
      <c r="AZ211" t="s">
        <v>912</v>
      </c>
      <c r="BA211" t="s">
        <v>344</v>
      </c>
      <c r="BB211" t="s">
        <v>292</v>
      </c>
      <c r="BC211" t="s">
        <v>12</v>
      </c>
      <c r="BD211" t="s">
        <v>292</v>
      </c>
      <c r="BE211" t="s">
        <v>541</v>
      </c>
      <c r="BF211" t="s">
        <v>299</v>
      </c>
      <c r="BG211" t="s">
        <v>12</v>
      </c>
      <c r="BH211">
        <v>6</v>
      </c>
      <c r="BI211" t="s">
        <v>300</v>
      </c>
      <c r="BJ211" t="s">
        <v>300</v>
      </c>
      <c r="CK211" t="s">
        <v>560</v>
      </c>
      <c r="CL211" t="s">
        <v>561</v>
      </c>
      <c r="CM211" t="s">
        <v>9</v>
      </c>
      <c r="CN211" s="2">
        <v>43166</v>
      </c>
      <c r="CO211" t="s">
        <v>292</v>
      </c>
      <c r="CP211" t="s">
        <v>363</v>
      </c>
      <c r="CQ211" t="s">
        <v>363</v>
      </c>
      <c r="CR211" t="s">
        <v>364</v>
      </c>
      <c r="CS211" t="s">
        <v>292</v>
      </c>
      <c r="CT211">
        <v>25000</v>
      </c>
      <c r="CU211" t="b">
        <v>0</v>
      </c>
      <c r="CV211" t="s">
        <v>311</v>
      </c>
      <c r="CW211" t="s">
        <v>292</v>
      </c>
      <c r="CX211" t="s">
        <v>292</v>
      </c>
      <c r="CY211" t="b">
        <v>0</v>
      </c>
      <c r="CZ211" t="b">
        <v>0</v>
      </c>
      <c r="DC211" t="s">
        <v>916</v>
      </c>
      <c r="DD211">
        <v>3150000000</v>
      </c>
      <c r="DE211">
        <v>0</v>
      </c>
      <c r="DG211">
        <v>0</v>
      </c>
      <c r="DH211" t="s">
        <v>321</v>
      </c>
      <c r="DI211">
        <v>32.356999999999999</v>
      </c>
      <c r="DJ211">
        <f>DataTable[HLD_MaturityDate] - DataTable[SEC_Issue_Date]</f>
        <v>365</v>
      </c>
    </row>
    <row r="212" spans="1:114" x14ac:dyDescent="0.2">
      <c r="A212" s="2">
        <v>43376</v>
      </c>
      <c r="B212" t="s">
        <v>46</v>
      </c>
      <c r="C212" t="s">
        <v>7</v>
      </c>
      <c r="D212" t="s">
        <v>909</v>
      </c>
      <c r="F212" t="s">
        <v>917</v>
      </c>
      <c r="H212" t="s">
        <v>911</v>
      </c>
      <c r="I212" t="s">
        <v>344</v>
      </c>
      <c r="J212" t="s">
        <v>287</v>
      </c>
      <c r="K212" t="s">
        <v>12</v>
      </c>
      <c r="N212" s="2">
        <v>43593</v>
      </c>
      <c r="O212">
        <v>217</v>
      </c>
      <c r="P212">
        <v>3.28</v>
      </c>
      <c r="Q212">
        <v>3.28</v>
      </c>
      <c r="R212">
        <v>400</v>
      </c>
      <c r="S212">
        <v>9395089.8000000007</v>
      </c>
      <c r="T212">
        <v>2588560000</v>
      </c>
      <c r="U212">
        <v>35141140.090000004</v>
      </c>
      <c r="V212">
        <v>2588560000</v>
      </c>
      <c r="W212">
        <v>0.59109100000000003</v>
      </c>
      <c r="X212">
        <v>80000000</v>
      </c>
      <c r="Z212">
        <v>2534400000</v>
      </c>
      <c r="AA212">
        <v>3.28</v>
      </c>
      <c r="AB212">
        <v>1.21418464E-2</v>
      </c>
      <c r="AC212" t="s">
        <v>917</v>
      </c>
      <c r="AE212" t="s">
        <v>912</v>
      </c>
      <c r="AF212" t="s">
        <v>913</v>
      </c>
      <c r="AG212" t="s">
        <v>913</v>
      </c>
      <c r="AH212" t="s">
        <v>330</v>
      </c>
      <c r="AI212" t="s">
        <v>911</v>
      </c>
      <c r="AJ212" t="s">
        <v>918</v>
      </c>
      <c r="AK212" t="s">
        <v>915</v>
      </c>
      <c r="AM212" t="s">
        <v>287</v>
      </c>
      <c r="AN212" t="s">
        <v>292</v>
      </c>
      <c r="AO212" t="s">
        <v>292</v>
      </c>
      <c r="AP212" t="s">
        <v>293</v>
      </c>
      <c r="AQ212" t="s">
        <v>321</v>
      </c>
      <c r="AR212" t="s">
        <v>292</v>
      </c>
      <c r="AS212" t="s">
        <v>292</v>
      </c>
      <c r="AT212" t="s">
        <v>348</v>
      </c>
      <c r="AU212" t="s">
        <v>292</v>
      </c>
      <c r="AV212" t="s">
        <v>37</v>
      </c>
      <c r="AY212" t="s">
        <v>912</v>
      </c>
      <c r="AZ212" t="s">
        <v>912</v>
      </c>
      <c r="BA212" t="s">
        <v>344</v>
      </c>
      <c r="BB212" t="s">
        <v>292</v>
      </c>
      <c r="BC212" t="s">
        <v>12</v>
      </c>
      <c r="BD212" t="s">
        <v>292</v>
      </c>
      <c r="BE212" t="s">
        <v>541</v>
      </c>
      <c r="BF212" t="s">
        <v>299</v>
      </c>
      <c r="BG212" t="s">
        <v>12</v>
      </c>
      <c r="BH212">
        <v>6</v>
      </c>
      <c r="BI212" t="s">
        <v>300</v>
      </c>
      <c r="BJ212" t="s">
        <v>300</v>
      </c>
      <c r="CK212" t="s">
        <v>560</v>
      </c>
      <c r="CL212" t="s">
        <v>561</v>
      </c>
      <c r="CM212" t="s">
        <v>9</v>
      </c>
      <c r="CN212" s="2">
        <v>43228</v>
      </c>
      <c r="CO212" t="s">
        <v>292</v>
      </c>
      <c r="CP212" t="s">
        <v>363</v>
      </c>
      <c r="CQ212" t="s">
        <v>363</v>
      </c>
      <c r="CR212" t="s">
        <v>364</v>
      </c>
      <c r="CS212" t="s">
        <v>292</v>
      </c>
      <c r="CT212">
        <v>25000</v>
      </c>
      <c r="CU212" t="b">
        <v>0</v>
      </c>
      <c r="CV212" t="s">
        <v>439</v>
      </c>
      <c r="CW212" t="s">
        <v>292</v>
      </c>
      <c r="CX212" t="s">
        <v>292</v>
      </c>
      <c r="CY212" t="b">
        <v>0</v>
      </c>
      <c r="CZ212" t="b">
        <v>0</v>
      </c>
      <c r="DC212" t="s">
        <v>919</v>
      </c>
      <c r="DD212">
        <v>2534399999.9699998</v>
      </c>
      <c r="DE212">
        <v>0</v>
      </c>
      <c r="DG212">
        <v>0</v>
      </c>
      <c r="DH212" t="s">
        <v>321</v>
      </c>
      <c r="DI212">
        <v>32.356999999999999</v>
      </c>
      <c r="DJ212">
        <f>DataTable[HLD_MaturityDate] - DataTable[SEC_Issue_Date]</f>
        <v>365</v>
      </c>
    </row>
    <row r="213" spans="1:114" x14ac:dyDescent="0.2">
      <c r="A213" s="2">
        <v>43376</v>
      </c>
      <c r="B213" t="s">
        <v>46</v>
      </c>
      <c r="C213" t="s">
        <v>7</v>
      </c>
      <c r="D213" t="s">
        <v>909</v>
      </c>
      <c r="F213" t="s">
        <v>920</v>
      </c>
      <c r="H213" t="s">
        <v>911</v>
      </c>
      <c r="I213" t="s">
        <v>344</v>
      </c>
      <c r="J213" t="s">
        <v>287</v>
      </c>
      <c r="K213" t="s">
        <v>12</v>
      </c>
      <c r="N213" s="2">
        <v>43564</v>
      </c>
      <c r="O213">
        <v>188</v>
      </c>
      <c r="P213">
        <v>3.16</v>
      </c>
      <c r="R213">
        <v>500</v>
      </c>
      <c r="S213">
        <v>9395089.8000000007</v>
      </c>
      <c r="T213">
        <v>3235700000</v>
      </c>
      <c r="U213">
        <v>50556014.890000001</v>
      </c>
      <c r="V213">
        <v>3235700000</v>
      </c>
      <c r="W213">
        <v>0.51374399999999998</v>
      </c>
      <c r="X213">
        <v>100000000</v>
      </c>
      <c r="Z213">
        <v>3120000000</v>
      </c>
      <c r="AA213">
        <v>3.16</v>
      </c>
      <c r="AB213">
        <v>1.52079881E-2</v>
      </c>
      <c r="AC213" t="s">
        <v>920</v>
      </c>
      <c r="AE213" t="s">
        <v>912</v>
      </c>
      <c r="AF213" t="s">
        <v>913</v>
      </c>
      <c r="AG213" t="s">
        <v>913</v>
      </c>
      <c r="AH213" t="s">
        <v>330</v>
      </c>
      <c r="AI213" t="s">
        <v>911</v>
      </c>
      <c r="AJ213" t="s">
        <v>918</v>
      </c>
      <c r="AK213" t="s">
        <v>915</v>
      </c>
      <c r="AM213" t="s">
        <v>287</v>
      </c>
      <c r="AN213" t="s">
        <v>292</v>
      </c>
      <c r="AO213" t="s">
        <v>292</v>
      </c>
      <c r="AP213" t="s">
        <v>293</v>
      </c>
      <c r="AQ213" t="s">
        <v>321</v>
      </c>
      <c r="AR213" t="s">
        <v>292</v>
      </c>
      <c r="AS213" t="s">
        <v>292</v>
      </c>
      <c r="AT213" t="s">
        <v>348</v>
      </c>
      <c r="AU213" t="s">
        <v>292</v>
      </c>
      <c r="AV213" t="s">
        <v>37</v>
      </c>
      <c r="AY213" t="s">
        <v>912</v>
      </c>
      <c r="AZ213" t="s">
        <v>912</v>
      </c>
      <c r="BA213" t="s">
        <v>344</v>
      </c>
      <c r="BB213" t="s">
        <v>292</v>
      </c>
      <c r="BC213" t="s">
        <v>12</v>
      </c>
      <c r="BD213" t="s">
        <v>292</v>
      </c>
      <c r="BE213" t="s">
        <v>541</v>
      </c>
      <c r="BF213" t="s">
        <v>299</v>
      </c>
      <c r="BG213" t="s">
        <v>12</v>
      </c>
      <c r="BH213">
        <v>6</v>
      </c>
      <c r="BI213" t="s">
        <v>300</v>
      </c>
      <c r="BJ213" t="s">
        <v>300</v>
      </c>
      <c r="CK213" t="s">
        <v>560</v>
      </c>
      <c r="CL213" t="s">
        <v>561</v>
      </c>
      <c r="CM213" t="s">
        <v>9</v>
      </c>
      <c r="CN213" s="2">
        <v>43199</v>
      </c>
      <c r="CO213" t="s">
        <v>292</v>
      </c>
      <c r="CP213" t="s">
        <v>363</v>
      </c>
      <c r="CQ213" t="s">
        <v>363</v>
      </c>
      <c r="CR213" t="s">
        <v>364</v>
      </c>
      <c r="CS213" t="s">
        <v>292</v>
      </c>
      <c r="CT213">
        <v>25000</v>
      </c>
      <c r="CU213" t="b">
        <v>0</v>
      </c>
      <c r="CV213" t="s">
        <v>439</v>
      </c>
      <c r="CW213" t="s">
        <v>292</v>
      </c>
      <c r="CX213" t="s">
        <v>292</v>
      </c>
      <c r="CY213" t="b">
        <v>0</v>
      </c>
      <c r="CZ213" t="b">
        <v>0</v>
      </c>
      <c r="DC213" t="s">
        <v>921</v>
      </c>
      <c r="DD213">
        <v>3120000000.0300002</v>
      </c>
      <c r="DE213">
        <v>0</v>
      </c>
      <c r="DG213">
        <v>0</v>
      </c>
      <c r="DH213" t="s">
        <v>321</v>
      </c>
      <c r="DI213">
        <v>32.356999999999999</v>
      </c>
      <c r="DJ213">
        <f>DataTable[HLD_MaturityDate] - DataTable[SEC_Issue_Date]</f>
        <v>365</v>
      </c>
    </row>
    <row r="214" spans="1:114" x14ac:dyDescent="0.2">
      <c r="A214" s="2">
        <v>43376</v>
      </c>
      <c r="B214" t="s">
        <v>46</v>
      </c>
      <c r="C214" t="s">
        <v>7</v>
      </c>
      <c r="D214" t="s">
        <v>909</v>
      </c>
      <c r="F214" t="s">
        <v>922</v>
      </c>
      <c r="H214" t="s">
        <v>911</v>
      </c>
      <c r="I214" t="s">
        <v>344</v>
      </c>
      <c r="J214" t="s">
        <v>287</v>
      </c>
      <c r="K214" t="s">
        <v>12</v>
      </c>
      <c r="N214" s="2">
        <v>43598</v>
      </c>
      <c r="O214">
        <v>222</v>
      </c>
      <c r="P214">
        <v>3.3</v>
      </c>
      <c r="Q214">
        <v>0</v>
      </c>
      <c r="R214">
        <v>80000</v>
      </c>
      <c r="S214">
        <v>1046975.449</v>
      </c>
      <c r="T214">
        <v>2588560000</v>
      </c>
      <c r="U214">
        <v>34880846</v>
      </c>
      <c r="V214">
        <v>2588560000</v>
      </c>
      <c r="W214">
        <v>0.60436800000000002</v>
      </c>
      <c r="X214">
        <v>80000000</v>
      </c>
      <c r="Z214">
        <v>2549200000</v>
      </c>
      <c r="AA214">
        <v>3.3</v>
      </c>
      <c r="AB214">
        <v>1.2140641799999999E-2</v>
      </c>
      <c r="AC214" t="s">
        <v>922</v>
      </c>
      <c r="AE214" t="s">
        <v>912</v>
      </c>
      <c r="AF214" t="s">
        <v>913</v>
      </c>
      <c r="AG214" t="s">
        <v>913</v>
      </c>
      <c r="AH214" t="s">
        <v>330</v>
      </c>
      <c r="AI214" t="s">
        <v>911</v>
      </c>
      <c r="AJ214" t="s">
        <v>914</v>
      </c>
      <c r="AK214" t="s">
        <v>915</v>
      </c>
      <c r="AM214" t="s">
        <v>287</v>
      </c>
      <c r="AN214" t="s">
        <v>292</v>
      </c>
      <c r="AO214" t="s">
        <v>292</v>
      </c>
      <c r="AP214" t="s">
        <v>293</v>
      </c>
      <c r="AQ214" t="s">
        <v>321</v>
      </c>
      <c r="AR214" t="s">
        <v>292</v>
      </c>
      <c r="AS214" t="s">
        <v>292</v>
      </c>
      <c r="AT214" t="s">
        <v>348</v>
      </c>
      <c r="AU214" t="s">
        <v>292</v>
      </c>
      <c r="AV214" t="s">
        <v>37</v>
      </c>
      <c r="AY214" t="s">
        <v>912</v>
      </c>
      <c r="AZ214" t="s">
        <v>912</v>
      </c>
      <c r="BA214" t="s">
        <v>344</v>
      </c>
      <c r="BB214" t="s">
        <v>292</v>
      </c>
      <c r="BC214" t="s">
        <v>12</v>
      </c>
      <c r="BD214" t="s">
        <v>292</v>
      </c>
      <c r="BE214" t="s">
        <v>541</v>
      </c>
      <c r="BF214" t="s">
        <v>299</v>
      </c>
      <c r="BG214" t="s">
        <v>12</v>
      </c>
      <c r="BH214">
        <v>6</v>
      </c>
      <c r="BI214" t="s">
        <v>300</v>
      </c>
      <c r="BJ214" t="s">
        <v>300</v>
      </c>
      <c r="CK214" t="s">
        <v>560</v>
      </c>
      <c r="CL214" t="s">
        <v>561</v>
      </c>
      <c r="CM214" t="s">
        <v>9</v>
      </c>
      <c r="CN214" s="2">
        <v>43230</v>
      </c>
      <c r="CO214" t="s">
        <v>292</v>
      </c>
      <c r="CP214" t="s">
        <v>363</v>
      </c>
      <c r="CQ214" t="s">
        <v>363</v>
      </c>
      <c r="CR214" t="s">
        <v>364</v>
      </c>
      <c r="CS214" t="s">
        <v>292</v>
      </c>
      <c r="CT214">
        <v>25000</v>
      </c>
      <c r="CU214" t="b">
        <v>0</v>
      </c>
      <c r="CV214" t="s">
        <v>439</v>
      </c>
      <c r="CW214" t="s">
        <v>292</v>
      </c>
      <c r="CX214" t="s">
        <v>292</v>
      </c>
      <c r="CY214" t="b">
        <v>0</v>
      </c>
      <c r="CZ214" t="b">
        <v>0</v>
      </c>
      <c r="DC214" t="s">
        <v>923</v>
      </c>
      <c r="DD214">
        <v>2549199999.98</v>
      </c>
      <c r="DE214">
        <v>0</v>
      </c>
      <c r="DG214">
        <v>0</v>
      </c>
      <c r="DH214" t="s">
        <v>321</v>
      </c>
      <c r="DI214">
        <v>32.356999999999999</v>
      </c>
      <c r="DJ214">
        <f>DataTable[HLD_MaturityDate] - DataTable[SEC_Issue_Date]</f>
        <v>368</v>
      </c>
    </row>
    <row r="215" spans="1:114" x14ac:dyDescent="0.2">
      <c r="A215" s="2">
        <v>43376</v>
      </c>
      <c r="B215" t="s">
        <v>46</v>
      </c>
      <c r="C215" t="s">
        <v>7</v>
      </c>
      <c r="D215" t="s">
        <v>909</v>
      </c>
      <c r="F215" t="s">
        <v>924</v>
      </c>
      <c r="H215" t="s">
        <v>911</v>
      </c>
      <c r="I215" t="s">
        <v>344</v>
      </c>
      <c r="J215" t="s">
        <v>287</v>
      </c>
      <c r="K215" t="s">
        <v>12</v>
      </c>
      <c r="N215" s="2">
        <v>43545</v>
      </c>
      <c r="O215">
        <v>169</v>
      </c>
      <c r="P215">
        <v>0.05</v>
      </c>
      <c r="Q215">
        <v>0</v>
      </c>
      <c r="R215">
        <v>80000</v>
      </c>
      <c r="S215">
        <v>1402135.51401</v>
      </c>
      <c r="T215">
        <v>2995608000</v>
      </c>
      <c r="U215">
        <v>802989.37</v>
      </c>
      <c r="V215">
        <v>2995608000</v>
      </c>
      <c r="W215">
        <v>0.46655799999999997</v>
      </c>
      <c r="X215">
        <v>80000000</v>
      </c>
      <c r="Z215">
        <v>3041600000</v>
      </c>
      <c r="AA215">
        <v>0.05</v>
      </c>
      <c r="AB215">
        <v>1.38666563E-2</v>
      </c>
      <c r="AC215" t="s">
        <v>924</v>
      </c>
      <c r="AE215" t="s">
        <v>912</v>
      </c>
      <c r="AF215" t="s">
        <v>913</v>
      </c>
      <c r="AG215" t="s">
        <v>913</v>
      </c>
      <c r="AH215" t="s">
        <v>330</v>
      </c>
      <c r="AI215" t="s">
        <v>911</v>
      </c>
      <c r="AJ215" t="s">
        <v>925</v>
      </c>
      <c r="AK215" t="s">
        <v>915</v>
      </c>
      <c r="AM215" t="s">
        <v>287</v>
      </c>
      <c r="AN215" t="s">
        <v>292</v>
      </c>
      <c r="AO215" t="s">
        <v>292</v>
      </c>
      <c r="AP215" t="s">
        <v>333</v>
      </c>
      <c r="AQ215" t="s">
        <v>307</v>
      </c>
      <c r="AR215" t="s">
        <v>292</v>
      </c>
      <c r="AS215" t="s">
        <v>292</v>
      </c>
      <c r="AT215" t="s">
        <v>348</v>
      </c>
      <c r="AU215" t="s">
        <v>292</v>
      </c>
      <c r="AV215" t="s">
        <v>37</v>
      </c>
      <c r="AY215" t="s">
        <v>912</v>
      </c>
      <c r="AZ215" t="s">
        <v>912</v>
      </c>
      <c r="BA215" t="s">
        <v>344</v>
      </c>
      <c r="BB215" t="s">
        <v>292</v>
      </c>
      <c r="BC215" t="s">
        <v>12</v>
      </c>
      <c r="BD215" t="s">
        <v>292</v>
      </c>
      <c r="BE215" t="s">
        <v>541</v>
      </c>
      <c r="BF215" t="s">
        <v>299</v>
      </c>
      <c r="BG215" t="s">
        <v>12</v>
      </c>
      <c r="BH215">
        <v>6</v>
      </c>
      <c r="BI215" t="s">
        <v>300</v>
      </c>
      <c r="BJ215" t="s">
        <v>300</v>
      </c>
      <c r="CK215" t="s">
        <v>560</v>
      </c>
      <c r="CL215" t="s">
        <v>561</v>
      </c>
      <c r="CM215" t="s">
        <v>9</v>
      </c>
      <c r="CN215" s="2">
        <v>43180</v>
      </c>
      <c r="CO215" t="s">
        <v>292</v>
      </c>
      <c r="CP215" t="s">
        <v>363</v>
      </c>
      <c r="CQ215" t="s">
        <v>363</v>
      </c>
      <c r="CR215" t="s">
        <v>364</v>
      </c>
      <c r="CS215" t="s">
        <v>292</v>
      </c>
      <c r="CT215">
        <v>25000</v>
      </c>
      <c r="CU215" t="b">
        <v>0</v>
      </c>
      <c r="CV215" t="s">
        <v>311</v>
      </c>
      <c r="CW215" t="s">
        <v>292</v>
      </c>
      <c r="CX215" t="s">
        <v>292</v>
      </c>
      <c r="CY215" t="b">
        <v>0</v>
      </c>
      <c r="CZ215" t="b">
        <v>0</v>
      </c>
      <c r="DC215" t="s">
        <v>926</v>
      </c>
      <c r="DD215">
        <v>3041600000</v>
      </c>
      <c r="DE215">
        <v>0</v>
      </c>
      <c r="DG215">
        <v>0</v>
      </c>
      <c r="DH215" t="s">
        <v>307</v>
      </c>
      <c r="DI215">
        <v>37.445099999999996</v>
      </c>
      <c r="DJ215">
        <f>DataTable[HLD_MaturityDate] - DataTable[SEC_Issue_Date]</f>
        <v>365</v>
      </c>
    </row>
    <row r="216" spans="1:114" x14ac:dyDescent="0.2">
      <c r="A216" s="2">
        <v>43376</v>
      </c>
      <c r="B216" t="s">
        <v>46</v>
      </c>
      <c r="C216" t="s">
        <v>528</v>
      </c>
      <c r="D216" t="s">
        <v>529</v>
      </c>
      <c r="F216" t="s">
        <v>927</v>
      </c>
      <c r="H216" t="s">
        <v>285</v>
      </c>
      <c r="I216" t="s">
        <v>286</v>
      </c>
      <c r="J216" t="s">
        <v>287</v>
      </c>
      <c r="K216" t="s">
        <v>288</v>
      </c>
      <c r="N216" s="2">
        <v>43452</v>
      </c>
      <c r="R216">
        <v>1</v>
      </c>
      <c r="T216">
        <v>-7959747.8300000001</v>
      </c>
      <c r="V216">
        <v>0</v>
      </c>
      <c r="W216">
        <v>0</v>
      </c>
      <c r="X216">
        <v>0</v>
      </c>
      <c r="Z216">
        <v>0</v>
      </c>
      <c r="AA216">
        <v>0</v>
      </c>
      <c r="AB216">
        <v>-3.6835799999999997E-5</v>
      </c>
      <c r="AC216" t="s">
        <v>927</v>
      </c>
      <c r="AE216" t="s">
        <v>928</v>
      </c>
      <c r="AF216" t="s">
        <v>532</v>
      </c>
      <c r="AG216" t="s">
        <v>532</v>
      </c>
      <c r="AH216" t="s">
        <v>533</v>
      </c>
      <c r="AI216" t="s">
        <v>285</v>
      </c>
      <c r="AJ216" t="s">
        <v>534</v>
      </c>
      <c r="AK216" t="s">
        <v>529</v>
      </c>
      <c r="AM216" t="s">
        <v>287</v>
      </c>
      <c r="AN216" t="s">
        <v>433</v>
      </c>
      <c r="AO216" t="s">
        <v>292</v>
      </c>
      <c r="AP216" t="s">
        <v>333</v>
      </c>
      <c r="AQ216" t="s">
        <v>318</v>
      </c>
      <c r="AR216" t="s">
        <v>292</v>
      </c>
      <c r="AS216" t="s">
        <v>292</v>
      </c>
      <c r="AT216" t="s">
        <v>292</v>
      </c>
      <c r="AU216" t="s">
        <v>292</v>
      </c>
      <c r="AV216" t="s">
        <v>292</v>
      </c>
      <c r="AY216" t="s">
        <v>296</v>
      </c>
      <c r="AZ216" t="s">
        <v>297</v>
      </c>
      <c r="BA216" t="s">
        <v>286</v>
      </c>
      <c r="BB216" t="s">
        <v>292</v>
      </c>
      <c r="BC216" t="s">
        <v>288</v>
      </c>
      <c r="BD216" t="s">
        <v>292</v>
      </c>
      <c r="BE216" t="s">
        <v>298</v>
      </c>
      <c r="BF216" t="s">
        <v>299</v>
      </c>
      <c r="BG216" t="s">
        <v>288</v>
      </c>
      <c r="BH216">
        <v>2</v>
      </c>
      <c r="BI216" t="s">
        <v>300</v>
      </c>
      <c r="BJ216" t="s">
        <v>300</v>
      </c>
      <c r="CK216" t="s">
        <v>560</v>
      </c>
      <c r="CL216" t="s">
        <v>561</v>
      </c>
      <c r="CM216" t="s">
        <v>9</v>
      </c>
      <c r="CN216" s="2">
        <v>2</v>
      </c>
      <c r="CO216" t="s">
        <v>292</v>
      </c>
      <c r="CP216" t="s">
        <v>303</v>
      </c>
      <c r="CQ216" t="s">
        <v>303</v>
      </c>
      <c r="CR216" t="s">
        <v>304</v>
      </c>
      <c r="CS216" t="s">
        <v>613</v>
      </c>
      <c r="CT216">
        <v>52000</v>
      </c>
      <c r="CU216" t="b">
        <v>0</v>
      </c>
      <c r="CV216" t="s">
        <v>292</v>
      </c>
      <c r="CW216" t="s">
        <v>292</v>
      </c>
      <c r="CX216" t="s">
        <v>292</v>
      </c>
      <c r="CY216" t="b">
        <v>0</v>
      </c>
      <c r="CZ216" t="b">
        <v>0</v>
      </c>
      <c r="DC216" t="s">
        <v>292</v>
      </c>
      <c r="DD216">
        <v>-411761111.11000001</v>
      </c>
      <c r="DE216">
        <v>7959747.8300000001</v>
      </c>
      <c r="DF216" t="s">
        <v>613</v>
      </c>
      <c r="DG216">
        <v>411761111.11000001</v>
      </c>
      <c r="DH216" t="s">
        <v>318</v>
      </c>
      <c r="DI216">
        <v>1</v>
      </c>
      <c r="DJ216">
        <f>DataTable[HLD_MaturityDate] - DataTable[SEC_Issue_Date]</f>
        <v>43450</v>
      </c>
    </row>
    <row r="217" spans="1:114" x14ac:dyDescent="0.2">
      <c r="A217" s="2">
        <v>43376</v>
      </c>
      <c r="B217" t="s">
        <v>46</v>
      </c>
      <c r="C217" t="s">
        <v>528</v>
      </c>
      <c r="D217" t="s">
        <v>529</v>
      </c>
      <c r="F217" t="s">
        <v>929</v>
      </c>
      <c r="H217" t="s">
        <v>285</v>
      </c>
      <c r="I217" t="s">
        <v>286</v>
      </c>
      <c r="J217" t="s">
        <v>287</v>
      </c>
      <c r="K217" t="s">
        <v>288</v>
      </c>
      <c r="N217" s="2">
        <v>43377</v>
      </c>
      <c r="R217">
        <v>1</v>
      </c>
      <c r="T217">
        <v>45811743.289999999</v>
      </c>
      <c r="V217">
        <v>0</v>
      </c>
      <c r="W217">
        <v>0</v>
      </c>
      <c r="X217">
        <v>0</v>
      </c>
      <c r="Z217">
        <v>0</v>
      </c>
      <c r="AA217">
        <v>0</v>
      </c>
      <c r="AB217">
        <v>2.1200550000000001E-4</v>
      </c>
      <c r="AC217" t="s">
        <v>929</v>
      </c>
      <c r="AE217" t="s">
        <v>928</v>
      </c>
      <c r="AF217" t="s">
        <v>532</v>
      </c>
      <c r="AG217" t="s">
        <v>532</v>
      </c>
      <c r="AH217" t="s">
        <v>533</v>
      </c>
      <c r="AI217" t="s">
        <v>285</v>
      </c>
      <c r="AJ217" t="s">
        <v>534</v>
      </c>
      <c r="AK217" t="s">
        <v>529</v>
      </c>
      <c r="AM217" t="s">
        <v>287</v>
      </c>
      <c r="AN217" t="s">
        <v>433</v>
      </c>
      <c r="AO217" t="s">
        <v>292</v>
      </c>
      <c r="AP217" t="s">
        <v>333</v>
      </c>
      <c r="AQ217" t="s">
        <v>318</v>
      </c>
      <c r="AR217" t="s">
        <v>292</v>
      </c>
      <c r="AS217" t="s">
        <v>292</v>
      </c>
      <c r="AT217" t="s">
        <v>292</v>
      </c>
      <c r="AU217" t="s">
        <v>292</v>
      </c>
      <c r="AV217" t="s">
        <v>292</v>
      </c>
      <c r="AY217" t="s">
        <v>296</v>
      </c>
      <c r="AZ217" t="s">
        <v>297</v>
      </c>
      <c r="BA217" t="s">
        <v>286</v>
      </c>
      <c r="BB217" t="s">
        <v>292</v>
      </c>
      <c r="BC217" t="s">
        <v>288</v>
      </c>
      <c r="BD217" t="s">
        <v>292</v>
      </c>
      <c r="BE217" t="s">
        <v>298</v>
      </c>
      <c r="BF217" t="s">
        <v>299</v>
      </c>
      <c r="BG217" t="s">
        <v>288</v>
      </c>
      <c r="BH217">
        <v>2</v>
      </c>
      <c r="BI217" t="s">
        <v>300</v>
      </c>
      <c r="BJ217" t="s">
        <v>300</v>
      </c>
      <c r="CK217" t="s">
        <v>560</v>
      </c>
      <c r="CL217" t="s">
        <v>561</v>
      </c>
      <c r="CM217" t="s">
        <v>9</v>
      </c>
      <c r="CN217" s="2">
        <v>2</v>
      </c>
      <c r="CO217" t="s">
        <v>292</v>
      </c>
      <c r="CP217" t="s">
        <v>303</v>
      </c>
      <c r="CQ217" t="s">
        <v>303</v>
      </c>
      <c r="CR217" t="s">
        <v>304</v>
      </c>
      <c r="CS217" t="s">
        <v>628</v>
      </c>
      <c r="CT217">
        <v>52000</v>
      </c>
      <c r="CU217" t="b">
        <v>0</v>
      </c>
      <c r="CV217" t="s">
        <v>292</v>
      </c>
      <c r="CW217" t="s">
        <v>292</v>
      </c>
      <c r="CX217" t="s">
        <v>292</v>
      </c>
      <c r="CY217" t="b">
        <v>0</v>
      </c>
      <c r="CZ217" t="b">
        <v>0</v>
      </c>
      <c r="DC217" t="s">
        <v>292</v>
      </c>
      <c r="DD217">
        <v>-360099444.44</v>
      </c>
      <c r="DE217">
        <v>-45811743.289999999</v>
      </c>
      <c r="DF217" t="s">
        <v>628</v>
      </c>
      <c r="DG217">
        <v>360099444.44</v>
      </c>
      <c r="DH217" t="s">
        <v>318</v>
      </c>
      <c r="DI217">
        <v>1</v>
      </c>
      <c r="DJ217">
        <f>DataTable[HLD_MaturityDate] - DataTable[SEC_Issue_Date]</f>
        <v>43375</v>
      </c>
    </row>
    <row r="218" spans="1:114" x14ac:dyDescent="0.2">
      <c r="A218" s="2">
        <v>43376</v>
      </c>
      <c r="B218" t="s">
        <v>46</v>
      </c>
      <c r="C218" t="s">
        <v>528</v>
      </c>
      <c r="D218" t="s">
        <v>529</v>
      </c>
      <c r="F218" t="s">
        <v>930</v>
      </c>
      <c r="H218" t="s">
        <v>285</v>
      </c>
      <c r="I218" t="s">
        <v>286</v>
      </c>
      <c r="J218" t="s">
        <v>287</v>
      </c>
      <c r="K218" t="s">
        <v>288</v>
      </c>
      <c r="N218" s="2">
        <v>43441</v>
      </c>
      <c r="R218">
        <v>1</v>
      </c>
      <c r="T218">
        <v>101420301.37</v>
      </c>
      <c r="V218">
        <v>0</v>
      </c>
      <c r="W218">
        <v>0</v>
      </c>
      <c r="X218">
        <v>0</v>
      </c>
      <c r="Z218">
        <v>0</v>
      </c>
      <c r="AA218">
        <v>0</v>
      </c>
      <c r="AB218">
        <v>4.6934830000000001E-4</v>
      </c>
      <c r="AC218" t="s">
        <v>930</v>
      </c>
      <c r="AE218" t="s">
        <v>928</v>
      </c>
      <c r="AF218" t="s">
        <v>532</v>
      </c>
      <c r="AG218" t="s">
        <v>532</v>
      </c>
      <c r="AH218" t="s">
        <v>533</v>
      </c>
      <c r="AI218" t="s">
        <v>285</v>
      </c>
      <c r="AJ218" t="s">
        <v>534</v>
      </c>
      <c r="AK218" t="s">
        <v>529</v>
      </c>
      <c r="AM218" t="s">
        <v>287</v>
      </c>
      <c r="AN218" t="s">
        <v>433</v>
      </c>
      <c r="AO218" t="s">
        <v>292</v>
      </c>
      <c r="AP218" t="s">
        <v>333</v>
      </c>
      <c r="AQ218" t="s">
        <v>318</v>
      </c>
      <c r="AR218" t="s">
        <v>292</v>
      </c>
      <c r="AS218" t="s">
        <v>292</v>
      </c>
      <c r="AT218" t="s">
        <v>292</v>
      </c>
      <c r="AU218" t="s">
        <v>292</v>
      </c>
      <c r="AV218" t="s">
        <v>292</v>
      </c>
      <c r="AY218" t="s">
        <v>296</v>
      </c>
      <c r="AZ218" t="s">
        <v>297</v>
      </c>
      <c r="BA218" t="s">
        <v>286</v>
      </c>
      <c r="BB218" t="s">
        <v>292</v>
      </c>
      <c r="BC218" t="s">
        <v>288</v>
      </c>
      <c r="BD218" t="s">
        <v>292</v>
      </c>
      <c r="BE218" t="s">
        <v>298</v>
      </c>
      <c r="BF218" t="s">
        <v>299</v>
      </c>
      <c r="BG218" t="s">
        <v>288</v>
      </c>
      <c r="BH218">
        <v>2</v>
      </c>
      <c r="BI218" t="s">
        <v>300</v>
      </c>
      <c r="BJ218" t="s">
        <v>300</v>
      </c>
      <c r="CK218" t="s">
        <v>560</v>
      </c>
      <c r="CL218" t="s">
        <v>561</v>
      </c>
      <c r="CM218" t="s">
        <v>9</v>
      </c>
      <c r="CN218" s="2">
        <v>2</v>
      </c>
      <c r="CO218" t="s">
        <v>292</v>
      </c>
      <c r="CP218" t="s">
        <v>303</v>
      </c>
      <c r="CQ218" t="s">
        <v>303</v>
      </c>
      <c r="CR218" t="s">
        <v>304</v>
      </c>
      <c r="CS218" t="s">
        <v>593</v>
      </c>
      <c r="CT218">
        <v>52000</v>
      </c>
      <c r="CU218" t="b">
        <v>0</v>
      </c>
      <c r="CV218" t="s">
        <v>292</v>
      </c>
      <c r="CW218" t="s">
        <v>292</v>
      </c>
      <c r="CX218" t="s">
        <v>292</v>
      </c>
      <c r="CY218" t="b">
        <v>0</v>
      </c>
      <c r="CZ218" t="b">
        <v>0</v>
      </c>
      <c r="DC218" t="s">
        <v>292</v>
      </c>
      <c r="DD218">
        <v>-50000000</v>
      </c>
      <c r="DE218">
        <v>-101420301.37</v>
      </c>
      <c r="DF218" t="s">
        <v>593</v>
      </c>
      <c r="DG218">
        <v>50000000</v>
      </c>
      <c r="DH218" t="s">
        <v>318</v>
      </c>
      <c r="DI218">
        <v>1</v>
      </c>
      <c r="DJ218">
        <f>DataTable[HLD_MaturityDate] - DataTable[SEC_Issue_Date]</f>
        <v>43439</v>
      </c>
    </row>
    <row r="219" spans="1:114" x14ac:dyDescent="0.2">
      <c r="A219" s="2">
        <v>43376</v>
      </c>
      <c r="B219" t="s">
        <v>46</v>
      </c>
      <c r="C219" t="s">
        <v>528</v>
      </c>
      <c r="D219" t="s">
        <v>529</v>
      </c>
      <c r="F219" t="s">
        <v>931</v>
      </c>
      <c r="H219" t="s">
        <v>285</v>
      </c>
      <c r="I219" t="s">
        <v>286</v>
      </c>
      <c r="J219" t="s">
        <v>287</v>
      </c>
      <c r="K219" t="s">
        <v>288</v>
      </c>
      <c r="N219" s="2">
        <v>43409</v>
      </c>
      <c r="R219">
        <v>1</v>
      </c>
      <c r="T219">
        <v>60991876.579999998</v>
      </c>
      <c r="V219">
        <v>0</v>
      </c>
      <c r="W219">
        <v>0</v>
      </c>
      <c r="X219">
        <v>0</v>
      </c>
      <c r="Z219">
        <v>0</v>
      </c>
      <c r="AA219">
        <v>0</v>
      </c>
      <c r="AB219">
        <v>2.8225549999999998E-4</v>
      </c>
      <c r="AC219" t="s">
        <v>931</v>
      </c>
      <c r="AE219" t="s">
        <v>932</v>
      </c>
      <c r="AF219" t="s">
        <v>532</v>
      </c>
      <c r="AG219" t="s">
        <v>532</v>
      </c>
      <c r="AH219" t="s">
        <v>533</v>
      </c>
      <c r="AI219" t="s">
        <v>285</v>
      </c>
      <c r="AJ219" t="s">
        <v>534</v>
      </c>
      <c r="AK219" t="s">
        <v>529</v>
      </c>
      <c r="AM219" t="s">
        <v>287</v>
      </c>
      <c r="AN219" t="s">
        <v>433</v>
      </c>
      <c r="AO219" t="s">
        <v>292</v>
      </c>
      <c r="AP219" t="s">
        <v>333</v>
      </c>
      <c r="AQ219" t="s">
        <v>318</v>
      </c>
      <c r="AR219" t="s">
        <v>292</v>
      </c>
      <c r="AS219" t="s">
        <v>292</v>
      </c>
      <c r="AT219" t="s">
        <v>292</v>
      </c>
      <c r="AU219" t="s">
        <v>292</v>
      </c>
      <c r="AV219" t="s">
        <v>292</v>
      </c>
      <c r="AY219" t="s">
        <v>296</v>
      </c>
      <c r="AZ219" t="s">
        <v>297</v>
      </c>
      <c r="BA219" t="s">
        <v>286</v>
      </c>
      <c r="BB219" t="s">
        <v>292</v>
      </c>
      <c r="BC219" t="s">
        <v>288</v>
      </c>
      <c r="BD219" t="s">
        <v>292</v>
      </c>
      <c r="BE219" t="s">
        <v>298</v>
      </c>
      <c r="BF219" t="s">
        <v>299</v>
      </c>
      <c r="BG219" t="s">
        <v>288</v>
      </c>
      <c r="BH219">
        <v>2</v>
      </c>
      <c r="BI219" t="s">
        <v>300</v>
      </c>
      <c r="BJ219" t="s">
        <v>300</v>
      </c>
      <c r="CK219" t="s">
        <v>560</v>
      </c>
      <c r="CL219" t="s">
        <v>561</v>
      </c>
      <c r="CM219" t="s">
        <v>9</v>
      </c>
      <c r="CN219" s="2">
        <v>2</v>
      </c>
      <c r="CO219" t="s">
        <v>292</v>
      </c>
      <c r="CP219" t="s">
        <v>303</v>
      </c>
      <c r="CQ219" t="s">
        <v>303</v>
      </c>
      <c r="CR219" t="s">
        <v>304</v>
      </c>
      <c r="CS219" t="s">
        <v>395</v>
      </c>
      <c r="CT219">
        <v>52000</v>
      </c>
      <c r="CU219" t="b">
        <v>0</v>
      </c>
      <c r="CV219" t="s">
        <v>292</v>
      </c>
      <c r="CW219" t="s">
        <v>292</v>
      </c>
      <c r="CX219" t="s">
        <v>292</v>
      </c>
      <c r="CY219" t="b">
        <v>0</v>
      </c>
      <c r="CZ219" t="b">
        <v>0</v>
      </c>
      <c r="DC219" t="s">
        <v>292</v>
      </c>
      <c r="DD219">
        <v>-75015500</v>
      </c>
      <c r="DE219">
        <v>-60991876.579999998</v>
      </c>
      <c r="DF219" t="s">
        <v>395</v>
      </c>
      <c r="DG219">
        <v>75015500</v>
      </c>
      <c r="DH219" t="s">
        <v>318</v>
      </c>
      <c r="DI219">
        <v>1</v>
      </c>
      <c r="DJ219">
        <f>DataTable[HLD_MaturityDate] - DataTable[SEC_Issue_Date]</f>
        <v>43407</v>
      </c>
    </row>
    <row r="220" spans="1:114" x14ac:dyDescent="0.2">
      <c r="A220" s="2">
        <v>43376</v>
      </c>
      <c r="B220" t="s">
        <v>46</v>
      </c>
      <c r="C220" t="s">
        <v>528</v>
      </c>
      <c r="D220" t="s">
        <v>529</v>
      </c>
      <c r="F220" t="s">
        <v>933</v>
      </c>
      <c r="H220" t="s">
        <v>285</v>
      </c>
      <c r="I220" t="s">
        <v>286</v>
      </c>
      <c r="J220" t="s">
        <v>287</v>
      </c>
      <c r="K220" t="s">
        <v>288</v>
      </c>
      <c r="N220" s="2">
        <v>43496</v>
      </c>
      <c r="R220">
        <v>1</v>
      </c>
      <c r="T220">
        <v>180853397.33000001</v>
      </c>
      <c r="V220">
        <v>0</v>
      </c>
      <c r="W220">
        <v>0</v>
      </c>
      <c r="X220">
        <v>0</v>
      </c>
      <c r="Z220">
        <v>0</v>
      </c>
      <c r="AA220">
        <v>0</v>
      </c>
      <c r="AB220">
        <v>8.3694520000000003E-4</v>
      </c>
      <c r="AC220" t="s">
        <v>933</v>
      </c>
      <c r="AE220" t="s">
        <v>932</v>
      </c>
      <c r="AF220" t="s">
        <v>532</v>
      </c>
      <c r="AG220" t="s">
        <v>532</v>
      </c>
      <c r="AH220" t="s">
        <v>533</v>
      </c>
      <c r="AI220" t="s">
        <v>285</v>
      </c>
      <c r="AJ220" t="s">
        <v>534</v>
      </c>
      <c r="AK220" t="s">
        <v>529</v>
      </c>
      <c r="AM220" t="s">
        <v>287</v>
      </c>
      <c r="AN220" t="s">
        <v>433</v>
      </c>
      <c r="AO220" t="s">
        <v>292</v>
      </c>
      <c r="AP220" t="s">
        <v>333</v>
      </c>
      <c r="AQ220" t="s">
        <v>318</v>
      </c>
      <c r="AR220" t="s">
        <v>292</v>
      </c>
      <c r="AS220" t="s">
        <v>292</v>
      </c>
      <c r="AT220" t="s">
        <v>292</v>
      </c>
      <c r="AU220" t="s">
        <v>292</v>
      </c>
      <c r="AV220" t="s">
        <v>292</v>
      </c>
      <c r="AY220" t="s">
        <v>296</v>
      </c>
      <c r="AZ220" t="s">
        <v>297</v>
      </c>
      <c r="BA220" t="s">
        <v>286</v>
      </c>
      <c r="BB220" t="s">
        <v>292</v>
      </c>
      <c r="BC220" t="s">
        <v>288</v>
      </c>
      <c r="BD220" t="s">
        <v>292</v>
      </c>
      <c r="BE220" t="s">
        <v>298</v>
      </c>
      <c r="BF220" t="s">
        <v>299</v>
      </c>
      <c r="BG220" t="s">
        <v>288</v>
      </c>
      <c r="BH220">
        <v>2</v>
      </c>
      <c r="BI220" t="s">
        <v>300</v>
      </c>
      <c r="BJ220" t="s">
        <v>300</v>
      </c>
      <c r="CK220" t="s">
        <v>560</v>
      </c>
      <c r="CL220" t="s">
        <v>561</v>
      </c>
      <c r="CM220" t="s">
        <v>9</v>
      </c>
      <c r="CN220" s="2">
        <v>2</v>
      </c>
      <c r="CO220" t="s">
        <v>292</v>
      </c>
      <c r="CP220" t="s">
        <v>303</v>
      </c>
      <c r="CQ220" t="s">
        <v>303</v>
      </c>
      <c r="CR220" t="s">
        <v>304</v>
      </c>
      <c r="CS220" t="s">
        <v>611</v>
      </c>
      <c r="CT220">
        <v>52000</v>
      </c>
      <c r="CU220" t="b">
        <v>0</v>
      </c>
      <c r="CV220" t="s">
        <v>292</v>
      </c>
      <c r="CW220" t="s">
        <v>292</v>
      </c>
      <c r="CX220" t="s">
        <v>292</v>
      </c>
      <c r="CY220" t="b">
        <v>0</v>
      </c>
      <c r="CZ220" t="b">
        <v>0</v>
      </c>
      <c r="DC220" t="s">
        <v>292</v>
      </c>
      <c r="DD220">
        <v>-100152083.33</v>
      </c>
      <c r="DE220">
        <v>-180853397.33000001</v>
      </c>
      <c r="DF220" t="s">
        <v>611</v>
      </c>
      <c r="DG220">
        <v>100152083.33</v>
      </c>
      <c r="DH220" t="s">
        <v>318</v>
      </c>
      <c r="DI220">
        <v>1</v>
      </c>
      <c r="DJ220">
        <f>DataTable[HLD_MaturityDate] - DataTable[SEC_Issue_Date]</f>
        <v>43494</v>
      </c>
    </row>
    <row r="221" spans="1:114" x14ac:dyDescent="0.2">
      <c r="A221" s="2">
        <v>43376</v>
      </c>
      <c r="B221" t="s">
        <v>46</v>
      </c>
      <c r="C221" t="s">
        <v>528</v>
      </c>
      <c r="D221" t="s">
        <v>529</v>
      </c>
      <c r="F221" t="s">
        <v>934</v>
      </c>
      <c r="H221" t="s">
        <v>285</v>
      </c>
      <c r="I221" t="s">
        <v>286</v>
      </c>
      <c r="J221" t="s">
        <v>287</v>
      </c>
      <c r="K221" t="s">
        <v>288</v>
      </c>
      <c r="N221" s="2">
        <v>43497</v>
      </c>
      <c r="R221">
        <v>1</v>
      </c>
      <c r="T221">
        <v>172288060.94</v>
      </c>
      <c r="V221">
        <v>0</v>
      </c>
      <c r="W221">
        <v>0</v>
      </c>
      <c r="X221">
        <v>0</v>
      </c>
      <c r="Z221">
        <v>0</v>
      </c>
      <c r="AA221">
        <v>0</v>
      </c>
      <c r="AB221">
        <v>7.9730700000000003E-4</v>
      </c>
      <c r="AC221" t="s">
        <v>934</v>
      </c>
      <c r="AE221" t="s">
        <v>932</v>
      </c>
      <c r="AF221" t="s">
        <v>532</v>
      </c>
      <c r="AG221" t="s">
        <v>532</v>
      </c>
      <c r="AH221" t="s">
        <v>533</v>
      </c>
      <c r="AI221" t="s">
        <v>285</v>
      </c>
      <c r="AJ221" t="s">
        <v>534</v>
      </c>
      <c r="AK221" t="s">
        <v>529</v>
      </c>
      <c r="AM221" t="s">
        <v>287</v>
      </c>
      <c r="AN221" t="s">
        <v>433</v>
      </c>
      <c r="AO221" t="s">
        <v>292</v>
      </c>
      <c r="AP221" t="s">
        <v>333</v>
      </c>
      <c r="AQ221" t="s">
        <v>318</v>
      </c>
      <c r="AR221" t="s">
        <v>292</v>
      </c>
      <c r="AS221" t="s">
        <v>292</v>
      </c>
      <c r="AT221" t="s">
        <v>292</v>
      </c>
      <c r="AU221" t="s">
        <v>292</v>
      </c>
      <c r="AV221" t="s">
        <v>292</v>
      </c>
      <c r="AY221" t="s">
        <v>296</v>
      </c>
      <c r="AZ221" t="s">
        <v>297</v>
      </c>
      <c r="BA221" t="s">
        <v>286</v>
      </c>
      <c r="BB221" t="s">
        <v>292</v>
      </c>
      <c r="BC221" t="s">
        <v>288</v>
      </c>
      <c r="BD221" t="s">
        <v>292</v>
      </c>
      <c r="BE221" t="s">
        <v>298</v>
      </c>
      <c r="BF221" t="s">
        <v>299</v>
      </c>
      <c r="BG221" t="s">
        <v>288</v>
      </c>
      <c r="BH221">
        <v>2</v>
      </c>
      <c r="BI221" t="s">
        <v>300</v>
      </c>
      <c r="BJ221" t="s">
        <v>300</v>
      </c>
      <c r="CK221" t="s">
        <v>560</v>
      </c>
      <c r="CL221" t="s">
        <v>561</v>
      </c>
      <c r="CM221" t="s">
        <v>9</v>
      </c>
      <c r="CN221" s="2">
        <v>2</v>
      </c>
      <c r="CO221" t="s">
        <v>292</v>
      </c>
      <c r="CP221" t="s">
        <v>303</v>
      </c>
      <c r="CQ221" t="s">
        <v>303</v>
      </c>
      <c r="CR221" t="s">
        <v>304</v>
      </c>
      <c r="CS221" t="s">
        <v>569</v>
      </c>
      <c r="CT221">
        <v>52000</v>
      </c>
      <c r="CU221" t="b">
        <v>0</v>
      </c>
      <c r="CV221" t="s">
        <v>292</v>
      </c>
      <c r="CW221" t="s">
        <v>292</v>
      </c>
      <c r="CX221" t="s">
        <v>292</v>
      </c>
      <c r="CY221" t="b">
        <v>0</v>
      </c>
      <c r="CZ221" t="b">
        <v>0</v>
      </c>
      <c r="DC221" t="s">
        <v>292</v>
      </c>
      <c r="DD221">
        <v>-100000000</v>
      </c>
      <c r="DE221">
        <v>-172288060.94</v>
      </c>
      <c r="DF221" t="s">
        <v>569</v>
      </c>
      <c r="DG221">
        <v>100000000</v>
      </c>
      <c r="DH221" t="s">
        <v>318</v>
      </c>
      <c r="DI221">
        <v>1</v>
      </c>
      <c r="DJ221">
        <f>DataTable[HLD_MaturityDate] - DataTable[SEC_Issue_Date]</f>
        <v>43495</v>
      </c>
    </row>
    <row r="222" spans="1:114" x14ac:dyDescent="0.2">
      <c r="A222" s="2">
        <v>43376</v>
      </c>
      <c r="B222" t="s">
        <v>46</v>
      </c>
      <c r="C222" t="s">
        <v>528</v>
      </c>
      <c r="D222" t="s">
        <v>529</v>
      </c>
      <c r="F222" t="s">
        <v>935</v>
      </c>
      <c r="H222" t="s">
        <v>285</v>
      </c>
      <c r="I222" t="s">
        <v>286</v>
      </c>
      <c r="J222" t="s">
        <v>287</v>
      </c>
      <c r="K222" t="s">
        <v>288</v>
      </c>
      <c r="N222" s="2">
        <v>43509</v>
      </c>
      <c r="R222">
        <v>1</v>
      </c>
      <c r="T222">
        <v>163853570.50999999</v>
      </c>
      <c r="V222">
        <v>0</v>
      </c>
      <c r="W222">
        <v>0</v>
      </c>
      <c r="X222">
        <v>0</v>
      </c>
      <c r="Z222">
        <v>0</v>
      </c>
      <c r="AA222">
        <v>0</v>
      </c>
      <c r="AB222">
        <v>7.5827420000000004E-4</v>
      </c>
      <c r="AC222" t="s">
        <v>935</v>
      </c>
      <c r="AE222" t="s">
        <v>932</v>
      </c>
      <c r="AF222" t="s">
        <v>532</v>
      </c>
      <c r="AG222" t="s">
        <v>532</v>
      </c>
      <c r="AH222" t="s">
        <v>533</v>
      </c>
      <c r="AI222" t="s">
        <v>285</v>
      </c>
      <c r="AJ222" t="s">
        <v>534</v>
      </c>
      <c r="AK222" t="s">
        <v>529</v>
      </c>
      <c r="AM222" t="s">
        <v>287</v>
      </c>
      <c r="AN222" t="s">
        <v>433</v>
      </c>
      <c r="AO222" t="s">
        <v>292</v>
      </c>
      <c r="AP222" t="s">
        <v>333</v>
      </c>
      <c r="AQ222" t="s">
        <v>318</v>
      </c>
      <c r="AR222" t="s">
        <v>292</v>
      </c>
      <c r="AS222" t="s">
        <v>292</v>
      </c>
      <c r="AT222" t="s">
        <v>292</v>
      </c>
      <c r="AU222" t="s">
        <v>292</v>
      </c>
      <c r="AV222" t="s">
        <v>292</v>
      </c>
      <c r="AY222" t="s">
        <v>296</v>
      </c>
      <c r="AZ222" t="s">
        <v>297</v>
      </c>
      <c r="BA222" t="s">
        <v>286</v>
      </c>
      <c r="BB222" t="s">
        <v>292</v>
      </c>
      <c r="BC222" t="s">
        <v>288</v>
      </c>
      <c r="BD222" t="s">
        <v>292</v>
      </c>
      <c r="BE222" t="s">
        <v>298</v>
      </c>
      <c r="BF222" t="s">
        <v>299</v>
      </c>
      <c r="BG222" t="s">
        <v>288</v>
      </c>
      <c r="BH222">
        <v>2</v>
      </c>
      <c r="BI222" t="s">
        <v>300</v>
      </c>
      <c r="BJ222" t="s">
        <v>300</v>
      </c>
      <c r="CK222" t="s">
        <v>560</v>
      </c>
      <c r="CL222" t="s">
        <v>561</v>
      </c>
      <c r="CM222" t="s">
        <v>9</v>
      </c>
      <c r="CN222" s="2">
        <v>2</v>
      </c>
      <c r="CO222" t="s">
        <v>292</v>
      </c>
      <c r="CP222" t="s">
        <v>303</v>
      </c>
      <c r="CQ222" t="s">
        <v>303</v>
      </c>
      <c r="CR222" t="s">
        <v>304</v>
      </c>
      <c r="CS222" t="s">
        <v>603</v>
      </c>
      <c r="CT222">
        <v>52000</v>
      </c>
      <c r="CU222" t="b">
        <v>0</v>
      </c>
      <c r="CV222" t="s">
        <v>292</v>
      </c>
      <c r="CW222" t="s">
        <v>292</v>
      </c>
      <c r="CX222" t="s">
        <v>292</v>
      </c>
      <c r="CY222" t="b">
        <v>0</v>
      </c>
      <c r="CZ222" t="b">
        <v>0</v>
      </c>
      <c r="DC222" t="s">
        <v>292</v>
      </c>
      <c r="DD222">
        <v>-100050694.44</v>
      </c>
      <c r="DE222">
        <v>-163853570.50999999</v>
      </c>
      <c r="DF222" t="s">
        <v>603</v>
      </c>
      <c r="DG222">
        <v>100050694.44</v>
      </c>
      <c r="DH222" t="s">
        <v>318</v>
      </c>
      <c r="DI222">
        <v>1</v>
      </c>
      <c r="DJ222">
        <f>DataTable[HLD_MaturityDate] - DataTable[SEC_Issue_Date]</f>
        <v>43507</v>
      </c>
    </row>
    <row r="223" spans="1:114" x14ac:dyDescent="0.2">
      <c r="A223" s="2">
        <v>43376</v>
      </c>
      <c r="B223" t="s">
        <v>46</v>
      </c>
      <c r="C223" t="s">
        <v>528</v>
      </c>
      <c r="D223" t="s">
        <v>529</v>
      </c>
      <c r="F223" t="s">
        <v>936</v>
      </c>
      <c r="H223" t="s">
        <v>285</v>
      </c>
      <c r="I223" t="s">
        <v>286</v>
      </c>
      <c r="J223" t="s">
        <v>287</v>
      </c>
      <c r="K223" t="s">
        <v>288</v>
      </c>
      <c r="N223" s="2">
        <v>43530</v>
      </c>
      <c r="R223">
        <v>1</v>
      </c>
      <c r="T223">
        <v>136721671.22999999</v>
      </c>
      <c r="V223">
        <v>0</v>
      </c>
      <c r="W223">
        <v>0</v>
      </c>
      <c r="X223">
        <v>0</v>
      </c>
      <c r="Z223">
        <v>0</v>
      </c>
      <c r="AA223">
        <v>0</v>
      </c>
      <c r="AB223">
        <v>6.3271439999999996E-4</v>
      </c>
      <c r="AC223" t="s">
        <v>936</v>
      </c>
      <c r="AE223" t="s">
        <v>932</v>
      </c>
      <c r="AF223" t="s">
        <v>532</v>
      </c>
      <c r="AG223" t="s">
        <v>532</v>
      </c>
      <c r="AH223" t="s">
        <v>533</v>
      </c>
      <c r="AI223" t="s">
        <v>285</v>
      </c>
      <c r="AJ223" t="s">
        <v>534</v>
      </c>
      <c r="AK223" t="s">
        <v>529</v>
      </c>
      <c r="AM223" t="s">
        <v>287</v>
      </c>
      <c r="AN223" t="s">
        <v>433</v>
      </c>
      <c r="AO223" t="s">
        <v>292</v>
      </c>
      <c r="AP223" t="s">
        <v>333</v>
      </c>
      <c r="AQ223" t="s">
        <v>318</v>
      </c>
      <c r="AR223" t="s">
        <v>292</v>
      </c>
      <c r="AS223" t="s">
        <v>292</v>
      </c>
      <c r="AT223" t="s">
        <v>292</v>
      </c>
      <c r="AU223" t="s">
        <v>292</v>
      </c>
      <c r="AV223" t="s">
        <v>292</v>
      </c>
      <c r="AY223" t="s">
        <v>296</v>
      </c>
      <c r="AZ223" t="s">
        <v>297</v>
      </c>
      <c r="BA223" t="s">
        <v>286</v>
      </c>
      <c r="BB223" t="s">
        <v>292</v>
      </c>
      <c r="BC223" t="s">
        <v>288</v>
      </c>
      <c r="BD223" t="s">
        <v>292</v>
      </c>
      <c r="BE223" t="s">
        <v>298</v>
      </c>
      <c r="BF223" t="s">
        <v>299</v>
      </c>
      <c r="BG223" t="s">
        <v>288</v>
      </c>
      <c r="BH223">
        <v>2</v>
      </c>
      <c r="BI223" t="s">
        <v>300</v>
      </c>
      <c r="BJ223" t="s">
        <v>300</v>
      </c>
      <c r="CK223" t="s">
        <v>560</v>
      </c>
      <c r="CL223" t="s">
        <v>561</v>
      </c>
      <c r="CM223" t="s">
        <v>9</v>
      </c>
      <c r="CN223" s="2">
        <v>2</v>
      </c>
      <c r="CO223" t="s">
        <v>292</v>
      </c>
      <c r="CP223" t="s">
        <v>303</v>
      </c>
      <c r="CQ223" t="s">
        <v>303</v>
      </c>
      <c r="CR223" t="s">
        <v>304</v>
      </c>
      <c r="CS223" t="s">
        <v>587</v>
      </c>
      <c r="CT223">
        <v>52000</v>
      </c>
      <c r="CU223" t="b">
        <v>0</v>
      </c>
      <c r="CV223" t="s">
        <v>292</v>
      </c>
      <c r="CW223" t="s">
        <v>292</v>
      </c>
      <c r="CX223" t="s">
        <v>292</v>
      </c>
      <c r="CY223" t="b">
        <v>0</v>
      </c>
      <c r="CZ223" t="b">
        <v>0</v>
      </c>
      <c r="DC223" t="s">
        <v>292</v>
      </c>
      <c r="DD223">
        <v>-100000000</v>
      </c>
      <c r="DE223">
        <v>-136721671.22999999</v>
      </c>
      <c r="DF223" t="s">
        <v>587</v>
      </c>
      <c r="DG223">
        <v>100000000</v>
      </c>
      <c r="DH223" t="s">
        <v>318</v>
      </c>
      <c r="DI223">
        <v>1</v>
      </c>
      <c r="DJ223">
        <f>DataTable[HLD_MaturityDate] - DataTable[SEC_Issue_Date]</f>
        <v>43528</v>
      </c>
    </row>
    <row r="224" spans="1:114" x14ac:dyDescent="0.2">
      <c r="A224" s="2">
        <v>43376</v>
      </c>
      <c r="B224" t="s">
        <v>46</v>
      </c>
      <c r="C224" t="s">
        <v>528</v>
      </c>
      <c r="D224" t="s">
        <v>529</v>
      </c>
      <c r="F224" t="s">
        <v>937</v>
      </c>
      <c r="H224" t="s">
        <v>285</v>
      </c>
      <c r="I224" t="s">
        <v>286</v>
      </c>
      <c r="J224" t="s">
        <v>287</v>
      </c>
      <c r="K224" t="s">
        <v>288</v>
      </c>
      <c r="N224" s="2">
        <v>43545</v>
      </c>
      <c r="R224">
        <v>1</v>
      </c>
      <c r="T224">
        <v>74021342.859999999</v>
      </c>
      <c r="V224">
        <v>0</v>
      </c>
      <c r="W224">
        <v>0</v>
      </c>
      <c r="X224">
        <v>0</v>
      </c>
      <c r="Z224">
        <v>0</v>
      </c>
      <c r="AA224">
        <v>0</v>
      </c>
      <c r="AB224">
        <v>3.4255260000000002E-4</v>
      </c>
      <c r="AC224" t="s">
        <v>937</v>
      </c>
      <c r="AE224" t="s">
        <v>932</v>
      </c>
      <c r="AF224" t="s">
        <v>532</v>
      </c>
      <c r="AG224" t="s">
        <v>532</v>
      </c>
      <c r="AH224" t="s">
        <v>533</v>
      </c>
      <c r="AI224" t="s">
        <v>285</v>
      </c>
      <c r="AJ224" t="s">
        <v>534</v>
      </c>
      <c r="AK224" t="s">
        <v>529</v>
      </c>
      <c r="AM224" t="s">
        <v>287</v>
      </c>
      <c r="AN224" t="s">
        <v>433</v>
      </c>
      <c r="AO224" t="s">
        <v>292</v>
      </c>
      <c r="AP224" t="s">
        <v>333</v>
      </c>
      <c r="AQ224" t="s">
        <v>318</v>
      </c>
      <c r="AR224" t="s">
        <v>292</v>
      </c>
      <c r="AS224" t="s">
        <v>292</v>
      </c>
      <c r="AT224" t="s">
        <v>292</v>
      </c>
      <c r="AU224" t="s">
        <v>292</v>
      </c>
      <c r="AV224" t="s">
        <v>292</v>
      </c>
      <c r="AY224" t="s">
        <v>296</v>
      </c>
      <c r="AZ224" t="s">
        <v>297</v>
      </c>
      <c r="BA224" t="s">
        <v>286</v>
      </c>
      <c r="BB224" t="s">
        <v>292</v>
      </c>
      <c r="BC224" t="s">
        <v>288</v>
      </c>
      <c r="BD224" t="s">
        <v>292</v>
      </c>
      <c r="BE224" t="s">
        <v>298</v>
      </c>
      <c r="BF224" t="s">
        <v>299</v>
      </c>
      <c r="BG224" t="s">
        <v>288</v>
      </c>
      <c r="BH224">
        <v>2</v>
      </c>
      <c r="BI224" t="s">
        <v>300</v>
      </c>
      <c r="BJ224" t="s">
        <v>300</v>
      </c>
      <c r="CK224" t="s">
        <v>560</v>
      </c>
      <c r="CL224" t="s">
        <v>561</v>
      </c>
      <c r="CM224" t="s">
        <v>9</v>
      </c>
      <c r="CN224" s="2">
        <v>2</v>
      </c>
      <c r="CO224" t="s">
        <v>292</v>
      </c>
      <c r="CP224" t="s">
        <v>303</v>
      </c>
      <c r="CQ224" t="s">
        <v>303</v>
      </c>
      <c r="CR224" t="s">
        <v>304</v>
      </c>
      <c r="CS224" t="s">
        <v>924</v>
      </c>
      <c r="CT224">
        <v>52000</v>
      </c>
      <c r="CU224" t="b">
        <v>0</v>
      </c>
      <c r="CV224" t="s">
        <v>292</v>
      </c>
      <c r="CW224" t="s">
        <v>292</v>
      </c>
      <c r="CX224" t="s">
        <v>292</v>
      </c>
      <c r="CY224" t="b">
        <v>0</v>
      </c>
      <c r="CZ224" t="b">
        <v>0</v>
      </c>
      <c r="DC224" t="s">
        <v>292</v>
      </c>
      <c r="DD224">
        <v>-80040000</v>
      </c>
      <c r="DE224">
        <v>-74021342.859999999</v>
      </c>
      <c r="DF224" t="s">
        <v>924</v>
      </c>
      <c r="DG224">
        <v>80040000</v>
      </c>
      <c r="DH224" t="s">
        <v>318</v>
      </c>
      <c r="DI224">
        <v>1</v>
      </c>
      <c r="DJ224">
        <f>DataTable[HLD_MaturityDate] - DataTable[SEC_Issue_Date]</f>
        <v>43543</v>
      </c>
    </row>
    <row r="225" spans="1:114" x14ac:dyDescent="0.2">
      <c r="A225" s="2">
        <v>43376</v>
      </c>
      <c r="B225" t="s">
        <v>46</v>
      </c>
      <c r="C225" t="s">
        <v>528</v>
      </c>
      <c r="D225" t="s">
        <v>529</v>
      </c>
      <c r="F225" t="s">
        <v>938</v>
      </c>
      <c r="H225" t="s">
        <v>540</v>
      </c>
      <c r="I225" t="s">
        <v>286</v>
      </c>
      <c r="J225" t="s">
        <v>287</v>
      </c>
      <c r="K225" t="s">
        <v>541</v>
      </c>
      <c r="N225" s="2">
        <v>43546</v>
      </c>
      <c r="R225">
        <v>1</v>
      </c>
      <c r="T225">
        <v>26782734.719999999</v>
      </c>
      <c r="V225">
        <v>0</v>
      </c>
      <c r="W225">
        <v>0</v>
      </c>
      <c r="X225">
        <v>0</v>
      </c>
      <c r="Z225">
        <v>0</v>
      </c>
      <c r="AA225">
        <v>0</v>
      </c>
      <c r="AB225">
        <v>1.2394390000000001E-4</v>
      </c>
      <c r="AC225" t="s">
        <v>938</v>
      </c>
      <c r="AE225" t="s">
        <v>939</v>
      </c>
      <c r="AF225" t="s">
        <v>532</v>
      </c>
      <c r="AG225" t="s">
        <v>532</v>
      </c>
      <c r="AH225" t="s">
        <v>533</v>
      </c>
      <c r="AI225" t="s">
        <v>540</v>
      </c>
      <c r="AJ225" t="s">
        <v>534</v>
      </c>
      <c r="AK225" t="s">
        <v>529</v>
      </c>
      <c r="AM225" t="s">
        <v>287</v>
      </c>
      <c r="AN225" t="s">
        <v>433</v>
      </c>
      <c r="AO225" t="s">
        <v>292</v>
      </c>
      <c r="AP225" t="s">
        <v>333</v>
      </c>
      <c r="AQ225" t="s">
        <v>318</v>
      </c>
      <c r="AR225" t="s">
        <v>292</v>
      </c>
      <c r="AS225" t="s">
        <v>292</v>
      </c>
      <c r="AT225" t="s">
        <v>292</v>
      </c>
      <c r="AU225" t="s">
        <v>292</v>
      </c>
      <c r="AV225" t="s">
        <v>292</v>
      </c>
      <c r="AY225" t="s">
        <v>543</v>
      </c>
      <c r="AZ225" t="s">
        <v>544</v>
      </c>
      <c r="BA225" t="s">
        <v>286</v>
      </c>
      <c r="BB225" t="s">
        <v>541</v>
      </c>
      <c r="BC225" t="s">
        <v>292</v>
      </c>
      <c r="BD225" t="s">
        <v>292</v>
      </c>
      <c r="BE225" t="s">
        <v>292</v>
      </c>
      <c r="BF225" t="s">
        <v>292</v>
      </c>
      <c r="BG225" t="s">
        <v>541</v>
      </c>
      <c r="BH225">
        <v>7</v>
      </c>
      <c r="BI225" t="s">
        <v>300</v>
      </c>
      <c r="BJ225" t="s">
        <v>300</v>
      </c>
      <c r="CK225" t="s">
        <v>560</v>
      </c>
      <c r="CL225" t="s">
        <v>561</v>
      </c>
      <c r="CM225" t="s">
        <v>9</v>
      </c>
      <c r="CN225" s="2">
        <v>2</v>
      </c>
      <c r="CO225" t="s">
        <v>292</v>
      </c>
      <c r="CP225" t="s">
        <v>303</v>
      </c>
      <c r="CQ225" t="s">
        <v>303</v>
      </c>
      <c r="CR225" t="s">
        <v>304</v>
      </c>
      <c r="CS225" t="s">
        <v>605</v>
      </c>
      <c r="CT225">
        <v>16000</v>
      </c>
      <c r="CU225" t="b">
        <v>0</v>
      </c>
      <c r="CV225" t="s">
        <v>292</v>
      </c>
      <c r="CW225" t="s">
        <v>292</v>
      </c>
      <c r="CX225" t="s">
        <v>292</v>
      </c>
      <c r="CY225" t="b">
        <v>0</v>
      </c>
      <c r="CZ225" t="b">
        <v>0</v>
      </c>
      <c r="DC225" t="s">
        <v>292</v>
      </c>
      <c r="DD225">
        <v>-30012166.670000002</v>
      </c>
      <c r="DE225">
        <v>-26782734.719999999</v>
      </c>
      <c r="DF225" t="s">
        <v>605</v>
      </c>
      <c r="DG225">
        <v>30012166.670000002</v>
      </c>
      <c r="DH225" t="s">
        <v>318</v>
      </c>
      <c r="DI225">
        <v>1</v>
      </c>
      <c r="DJ225">
        <f>DataTable[HLD_MaturityDate] - DataTable[SEC_Issue_Date]</f>
        <v>43544</v>
      </c>
    </row>
    <row r="226" spans="1:114" x14ac:dyDescent="0.2">
      <c r="A226" s="2">
        <v>43376</v>
      </c>
      <c r="B226" t="s">
        <v>46</v>
      </c>
      <c r="C226" t="s">
        <v>528</v>
      </c>
      <c r="D226" t="s">
        <v>529</v>
      </c>
      <c r="F226" t="s">
        <v>940</v>
      </c>
      <c r="H226" t="s">
        <v>285</v>
      </c>
      <c r="I226" t="s">
        <v>286</v>
      </c>
      <c r="J226" t="s">
        <v>287</v>
      </c>
      <c r="K226" t="s">
        <v>288</v>
      </c>
      <c r="N226" s="2">
        <v>43551</v>
      </c>
      <c r="R226">
        <v>1</v>
      </c>
      <c r="T226">
        <v>82656421.900000006</v>
      </c>
      <c r="V226">
        <v>0</v>
      </c>
      <c r="W226">
        <v>0</v>
      </c>
      <c r="X226">
        <v>0</v>
      </c>
      <c r="Z226">
        <v>0</v>
      </c>
      <c r="AA226">
        <v>0</v>
      </c>
      <c r="AB226">
        <v>3.8251369999999998E-4</v>
      </c>
      <c r="AC226" t="s">
        <v>940</v>
      </c>
      <c r="AE226" t="s">
        <v>932</v>
      </c>
      <c r="AF226" t="s">
        <v>532</v>
      </c>
      <c r="AG226" t="s">
        <v>532</v>
      </c>
      <c r="AH226" t="s">
        <v>533</v>
      </c>
      <c r="AI226" t="s">
        <v>285</v>
      </c>
      <c r="AJ226" t="s">
        <v>534</v>
      </c>
      <c r="AK226" t="s">
        <v>529</v>
      </c>
      <c r="AM226" t="s">
        <v>287</v>
      </c>
      <c r="AN226" t="s">
        <v>433</v>
      </c>
      <c r="AO226" t="s">
        <v>292</v>
      </c>
      <c r="AP226" t="s">
        <v>333</v>
      </c>
      <c r="AQ226" t="s">
        <v>318</v>
      </c>
      <c r="AR226" t="s">
        <v>292</v>
      </c>
      <c r="AS226" t="s">
        <v>292</v>
      </c>
      <c r="AT226" t="s">
        <v>292</v>
      </c>
      <c r="AU226" t="s">
        <v>292</v>
      </c>
      <c r="AV226" t="s">
        <v>292</v>
      </c>
      <c r="AY226" t="s">
        <v>296</v>
      </c>
      <c r="AZ226" t="s">
        <v>297</v>
      </c>
      <c r="BA226" t="s">
        <v>286</v>
      </c>
      <c r="BB226" t="s">
        <v>292</v>
      </c>
      <c r="BC226" t="s">
        <v>288</v>
      </c>
      <c r="BD226" t="s">
        <v>292</v>
      </c>
      <c r="BE226" t="s">
        <v>298</v>
      </c>
      <c r="BF226" t="s">
        <v>299</v>
      </c>
      <c r="BG226" t="s">
        <v>288</v>
      </c>
      <c r="BH226">
        <v>2</v>
      </c>
      <c r="BI226" t="s">
        <v>300</v>
      </c>
      <c r="BJ226" t="s">
        <v>300</v>
      </c>
      <c r="CK226" t="s">
        <v>560</v>
      </c>
      <c r="CL226" t="s">
        <v>561</v>
      </c>
      <c r="CM226" t="s">
        <v>9</v>
      </c>
      <c r="CN226" s="2">
        <v>2</v>
      </c>
      <c r="CO226" t="s">
        <v>292</v>
      </c>
      <c r="CP226" t="s">
        <v>303</v>
      </c>
      <c r="CQ226" t="s">
        <v>303</v>
      </c>
      <c r="CR226" t="s">
        <v>304</v>
      </c>
      <c r="CS226" t="s">
        <v>609</v>
      </c>
      <c r="CT226">
        <v>52000</v>
      </c>
      <c r="CU226" t="b">
        <v>0</v>
      </c>
      <c r="CV226" t="s">
        <v>292</v>
      </c>
      <c r="CW226" t="s">
        <v>292</v>
      </c>
      <c r="CX226" t="s">
        <v>292</v>
      </c>
      <c r="CY226" t="b">
        <v>0</v>
      </c>
      <c r="CZ226" t="b">
        <v>0</v>
      </c>
      <c r="DC226" t="s">
        <v>292</v>
      </c>
      <c r="DD226">
        <v>-80089222.219999999</v>
      </c>
      <c r="DE226">
        <v>-82656421.900000006</v>
      </c>
      <c r="DF226" t="s">
        <v>609</v>
      </c>
      <c r="DG226">
        <v>80089222.219999999</v>
      </c>
      <c r="DH226" t="s">
        <v>318</v>
      </c>
      <c r="DI226">
        <v>1</v>
      </c>
      <c r="DJ226">
        <f>DataTable[HLD_MaturityDate] - DataTable[SEC_Issue_Date]</f>
        <v>43549</v>
      </c>
    </row>
    <row r="227" spans="1:114" x14ac:dyDescent="0.2">
      <c r="A227" s="2">
        <v>43376</v>
      </c>
      <c r="B227" t="s">
        <v>46</v>
      </c>
      <c r="C227" t="s">
        <v>528</v>
      </c>
      <c r="D227" t="s">
        <v>529</v>
      </c>
      <c r="F227" t="s">
        <v>941</v>
      </c>
      <c r="H227" t="s">
        <v>285</v>
      </c>
      <c r="I227" t="s">
        <v>286</v>
      </c>
      <c r="J227" t="s">
        <v>287</v>
      </c>
      <c r="K227" t="s">
        <v>288</v>
      </c>
      <c r="N227" s="2">
        <v>43552</v>
      </c>
      <c r="R227">
        <v>1</v>
      </c>
      <c r="T227">
        <v>97413951.150000006</v>
      </c>
      <c r="V227">
        <v>0</v>
      </c>
      <c r="W227">
        <v>0</v>
      </c>
      <c r="X227">
        <v>0</v>
      </c>
      <c r="Z227">
        <v>0</v>
      </c>
      <c r="AA227">
        <v>0</v>
      </c>
      <c r="AB227">
        <v>4.5080789999999999E-4</v>
      </c>
      <c r="AC227" t="s">
        <v>941</v>
      </c>
      <c r="AE227" t="s">
        <v>932</v>
      </c>
      <c r="AF227" t="s">
        <v>532</v>
      </c>
      <c r="AG227" t="s">
        <v>532</v>
      </c>
      <c r="AH227" t="s">
        <v>533</v>
      </c>
      <c r="AI227" t="s">
        <v>285</v>
      </c>
      <c r="AJ227" t="s">
        <v>534</v>
      </c>
      <c r="AK227" t="s">
        <v>529</v>
      </c>
      <c r="AM227" t="s">
        <v>287</v>
      </c>
      <c r="AN227" t="s">
        <v>433</v>
      </c>
      <c r="AO227" t="s">
        <v>292</v>
      </c>
      <c r="AP227" t="s">
        <v>333</v>
      </c>
      <c r="AQ227" t="s">
        <v>318</v>
      </c>
      <c r="AR227" t="s">
        <v>292</v>
      </c>
      <c r="AS227" t="s">
        <v>292</v>
      </c>
      <c r="AT227" t="s">
        <v>292</v>
      </c>
      <c r="AU227" t="s">
        <v>292</v>
      </c>
      <c r="AV227" t="s">
        <v>292</v>
      </c>
      <c r="AY227" t="s">
        <v>296</v>
      </c>
      <c r="AZ227" t="s">
        <v>297</v>
      </c>
      <c r="BA227" t="s">
        <v>286</v>
      </c>
      <c r="BB227" t="s">
        <v>292</v>
      </c>
      <c r="BC227" t="s">
        <v>288</v>
      </c>
      <c r="BD227" t="s">
        <v>292</v>
      </c>
      <c r="BE227" t="s">
        <v>298</v>
      </c>
      <c r="BF227" t="s">
        <v>299</v>
      </c>
      <c r="BG227" t="s">
        <v>288</v>
      </c>
      <c r="BH227">
        <v>2</v>
      </c>
      <c r="BI227" t="s">
        <v>300</v>
      </c>
      <c r="BJ227" t="s">
        <v>300</v>
      </c>
      <c r="CK227" t="s">
        <v>560</v>
      </c>
      <c r="CL227" t="s">
        <v>561</v>
      </c>
      <c r="CM227" t="s">
        <v>9</v>
      </c>
      <c r="CN227" s="2">
        <v>2</v>
      </c>
      <c r="CO227" t="s">
        <v>292</v>
      </c>
      <c r="CP227" t="s">
        <v>303</v>
      </c>
      <c r="CQ227" t="s">
        <v>303</v>
      </c>
      <c r="CR227" t="s">
        <v>304</v>
      </c>
      <c r="CS227" t="s">
        <v>610</v>
      </c>
      <c r="CT227">
        <v>52000</v>
      </c>
      <c r="CU227" t="b">
        <v>0</v>
      </c>
      <c r="CV227" t="s">
        <v>292</v>
      </c>
      <c r="CW227" t="s">
        <v>292</v>
      </c>
      <c r="CX227" t="s">
        <v>292</v>
      </c>
      <c r="CY227" t="b">
        <v>0</v>
      </c>
      <c r="CZ227" t="b">
        <v>0</v>
      </c>
      <c r="DC227" t="s">
        <v>292</v>
      </c>
      <c r="DD227">
        <v>-80085166.670000002</v>
      </c>
      <c r="DE227">
        <v>-97413951.150000006</v>
      </c>
      <c r="DF227" t="s">
        <v>610</v>
      </c>
      <c r="DG227">
        <v>80085166.670000002</v>
      </c>
      <c r="DH227" t="s">
        <v>318</v>
      </c>
      <c r="DI227">
        <v>1</v>
      </c>
      <c r="DJ227">
        <f>DataTable[HLD_MaturityDate] - DataTable[SEC_Issue_Date]</f>
        <v>43550</v>
      </c>
    </row>
    <row r="228" spans="1:114" x14ac:dyDescent="0.2">
      <c r="A228" s="2">
        <v>43376</v>
      </c>
      <c r="B228" t="s">
        <v>46</v>
      </c>
      <c r="C228" t="s">
        <v>528</v>
      </c>
      <c r="D228" t="s">
        <v>529</v>
      </c>
      <c r="F228" t="s">
        <v>942</v>
      </c>
      <c r="H228" t="s">
        <v>540</v>
      </c>
      <c r="I228" t="s">
        <v>286</v>
      </c>
      <c r="J228" t="s">
        <v>287</v>
      </c>
      <c r="K228" t="s">
        <v>541</v>
      </c>
      <c r="N228" s="2">
        <v>43587</v>
      </c>
      <c r="R228">
        <v>1</v>
      </c>
      <c r="T228">
        <v>58855833.189999998</v>
      </c>
      <c r="V228">
        <v>0</v>
      </c>
      <c r="W228">
        <v>0</v>
      </c>
      <c r="X228">
        <v>0</v>
      </c>
      <c r="Z228">
        <v>0</v>
      </c>
      <c r="AA228">
        <v>0</v>
      </c>
      <c r="AB228">
        <v>2.723704E-4</v>
      </c>
      <c r="AC228" t="s">
        <v>942</v>
      </c>
      <c r="AE228" t="s">
        <v>939</v>
      </c>
      <c r="AF228" t="s">
        <v>532</v>
      </c>
      <c r="AG228" t="s">
        <v>532</v>
      </c>
      <c r="AH228" t="s">
        <v>533</v>
      </c>
      <c r="AI228" t="s">
        <v>540</v>
      </c>
      <c r="AJ228" t="s">
        <v>534</v>
      </c>
      <c r="AK228" t="s">
        <v>529</v>
      </c>
      <c r="AM228" t="s">
        <v>287</v>
      </c>
      <c r="AN228" t="s">
        <v>433</v>
      </c>
      <c r="AO228" t="s">
        <v>292</v>
      </c>
      <c r="AP228" t="s">
        <v>333</v>
      </c>
      <c r="AQ228" t="s">
        <v>318</v>
      </c>
      <c r="AR228" t="s">
        <v>292</v>
      </c>
      <c r="AS228" t="s">
        <v>292</v>
      </c>
      <c r="AT228" t="s">
        <v>292</v>
      </c>
      <c r="AU228" t="s">
        <v>292</v>
      </c>
      <c r="AV228" t="s">
        <v>292</v>
      </c>
      <c r="AY228" t="s">
        <v>543</v>
      </c>
      <c r="AZ228" t="s">
        <v>544</v>
      </c>
      <c r="BA228" t="s">
        <v>286</v>
      </c>
      <c r="BB228" t="s">
        <v>541</v>
      </c>
      <c r="BC228" t="s">
        <v>292</v>
      </c>
      <c r="BD228" t="s">
        <v>292</v>
      </c>
      <c r="BE228" t="s">
        <v>292</v>
      </c>
      <c r="BF228" t="s">
        <v>292</v>
      </c>
      <c r="BG228" t="s">
        <v>541</v>
      </c>
      <c r="BH228">
        <v>7</v>
      </c>
      <c r="BI228" t="s">
        <v>300</v>
      </c>
      <c r="BJ228" t="s">
        <v>300</v>
      </c>
      <c r="CK228" t="s">
        <v>560</v>
      </c>
      <c r="CL228" t="s">
        <v>561</v>
      </c>
      <c r="CM228" t="s">
        <v>9</v>
      </c>
      <c r="CN228" s="2">
        <v>2</v>
      </c>
      <c r="CO228" t="s">
        <v>292</v>
      </c>
      <c r="CP228" t="s">
        <v>303</v>
      </c>
      <c r="CQ228" t="s">
        <v>303</v>
      </c>
      <c r="CR228" t="s">
        <v>304</v>
      </c>
      <c r="CS228" t="s">
        <v>614</v>
      </c>
      <c r="CT228">
        <v>16000</v>
      </c>
      <c r="CU228" t="b">
        <v>0</v>
      </c>
      <c r="CV228" t="s">
        <v>292</v>
      </c>
      <c r="CW228" t="s">
        <v>292</v>
      </c>
      <c r="CX228" t="s">
        <v>292</v>
      </c>
      <c r="CY228" t="b">
        <v>0</v>
      </c>
      <c r="CZ228" t="b">
        <v>0</v>
      </c>
      <c r="DC228" t="s">
        <v>292</v>
      </c>
      <c r="DD228">
        <v>-70042350</v>
      </c>
      <c r="DE228">
        <v>-58855833.189999998</v>
      </c>
      <c r="DF228" t="s">
        <v>614</v>
      </c>
      <c r="DG228">
        <v>70042350</v>
      </c>
      <c r="DH228" t="s">
        <v>318</v>
      </c>
      <c r="DI228">
        <v>1</v>
      </c>
      <c r="DJ228">
        <f>DataTable[HLD_MaturityDate] - DataTable[SEC_Issue_Date]</f>
        <v>43585</v>
      </c>
    </row>
    <row r="229" spans="1:114" x14ac:dyDescent="0.2">
      <c r="A229" s="2">
        <v>43376</v>
      </c>
      <c r="B229" t="s">
        <v>46</v>
      </c>
      <c r="C229" t="s">
        <v>528</v>
      </c>
      <c r="D229" t="s">
        <v>529</v>
      </c>
      <c r="F229" t="s">
        <v>943</v>
      </c>
      <c r="H229" t="s">
        <v>285</v>
      </c>
      <c r="I229" t="s">
        <v>286</v>
      </c>
      <c r="J229" t="s">
        <v>287</v>
      </c>
      <c r="K229" t="s">
        <v>288</v>
      </c>
      <c r="N229" s="2">
        <v>43608</v>
      </c>
      <c r="R229">
        <v>1</v>
      </c>
      <c r="T229">
        <v>34501384.969999999</v>
      </c>
      <c r="V229">
        <v>0</v>
      </c>
      <c r="W229">
        <v>0</v>
      </c>
      <c r="X229">
        <v>0</v>
      </c>
      <c r="Z229">
        <v>0</v>
      </c>
      <c r="AA229">
        <v>0</v>
      </c>
      <c r="AB229">
        <v>1.5966400000000001E-4</v>
      </c>
      <c r="AC229" t="s">
        <v>943</v>
      </c>
      <c r="AE229" t="s">
        <v>932</v>
      </c>
      <c r="AF229" t="s">
        <v>532</v>
      </c>
      <c r="AG229" t="s">
        <v>532</v>
      </c>
      <c r="AH229" t="s">
        <v>533</v>
      </c>
      <c r="AI229" t="s">
        <v>285</v>
      </c>
      <c r="AJ229" t="s">
        <v>534</v>
      </c>
      <c r="AK229" t="s">
        <v>529</v>
      </c>
      <c r="AM229" t="s">
        <v>287</v>
      </c>
      <c r="AN229" t="s">
        <v>433</v>
      </c>
      <c r="AO229" t="s">
        <v>292</v>
      </c>
      <c r="AP229" t="s">
        <v>333</v>
      </c>
      <c r="AQ229" t="s">
        <v>318</v>
      </c>
      <c r="AR229" t="s">
        <v>292</v>
      </c>
      <c r="AS229" t="s">
        <v>292</v>
      </c>
      <c r="AT229" t="s">
        <v>292</v>
      </c>
      <c r="AU229" t="s">
        <v>292</v>
      </c>
      <c r="AV229" t="s">
        <v>292</v>
      </c>
      <c r="AY229" t="s">
        <v>296</v>
      </c>
      <c r="AZ229" t="s">
        <v>297</v>
      </c>
      <c r="BA229" t="s">
        <v>286</v>
      </c>
      <c r="BB229" t="s">
        <v>292</v>
      </c>
      <c r="BC229" t="s">
        <v>288</v>
      </c>
      <c r="BD229" t="s">
        <v>292</v>
      </c>
      <c r="BE229" t="s">
        <v>298</v>
      </c>
      <c r="BF229" t="s">
        <v>299</v>
      </c>
      <c r="BG229" t="s">
        <v>288</v>
      </c>
      <c r="BH229">
        <v>2</v>
      </c>
      <c r="BI229" t="s">
        <v>300</v>
      </c>
      <c r="BJ229" t="s">
        <v>300</v>
      </c>
      <c r="CK229" t="s">
        <v>560</v>
      </c>
      <c r="CL229" t="s">
        <v>561</v>
      </c>
      <c r="CM229" t="s">
        <v>9</v>
      </c>
      <c r="CN229" s="2">
        <v>2</v>
      </c>
      <c r="CO229" t="s">
        <v>292</v>
      </c>
      <c r="CP229" t="s">
        <v>303</v>
      </c>
      <c r="CQ229" t="s">
        <v>303</v>
      </c>
      <c r="CR229" t="s">
        <v>304</v>
      </c>
      <c r="CS229" t="s">
        <v>606</v>
      </c>
      <c r="CT229">
        <v>52000</v>
      </c>
      <c r="CU229" t="b">
        <v>0</v>
      </c>
      <c r="CV229" t="s">
        <v>292</v>
      </c>
      <c r="CW229" t="s">
        <v>292</v>
      </c>
      <c r="CX229" t="s">
        <v>292</v>
      </c>
      <c r="CY229" t="b">
        <v>0</v>
      </c>
      <c r="CZ229" t="b">
        <v>0</v>
      </c>
      <c r="DC229" t="s">
        <v>292</v>
      </c>
      <c r="DD229">
        <v>-80113244.439999998</v>
      </c>
      <c r="DE229">
        <v>-34501384.969999999</v>
      </c>
      <c r="DF229" t="s">
        <v>606</v>
      </c>
      <c r="DG229">
        <v>80113244.439999998</v>
      </c>
      <c r="DH229" t="s">
        <v>318</v>
      </c>
      <c r="DI229">
        <v>1</v>
      </c>
      <c r="DJ229">
        <f>DataTable[HLD_MaturityDate] - DataTable[SEC_Issue_Date]</f>
        <v>43606</v>
      </c>
    </row>
    <row r="230" spans="1:114" x14ac:dyDescent="0.2">
      <c r="A230" s="2">
        <v>43376</v>
      </c>
      <c r="B230" t="s">
        <v>46</v>
      </c>
      <c r="C230" t="s">
        <v>528</v>
      </c>
      <c r="D230" t="s">
        <v>529</v>
      </c>
      <c r="F230" t="s">
        <v>944</v>
      </c>
      <c r="H230" t="s">
        <v>285</v>
      </c>
      <c r="I230" t="s">
        <v>286</v>
      </c>
      <c r="J230" t="s">
        <v>287</v>
      </c>
      <c r="K230" t="s">
        <v>288</v>
      </c>
      <c r="N230" s="2">
        <v>43616</v>
      </c>
      <c r="R230">
        <v>1</v>
      </c>
      <c r="T230">
        <v>-6081745.1399999997</v>
      </c>
      <c r="V230">
        <v>0</v>
      </c>
      <c r="W230">
        <v>0</v>
      </c>
      <c r="X230">
        <v>0</v>
      </c>
      <c r="Z230">
        <v>0</v>
      </c>
      <c r="AA230">
        <v>0</v>
      </c>
      <c r="AB230">
        <v>-2.8144799999999999E-5</v>
      </c>
      <c r="AC230" t="s">
        <v>944</v>
      </c>
      <c r="AE230" t="s">
        <v>932</v>
      </c>
      <c r="AF230" t="s">
        <v>532</v>
      </c>
      <c r="AG230" t="s">
        <v>532</v>
      </c>
      <c r="AH230" t="s">
        <v>533</v>
      </c>
      <c r="AI230" t="s">
        <v>285</v>
      </c>
      <c r="AJ230" t="s">
        <v>534</v>
      </c>
      <c r="AK230" t="s">
        <v>529</v>
      </c>
      <c r="AM230" t="s">
        <v>287</v>
      </c>
      <c r="AN230" t="s">
        <v>433</v>
      </c>
      <c r="AO230" t="s">
        <v>292</v>
      </c>
      <c r="AP230" t="s">
        <v>333</v>
      </c>
      <c r="AQ230" t="s">
        <v>318</v>
      </c>
      <c r="AR230" t="s">
        <v>292</v>
      </c>
      <c r="AS230" t="s">
        <v>292</v>
      </c>
      <c r="AT230" t="s">
        <v>292</v>
      </c>
      <c r="AU230" t="s">
        <v>292</v>
      </c>
      <c r="AV230" t="s">
        <v>292</v>
      </c>
      <c r="AY230" t="s">
        <v>296</v>
      </c>
      <c r="AZ230" t="s">
        <v>297</v>
      </c>
      <c r="BA230" t="s">
        <v>286</v>
      </c>
      <c r="BB230" t="s">
        <v>292</v>
      </c>
      <c r="BC230" t="s">
        <v>288</v>
      </c>
      <c r="BD230" t="s">
        <v>292</v>
      </c>
      <c r="BE230" t="s">
        <v>298</v>
      </c>
      <c r="BF230" t="s">
        <v>299</v>
      </c>
      <c r="BG230" t="s">
        <v>288</v>
      </c>
      <c r="BH230">
        <v>2</v>
      </c>
      <c r="BI230" t="s">
        <v>300</v>
      </c>
      <c r="BJ230" t="s">
        <v>300</v>
      </c>
      <c r="CK230" t="s">
        <v>560</v>
      </c>
      <c r="CL230" t="s">
        <v>561</v>
      </c>
      <c r="CM230" t="s">
        <v>9</v>
      </c>
      <c r="CN230" s="2">
        <v>2</v>
      </c>
      <c r="CO230" t="s">
        <v>292</v>
      </c>
      <c r="CP230" t="s">
        <v>303</v>
      </c>
      <c r="CQ230" t="s">
        <v>303</v>
      </c>
      <c r="CR230" t="s">
        <v>304</v>
      </c>
      <c r="CS230" t="s">
        <v>612</v>
      </c>
      <c r="CT230">
        <v>52000</v>
      </c>
      <c r="CU230" t="b">
        <v>0</v>
      </c>
      <c r="CV230" t="s">
        <v>292</v>
      </c>
      <c r="CW230" t="s">
        <v>292</v>
      </c>
      <c r="CX230" t="s">
        <v>292</v>
      </c>
      <c r="CY230" t="b">
        <v>0</v>
      </c>
      <c r="CZ230" t="b">
        <v>0</v>
      </c>
      <c r="DC230" t="s">
        <v>292</v>
      </c>
      <c r="DD230">
        <v>-50071166.670000002</v>
      </c>
      <c r="DE230">
        <v>6081745.1399999997</v>
      </c>
      <c r="DF230" t="s">
        <v>612</v>
      </c>
      <c r="DG230">
        <v>50071166.670000002</v>
      </c>
      <c r="DH230" t="s">
        <v>318</v>
      </c>
      <c r="DI230">
        <v>1</v>
      </c>
      <c r="DJ230">
        <f>DataTable[HLD_MaturityDate] - DataTable[SEC_Issue_Date]</f>
        <v>43614</v>
      </c>
    </row>
    <row r="231" spans="1:114" x14ac:dyDescent="0.2">
      <c r="A231" s="2">
        <v>43376</v>
      </c>
      <c r="B231" t="s">
        <v>46</v>
      </c>
      <c r="C231" t="s">
        <v>528</v>
      </c>
      <c r="D231" t="s">
        <v>529</v>
      </c>
      <c r="F231" t="s">
        <v>945</v>
      </c>
      <c r="H231" t="s">
        <v>285</v>
      </c>
      <c r="I231" t="s">
        <v>286</v>
      </c>
      <c r="J231" t="s">
        <v>287</v>
      </c>
      <c r="K231" t="s">
        <v>288</v>
      </c>
      <c r="N231" s="2">
        <v>43395</v>
      </c>
      <c r="R231">
        <v>1</v>
      </c>
      <c r="T231">
        <v>45484478.030000001</v>
      </c>
      <c r="V231">
        <v>0</v>
      </c>
      <c r="W231">
        <v>0</v>
      </c>
      <c r="X231">
        <v>0</v>
      </c>
      <c r="Z231">
        <v>0</v>
      </c>
      <c r="AA231">
        <v>0</v>
      </c>
      <c r="AB231">
        <v>2.1049099999999999E-4</v>
      </c>
      <c r="AC231" t="s">
        <v>945</v>
      </c>
      <c r="AE231" t="s">
        <v>932</v>
      </c>
      <c r="AF231" t="s">
        <v>532</v>
      </c>
      <c r="AG231" t="s">
        <v>532</v>
      </c>
      <c r="AH231" t="s">
        <v>533</v>
      </c>
      <c r="AI231" t="s">
        <v>285</v>
      </c>
      <c r="AJ231" t="s">
        <v>534</v>
      </c>
      <c r="AK231" t="s">
        <v>529</v>
      </c>
      <c r="AM231" t="s">
        <v>287</v>
      </c>
      <c r="AN231" t="s">
        <v>433</v>
      </c>
      <c r="AO231" t="s">
        <v>292</v>
      </c>
      <c r="AP231" t="s">
        <v>333</v>
      </c>
      <c r="AQ231" t="s">
        <v>318</v>
      </c>
      <c r="AR231" t="s">
        <v>292</v>
      </c>
      <c r="AS231" t="s">
        <v>292</v>
      </c>
      <c r="AT231" t="s">
        <v>292</v>
      </c>
      <c r="AU231" t="s">
        <v>292</v>
      </c>
      <c r="AV231" t="s">
        <v>292</v>
      </c>
      <c r="AY231" t="s">
        <v>296</v>
      </c>
      <c r="AZ231" t="s">
        <v>297</v>
      </c>
      <c r="BA231" t="s">
        <v>286</v>
      </c>
      <c r="BB231" t="s">
        <v>292</v>
      </c>
      <c r="BC231" t="s">
        <v>288</v>
      </c>
      <c r="BD231" t="s">
        <v>292</v>
      </c>
      <c r="BE231" t="s">
        <v>298</v>
      </c>
      <c r="BF231" t="s">
        <v>299</v>
      </c>
      <c r="BG231" t="s">
        <v>288</v>
      </c>
      <c r="BH231">
        <v>2</v>
      </c>
      <c r="BI231" t="s">
        <v>300</v>
      </c>
      <c r="BJ231" t="s">
        <v>300</v>
      </c>
      <c r="CK231" t="s">
        <v>560</v>
      </c>
      <c r="CL231" t="s">
        <v>561</v>
      </c>
      <c r="CM231" t="s">
        <v>9</v>
      </c>
      <c r="CN231" s="2">
        <v>2</v>
      </c>
      <c r="CO231" t="s">
        <v>292</v>
      </c>
      <c r="CP231" t="s">
        <v>303</v>
      </c>
      <c r="CQ231" t="s">
        <v>303</v>
      </c>
      <c r="CR231" t="s">
        <v>304</v>
      </c>
      <c r="CS231" t="s">
        <v>629</v>
      </c>
      <c r="CT231">
        <v>52000</v>
      </c>
      <c r="CU231" t="b">
        <v>0</v>
      </c>
      <c r="CV231" t="s">
        <v>292</v>
      </c>
      <c r="CW231" t="s">
        <v>292</v>
      </c>
      <c r="CX231" t="s">
        <v>292</v>
      </c>
      <c r="CY231" t="b">
        <v>0</v>
      </c>
      <c r="CZ231" t="b">
        <v>0</v>
      </c>
      <c r="DC231" t="s">
        <v>292</v>
      </c>
      <c r="DD231">
        <v>-402431123.29000002</v>
      </c>
      <c r="DE231">
        <v>-45484478.030000001</v>
      </c>
      <c r="DF231" t="s">
        <v>629</v>
      </c>
      <c r="DG231">
        <v>402431123.29000002</v>
      </c>
      <c r="DH231" t="s">
        <v>318</v>
      </c>
      <c r="DI231">
        <v>1</v>
      </c>
      <c r="DJ231">
        <f>DataTable[HLD_MaturityDate] - DataTable[SEC_Issue_Date]</f>
        <v>43393</v>
      </c>
    </row>
    <row r="232" spans="1:114" x14ac:dyDescent="0.2">
      <c r="A232" s="2">
        <v>43376</v>
      </c>
      <c r="B232" t="s">
        <v>46</v>
      </c>
      <c r="C232" t="s">
        <v>528</v>
      </c>
      <c r="D232" t="s">
        <v>529</v>
      </c>
      <c r="F232" t="s">
        <v>946</v>
      </c>
      <c r="H232" t="s">
        <v>285</v>
      </c>
      <c r="I232" t="s">
        <v>286</v>
      </c>
      <c r="J232" t="s">
        <v>287</v>
      </c>
      <c r="K232" t="s">
        <v>288</v>
      </c>
      <c r="N232" s="2">
        <v>43536</v>
      </c>
      <c r="R232">
        <v>1</v>
      </c>
      <c r="T232">
        <v>15984390.07</v>
      </c>
      <c r="V232">
        <v>0</v>
      </c>
      <c r="W232">
        <v>0</v>
      </c>
      <c r="X232">
        <v>0</v>
      </c>
      <c r="Z232">
        <v>0</v>
      </c>
      <c r="AA232">
        <v>0</v>
      </c>
      <c r="AB232">
        <v>7.3971800000000002E-5</v>
      </c>
      <c r="AC232" t="s">
        <v>946</v>
      </c>
      <c r="AE232" t="s">
        <v>932</v>
      </c>
      <c r="AF232" t="s">
        <v>532</v>
      </c>
      <c r="AG232" t="s">
        <v>532</v>
      </c>
      <c r="AH232" t="s">
        <v>533</v>
      </c>
      <c r="AI232" t="s">
        <v>285</v>
      </c>
      <c r="AJ232" t="s">
        <v>534</v>
      </c>
      <c r="AK232" t="s">
        <v>529</v>
      </c>
      <c r="AM232" t="s">
        <v>287</v>
      </c>
      <c r="AN232" t="s">
        <v>433</v>
      </c>
      <c r="AO232" t="s">
        <v>292</v>
      </c>
      <c r="AP232" t="s">
        <v>333</v>
      </c>
      <c r="AQ232" t="s">
        <v>318</v>
      </c>
      <c r="AR232" t="s">
        <v>292</v>
      </c>
      <c r="AS232" t="s">
        <v>292</v>
      </c>
      <c r="AT232" t="s">
        <v>292</v>
      </c>
      <c r="AU232" t="s">
        <v>292</v>
      </c>
      <c r="AV232" t="s">
        <v>292</v>
      </c>
      <c r="AY232" t="s">
        <v>296</v>
      </c>
      <c r="AZ232" t="s">
        <v>297</v>
      </c>
      <c r="BA232" t="s">
        <v>286</v>
      </c>
      <c r="BB232" t="s">
        <v>292</v>
      </c>
      <c r="BC232" t="s">
        <v>288</v>
      </c>
      <c r="BD232" t="s">
        <v>292</v>
      </c>
      <c r="BE232" t="s">
        <v>298</v>
      </c>
      <c r="BF232" t="s">
        <v>299</v>
      </c>
      <c r="BG232" t="s">
        <v>288</v>
      </c>
      <c r="BH232">
        <v>2</v>
      </c>
      <c r="BI232" t="s">
        <v>300</v>
      </c>
      <c r="BJ232" t="s">
        <v>300</v>
      </c>
      <c r="CK232" t="s">
        <v>560</v>
      </c>
      <c r="CL232" t="s">
        <v>561</v>
      </c>
      <c r="CM232" t="s">
        <v>9</v>
      </c>
      <c r="CN232" s="2">
        <v>2</v>
      </c>
      <c r="CO232" t="s">
        <v>292</v>
      </c>
      <c r="CP232" t="s">
        <v>303</v>
      </c>
      <c r="CQ232" t="s">
        <v>303</v>
      </c>
      <c r="CR232" t="s">
        <v>304</v>
      </c>
      <c r="CS232" t="s">
        <v>630</v>
      </c>
      <c r="CT232">
        <v>52000</v>
      </c>
      <c r="CU232" t="b">
        <v>0</v>
      </c>
      <c r="CV232" t="s">
        <v>292</v>
      </c>
      <c r="CW232" t="s">
        <v>292</v>
      </c>
      <c r="CX232" t="s">
        <v>292</v>
      </c>
      <c r="CY232" t="b">
        <v>0</v>
      </c>
      <c r="CZ232" t="b">
        <v>0</v>
      </c>
      <c r="DC232" t="s">
        <v>292</v>
      </c>
      <c r="DD232">
        <v>-313876698.63</v>
      </c>
      <c r="DE232">
        <v>-15984390.07</v>
      </c>
      <c r="DF232" t="s">
        <v>630</v>
      </c>
      <c r="DG232">
        <v>313876698.63</v>
      </c>
      <c r="DH232" t="s">
        <v>318</v>
      </c>
      <c r="DI232">
        <v>1</v>
      </c>
      <c r="DJ232">
        <f>DataTable[HLD_MaturityDate] - DataTable[SEC_Issue_Date]</f>
        <v>43534</v>
      </c>
    </row>
    <row r="233" spans="1:114" x14ac:dyDescent="0.2">
      <c r="A233" s="2">
        <v>43376</v>
      </c>
      <c r="B233" t="s">
        <v>46</v>
      </c>
      <c r="C233" t="s">
        <v>528</v>
      </c>
      <c r="D233" t="s">
        <v>529</v>
      </c>
      <c r="F233" t="s">
        <v>947</v>
      </c>
      <c r="H233" t="s">
        <v>948</v>
      </c>
      <c r="I233" t="s">
        <v>286</v>
      </c>
      <c r="J233" t="s">
        <v>287</v>
      </c>
      <c r="K233" t="s">
        <v>338</v>
      </c>
      <c r="N233" s="2">
        <v>43452</v>
      </c>
      <c r="R233">
        <v>1</v>
      </c>
      <c r="T233">
        <v>15478508.529999999</v>
      </c>
      <c r="V233">
        <v>0</v>
      </c>
      <c r="W233">
        <v>0</v>
      </c>
      <c r="X233">
        <v>0</v>
      </c>
      <c r="Z233">
        <v>0</v>
      </c>
      <c r="AA233">
        <v>0</v>
      </c>
      <c r="AB233">
        <v>7.1630699999999998E-5</v>
      </c>
      <c r="AC233" t="s">
        <v>947</v>
      </c>
      <c r="AE233" t="s">
        <v>949</v>
      </c>
      <c r="AF233" t="s">
        <v>532</v>
      </c>
      <c r="AG233" t="s">
        <v>532</v>
      </c>
      <c r="AH233" t="s">
        <v>533</v>
      </c>
      <c r="AI233" t="s">
        <v>948</v>
      </c>
      <c r="AJ233" t="s">
        <v>534</v>
      </c>
      <c r="AK233" t="s">
        <v>529</v>
      </c>
      <c r="AM233" t="s">
        <v>287</v>
      </c>
      <c r="AN233" t="s">
        <v>433</v>
      </c>
      <c r="AO233" t="s">
        <v>292</v>
      </c>
      <c r="AP233" t="s">
        <v>333</v>
      </c>
      <c r="AQ233" t="s">
        <v>318</v>
      </c>
      <c r="AR233" t="s">
        <v>292</v>
      </c>
      <c r="AS233" t="s">
        <v>292</v>
      </c>
      <c r="AT233" t="s">
        <v>292</v>
      </c>
      <c r="AU233" t="s">
        <v>292</v>
      </c>
      <c r="AV233" t="s">
        <v>292</v>
      </c>
      <c r="AY233" t="s">
        <v>950</v>
      </c>
      <c r="AZ233" t="s">
        <v>951</v>
      </c>
      <c r="BA233" t="s">
        <v>286</v>
      </c>
      <c r="BB233" t="s">
        <v>292</v>
      </c>
      <c r="BC233" t="s">
        <v>338</v>
      </c>
      <c r="BD233" t="s">
        <v>292</v>
      </c>
      <c r="BE233" t="s">
        <v>292</v>
      </c>
      <c r="BF233" t="s">
        <v>952</v>
      </c>
      <c r="BG233" t="s">
        <v>338</v>
      </c>
      <c r="BH233">
        <v>4</v>
      </c>
      <c r="BI233" t="s">
        <v>300</v>
      </c>
      <c r="BJ233" t="s">
        <v>300</v>
      </c>
      <c r="CK233" t="s">
        <v>560</v>
      </c>
      <c r="CL233" t="s">
        <v>561</v>
      </c>
      <c r="CM233" t="s">
        <v>9</v>
      </c>
      <c r="CN233" s="2">
        <v>2</v>
      </c>
      <c r="CO233" t="s">
        <v>292</v>
      </c>
      <c r="CP233" t="s">
        <v>303</v>
      </c>
      <c r="CQ233" t="s">
        <v>303</v>
      </c>
      <c r="CR233" t="s">
        <v>304</v>
      </c>
      <c r="CS233" t="s">
        <v>617</v>
      </c>
      <c r="CT233">
        <v>15000</v>
      </c>
      <c r="CU233" t="b">
        <v>0</v>
      </c>
      <c r="CV233" t="s">
        <v>292</v>
      </c>
      <c r="CW233" t="s">
        <v>292</v>
      </c>
      <c r="CX233" t="s">
        <v>292</v>
      </c>
      <c r="CY233" t="b">
        <v>0</v>
      </c>
      <c r="CZ233" t="b">
        <v>0</v>
      </c>
      <c r="DC233" t="s">
        <v>292</v>
      </c>
      <c r="DD233">
        <v>-92443500</v>
      </c>
      <c r="DE233">
        <v>-15478508.529999999</v>
      </c>
      <c r="DF233" t="s">
        <v>617</v>
      </c>
      <c r="DG233">
        <v>92443500</v>
      </c>
      <c r="DH233" t="s">
        <v>318</v>
      </c>
      <c r="DI233">
        <v>1</v>
      </c>
      <c r="DJ233">
        <f>DataTable[HLD_MaturityDate] - DataTable[SEC_Issue_Date]</f>
        <v>43450</v>
      </c>
    </row>
    <row r="234" spans="1:114" x14ac:dyDescent="0.2">
      <c r="A234" s="2">
        <v>43376</v>
      </c>
      <c r="B234" t="s">
        <v>46</v>
      </c>
      <c r="C234" t="s">
        <v>528</v>
      </c>
      <c r="D234" t="s">
        <v>529</v>
      </c>
      <c r="F234" t="s">
        <v>953</v>
      </c>
      <c r="H234" t="s">
        <v>540</v>
      </c>
      <c r="I234" t="s">
        <v>286</v>
      </c>
      <c r="J234" t="s">
        <v>287</v>
      </c>
      <c r="K234" t="s">
        <v>541</v>
      </c>
      <c r="N234" s="2">
        <v>43410</v>
      </c>
      <c r="R234">
        <v>1</v>
      </c>
      <c r="T234">
        <v>22154907.289999999</v>
      </c>
      <c r="V234">
        <v>0</v>
      </c>
      <c r="W234">
        <v>0</v>
      </c>
      <c r="X234">
        <v>0</v>
      </c>
      <c r="Z234">
        <v>0</v>
      </c>
      <c r="AA234">
        <v>0</v>
      </c>
      <c r="AB234">
        <v>1.025275E-4</v>
      </c>
      <c r="AC234" t="s">
        <v>953</v>
      </c>
      <c r="AE234" t="s">
        <v>954</v>
      </c>
      <c r="AF234" t="s">
        <v>532</v>
      </c>
      <c r="AG234" t="s">
        <v>532</v>
      </c>
      <c r="AH234" t="s">
        <v>533</v>
      </c>
      <c r="AI234" t="s">
        <v>540</v>
      </c>
      <c r="AJ234" t="s">
        <v>534</v>
      </c>
      <c r="AK234" t="s">
        <v>529</v>
      </c>
      <c r="AM234" t="s">
        <v>287</v>
      </c>
      <c r="AN234" t="s">
        <v>433</v>
      </c>
      <c r="AO234" t="s">
        <v>292</v>
      </c>
      <c r="AP234" t="s">
        <v>333</v>
      </c>
      <c r="AQ234" t="s">
        <v>318</v>
      </c>
      <c r="AR234" t="s">
        <v>292</v>
      </c>
      <c r="AS234" t="s">
        <v>292</v>
      </c>
      <c r="AT234" t="s">
        <v>292</v>
      </c>
      <c r="AU234" t="s">
        <v>292</v>
      </c>
      <c r="AV234" t="s">
        <v>292</v>
      </c>
      <c r="AY234" t="s">
        <v>543</v>
      </c>
      <c r="AZ234" t="s">
        <v>544</v>
      </c>
      <c r="BA234" t="s">
        <v>286</v>
      </c>
      <c r="BB234" t="s">
        <v>541</v>
      </c>
      <c r="BC234" t="s">
        <v>292</v>
      </c>
      <c r="BD234" t="s">
        <v>292</v>
      </c>
      <c r="BE234" t="s">
        <v>292</v>
      </c>
      <c r="BF234" t="s">
        <v>292</v>
      </c>
      <c r="BG234" t="s">
        <v>541</v>
      </c>
      <c r="BH234">
        <v>7</v>
      </c>
      <c r="BI234" t="s">
        <v>300</v>
      </c>
      <c r="BJ234" t="s">
        <v>300</v>
      </c>
      <c r="CK234" t="s">
        <v>560</v>
      </c>
      <c r="CL234" t="s">
        <v>561</v>
      </c>
      <c r="CM234" t="s">
        <v>9</v>
      </c>
      <c r="CN234" s="2">
        <v>2</v>
      </c>
      <c r="CO234" t="s">
        <v>292</v>
      </c>
      <c r="CP234" t="s">
        <v>303</v>
      </c>
      <c r="CQ234" t="s">
        <v>303</v>
      </c>
      <c r="CR234" t="s">
        <v>304</v>
      </c>
      <c r="CS234" t="s">
        <v>357</v>
      </c>
      <c r="CT234">
        <v>16000</v>
      </c>
      <c r="CU234" t="b">
        <v>0</v>
      </c>
      <c r="CV234" t="s">
        <v>292</v>
      </c>
      <c r="CW234" t="s">
        <v>292</v>
      </c>
      <c r="CX234" t="s">
        <v>292</v>
      </c>
      <c r="CY234" t="b">
        <v>0</v>
      </c>
      <c r="CZ234" t="b">
        <v>0</v>
      </c>
      <c r="DC234" t="s">
        <v>292</v>
      </c>
      <c r="DD234">
        <v>-35849364.539999999</v>
      </c>
      <c r="DE234">
        <v>-22154907.289999999</v>
      </c>
      <c r="DF234" t="s">
        <v>357</v>
      </c>
      <c r="DG234">
        <v>35849364.539999999</v>
      </c>
      <c r="DH234" t="s">
        <v>318</v>
      </c>
      <c r="DI234">
        <v>1</v>
      </c>
      <c r="DJ234">
        <f>DataTable[HLD_MaturityDate] - DataTable[SEC_Issue_Date]</f>
        <v>43408</v>
      </c>
    </row>
    <row r="235" spans="1:114" x14ac:dyDescent="0.2">
      <c r="A235" s="2">
        <v>43376</v>
      </c>
      <c r="B235" t="s">
        <v>46</v>
      </c>
      <c r="C235" t="s">
        <v>528</v>
      </c>
      <c r="D235" t="s">
        <v>529</v>
      </c>
      <c r="F235" t="s">
        <v>955</v>
      </c>
      <c r="H235" t="s">
        <v>285</v>
      </c>
      <c r="I235" t="s">
        <v>286</v>
      </c>
      <c r="J235" t="s">
        <v>287</v>
      </c>
      <c r="K235" t="s">
        <v>288</v>
      </c>
      <c r="N235" s="2">
        <v>43423</v>
      </c>
      <c r="R235">
        <v>1</v>
      </c>
      <c r="T235">
        <v>-29520466.649999999</v>
      </c>
      <c r="V235">
        <v>0</v>
      </c>
      <c r="W235">
        <v>0</v>
      </c>
      <c r="X235">
        <v>0</v>
      </c>
      <c r="Z235">
        <v>0</v>
      </c>
      <c r="AA235">
        <v>0</v>
      </c>
      <c r="AB235">
        <v>-1.3661350000000001E-4</v>
      </c>
      <c r="AC235" t="s">
        <v>955</v>
      </c>
      <c r="AE235" t="s">
        <v>932</v>
      </c>
      <c r="AF235" t="s">
        <v>532</v>
      </c>
      <c r="AG235" t="s">
        <v>532</v>
      </c>
      <c r="AH235" t="s">
        <v>533</v>
      </c>
      <c r="AI235" t="s">
        <v>285</v>
      </c>
      <c r="AJ235" t="s">
        <v>534</v>
      </c>
      <c r="AK235" t="s">
        <v>529</v>
      </c>
      <c r="AM235" t="s">
        <v>287</v>
      </c>
      <c r="AN235" t="s">
        <v>433</v>
      </c>
      <c r="AO235" t="s">
        <v>292</v>
      </c>
      <c r="AP235" t="s">
        <v>333</v>
      </c>
      <c r="AQ235" t="s">
        <v>318</v>
      </c>
      <c r="AR235" t="s">
        <v>292</v>
      </c>
      <c r="AS235" t="s">
        <v>292</v>
      </c>
      <c r="AT235" t="s">
        <v>292</v>
      </c>
      <c r="AU235" t="s">
        <v>292</v>
      </c>
      <c r="AV235" t="s">
        <v>292</v>
      </c>
      <c r="AY235" t="s">
        <v>296</v>
      </c>
      <c r="AZ235" t="s">
        <v>297</v>
      </c>
      <c r="BA235" t="s">
        <v>286</v>
      </c>
      <c r="BB235" t="s">
        <v>292</v>
      </c>
      <c r="BC235" t="s">
        <v>288</v>
      </c>
      <c r="BD235" t="s">
        <v>292</v>
      </c>
      <c r="BE235" t="s">
        <v>298</v>
      </c>
      <c r="BF235" t="s">
        <v>299</v>
      </c>
      <c r="BG235" t="s">
        <v>288</v>
      </c>
      <c r="BH235">
        <v>2</v>
      </c>
      <c r="BI235" t="s">
        <v>300</v>
      </c>
      <c r="BJ235" t="s">
        <v>300</v>
      </c>
      <c r="CK235" t="s">
        <v>560</v>
      </c>
      <c r="CL235" t="s">
        <v>561</v>
      </c>
      <c r="CM235" t="s">
        <v>9</v>
      </c>
      <c r="CN235" s="2">
        <v>2</v>
      </c>
      <c r="CO235" t="s">
        <v>292</v>
      </c>
      <c r="CP235" t="s">
        <v>303</v>
      </c>
      <c r="CQ235" t="s">
        <v>303</v>
      </c>
      <c r="CR235" t="s">
        <v>304</v>
      </c>
      <c r="CS235" t="s">
        <v>637</v>
      </c>
      <c r="CT235">
        <v>52000</v>
      </c>
      <c r="CU235" t="b">
        <v>0</v>
      </c>
      <c r="CV235" t="s">
        <v>292</v>
      </c>
      <c r="CW235" t="s">
        <v>292</v>
      </c>
      <c r="CX235" t="s">
        <v>292</v>
      </c>
      <c r="CY235" t="b">
        <v>0</v>
      </c>
      <c r="CZ235" t="b">
        <v>0</v>
      </c>
      <c r="DC235" t="s">
        <v>292</v>
      </c>
      <c r="DD235">
        <v>-50754333.329999998</v>
      </c>
      <c r="DE235">
        <v>29520466.649999999</v>
      </c>
      <c r="DF235" t="s">
        <v>637</v>
      </c>
      <c r="DG235">
        <v>50754333.329999998</v>
      </c>
      <c r="DH235" t="s">
        <v>318</v>
      </c>
      <c r="DI235">
        <v>1</v>
      </c>
      <c r="DJ235">
        <f>DataTable[HLD_MaturityDate] - DataTable[SEC_Issue_Date]</f>
        <v>43421</v>
      </c>
    </row>
    <row r="236" spans="1:114" x14ac:dyDescent="0.2">
      <c r="A236" s="2">
        <v>43376</v>
      </c>
      <c r="B236" t="s">
        <v>46</v>
      </c>
      <c r="C236" t="s">
        <v>528</v>
      </c>
      <c r="D236" t="s">
        <v>529</v>
      </c>
      <c r="F236" t="s">
        <v>956</v>
      </c>
      <c r="H236" t="s">
        <v>285</v>
      </c>
      <c r="I236" t="s">
        <v>286</v>
      </c>
      <c r="J236" t="s">
        <v>287</v>
      </c>
      <c r="K236" t="s">
        <v>288</v>
      </c>
      <c r="N236" s="2">
        <v>43424</v>
      </c>
      <c r="R236">
        <v>1</v>
      </c>
      <c r="T236">
        <v>-5838883.29</v>
      </c>
      <c r="V236">
        <v>0</v>
      </c>
      <c r="W236">
        <v>0</v>
      </c>
      <c r="X236">
        <v>0</v>
      </c>
      <c r="Z236">
        <v>0</v>
      </c>
      <c r="AA236">
        <v>0</v>
      </c>
      <c r="AB236">
        <v>-2.7020900000000001E-5</v>
      </c>
      <c r="AC236" t="s">
        <v>956</v>
      </c>
      <c r="AE236" t="s">
        <v>932</v>
      </c>
      <c r="AF236" t="s">
        <v>532</v>
      </c>
      <c r="AG236" t="s">
        <v>532</v>
      </c>
      <c r="AH236" t="s">
        <v>533</v>
      </c>
      <c r="AI236" t="s">
        <v>285</v>
      </c>
      <c r="AJ236" t="s">
        <v>534</v>
      </c>
      <c r="AK236" t="s">
        <v>529</v>
      </c>
      <c r="AM236" t="s">
        <v>287</v>
      </c>
      <c r="AN236" t="s">
        <v>433</v>
      </c>
      <c r="AO236" t="s">
        <v>292</v>
      </c>
      <c r="AP236" t="s">
        <v>333</v>
      </c>
      <c r="AQ236" t="s">
        <v>318</v>
      </c>
      <c r="AR236" t="s">
        <v>292</v>
      </c>
      <c r="AS236" t="s">
        <v>292</v>
      </c>
      <c r="AT236" t="s">
        <v>292</v>
      </c>
      <c r="AU236" t="s">
        <v>292</v>
      </c>
      <c r="AV236" t="s">
        <v>292</v>
      </c>
      <c r="AY236" t="s">
        <v>296</v>
      </c>
      <c r="AZ236" t="s">
        <v>297</v>
      </c>
      <c r="BA236" t="s">
        <v>286</v>
      </c>
      <c r="BB236" t="s">
        <v>292</v>
      </c>
      <c r="BC236" t="s">
        <v>288</v>
      </c>
      <c r="BD236" t="s">
        <v>292</v>
      </c>
      <c r="BE236" t="s">
        <v>298</v>
      </c>
      <c r="BF236" t="s">
        <v>299</v>
      </c>
      <c r="BG236" t="s">
        <v>288</v>
      </c>
      <c r="BH236">
        <v>2</v>
      </c>
      <c r="BI236" t="s">
        <v>300</v>
      </c>
      <c r="BJ236" t="s">
        <v>300</v>
      </c>
      <c r="CK236" t="s">
        <v>560</v>
      </c>
      <c r="CL236" t="s">
        <v>561</v>
      </c>
      <c r="CM236" t="s">
        <v>9</v>
      </c>
      <c r="CN236" s="2">
        <v>2</v>
      </c>
      <c r="CO236" t="s">
        <v>292</v>
      </c>
      <c r="CP236" t="s">
        <v>303</v>
      </c>
      <c r="CQ236" t="s">
        <v>303</v>
      </c>
      <c r="CR236" t="s">
        <v>304</v>
      </c>
      <c r="CS236" t="s">
        <v>638</v>
      </c>
      <c r="CT236">
        <v>52000</v>
      </c>
      <c r="CU236" t="b">
        <v>0</v>
      </c>
      <c r="CV236" t="s">
        <v>292</v>
      </c>
      <c r="CW236" t="s">
        <v>292</v>
      </c>
      <c r="CX236" t="s">
        <v>292</v>
      </c>
      <c r="CY236" t="b">
        <v>0</v>
      </c>
      <c r="CZ236" t="b">
        <v>0</v>
      </c>
      <c r="DC236" t="s">
        <v>292</v>
      </c>
      <c r="DD236">
        <v>-14211213.33</v>
      </c>
      <c r="DE236">
        <v>5838883.29</v>
      </c>
      <c r="DF236" t="s">
        <v>638</v>
      </c>
      <c r="DG236">
        <v>14211213.33</v>
      </c>
      <c r="DH236" t="s">
        <v>318</v>
      </c>
      <c r="DI236">
        <v>1</v>
      </c>
      <c r="DJ236">
        <f>DataTable[HLD_MaturityDate] - DataTable[SEC_Issue_Date]</f>
        <v>43422</v>
      </c>
    </row>
    <row r="237" spans="1:114" x14ac:dyDescent="0.2">
      <c r="A237" s="2">
        <v>43376</v>
      </c>
      <c r="B237" t="s">
        <v>46</v>
      </c>
      <c r="C237" t="s">
        <v>528</v>
      </c>
      <c r="D237" t="s">
        <v>529</v>
      </c>
      <c r="F237" t="s">
        <v>957</v>
      </c>
      <c r="H237" t="s">
        <v>285</v>
      </c>
      <c r="I237" t="s">
        <v>286</v>
      </c>
      <c r="J237" t="s">
        <v>287</v>
      </c>
      <c r="K237" t="s">
        <v>288</v>
      </c>
      <c r="N237" s="2">
        <v>43430</v>
      </c>
      <c r="R237">
        <v>1</v>
      </c>
      <c r="T237">
        <v>-22250778.829999998</v>
      </c>
      <c r="V237">
        <v>0</v>
      </c>
      <c r="W237">
        <v>0</v>
      </c>
      <c r="X237">
        <v>0</v>
      </c>
      <c r="Z237">
        <v>0</v>
      </c>
      <c r="AA237">
        <v>0</v>
      </c>
      <c r="AB237">
        <v>-1.029712E-4</v>
      </c>
      <c r="AC237" t="s">
        <v>957</v>
      </c>
      <c r="AE237" t="s">
        <v>932</v>
      </c>
      <c r="AF237" t="s">
        <v>532</v>
      </c>
      <c r="AG237" t="s">
        <v>532</v>
      </c>
      <c r="AH237" t="s">
        <v>533</v>
      </c>
      <c r="AI237" t="s">
        <v>285</v>
      </c>
      <c r="AJ237" t="s">
        <v>534</v>
      </c>
      <c r="AK237" t="s">
        <v>529</v>
      </c>
      <c r="AM237" t="s">
        <v>287</v>
      </c>
      <c r="AN237" t="s">
        <v>433</v>
      </c>
      <c r="AO237" t="s">
        <v>292</v>
      </c>
      <c r="AP237" t="s">
        <v>333</v>
      </c>
      <c r="AQ237" t="s">
        <v>318</v>
      </c>
      <c r="AR237" t="s">
        <v>292</v>
      </c>
      <c r="AS237" t="s">
        <v>292</v>
      </c>
      <c r="AT237" t="s">
        <v>292</v>
      </c>
      <c r="AU237" t="s">
        <v>292</v>
      </c>
      <c r="AV237" t="s">
        <v>292</v>
      </c>
      <c r="AY237" t="s">
        <v>296</v>
      </c>
      <c r="AZ237" t="s">
        <v>297</v>
      </c>
      <c r="BA237" t="s">
        <v>286</v>
      </c>
      <c r="BB237" t="s">
        <v>292</v>
      </c>
      <c r="BC237" t="s">
        <v>288</v>
      </c>
      <c r="BD237" t="s">
        <v>292</v>
      </c>
      <c r="BE237" t="s">
        <v>298</v>
      </c>
      <c r="BF237" t="s">
        <v>299</v>
      </c>
      <c r="BG237" t="s">
        <v>288</v>
      </c>
      <c r="BH237">
        <v>2</v>
      </c>
      <c r="BI237" t="s">
        <v>300</v>
      </c>
      <c r="BJ237" t="s">
        <v>300</v>
      </c>
      <c r="CK237" t="s">
        <v>560</v>
      </c>
      <c r="CL237" t="s">
        <v>561</v>
      </c>
      <c r="CM237" t="s">
        <v>9</v>
      </c>
      <c r="CN237" s="2">
        <v>2</v>
      </c>
      <c r="CO237" t="s">
        <v>292</v>
      </c>
      <c r="CP237" t="s">
        <v>303</v>
      </c>
      <c r="CQ237" t="s">
        <v>303</v>
      </c>
      <c r="CR237" t="s">
        <v>304</v>
      </c>
      <c r="CS237" t="s">
        <v>636</v>
      </c>
      <c r="CT237">
        <v>52000</v>
      </c>
      <c r="CU237" t="b">
        <v>0</v>
      </c>
      <c r="CV237" t="s">
        <v>292</v>
      </c>
      <c r="CW237" t="s">
        <v>292</v>
      </c>
      <c r="CX237" t="s">
        <v>292</v>
      </c>
      <c r="CY237" t="b">
        <v>0</v>
      </c>
      <c r="CZ237" t="b">
        <v>0</v>
      </c>
      <c r="DC237" t="s">
        <v>292</v>
      </c>
      <c r="DD237">
        <v>-50775000</v>
      </c>
      <c r="DE237">
        <v>22250778.829999998</v>
      </c>
      <c r="DF237" t="s">
        <v>636</v>
      </c>
      <c r="DG237">
        <v>50775000</v>
      </c>
      <c r="DH237" t="s">
        <v>318</v>
      </c>
      <c r="DI237">
        <v>1</v>
      </c>
      <c r="DJ237">
        <f>DataTable[HLD_MaturityDate] - DataTable[SEC_Issue_Date]</f>
        <v>43428</v>
      </c>
    </row>
    <row r="238" spans="1:114" x14ac:dyDescent="0.2">
      <c r="A238" s="2">
        <v>43376</v>
      </c>
      <c r="B238" t="s">
        <v>46</v>
      </c>
      <c r="C238" t="s">
        <v>528</v>
      </c>
      <c r="D238" t="s">
        <v>529</v>
      </c>
      <c r="F238" t="s">
        <v>958</v>
      </c>
      <c r="H238" t="s">
        <v>285</v>
      </c>
      <c r="I238" t="s">
        <v>286</v>
      </c>
      <c r="J238" t="s">
        <v>287</v>
      </c>
      <c r="K238" t="s">
        <v>288</v>
      </c>
      <c r="N238" s="2">
        <v>43389</v>
      </c>
      <c r="R238">
        <v>1</v>
      </c>
      <c r="T238">
        <v>30809014.390000001</v>
      </c>
      <c r="V238">
        <v>0</v>
      </c>
      <c r="W238">
        <v>0</v>
      </c>
      <c r="X238">
        <v>0</v>
      </c>
      <c r="Z238">
        <v>0</v>
      </c>
      <c r="AA238">
        <v>0</v>
      </c>
      <c r="AB238">
        <v>1.4257660000000001E-4</v>
      </c>
      <c r="AC238" t="s">
        <v>958</v>
      </c>
      <c r="AE238" t="s">
        <v>928</v>
      </c>
      <c r="AF238" t="s">
        <v>532</v>
      </c>
      <c r="AG238" t="s">
        <v>532</v>
      </c>
      <c r="AH238" t="s">
        <v>533</v>
      </c>
      <c r="AI238" t="s">
        <v>285</v>
      </c>
      <c r="AJ238" t="s">
        <v>534</v>
      </c>
      <c r="AK238" t="s">
        <v>529</v>
      </c>
      <c r="AM238" t="s">
        <v>287</v>
      </c>
      <c r="AN238" t="s">
        <v>433</v>
      </c>
      <c r="AO238" t="s">
        <v>292</v>
      </c>
      <c r="AP238" t="s">
        <v>333</v>
      </c>
      <c r="AQ238" t="s">
        <v>318</v>
      </c>
      <c r="AR238" t="s">
        <v>292</v>
      </c>
      <c r="AS238" t="s">
        <v>292</v>
      </c>
      <c r="AT238" t="s">
        <v>292</v>
      </c>
      <c r="AU238" t="s">
        <v>292</v>
      </c>
      <c r="AV238" t="s">
        <v>292</v>
      </c>
      <c r="AY238" t="s">
        <v>296</v>
      </c>
      <c r="AZ238" t="s">
        <v>297</v>
      </c>
      <c r="BA238" t="s">
        <v>286</v>
      </c>
      <c r="BB238" t="s">
        <v>292</v>
      </c>
      <c r="BC238" t="s">
        <v>288</v>
      </c>
      <c r="BD238" t="s">
        <v>292</v>
      </c>
      <c r="BE238" t="s">
        <v>298</v>
      </c>
      <c r="BF238" t="s">
        <v>299</v>
      </c>
      <c r="BG238" t="s">
        <v>288</v>
      </c>
      <c r="BH238">
        <v>2</v>
      </c>
      <c r="BI238" t="s">
        <v>300</v>
      </c>
      <c r="BJ238" t="s">
        <v>300</v>
      </c>
      <c r="CK238" t="s">
        <v>560</v>
      </c>
      <c r="CL238" t="s">
        <v>561</v>
      </c>
      <c r="CM238" t="s">
        <v>9</v>
      </c>
      <c r="CN238" s="2">
        <v>2</v>
      </c>
      <c r="CO238" t="s">
        <v>292</v>
      </c>
      <c r="CP238" t="s">
        <v>303</v>
      </c>
      <c r="CQ238" t="s">
        <v>303</v>
      </c>
      <c r="CR238" t="s">
        <v>304</v>
      </c>
      <c r="CS238" t="s">
        <v>365</v>
      </c>
      <c r="CT238">
        <v>52000</v>
      </c>
      <c r="CU238" t="b">
        <v>0</v>
      </c>
      <c r="CV238" t="s">
        <v>292</v>
      </c>
      <c r="CW238" t="s">
        <v>292</v>
      </c>
      <c r="CX238" t="s">
        <v>292</v>
      </c>
      <c r="CY238" t="b">
        <v>0</v>
      </c>
      <c r="CZ238" t="b">
        <v>0</v>
      </c>
      <c r="DC238" t="s">
        <v>292</v>
      </c>
      <c r="DD238">
        <v>-51206666.670000002</v>
      </c>
      <c r="DE238">
        <v>-30809014.390000001</v>
      </c>
      <c r="DF238" t="s">
        <v>365</v>
      </c>
      <c r="DG238">
        <v>51206666.670000002</v>
      </c>
      <c r="DH238" t="s">
        <v>318</v>
      </c>
      <c r="DI238">
        <v>1</v>
      </c>
      <c r="DJ238">
        <f>DataTable[HLD_MaturityDate] - DataTable[SEC_Issue_Date]</f>
        <v>43387</v>
      </c>
    </row>
    <row r="239" spans="1:114" x14ac:dyDescent="0.2">
      <c r="A239" s="2">
        <v>43376</v>
      </c>
      <c r="B239" t="s">
        <v>46</v>
      </c>
      <c r="C239" t="s">
        <v>528</v>
      </c>
      <c r="D239" t="s">
        <v>529</v>
      </c>
      <c r="F239" t="s">
        <v>959</v>
      </c>
      <c r="H239" t="s">
        <v>285</v>
      </c>
      <c r="I239" t="s">
        <v>286</v>
      </c>
      <c r="J239" t="s">
        <v>287</v>
      </c>
      <c r="K239" t="s">
        <v>288</v>
      </c>
      <c r="N239" s="2">
        <v>43389</v>
      </c>
      <c r="R239">
        <v>1</v>
      </c>
      <c r="T239">
        <v>28982560.719999999</v>
      </c>
      <c r="V239">
        <v>0</v>
      </c>
      <c r="W239">
        <v>0</v>
      </c>
      <c r="X239">
        <v>0</v>
      </c>
      <c r="Z239">
        <v>0</v>
      </c>
      <c r="AA239">
        <v>0</v>
      </c>
      <c r="AB239">
        <v>1.3412419999999999E-4</v>
      </c>
      <c r="AC239" t="s">
        <v>959</v>
      </c>
      <c r="AE239" t="s">
        <v>932</v>
      </c>
      <c r="AF239" t="s">
        <v>532</v>
      </c>
      <c r="AG239" t="s">
        <v>532</v>
      </c>
      <c r="AH239" t="s">
        <v>533</v>
      </c>
      <c r="AI239" t="s">
        <v>285</v>
      </c>
      <c r="AJ239" t="s">
        <v>534</v>
      </c>
      <c r="AK239" t="s">
        <v>529</v>
      </c>
      <c r="AM239" t="s">
        <v>287</v>
      </c>
      <c r="AN239" t="s">
        <v>433</v>
      </c>
      <c r="AO239" t="s">
        <v>292</v>
      </c>
      <c r="AP239" t="s">
        <v>333</v>
      </c>
      <c r="AQ239" t="s">
        <v>318</v>
      </c>
      <c r="AR239" t="s">
        <v>292</v>
      </c>
      <c r="AS239" t="s">
        <v>292</v>
      </c>
      <c r="AT239" t="s">
        <v>292</v>
      </c>
      <c r="AU239" t="s">
        <v>292</v>
      </c>
      <c r="AV239" t="s">
        <v>292</v>
      </c>
      <c r="AY239" t="s">
        <v>296</v>
      </c>
      <c r="AZ239" t="s">
        <v>297</v>
      </c>
      <c r="BA239" t="s">
        <v>286</v>
      </c>
      <c r="BB239" t="s">
        <v>292</v>
      </c>
      <c r="BC239" t="s">
        <v>288</v>
      </c>
      <c r="BD239" t="s">
        <v>292</v>
      </c>
      <c r="BE239" t="s">
        <v>298</v>
      </c>
      <c r="BF239" t="s">
        <v>299</v>
      </c>
      <c r="BG239" t="s">
        <v>288</v>
      </c>
      <c r="BH239">
        <v>2</v>
      </c>
      <c r="BI239" t="s">
        <v>300</v>
      </c>
      <c r="BJ239" t="s">
        <v>300</v>
      </c>
      <c r="CK239" t="s">
        <v>560</v>
      </c>
      <c r="CL239" t="s">
        <v>561</v>
      </c>
      <c r="CM239" t="s">
        <v>9</v>
      </c>
      <c r="CN239" s="2">
        <v>2</v>
      </c>
      <c r="CO239" t="s">
        <v>292</v>
      </c>
      <c r="CP239" t="s">
        <v>303</v>
      </c>
      <c r="CQ239" t="s">
        <v>303</v>
      </c>
      <c r="CR239" t="s">
        <v>304</v>
      </c>
      <c r="CS239" t="s">
        <v>392</v>
      </c>
      <c r="CT239">
        <v>52000</v>
      </c>
      <c r="CU239" t="b">
        <v>0</v>
      </c>
      <c r="CV239" t="s">
        <v>292</v>
      </c>
      <c r="CW239" t="s">
        <v>292</v>
      </c>
      <c r="CX239" t="s">
        <v>292</v>
      </c>
      <c r="CY239" t="b">
        <v>0</v>
      </c>
      <c r="CZ239" t="b">
        <v>0</v>
      </c>
      <c r="DC239" t="s">
        <v>292</v>
      </c>
      <c r="DD239">
        <v>-40299733.329999998</v>
      </c>
      <c r="DE239">
        <v>-28982560.719999999</v>
      </c>
      <c r="DF239" t="s">
        <v>392</v>
      </c>
      <c r="DG239">
        <v>40299733.329999998</v>
      </c>
      <c r="DH239" t="s">
        <v>318</v>
      </c>
      <c r="DI239">
        <v>1</v>
      </c>
      <c r="DJ239">
        <f>DataTable[HLD_MaturityDate] - DataTable[SEC_Issue_Date]</f>
        <v>43387</v>
      </c>
    </row>
    <row r="240" spans="1:114" x14ac:dyDescent="0.2">
      <c r="A240" s="2">
        <v>43376</v>
      </c>
      <c r="B240" t="s">
        <v>46</v>
      </c>
      <c r="C240" t="s">
        <v>528</v>
      </c>
      <c r="D240" t="s">
        <v>529</v>
      </c>
      <c r="F240" t="s">
        <v>960</v>
      </c>
      <c r="H240" t="s">
        <v>285</v>
      </c>
      <c r="I240" t="s">
        <v>286</v>
      </c>
      <c r="J240" t="s">
        <v>287</v>
      </c>
      <c r="K240" t="s">
        <v>288</v>
      </c>
      <c r="N240" s="2">
        <v>43398</v>
      </c>
      <c r="R240">
        <v>1</v>
      </c>
      <c r="T240">
        <v>-44274886.07</v>
      </c>
      <c r="V240">
        <v>0</v>
      </c>
      <c r="W240">
        <v>0</v>
      </c>
      <c r="X240">
        <v>0</v>
      </c>
      <c r="Z240">
        <v>0</v>
      </c>
      <c r="AA240">
        <v>0</v>
      </c>
      <c r="AB240">
        <v>-2.0489330000000001E-4</v>
      </c>
      <c r="AC240" t="s">
        <v>960</v>
      </c>
      <c r="AE240" t="s">
        <v>932</v>
      </c>
      <c r="AF240" t="s">
        <v>532</v>
      </c>
      <c r="AG240" t="s">
        <v>532</v>
      </c>
      <c r="AH240" t="s">
        <v>533</v>
      </c>
      <c r="AI240" t="s">
        <v>285</v>
      </c>
      <c r="AJ240" t="s">
        <v>534</v>
      </c>
      <c r="AK240" t="s">
        <v>529</v>
      </c>
      <c r="AM240" t="s">
        <v>287</v>
      </c>
      <c r="AN240" t="s">
        <v>433</v>
      </c>
      <c r="AO240" t="s">
        <v>292</v>
      </c>
      <c r="AP240" t="s">
        <v>333</v>
      </c>
      <c r="AQ240" t="s">
        <v>318</v>
      </c>
      <c r="AR240" t="s">
        <v>292</v>
      </c>
      <c r="AS240" t="s">
        <v>292</v>
      </c>
      <c r="AT240" t="s">
        <v>292</v>
      </c>
      <c r="AU240" t="s">
        <v>292</v>
      </c>
      <c r="AV240" t="s">
        <v>292</v>
      </c>
      <c r="AY240" t="s">
        <v>296</v>
      </c>
      <c r="AZ240" t="s">
        <v>297</v>
      </c>
      <c r="BA240" t="s">
        <v>286</v>
      </c>
      <c r="BB240" t="s">
        <v>292</v>
      </c>
      <c r="BC240" t="s">
        <v>288</v>
      </c>
      <c r="BD240" t="s">
        <v>292</v>
      </c>
      <c r="BE240" t="s">
        <v>298</v>
      </c>
      <c r="BF240" t="s">
        <v>299</v>
      </c>
      <c r="BG240" t="s">
        <v>288</v>
      </c>
      <c r="BH240">
        <v>2</v>
      </c>
      <c r="BI240" t="s">
        <v>300</v>
      </c>
      <c r="BJ240" t="s">
        <v>300</v>
      </c>
      <c r="CK240" t="s">
        <v>560</v>
      </c>
      <c r="CL240" t="s">
        <v>561</v>
      </c>
      <c r="CM240" t="s">
        <v>9</v>
      </c>
      <c r="CN240" s="2">
        <v>2</v>
      </c>
      <c r="CO240" t="s">
        <v>292</v>
      </c>
      <c r="CP240" t="s">
        <v>303</v>
      </c>
      <c r="CQ240" t="s">
        <v>303</v>
      </c>
      <c r="CR240" t="s">
        <v>304</v>
      </c>
      <c r="CS240" t="s">
        <v>633</v>
      </c>
      <c r="CT240">
        <v>52000</v>
      </c>
      <c r="CU240" t="b">
        <v>0</v>
      </c>
      <c r="CV240" t="s">
        <v>292</v>
      </c>
      <c r="CW240" t="s">
        <v>292</v>
      </c>
      <c r="CX240" t="s">
        <v>292</v>
      </c>
      <c r="CY240" t="b">
        <v>0</v>
      </c>
      <c r="CZ240" t="b">
        <v>0</v>
      </c>
      <c r="DC240" t="s">
        <v>292</v>
      </c>
      <c r="DD240">
        <v>-40610000</v>
      </c>
      <c r="DE240">
        <v>44274886.07</v>
      </c>
      <c r="DF240" t="s">
        <v>633</v>
      </c>
      <c r="DG240">
        <v>40610000</v>
      </c>
      <c r="DH240" t="s">
        <v>318</v>
      </c>
      <c r="DI240">
        <v>1</v>
      </c>
      <c r="DJ240">
        <f>DataTable[HLD_MaturityDate] - DataTable[SEC_Issue_Date]</f>
        <v>43396</v>
      </c>
    </row>
    <row r="241" spans="1:114" x14ac:dyDescent="0.2">
      <c r="A241" s="2">
        <v>43376</v>
      </c>
      <c r="B241" t="s">
        <v>46</v>
      </c>
      <c r="C241" t="s">
        <v>528</v>
      </c>
      <c r="D241" t="s">
        <v>529</v>
      </c>
      <c r="F241" t="s">
        <v>961</v>
      </c>
      <c r="H241" t="s">
        <v>285</v>
      </c>
      <c r="I241" t="s">
        <v>286</v>
      </c>
      <c r="J241" t="s">
        <v>287</v>
      </c>
      <c r="K241" t="s">
        <v>288</v>
      </c>
      <c r="N241" s="2">
        <v>43473</v>
      </c>
      <c r="R241">
        <v>1</v>
      </c>
      <c r="T241">
        <v>-24983286.98</v>
      </c>
      <c r="V241">
        <v>0</v>
      </c>
      <c r="W241">
        <v>0</v>
      </c>
      <c r="X241">
        <v>0</v>
      </c>
      <c r="Z241">
        <v>0</v>
      </c>
      <c r="AA241">
        <v>0</v>
      </c>
      <c r="AB241">
        <v>-1.1561649999999999E-4</v>
      </c>
      <c r="AC241" t="s">
        <v>961</v>
      </c>
      <c r="AE241" t="s">
        <v>928</v>
      </c>
      <c r="AF241" t="s">
        <v>532</v>
      </c>
      <c r="AG241" t="s">
        <v>532</v>
      </c>
      <c r="AH241" t="s">
        <v>533</v>
      </c>
      <c r="AI241" t="s">
        <v>285</v>
      </c>
      <c r="AJ241" t="s">
        <v>534</v>
      </c>
      <c r="AK241" t="s">
        <v>529</v>
      </c>
      <c r="AM241" t="s">
        <v>287</v>
      </c>
      <c r="AN241" t="s">
        <v>433</v>
      </c>
      <c r="AO241" t="s">
        <v>292</v>
      </c>
      <c r="AP241" t="s">
        <v>333</v>
      </c>
      <c r="AQ241" t="s">
        <v>318</v>
      </c>
      <c r="AR241" t="s">
        <v>292</v>
      </c>
      <c r="AS241" t="s">
        <v>292</v>
      </c>
      <c r="AT241" t="s">
        <v>292</v>
      </c>
      <c r="AU241" t="s">
        <v>292</v>
      </c>
      <c r="AV241" t="s">
        <v>292</v>
      </c>
      <c r="AY241" t="s">
        <v>296</v>
      </c>
      <c r="AZ241" t="s">
        <v>297</v>
      </c>
      <c r="BA241" t="s">
        <v>286</v>
      </c>
      <c r="BB241" t="s">
        <v>292</v>
      </c>
      <c r="BC241" t="s">
        <v>288</v>
      </c>
      <c r="BD241" t="s">
        <v>292</v>
      </c>
      <c r="BE241" t="s">
        <v>298</v>
      </c>
      <c r="BF241" t="s">
        <v>299</v>
      </c>
      <c r="BG241" t="s">
        <v>288</v>
      </c>
      <c r="BH241">
        <v>2</v>
      </c>
      <c r="BI241" t="s">
        <v>300</v>
      </c>
      <c r="BJ241" t="s">
        <v>300</v>
      </c>
      <c r="CK241" t="s">
        <v>560</v>
      </c>
      <c r="CL241" t="s">
        <v>561</v>
      </c>
      <c r="CM241" t="s">
        <v>9</v>
      </c>
      <c r="CN241" s="2">
        <v>2</v>
      </c>
      <c r="CO241" t="s">
        <v>292</v>
      </c>
      <c r="CP241" t="s">
        <v>303</v>
      </c>
      <c r="CQ241" t="s">
        <v>303</v>
      </c>
      <c r="CR241" t="s">
        <v>304</v>
      </c>
      <c r="CS241" t="s">
        <v>615</v>
      </c>
      <c r="CT241">
        <v>52000</v>
      </c>
      <c r="CU241" t="b">
        <v>0</v>
      </c>
      <c r="CV241" t="s">
        <v>292</v>
      </c>
      <c r="CW241" t="s">
        <v>292</v>
      </c>
      <c r="CX241" t="s">
        <v>292</v>
      </c>
      <c r="CY241" t="b">
        <v>0</v>
      </c>
      <c r="CZ241" t="b">
        <v>0</v>
      </c>
      <c r="DC241" t="s">
        <v>292</v>
      </c>
      <c r="DD241">
        <v>-102707083.33</v>
      </c>
      <c r="DE241">
        <v>24983286.98</v>
      </c>
      <c r="DF241" t="s">
        <v>615</v>
      </c>
      <c r="DG241">
        <v>102707083.33</v>
      </c>
      <c r="DH241" t="s">
        <v>318</v>
      </c>
      <c r="DI241">
        <v>1</v>
      </c>
      <c r="DJ241">
        <f>DataTable[HLD_MaturityDate] - DataTable[SEC_Issue_Date]</f>
        <v>43471</v>
      </c>
    </row>
    <row r="242" spans="1:114" x14ac:dyDescent="0.2">
      <c r="A242" s="2">
        <v>43376</v>
      </c>
      <c r="B242" t="s">
        <v>46</v>
      </c>
      <c r="C242" t="s">
        <v>528</v>
      </c>
      <c r="D242" t="s">
        <v>529</v>
      </c>
      <c r="F242" t="s">
        <v>962</v>
      </c>
      <c r="H242" t="s">
        <v>285</v>
      </c>
      <c r="I242" t="s">
        <v>286</v>
      </c>
      <c r="J242" t="s">
        <v>287</v>
      </c>
      <c r="K242" t="s">
        <v>288</v>
      </c>
      <c r="N242" s="2">
        <v>43474</v>
      </c>
      <c r="R242">
        <v>1</v>
      </c>
      <c r="T242">
        <v>-36939078.07</v>
      </c>
      <c r="V242">
        <v>0</v>
      </c>
      <c r="W242">
        <v>0</v>
      </c>
      <c r="X242">
        <v>0</v>
      </c>
      <c r="Z242">
        <v>0</v>
      </c>
      <c r="AA242">
        <v>0</v>
      </c>
      <c r="AB242">
        <v>-1.7094500000000001E-4</v>
      </c>
      <c r="AC242" t="s">
        <v>962</v>
      </c>
      <c r="AE242" t="s">
        <v>928</v>
      </c>
      <c r="AF242" t="s">
        <v>532</v>
      </c>
      <c r="AG242" t="s">
        <v>532</v>
      </c>
      <c r="AH242" t="s">
        <v>533</v>
      </c>
      <c r="AI242" t="s">
        <v>285</v>
      </c>
      <c r="AJ242" t="s">
        <v>534</v>
      </c>
      <c r="AK242" t="s">
        <v>529</v>
      </c>
      <c r="AM242" t="s">
        <v>287</v>
      </c>
      <c r="AN242" t="s">
        <v>433</v>
      </c>
      <c r="AO242" t="s">
        <v>292</v>
      </c>
      <c r="AP242" t="s">
        <v>333</v>
      </c>
      <c r="AQ242" t="s">
        <v>318</v>
      </c>
      <c r="AR242" t="s">
        <v>292</v>
      </c>
      <c r="AS242" t="s">
        <v>292</v>
      </c>
      <c r="AT242" t="s">
        <v>292</v>
      </c>
      <c r="AU242" t="s">
        <v>292</v>
      </c>
      <c r="AV242" t="s">
        <v>292</v>
      </c>
      <c r="AY242" t="s">
        <v>296</v>
      </c>
      <c r="AZ242" t="s">
        <v>297</v>
      </c>
      <c r="BA242" t="s">
        <v>286</v>
      </c>
      <c r="BB242" t="s">
        <v>292</v>
      </c>
      <c r="BC242" t="s">
        <v>288</v>
      </c>
      <c r="BD242" t="s">
        <v>292</v>
      </c>
      <c r="BE242" t="s">
        <v>298</v>
      </c>
      <c r="BF242" t="s">
        <v>299</v>
      </c>
      <c r="BG242" t="s">
        <v>288</v>
      </c>
      <c r="BH242">
        <v>2</v>
      </c>
      <c r="BI242" t="s">
        <v>300</v>
      </c>
      <c r="BJ242" t="s">
        <v>300</v>
      </c>
      <c r="CK242" t="s">
        <v>560</v>
      </c>
      <c r="CL242" t="s">
        <v>561</v>
      </c>
      <c r="CM242" t="s">
        <v>9</v>
      </c>
      <c r="CN242" s="2">
        <v>2</v>
      </c>
      <c r="CO242" t="s">
        <v>292</v>
      </c>
      <c r="CP242" t="s">
        <v>303</v>
      </c>
      <c r="CQ242" t="s">
        <v>303</v>
      </c>
      <c r="CR242" t="s">
        <v>304</v>
      </c>
      <c r="CS242" t="s">
        <v>616</v>
      </c>
      <c r="CT242">
        <v>52000</v>
      </c>
      <c r="CU242" t="b">
        <v>0</v>
      </c>
      <c r="CV242" t="s">
        <v>292</v>
      </c>
      <c r="CW242" t="s">
        <v>292</v>
      </c>
      <c r="CX242" t="s">
        <v>292</v>
      </c>
      <c r="CY242" t="b">
        <v>0</v>
      </c>
      <c r="CZ242" t="b">
        <v>0</v>
      </c>
      <c r="DC242" t="s">
        <v>292</v>
      </c>
      <c r="DD242">
        <v>-100652941.66</v>
      </c>
      <c r="DE242">
        <v>36939078.07</v>
      </c>
      <c r="DF242" t="s">
        <v>616</v>
      </c>
      <c r="DG242">
        <v>100652941.66</v>
      </c>
      <c r="DH242" t="s">
        <v>318</v>
      </c>
      <c r="DI242">
        <v>1</v>
      </c>
      <c r="DJ242">
        <f>DataTable[HLD_MaturityDate] - DataTable[SEC_Issue_Date]</f>
        <v>43472</v>
      </c>
    </row>
    <row r="243" spans="1:114" x14ac:dyDescent="0.2">
      <c r="A243" s="2">
        <v>43376</v>
      </c>
      <c r="B243" t="s">
        <v>46</v>
      </c>
      <c r="C243" t="s">
        <v>528</v>
      </c>
      <c r="D243" t="s">
        <v>529</v>
      </c>
      <c r="F243" t="s">
        <v>963</v>
      </c>
      <c r="H243" t="s">
        <v>540</v>
      </c>
      <c r="I243" t="s">
        <v>286</v>
      </c>
      <c r="J243" t="s">
        <v>287</v>
      </c>
      <c r="K243" t="s">
        <v>541</v>
      </c>
      <c r="N243" s="2">
        <v>43481</v>
      </c>
      <c r="R243">
        <v>1</v>
      </c>
      <c r="T243">
        <v>-11098190</v>
      </c>
      <c r="V243">
        <v>0</v>
      </c>
      <c r="W243">
        <v>0</v>
      </c>
      <c r="X243">
        <v>0</v>
      </c>
      <c r="Z243">
        <v>0</v>
      </c>
      <c r="AA243">
        <v>0</v>
      </c>
      <c r="AB243">
        <v>-5.1359700000000002E-5</v>
      </c>
      <c r="AC243" t="s">
        <v>963</v>
      </c>
      <c r="AE243" t="s">
        <v>954</v>
      </c>
      <c r="AF243" t="s">
        <v>532</v>
      </c>
      <c r="AG243" t="s">
        <v>532</v>
      </c>
      <c r="AH243" t="s">
        <v>533</v>
      </c>
      <c r="AI243" t="s">
        <v>540</v>
      </c>
      <c r="AJ243" t="s">
        <v>534</v>
      </c>
      <c r="AK243" t="s">
        <v>529</v>
      </c>
      <c r="AM243" t="s">
        <v>287</v>
      </c>
      <c r="AN243" t="s">
        <v>433</v>
      </c>
      <c r="AO243" t="s">
        <v>292</v>
      </c>
      <c r="AP243" t="s">
        <v>333</v>
      </c>
      <c r="AQ243" t="s">
        <v>318</v>
      </c>
      <c r="AR243" t="s">
        <v>292</v>
      </c>
      <c r="AS243" t="s">
        <v>292</v>
      </c>
      <c r="AT243" t="s">
        <v>292</v>
      </c>
      <c r="AU243" t="s">
        <v>292</v>
      </c>
      <c r="AV243" t="s">
        <v>292</v>
      </c>
      <c r="AY243" t="s">
        <v>543</v>
      </c>
      <c r="AZ243" t="s">
        <v>544</v>
      </c>
      <c r="BA243" t="s">
        <v>286</v>
      </c>
      <c r="BB243" t="s">
        <v>541</v>
      </c>
      <c r="BC243" t="s">
        <v>292</v>
      </c>
      <c r="BD243" t="s">
        <v>292</v>
      </c>
      <c r="BE243" t="s">
        <v>292</v>
      </c>
      <c r="BF243" t="s">
        <v>292</v>
      </c>
      <c r="BG243" t="s">
        <v>541</v>
      </c>
      <c r="BH243">
        <v>7</v>
      </c>
      <c r="BI243" t="s">
        <v>300</v>
      </c>
      <c r="BJ243" t="s">
        <v>300</v>
      </c>
      <c r="CK243" t="s">
        <v>560</v>
      </c>
      <c r="CL243" t="s">
        <v>561</v>
      </c>
      <c r="CM243" t="s">
        <v>9</v>
      </c>
      <c r="CN243" s="2">
        <v>2</v>
      </c>
      <c r="CO243" t="s">
        <v>292</v>
      </c>
      <c r="CP243" t="s">
        <v>303</v>
      </c>
      <c r="CQ243" t="s">
        <v>303</v>
      </c>
      <c r="CR243" t="s">
        <v>304</v>
      </c>
      <c r="CS243" t="s">
        <v>580</v>
      </c>
      <c r="CT243">
        <v>16000</v>
      </c>
      <c r="CU243" t="b">
        <v>0</v>
      </c>
      <c r="CV243" t="s">
        <v>292</v>
      </c>
      <c r="CW243" t="s">
        <v>292</v>
      </c>
      <c r="CX243" t="s">
        <v>292</v>
      </c>
      <c r="CY243" t="b">
        <v>0</v>
      </c>
      <c r="CZ243" t="b">
        <v>0</v>
      </c>
      <c r="DC243" t="s">
        <v>292</v>
      </c>
      <c r="DD243">
        <v>-30760416.670000002</v>
      </c>
      <c r="DE243">
        <v>11098190</v>
      </c>
      <c r="DF243" t="s">
        <v>580</v>
      </c>
      <c r="DG243">
        <v>30760416.670000002</v>
      </c>
      <c r="DH243" t="s">
        <v>318</v>
      </c>
      <c r="DI243">
        <v>1</v>
      </c>
      <c r="DJ243">
        <f>DataTable[HLD_MaturityDate] - DataTable[SEC_Issue_Date]</f>
        <v>43479</v>
      </c>
    </row>
    <row r="244" spans="1:114" x14ac:dyDescent="0.2">
      <c r="A244" s="2">
        <v>43376</v>
      </c>
      <c r="B244" t="s">
        <v>46</v>
      </c>
      <c r="C244" t="s">
        <v>528</v>
      </c>
      <c r="D244" t="s">
        <v>529</v>
      </c>
      <c r="F244" t="s">
        <v>964</v>
      </c>
      <c r="H244" t="s">
        <v>540</v>
      </c>
      <c r="I244" t="s">
        <v>286</v>
      </c>
      <c r="J244" t="s">
        <v>287</v>
      </c>
      <c r="K244" t="s">
        <v>541</v>
      </c>
      <c r="N244" s="2">
        <v>43504</v>
      </c>
      <c r="R244">
        <v>1</v>
      </c>
      <c r="T244">
        <v>-45879624.899999999</v>
      </c>
      <c r="V244">
        <v>0</v>
      </c>
      <c r="W244">
        <v>0</v>
      </c>
      <c r="X244">
        <v>0</v>
      </c>
      <c r="Z244">
        <v>0</v>
      </c>
      <c r="AA244">
        <v>0</v>
      </c>
      <c r="AB244">
        <v>-2.1231970000000001E-4</v>
      </c>
      <c r="AC244" t="s">
        <v>964</v>
      </c>
      <c r="AE244" t="s">
        <v>939</v>
      </c>
      <c r="AF244" t="s">
        <v>532</v>
      </c>
      <c r="AG244" t="s">
        <v>532</v>
      </c>
      <c r="AH244" t="s">
        <v>533</v>
      </c>
      <c r="AI244" t="s">
        <v>540</v>
      </c>
      <c r="AJ244" t="s">
        <v>534</v>
      </c>
      <c r="AK244" t="s">
        <v>529</v>
      </c>
      <c r="AM244" t="s">
        <v>287</v>
      </c>
      <c r="AN244" t="s">
        <v>433</v>
      </c>
      <c r="AO244" t="s">
        <v>292</v>
      </c>
      <c r="AP244" t="s">
        <v>333</v>
      </c>
      <c r="AQ244" t="s">
        <v>318</v>
      </c>
      <c r="AR244" t="s">
        <v>292</v>
      </c>
      <c r="AS244" t="s">
        <v>292</v>
      </c>
      <c r="AT244" t="s">
        <v>292</v>
      </c>
      <c r="AU244" t="s">
        <v>292</v>
      </c>
      <c r="AV244" t="s">
        <v>292</v>
      </c>
      <c r="AY244" t="s">
        <v>543</v>
      </c>
      <c r="AZ244" t="s">
        <v>544</v>
      </c>
      <c r="BA244" t="s">
        <v>286</v>
      </c>
      <c r="BB244" t="s">
        <v>541</v>
      </c>
      <c r="BC244" t="s">
        <v>292</v>
      </c>
      <c r="BD244" t="s">
        <v>292</v>
      </c>
      <c r="BE244" t="s">
        <v>292</v>
      </c>
      <c r="BF244" t="s">
        <v>292</v>
      </c>
      <c r="BG244" t="s">
        <v>541</v>
      </c>
      <c r="BH244">
        <v>7</v>
      </c>
      <c r="BI244" t="s">
        <v>300</v>
      </c>
      <c r="BJ244" t="s">
        <v>300</v>
      </c>
      <c r="CK244" t="s">
        <v>560</v>
      </c>
      <c r="CL244" t="s">
        <v>561</v>
      </c>
      <c r="CM244" t="s">
        <v>9</v>
      </c>
      <c r="CN244" s="2">
        <v>2</v>
      </c>
      <c r="CO244" t="s">
        <v>292</v>
      </c>
      <c r="CP244" t="s">
        <v>303</v>
      </c>
      <c r="CQ244" t="s">
        <v>303</v>
      </c>
      <c r="CR244" t="s">
        <v>304</v>
      </c>
      <c r="CS244" t="s">
        <v>595</v>
      </c>
      <c r="CT244">
        <v>16000</v>
      </c>
      <c r="CU244" t="b">
        <v>0</v>
      </c>
      <c r="CV244" t="s">
        <v>292</v>
      </c>
      <c r="CW244" t="s">
        <v>292</v>
      </c>
      <c r="CX244" t="s">
        <v>292</v>
      </c>
      <c r="CY244" t="b">
        <v>0</v>
      </c>
      <c r="CZ244" t="b">
        <v>0</v>
      </c>
      <c r="DC244" t="s">
        <v>292</v>
      </c>
      <c r="DD244">
        <v>-51415555.560000002</v>
      </c>
      <c r="DE244">
        <v>45879624.899999999</v>
      </c>
      <c r="DF244" t="s">
        <v>595</v>
      </c>
      <c r="DG244">
        <v>51415555.560000002</v>
      </c>
      <c r="DH244" t="s">
        <v>318</v>
      </c>
      <c r="DI244">
        <v>1</v>
      </c>
      <c r="DJ244">
        <f>DataTable[HLD_MaturityDate] - DataTable[SEC_Issue_Date]</f>
        <v>43502</v>
      </c>
    </row>
    <row r="245" spans="1:114" x14ac:dyDescent="0.2">
      <c r="A245" s="2">
        <v>43376</v>
      </c>
      <c r="B245" t="s">
        <v>46</v>
      </c>
      <c r="C245" t="s">
        <v>528</v>
      </c>
      <c r="D245" t="s">
        <v>529</v>
      </c>
      <c r="F245" t="s">
        <v>965</v>
      </c>
      <c r="H245" t="s">
        <v>540</v>
      </c>
      <c r="I245" t="s">
        <v>286</v>
      </c>
      <c r="J245" t="s">
        <v>287</v>
      </c>
      <c r="K245" t="s">
        <v>541</v>
      </c>
      <c r="N245" s="2">
        <v>43531</v>
      </c>
      <c r="R245">
        <v>1</v>
      </c>
      <c r="T245">
        <v>-113097792.22</v>
      </c>
      <c r="V245">
        <v>0</v>
      </c>
      <c r="W245">
        <v>0</v>
      </c>
      <c r="X245">
        <v>0</v>
      </c>
      <c r="Z245">
        <v>0</v>
      </c>
      <c r="AA245">
        <v>0</v>
      </c>
      <c r="AB245">
        <v>-5.2338890000000005E-4</v>
      </c>
      <c r="AC245" t="s">
        <v>965</v>
      </c>
      <c r="AE245" t="s">
        <v>939</v>
      </c>
      <c r="AF245" t="s">
        <v>532</v>
      </c>
      <c r="AG245" t="s">
        <v>532</v>
      </c>
      <c r="AH245" t="s">
        <v>533</v>
      </c>
      <c r="AI245" t="s">
        <v>540</v>
      </c>
      <c r="AJ245" t="s">
        <v>534</v>
      </c>
      <c r="AK245" t="s">
        <v>529</v>
      </c>
      <c r="AM245" t="s">
        <v>287</v>
      </c>
      <c r="AN245" t="s">
        <v>433</v>
      </c>
      <c r="AO245" t="s">
        <v>292</v>
      </c>
      <c r="AP245" t="s">
        <v>333</v>
      </c>
      <c r="AQ245" t="s">
        <v>318</v>
      </c>
      <c r="AR245" t="s">
        <v>292</v>
      </c>
      <c r="AS245" t="s">
        <v>292</v>
      </c>
      <c r="AT245" t="s">
        <v>292</v>
      </c>
      <c r="AU245" t="s">
        <v>292</v>
      </c>
      <c r="AV245" t="s">
        <v>292</v>
      </c>
      <c r="AY245" t="s">
        <v>543</v>
      </c>
      <c r="AZ245" t="s">
        <v>544</v>
      </c>
      <c r="BA245" t="s">
        <v>286</v>
      </c>
      <c r="BB245" t="s">
        <v>541</v>
      </c>
      <c r="BC245" t="s">
        <v>292</v>
      </c>
      <c r="BD245" t="s">
        <v>292</v>
      </c>
      <c r="BE245" t="s">
        <v>292</v>
      </c>
      <c r="BF245" t="s">
        <v>292</v>
      </c>
      <c r="BG245" t="s">
        <v>541</v>
      </c>
      <c r="BH245">
        <v>7</v>
      </c>
      <c r="BI245" t="s">
        <v>300</v>
      </c>
      <c r="BJ245" t="s">
        <v>300</v>
      </c>
      <c r="CK245" t="s">
        <v>560</v>
      </c>
      <c r="CL245" t="s">
        <v>561</v>
      </c>
      <c r="CM245" t="s">
        <v>9</v>
      </c>
      <c r="CN245" s="2">
        <v>2</v>
      </c>
      <c r="CO245" t="s">
        <v>292</v>
      </c>
      <c r="CP245" t="s">
        <v>303</v>
      </c>
      <c r="CQ245" t="s">
        <v>303</v>
      </c>
      <c r="CR245" t="s">
        <v>304</v>
      </c>
      <c r="CS245" t="s">
        <v>910</v>
      </c>
      <c r="CT245">
        <v>16000</v>
      </c>
      <c r="CU245" t="b">
        <v>0</v>
      </c>
      <c r="CV245" t="s">
        <v>292</v>
      </c>
      <c r="CW245" t="s">
        <v>292</v>
      </c>
      <c r="CX245" t="s">
        <v>292</v>
      </c>
      <c r="CY245" t="b">
        <v>0</v>
      </c>
      <c r="CZ245" t="b">
        <v>0</v>
      </c>
      <c r="DC245" t="s">
        <v>292</v>
      </c>
      <c r="DD245">
        <v>-102970694.44</v>
      </c>
      <c r="DE245">
        <v>113097792.22</v>
      </c>
      <c r="DF245" t="s">
        <v>910</v>
      </c>
      <c r="DG245">
        <v>102970694.44</v>
      </c>
      <c r="DH245" t="s">
        <v>318</v>
      </c>
      <c r="DI245">
        <v>1</v>
      </c>
      <c r="DJ245">
        <f>DataTable[HLD_MaturityDate] - DataTable[SEC_Issue_Date]</f>
        <v>43529</v>
      </c>
    </row>
    <row r="246" spans="1:114" x14ac:dyDescent="0.2">
      <c r="A246" s="2">
        <v>43376</v>
      </c>
      <c r="B246" t="s">
        <v>46</v>
      </c>
      <c r="C246" t="s">
        <v>528</v>
      </c>
      <c r="D246" t="s">
        <v>529</v>
      </c>
      <c r="F246" t="s">
        <v>966</v>
      </c>
      <c r="H246" t="s">
        <v>285</v>
      </c>
      <c r="I246" t="s">
        <v>286</v>
      </c>
      <c r="J246" t="s">
        <v>287</v>
      </c>
      <c r="K246" t="s">
        <v>288</v>
      </c>
      <c r="N246" s="2">
        <v>43564</v>
      </c>
      <c r="R246">
        <v>1</v>
      </c>
      <c r="T246">
        <v>-139689716.74000001</v>
      </c>
      <c r="V246">
        <v>0</v>
      </c>
      <c r="W246">
        <v>0</v>
      </c>
      <c r="X246">
        <v>0</v>
      </c>
      <c r="Z246">
        <v>0</v>
      </c>
      <c r="AA246">
        <v>0</v>
      </c>
      <c r="AB246">
        <v>-6.4644979999999995E-4</v>
      </c>
      <c r="AC246" t="s">
        <v>966</v>
      </c>
      <c r="AE246" t="s">
        <v>932</v>
      </c>
      <c r="AF246" t="s">
        <v>532</v>
      </c>
      <c r="AG246" t="s">
        <v>532</v>
      </c>
      <c r="AH246" t="s">
        <v>533</v>
      </c>
      <c r="AI246" t="s">
        <v>285</v>
      </c>
      <c r="AJ246" t="s">
        <v>534</v>
      </c>
      <c r="AK246" t="s">
        <v>529</v>
      </c>
      <c r="AM246" t="s">
        <v>287</v>
      </c>
      <c r="AN246" t="s">
        <v>433</v>
      </c>
      <c r="AO246" t="s">
        <v>292</v>
      </c>
      <c r="AP246" t="s">
        <v>333</v>
      </c>
      <c r="AQ246" t="s">
        <v>318</v>
      </c>
      <c r="AR246" t="s">
        <v>292</v>
      </c>
      <c r="AS246" t="s">
        <v>292</v>
      </c>
      <c r="AT246" t="s">
        <v>292</v>
      </c>
      <c r="AU246" t="s">
        <v>292</v>
      </c>
      <c r="AV246" t="s">
        <v>292</v>
      </c>
      <c r="AY246" t="s">
        <v>296</v>
      </c>
      <c r="AZ246" t="s">
        <v>297</v>
      </c>
      <c r="BA246" t="s">
        <v>286</v>
      </c>
      <c r="BB246" t="s">
        <v>292</v>
      </c>
      <c r="BC246" t="s">
        <v>288</v>
      </c>
      <c r="BD246" t="s">
        <v>292</v>
      </c>
      <c r="BE246" t="s">
        <v>298</v>
      </c>
      <c r="BF246" t="s">
        <v>299</v>
      </c>
      <c r="BG246" t="s">
        <v>288</v>
      </c>
      <c r="BH246">
        <v>2</v>
      </c>
      <c r="BI246" t="s">
        <v>300</v>
      </c>
      <c r="BJ246" t="s">
        <v>300</v>
      </c>
      <c r="CK246" t="s">
        <v>560</v>
      </c>
      <c r="CL246" t="s">
        <v>561</v>
      </c>
      <c r="CM246" t="s">
        <v>9</v>
      </c>
      <c r="CN246" s="2">
        <v>2</v>
      </c>
      <c r="CO246" t="s">
        <v>292</v>
      </c>
      <c r="CP246" t="s">
        <v>303</v>
      </c>
      <c r="CQ246" t="s">
        <v>303</v>
      </c>
      <c r="CR246" t="s">
        <v>304</v>
      </c>
      <c r="CS246" t="s">
        <v>920</v>
      </c>
      <c r="CT246">
        <v>52000</v>
      </c>
      <c r="CU246" t="b">
        <v>0</v>
      </c>
      <c r="CV246" t="s">
        <v>292</v>
      </c>
      <c r="CW246" t="s">
        <v>292</v>
      </c>
      <c r="CX246" t="s">
        <v>292</v>
      </c>
      <c r="CY246" t="b">
        <v>0</v>
      </c>
      <c r="CZ246" t="b">
        <v>0</v>
      </c>
      <c r="DC246" t="s">
        <v>292</v>
      </c>
      <c r="DD246">
        <v>-103203890</v>
      </c>
      <c r="DE246">
        <v>139689716.74000001</v>
      </c>
      <c r="DF246" t="s">
        <v>920</v>
      </c>
      <c r="DG246">
        <v>103203890</v>
      </c>
      <c r="DH246" t="s">
        <v>318</v>
      </c>
      <c r="DI246">
        <v>1</v>
      </c>
      <c r="DJ246">
        <f>DataTable[HLD_MaturityDate] - DataTable[SEC_Issue_Date]</f>
        <v>43562</v>
      </c>
    </row>
    <row r="247" spans="1:114" x14ac:dyDescent="0.2">
      <c r="A247" s="2">
        <v>43376</v>
      </c>
      <c r="B247" t="s">
        <v>46</v>
      </c>
      <c r="C247" t="s">
        <v>528</v>
      </c>
      <c r="D247" t="s">
        <v>529</v>
      </c>
      <c r="F247" t="s">
        <v>967</v>
      </c>
      <c r="H247" t="s">
        <v>540</v>
      </c>
      <c r="I247" t="s">
        <v>286</v>
      </c>
      <c r="J247" t="s">
        <v>287</v>
      </c>
      <c r="K247" t="s">
        <v>541</v>
      </c>
      <c r="N247" s="2">
        <v>43581</v>
      </c>
      <c r="R247">
        <v>1</v>
      </c>
      <c r="T247">
        <v>-67454264.400000006</v>
      </c>
      <c r="V247">
        <v>0</v>
      </c>
      <c r="W247">
        <v>0</v>
      </c>
      <c r="X247">
        <v>0</v>
      </c>
      <c r="Z247">
        <v>0</v>
      </c>
      <c r="AA247">
        <v>0</v>
      </c>
      <c r="AB247">
        <v>-3.1216179999999998E-4</v>
      </c>
      <c r="AC247" t="s">
        <v>967</v>
      </c>
      <c r="AE247" t="s">
        <v>939</v>
      </c>
      <c r="AF247" t="s">
        <v>532</v>
      </c>
      <c r="AG247" t="s">
        <v>532</v>
      </c>
      <c r="AH247" t="s">
        <v>533</v>
      </c>
      <c r="AI247" t="s">
        <v>540</v>
      </c>
      <c r="AJ247" t="s">
        <v>534</v>
      </c>
      <c r="AK247" t="s">
        <v>529</v>
      </c>
      <c r="AM247" t="s">
        <v>287</v>
      </c>
      <c r="AN247" t="s">
        <v>433</v>
      </c>
      <c r="AO247" t="s">
        <v>292</v>
      </c>
      <c r="AP247" t="s">
        <v>333</v>
      </c>
      <c r="AQ247" t="s">
        <v>318</v>
      </c>
      <c r="AR247" t="s">
        <v>292</v>
      </c>
      <c r="AS247" t="s">
        <v>292</v>
      </c>
      <c r="AT247" t="s">
        <v>292</v>
      </c>
      <c r="AU247" t="s">
        <v>292</v>
      </c>
      <c r="AV247" t="s">
        <v>292</v>
      </c>
      <c r="AY247" t="s">
        <v>543</v>
      </c>
      <c r="AZ247" t="s">
        <v>544</v>
      </c>
      <c r="BA247" t="s">
        <v>286</v>
      </c>
      <c r="BB247" t="s">
        <v>541</v>
      </c>
      <c r="BC247" t="s">
        <v>292</v>
      </c>
      <c r="BD247" t="s">
        <v>292</v>
      </c>
      <c r="BE247" t="s">
        <v>292</v>
      </c>
      <c r="BF247" t="s">
        <v>292</v>
      </c>
      <c r="BG247" t="s">
        <v>541</v>
      </c>
      <c r="BH247">
        <v>7</v>
      </c>
      <c r="BI247" t="s">
        <v>300</v>
      </c>
      <c r="BJ247" t="s">
        <v>300</v>
      </c>
      <c r="CK247" t="s">
        <v>560</v>
      </c>
      <c r="CL247" t="s">
        <v>561</v>
      </c>
      <c r="CM247" t="s">
        <v>9</v>
      </c>
      <c r="CN247" s="2">
        <v>2</v>
      </c>
      <c r="CO247" t="s">
        <v>292</v>
      </c>
      <c r="CP247" t="s">
        <v>303</v>
      </c>
      <c r="CQ247" t="s">
        <v>303</v>
      </c>
      <c r="CR247" t="s">
        <v>304</v>
      </c>
      <c r="CS247" t="s">
        <v>608</v>
      </c>
      <c r="CT247">
        <v>16000</v>
      </c>
      <c r="CU247" t="b">
        <v>0</v>
      </c>
      <c r="CV247" t="s">
        <v>292</v>
      </c>
      <c r="CW247" t="s">
        <v>292</v>
      </c>
      <c r="CX247" t="s">
        <v>292</v>
      </c>
      <c r="CY247" t="b">
        <v>0</v>
      </c>
      <c r="CZ247" t="b">
        <v>0</v>
      </c>
      <c r="DC247" t="s">
        <v>292</v>
      </c>
      <c r="DD247">
        <v>-61928416.670000002</v>
      </c>
      <c r="DE247">
        <v>67454264.400000006</v>
      </c>
      <c r="DF247" t="s">
        <v>608</v>
      </c>
      <c r="DG247">
        <v>61928416.670000002</v>
      </c>
      <c r="DH247" t="s">
        <v>318</v>
      </c>
      <c r="DI247">
        <v>1</v>
      </c>
      <c r="DJ247">
        <f>DataTable[HLD_MaturityDate] - DataTable[SEC_Issue_Date]</f>
        <v>43579</v>
      </c>
    </row>
    <row r="248" spans="1:114" x14ac:dyDescent="0.2">
      <c r="A248" s="2">
        <v>43376</v>
      </c>
      <c r="B248" t="s">
        <v>46</v>
      </c>
      <c r="C248" t="s">
        <v>528</v>
      </c>
      <c r="D248" t="s">
        <v>529</v>
      </c>
      <c r="F248" t="s">
        <v>968</v>
      </c>
      <c r="H248" t="s">
        <v>285</v>
      </c>
      <c r="I248" t="s">
        <v>286</v>
      </c>
      <c r="J248" t="s">
        <v>287</v>
      </c>
      <c r="K248" t="s">
        <v>288</v>
      </c>
      <c r="N248" s="2">
        <v>43593</v>
      </c>
      <c r="R248">
        <v>1</v>
      </c>
      <c r="T248">
        <v>-69870223.650000006</v>
      </c>
      <c r="V248">
        <v>0</v>
      </c>
      <c r="W248">
        <v>0</v>
      </c>
      <c r="X248">
        <v>0</v>
      </c>
      <c r="Z248">
        <v>0</v>
      </c>
      <c r="AA248">
        <v>0</v>
      </c>
      <c r="AB248">
        <v>-3.233423E-4</v>
      </c>
      <c r="AC248" t="s">
        <v>968</v>
      </c>
      <c r="AE248" t="s">
        <v>932</v>
      </c>
      <c r="AF248" t="s">
        <v>532</v>
      </c>
      <c r="AG248" t="s">
        <v>532</v>
      </c>
      <c r="AH248" t="s">
        <v>533</v>
      </c>
      <c r="AI248" t="s">
        <v>285</v>
      </c>
      <c r="AJ248" t="s">
        <v>534</v>
      </c>
      <c r="AK248" t="s">
        <v>529</v>
      </c>
      <c r="AM248" t="s">
        <v>287</v>
      </c>
      <c r="AN248" t="s">
        <v>433</v>
      </c>
      <c r="AO248" t="s">
        <v>292</v>
      </c>
      <c r="AP248" t="s">
        <v>333</v>
      </c>
      <c r="AQ248" t="s">
        <v>318</v>
      </c>
      <c r="AR248" t="s">
        <v>292</v>
      </c>
      <c r="AS248" t="s">
        <v>292</v>
      </c>
      <c r="AT248" t="s">
        <v>292</v>
      </c>
      <c r="AU248" t="s">
        <v>292</v>
      </c>
      <c r="AV248" t="s">
        <v>292</v>
      </c>
      <c r="AY248" t="s">
        <v>296</v>
      </c>
      <c r="AZ248" t="s">
        <v>297</v>
      </c>
      <c r="BA248" t="s">
        <v>286</v>
      </c>
      <c r="BB248" t="s">
        <v>292</v>
      </c>
      <c r="BC248" t="s">
        <v>288</v>
      </c>
      <c r="BD248" t="s">
        <v>292</v>
      </c>
      <c r="BE248" t="s">
        <v>298</v>
      </c>
      <c r="BF248" t="s">
        <v>299</v>
      </c>
      <c r="BG248" t="s">
        <v>288</v>
      </c>
      <c r="BH248">
        <v>2</v>
      </c>
      <c r="BI248" t="s">
        <v>300</v>
      </c>
      <c r="BJ248" t="s">
        <v>300</v>
      </c>
      <c r="CK248" t="s">
        <v>560</v>
      </c>
      <c r="CL248" t="s">
        <v>561</v>
      </c>
      <c r="CM248" t="s">
        <v>9</v>
      </c>
      <c r="CN248" s="2">
        <v>2</v>
      </c>
      <c r="CO248" t="s">
        <v>292</v>
      </c>
      <c r="CP248" t="s">
        <v>303</v>
      </c>
      <c r="CQ248" t="s">
        <v>303</v>
      </c>
      <c r="CR248" t="s">
        <v>304</v>
      </c>
      <c r="CS248" t="s">
        <v>917</v>
      </c>
      <c r="CT248">
        <v>52000</v>
      </c>
      <c r="CU248" t="b">
        <v>0</v>
      </c>
      <c r="CV248" t="s">
        <v>292</v>
      </c>
      <c r="CW248" t="s">
        <v>292</v>
      </c>
      <c r="CX248" t="s">
        <v>292</v>
      </c>
      <c r="CY248" t="b">
        <v>0</v>
      </c>
      <c r="CZ248" t="b">
        <v>0</v>
      </c>
      <c r="DC248" t="s">
        <v>292</v>
      </c>
      <c r="DD248">
        <v>-82660444</v>
      </c>
      <c r="DE248">
        <v>69870223.650000006</v>
      </c>
      <c r="DF248" t="s">
        <v>917</v>
      </c>
      <c r="DG248">
        <v>82660444</v>
      </c>
      <c r="DH248" t="s">
        <v>318</v>
      </c>
      <c r="DI248">
        <v>1</v>
      </c>
      <c r="DJ248">
        <f>DataTable[HLD_MaturityDate] - DataTable[SEC_Issue_Date]</f>
        <v>43591</v>
      </c>
    </row>
    <row r="249" spans="1:114" x14ac:dyDescent="0.2">
      <c r="A249" s="2">
        <v>43376</v>
      </c>
      <c r="B249" t="s">
        <v>46</v>
      </c>
      <c r="C249" t="s">
        <v>528</v>
      </c>
      <c r="D249" t="s">
        <v>529</v>
      </c>
      <c r="F249" t="s">
        <v>969</v>
      </c>
      <c r="H249" t="s">
        <v>285</v>
      </c>
      <c r="I249" t="s">
        <v>286</v>
      </c>
      <c r="J249" t="s">
        <v>287</v>
      </c>
      <c r="K249" t="s">
        <v>288</v>
      </c>
      <c r="N249" s="2">
        <v>43598</v>
      </c>
      <c r="R249">
        <v>1</v>
      </c>
      <c r="T249">
        <v>-54991691.920000002</v>
      </c>
      <c r="V249">
        <v>0</v>
      </c>
      <c r="W249">
        <v>0</v>
      </c>
      <c r="X249">
        <v>0</v>
      </c>
      <c r="Z249">
        <v>0</v>
      </c>
      <c r="AA249">
        <v>0</v>
      </c>
      <c r="AB249">
        <v>-2.5448810000000001E-4</v>
      </c>
      <c r="AC249" t="s">
        <v>969</v>
      </c>
      <c r="AE249" t="s">
        <v>932</v>
      </c>
      <c r="AF249" t="s">
        <v>532</v>
      </c>
      <c r="AG249" t="s">
        <v>532</v>
      </c>
      <c r="AH249" t="s">
        <v>533</v>
      </c>
      <c r="AI249" t="s">
        <v>285</v>
      </c>
      <c r="AJ249" t="s">
        <v>534</v>
      </c>
      <c r="AK249" t="s">
        <v>529</v>
      </c>
      <c r="AM249" t="s">
        <v>287</v>
      </c>
      <c r="AN249" t="s">
        <v>433</v>
      </c>
      <c r="AO249" t="s">
        <v>292</v>
      </c>
      <c r="AP249" t="s">
        <v>333</v>
      </c>
      <c r="AQ249" t="s">
        <v>318</v>
      </c>
      <c r="AR249" t="s">
        <v>292</v>
      </c>
      <c r="AS249" t="s">
        <v>292</v>
      </c>
      <c r="AT249" t="s">
        <v>292</v>
      </c>
      <c r="AU249" t="s">
        <v>292</v>
      </c>
      <c r="AV249" t="s">
        <v>292</v>
      </c>
      <c r="AY249" t="s">
        <v>296</v>
      </c>
      <c r="AZ249" t="s">
        <v>297</v>
      </c>
      <c r="BA249" t="s">
        <v>286</v>
      </c>
      <c r="BB249" t="s">
        <v>292</v>
      </c>
      <c r="BC249" t="s">
        <v>288</v>
      </c>
      <c r="BD249" t="s">
        <v>292</v>
      </c>
      <c r="BE249" t="s">
        <v>298</v>
      </c>
      <c r="BF249" t="s">
        <v>299</v>
      </c>
      <c r="BG249" t="s">
        <v>288</v>
      </c>
      <c r="BH249">
        <v>2</v>
      </c>
      <c r="BI249" t="s">
        <v>300</v>
      </c>
      <c r="BJ249" t="s">
        <v>300</v>
      </c>
      <c r="CK249" t="s">
        <v>560</v>
      </c>
      <c r="CL249" t="s">
        <v>561</v>
      </c>
      <c r="CM249" t="s">
        <v>9</v>
      </c>
      <c r="CN249" s="2">
        <v>2</v>
      </c>
      <c r="CO249" t="s">
        <v>292</v>
      </c>
      <c r="CP249" t="s">
        <v>303</v>
      </c>
      <c r="CQ249" t="s">
        <v>303</v>
      </c>
      <c r="CR249" t="s">
        <v>304</v>
      </c>
      <c r="CS249" t="s">
        <v>922</v>
      </c>
      <c r="CT249">
        <v>52000</v>
      </c>
      <c r="CU249" t="b">
        <v>0</v>
      </c>
      <c r="CV249" t="s">
        <v>292</v>
      </c>
      <c r="CW249" t="s">
        <v>292</v>
      </c>
      <c r="CX249" t="s">
        <v>292</v>
      </c>
      <c r="CY249" t="b">
        <v>0</v>
      </c>
      <c r="CZ249" t="b">
        <v>0</v>
      </c>
      <c r="DC249" t="s">
        <v>292</v>
      </c>
      <c r="DD249">
        <v>-82698666.670000002</v>
      </c>
      <c r="DE249">
        <v>54991691.920000002</v>
      </c>
      <c r="DF249" t="s">
        <v>922</v>
      </c>
      <c r="DG249">
        <v>82698666.670000002</v>
      </c>
      <c r="DH249" t="s">
        <v>318</v>
      </c>
      <c r="DI249">
        <v>1</v>
      </c>
      <c r="DJ249">
        <f>DataTable[HLD_MaturityDate] - DataTable[SEC_Issue_Date]</f>
        <v>43596</v>
      </c>
    </row>
    <row r="250" spans="1:114" x14ac:dyDescent="0.2">
      <c r="A250" s="2">
        <v>43376</v>
      </c>
      <c r="B250" t="s">
        <v>46</v>
      </c>
      <c r="C250" t="s">
        <v>528</v>
      </c>
      <c r="D250" t="s">
        <v>529</v>
      </c>
      <c r="F250" t="s">
        <v>970</v>
      </c>
      <c r="H250" t="s">
        <v>540</v>
      </c>
      <c r="I250" t="s">
        <v>286</v>
      </c>
      <c r="J250" t="s">
        <v>287</v>
      </c>
      <c r="K250" t="s">
        <v>541</v>
      </c>
      <c r="N250" s="2">
        <v>43641</v>
      </c>
      <c r="R250">
        <v>1</v>
      </c>
      <c r="T250">
        <v>44070985.700000003</v>
      </c>
      <c r="V250">
        <v>0</v>
      </c>
      <c r="W250">
        <v>0</v>
      </c>
      <c r="X250">
        <v>0</v>
      </c>
      <c r="Z250">
        <v>0</v>
      </c>
      <c r="AA250">
        <v>0</v>
      </c>
      <c r="AB250">
        <v>2.039497E-4</v>
      </c>
      <c r="AC250" t="s">
        <v>970</v>
      </c>
      <c r="AE250" t="s">
        <v>939</v>
      </c>
      <c r="AF250" t="s">
        <v>532</v>
      </c>
      <c r="AG250" t="s">
        <v>532</v>
      </c>
      <c r="AH250" t="s">
        <v>533</v>
      </c>
      <c r="AI250" t="s">
        <v>540</v>
      </c>
      <c r="AJ250" t="s">
        <v>534</v>
      </c>
      <c r="AK250" t="s">
        <v>529</v>
      </c>
      <c r="AM250" t="s">
        <v>287</v>
      </c>
      <c r="AN250" t="s">
        <v>433</v>
      </c>
      <c r="AO250" t="s">
        <v>292</v>
      </c>
      <c r="AP250" t="s">
        <v>333</v>
      </c>
      <c r="AQ250" t="s">
        <v>318</v>
      </c>
      <c r="AR250" t="s">
        <v>292</v>
      </c>
      <c r="AS250" t="s">
        <v>292</v>
      </c>
      <c r="AT250" t="s">
        <v>292</v>
      </c>
      <c r="AU250" t="s">
        <v>292</v>
      </c>
      <c r="AV250" t="s">
        <v>292</v>
      </c>
      <c r="AY250" t="s">
        <v>543</v>
      </c>
      <c r="AZ250" t="s">
        <v>544</v>
      </c>
      <c r="BA250" t="s">
        <v>286</v>
      </c>
      <c r="BB250" t="s">
        <v>541</v>
      </c>
      <c r="BC250" t="s">
        <v>292</v>
      </c>
      <c r="BD250" t="s">
        <v>292</v>
      </c>
      <c r="BE250" t="s">
        <v>292</v>
      </c>
      <c r="BF250" t="s">
        <v>292</v>
      </c>
      <c r="BG250" t="s">
        <v>541</v>
      </c>
      <c r="BH250">
        <v>7</v>
      </c>
      <c r="BI250" t="s">
        <v>300</v>
      </c>
      <c r="BJ250" t="s">
        <v>300</v>
      </c>
      <c r="CK250" t="s">
        <v>560</v>
      </c>
      <c r="CL250" t="s">
        <v>561</v>
      </c>
      <c r="CM250" t="s">
        <v>9</v>
      </c>
      <c r="CN250" s="2">
        <v>2</v>
      </c>
      <c r="CO250" t="s">
        <v>292</v>
      </c>
      <c r="CP250" t="s">
        <v>303</v>
      </c>
      <c r="CQ250" t="s">
        <v>303</v>
      </c>
      <c r="CR250" t="s">
        <v>304</v>
      </c>
      <c r="CS250" t="s">
        <v>607</v>
      </c>
      <c r="CT250">
        <v>16000</v>
      </c>
      <c r="CU250" t="b">
        <v>0</v>
      </c>
      <c r="CV250" t="s">
        <v>292</v>
      </c>
      <c r="CW250" t="s">
        <v>292</v>
      </c>
      <c r="CX250" t="s">
        <v>292</v>
      </c>
      <c r="CY250" t="b">
        <v>0</v>
      </c>
      <c r="CZ250" t="b">
        <v>0</v>
      </c>
      <c r="DC250" t="s">
        <v>292</v>
      </c>
      <c r="DD250">
        <v>-87861194.439999998</v>
      </c>
      <c r="DE250">
        <v>-44070985.700000003</v>
      </c>
      <c r="DF250" t="s">
        <v>607</v>
      </c>
      <c r="DG250">
        <v>87861194.439999998</v>
      </c>
      <c r="DH250" t="s">
        <v>318</v>
      </c>
      <c r="DI250">
        <v>1</v>
      </c>
      <c r="DJ250">
        <f>DataTable[HLD_MaturityDate] - DataTable[SEC_Issue_Date]</f>
        <v>43639</v>
      </c>
    </row>
    <row r="251" spans="1:114" x14ac:dyDescent="0.2">
      <c r="A251" s="2">
        <v>43376</v>
      </c>
      <c r="B251" t="s">
        <v>46</v>
      </c>
      <c r="C251" t="s">
        <v>528</v>
      </c>
      <c r="D251" t="s">
        <v>529</v>
      </c>
      <c r="F251" t="s">
        <v>971</v>
      </c>
      <c r="H251" t="s">
        <v>285</v>
      </c>
      <c r="I251" t="s">
        <v>286</v>
      </c>
      <c r="J251" t="s">
        <v>287</v>
      </c>
      <c r="K251" t="s">
        <v>288</v>
      </c>
      <c r="N251" s="2">
        <v>43644</v>
      </c>
      <c r="R251">
        <v>1</v>
      </c>
      <c r="T251">
        <v>46232342.049999997</v>
      </c>
      <c r="V251">
        <v>0</v>
      </c>
      <c r="W251">
        <v>0</v>
      </c>
      <c r="X251">
        <v>0</v>
      </c>
      <c r="Z251">
        <v>0</v>
      </c>
      <c r="AA251">
        <v>0</v>
      </c>
      <c r="AB251">
        <v>2.13952E-4</v>
      </c>
      <c r="AC251" t="s">
        <v>971</v>
      </c>
      <c r="AE251" t="s">
        <v>932</v>
      </c>
      <c r="AF251" t="s">
        <v>532</v>
      </c>
      <c r="AG251" t="s">
        <v>532</v>
      </c>
      <c r="AH251" t="s">
        <v>533</v>
      </c>
      <c r="AI251" t="s">
        <v>285</v>
      </c>
      <c r="AJ251" t="s">
        <v>534</v>
      </c>
      <c r="AK251" t="s">
        <v>529</v>
      </c>
      <c r="AM251" t="s">
        <v>287</v>
      </c>
      <c r="AN251" t="s">
        <v>433</v>
      </c>
      <c r="AO251" t="s">
        <v>292</v>
      </c>
      <c r="AP251" t="s">
        <v>333</v>
      </c>
      <c r="AQ251" t="s">
        <v>318</v>
      </c>
      <c r="AR251" t="s">
        <v>292</v>
      </c>
      <c r="AS251" t="s">
        <v>292</v>
      </c>
      <c r="AT251" t="s">
        <v>292</v>
      </c>
      <c r="AU251" t="s">
        <v>292</v>
      </c>
      <c r="AV251" t="s">
        <v>292</v>
      </c>
      <c r="AY251" t="s">
        <v>296</v>
      </c>
      <c r="AZ251" t="s">
        <v>297</v>
      </c>
      <c r="BA251" t="s">
        <v>286</v>
      </c>
      <c r="BB251" t="s">
        <v>292</v>
      </c>
      <c r="BC251" t="s">
        <v>288</v>
      </c>
      <c r="BD251" t="s">
        <v>292</v>
      </c>
      <c r="BE251" t="s">
        <v>298</v>
      </c>
      <c r="BF251" t="s">
        <v>299</v>
      </c>
      <c r="BG251" t="s">
        <v>288</v>
      </c>
      <c r="BH251">
        <v>2</v>
      </c>
      <c r="BI251" t="s">
        <v>300</v>
      </c>
      <c r="BJ251" t="s">
        <v>300</v>
      </c>
      <c r="CK251" t="s">
        <v>560</v>
      </c>
      <c r="CL251" t="s">
        <v>561</v>
      </c>
      <c r="CM251" t="s">
        <v>9</v>
      </c>
      <c r="CN251" s="2">
        <v>2</v>
      </c>
      <c r="CO251" t="s">
        <v>292</v>
      </c>
      <c r="CP251" t="s">
        <v>303</v>
      </c>
      <c r="CQ251" t="s">
        <v>303</v>
      </c>
      <c r="CR251" t="s">
        <v>304</v>
      </c>
      <c r="CS251" t="s">
        <v>618</v>
      </c>
      <c r="CT251">
        <v>52000</v>
      </c>
      <c r="CU251" t="b">
        <v>0</v>
      </c>
      <c r="CV251" t="s">
        <v>292</v>
      </c>
      <c r="CW251" t="s">
        <v>292</v>
      </c>
      <c r="CX251" t="s">
        <v>292</v>
      </c>
      <c r="CY251" t="b">
        <v>0</v>
      </c>
      <c r="CZ251" t="b">
        <v>0</v>
      </c>
      <c r="DC251" t="s">
        <v>292</v>
      </c>
      <c r="DD251">
        <v>-87930138.890000001</v>
      </c>
      <c r="DE251">
        <v>-46232342.049999997</v>
      </c>
      <c r="DF251" t="s">
        <v>618</v>
      </c>
      <c r="DG251">
        <v>87930138.890000001</v>
      </c>
      <c r="DH251" t="s">
        <v>318</v>
      </c>
      <c r="DI251">
        <v>1</v>
      </c>
      <c r="DJ251">
        <f>DataTable[HLD_MaturityDate] - DataTable[SEC_Issue_Date]</f>
        <v>43642</v>
      </c>
    </row>
    <row r="252" spans="1:114" x14ac:dyDescent="0.2">
      <c r="A252" s="2">
        <v>43376</v>
      </c>
      <c r="B252" t="s">
        <v>46</v>
      </c>
      <c r="C252" t="s">
        <v>528</v>
      </c>
      <c r="D252" t="s">
        <v>529</v>
      </c>
      <c r="F252" t="s">
        <v>972</v>
      </c>
      <c r="H252" t="s">
        <v>285</v>
      </c>
      <c r="I252" t="s">
        <v>286</v>
      </c>
      <c r="J252" t="s">
        <v>287</v>
      </c>
      <c r="K252" t="s">
        <v>288</v>
      </c>
      <c r="N252" s="2">
        <v>43739</v>
      </c>
      <c r="R252">
        <v>1</v>
      </c>
      <c r="T252">
        <v>1629809.62</v>
      </c>
      <c r="V252">
        <v>0</v>
      </c>
      <c r="W252">
        <v>0</v>
      </c>
      <c r="X252">
        <v>0</v>
      </c>
      <c r="Z252">
        <v>0</v>
      </c>
      <c r="AA252">
        <v>0</v>
      </c>
      <c r="AB252">
        <v>7.5424E-6</v>
      </c>
      <c r="AC252" t="s">
        <v>972</v>
      </c>
      <c r="AE252" t="s">
        <v>932</v>
      </c>
      <c r="AF252" t="s">
        <v>532</v>
      </c>
      <c r="AG252" t="s">
        <v>532</v>
      </c>
      <c r="AH252" t="s">
        <v>533</v>
      </c>
      <c r="AI252" t="s">
        <v>285</v>
      </c>
      <c r="AJ252" t="s">
        <v>534</v>
      </c>
      <c r="AK252" t="s">
        <v>529</v>
      </c>
      <c r="AM252" t="s">
        <v>287</v>
      </c>
      <c r="AN252" t="s">
        <v>433</v>
      </c>
      <c r="AO252" t="s">
        <v>292</v>
      </c>
      <c r="AP252" t="s">
        <v>333</v>
      </c>
      <c r="AQ252" t="s">
        <v>318</v>
      </c>
      <c r="AR252" t="s">
        <v>292</v>
      </c>
      <c r="AS252" t="s">
        <v>292</v>
      </c>
      <c r="AT252" t="s">
        <v>292</v>
      </c>
      <c r="AU252" t="s">
        <v>292</v>
      </c>
      <c r="AV252" t="s">
        <v>292</v>
      </c>
      <c r="AY252" t="s">
        <v>296</v>
      </c>
      <c r="AZ252" t="s">
        <v>297</v>
      </c>
      <c r="BA252" t="s">
        <v>286</v>
      </c>
      <c r="BB252" t="s">
        <v>292</v>
      </c>
      <c r="BC252" t="s">
        <v>288</v>
      </c>
      <c r="BD252" t="s">
        <v>292</v>
      </c>
      <c r="BE252" t="s">
        <v>298</v>
      </c>
      <c r="BF252" t="s">
        <v>299</v>
      </c>
      <c r="BG252" t="s">
        <v>288</v>
      </c>
      <c r="BH252">
        <v>2</v>
      </c>
      <c r="BI252" t="s">
        <v>300</v>
      </c>
      <c r="BJ252" t="s">
        <v>300</v>
      </c>
      <c r="CK252" t="s">
        <v>560</v>
      </c>
      <c r="CL252" t="s">
        <v>561</v>
      </c>
      <c r="CM252" t="s">
        <v>9</v>
      </c>
      <c r="CN252" s="2">
        <v>2</v>
      </c>
      <c r="CO252" t="s">
        <v>292</v>
      </c>
      <c r="CP252" t="s">
        <v>303</v>
      </c>
      <c r="CQ252" t="s">
        <v>303</v>
      </c>
      <c r="CR252" t="s">
        <v>304</v>
      </c>
      <c r="CS252" t="s">
        <v>621</v>
      </c>
      <c r="CT252">
        <v>52000</v>
      </c>
      <c r="CU252" t="b">
        <v>0</v>
      </c>
      <c r="CV252" t="s">
        <v>292</v>
      </c>
      <c r="CW252" t="s">
        <v>292</v>
      </c>
      <c r="CX252" t="s">
        <v>292</v>
      </c>
      <c r="CY252" t="b">
        <v>0</v>
      </c>
      <c r="CZ252" t="b">
        <v>0</v>
      </c>
      <c r="DC252" t="s">
        <v>292</v>
      </c>
      <c r="DD252">
        <v>-93153500</v>
      </c>
      <c r="DE252">
        <v>-1629809.62</v>
      </c>
      <c r="DF252" t="s">
        <v>621</v>
      </c>
      <c r="DG252">
        <v>93153500</v>
      </c>
      <c r="DH252" t="s">
        <v>318</v>
      </c>
      <c r="DI252">
        <v>1</v>
      </c>
      <c r="DJ252">
        <f>DataTable[HLD_MaturityDate] - DataTable[SEC_Issue_Date]</f>
        <v>43737</v>
      </c>
    </row>
    <row r="253" spans="1:114" x14ac:dyDescent="0.2">
      <c r="A253" s="2">
        <v>43376</v>
      </c>
      <c r="B253" t="s">
        <v>46</v>
      </c>
      <c r="C253" t="s">
        <v>528</v>
      </c>
      <c r="D253" t="s">
        <v>529</v>
      </c>
      <c r="F253" t="s">
        <v>973</v>
      </c>
      <c r="H253" t="s">
        <v>285</v>
      </c>
      <c r="I253" t="s">
        <v>286</v>
      </c>
      <c r="J253" t="s">
        <v>287</v>
      </c>
      <c r="K253" t="s">
        <v>288</v>
      </c>
      <c r="N253" s="2">
        <v>43740</v>
      </c>
      <c r="R253">
        <v>1</v>
      </c>
      <c r="T253">
        <v>10126362.949999999</v>
      </c>
      <c r="V253">
        <v>0</v>
      </c>
      <c r="W253">
        <v>0</v>
      </c>
      <c r="X253">
        <v>0</v>
      </c>
      <c r="Z253">
        <v>0</v>
      </c>
      <c r="AA253">
        <v>0</v>
      </c>
      <c r="AB253">
        <v>4.68623E-5</v>
      </c>
      <c r="AC253" t="s">
        <v>973</v>
      </c>
      <c r="AE253" t="s">
        <v>932</v>
      </c>
      <c r="AF253" t="s">
        <v>532</v>
      </c>
      <c r="AG253" t="s">
        <v>532</v>
      </c>
      <c r="AH253" t="s">
        <v>533</v>
      </c>
      <c r="AI253" t="s">
        <v>285</v>
      </c>
      <c r="AJ253" t="s">
        <v>534</v>
      </c>
      <c r="AK253" t="s">
        <v>529</v>
      </c>
      <c r="AM253" t="s">
        <v>287</v>
      </c>
      <c r="AN253" t="s">
        <v>433</v>
      </c>
      <c r="AO253" t="s">
        <v>292</v>
      </c>
      <c r="AP253" t="s">
        <v>333</v>
      </c>
      <c r="AQ253" t="s">
        <v>318</v>
      </c>
      <c r="AR253" t="s">
        <v>292</v>
      </c>
      <c r="AS253" t="s">
        <v>292</v>
      </c>
      <c r="AT253" t="s">
        <v>292</v>
      </c>
      <c r="AU253" t="s">
        <v>292</v>
      </c>
      <c r="AV253" t="s">
        <v>292</v>
      </c>
      <c r="AY253" t="s">
        <v>296</v>
      </c>
      <c r="AZ253" t="s">
        <v>297</v>
      </c>
      <c r="BA253" t="s">
        <v>286</v>
      </c>
      <c r="BB253" t="s">
        <v>292</v>
      </c>
      <c r="BC253" t="s">
        <v>288</v>
      </c>
      <c r="BD253" t="s">
        <v>292</v>
      </c>
      <c r="BE253" t="s">
        <v>298</v>
      </c>
      <c r="BF253" t="s">
        <v>299</v>
      </c>
      <c r="BG253" t="s">
        <v>288</v>
      </c>
      <c r="BH253">
        <v>2</v>
      </c>
      <c r="BI253" t="s">
        <v>300</v>
      </c>
      <c r="BJ253" t="s">
        <v>300</v>
      </c>
      <c r="CK253" t="s">
        <v>560</v>
      </c>
      <c r="CL253" t="s">
        <v>561</v>
      </c>
      <c r="CM253" t="s">
        <v>9</v>
      </c>
      <c r="CN253" s="2">
        <v>2</v>
      </c>
      <c r="CO253" t="s">
        <v>292</v>
      </c>
      <c r="CP253" t="s">
        <v>303</v>
      </c>
      <c r="CQ253" t="s">
        <v>303</v>
      </c>
      <c r="CR253" t="s">
        <v>304</v>
      </c>
      <c r="CS253" t="s">
        <v>627</v>
      </c>
      <c r="CT253">
        <v>52000</v>
      </c>
      <c r="CU253" t="b">
        <v>0</v>
      </c>
      <c r="CV253" t="s">
        <v>292</v>
      </c>
      <c r="CW253" t="s">
        <v>292</v>
      </c>
      <c r="CX253" t="s">
        <v>292</v>
      </c>
      <c r="CY253" t="b">
        <v>0</v>
      </c>
      <c r="CZ253" t="b">
        <v>0</v>
      </c>
      <c r="DC253" t="s">
        <v>292</v>
      </c>
      <c r="DD253">
        <v>-93153500</v>
      </c>
      <c r="DE253">
        <v>-10126362.949999999</v>
      </c>
      <c r="DF253" t="s">
        <v>627</v>
      </c>
      <c r="DG253">
        <v>93153500</v>
      </c>
      <c r="DH253" t="s">
        <v>318</v>
      </c>
      <c r="DI253">
        <v>1</v>
      </c>
      <c r="DJ253">
        <f>DataTable[HLD_MaturityDate] - DataTable[SEC_Issue_Date]</f>
        <v>43738</v>
      </c>
    </row>
    <row r="254" spans="1:114" x14ac:dyDescent="0.2">
      <c r="A254" s="2">
        <v>43376</v>
      </c>
      <c r="B254" t="s">
        <v>46</v>
      </c>
      <c r="C254" t="s">
        <v>551</v>
      </c>
      <c r="D254" t="s">
        <v>552</v>
      </c>
      <c r="E254" t="s">
        <v>40</v>
      </c>
      <c r="F254" t="s">
        <v>10</v>
      </c>
      <c r="R254">
        <v>0</v>
      </c>
      <c r="S254">
        <v>0</v>
      </c>
      <c r="T254">
        <v>4093829.41</v>
      </c>
      <c r="V254">
        <v>4093829.41</v>
      </c>
      <c r="W254">
        <v>0</v>
      </c>
      <c r="Z254">
        <v>24</v>
      </c>
      <c r="AA254">
        <v>0</v>
      </c>
      <c r="AB254">
        <v>1.8945199999999999E-5</v>
      </c>
      <c r="AC254" t="s">
        <v>324</v>
      </c>
      <c r="AE254" t="s">
        <v>292</v>
      </c>
      <c r="AH254" t="s">
        <v>289</v>
      </c>
      <c r="AI254" t="s">
        <v>292</v>
      </c>
      <c r="AJ254" t="s">
        <v>290</v>
      </c>
      <c r="AK254" t="s">
        <v>292</v>
      </c>
      <c r="AM254" t="s">
        <v>292</v>
      </c>
      <c r="AN254" t="s">
        <v>292</v>
      </c>
      <c r="AO254" t="s">
        <v>292</v>
      </c>
      <c r="AP254" t="s">
        <v>292</v>
      </c>
      <c r="AQ254" t="s">
        <v>318</v>
      </c>
      <c r="AR254" t="s">
        <v>292</v>
      </c>
      <c r="AS254" t="s">
        <v>292</v>
      </c>
      <c r="AT254" t="s">
        <v>292</v>
      </c>
      <c r="AU254" t="s">
        <v>295</v>
      </c>
      <c r="AV254" t="s">
        <v>292</v>
      </c>
      <c r="CK254" t="s">
        <v>560</v>
      </c>
      <c r="CL254" t="s">
        <v>561</v>
      </c>
      <c r="CM254" t="s">
        <v>9</v>
      </c>
      <c r="CN254" s="2">
        <v>2</v>
      </c>
      <c r="CO254" t="s">
        <v>292</v>
      </c>
      <c r="CP254" t="s">
        <v>303</v>
      </c>
      <c r="CS254" t="s">
        <v>292</v>
      </c>
      <c r="CU254" t="b">
        <v>1</v>
      </c>
      <c r="CV254" t="s">
        <v>292</v>
      </c>
      <c r="CY254" t="b">
        <v>0</v>
      </c>
      <c r="CZ254" t="b">
        <v>0</v>
      </c>
      <c r="DC254" t="s">
        <v>292</v>
      </c>
      <c r="DJ254">
        <f>DataTable[HLD_MaturityDate] - DataTable[SEC_Issue_Date]</f>
        <v>-2</v>
      </c>
    </row>
    <row r="255" spans="1:114" x14ac:dyDescent="0.2">
      <c r="A255" s="2">
        <v>43376</v>
      </c>
      <c r="B255" t="s">
        <v>46</v>
      </c>
      <c r="C255" t="s">
        <v>551</v>
      </c>
      <c r="D255" t="s">
        <v>552</v>
      </c>
      <c r="E255" t="s">
        <v>974</v>
      </c>
      <c r="F255" t="s">
        <v>10</v>
      </c>
      <c r="R255">
        <v>0</v>
      </c>
      <c r="S255">
        <v>0</v>
      </c>
      <c r="T255">
        <v>2384466.21</v>
      </c>
      <c r="V255">
        <v>2384466.21</v>
      </c>
      <c r="W255">
        <v>0</v>
      </c>
      <c r="Z255">
        <v>24</v>
      </c>
      <c r="AA255">
        <v>0</v>
      </c>
      <c r="AB255">
        <v>1.10347E-5</v>
      </c>
      <c r="AC255" t="s">
        <v>324</v>
      </c>
      <c r="AE255" t="s">
        <v>292</v>
      </c>
      <c r="AH255" t="s">
        <v>289</v>
      </c>
      <c r="AI255" t="s">
        <v>292</v>
      </c>
      <c r="AJ255" t="s">
        <v>290</v>
      </c>
      <c r="AK255" t="s">
        <v>292</v>
      </c>
      <c r="AM255" t="s">
        <v>292</v>
      </c>
      <c r="AN255" t="s">
        <v>292</v>
      </c>
      <c r="AO255" t="s">
        <v>292</v>
      </c>
      <c r="AP255" t="s">
        <v>292</v>
      </c>
      <c r="AQ255" t="s">
        <v>318</v>
      </c>
      <c r="AR255" t="s">
        <v>292</v>
      </c>
      <c r="AS255" t="s">
        <v>292</v>
      </c>
      <c r="AT255" t="s">
        <v>292</v>
      </c>
      <c r="AU255" t="s">
        <v>295</v>
      </c>
      <c r="AV255" t="s">
        <v>292</v>
      </c>
      <c r="CK255" t="s">
        <v>560</v>
      </c>
      <c r="CL255" t="s">
        <v>561</v>
      </c>
      <c r="CM255" t="s">
        <v>9</v>
      </c>
      <c r="CN255" s="2">
        <v>2</v>
      </c>
      <c r="CO255" t="s">
        <v>292</v>
      </c>
      <c r="CP255" t="s">
        <v>303</v>
      </c>
      <c r="CS255" t="s">
        <v>292</v>
      </c>
      <c r="CU255" t="b">
        <v>1</v>
      </c>
      <c r="CV255" t="s">
        <v>292</v>
      </c>
      <c r="CY255" t="b">
        <v>0</v>
      </c>
      <c r="CZ255" t="b">
        <v>0</v>
      </c>
      <c r="DC255" t="s">
        <v>292</v>
      </c>
      <c r="DJ255">
        <f>DataTable[HLD_MaturityDate] - DataTable[SEC_Issue_Date]</f>
        <v>-2</v>
      </c>
    </row>
    <row r="256" spans="1:114" x14ac:dyDescent="0.2">
      <c r="A256" s="2">
        <v>43376</v>
      </c>
      <c r="B256" t="s">
        <v>46</v>
      </c>
      <c r="C256" t="s">
        <v>551</v>
      </c>
      <c r="D256" t="s">
        <v>975</v>
      </c>
      <c r="E256" t="s">
        <v>976</v>
      </c>
      <c r="F256" t="s">
        <v>975</v>
      </c>
      <c r="H256" t="s">
        <v>977</v>
      </c>
      <c r="I256" t="s">
        <v>415</v>
      </c>
      <c r="J256" t="s">
        <v>978</v>
      </c>
      <c r="S256">
        <v>0</v>
      </c>
      <c r="T256">
        <v>1279.9000000000001</v>
      </c>
      <c r="V256">
        <v>1279.9000000000001</v>
      </c>
      <c r="W256">
        <v>0</v>
      </c>
      <c r="X256">
        <v>0</v>
      </c>
      <c r="Z256">
        <v>0</v>
      </c>
      <c r="AA256">
        <v>0</v>
      </c>
      <c r="AB256">
        <v>5.8999999999999999E-9</v>
      </c>
      <c r="AC256" t="s">
        <v>975</v>
      </c>
      <c r="AE256" t="s">
        <v>979</v>
      </c>
      <c r="AH256" t="s">
        <v>289</v>
      </c>
      <c r="AI256" t="s">
        <v>977</v>
      </c>
      <c r="AJ256" t="s">
        <v>290</v>
      </c>
      <c r="AK256" t="s">
        <v>980</v>
      </c>
      <c r="AM256" t="s">
        <v>292</v>
      </c>
      <c r="AN256" t="s">
        <v>292</v>
      </c>
      <c r="AO256" t="s">
        <v>292</v>
      </c>
      <c r="AP256" t="s">
        <v>292</v>
      </c>
      <c r="AQ256" t="s">
        <v>318</v>
      </c>
      <c r="AR256" t="s">
        <v>292</v>
      </c>
      <c r="AS256" t="s">
        <v>292</v>
      </c>
      <c r="AT256" t="s">
        <v>292</v>
      </c>
      <c r="AU256" t="s">
        <v>295</v>
      </c>
      <c r="AV256" t="s">
        <v>292</v>
      </c>
      <c r="AY256" t="s">
        <v>981</v>
      </c>
      <c r="AZ256" t="s">
        <v>982</v>
      </c>
      <c r="BA256" t="s">
        <v>415</v>
      </c>
      <c r="BB256" t="s">
        <v>292</v>
      </c>
      <c r="BC256" t="s">
        <v>292</v>
      </c>
      <c r="BD256" t="s">
        <v>292</v>
      </c>
      <c r="BE256" t="s">
        <v>292</v>
      </c>
      <c r="BF256" t="s">
        <v>292</v>
      </c>
      <c r="CK256" t="s">
        <v>560</v>
      </c>
      <c r="CL256" t="s">
        <v>561</v>
      </c>
      <c r="CM256" t="s">
        <v>9</v>
      </c>
      <c r="CN256" s="2">
        <v>2</v>
      </c>
      <c r="CO256" t="s">
        <v>292</v>
      </c>
      <c r="CP256" t="s">
        <v>303</v>
      </c>
      <c r="CQ256" t="s">
        <v>303</v>
      </c>
      <c r="CR256" t="s">
        <v>304</v>
      </c>
      <c r="CS256" t="s">
        <v>292</v>
      </c>
      <c r="CT256">
        <v>0</v>
      </c>
      <c r="CU256" t="b">
        <v>0</v>
      </c>
      <c r="CV256" t="s">
        <v>292</v>
      </c>
      <c r="CW256" t="s">
        <v>292</v>
      </c>
      <c r="CX256" t="s">
        <v>292</v>
      </c>
      <c r="CY256" t="b">
        <v>0</v>
      </c>
      <c r="CZ256" t="b">
        <v>0</v>
      </c>
      <c r="DC256" t="s">
        <v>292</v>
      </c>
      <c r="DJ256">
        <f>DataTable[HLD_MaturityDate] - DataTable[SEC_Issue_Date]</f>
        <v>-2</v>
      </c>
    </row>
    <row r="257" spans="1:114" x14ac:dyDescent="0.2">
      <c r="A257" s="2">
        <v>43376</v>
      </c>
      <c r="B257" t="s">
        <v>46</v>
      </c>
      <c r="C257" t="s">
        <v>38</v>
      </c>
      <c r="D257" t="s">
        <v>39</v>
      </c>
      <c r="E257" t="s">
        <v>40</v>
      </c>
      <c r="F257" t="s">
        <v>51</v>
      </c>
      <c r="R257">
        <v>0</v>
      </c>
      <c r="S257">
        <v>99.912623999999994</v>
      </c>
      <c r="T257">
        <v>-46958933.280000001</v>
      </c>
      <c r="V257">
        <v>-46958933.280000001</v>
      </c>
      <c r="Z257">
        <v>7</v>
      </c>
      <c r="AA257">
        <v>0</v>
      </c>
      <c r="AB257">
        <v>-2.173144E-4</v>
      </c>
      <c r="AC257" t="s">
        <v>51</v>
      </c>
      <c r="AE257" t="s">
        <v>469</v>
      </c>
      <c r="AF257" t="s">
        <v>714</v>
      </c>
      <c r="AG257" t="s">
        <v>714</v>
      </c>
      <c r="AH257" t="s">
        <v>330</v>
      </c>
      <c r="AI257" t="s">
        <v>468</v>
      </c>
      <c r="AJ257" t="s">
        <v>464</v>
      </c>
      <c r="AK257" t="s">
        <v>16</v>
      </c>
      <c r="AM257" t="s">
        <v>405</v>
      </c>
      <c r="AN257" t="s">
        <v>292</v>
      </c>
      <c r="AO257" t="s">
        <v>292</v>
      </c>
      <c r="AP257" t="s">
        <v>434</v>
      </c>
      <c r="AQ257" t="s">
        <v>318</v>
      </c>
      <c r="AR257" t="s">
        <v>292</v>
      </c>
      <c r="AS257" t="s">
        <v>292</v>
      </c>
      <c r="AT257" t="s">
        <v>334</v>
      </c>
      <c r="AU257" t="s">
        <v>292</v>
      </c>
      <c r="AV257" t="s">
        <v>435</v>
      </c>
      <c r="AY257" t="s">
        <v>471</v>
      </c>
      <c r="AZ257" t="s">
        <v>472</v>
      </c>
      <c r="BA257" t="s">
        <v>292</v>
      </c>
      <c r="BB257" t="s">
        <v>292</v>
      </c>
      <c r="BC257" t="s">
        <v>292</v>
      </c>
      <c r="BD257" t="s">
        <v>292</v>
      </c>
      <c r="BE257" t="s">
        <v>292</v>
      </c>
      <c r="BF257" t="s">
        <v>292</v>
      </c>
      <c r="CK257" t="s">
        <v>560</v>
      </c>
      <c r="CL257" t="s">
        <v>561</v>
      </c>
      <c r="CM257" t="s">
        <v>9</v>
      </c>
      <c r="CN257" s="2">
        <v>43223</v>
      </c>
      <c r="CO257" t="s">
        <v>292</v>
      </c>
      <c r="CP257" t="s">
        <v>303</v>
      </c>
      <c r="CQ257" t="s">
        <v>303</v>
      </c>
      <c r="CR257" t="s">
        <v>304</v>
      </c>
      <c r="CS257" t="s">
        <v>292</v>
      </c>
      <c r="CT257">
        <v>0</v>
      </c>
      <c r="CU257" t="b">
        <v>0</v>
      </c>
      <c r="CV257" t="s">
        <v>439</v>
      </c>
      <c r="CW257" t="s">
        <v>292</v>
      </c>
      <c r="CX257" t="s">
        <v>292</v>
      </c>
      <c r="CY257" t="b">
        <v>0</v>
      </c>
      <c r="CZ257" t="b">
        <v>0</v>
      </c>
      <c r="DC257" t="s">
        <v>715</v>
      </c>
      <c r="DJ257">
        <f>DataTable[HLD_MaturityDate] - DataTable[SEC_Issue_Date]</f>
        <v>-43223</v>
      </c>
    </row>
    <row r="258" spans="1:114" x14ac:dyDescent="0.2">
      <c r="A258" s="2">
        <v>43376</v>
      </c>
      <c r="B258" t="s">
        <v>46</v>
      </c>
      <c r="C258" t="s">
        <v>38</v>
      </c>
      <c r="D258" t="s">
        <v>39</v>
      </c>
      <c r="E258" t="s">
        <v>40</v>
      </c>
      <c r="F258" t="s">
        <v>20</v>
      </c>
      <c r="R258">
        <v>0</v>
      </c>
      <c r="S258">
        <v>99.912623999999994</v>
      </c>
      <c r="T258">
        <v>-24978156</v>
      </c>
      <c r="V258">
        <v>-24978156</v>
      </c>
      <c r="Z258">
        <v>7</v>
      </c>
      <c r="AA258">
        <v>0</v>
      </c>
      <c r="AB258">
        <v>-1.155928E-4</v>
      </c>
      <c r="AC258" t="s">
        <v>20</v>
      </c>
      <c r="AE258" t="s">
        <v>469</v>
      </c>
      <c r="AF258" t="s">
        <v>478</v>
      </c>
      <c r="AG258" t="s">
        <v>478</v>
      </c>
      <c r="AH258" t="s">
        <v>330</v>
      </c>
      <c r="AI258" t="s">
        <v>468</v>
      </c>
      <c r="AJ258" t="s">
        <v>464</v>
      </c>
      <c r="AK258" t="s">
        <v>16</v>
      </c>
      <c r="AM258" t="s">
        <v>405</v>
      </c>
      <c r="AN258" t="s">
        <v>292</v>
      </c>
      <c r="AO258" t="s">
        <v>292</v>
      </c>
      <c r="AP258" t="s">
        <v>434</v>
      </c>
      <c r="AQ258" t="s">
        <v>318</v>
      </c>
      <c r="AR258" t="s">
        <v>292</v>
      </c>
      <c r="AS258" t="s">
        <v>292</v>
      </c>
      <c r="AT258" t="s">
        <v>334</v>
      </c>
      <c r="AU258" t="s">
        <v>292</v>
      </c>
      <c r="AV258" t="s">
        <v>435</v>
      </c>
      <c r="AY258" t="s">
        <v>471</v>
      </c>
      <c r="AZ258" t="s">
        <v>472</v>
      </c>
      <c r="BA258" t="s">
        <v>292</v>
      </c>
      <c r="BB258" t="s">
        <v>292</v>
      </c>
      <c r="BC258" t="s">
        <v>292</v>
      </c>
      <c r="BD258" t="s">
        <v>292</v>
      </c>
      <c r="BE258" t="s">
        <v>292</v>
      </c>
      <c r="BF258" t="s">
        <v>292</v>
      </c>
      <c r="CK258" t="s">
        <v>560</v>
      </c>
      <c r="CL258" t="s">
        <v>561</v>
      </c>
      <c r="CM258" t="s">
        <v>9</v>
      </c>
      <c r="CN258" s="2">
        <v>43314</v>
      </c>
      <c r="CO258" t="s">
        <v>292</v>
      </c>
      <c r="CP258" t="s">
        <v>303</v>
      </c>
      <c r="CQ258" t="s">
        <v>303</v>
      </c>
      <c r="CR258" t="s">
        <v>304</v>
      </c>
      <c r="CS258" t="s">
        <v>292</v>
      </c>
      <c r="CT258">
        <v>0</v>
      </c>
      <c r="CU258" t="b">
        <v>0</v>
      </c>
      <c r="CV258" t="s">
        <v>439</v>
      </c>
      <c r="CW258" t="s">
        <v>292</v>
      </c>
      <c r="CX258" t="s">
        <v>292</v>
      </c>
      <c r="CY258" t="b">
        <v>0</v>
      </c>
      <c r="CZ258" t="b">
        <v>0</v>
      </c>
      <c r="DC258" t="s">
        <v>479</v>
      </c>
      <c r="DJ258">
        <f>DataTable[HLD_MaturityDate] - DataTable[SEC_Issue_Date]</f>
        <v>-43314</v>
      </c>
    </row>
    <row r="259" spans="1:114" x14ac:dyDescent="0.2">
      <c r="A259" s="2">
        <v>43376</v>
      </c>
      <c r="B259" t="s">
        <v>46</v>
      </c>
      <c r="C259" t="s">
        <v>38</v>
      </c>
      <c r="D259" t="s">
        <v>39</v>
      </c>
      <c r="E259" t="s">
        <v>40</v>
      </c>
      <c r="F259" t="s">
        <v>21</v>
      </c>
      <c r="R259">
        <v>0</v>
      </c>
      <c r="S259">
        <v>99.889978999999997</v>
      </c>
      <c r="T259">
        <v>-61931786.840000004</v>
      </c>
      <c r="V259">
        <v>-61931786.840000004</v>
      </c>
      <c r="Z259">
        <v>7</v>
      </c>
      <c r="AA259">
        <v>0</v>
      </c>
      <c r="AB259">
        <v>-2.8660509999999998E-4</v>
      </c>
      <c r="AC259" t="s">
        <v>21</v>
      </c>
      <c r="AE259" t="s">
        <v>469</v>
      </c>
      <c r="AF259" t="s">
        <v>480</v>
      </c>
      <c r="AG259" t="s">
        <v>480</v>
      </c>
      <c r="AH259" t="s">
        <v>330</v>
      </c>
      <c r="AI259" t="s">
        <v>468</v>
      </c>
      <c r="AJ259" t="s">
        <v>464</v>
      </c>
      <c r="AK259" t="s">
        <v>16</v>
      </c>
      <c r="AM259" t="s">
        <v>405</v>
      </c>
      <c r="AN259" t="s">
        <v>292</v>
      </c>
      <c r="AO259" t="s">
        <v>292</v>
      </c>
      <c r="AP259" t="s">
        <v>434</v>
      </c>
      <c r="AQ259" t="s">
        <v>318</v>
      </c>
      <c r="AR259" t="s">
        <v>292</v>
      </c>
      <c r="AS259" t="s">
        <v>292</v>
      </c>
      <c r="AT259" t="s">
        <v>334</v>
      </c>
      <c r="AU259" t="s">
        <v>292</v>
      </c>
      <c r="AV259" t="s">
        <v>435</v>
      </c>
      <c r="AY259" t="s">
        <v>471</v>
      </c>
      <c r="AZ259" t="s">
        <v>472</v>
      </c>
      <c r="BA259" t="s">
        <v>292</v>
      </c>
      <c r="BB259" t="s">
        <v>292</v>
      </c>
      <c r="BC259" t="s">
        <v>292</v>
      </c>
      <c r="BD259" t="s">
        <v>292</v>
      </c>
      <c r="BE259" t="s">
        <v>292</v>
      </c>
      <c r="BF259" t="s">
        <v>292</v>
      </c>
      <c r="CK259" t="s">
        <v>560</v>
      </c>
      <c r="CL259" t="s">
        <v>561</v>
      </c>
      <c r="CM259" t="s">
        <v>9</v>
      </c>
      <c r="CN259" s="2">
        <v>43230</v>
      </c>
      <c r="CO259" t="s">
        <v>292</v>
      </c>
      <c r="CP259" t="s">
        <v>303</v>
      </c>
      <c r="CQ259" t="s">
        <v>303</v>
      </c>
      <c r="CR259" t="s">
        <v>304</v>
      </c>
      <c r="CS259" t="s">
        <v>292</v>
      </c>
      <c r="CT259">
        <v>0</v>
      </c>
      <c r="CU259" t="b">
        <v>0</v>
      </c>
      <c r="CV259" t="s">
        <v>439</v>
      </c>
      <c r="CW259" t="s">
        <v>292</v>
      </c>
      <c r="CX259" t="s">
        <v>292</v>
      </c>
      <c r="CY259" t="b">
        <v>0</v>
      </c>
      <c r="CZ259" t="b">
        <v>0</v>
      </c>
      <c r="DC259" t="s">
        <v>481</v>
      </c>
      <c r="DJ259">
        <f>DataTable[HLD_MaturityDate] - DataTable[SEC_Issue_Date]</f>
        <v>-43230</v>
      </c>
    </row>
    <row r="260" spans="1:114" x14ac:dyDescent="0.2">
      <c r="A260" s="2">
        <v>43376</v>
      </c>
      <c r="B260" t="s">
        <v>46</v>
      </c>
      <c r="C260" t="s">
        <v>38</v>
      </c>
      <c r="D260" t="s">
        <v>39</v>
      </c>
      <c r="E260" t="s">
        <v>40</v>
      </c>
      <c r="F260" t="s">
        <v>716</v>
      </c>
      <c r="R260">
        <v>0</v>
      </c>
      <c r="S260">
        <v>99.864976999999996</v>
      </c>
      <c r="T260">
        <v>-72901433.209999993</v>
      </c>
      <c r="V260">
        <v>-72901433.209999993</v>
      </c>
      <c r="Z260">
        <v>7</v>
      </c>
      <c r="AA260">
        <v>0</v>
      </c>
      <c r="AB260">
        <v>-3.3736999999999998E-4</v>
      </c>
      <c r="AC260" t="s">
        <v>716</v>
      </c>
      <c r="AE260" t="s">
        <v>469</v>
      </c>
      <c r="AF260" t="s">
        <v>717</v>
      </c>
      <c r="AG260" t="s">
        <v>717</v>
      </c>
      <c r="AH260" t="s">
        <v>330</v>
      </c>
      <c r="AI260" t="s">
        <v>468</v>
      </c>
      <c r="AJ260" t="s">
        <v>464</v>
      </c>
      <c r="AK260" t="s">
        <v>16</v>
      </c>
      <c r="AM260" t="s">
        <v>405</v>
      </c>
      <c r="AN260" t="s">
        <v>292</v>
      </c>
      <c r="AO260" t="s">
        <v>292</v>
      </c>
      <c r="AP260" t="s">
        <v>434</v>
      </c>
      <c r="AQ260" t="s">
        <v>318</v>
      </c>
      <c r="AR260" t="s">
        <v>292</v>
      </c>
      <c r="AS260" t="s">
        <v>292</v>
      </c>
      <c r="AT260" t="s">
        <v>334</v>
      </c>
      <c r="AU260" t="s">
        <v>292</v>
      </c>
      <c r="AV260" t="s">
        <v>435</v>
      </c>
      <c r="AY260" t="s">
        <v>471</v>
      </c>
      <c r="AZ260" t="s">
        <v>472</v>
      </c>
      <c r="BA260" t="s">
        <v>292</v>
      </c>
      <c r="BB260" t="s">
        <v>292</v>
      </c>
      <c r="BC260" t="s">
        <v>292</v>
      </c>
      <c r="BD260" t="s">
        <v>292</v>
      </c>
      <c r="BE260" t="s">
        <v>292</v>
      </c>
      <c r="BF260" t="s">
        <v>292</v>
      </c>
      <c r="CK260" t="s">
        <v>560</v>
      </c>
      <c r="CL260" t="s">
        <v>561</v>
      </c>
      <c r="CM260" t="s">
        <v>9</v>
      </c>
      <c r="CN260" s="2">
        <v>43237</v>
      </c>
      <c r="CO260" t="s">
        <v>292</v>
      </c>
      <c r="CP260" t="s">
        <v>303</v>
      </c>
      <c r="CQ260" t="s">
        <v>303</v>
      </c>
      <c r="CR260" t="s">
        <v>304</v>
      </c>
      <c r="CS260" t="s">
        <v>292</v>
      </c>
      <c r="CT260">
        <v>0</v>
      </c>
      <c r="CU260" t="b">
        <v>0</v>
      </c>
      <c r="CV260" t="s">
        <v>439</v>
      </c>
      <c r="CW260" t="s">
        <v>292</v>
      </c>
      <c r="CX260" t="s">
        <v>292</v>
      </c>
      <c r="CY260" t="b">
        <v>0</v>
      </c>
      <c r="CZ260" t="b">
        <v>0</v>
      </c>
      <c r="DC260" t="s">
        <v>718</v>
      </c>
      <c r="DJ260">
        <f>DataTable[HLD_MaturityDate] - DataTable[SEC_Issue_Date]</f>
        <v>-43237</v>
      </c>
    </row>
    <row r="261" spans="1:114" x14ac:dyDescent="0.2">
      <c r="A261" s="2">
        <v>43376</v>
      </c>
      <c r="B261" t="s">
        <v>46</v>
      </c>
      <c r="C261" t="s">
        <v>38</v>
      </c>
      <c r="D261" t="s">
        <v>39</v>
      </c>
      <c r="E261" t="s">
        <v>40</v>
      </c>
      <c r="F261" t="s">
        <v>23</v>
      </c>
      <c r="R261">
        <v>0</v>
      </c>
      <c r="S261">
        <v>99.864976999999996</v>
      </c>
      <c r="T261">
        <v>-18974345.629999999</v>
      </c>
      <c r="V261">
        <v>-18974345.629999999</v>
      </c>
      <c r="Z261">
        <v>7</v>
      </c>
      <c r="AA261">
        <v>0</v>
      </c>
      <c r="AB261">
        <v>-8.7808599999999998E-5</v>
      </c>
      <c r="AC261" t="s">
        <v>23</v>
      </c>
      <c r="AE261" t="s">
        <v>469</v>
      </c>
      <c r="AF261" t="s">
        <v>484</v>
      </c>
      <c r="AG261" t="s">
        <v>484</v>
      </c>
      <c r="AH261" t="s">
        <v>330</v>
      </c>
      <c r="AI261" t="s">
        <v>468</v>
      </c>
      <c r="AJ261" t="s">
        <v>464</v>
      </c>
      <c r="AK261" t="s">
        <v>16</v>
      </c>
      <c r="AM261" t="s">
        <v>405</v>
      </c>
      <c r="AN261" t="s">
        <v>292</v>
      </c>
      <c r="AO261" t="s">
        <v>292</v>
      </c>
      <c r="AP261" t="s">
        <v>434</v>
      </c>
      <c r="AQ261" t="s">
        <v>318</v>
      </c>
      <c r="AR261" t="s">
        <v>292</v>
      </c>
      <c r="AS261" t="s">
        <v>292</v>
      </c>
      <c r="AT261" t="s">
        <v>334</v>
      </c>
      <c r="AU261" t="s">
        <v>292</v>
      </c>
      <c r="AV261" t="s">
        <v>435</v>
      </c>
      <c r="AY261" t="s">
        <v>471</v>
      </c>
      <c r="AZ261" t="s">
        <v>472</v>
      </c>
      <c r="BA261" t="s">
        <v>292</v>
      </c>
      <c r="BB261" t="s">
        <v>292</v>
      </c>
      <c r="BC261" t="s">
        <v>292</v>
      </c>
      <c r="BD261" t="s">
        <v>292</v>
      </c>
      <c r="BE261" t="s">
        <v>292</v>
      </c>
      <c r="BF261" t="s">
        <v>292</v>
      </c>
      <c r="CK261" t="s">
        <v>560</v>
      </c>
      <c r="CL261" t="s">
        <v>561</v>
      </c>
      <c r="CM261" t="s">
        <v>9</v>
      </c>
      <c r="CN261" s="2">
        <v>43328</v>
      </c>
      <c r="CO261" t="s">
        <v>292</v>
      </c>
      <c r="CP261" t="s">
        <v>303</v>
      </c>
      <c r="CQ261" t="s">
        <v>303</v>
      </c>
      <c r="CR261" t="s">
        <v>304</v>
      </c>
      <c r="CS261" t="s">
        <v>292</v>
      </c>
      <c r="CT261">
        <v>0</v>
      </c>
      <c r="CU261" t="b">
        <v>0</v>
      </c>
      <c r="CV261" t="s">
        <v>439</v>
      </c>
      <c r="CW261" t="s">
        <v>292</v>
      </c>
      <c r="CX261" t="s">
        <v>292</v>
      </c>
      <c r="CY261" t="b">
        <v>0</v>
      </c>
      <c r="CZ261" t="b">
        <v>0</v>
      </c>
      <c r="DC261" t="s">
        <v>485</v>
      </c>
      <c r="DJ261">
        <f>DataTable[HLD_MaturityDate] - DataTable[SEC_Issue_Date]</f>
        <v>-43328</v>
      </c>
    </row>
    <row r="262" spans="1:114" x14ac:dyDescent="0.2">
      <c r="A262" s="2">
        <v>43376</v>
      </c>
      <c r="B262" t="s">
        <v>46</v>
      </c>
      <c r="C262" t="s">
        <v>38</v>
      </c>
      <c r="D262" t="s">
        <v>39</v>
      </c>
      <c r="E262" t="s">
        <v>40</v>
      </c>
      <c r="F262" t="s">
        <v>29</v>
      </c>
      <c r="R262">
        <v>0</v>
      </c>
      <c r="S262">
        <v>99.978142000000005</v>
      </c>
      <c r="T262">
        <v>-99978142</v>
      </c>
      <c r="V262">
        <v>-99978142</v>
      </c>
      <c r="Z262">
        <v>7</v>
      </c>
      <c r="AA262">
        <v>0</v>
      </c>
      <c r="AB262">
        <v>-4.6267440000000002E-4</v>
      </c>
      <c r="AC262" t="s">
        <v>29</v>
      </c>
      <c r="AE262" t="s">
        <v>469</v>
      </c>
      <c r="AF262" t="s">
        <v>502</v>
      </c>
      <c r="AG262" t="s">
        <v>502</v>
      </c>
      <c r="AH262" t="s">
        <v>330</v>
      </c>
      <c r="AI262" t="s">
        <v>468</v>
      </c>
      <c r="AJ262" t="s">
        <v>464</v>
      </c>
      <c r="AK262" t="s">
        <v>16</v>
      </c>
      <c r="AM262" t="s">
        <v>405</v>
      </c>
      <c r="AN262" t="s">
        <v>292</v>
      </c>
      <c r="AO262" t="s">
        <v>292</v>
      </c>
      <c r="AP262" t="s">
        <v>434</v>
      </c>
      <c r="AQ262" t="s">
        <v>318</v>
      </c>
      <c r="AR262" t="s">
        <v>292</v>
      </c>
      <c r="AS262" t="s">
        <v>292</v>
      </c>
      <c r="AT262" t="s">
        <v>334</v>
      </c>
      <c r="AU262" t="s">
        <v>292</v>
      </c>
      <c r="AV262" t="s">
        <v>435</v>
      </c>
      <c r="AY262" t="s">
        <v>471</v>
      </c>
      <c r="AZ262" t="s">
        <v>472</v>
      </c>
      <c r="BA262" t="s">
        <v>292</v>
      </c>
      <c r="BB262" t="s">
        <v>292</v>
      </c>
      <c r="BC262" t="s">
        <v>292</v>
      </c>
      <c r="BD262" t="s">
        <v>292</v>
      </c>
      <c r="BE262" t="s">
        <v>292</v>
      </c>
      <c r="BF262" t="s">
        <v>292</v>
      </c>
      <c r="CK262" t="s">
        <v>560</v>
      </c>
      <c r="CL262" t="s">
        <v>561</v>
      </c>
      <c r="CM262" t="s">
        <v>9</v>
      </c>
      <c r="CN262" s="2">
        <v>43202</v>
      </c>
      <c r="CO262" t="s">
        <v>292</v>
      </c>
      <c r="CP262" t="s">
        <v>303</v>
      </c>
      <c r="CQ262" t="s">
        <v>303</v>
      </c>
      <c r="CR262" t="s">
        <v>304</v>
      </c>
      <c r="CS262" t="s">
        <v>292</v>
      </c>
      <c r="CT262">
        <v>0</v>
      </c>
      <c r="CU262" t="b">
        <v>0</v>
      </c>
      <c r="CV262" t="s">
        <v>439</v>
      </c>
      <c r="CW262" t="s">
        <v>292</v>
      </c>
      <c r="CX262" t="s">
        <v>292</v>
      </c>
      <c r="CY262" t="b">
        <v>0</v>
      </c>
      <c r="CZ262" t="b">
        <v>0</v>
      </c>
      <c r="DC262" t="s">
        <v>503</v>
      </c>
      <c r="DJ262">
        <f>DataTable[HLD_MaturityDate] - DataTable[SEC_Issue_Date]</f>
        <v>-43202</v>
      </c>
    </row>
    <row r="263" spans="1:114" x14ac:dyDescent="0.2">
      <c r="A263" s="2">
        <v>43376</v>
      </c>
      <c r="B263" t="s">
        <v>46</v>
      </c>
      <c r="C263" t="s">
        <v>38</v>
      </c>
      <c r="D263" t="s">
        <v>39</v>
      </c>
      <c r="E263" t="s">
        <v>40</v>
      </c>
      <c r="F263" t="s">
        <v>30</v>
      </c>
      <c r="R263">
        <v>0</v>
      </c>
      <c r="S263">
        <v>99.978142000000005</v>
      </c>
      <c r="T263">
        <v>-99978142</v>
      </c>
      <c r="V263">
        <v>-99978142</v>
      </c>
      <c r="Z263">
        <v>7</v>
      </c>
      <c r="AA263">
        <v>0</v>
      </c>
      <c r="AB263">
        <v>-4.6267440000000002E-4</v>
      </c>
      <c r="AC263" t="s">
        <v>30</v>
      </c>
      <c r="AE263" t="s">
        <v>469</v>
      </c>
      <c r="AF263" t="s">
        <v>504</v>
      </c>
      <c r="AG263" t="s">
        <v>504</v>
      </c>
      <c r="AH263" t="s">
        <v>330</v>
      </c>
      <c r="AI263" t="s">
        <v>468</v>
      </c>
      <c r="AJ263" t="s">
        <v>464</v>
      </c>
      <c r="AK263" t="s">
        <v>16</v>
      </c>
      <c r="AM263" t="s">
        <v>405</v>
      </c>
      <c r="AN263" t="s">
        <v>292</v>
      </c>
      <c r="AO263" t="s">
        <v>292</v>
      </c>
      <c r="AP263" t="s">
        <v>434</v>
      </c>
      <c r="AQ263" t="s">
        <v>318</v>
      </c>
      <c r="AR263" t="s">
        <v>292</v>
      </c>
      <c r="AS263" t="s">
        <v>292</v>
      </c>
      <c r="AT263" t="s">
        <v>334</v>
      </c>
      <c r="AU263" t="s">
        <v>292</v>
      </c>
      <c r="AV263" t="s">
        <v>435</v>
      </c>
      <c r="AY263" t="s">
        <v>471</v>
      </c>
      <c r="AZ263" t="s">
        <v>472</v>
      </c>
      <c r="BA263" t="s">
        <v>292</v>
      </c>
      <c r="BB263" t="s">
        <v>292</v>
      </c>
      <c r="BC263" t="s">
        <v>292</v>
      </c>
      <c r="BD263" t="s">
        <v>292</v>
      </c>
      <c r="BE263" t="s">
        <v>292</v>
      </c>
      <c r="BF263" t="s">
        <v>292</v>
      </c>
      <c r="CK263" t="s">
        <v>560</v>
      </c>
      <c r="CL263" t="s">
        <v>561</v>
      </c>
      <c r="CM263" t="s">
        <v>9</v>
      </c>
      <c r="CN263" s="2">
        <v>43293</v>
      </c>
      <c r="CO263" t="s">
        <v>292</v>
      </c>
      <c r="CP263" t="s">
        <v>303</v>
      </c>
      <c r="CQ263" t="s">
        <v>303</v>
      </c>
      <c r="CR263" t="s">
        <v>304</v>
      </c>
      <c r="CS263" t="s">
        <v>292</v>
      </c>
      <c r="CT263">
        <v>0</v>
      </c>
      <c r="CU263" t="b">
        <v>0</v>
      </c>
      <c r="CV263" t="s">
        <v>439</v>
      </c>
      <c r="CW263" t="s">
        <v>292</v>
      </c>
      <c r="CX263" t="s">
        <v>292</v>
      </c>
      <c r="CY263" t="b">
        <v>0</v>
      </c>
      <c r="CZ263" t="b">
        <v>0</v>
      </c>
      <c r="DC263" t="s">
        <v>505</v>
      </c>
      <c r="DJ263">
        <f>DataTable[HLD_MaturityDate] - DataTable[SEC_Issue_Date]</f>
        <v>-43293</v>
      </c>
    </row>
    <row r="264" spans="1:114" x14ac:dyDescent="0.2">
      <c r="A264" s="2">
        <v>43376</v>
      </c>
      <c r="B264" t="s">
        <v>46</v>
      </c>
      <c r="C264" t="s">
        <v>38</v>
      </c>
      <c r="D264" t="s">
        <v>39</v>
      </c>
      <c r="E264" t="s">
        <v>40</v>
      </c>
      <c r="F264" t="s">
        <v>52</v>
      </c>
      <c r="R264">
        <v>0</v>
      </c>
      <c r="S264">
        <v>99.963483999999994</v>
      </c>
      <c r="T264">
        <v>-2772987059.8000002</v>
      </c>
      <c r="V264">
        <v>-2772987059.8000002</v>
      </c>
      <c r="Z264">
        <v>7</v>
      </c>
      <c r="AA264">
        <v>0</v>
      </c>
      <c r="AB264">
        <v>-1.2832705E-2</v>
      </c>
      <c r="AC264" t="s">
        <v>52</v>
      </c>
      <c r="AE264" t="s">
        <v>719</v>
      </c>
      <c r="AF264" t="s">
        <v>720</v>
      </c>
      <c r="AG264" t="s">
        <v>720</v>
      </c>
      <c r="AH264" t="s">
        <v>330</v>
      </c>
      <c r="AI264" t="s">
        <v>468</v>
      </c>
      <c r="AJ264" t="s">
        <v>464</v>
      </c>
      <c r="AK264" t="s">
        <v>16</v>
      </c>
      <c r="AM264" t="s">
        <v>405</v>
      </c>
      <c r="AN264" t="s">
        <v>292</v>
      </c>
      <c r="AO264" t="s">
        <v>292</v>
      </c>
      <c r="AP264" t="s">
        <v>434</v>
      </c>
      <c r="AQ264" t="s">
        <v>318</v>
      </c>
      <c r="AR264" t="s">
        <v>292</v>
      </c>
      <c r="AS264" t="s">
        <v>292</v>
      </c>
      <c r="AT264" t="s">
        <v>334</v>
      </c>
      <c r="AU264" t="s">
        <v>292</v>
      </c>
      <c r="AV264" t="s">
        <v>435</v>
      </c>
      <c r="AY264" t="s">
        <v>471</v>
      </c>
      <c r="AZ264" t="s">
        <v>472</v>
      </c>
      <c r="BA264" t="s">
        <v>292</v>
      </c>
      <c r="BB264" t="s">
        <v>292</v>
      </c>
      <c r="BC264" t="s">
        <v>292</v>
      </c>
      <c r="BD264" t="s">
        <v>292</v>
      </c>
      <c r="BE264" t="s">
        <v>292</v>
      </c>
      <c r="BF264" t="s">
        <v>292</v>
      </c>
      <c r="CK264" t="s">
        <v>560</v>
      </c>
      <c r="CL264" t="s">
        <v>561</v>
      </c>
      <c r="CM264" t="s">
        <v>9</v>
      </c>
      <c r="CN264" s="2">
        <v>43375</v>
      </c>
      <c r="CO264" t="s">
        <v>292</v>
      </c>
      <c r="CP264" t="s">
        <v>303</v>
      </c>
      <c r="CQ264" t="s">
        <v>303</v>
      </c>
      <c r="CR264" t="s">
        <v>304</v>
      </c>
      <c r="CS264" t="s">
        <v>292</v>
      </c>
      <c r="CT264">
        <v>0</v>
      </c>
      <c r="CU264" t="b">
        <v>0</v>
      </c>
      <c r="CV264" t="s">
        <v>439</v>
      </c>
      <c r="CW264" t="s">
        <v>292</v>
      </c>
      <c r="CX264" t="s">
        <v>292</v>
      </c>
      <c r="CY264" t="b">
        <v>0</v>
      </c>
      <c r="CZ264" t="b">
        <v>0</v>
      </c>
      <c r="DC264" t="s">
        <v>292</v>
      </c>
      <c r="DJ264">
        <f>DataTable[HLD_MaturityDate] - DataTable[SEC_Issue_Date]</f>
        <v>-43375</v>
      </c>
    </row>
    <row r="265" spans="1:114" x14ac:dyDescent="0.2">
      <c r="A265" s="2">
        <v>43376</v>
      </c>
      <c r="B265" t="s">
        <v>46</v>
      </c>
      <c r="C265" t="s">
        <v>38</v>
      </c>
      <c r="D265" t="s">
        <v>39</v>
      </c>
      <c r="E265" t="s">
        <v>40</v>
      </c>
      <c r="F265" t="s">
        <v>33</v>
      </c>
      <c r="R265">
        <v>0</v>
      </c>
      <c r="S265">
        <v>99.933879000000005</v>
      </c>
      <c r="T265">
        <v>-129914042.7</v>
      </c>
      <c r="V265">
        <v>-129914042.7</v>
      </c>
      <c r="Z265">
        <v>7</v>
      </c>
      <c r="AA265">
        <v>0</v>
      </c>
      <c r="AB265">
        <v>-6.0121040000000005E-4</v>
      </c>
      <c r="AC265" t="s">
        <v>33</v>
      </c>
      <c r="AE265" t="s">
        <v>469</v>
      </c>
      <c r="AF265" t="s">
        <v>510</v>
      </c>
      <c r="AG265" t="s">
        <v>510</v>
      </c>
      <c r="AH265" t="s">
        <v>330</v>
      </c>
      <c r="AI265" t="s">
        <v>468</v>
      </c>
      <c r="AJ265" t="s">
        <v>464</v>
      </c>
      <c r="AK265" t="s">
        <v>16</v>
      </c>
      <c r="AM265" t="s">
        <v>405</v>
      </c>
      <c r="AN265" t="s">
        <v>292</v>
      </c>
      <c r="AO265" t="s">
        <v>292</v>
      </c>
      <c r="AP265" t="s">
        <v>434</v>
      </c>
      <c r="AQ265" t="s">
        <v>318</v>
      </c>
      <c r="AR265" t="s">
        <v>292</v>
      </c>
      <c r="AS265" t="s">
        <v>292</v>
      </c>
      <c r="AT265" t="s">
        <v>334</v>
      </c>
      <c r="AU265" t="s">
        <v>292</v>
      </c>
      <c r="AV265" t="s">
        <v>435</v>
      </c>
      <c r="AY265" t="s">
        <v>471</v>
      </c>
      <c r="AZ265" t="s">
        <v>472</v>
      </c>
      <c r="BA265" t="s">
        <v>292</v>
      </c>
      <c r="BB265" t="s">
        <v>292</v>
      </c>
      <c r="BC265" t="s">
        <v>292</v>
      </c>
      <c r="BD265" t="s">
        <v>292</v>
      </c>
      <c r="BE265" t="s">
        <v>292</v>
      </c>
      <c r="BF265" t="s">
        <v>292</v>
      </c>
      <c r="CK265" t="s">
        <v>560</v>
      </c>
      <c r="CL265" t="s">
        <v>561</v>
      </c>
      <c r="CM265" t="s">
        <v>9</v>
      </c>
      <c r="CN265" s="2">
        <v>43216</v>
      </c>
      <c r="CO265" t="s">
        <v>292</v>
      </c>
      <c r="CP265" t="s">
        <v>303</v>
      </c>
      <c r="CQ265" t="s">
        <v>303</v>
      </c>
      <c r="CR265" t="s">
        <v>304</v>
      </c>
      <c r="CS265" t="s">
        <v>292</v>
      </c>
      <c r="CT265">
        <v>0</v>
      </c>
      <c r="CU265" t="b">
        <v>0</v>
      </c>
      <c r="CV265" t="s">
        <v>439</v>
      </c>
      <c r="CW265" t="s">
        <v>292</v>
      </c>
      <c r="CX265" t="s">
        <v>292</v>
      </c>
      <c r="CY265" t="b">
        <v>0</v>
      </c>
      <c r="CZ265" t="b">
        <v>0</v>
      </c>
      <c r="DC265" t="s">
        <v>511</v>
      </c>
      <c r="DJ265">
        <f>DataTable[HLD_MaturityDate] - DataTable[SEC_Issue_Date]</f>
        <v>-43216</v>
      </c>
    </row>
    <row r="266" spans="1:114" x14ac:dyDescent="0.2">
      <c r="A266" s="2">
        <v>43376</v>
      </c>
      <c r="B266" t="s">
        <v>46</v>
      </c>
      <c r="C266" t="s">
        <v>38</v>
      </c>
      <c r="D266" t="s">
        <v>39</v>
      </c>
      <c r="E266" t="s">
        <v>40</v>
      </c>
      <c r="F266" t="s">
        <v>721</v>
      </c>
      <c r="R266">
        <v>0</v>
      </c>
      <c r="S266">
        <v>99.628932000000006</v>
      </c>
      <c r="T266">
        <v>-301875662.52999997</v>
      </c>
      <c r="V266">
        <v>-301875662.52999997</v>
      </c>
      <c r="Z266">
        <v>7</v>
      </c>
      <c r="AA266">
        <v>0</v>
      </c>
      <c r="AB266">
        <v>-1.3970066000000001E-3</v>
      </c>
      <c r="AC266" t="s">
        <v>721</v>
      </c>
      <c r="AE266" t="s">
        <v>469</v>
      </c>
      <c r="AF266" t="s">
        <v>722</v>
      </c>
      <c r="AG266" t="s">
        <v>722</v>
      </c>
      <c r="AH266" t="s">
        <v>330</v>
      </c>
      <c r="AI266" t="s">
        <v>468</v>
      </c>
      <c r="AJ266" t="s">
        <v>464</v>
      </c>
      <c r="AK266" t="s">
        <v>16</v>
      </c>
      <c r="AM266" t="s">
        <v>405</v>
      </c>
      <c r="AN266" t="s">
        <v>292</v>
      </c>
      <c r="AO266" t="s">
        <v>292</v>
      </c>
      <c r="AP266" t="s">
        <v>434</v>
      </c>
      <c r="AQ266" t="s">
        <v>318</v>
      </c>
      <c r="AR266" t="s">
        <v>292</v>
      </c>
      <c r="AS266" t="s">
        <v>292</v>
      </c>
      <c r="AT266" t="s">
        <v>334</v>
      </c>
      <c r="AU266" t="s">
        <v>292</v>
      </c>
      <c r="AV266" t="s">
        <v>435</v>
      </c>
      <c r="AY266" t="s">
        <v>471</v>
      </c>
      <c r="AZ266" t="s">
        <v>472</v>
      </c>
      <c r="BA266" t="s">
        <v>292</v>
      </c>
      <c r="BB266" t="s">
        <v>292</v>
      </c>
      <c r="BC266" t="s">
        <v>292</v>
      </c>
      <c r="BD266" t="s">
        <v>292</v>
      </c>
      <c r="BE266" t="s">
        <v>292</v>
      </c>
      <c r="BF266" t="s">
        <v>292</v>
      </c>
      <c r="CK266" t="s">
        <v>560</v>
      </c>
      <c r="CL266" t="s">
        <v>561</v>
      </c>
      <c r="CM266" t="s">
        <v>9</v>
      </c>
      <c r="CN266" s="2">
        <v>43286</v>
      </c>
      <c r="CO266" t="s">
        <v>292</v>
      </c>
      <c r="CP266" t="s">
        <v>303</v>
      </c>
      <c r="CQ266" t="s">
        <v>303</v>
      </c>
      <c r="CR266" t="s">
        <v>304</v>
      </c>
      <c r="CS266" t="s">
        <v>292</v>
      </c>
      <c r="CT266">
        <v>0</v>
      </c>
      <c r="CU266" t="b">
        <v>0</v>
      </c>
      <c r="CV266" t="s">
        <v>439</v>
      </c>
      <c r="CW266" t="s">
        <v>292</v>
      </c>
      <c r="CX266" t="s">
        <v>292</v>
      </c>
      <c r="CY266" t="b">
        <v>0</v>
      </c>
      <c r="CZ266" t="b">
        <v>0</v>
      </c>
      <c r="DC266" t="s">
        <v>723</v>
      </c>
      <c r="DJ266">
        <f>DataTable[HLD_MaturityDate] - DataTable[SEC_Issue_Date]</f>
        <v>-43286</v>
      </c>
    </row>
    <row r="267" spans="1:114" x14ac:dyDescent="0.2">
      <c r="A267" s="2">
        <v>43376</v>
      </c>
      <c r="B267" t="s">
        <v>46</v>
      </c>
      <c r="C267" t="s">
        <v>38</v>
      </c>
      <c r="D267" t="s">
        <v>39</v>
      </c>
      <c r="E267" t="s">
        <v>40</v>
      </c>
      <c r="F267" t="s">
        <v>35</v>
      </c>
      <c r="R267">
        <v>0</v>
      </c>
      <c r="S267">
        <v>99.629741999999993</v>
      </c>
      <c r="T267">
        <v>-6394236863.75</v>
      </c>
      <c r="V267">
        <v>-6394236863.75</v>
      </c>
      <c r="Z267">
        <v>7</v>
      </c>
      <c r="AA267">
        <v>0</v>
      </c>
      <c r="AB267">
        <v>-2.95909624E-2</v>
      </c>
      <c r="AC267" t="s">
        <v>35</v>
      </c>
      <c r="AE267" t="s">
        <v>514</v>
      </c>
      <c r="AF267" t="s">
        <v>515</v>
      </c>
      <c r="AG267" t="s">
        <v>515</v>
      </c>
      <c r="AH267" t="s">
        <v>330</v>
      </c>
      <c r="AI267" t="s">
        <v>468</v>
      </c>
      <c r="AJ267" t="s">
        <v>464</v>
      </c>
      <c r="AK267" t="s">
        <v>16</v>
      </c>
      <c r="AM267" t="s">
        <v>405</v>
      </c>
      <c r="AN267" t="s">
        <v>292</v>
      </c>
      <c r="AO267" t="s">
        <v>292</v>
      </c>
      <c r="AP267" t="s">
        <v>434</v>
      </c>
      <c r="AQ267" t="s">
        <v>318</v>
      </c>
      <c r="AR267" t="s">
        <v>292</v>
      </c>
      <c r="AS267" t="s">
        <v>292</v>
      </c>
      <c r="AT267" t="s">
        <v>334</v>
      </c>
      <c r="AU267" t="s">
        <v>292</v>
      </c>
      <c r="AV267" t="s">
        <v>435</v>
      </c>
      <c r="AY267" t="s">
        <v>471</v>
      </c>
      <c r="AZ267" t="s">
        <v>472</v>
      </c>
      <c r="BA267" t="s">
        <v>292</v>
      </c>
      <c r="BB267" t="s">
        <v>292</v>
      </c>
      <c r="BC267" t="s">
        <v>292</v>
      </c>
      <c r="BD267" t="s">
        <v>292</v>
      </c>
      <c r="BE267" t="s">
        <v>292</v>
      </c>
      <c r="BF267" t="s">
        <v>292</v>
      </c>
      <c r="CK267" t="s">
        <v>560</v>
      </c>
      <c r="CL267" t="s">
        <v>561</v>
      </c>
      <c r="CM267" t="s">
        <v>9</v>
      </c>
      <c r="CN267" s="2">
        <v>43377</v>
      </c>
      <c r="CO267" t="s">
        <v>292</v>
      </c>
      <c r="CP267" t="s">
        <v>303</v>
      </c>
      <c r="CQ267" t="s">
        <v>303</v>
      </c>
      <c r="CR267" t="s">
        <v>304</v>
      </c>
      <c r="CS267" t="s">
        <v>292</v>
      </c>
      <c r="CT267">
        <v>0</v>
      </c>
      <c r="CU267" t="b">
        <v>0</v>
      </c>
      <c r="CV267" t="s">
        <v>439</v>
      </c>
      <c r="CW267" t="s">
        <v>292</v>
      </c>
      <c r="CX267" t="s">
        <v>292</v>
      </c>
      <c r="CY267" t="b">
        <v>0</v>
      </c>
      <c r="CZ267" t="b">
        <v>0</v>
      </c>
      <c r="DC267" t="s">
        <v>292</v>
      </c>
      <c r="DJ267">
        <f>DataTable[HLD_MaturityDate] - DataTable[SEC_Issue_Date]</f>
        <v>-43377</v>
      </c>
    </row>
    <row r="268" spans="1:114" x14ac:dyDescent="0.2">
      <c r="A268" s="2">
        <v>43376</v>
      </c>
      <c r="B268" t="s">
        <v>46</v>
      </c>
      <c r="C268" t="s">
        <v>38</v>
      </c>
      <c r="D268" t="s">
        <v>39</v>
      </c>
      <c r="E268" t="s">
        <v>553</v>
      </c>
      <c r="F268" t="s">
        <v>29</v>
      </c>
      <c r="R268">
        <v>0</v>
      </c>
      <c r="S268">
        <v>99.981263999999996</v>
      </c>
      <c r="T268">
        <v>-23995503.359999999</v>
      </c>
      <c r="V268">
        <v>-23995503.359999999</v>
      </c>
      <c r="Z268">
        <v>7</v>
      </c>
      <c r="AA268">
        <v>0</v>
      </c>
      <c r="AB268">
        <v>-1.110453E-4</v>
      </c>
      <c r="AC268" t="s">
        <v>29</v>
      </c>
      <c r="AE268" t="s">
        <v>469</v>
      </c>
      <c r="AF268" t="s">
        <v>502</v>
      </c>
      <c r="AG268" t="s">
        <v>502</v>
      </c>
      <c r="AH268" t="s">
        <v>330</v>
      </c>
      <c r="AI268" t="s">
        <v>468</v>
      </c>
      <c r="AJ268" t="s">
        <v>464</v>
      </c>
      <c r="AK268" t="s">
        <v>16</v>
      </c>
      <c r="AM268" t="s">
        <v>405</v>
      </c>
      <c r="AN268" t="s">
        <v>292</v>
      </c>
      <c r="AO268" t="s">
        <v>292</v>
      </c>
      <c r="AP268" t="s">
        <v>434</v>
      </c>
      <c r="AQ268" t="s">
        <v>318</v>
      </c>
      <c r="AR268" t="s">
        <v>292</v>
      </c>
      <c r="AS268" t="s">
        <v>292</v>
      </c>
      <c r="AT268" t="s">
        <v>334</v>
      </c>
      <c r="AU268" t="s">
        <v>292</v>
      </c>
      <c r="AV268" t="s">
        <v>435</v>
      </c>
      <c r="AY268" t="s">
        <v>471</v>
      </c>
      <c r="AZ268" t="s">
        <v>472</v>
      </c>
      <c r="BA268" t="s">
        <v>292</v>
      </c>
      <c r="BB268" t="s">
        <v>292</v>
      </c>
      <c r="BC268" t="s">
        <v>292</v>
      </c>
      <c r="BD268" t="s">
        <v>292</v>
      </c>
      <c r="BE268" t="s">
        <v>292</v>
      </c>
      <c r="BF268" t="s">
        <v>292</v>
      </c>
      <c r="CK268" t="s">
        <v>560</v>
      </c>
      <c r="CL268" t="s">
        <v>561</v>
      </c>
      <c r="CM268" t="s">
        <v>9</v>
      </c>
      <c r="CN268" s="2">
        <v>43202</v>
      </c>
      <c r="CO268" t="s">
        <v>292</v>
      </c>
      <c r="CP268" t="s">
        <v>303</v>
      </c>
      <c r="CQ268" t="s">
        <v>303</v>
      </c>
      <c r="CR268" t="s">
        <v>304</v>
      </c>
      <c r="CS268" t="s">
        <v>292</v>
      </c>
      <c r="CT268">
        <v>0</v>
      </c>
      <c r="CU268" t="b">
        <v>0</v>
      </c>
      <c r="CV268" t="s">
        <v>439</v>
      </c>
      <c r="CW268" t="s">
        <v>292</v>
      </c>
      <c r="CX268" t="s">
        <v>292</v>
      </c>
      <c r="CY268" t="b">
        <v>0</v>
      </c>
      <c r="CZ268" t="b">
        <v>0</v>
      </c>
      <c r="DC268" t="s">
        <v>503</v>
      </c>
      <c r="DJ268">
        <f>DataTable[HLD_MaturityDate] - DataTable[SEC_Issue_Date]</f>
        <v>-43202</v>
      </c>
    </row>
    <row r="269" spans="1:114" x14ac:dyDescent="0.2">
      <c r="A269" s="2">
        <v>43376</v>
      </c>
      <c r="B269" t="s">
        <v>46</v>
      </c>
      <c r="C269" t="s">
        <v>38</v>
      </c>
      <c r="D269" t="s">
        <v>39</v>
      </c>
      <c r="E269" t="s">
        <v>553</v>
      </c>
      <c r="F269" t="s">
        <v>32</v>
      </c>
      <c r="R269">
        <v>0</v>
      </c>
      <c r="S269">
        <v>99.959413999999995</v>
      </c>
      <c r="T269">
        <v>-16993100.379999999</v>
      </c>
      <c r="V269">
        <v>-16993100.379999999</v>
      </c>
      <c r="Z269">
        <v>7</v>
      </c>
      <c r="AA269">
        <v>0</v>
      </c>
      <c r="AB269">
        <v>-7.8639899999999999E-5</v>
      </c>
      <c r="AC269" t="s">
        <v>32</v>
      </c>
      <c r="AE269" t="s">
        <v>469</v>
      </c>
      <c r="AF269" t="s">
        <v>508</v>
      </c>
      <c r="AG269" t="s">
        <v>508</v>
      </c>
      <c r="AH269" t="s">
        <v>330</v>
      </c>
      <c r="AI269" t="s">
        <v>468</v>
      </c>
      <c r="AJ269" t="s">
        <v>464</v>
      </c>
      <c r="AK269" t="s">
        <v>16</v>
      </c>
      <c r="AM269" t="s">
        <v>405</v>
      </c>
      <c r="AN269" t="s">
        <v>292</v>
      </c>
      <c r="AO269" t="s">
        <v>292</v>
      </c>
      <c r="AP269" t="s">
        <v>434</v>
      </c>
      <c r="AQ269" t="s">
        <v>318</v>
      </c>
      <c r="AR269" t="s">
        <v>292</v>
      </c>
      <c r="AS269" t="s">
        <v>292</v>
      </c>
      <c r="AT269" t="s">
        <v>334</v>
      </c>
      <c r="AU269" t="s">
        <v>292</v>
      </c>
      <c r="AV269" t="s">
        <v>435</v>
      </c>
      <c r="AY269" t="s">
        <v>471</v>
      </c>
      <c r="AZ269" t="s">
        <v>472</v>
      </c>
      <c r="BA269" t="s">
        <v>292</v>
      </c>
      <c r="BB269" t="s">
        <v>292</v>
      </c>
      <c r="BC269" t="s">
        <v>292</v>
      </c>
      <c r="BD269" t="s">
        <v>292</v>
      </c>
      <c r="BE269" t="s">
        <v>292</v>
      </c>
      <c r="BF269" t="s">
        <v>292</v>
      </c>
      <c r="CK269" t="s">
        <v>560</v>
      </c>
      <c r="CL269" t="s">
        <v>561</v>
      </c>
      <c r="CM269" t="s">
        <v>9</v>
      </c>
      <c r="CN269" s="2">
        <v>43300</v>
      </c>
      <c r="CO269" t="s">
        <v>292</v>
      </c>
      <c r="CP269" t="s">
        <v>303</v>
      </c>
      <c r="CQ269" t="s">
        <v>303</v>
      </c>
      <c r="CR269" t="s">
        <v>304</v>
      </c>
      <c r="CS269" t="s">
        <v>292</v>
      </c>
      <c r="CT269">
        <v>0</v>
      </c>
      <c r="CU269" t="b">
        <v>0</v>
      </c>
      <c r="CV269" t="s">
        <v>439</v>
      </c>
      <c r="CW269" t="s">
        <v>292</v>
      </c>
      <c r="CX269" t="s">
        <v>292</v>
      </c>
      <c r="CY269" t="b">
        <v>0</v>
      </c>
      <c r="CZ269" t="b">
        <v>0</v>
      </c>
      <c r="DC269" t="s">
        <v>509</v>
      </c>
      <c r="DJ269">
        <f>DataTable[HLD_MaturityDate] - DataTable[SEC_Issue_Date]</f>
        <v>-43300</v>
      </c>
    </row>
    <row r="270" spans="1:114" x14ac:dyDescent="0.2">
      <c r="A270" s="2">
        <v>43376</v>
      </c>
      <c r="B270" t="s">
        <v>46</v>
      </c>
      <c r="C270" t="s">
        <v>38</v>
      </c>
      <c r="D270" t="s">
        <v>41</v>
      </c>
      <c r="E270" t="s">
        <v>41</v>
      </c>
      <c r="F270" t="s">
        <v>41</v>
      </c>
      <c r="T270">
        <v>-23958.99</v>
      </c>
      <c r="Z270">
        <v>0</v>
      </c>
      <c r="AA270">
        <v>0</v>
      </c>
      <c r="AB270">
        <v>-1.1089999999999999E-7</v>
      </c>
      <c r="CK270" t="s">
        <v>560</v>
      </c>
      <c r="CL270" t="s">
        <v>561</v>
      </c>
      <c r="CM270" t="s">
        <v>9</v>
      </c>
      <c r="CN270" s="2"/>
      <c r="DJ270">
        <f>DataTable[HLD_MaturityDate] - DataTable[SEC_Issue_Date]</f>
        <v>0</v>
      </c>
    </row>
    <row r="271" spans="1:114" x14ac:dyDescent="0.2">
      <c r="A271" s="2">
        <v>43376</v>
      </c>
      <c r="B271" t="s">
        <v>46</v>
      </c>
      <c r="C271" t="s">
        <v>38</v>
      </c>
      <c r="D271" t="s">
        <v>41</v>
      </c>
      <c r="E271" t="s">
        <v>41</v>
      </c>
      <c r="F271" t="s">
        <v>41</v>
      </c>
      <c r="T271">
        <v>-255000</v>
      </c>
      <c r="Z271">
        <v>0</v>
      </c>
      <c r="AA271">
        <v>0</v>
      </c>
      <c r="AB271">
        <v>-1.1800999999999999E-6</v>
      </c>
      <c r="CK271" t="s">
        <v>560</v>
      </c>
      <c r="CL271" t="s">
        <v>561</v>
      </c>
      <c r="CM271" t="s">
        <v>9</v>
      </c>
      <c r="CN271" s="2"/>
      <c r="DJ271">
        <f>DataTable[HLD_MaturityDate] - DataTable[SEC_Issue_Date]</f>
        <v>0</v>
      </c>
    </row>
    <row r="272" spans="1:114" x14ac:dyDescent="0.2">
      <c r="A272" s="2">
        <v>43376</v>
      </c>
      <c r="B272" t="s">
        <v>46</v>
      </c>
      <c r="C272" t="s">
        <v>38</v>
      </c>
      <c r="D272" t="s">
        <v>41</v>
      </c>
      <c r="E272" t="s">
        <v>41</v>
      </c>
      <c r="F272" t="s">
        <v>41</v>
      </c>
      <c r="T272">
        <v>-10000</v>
      </c>
      <c r="Z272">
        <v>0</v>
      </c>
      <c r="AA272">
        <v>0</v>
      </c>
      <c r="AB272">
        <v>-4.6299999999999998E-8</v>
      </c>
      <c r="CK272" t="s">
        <v>560</v>
      </c>
      <c r="CL272" t="s">
        <v>561</v>
      </c>
      <c r="CM272" t="s">
        <v>9</v>
      </c>
      <c r="CN272" s="2"/>
      <c r="DJ272">
        <f>DataTable[HLD_MaturityDate] - DataTable[SEC_Issue_Date]</f>
        <v>0</v>
      </c>
    </row>
    <row r="273" spans="1:114" x14ac:dyDescent="0.2">
      <c r="A273" s="2">
        <v>43376</v>
      </c>
      <c r="B273" t="s">
        <v>46</v>
      </c>
      <c r="C273" t="s">
        <v>38</v>
      </c>
      <c r="D273" t="s">
        <v>42</v>
      </c>
      <c r="T273">
        <v>-2151301.63</v>
      </c>
      <c r="U273">
        <v>0</v>
      </c>
      <c r="Z273">
        <v>0</v>
      </c>
      <c r="AA273">
        <v>0</v>
      </c>
      <c r="AB273">
        <v>-9.9557000000000002E-6</v>
      </c>
      <c r="CK273" t="s">
        <v>560</v>
      </c>
      <c r="CL273" t="s">
        <v>561</v>
      </c>
      <c r="CM273" t="s">
        <v>9</v>
      </c>
      <c r="CN273" s="2"/>
      <c r="DJ273">
        <f>DataTable[HLD_MaturityDate] - DataTable[SEC_Issue_Date]</f>
        <v>0</v>
      </c>
    </row>
    <row r="274" spans="1:114" x14ac:dyDescent="0.2">
      <c r="A274" s="2">
        <v>43376</v>
      </c>
      <c r="B274" t="s">
        <v>46</v>
      </c>
      <c r="C274" t="s">
        <v>38</v>
      </c>
      <c r="D274" t="s">
        <v>555</v>
      </c>
      <c r="E274" t="s">
        <v>555</v>
      </c>
      <c r="F274" t="s">
        <v>555</v>
      </c>
      <c r="T274">
        <v>-4182.17</v>
      </c>
      <c r="Z274">
        <v>0</v>
      </c>
      <c r="AA274">
        <v>0</v>
      </c>
      <c r="AB274">
        <v>-1.9399999999999998E-8</v>
      </c>
      <c r="CK274" t="s">
        <v>560</v>
      </c>
      <c r="CL274" t="s">
        <v>561</v>
      </c>
      <c r="CM274" t="s">
        <v>9</v>
      </c>
      <c r="CN274" s="2"/>
      <c r="DJ274">
        <f>DataTable[HLD_MaturityDate] - DataTable[SEC_Issue_Date]</f>
        <v>0</v>
      </c>
    </row>
    <row r="275" spans="1:114" x14ac:dyDescent="0.2">
      <c r="A275" s="2">
        <v>43376</v>
      </c>
      <c r="B275" t="s">
        <v>46</v>
      </c>
      <c r="C275" t="s">
        <v>38</v>
      </c>
      <c r="D275" t="s">
        <v>555</v>
      </c>
      <c r="E275" t="s">
        <v>555</v>
      </c>
      <c r="F275" t="s">
        <v>555</v>
      </c>
      <c r="T275">
        <v>-424.95</v>
      </c>
      <c r="Z275">
        <v>0</v>
      </c>
      <c r="AA275">
        <v>0</v>
      </c>
      <c r="AB275">
        <v>-2.0000000000000001E-9</v>
      </c>
      <c r="CK275" t="s">
        <v>560</v>
      </c>
      <c r="CL275" t="s">
        <v>561</v>
      </c>
      <c r="CM275" t="s">
        <v>9</v>
      </c>
      <c r="CN275" s="2"/>
      <c r="DJ275">
        <f>DataTable[HLD_MaturityDate] - DataTable[SEC_Issue_Date]</f>
        <v>0</v>
      </c>
    </row>
    <row r="276" spans="1:114" x14ac:dyDescent="0.2">
      <c r="A276" s="2">
        <v>43376</v>
      </c>
      <c r="B276" t="s">
        <v>46</v>
      </c>
      <c r="C276" t="s">
        <v>38</v>
      </c>
      <c r="D276" t="s">
        <v>44</v>
      </c>
      <c r="E276" t="s">
        <v>44</v>
      </c>
      <c r="T276">
        <v>-3691405.22</v>
      </c>
      <c r="V276">
        <v>-3691405.22</v>
      </c>
      <c r="Z276">
        <v>0</v>
      </c>
      <c r="AA276">
        <v>0</v>
      </c>
      <c r="AB276">
        <v>-1.7082899999999999E-5</v>
      </c>
      <c r="CK276" t="s">
        <v>560</v>
      </c>
      <c r="CL276" t="s">
        <v>561</v>
      </c>
      <c r="CM276" t="s">
        <v>9</v>
      </c>
      <c r="CN276" s="2"/>
      <c r="DJ276">
        <f>DataTable[HLD_MaturityDate] - DataTable[SEC_Issue_Date]</f>
        <v>0</v>
      </c>
    </row>
    <row r="277" spans="1:114" x14ac:dyDescent="0.2">
      <c r="A277" s="2">
        <v>43376</v>
      </c>
      <c r="B277" t="s">
        <v>46</v>
      </c>
      <c r="C277" t="s">
        <v>38</v>
      </c>
      <c r="D277" t="s">
        <v>43</v>
      </c>
      <c r="E277" t="s">
        <v>43</v>
      </c>
      <c r="T277">
        <v>-75526589.790000007</v>
      </c>
      <c r="V277">
        <v>-75526589.790000007</v>
      </c>
      <c r="Z277">
        <v>0</v>
      </c>
      <c r="AA277">
        <v>0</v>
      </c>
      <c r="AB277">
        <v>-3.4951859999999998E-4</v>
      </c>
      <c r="CK277" t="s">
        <v>560</v>
      </c>
      <c r="CL277" t="s">
        <v>561</v>
      </c>
      <c r="CM277" t="s">
        <v>9</v>
      </c>
      <c r="CN277" s="2"/>
      <c r="DJ277">
        <f>DataTable[HLD_MaturityDate] - DataTable[SEC_Issue_Date]</f>
        <v>0</v>
      </c>
    </row>
    <row r="278" spans="1:114" x14ac:dyDescent="0.2">
      <c r="A278" s="2">
        <v>43376</v>
      </c>
      <c r="B278" t="s">
        <v>46</v>
      </c>
      <c r="C278" t="s">
        <v>45</v>
      </c>
      <c r="D278" t="s">
        <v>44</v>
      </c>
      <c r="E278" t="s">
        <v>44</v>
      </c>
      <c r="T278">
        <v>-110857.09</v>
      </c>
      <c r="V278">
        <v>-110857.09</v>
      </c>
      <c r="Z278">
        <v>0</v>
      </c>
      <c r="AA278">
        <v>0</v>
      </c>
      <c r="AB278">
        <v>-5.13E-7</v>
      </c>
      <c r="CK278" t="s">
        <v>560</v>
      </c>
      <c r="CL278" t="s">
        <v>561</v>
      </c>
      <c r="CM278" t="s">
        <v>9</v>
      </c>
      <c r="CN278" s="2"/>
      <c r="DJ278">
        <f>DataTable[HLD_MaturityDate] - DataTable[SEC_Issue_Date]</f>
        <v>0</v>
      </c>
    </row>
    <row r="279" spans="1:114" x14ac:dyDescent="0.2">
      <c r="A279" s="2">
        <v>43376</v>
      </c>
      <c r="B279" t="s">
        <v>46</v>
      </c>
      <c r="C279" t="s">
        <v>45</v>
      </c>
      <c r="D279" t="s">
        <v>43</v>
      </c>
      <c r="E279" t="s">
        <v>43</v>
      </c>
      <c r="T279">
        <v>-2323243.7400000002</v>
      </c>
      <c r="V279">
        <v>-2323243.7400000002</v>
      </c>
      <c r="Z279">
        <v>0</v>
      </c>
      <c r="AA279">
        <v>0</v>
      </c>
      <c r="AB279">
        <v>-1.07514E-5</v>
      </c>
      <c r="CK279" t="s">
        <v>560</v>
      </c>
      <c r="CL279" t="s">
        <v>561</v>
      </c>
      <c r="CM279" t="s">
        <v>9</v>
      </c>
      <c r="CN279" s="2"/>
      <c r="DJ279">
        <f>DataTable[HLD_MaturityDate] - DataTable[SEC_Issue_Date]</f>
        <v>0</v>
      </c>
    </row>
    <row r="280" spans="1:114" x14ac:dyDescent="0.2">
      <c r="A280" s="2">
        <v>43376</v>
      </c>
      <c r="B280" t="s">
        <v>54</v>
      </c>
      <c r="C280" t="s">
        <v>7</v>
      </c>
      <c r="D280" t="s">
        <v>8</v>
      </c>
      <c r="F280" t="s">
        <v>10</v>
      </c>
      <c r="H280" t="s">
        <v>47</v>
      </c>
      <c r="J280" t="s">
        <v>287</v>
      </c>
      <c r="T280">
        <v>2361430.83</v>
      </c>
      <c r="U280">
        <v>5778.85</v>
      </c>
      <c r="V280">
        <v>2361430.83</v>
      </c>
      <c r="W280">
        <v>0</v>
      </c>
      <c r="X280">
        <v>0</v>
      </c>
      <c r="Z280">
        <v>2361430.83</v>
      </c>
      <c r="AA280">
        <v>0</v>
      </c>
      <c r="AB280">
        <v>6.1654549999999998E-4</v>
      </c>
      <c r="AC280" t="s">
        <v>324</v>
      </c>
      <c r="AE280" t="s">
        <v>292</v>
      </c>
      <c r="AH280" t="s">
        <v>289</v>
      </c>
      <c r="AI280" t="s">
        <v>292</v>
      </c>
      <c r="AJ280" t="s">
        <v>290</v>
      </c>
      <c r="AK280" t="s">
        <v>292</v>
      </c>
      <c r="AM280" t="s">
        <v>292</v>
      </c>
      <c r="AN280" t="s">
        <v>292</v>
      </c>
      <c r="AO280" t="s">
        <v>292</v>
      </c>
      <c r="AP280" t="s">
        <v>292</v>
      </c>
      <c r="AQ280" t="s">
        <v>318</v>
      </c>
      <c r="AR280" t="s">
        <v>292</v>
      </c>
      <c r="AS280" t="s">
        <v>292</v>
      </c>
      <c r="AT280" t="s">
        <v>292</v>
      </c>
      <c r="AU280" t="s">
        <v>295</v>
      </c>
      <c r="AV280" t="s">
        <v>292</v>
      </c>
      <c r="CK280" t="s">
        <v>983</v>
      </c>
      <c r="CL280" t="s">
        <v>984</v>
      </c>
      <c r="CM280" t="s">
        <v>9</v>
      </c>
      <c r="CN280" s="2">
        <v>2</v>
      </c>
      <c r="CO280" t="s">
        <v>292</v>
      </c>
      <c r="CP280" t="s">
        <v>303</v>
      </c>
      <c r="CS280" t="s">
        <v>292</v>
      </c>
      <c r="CU280" t="b">
        <v>1</v>
      </c>
      <c r="CV280" t="s">
        <v>292</v>
      </c>
      <c r="CY280" t="b">
        <v>0</v>
      </c>
      <c r="CZ280" t="b">
        <v>0</v>
      </c>
      <c r="DC280" t="s">
        <v>292</v>
      </c>
      <c r="DJ280">
        <f>DataTable[HLD_MaturityDate] - DataTable[SEC_Issue_Date]</f>
        <v>-2</v>
      </c>
    </row>
    <row r="281" spans="1:114" x14ac:dyDescent="0.2">
      <c r="A281" s="2">
        <v>43376</v>
      </c>
      <c r="B281" t="s">
        <v>54</v>
      </c>
      <c r="C281" t="s">
        <v>7</v>
      </c>
      <c r="D281" t="s">
        <v>11</v>
      </c>
      <c r="F281" t="s">
        <v>55</v>
      </c>
      <c r="H281" t="s">
        <v>377</v>
      </c>
      <c r="I281" t="s">
        <v>378</v>
      </c>
      <c r="J281" t="s">
        <v>287</v>
      </c>
      <c r="K281" t="s">
        <v>379</v>
      </c>
      <c r="N281" s="2">
        <v>43564</v>
      </c>
      <c r="O281">
        <v>188</v>
      </c>
      <c r="P281">
        <v>1.5</v>
      </c>
      <c r="T281">
        <v>60000000</v>
      </c>
      <c r="U281">
        <v>438904.11</v>
      </c>
      <c r="V281">
        <v>60000000</v>
      </c>
      <c r="W281">
        <v>0.51114800000000005</v>
      </c>
      <c r="X281">
        <v>60000000</v>
      </c>
      <c r="Z281">
        <v>60000000</v>
      </c>
      <c r="AA281">
        <v>1.5</v>
      </c>
      <c r="AB281">
        <v>1.5741458999999999E-2</v>
      </c>
      <c r="AC281" t="s">
        <v>55</v>
      </c>
      <c r="AE281" t="s">
        <v>380</v>
      </c>
      <c r="AF281" t="s">
        <v>381</v>
      </c>
      <c r="AG281" t="s">
        <v>381</v>
      </c>
      <c r="AH281" t="s">
        <v>330</v>
      </c>
      <c r="AI281" t="s">
        <v>377</v>
      </c>
      <c r="AJ281" t="s">
        <v>382</v>
      </c>
      <c r="AK281" t="s">
        <v>10</v>
      </c>
      <c r="AM281" t="s">
        <v>287</v>
      </c>
      <c r="AN281" t="s">
        <v>292</v>
      </c>
      <c r="AO281" t="s">
        <v>292</v>
      </c>
      <c r="AP281" t="s">
        <v>333</v>
      </c>
      <c r="AQ281" t="s">
        <v>318</v>
      </c>
      <c r="AR281" t="s">
        <v>292</v>
      </c>
      <c r="AS281" t="s">
        <v>292</v>
      </c>
      <c r="AT281" t="s">
        <v>334</v>
      </c>
      <c r="AU281" t="s">
        <v>292</v>
      </c>
      <c r="AV281" t="s">
        <v>335</v>
      </c>
      <c r="AY281" t="s">
        <v>383</v>
      </c>
      <c r="AZ281" t="s">
        <v>384</v>
      </c>
      <c r="BA281" t="s">
        <v>378</v>
      </c>
      <c r="BB281" t="s">
        <v>292</v>
      </c>
      <c r="BC281" t="s">
        <v>379</v>
      </c>
      <c r="BD281" t="s">
        <v>292</v>
      </c>
      <c r="BE281" t="s">
        <v>292</v>
      </c>
      <c r="BF281" t="s">
        <v>299</v>
      </c>
      <c r="BG281" t="s">
        <v>379</v>
      </c>
      <c r="BH281">
        <v>1</v>
      </c>
      <c r="BI281" t="s">
        <v>300</v>
      </c>
      <c r="BJ281" t="s">
        <v>300</v>
      </c>
      <c r="CK281" t="s">
        <v>983</v>
      </c>
      <c r="CL281" t="s">
        <v>984</v>
      </c>
      <c r="CM281" t="s">
        <v>9</v>
      </c>
      <c r="CN281" s="2">
        <v>43199</v>
      </c>
      <c r="CO281" t="s">
        <v>292</v>
      </c>
      <c r="CP281" t="s">
        <v>303</v>
      </c>
      <c r="CQ281" t="s">
        <v>303</v>
      </c>
      <c r="CR281" t="s">
        <v>304</v>
      </c>
      <c r="CS281" t="s">
        <v>292</v>
      </c>
      <c r="CT281">
        <v>30000</v>
      </c>
      <c r="CU281" t="b">
        <v>0</v>
      </c>
      <c r="CV281" t="s">
        <v>311</v>
      </c>
      <c r="CW281" t="s">
        <v>292</v>
      </c>
      <c r="CX281" t="s">
        <v>292</v>
      </c>
      <c r="CY281" t="b">
        <v>0</v>
      </c>
      <c r="CZ281" t="b">
        <v>0</v>
      </c>
      <c r="DC281" t="s">
        <v>292</v>
      </c>
      <c r="DJ281">
        <f>DataTable[HLD_MaturityDate] - DataTable[SEC_Issue_Date]</f>
        <v>365</v>
      </c>
    </row>
    <row r="282" spans="1:114" x14ac:dyDescent="0.2">
      <c r="A282" s="2">
        <v>43376</v>
      </c>
      <c r="B282" t="s">
        <v>54</v>
      </c>
      <c r="C282" t="s">
        <v>7</v>
      </c>
      <c r="D282" t="s">
        <v>11</v>
      </c>
      <c r="F282" t="s">
        <v>13</v>
      </c>
      <c r="H282" t="s">
        <v>377</v>
      </c>
      <c r="I282" t="s">
        <v>378</v>
      </c>
      <c r="J282" t="s">
        <v>287</v>
      </c>
      <c r="K282" t="s">
        <v>379</v>
      </c>
      <c r="N282" s="2">
        <v>43686</v>
      </c>
      <c r="O282">
        <v>310</v>
      </c>
      <c r="P282">
        <v>1.7</v>
      </c>
      <c r="T282">
        <v>20000000</v>
      </c>
      <c r="U282">
        <v>52164.38</v>
      </c>
      <c r="V282">
        <v>20000000</v>
      </c>
      <c r="W282">
        <v>0.83725700000000003</v>
      </c>
      <c r="X282">
        <v>20000000</v>
      </c>
      <c r="Z282">
        <v>20000000</v>
      </c>
      <c r="AA282">
        <v>1.7</v>
      </c>
      <c r="AB282">
        <v>5.2226347999999997E-3</v>
      </c>
      <c r="AC282" t="s">
        <v>13</v>
      </c>
      <c r="AE282" t="s">
        <v>380</v>
      </c>
      <c r="AF282" t="s">
        <v>381</v>
      </c>
      <c r="AG282" t="s">
        <v>381</v>
      </c>
      <c r="AH282" t="s">
        <v>330</v>
      </c>
      <c r="AI282" t="s">
        <v>377</v>
      </c>
      <c r="AJ282" t="s">
        <v>382</v>
      </c>
      <c r="AK282" t="s">
        <v>10</v>
      </c>
      <c r="AM282" t="s">
        <v>287</v>
      </c>
      <c r="AN282" t="s">
        <v>292</v>
      </c>
      <c r="AO282" t="s">
        <v>292</v>
      </c>
      <c r="AP282" t="s">
        <v>333</v>
      </c>
      <c r="AQ282" t="s">
        <v>318</v>
      </c>
      <c r="AR282" t="s">
        <v>292</v>
      </c>
      <c r="AS282" t="s">
        <v>292</v>
      </c>
      <c r="AT282" t="s">
        <v>334</v>
      </c>
      <c r="AU282" t="s">
        <v>292</v>
      </c>
      <c r="AV282" t="s">
        <v>335</v>
      </c>
      <c r="AY282" t="s">
        <v>383</v>
      </c>
      <c r="AZ282" t="s">
        <v>384</v>
      </c>
      <c r="BA282" t="s">
        <v>378</v>
      </c>
      <c r="BB282" t="s">
        <v>292</v>
      </c>
      <c r="BC282" t="s">
        <v>379</v>
      </c>
      <c r="BD282" t="s">
        <v>292</v>
      </c>
      <c r="BE282" t="s">
        <v>292</v>
      </c>
      <c r="BF282" t="s">
        <v>299</v>
      </c>
      <c r="BG282" t="s">
        <v>379</v>
      </c>
      <c r="BH282">
        <v>1</v>
      </c>
      <c r="BI282" t="s">
        <v>300</v>
      </c>
      <c r="BJ282" t="s">
        <v>300</v>
      </c>
      <c r="CK282" t="s">
        <v>983</v>
      </c>
      <c r="CL282" t="s">
        <v>984</v>
      </c>
      <c r="CM282" t="s">
        <v>9</v>
      </c>
      <c r="CN282" s="2">
        <v>43321</v>
      </c>
      <c r="CO282" t="s">
        <v>292</v>
      </c>
      <c r="CP282" t="s">
        <v>303</v>
      </c>
      <c r="CQ282" t="s">
        <v>303</v>
      </c>
      <c r="CR282" t="s">
        <v>304</v>
      </c>
      <c r="CS282" t="s">
        <v>292</v>
      </c>
      <c r="CT282">
        <v>30000</v>
      </c>
      <c r="CU282" t="b">
        <v>0</v>
      </c>
      <c r="CV282" t="s">
        <v>311</v>
      </c>
      <c r="CW282" t="s">
        <v>292</v>
      </c>
      <c r="CX282" t="s">
        <v>292</v>
      </c>
      <c r="CY282" t="b">
        <v>0</v>
      </c>
      <c r="CZ282" t="b">
        <v>0</v>
      </c>
      <c r="DC282" t="s">
        <v>292</v>
      </c>
      <c r="DJ282">
        <f>DataTable[HLD_MaturityDate] - DataTable[SEC_Issue_Date]</f>
        <v>365</v>
      </c>
    </row>
    <row r="283" spans="1:114" x14ac:dyDescent="0.2">
      <c r="A283" s="2">
        <v>43376</v>
      </c>
      <c r="B283" t="s">
        <v>54</v>
      </c>
      <c r="C283" t="s">
        <v>7</v>
      </c>
      <c r="D283" t="s">
        <v>11</v>
      </c>
      <c r="F283" t="s">
        <v>386</v>
      </c>
      <c r="H283" t="s">
        <v>377</v>
      </c>
      <c r="I283" t="s">
        <v>378</v>
      </c>
      <c r="J283" t="s">
        <v>287</v>
      </c>
      <c r="K283" t="s">
        <v>379</v>
      </c>
      <c r="N283" s="2">
        <v>43448</v>
      </c>
      <c r="O283">
        <v>72</v>
      </c>
      <c r="P283">
        <v>1.6</v>
      </c>
      <c r="T283">
        <v>50000000</v>
      </c>
      <c r="U283">
        <v>644383.56000000006</v>
      </c>
      <c r="V283">
        <v>50000000</v>
      </c>
      <c r="W283">
        <v>0.19664000000000001</v>
      </c>
      <c r="X283">
        <v>50000000</v>
      </c>
      <c r="Z283">
        <v>50000000</v>
      </c>
      <c r="AA283">
        <v>1.6</v>
      </c>
      <c r="AB283">
        <v>1.31904524E-2</v>
      </c>
      <c r="AC283" t="s">
        <v>386</v>
      </c>
      <c r="AE283" t="s">
        <v>380</v>
      </c>
      <c r="AF283" t="s">
        <v>381</v>
      </c>
      <c r="AG283" t="s">
        <v>381</v>
      </c>
      <c r="AH283" t="s">
        <v>330</v>
      </c>
      <c r="AI283" t="s">
        <v>377</v>
      </c>
      <c r="AJ283" t="s">
        <v>382</v>
      </c>
      <c r="AK283" t="s">
        <v>10</v>
      </c>
      <c r="AM283" t="s">
        <v>287</v>
      </c>
      <c r="AN283" t="s">
        <v>292</v>
      </c>
      <c r="AO283" t="s">
        <v>292</v>
      </c>
      <c r="AP283" t="s">
        <v>333</v>
      </c>
      <c r="AQ283" t="s">
        <v>318</v>
      </c>
      <c r="AR283" t="s">
        <v>292</v>
      </c>
      <c r="AS283" t="s">
        <v>292</v>
      </c>
      <c r="AT283" t="s">
        <v>334</v>
      </c>
      <c r="AU283" t="s">
        <v>292</v>
      </c>
      <c r="AV283" t="s">
        <v>335</v>
      </c>
      <c r="AY283" t="s">
        <v>383</v>
      </c>
      <c r="AZ283" t="s">
        <v>384</v>
      </c>
      <c r="BA283" t="s">
        <v>378</v>
      </c>
      <c r="BB283" t="s">
        <v>292</v>
      </c>
      <c r="BC283" t="s">
        <v>379</v>
      </c>
      <c r="BD283" t="s">
        <v>292</v>
      </c>
      <c r="BE283" t="s">
        <v>292</v>
      </c>
      <c r="BF283" t="s">
        <v>299</v>
      </c>
      <c r="BG283" t="s">
        <v>379</v>
      </c>
      <c r="BH283">
        <v>1</v>
      </c>
      <c r="BI283" t="s">
        <v>300</v>
      </c>
      <c r="BJ283" t="s">
        <v>300</v>
      </c>
      <c r="CK283" t="s">
        <v>983</v>
      </c>
      <c r="CL283" t="s">
        <v>984</v>
      </c>
      <c r="CM283" t="s">
        <v>9</v>
      </c>
      <c r="CN283" s="2">
        <v>43083</v>
      </c>
      <c r="CO283" t="s">
        <v>292</v>
      </c>
      <c r="CP283" t="s">
        <v>303</v>
      </c>
      <c r="CQ283" t="s">
        <v>303</v>
      </c>
      <c r="CR283" t="s">
        <v>304</v>
      </c>
      <c r="CS283" t="s">
        <v>292</v>
      </c>
      <c r="CT283">
        <v>30000</v>
      </c>
      <c r="CU283" t="b">
        <v>0</v>
      </c>
      <c r="CV283" t="s">
        <v>311</v>
      </c>
      <c r="CW283" t="s">
        <v>292</v>
      </c>
      <c r="CX283" t="s">
        <v>292</v>
      </c>
      <c r="CY283" t="b">
        <v>0</v>
      </c>
      <c r="CZ283" t="b">
        <v>0</v>
      </c>
      <c r="DC283" t="s">
        <v>292</v>
      </c>
      <c r="DJ283">
        <f>DataTable[HLD_MaturityDate] - DataTable[SEC_Issue_Date]</f>
        <v>365</v>
      </c>
    </row>
    <row r="284" spans="1:114" x14ac:dyDescent="0.2">
      <c r="A284" s="2">
        <v>43376</v>
      </c>
      <c r="B284" t="s">
        <v>54</v>
      </c>
      <c r="C284" t="s">
        <v>7</v>
      </c>
      <c r="D284" t="s">
        <v>11</v>
      </c>
      <c r="F284" t="s">
        <v>14</v>
      </c>
      <c r="H284" t="s">
        <v>377</v>
      </c>
      <c r="I284" t="s">
        <v>378</v>
      </c>
      <c r="J284" t="s">
        <v>287</v>
      </c>
      <c r="K284" t="s">
        <v>379</v>
      </c>
      <c r="N284" s="2">
        <v>43483</v>
      </c>
      <c r="O284">
        <v>107</v>
      </c>
      <c r="P284">
        <v>1.6</v>
      </c>
      <c r="T284">
        <v>50000000</v>
      </c>
      <c r="U284">
        <v>567671.23</v>
      </c>
      <c r="V284">
        <v>50000000</v>
      </c>
      <c r="W284">
        <v>0.29178199999999999</v>
      </c>
      <c r="X284">
        <v>50000000</v>
      </c>
      <c r="Z284">
        <v>50000000</v>
      </c>
      <c r="AA284">
        <v>1.6</v>
      </c>
      <c r="AB284">
        <v>1.3170472500000001E-2</v>
      </c>
      <c r="AC284" t="s">
        <v>14</v>
      </c>
      <c r="AE284" t="s">
        <v>380</v>
      </c>
      <c r="AF284" t="s">
        <v>381</v>
      </c>
      <c r="AG284" t="s">
        <v>381</v>
      </c>
      <c r="AH284" t="s">
        <v>330</v>
      </c>
      <c r="AI284" t="s">
        <v>377</v>
      </c>
      <c r="AJ284" t="s">
        <v>382</v>
      </c>
      <c r="AK284" t="s">
        <v>10</v>
      </c>
      <c r="AM284" t="s">
        <v>287</v>
      </c>
      <c r="AN284" t="s">
        <v>292</v>
      </c>
      <c r="AO284" t="s">
        <v>292</v>
      </c>
      <c r="AP284" t="s">
        <v>333</v>
      </c>
      <c r="AQ284" t="s">
        <v>318</v>
      </c>
      <c r="AR284" t="s">
        <v>292</v>
      </c>
      <c r="AS284" t="s">
        <v>292</v>
      </c>
      <c r="AT284" t="s">
        <v>334</v>
      </c>
      <c r="AU284" t="s">
        <v>292</v>
      </c>
      <c r="AV284" t="s">
        <v>335</v>
      </c>
      <c r="AY284" t="s">
        <v>383</v>
      </c>
      <c r="AZ284" t="s">
        <v>384</v>
      </c>
      <c r="BA284" t="s">
        <v>378</v>
      </c>
      <c r="BB284" t="s">
        <v>292</v>
      </c>
      <c r="BC284" t="s">
        <v>379</v>
      </c>
      <c r="BD284" t="s">
        <v>292</v>
      </c>
      <c r="BE284" t="s">
        <v>292</v>
      </c>
      <c r="BF284" t="s">
        <v>299</v>
      </c>
      <c r="BG284" t="s">
        <v>379</v>
      </c>
      <c r="BH284">
        <v>1</v>
      </c>
      <c r="BI284" t="s">
        <v>300</v>
      </c>
      <c r="BJ284" t="s">
        <v>300</v>
      </c>
      <c r="CK284" t="s">
        <v>983</v>
      </c>
      <c r="CL284" t="s">
        <v>984</v>
      </c>
      <c r="CM284" t="s">
        <v>9</v>
      </c>
      <c r="CN284" s="2">
        <v>43118</v>
      </c>
      <c r="CO284" t="s">
        <v>292</v>
      </c>
      <c r="CP284" t="s">
        <v>303</v>
      </c>
      <c r="CQ284" t="s">
        <v>303</v>
      </c>
      <c r="CR284" t="s">
        <v>304</v>
      </c>
      <c r="CS284" t="s">
        <v>292</v>
      </c>
      <c r="CT284">
        <v>30000</v>
      </c>
      <c r="CU284" t="b">
        <v>0</v>
      </c>
      <c r="CV284" t="s">
        <v>311</v>
      </c>
      <c r="CW284" t="s">
        <v>292</v>
      </c>
      <c r="CX284" t="s">
        <v>292</v>
      </c>
      <c r="CY284" t="b">
        <v>0</v>
      </c>
      <c r="CZ284" t="b">
        <v>0</v>
      </c>
      <c r="DC284" t="s">
        <v>292</v>
      </c>
      <c r="DJ284">
        <f>DataTable[HLD_MaturityDate] - DataTable[SEC_Issue_Date]</f>
        <v>365</v>
      </c>
    </row>
    <row r="285" spans="1:114" x14ac:dyDescent="0.2">
      <c r="A285" s="2">
        <v>43376</v>
      </c>
      <c r="B285" t="s">
        <v>54</v>
      </c>
      <c r="C285" t="s">
        <v>7</v>
      </c>
      <c r="D285" t="s">
        <v>11</v>
      </c>
      <c r="F285" t="s">
        <v>48</v>
      </c>
      <c r="H285" t="s">
        <v>377</v>
      </c>
      <c r="I285" t="s">
        <v>378</v>
      </c>
      <c r="J285" t="s">
        <v>287</v>
      </c>
      <c r="K285" t="s">
        <v>379</v>
      </c>
      <c r="N285" s="2">
        <v>43672</v>
      </c>
      <c r="O285">
        <v>296</v>
      </c>
      <c r="P285">
        <v>1.7</v>
      </c>
      <c r="T285">
        <v>30000000</v>
      </c>
      <c r="U285">
        <v>97808.22</v>
      </c>
      <c r="V285">
        <v>30000000</v>
      </c>
      <c r="W285">
        <v>0.79996599999999995</v>
      </c>
      <c r="X285">
        <v>30000000</v>
      </c>
      <c r="Z285">
        <v>30000000</v>
      </c>
      <c r="AA285">
        <v>1.7</v>
      </c>
      <c r="AB285">
        <v>7.8390470999999996E-3</v>
      </c>
      <c r="AC285" t="s">
        <v>48</v>
      </c>
      <c r="AE285" t="s">
        <v>380</v>
      </c>
      <c r="AF285" t="s">
        <v>381</v>
      </c>
      <c r="AG285" t="s">
        <v>381</v>
      </c>
      <c r="AH285" t="s">
        <v>330</v>
      </c>
      <c r="AI285" t="s">
        <v>377</v>
      </c>
      <c r="AJ285" t="s">
        <v>382</v>
      </c>
      <c r="AK285" t="s">
        <v>10</v>
      </c>
      <c r="AM285" t="s">
        <v>287</v>
      </c>
      <c r="AN285" t="s">
        <v>292</v>
      </c>
      <c r="AO285" t="s">
        <v>292</v>
      </c>
      <c r="AP285" t="s">
        <v>333</v>
      </c>
      <c r="AQ285" t="s">
        <v>318</v>
      </c>
      <c r="AR285" t="s">
        <v>292</v>
      </c>
      <c r="AS285" t="s">
        <v>292</v>
      </c>
      <c r="AT285" t="s">
        <v>334</v>
      </c>
      <c r="AU285" t="s">
        <v>292</v>
      </c>
      <c r="AV285" t="s">
        <v>335</v>
      </c>
      <c r="AY285" t="s">
        <v>383</v>
      </c>
      <c r="AZ285" t="s">
        <v>384</v>
      </c>
      <c r="BA285" t="s">
        <v>378</v>
      </c>
      <c r="BB285" t="s">
        <v>292</v>
      </c>
      <c r="BC285" t="s">
        <v>379</v>
      </c>
      <c r="BD285" t="s">
        <v>292</v>
      </c>
      <c r="BE285" t="s">
        <v>292</v>
      </c>
      <c r="BF285" t="s">
        <v>299</v>
      </c>
      <c r="BG285" t="s">
        <v>379</v>
      </c>
      <c r="BH285">
        <v>1</v>
      </c>
      <c r="BI285" t="s">
        <v>300</v>
      </c>
      <c r="BJ285" t="s">
        <v>300</v>
      </c>
      <c r="CK285" t="s">
        <v>983</v>
      </c>
      <c r="CL285" t="s">
        <v>984</v>
      </c>
      <c r="CM285" t="s">
        <v>9</v>
      </c>
      <c r="CN285" s="2">
        <v>43307</v>
      </c>
      <c r="CO285" t="s">
        <v>292</v>
      </c>
      <c r="CP285" t="s">
        <v>303</v>
      </c>
      <c r="CQ285" t="s">
        <v>303</v>
      </c>
      <c r="CR285" t="s">
        <v>304</v>
      </c>
      <c r="CS285" t="s">
        <v>292</v>
      </c>
      <c r="CT285">
        <v>30000</v>
      </c>
      <c r="CU285" t="b">
        <v>0</v>
      </c>
      <c r="CV285" t="s">
        <v>311</v>
      </c>
      <c r="CW285" t="s">
        <v>292</v>
      </c>
      <c r="CX285" t="s">
        <v>292</v>
      </c>
      <c r="CY285" t="b">
        <v>0</v>
      </c>
      <c r="CZ285" t="b">
        <v>0</v>
      </c>
      <c r="DC285" t="s">
        <v>292</v>
      </c>
      <c r="DJ285">
        <f>DataTable[HLD_MaturityDate] - DataTable[SEC_Issue_Date]</f>
        <v>365</v>
      </c>
    </row>
    <row r="286" spans="1:114" x14ac:dyDescent="0.2">
      <c r="A286" s="2">
        <v>43376</v>
      </c>
      <c r="B286" t="s">
        <v>54</v>
      </c>
      <c r="C286" t="s">
        <v>7</v>
      </c>
      <c r="D286" t="s">
        <v>11</v>
      </c>
      <c r="F286" t="s">
        <v>985</v>
      </c>
      <c r="H286" t="s">
        <v>414</v>
      </c>
      <c r="I286" t="s">
        <v>415</v>
      </c>
      <c r="J286" t="s">
        <v>287</v>
      </c>
      <c r="K286" t="s">
        <v>379</v>
      </c>
      <c r="N286" s="2">
        <v>44196</v>
      </c>
      <c r="O286">
        <v>820</v>
      </c>
      <c r="P286">
        <v>0.85</v>
      </c>
      <c r="T286">
        <v>18275021.050000001</v>
      </c>
      <c r="U286">
        <v>45670.080000000002</v>
      </c>
      <c r="V286">
        <v>18275021.050000001</v>
      </c>
      <c r="W286">
        <v>0</v>
      </c>
      <c r="X286">
        <v>18275021.050000001</v>
      </c>
      <c r="Z286">
        <v>18275021.050000001</v>
      </c>
      <c r="AA286">
        <v>0</v>
      </c>
      <c r="AB286">
        <v>4.7716683999999999E-3</v>
      </c>
      <c r="AC286" t="s">
        <v>985</v>
      </c>
      <c r="AE286" t="s">
        <v>409</v>
      </c>
      <c r="AF286" t="s">
        <v>416</v>
      </c>
      <c r="AH286" t="s">
        <v>330</v>
      </c>
      <c r="AI286" t="s">
        <v>414</v>
      </c>
      <c r="AJ286" t="s">
        <v>404</v>
      </c>
      <c r="AK286" t="s">
        <v>10</v>
      </c>
      <c r="AL286" t="s">
        <v>317</v>
      </c>
      <c r="AM286" t="s">
        <v>405</v>
      </c>
      <c r="AO286" t="s">
        <v>292</v>
      </c>
      <c r="AP286" t="s">
        <v>333</v>
      </c>
      <c r="AQ286" t="s">
        <v>318</v>
      </c>
      <c r="AR286" t="s">
        <v>292</v>
      </c>
      <c r="AS286" t="s">
        <v>292</v>
      </c>
      <c r="AT286" t="s">
        <v>292</v>
      </c>
      <c r="AU286" t="s">
        <v>295</v>
      </c>
      <c r="AV286" t="s">
        <v>335</v>
      </c>
      <c r="AY286" t="s">
        <v>417</v>
      </c>
      <c r="AZ286" t="s">
        <v>418</v>
      </c>
      <c r="BA286" t="s">
        <v>415</v>
      </c>
      <c r="BB286" t="s">
        <v>292</v>
      </c>
      <c r="BC286" t="s">
        <v>379</v>
      </c>
      <c r="BD286" t="s">
        <v>292</v>
      </c>
      <c r="BE286" t="s">
        <v>292</v>
      </c>
      <c r="BF286" t="s">
        <v>299</v>
      </c>
      <c r="BG286" t="s">
        <v>379</v>
      </c>
      <c r="BH286">
        <v>1</v>
      </c>
      <c r="BI286" t="s">
        <v>300</v>
      </c>
      <c r="BJ286" t="s">
        <v>300</v>
      </c>
      <c r="CK286" t="s">
        <v>983</v>
      </c>
      <c r="CL286" t="s">
        <v>984</v>
      </c>
      <c r="CM286" t="s">
        <v>9</v>
      </c>
      <c r="CN286" s="2">
        <v>40212</v>
      </c>
      <c r="CO286" t="s">
        <v>292</v>
      </c>
      <c r="CP286" t="s">
        <v>303</v>
      </c>
      <c r="CQ286" t="s">
        <v>303</v>
      </c>
      <c r="CR286" t="s">
        <v>304</v>
      </c>
      <c r="CS286" t="s">
        <v>292</v>
      </c>
      <c r="CT286">
        <v>17000</v>
      </c>
      <c r="CU286" t="b">
        <v>1</v>
      </c>
      <c r="CV286" t="s">
        <v>292</v>
      </c>
      <c r="CW286" t="s">
        <v>419</v>
      </c>
      <c r="CX286" t="s">
        <v>420</v>
      </c>
      <c r="CY286" t="b">
        <v>0</v>
      </c>
      <c r="CZ286" t="b">
        <v>0</v>
      </c>
      <c r="DC286" t="s">
        <v>292</v>
      </c>
      <c r="DJ286">
        <f>DataTable[HLD_MaturityDate] - DataTable[SEC_Issue_Date]</f>
        <v>3984</v>
      </c>
    </row>
    <row r="287" spans="1:114" x14ac:dyDescent="0.2">
      <c r="A287" s="2">
        <v>43376</v>
      </c>
      <c r="B287" t="s">
        <v>54</v>
      </c>
      <c r="C287" t="s">
        <v>7</v>
      </c>
      <c r="D287" t="s">
        <v>16</v>
      </c>
      <c r="F287" t="s">
        <v>17</v>
      </c>
      <c r="H287" t="s">
        <v>468</v>
      </c>
      <c r="J287" t="s">
        <v>462</v>
      </c>
      <c r="N287" s="2">
        <v>43440</v>
      </c>
      <c r="O287">
        <v>64</v>
      </c>
      <c r="Q287">
        <v>1.3</v>
      </c>
      <c r="T287">
        <v>149664178.5</v>
      </c>
      <c r="V287">
        <v>149653198.5</v>
      </c>
      <c r="W287">
        <v>0.17222399999999999</v>
      </c>
      <c r="X287">
        <v>150000000</v>
      </c>
      <c r="Z287">
        <v>149499579.34999999</v>
      </c>
      <c r="AA287">
        <v>1.3426</v>
      </c>
      <c r="AB287">
        <v>3.8980397799999997E-2</v>
      </c>
      <c r="AC287" t="s">
        <v>17</v>
      </c>
      <c r="AE287" t="s">
        <v>469</v>
      </c>
      <c r="AF287" t="s">
        <v>470</v>
      </c>
      <c r="AG287" t="s">
        <v>470</v>
      </c>
      <c r="AH287" t="s">
        <v>330</v>
      </c>
      <c r="AI287" t="s">
        <v>468</v>
      </c>
      <c r="AJ287" t="s">
        <v>464</v>
      </c>
      <c r="AK287" t="s">
        <v>16</v>
      </c>
      <c r="AM287" t="s">
        <v>405</v>
      </c>
      <c r="AN287" t="s">
        <v>292</v>
      </c>
      <c r="AO287" t="s">
        <v>292</v>
      </c>
      <c r="AP287" t="s">
        <v>434</v>
      </c>
      <c r="AQ287" t="s">
        <v>318</v>
      </c>
      <c r="AR287" t="s">
        <v>292</v>
      </c>
      <c r="AS287" t="s">
        <v>292</v>
      </c>
      <c r="AT287" t="s">
        <v>334</v>
      </c>
      <c r="AU287" t="s">
        <v>292</v>
      </c>
      <c r="AV287" t="s">
        <v>435</v>
      </c>
      <c r="AY287" t="s">
        <v>471</v>
      </c>
      <c r="AZ287" t="s">
        <v>472</v>
      </c>
      <c r="BA287" t="s">
        <v>292</v>
      </c>
      <c r="BB287" t="s">
        <v>292</v>
      </c>
      <c r="BC287" t="s">
        <v>292</v>
      </c>
      <c r="BD287" t="s">
        <v>292</v>
      </c>
      <c r="BE287" t="s">
        <v>292</v>
      </c>
      <c r="BF287" t="s">
        <v>292</v>
      </c>
      <c r="CK287" t="s">
        <v>983</v>
      </c>
      <c r="CL287" t="s">
        <v>984</v>
      </c>
      <c r="CM287" t="s">
        <v>9</v>
      </c>
      <c r="CN287" s="2">
        <v>43349</v>
      </c>
      <c r="CO287" t="s">
        <v>292</v>
      </c>
      <c r="CP287" t="s">
        <v>303</v>
      </c>
      <c r="CQ287" t="s">
        <v>303</v>
      </c>
      <c r="CR287" t="s">
        <v>304</v>
      </c>
      <c r="CS287" t="s">
        <v>292</v>
      </c>
      <c r="CT287">
        <v>0</v>
      </c>
      <c r="CU287" t="b">
        <v>0</v>
      </c>
      <c r="CV287" t="s">
        <v>439</v>
      </c>
      <c r="CW287" t="s">
        <v>292</v>
      </c>
      <c r="CX287" t="s">
        <v>292</v>
      </c>
      <c r="CY287" t="b">
        <v>0</v>
      </c>
      <c r="CZ287" t="b">
        <v>0</v>
      </c>
      <c r="DC287" t="s">
        <v>473</v>
      </c>
      <c r="DJ287">
        <f>DataTable[HLD_MaturityDate] - DataTable[SEC_Issue_Date]</f>
        <v>91</v>
      </c>
    </row>
    <row r="288" spans="1:114" x14ac:dyDescent="0.2">
      <c r="A288" s="2">
        <v>43376</v>
      </c>
      <c r="B288" t="s">
        <v>54</v>
      </c>
      <c r="C288" t="s">
        <v>7</v>
      </c>
      <c r="D288" t="s">
        <v>16</v>
      </c>
      <c r="F288" t="s">
        <v>18</v>
      </c>
      <c r="H288" t="s">
        <v>468</v>
      </c>
      <c r="J288" t="s">
        <v>462</v>
      </c>
      <c r="N288" s="2">
        <v>43447</v>
      </c>
      <c r="O288">
        <v>71</v>
      </c>
      <c r="Q288">
        <v>1.1525000000000001</v>
      </c>
      <c r="T288">
        <v>119735352</v>
      </c>
      <c r="V288">
        <v>119732716.8</v>
      </c>
      <c r="W288">
        <v>0.19130800000000001</v>
      </c>
      <c r="X288">
        <v>120000000</v>
      </c>
      <c r="Z288">
        <v>119652764.75</v>
      </c>
      <c r="AA288">
        <v>1.1639999999999999</v>
      </c>
      <c r="AB288">
        <v>3.1185362500000001E-2</v>
      </c>
      <c r="AC288" t="s">
        <v>18</v>
      </c>
      <c r="AE288" t="s">
        <v>469</v>
      </c>
      <c r="AF288" t="s">
        <v>474</v>
      </c>
      <c r="AG288" t="s">
        <v>474</v>
      </c>
      <c r="AH288" t="s">
        <v>330</v>
      </c>
      <c r="AI288" t="s">
        <v>468</v>
      </c>
      <c r="AJ288" t="s">
        <v>464</v>
      </c>
      <c r="AK288" t="s">
        <v>16</v>
      </c>
      <c r="AM288" t="s">
        <v>405</v>
      </c>
      <c r="AN288" t="s">
        <v>292</v>
      </c>
      <c r="AO288" t="s">
        <v>292</v>
      </c>
      <c r="AP288" t="s">
        <v>434</v>
      </c>
      <c r="AQ288" t="s">
        <v>318</v>
      </c>
      <c r="AR288" t="s">
        <v>292</v>
      </c>
      <c r="AS288" t="s">
        <v>292</v>
      </c>
      <c r="AT288" t="s">
        <v>334</v>
      </c>
      <c r="AU288" t="s">
        <v>292</v>
      </c>
      <c r="AV288" t="s">
        <v>435</v>
      </c>
      <c r="AY288" t="s">
        <v>471</v>
      </c>
      <c r="AZ288" t="s">
        <v>472</v>
      </c>
      <c r="BA288" t="s">
        <v>292</v>
      </c>
      <c r="BB288" t="s">
        <v>292</v>
      </c>
      <c r="BC288" t="s">
        <v>292</v>
      </c>
      <c r="BD288" t="s">
        <v>292</v>
      </c>
      <c r="BE288" t="s">
        <v>292</v>
      </c>
      <c r="BF288" t="s">
        <v>292</v>
      </c>
      <c r="CK288" t="s">
        <v>983</v>
      </c>
      <c r="CL288" t="s">
        <v>984</v>
      </c>
      <c r="CM288" t="s">
        <v>9</v>
      </c>
      <c r="CN288" s="2">
        <v>43356</v>
      </c>
      <c r="CO288" t="s">
        <v>292</v>
      </c>
      <c r="CP288" t="s">
        <v>303</v>
      </c>
      <c r="CQ288" t="s">
        <v>303</v>
      </c>
      <c r="CR288" t="s">
        <v>304</v>
      </c>
      <c r="CS288" t="s">
        <v>292</v>
      </c>
      <c r="CT288">
        <v>0</v>
      </c>
      <c r="CU288" t="b">
        <v>0</v>
      </c>
      <c r="CV288" t="s">
        <v>439</v>
      </c>
      <c r="CW288" t="s">
        <v>292</v>
      </c>
      <c r="CX288" t="s">
        <v>292</v>
      </c>
      <c r="CY288" t="b">
        <v>0</v>
      </c>
      <c r="CZ288" t="b">
        <v>0</v>
      </c>
      <c r="DC288" t="s">
        <v>475</v>
      </c>
      <c r="DJ288">
        <f>DataTable[HLD_MaturityDate] - DataTable[SEC_Issue_Date]</f>
        <v>91</v>
      </c>
    </row>
    <row r="289" spans="1:114" x14ac:dyDescent="0.2">
      <c r="A289" s="2">
        <v>43376</v>
      </c>
      <c r="B289" t="s">
        <v>54</v>
      </c>
      <c r="C289" t="s">
        <v>7</v>
      </c>
      <c r="D289" t="s">
        <v>16</v>
      </c>
      <c r="F289" t="s">
        <v>19</v>
      </c>
      <c r="H289" t="s">
        <v>468</v>
      </c>
      <c r="J289" t="s">
        <v>462</v>
      </c>
      <c r="N289" s="2">
        <v>43454</v>
      </c>
      <c r="O289">
        <v>78</v>
      </c>
      <c r="Q289">
        <v>1.2549999999999999</v>
      </c>
      <c r="T289">
        <v>200469251.46000001</v>
      </c>
      <c r="V289">
        <v>200418050.72999999</v>
      </c>
      <c r="W289">
        <v>0.21034700000000001</v>
      </c>
      <c r="X289">
        <v>201000000</v>
      </c>
      <c r="Z289">
        <v>200314829.05000001</v>
      </c>
      <c r="AA289">
        <v>1.3764179999999999</v>
      </c>
      <c r="AB289">
        <v>5.2212702100000001E-2</v>
      </c>
      <c r="AC289" t="s">
        <v>19</v>
      </c>
      <c r="AE289" t="s">
        <v>469</v>
      </c>
      <c r="AF289" t="s">
        <v>476</v>
      </c>
      <c r="AG289" t="s">
        <v>476</v>
      </c>
      <c r="AH289" t="s">
        <v>330</v>
      </c>
      <c r="AI289" t="s">
        <v>468</v>
      </c>
      <c r="AJ289" t="s">
        <v>464</v>
      </c>
      <c r="AK289" t="s">
        <v>16</v>
      </c>
      <c r="AM289" t="s">
        <v>405</v>
      </c>
      <c r="AN289" t="s">
        <v>292</v>
      </c>
      <c r="AO289" t="s">
        <v>292</v>
      </c>
      <c r="AP289" t="s">
        <v>434</v>
      </c>
      <c r="AQ289" t="s">
        <v>318</v>
      </c>
      <c r="AR289" t="s">
        <v>292</v>
      </c>
      <c r="AS289" t="s">
        <v>292</v>
      </c>
      <c r="AT289" t="s">
        <v>334</v>
      </c>
      <c r="AU289" t="s">
        <v>292</v>
      </c>
      <c r="AV289" t="s">
        <v>435</v>
      </c>
      <c r="AY289" t="s">
        <v>471</v>
      </c>
      <c r="AZ289" t="s">
        <v>472</v>
      </c>
      <c r="BA289" t="s">
        <v>292</v>
      </c>
      <c r="BB289" t="s">
        <v>292</v>
      </c>
      <c r="BC289" t="s">
        <v>292</v>
      </c>
      <c r="BD289" t="s">
        <v>292</v>
      </c>
      <c r="BE289" t="s">
        <v>292</v>
      </c>
      <c r="BF289" t="s">
        <v>292</v>
      </c>
      <c r="CK289" t="s">
        <v>983</v>
      </c>
      <c r="CL289" t="s">
        <v>984</v>
      </c>
      <c r="CM289" t="s">
        <v>9</v>
      </c>
      <c r="CN289" s="2">
        <v>43363</v>
      </c>
      <c r="CO289" t="s">
        <v>292</v>
      </c>
      <c r="CP289" t="s">
        <v>303</v>
      </c>
      <c r="CQ289" t="s">
        <v>303</v>
      </c>
      <c r="CR289" t="s">
        <v>304</v>
      </c>
      <c r="CS289" t="s">
        <v>292</v>
      </c>
      <c r="CT289">
        <v>0</v>
      </c>
      <c r="CU289" t="b">
        <v>0</v>
      </c>
      <c r="CV289" t="s">
        <v>439</v>
      </c>
      <c r="CW289" t="s">
        <v>292</v>
      </c>
      <c r="CX289" t="s">
        <v>292</v>
      </c>
      <c r="CY289" t="b">
        <v>0</v>
      </c>
      <c r="CZ289" t="b">
        <v>0</v>
      </c>
      <c r="DC289" t="s">
        <v>477</v>
      </c>
      <c r="DJ289">
        <f>DataTable[HLD_MaturityDate] - DataTable[SEC_Issue_Date]</f>
        <v>91</v>
      </c>
    </row>
    <row r="290" spans="1:114" x14ac:dyDescent="0.2">
      <c r="A290" s="2">
        <v>43376</v>
      </c>
      <c r="B290" t="s">
        <v>54</v>
      </c>
      <c r="C290" t="s">
        <v>7</v>
      </c>
      <c r="D290" t="s">
        <v>16</v>
      </c>
      <c r="F290" t="s">
        <v>50</v>
      </c>
      <c r="H290" t="s">
        <v>468</v>
      </c>
      <c r="J290" t="s">
        <v>462</v>
      </c>
      <c r="N290" s="2">
        <v>43461</v>
      </c>
      <c r="O290">
        <v>85</v>
      </c>
      <c r="Q290">
        <v>1.38</v>
      </c>
      <c r="T290">
        <v>99683416</v>
      </c>
      <c r="V290">
        <v>99657353</v>
      </c>
      <c r="W290">
        <v>0.229406</v>
      </c>
      <c r="X290">
        <v>100000000</v>
      </c>
      <c r="Z290">
        <v>99628906</v>
      </c>
      <c r="AA290">
        <v>1.494</v>
      </c>
      <c r="AB290">
        <v>2.59627872E-2</v>
      </c>
      <c r="AC290" t="s">
        <v>50</v>
      </c>
      <c r="AE290" t="s">
        <v>469</v>
      </c>
      <c r="AF290" t="s">
        <v>712</v>
      </c>
      <c r="AG290" t="s">
        <v>712</v>
      </c>
      <c r="AH290" t="s">
        <v>330</v>
      </c>
      <c r="AI290" t="s">
        <v>468</v>
      </c>
      <c r="AJ290" t="s">
        <v>464</v>
      </c>
      <c r="AK290" t="s">
        <v>16</v>
      </c>
      <c r="AM290" t="s">
        <v>405</v>
      </c>
      <c r="AN290" t="s">
        <v>292</v>
      </c>
      <c r="AO290" t="s">
        <v>292</v>
      </c>
      <c r="AP290" t="s">
        <v>434</v>
      </c>
      <c r="AQ290" t="s">
        <v>318</v>
      </c>
      <c r="AR290" t="s">
        <v>292</v>
      </c>
      <c r="AS290" t="s">
        <v>292</v>
      </c>
      <c r="AT290" t="s">
        <v>334</v>
      </c>
      <c r="AU290" t="s">
        <v>292</v>
      </c>
      <c r="AV290" t="s">
        <v>435</v>
      </c>
      <c r="AY290" t="s">
        <v>471</v>
      </c>
      <c r="AZ290" t="s">
        <v>472</v>
      </c>
      <c r="BA290" t="s">
        <v>292</v>
      </c>
      <c r="BB290" t="s">
        <v>292</v>
      </c>
      <c r="BC290" t="s">
        <v>292</v>
      </c>
      <c r="BD290" t="s">
        <v>292</v>
      </c>
      <c r="BE290" t="s">
        <v>292</v>
      </c>
      <c r="BF290" t="s">
        <v>292</v>
      </c>
      <c r="CK290" t="s">
        <v>983</v>
      </c>
      <c r="CL290" t="s">
        <v>984</v>
      </c>
      <c r="CM290" t="s">
        <v>9</v>
      </c>
      <c r="CN290" s="2">
        <v>43370</v>
      </c>
      <c r="CO290" t="s">
        <v>292</v>
      </c>
      <c r="CP290" t="s">
        <v>303</v>
      </c>
      <c r="CQ290" t="s">
        <v>303</v>
      </c>
      <c r="CR290" t="s">
        <v>304</v>
      </c>
      <c r="CS290" t="s">
        <v>292</v>
      </c>
      <c r="CT290">
        <v>0</v>
      </c>
      <c r="CU290" t="b">
        <v>0</v>
      </c>
      <c r="CV290" t="s">
        <v>439</v>
      </c>
      <c r="CW290" t="s">
        <v>292</v>
      </c>
      <c r="CX290" t="s">
        <v>292</v>
      </c>
      <c r="CY290" t="b">
        <v>0</v>
      </c>
      <c r="CZ290" t="b">
        <v>0</v>
      </c>
      <c r="DC290" t="s">
        <v>713</v>
      </c>
      <c r="DJ290">
        <f>DataTable[HLD_MaturityDate] - DataTable[SEC_Issue_Date]</f>
        <v>91</v>
      </c>
    </row>
    <row r="291" spans="1:114" x14ac:dyDescent="0.2">
      <c r="A291" s="2">
        <v>43376</v>
      </c>
      <c r="B291" t="s">
        <v>54</v>
      </c>
      <c r="C291" t="s">
        <v>7</v>
      </c>
      <c r="D291" t="s">
        <v>16</v>
      </c>
      <c r="F291" t="s">
        <v>51</v>
      </c>
      <c r="H291" t="s">
        <v>468</v>
      </c>
      <c r="J291" t="s">
        <v>462</v>
      </c>
      <c r="N291" s="2">
        <v>43405</v>
      </c>
      <c r="O291">
        <v>29</v>
      </c>
      <c r="Q291">
        <v>1.125</v>
      </c>
      <c r="T291">
        <v>59948263.799999997</v>
      </c>
      <c r="V291">
        <v>59948263.799999997</v>
      </c>
      <c r="W291">
        <v>7.6644000000000004E-2</v>
      </c>
      <c r="X291">
        <v>60000000</v>
      </c>
      <c r="Z291">
        <v>59918740.200000003</v>
      </c>
      <c r="AA291">
        <v>1.125</v>
      </c>
      <c r="AB291">
        <v>1.5613670499999999E-2</v>
      </c>
      <c r="AC291" t="s">
        <v>51</v>
      </c>
      <c r="AE291" t="s">
        <v>469</v>
      </c>
      <c r="AF291" t="s">
        <v>714</v>
      </c>
      <c r="AG291" t="s">
        <v>714</v>
      </c>
      <c r="AH291" t="s">
        <v>330</v>
      </c>
      <c r="AI291" t="s">
        <v>468</v>
      </c>
      <c r="AJ291" t="s">
        <v>464</v>
      </c>
      <c r="AK291" t="s">
        <v>16</v>
      </c>
      <c r="AM291" t="s">
        <v>405</v>
      </c>
      <c r="AN291" t="s">
        <v>292</v>
      </c>
      <c r="AO291" t="s">
        <v>292</v>
      </c>
      <c r="AP291" t="s">
        <v>434</v>
      </c>
      <c r="AQ291" t="s">
        <v>318</v>
      </c>
      <c r="AR291" t="s">
        <v>292</v>
      </c>
      <c r="AS291" t="s">
        <v>292</v>
      </c>
      <c r="AT291" t="s">
        <v>334</v>
      </c>
      <c r="AU291" t="s">
        <v>292</v>
      </c>
      <c r="AV291" t="s">
        <v>435</v>
      </c>
      <c r="AY291" t="s">
        <v>471</v>
      </c>
      <c r="AZ291" t="s">
        <v>472</v>
      </c>
      <c r="BA291" t="s">
        <v>292</v>
      </c>
      <c r="BB291" t="s">
        <v>292</v>
      </c>
      <c r="BC291" t="s">
        <v>292</v>
      </c>
      <c r="BD291" t="s">
        <v>292</v>
      </c>
      <c r="BE291" t="s">
        <v>292</v>
      </c>
      <c r="BF291" t="s">
        <v>292</v>
      </c>
      <c r="CK291" t="s">
        <v>983</v>
      </c>
      <c r="CL291" t="s">
        <v>984</v>
      </c>
      <c r="CM291" t="s">
        <v>9</v>
      </c>
      <c r="CN291" s="2">
        <v>43223</v>
      </c>
      <c r="CO291" t="s">
        <v>292</v>
      </c>
      <c r="CP291" t="s">
        <v>303</v>
      </c>
      <c r="CQ291" t="s">
        <v>303</v>
      </c>
      <c r="CR291" t="s">
        <v>304</v>
      </c>
      <c r="CS291" t="s">
        <v>292</v>
      </c>
      <c r="CT291">
        <v>0</v>
      </c>
      <c r="CU291" t="b">
        <v>0</v>
      </c>
      <c r="CV291" t="s">
        <v>439</v>
      </c>
      <c r="CW291" t="s">
        <v>292</v>
      </c>
      <c r="CX291" t="s">
        <v>292</v>
      </c>
      <c r="CY291" t="b">
        <v>0</v>
      </c>
      <c r="CZ291" t="b">
        <v>0</v>
      </c>
      <c r="DC291" t="s">
        <v>715</v>
      </c>
      <c r="DJ291">
        <f>DataTable[HLD_MaturityDate] - DataTable[SEC_Issue_Date]</f>
        <v>182</v>
      </c>
    </row>
    <row r="292" spans="1:114" x14ac:dyDescent="0.2">
      <c r="A292" s="2">
        <v>43376</v>
      </c>
      <c r="B292" t="s">
        <v>54</v>
      </c>
      <c r="C292" t="s">
        <v>7</v>
      </c>
      <c r="D292" t="s">
        <v>16</v>
      </c>
      <c r="F292" t="s">
        <v>20</v>
      </c>
      <c r="H292" t="s">
        <v>468</v>
      </c>
      <c r="J292" t="s">
        <v>462</v>
      </c>
      <c r="N292" s="2">
        <v>43405</v>
      </c>
      <c r="O292">
        <v>29</v>
      </c>
      <c r="Q292">
        <v>1.29</v>
      </c>
      <c r="T292">
        <v>199802278</v>
      </c>
      <c r="V292">
        <v>199801038</v>
      </c>
      <c r="W292">
        <v>7.6643000000000003E-2</v>
      </c>
      <c r="X292">
        <v>200000000</v>
      </c>
      <c r="Z292">
        <v>199354818.78999999</v>
      </c>
      <c r="AA292">
        <v>1.298095</v>
      </c>
      <c r="AB292">
        <v>5.2038987299999999E-2</v>
      </c>
      <c r="AC292" t="s">
        <v>20</v>
      </c>
      <c r="AE292" t="s">
        <v>469</v>
      </c>
      <c r="AF292" t="s">
        <v>478</v>
      </c>
      <c r="AG292" t="s">
        <v>478</v>
      </c>
      <c r="AH292" t="s">
        <v>330</v>
      </c>
      <c r="AI292" t="s">
        <v>468</v>
      </c>
      <c r="AJ292" t="s">
        <v>464</v>
      </c>
      <c r="AK292" t="s">
        <v>16</v>
      </c>
      <c r="AM292" t="s">
        <v>405</v>
      </c>
      <c r="AN292" t="s">
        <v>292</v>
      </c>
      <c r="AO292" t="s">
        <v>292</v>
      </c>
      <c r="AP292" t="s">
        <v>434</v>
      </c>
      <c r="AQ292" t="s">
        <v>318</v>
      </c>
      <c r="AR292" t="s">
        <v>292</v>
      </c>
      <c r="AS292" t="s">
        <v>292</v>
      </c>
      <c r="AT292" t="s">
        <v>334</v>
      </c>
      <c r="AU292" t="s">
        <v>292</v>
      </c>
      <c r="AV292" t="s">
        <v>435</v>
      </c>
      <c r="AY292" t="s">
        <v>471</v>
      </c>
      <c r="AZ292" t="s">
        <v>472</v>
      </c>
      <c r="BA292" t="s">
        <v>292</v>
      </c>
      <c r="BB292" t="s">
        <v>292</v>
      </c>
      <c r="BC292" t="s">
        <v>292</v>
      </c>
      <c r="BD292" t="s">
        <v>292</v>
      </c>
      <c r="BE292" t="s">
        <v>292</v>
      </c>
      <c r="BF292" t="s">
        <v>292</v>
      </c>
      <c r="CK292" t="s">
        <v>983</v>
      </c>
      <c r="CL292" t="s">
        <v>984</v>
      </c>
      <c r="CM292" t="s">
        <v>9</v>
      </c>
      <c r="CN292" s="2">
        <v>43314</v>
      </c>
      <c r="CO292" t="s">
        <v>292</v>
      </c>
      <c r="CP292" t="s">
        <v>303</v>
      </c>
      <c r="CQ292" t="s">
        <v>303</v>
      </c>
      <c r="CR292" t="s">
        <v>304</v>
      </c>
      <c r="CS292" t="s">
        <v>292</v>
      </c>
      <c r="CT292">
        <v>0</v>
      </c>
      <c r="CU292" t="b">
        <v>0</v>
      </c>
      <c r="CV292" t="s">
        <v>439</v>
      </c>
      <c r="CW292" t="s">
        <v>292</v>
      </c>
      <c r="CX292" t="s">
        <v>292</v>
      </c>
      <c r="CY292" t="b">
        <v>0</v>
      </c>
      <c r="CZ292" t="b">
        <v>0</v>
      </c>
      <c r="DC292" t="s">
        <v>479</v>
      </c>
      <c r="DJ292">
        <f>DataTable[HLD_MaturityDate] - DataTable[SEC_Issue_Date]</f>
        <v>91</v>
      </c>
    </row>
    <row r="293" spans="1:114" x14ac:dyDescent="0.2">
      <c r="A293" s="2">
        <v>43376</v>
      </c>
      <c r="B293" t="s">
        <v>54</v>
      </c>
      <c r="C293" t="s">
        <v>7</v>
      </c>
      <c r="D293" t="s">
        <v>16</v>
      </c>
      <c r="F293" t="s">
        <v>21</v>
      </c>
      <c r="H293" t="s">
        <v>468</v>
      </c>
      <c r="J293" t="s">
        <v>462</v>
      </c>
      <c r="N293" s="2">
        <v>43412</v>
      </c>
      <c r="O293">
        <v>36</v>
      </c>
      <c r="Q293">
        <v>1.2649999999999999</v>
      </c>
      <c r="T293">
        <v>19975769.199999999</v>
      </c>
      <c r="V293">
        <v>19975769.199999999</v>
      </c>
      <c r="W293">
        <v>9.5782000000000006E-2</v>
      </c>
      <c r="X293">
        <v>20000000</v>
      </c>
      <c r="Z293">
        <v>19942633.600000001</v>
      </c>
      <c r="AA293">
        <v>1.2649999999999999</v>
      </c>
      <c r="AB293">
        <v>5.2027375000000004E-3</v>
      </c>
      <c r="AC293" t="s">
        <v>21</v>
      </c>
      <c r="AE293" t="s">
        <v>469</v>
      </c>
      <c r="AF293" t="s">
        <v>480</v>
      </c>
      <c r="AG293" t="s">
        <v>480</v>
      </c>
      <c r="AH293" t="s">
        <v>330</v>
      </c>
      <c r="AI293" t="s">
        <v>468</v>
      </c>
      <c r="AJ293" t="s">
        <v>464</v>
      </c>
      <c r="AK293" t="s">
        <v>16</v>
      </c>
      <c r="AM293" t="s">
        <v>405</v>
      </c>
      <c r="AN293" t="s">
        <v>292</v>
      </c>
      <c r="AO293" t="s">
        <v>292</v>
      </c>
      <c r="AP293" t="s">
        <v>434</v>
      </c>
      <c r="AQ293" t="s">
        <v>318</v>
      </c>
      <c r="AR293" t="s">
        <v>292</v>
      </c>
      <c r="AS293" t="s">
        <v>292</v>
      </c>
      <c r="AT293" t="s">
        <v>334</v>
      </c>
      <c r="AU293" t="s">
        <v>292</v>
      </c>
      <c r="AV293" t="s">
        <v>435</v>
      </c>
      <c r="AY293" t="s">
        <v>471</v>
      </c>
      <c r="AZ293" t="s">
        <v>472</v>
      </c>
      <c r="BA293" t="s">
        <v>292</v>
      </c>
      <c r="BB293" t="s">
        <v>292</v>
      </c>
      <c r="BC293" t="s">
        <v>292</v>
      </c>
      <c r="BD293" t="s">
        <v>292</v>
      </c>
      <c r="BE293" t="s">
        <v>292</v>
      </c>
      <c r="BF293" t="s">
        <v>292</v>
      </c>
      <c r="CK293" t="s">
        <v>983</v>
      </c>
      <c r="CL293" t="s">
        <v>984</v>
      </c>
      <c r="CM293" t="s">
        <v>9</v>
      </c>
      <c r="CN293" s="2">
        <v>43230</v>
      </c>
      <c r="CO293" t="s">
        <v>292</v>
      </c>
      <c r="CP293" t="s">
        <v>303</v>
      </c>
      <c r="CQ293" t="s">
        <v>303</v>
      </c>
      <c r="CR293" t="s">
        <v>304</v>
      </c>
      <c r="CS293" t="s">
        <v>292</v>
      </c>
      <c r="CT293">
        <v>0</v>
      </c>
      <c r="CU293" t="b">
        <v>0</v>
      </c>
      <c r="CV293" t="s">
        <v>439</v>
      </c>
      <c r="CW293" t="s">
        <v>292</v>
      </c>
      <c r="CX293" t="s">
        <v>292</v>
      </c>
      <c r="CY293" t="b">
        <v>0</v>
      </c>
      <c r="CZ293" t="b">
        <v>0</v>
      </c>
      <c r="DC293" t="s">
        <v>481</v>
      </c>
      <c r="DJ293">
        <f>DataTable[HLD_MaturityDate] - DataTable[SEC_Issue_Date]</f>
        <v>182</v>
      </c>
    </row>
    <row r="294" spans="1:114" x14ac:dyDescent="0.2">
      <c r="A294" s="2">
        <v>43376</v>
      </c>
      <c r="B294" t="s">
        <v>54</v>
      </c>
      <c r="C294" t="s">
        <v>7</v>
      </c>
      <c r="D294" t="s">
        <v>16</v>
      </c>
      <c r="F294" t="s">
        <v>22</v>
      </c>
      <c r="H294" t="s">
        <v>468</v>
      </c>
      <c r="J294" t="s">
        <v>462</v>
      </c>
      <c r="N294" s="2">
        <v>43412</v>
      </c>
      <c r="O294">
        <v>36</v>
      </c>
      <c r="Q294">
        <v>1.255833</v>
      </c>
      <c r="T294">
        <v>239711332.80000001</v>
      </c>
      <c r="V294">
        <v>239709693.59999999</v>
      </c>
      <c r="W294">
        <v>9.5780000000000004E-2</v>
      </c>
      <c r="X294">
        <v>240000000</v>
      </c>
      <c r="Z294">
        <v>239296017.16</v>
      </c>
      <c r="AA294">
        <v>1.2629790000000001</v>
      </c>
      <c r="AB294">
        <v>6.2433397299999999E-2</v>
      </c>
      <c r="AC294" t="s">
        <v>22</v>
      </c>
      <c r="AE294" t="s">
        <v>469</v>
      </c>
      <c r="AF294" t="s">
        <v>482</v>
      </c>
      <c r="AG294" t="s">
        <v>482</v>
      </c>
      <c r="AH294" t="s">
        <v>330</v>
      </c>
      <c r="AI294" t="s">
        <v>468</v>
      </c>
      <c r="AJ294" t="s">
        <v>464</v>
      </c>
      <c r="AK294" t="s">
        <v>16</v>
      </c>
      <c r="AM294" t="s">
        <v>405</v>
      </c>
      <c r="AN294" t="s">
        <v>292</v>
      </c>
      <c r="AO294" t="s">
        <v>292</v>
      </c>
      <c r="AP294" t="s">
        <v>434</v>
      </c>
      <c r="AQ294" t="s">
        <v>318</v>
      </c>
      <c r="AR294" t="s">
        <v>292</v>
      </c>
      <c r="AS294" t="s">
        <v>292</v>
      </c>
      <c r="AT294" t="s">
        <v>334</v>
      </c>
      <c r="AU294" t="s">
        <v>292</v>
      </c>
      <c r="AV294" t="s">
        <v>435</v>
      </c>
      <c r="AY294" t="s">
        <v>471</v>
      </c>
      <c r="AZ294" t="s">
        <v>472</v>
      </c>
      <c r="BA294" t="s">
        <v>292</v>
      </c>
      <c r="BB294" t="s">
        <v>292</v>
      </c>
      <c r="BC294" t="s">
        <v>292</v>
      </c>
      <c r="BD294" t="s">
        <v>292</v>
      </c>
      <c r="BE294" t="s">
        <v>292</v>
      </c>
      <c r="BF294" t="s">
        <v>292</v>
      </c>
      <c r="CK294" t="s">
        <v>983</v>
      </c>
      <c r="CL294" t="s">
        <v>984</v>
      </c>
      <c r="CM294" t="s">
        <v>9</v>
      </c>
      <c r="CN294" s="2">
        <v>43321</v>
      </c>
      <c r="CO294" t="s">
        <v>292</v>
      </c>
      <c r="CP294" t="s">
        <v>303</v>
      </c>
      <c r="CQ294" t="s">
        <v>303</v>
      </c>
      <c r="CR294" t="s">
        <v>304</v>
      </c>
      <c r="CS294" t="s">
        <v>292</v>
      </c>
      <c r="CT294">
        <v>0</v>
      </c>
      <c r="CU294" t="b">
        <v>0</v>
      </c>
      <c r="CV294" t="s">
        <v>439</v>
      </c>
      <c r="CW294" t="s">
        <v>292</v>
      </c>
      <c r="CX294" t="s">
        <v>292</v>
      </c>
      <c r="CY294" t="b">
        <v>0</v>
      </c>
      <c r="CZ294" t="b">
        <v>0</v>
      </c>
      <c r="DC294" t="s">
        <v>483</v>
      </c>
      <c r="DJ294">
        <f>DataTable[HLD_MaturityDate] - DataTable[SEC_Issue_Date]</f>
        <v>91</v>
      </c>
    </row>
    <row r="295" spans="1:114" x14ac:dyDescent="0.2">
      <c r="A295" s="2">
        <v>43376</v>
      </c>
      <c r="B295" t="s">
        <v>54</v>
      </c>
      <c r="C295" t="s">
        <v>7</v>
      </c>
      <c r="D295" t="s">
        <v>16</v>
      </c>
      <c r="F295" t="s">
        <v>23</v>
      </c>
      <c r="H295" t="s">
        <v>468</v>
      </c>
      <c r="J295" t="s">
        <v>462</v>
      </c>
      <c r="N295" s="2">
        <v>43419</v>
      </c>
      <c r="O295">
        <v>43</v>
      </c>
      <c r="Q295">
        <v>1.2625</v>
      </c>
      <c r="T295">
        <v>199709874</v>
      </c>
      <c r="V295">
        <v>199709618</v>
      </c>
      <c r="W295">
        <v>0.114912</v>
      </c>
      <c r="X295">
        <v>200000000</v>
      </c>
      <c r="Z295">
        <v>199371904.80000001</v>
      </c>
      <c r="AA295">
        <v>1.2636099999999999</v>
      </c>
      <c r="AB295">
        <v>5.2014920399999998E-2</v>
      </c>
      <c r="AC295" t="s">
        <v>23</v>
      </c>
      <c r="AE295" t="s">
        <v>469</v>
      </c>
      <c r="AF295" t="s">
        <v>484</v>
      </c>
      <c r="AG295" t="s">
        <v>484</v>
      </c>
      <c r="AH295" t="s">
        <v>330</v>
      </c>
      <c r="AI295" t="s">
        <v>468</v>
      </c>
      <c r="AJ295" t="s">
        <v>464</v>
      </c>
      <c r="AK295" t="s">
        <v>16</v>
      </c>
      <c r="AM295" t="s">
        <v>405</v>
      </c>
      <c r="AN295" t="s">
        <v>292</v>
      </c>
      <c r="AO295" t="s">
        <v>292</v>
      </c>
      <c r="AP295" t="s">
        <v>434</v>
      </c>
      <c r="AQ295" t="s">
        <v>318</v>
      </c>
      <c r="AR295" t="s">
        <v>292</v>
      </c>
      <c r="AS295" t="s">
        <v>292</v>
      </c>
      <c r="AT295" t="s">
        <v>334</v>
      </c>
      <c r="AU295" t="s">
        <v>292</v>
      </c>
      <c r="AV295" t="s">
        <v>435</v>
      </c>
      <c r="AY295" t="s">
        <v>471</v>
      </c>
      <c r="AZ295" t="s">
        <v>472</v>
      </c>
      <c r="BA295" t="s">
        <v>292</v>
      </c>
      <c r="BB295" t="s">
        <v>292</v>
      </c>
      <c r="BC295" t="s">
        <v>292</v>
      </c>
      <c r="BD295" t="s">
        <v>292</v>
      </c>
      <c r="BE295" t="s">
        <v>292</v>
      </c>
      <c r="BF295" t="s">
        <v>292</v>
      </c>
      <c r="CK295" t="s">
        <v>983</v>
      </c>
      <c r="CL295" t="s">
        <v>984</v>
      </c>
      <c r="CM295" t="s">
        <v>9</v>
      </c>
      <c r="CN295" s="2">
        <v>43328</v>
      </c>
      <c r="CO295" t="s">
        <v>292</v>
      </c>
      <c r="CP295" t="s">
        <v>303</v>
      </c>
      <c r="CQ295" t="s">
        <v>303</v>
      </c>
      <c r="CR295" t="s">
        <v>304</v>
      </c>
      <c r="CS295" t="s">
        <v>292</v>
      </c>
      <c r="CT295">
        <v>0</v>
      </c>
      <c r="CU295" t="b">
        <v>0</v>
      </c>
      <c r="CV295" t="s">
        <v>439</v>
      </c>
      <c r="CW295" t="s">
        <v>292</v>
      </c>
      <c r="CX295" t="s">
        <v>292</v>
      </c>
      <c r="CY295" t="b">
        <v>0</v>
      </c>
      <c r="CZ295" t="b">
        <v>0</v>
      </c>
      <c r="DC295" t="s">
        <v>485</v>
      </c>
      <c r="DJ295">
        <f>DataTable[HLD_MaturityDate] - DataTable[SEC_Issue_Date]</f>
        <v>91</v>
      </c>
    </row>
    <row r="296" spans="1:114" x14ac:dyDescent="0.2">
      <c r="A296" s="2">
        <v>43376</v>
      </c>
      <c r="B296" t="s">
        <v>54</v>
      </c>
      <c r="C296" t="s">
        <v>7</v>
      </c>
      <c r="D296" t="s">
        <v>16</v>
      </c>
      <c r="F296" t="s">
        <v>24</v>
      </c>
      <c r="H296" t="s">
        <v>468</v>
      </c>
      <c r="J296" t="s">
        <v>462</v>
      </c>
      <c r="N296" s="2">
        <v>43426</v>
      </c>
      <c r="O296">
        <v>50</v>
      </c>
      <c r="Q296">
        <v>1.2554689999999999</v>
      </c>
      <c r="T296">
        <v>447246199.68000001</v>
      </c>
      <c r="V296">
        <v>447238874.88</v>
      </c>
      <c r="W296">
        <v>0.13402800000000001</v>
      </c>
      <c r="X296">
        <v>448000000</v>
      </c>
      <c r="Z296">
        <v>446772323.07999998</v>
      </c>
      <c r="AA296">
        <v>1.267692</v>
      </c>
      <c r="AB296">
        <v>0.11648635609999999</v>
      </c>
      <c r="AC296" t="s">
        <v>24</v>
      </c>
      <c r="AE296" t="s">
        <v>469</v>
      </c>
      <c r="AF296" t="s">
        <v>489</v>
      </c>
      <c r="AG296" t="s">
        <v>489</v>
      </c>
      <c r="AH296" t="s">
        <v>330</v>
      </c>
      <c r="AI296" t="s">
        <v>468</v>
      </c>
      <c r="AJ296" t="s">
        <v>464</v>
      </c>
      <c r="AK296" t="s">
        <v>16</v>
      </c>
      <c r="AM296" t="s">
        <v>405</v>
      </c>
      <c r="AN296" t="s">
        <v>292</v>
      </c>
      <c r="AO296" t="s">
        <v>292</v>
      </c>
      <c r="AP296" t="s">
        <v>434</v>
      </c>
      <c r="AQ296" t="s">
        <v>318</v>
      </c>
      <c r="AR296" t="s">
        <v>292</v>
      </c>
      <c r="AS296" t="s">
        <v>292</v>
      </c>
      <c r="AT296" t="s">
        <v>334</v>
      </c>
      <c r="AU296" t="s">
        <v>292</v>
      </c>
      <c r="AV296" t="s">
        <v>435</v>
      </c>
      <c r="AY296" t="s">
        <v>471</v>
      </c>
      <c r="AZ296" t="s">
        <v>472</v>
      </c>
      <c r="BA296" t="s">
        <v>292</v>
      </c>
      <c r="BB296" t="s">
        <v>292</v>
      </c>
      <c r="BC296" t="s">
        <v>292</v>
      </c>
      <c r="BD296" t="s">
        <v>292</v>
      </c>
      <c r="BE296" t="s">
        <v>292</v>
      </c>
      <c r="BF296" t="s">
        <v>292</v>
      </c>
      <c r="CK296" t="s">
        <v>983</v>
      </c>
      <c r="CL296" t="s">
        <v>984</v>
      </c>
      <c r="CM296" t="s">
        <v>9</v>
      </c>
      <c r="CN296" s="2">
        <v>43335</v>
      </c>
      <c r="CO296" t="s">
        <v>292</v>
      </c>
      <c r="CP296" t="s">
        <v>303</v>
      </c>
      <c r="CQ296" t="s">
        <v>303</v>
      </c>
      <c r="CR296" t="s">
        <v>304</v>
      </c>
      <c r="CS296" t="s">
        <v>292</v>
      </c>
      <c r="CT296">
        <v>0</v>
      </c>
      <c r="CU296" t="b">
        <v>0</v>
      </c>
      <c r="CV296" t="s">
        <v>439</v>
      </c>
      <c r="CW296" t="s">
        <v>292</v>
      </c>
      <c r="CX296" t="s">
        <v>292</v>
      </c>
      <c r="CY296" t="b">
        <v>0</v>
      </c>
      <c r="CZ296" t="b">
        <v>0</v>
      </c>
      <c r="DC296" t="s">
        <v>490</v>
      </c>
      <c r="DJ296">
        <f>DataTable[HLD_MaturityDate] - DataTable[SEC_Issue_Date]</f>
        <v>91</v>
      </c>
    </row>
    <row r="297" spans="1:114" x14ac:dyDescent="0.2">
      <c r="A297" s="2">
        <v>43376</v>
      </c>
      <c r="B297" t="s">
        <v>54</v>
      </c>
      <c r="C297" t="s">
        <v>7</v>
      </c>
      <c r="D297" t="s">
        <v>16</v>
      </c>
      <c r="F297" t="s">
        <v>491</v>
      </c>
      <c r="H297" t="s">
        <v>468</v>
      </c>
      <c r="J297" t="s">
        <v>462</v>
      </c>
      <c r="N297" s="2">
        <v>43433</v>
      </c>
      <c r="O297">
        <v>57</v>
      </c>
      <c r="Q297">
        <v>1.0900000000000001</v>
      </c>
      <c r="T297">
        <v>69883132.200000003</v>
      </c>
      <c r="V297">
        <v>69883132.200000003</v>
      </c>
      <c r="W297">
        <v>0.15312899999999999</v>
      </c>
      <c r="X297">
        <v>70000000</v>
      </c>
      <c r="Z297">
        <v>69839407.400000006</v>
      </c>
      <c r="AA297">
        <v>1.0900000000000001</v>
      </c>
      <c r="AB297">
        <v>1.82012311E-2</v>
      </c>
      <c r="AC297" t="s">
        <v>491</v>
      </c>
      <c r="AE297" t="s">
        <v>469</v>
      </c>
      <c r="AF297" t="s">
        <v>492</v>
      </c>
      <c r="AG297" t="s">
        <v>492</v>
      </c>
      <c r="AH297" t="s">
        <v>330</v>
      </c>
      <c r="AI297" t="s">
        <v>468</v>
      </c>
      <c r="AJ297" t="s">
        <v>464</v>
      </c>
      <c r="AK297" t="s">
        <v>16</v>
      </c>
      <c r="AM297" t="s">
        <v>405</v>
      </c>
      <c r="AN297" t="s">
        <v>292</v>
      </c>
      <c r="AO297" t="s">
        <v>292</v>
      </c>
      <c r="AP297" t="s">
        <v>434</v>
      </c>
      <c r="AQ297" t="s">
        <v>318</v>
      </c>
      <c r="AR297" t="s">
        <v>292</v>
      </c>
      <c r="AS297" t="s">
        <v>292</v>
      </c>
      <c r="AT297" t="s">
        <v>334</v>
      </c>
      <c r="AU297" t="s">
        <v>292</v>
      </c>
      <c r="AV297" t="s">
        <v>435</v>
      </c>
      <c r="AY297" t="s">
        <v>471</v>
      </c>
      <c r="AZ297" t="s">
        <v>472</v>
      </c>
      <c r="BA297" t="s">
        <v>292</v>
      </c>
      <c r="BB297" t="s">
        <v>292</v>
      </c>
      <c r="BC297" t="s">
        <v>292</v>
      </c>
      <c r="BD297" t="s">
        <v>292</v>
      </c>
      <c r="BE297" t="s">
        <v>292</v>
      </c>
      <c r="BF297" t="s">
        <v>292</v>
      </c>
      <c r="CK297" t="s">
        <v>983</v>
      </c>
      <c r="CL297" t="s">
        <v>984</v>
      </c>
      <c r="CM297" t="s">
        <v>9</v>
      </c>
      <c r="CN297" s="2">
        <v>43251</v>
      </c>
      <c r="CO297" t="s">
        <v>292</v>
      </c>
      <c r="CP297" t="s">
        <v>303</v>
      </c>
      <c r="CQ297" t="s">
        <v>303</v>
      </c>
      <c r="CR297" t="s">
        <v>304</v>
      </c>
      <c r="CS297" t="s">
        <v>292</v>
      </c>
      <c r="CT297">
        <v>0</v>
      </c>
      <c r="CU297" t="b">
        <v>0</v>
      </c>
      <c r="CV297" t="s">
        <v>439</v>
      </c>
      <c r="CW297" t="s">
        <v>292</v>
      </c>
      <c r="CX297" t="s">
        <v>292</v>
      </c>
      <c r="CY297" t="b">
        <v>0</v>
      </c>
      <c r="CZ297" t="b">
        <v>0</v>
      </c>
      <c r="DC297" t="s">
        <v>493</v>
      </c>
      <c r="DJ297">
        <f>DataTable[HLD_MaturityDate] - DataTable[SEC_Issue_Date]</f>
        <v>182</v>
      </c>
    </row>
    <row r="298" spans="1:114" x14ac:dyDescent="0.2">
      <c r="A298" s="2">
        <v>43376</v>
      </c>
      <c r="B298" t="s">
        <v>54</v>
      </c>
      <c r="C298" t="s">
        <v>7</v>
      </c>
      <c r="D298" t="s">
        <v>16</v>
      </c>
      <c r="F298" t="s">
        <v>25</v>
      </c>
      <c r="H298" t="s">
        <v>468</v>
      </c>
      <c r="J298" t="s">
        <v>462</v>
      </c>
      <c r="N298" s="2">
        <v>43433</v>
      </c>
      <c r="O298">
        <v>57</v>
      </c>
      <c r="Q298">
        <v>1.19</v>
      </c>
      <c r="T298">
        <v>199635514</v>
      </c>
      <c r="V298">
        <v>199619278</v>
      </c>
      <c r="W298">
        <v>0.153145</v>
      </c>
      <c r="X298">
        <v>200000000</v>
      </c>
      <c r="Z298">
        <v>199382062.94</v>
      </c>
      <c r="AA298">
        <v>1.2431099999999999</v>
      </c>
      <c r="AB298">
        <v>5.1995553200000003E-2</v>
      </c>
      <c r="AC298" t="s">
        <v>25</v>
      </c>
      <c r="AE298" t="s">
        <v>469</v>
      </c>
      <c r="AF298" t="s">
        <v>494</v>
      </c>
      <c r="AG298" t="s">
        <v>494</v>
      </c>
      <c r="AH298" t="s">
        <v>330</v>
      </c>
      <c r="AI298" t="s">
        <v>468</v>
      </c>
      <c r="AJ298" t="s">
        <v>464</v>
      </c>
      <c r="AK298" t="s">
        <v>16</v>
      </c>
      <c r="AM298" t="s">
        <v>405</v>
      </c>
      <c r="AN298" t="s">
        <v>292</v>
      </c>
      <c r="AO298" t="s">
        <v>292</v>
      </c>
      <c r="AP298" t="s">
        <v>434</v>
      </c>
      <c r="AQ298" t="s">
        <v>318</v>
      </c>
      <c r="AR298" t="s">
        <v>292</v>
      </c>
      <c r="AS298" t="s">
        <v>292</v>
      </c>
      <c r="AT298" t="s">
        <v>334</v>
      </c>
      <c r="AU298" t="s">
        <v>292</v>
      </c>
      <c r="AV298" t="s">
        <v>435</v>
      </c>
      <c r="AY298" t="s">
        <v>471</v>
      </c>
      <c r="AZ298" t="s">
        <v>472</v>
      </c>
      <c r="BA298" t="s">
        <v>292</v>
      </c>
      <c r="BB298" t="s">
        <v>292</v>
      </c>
      <c r="BC298" t="s">
        <v>292</v>
      </c>
      <c r="BD298" t="s">
        <v>292</v>
      </c>
      <c r="BE298" t="s">
        <v>292</v>
      </c>
      <c r="BF298" t="s">
        <v>292</v>
      </c>
      <c r="CK298" t="s">
        <v>983</v>
      </c>
      <c r="CL298" t="s">
        <v>984</v>
      </c>
      <c r="CM298" t="s">
        <v>9</v>
      </c>
      <c r="CN298" s="2">
        <v>43342</v>
      </c>
      <c r="CO298" t="s">
        <v>292</v>
      </c>
      <c r="CP298" t="s">
        <v>303</v>
      </c>
      <c r="CQ298" t="s">
        <v>303</v>
      </c>
      <c r="CR298" t="s">
        <v>304</v>
      </c>
      <c r="CS298" t="s">
        <v>292</v>
      </c>
      <c r="CT298">
        <v>0</v>
      </c>
      <c r="CU298" t="b">
        <v>0</v>
      </c>
      <c r="CV298" t="s">
        <v>439</v>
      </c>
      <c r="CW298" t="s">
        <v>292</v>
      </c>
      <c r="CX298" t="s">
        <v>292</v>
      </c>
      <c r="CY298" t="b">
        <v>0</v>
      </c>
      <c r="CZ298" t="b">
        <v>0</v>
      </c>
      <c r="DC298" t="s">
        <v>495</v>
      </c>
      <c r="DJ298">
        <f>DataTable[HLD_MaturityDate] - DataTable[SEC_Issue_Date]</f>
        <v>91</v>
      </c>
    </row>
    <row r="299" spans="1:114" x14ac:dyDescent="0.2">
      <c r="A299" s="2">
        <v>43376</v>
      </c>
      <c r="B299" t="s">
        <v>54</v>
      </c>
      <c r="C299" t="s">
        <v>7</v>
      </c>
      <c r="D299" t="s">
        <v>16</v>
      </c>
      <c r="F299" t="s">
        <v>27</v>
      </c>
      <c r="H299" t="s">
        <v>468</v>
      </c>
      <c r="J299" t="s">
        <v>462</v>
      </c>
      <c r="N299" s="2">
        <v>43377</v>
      </c>
      <c r="O299">
        <v>1</v>
      </c>
      <c r="Q299">
        <v>1.244167</v>
      </c>
      <c r="T299">
        <v>150000000</v>
      </c>
      <c r="V299">
        <v>150000000</v>
      </c>
      <c r="W299">
        <v>2.7399999999999998E-3</v>
      </c>
      <c r="X299">
        <v>150000000</v>
      </c>
      <c r="Z299">
        <v>149612274.66</v>
      </c>
      <c r="AA299">
        <v>1.2973870000000001</v>
      </c>
      <c r="AB299">
        <v>3.9067863299999998E-2</v>
      </c>
      <c r="AC299" t="s">
        <v>27</v>
      </c>
      <c r="AE299" t="s">
        <v>469</v>
      </c>
      <c r="AF299" t="s">
        <v>498</v>
      </c>
      <c r="AG299" t="s">
        <v>498</v>
      </c>
      <c r="AH299" t="s">
        <v>330</v>
      </c>
      <c r="AI299" t="s">
        <v>468</v>
      </c>
      <c r="AJ299" t="s">
        <v>464</v>
      </c>
      <c r="AK299" t="s">
        <v>16</v>
      </c>
      <c r="AM299" t="s">
        <v>405</v>
      </c>
      <c r="AN299" t="s">
        <v>292</v>
      </c>
      <c r="AO299" t="s">
        <v>292</v>
      </c>
      <c r="AP299" t="s">
        <v>434</v>
      </c>
      <c r="AQ299" t="s">
        <v>318</v>
      </c>
      <c r="AR299" t="s">
        <v>292</v>
      </c>
      <c r="AS299" t="s">
        <v>292</v>
      </c>
      <c r="AT299" t="s">
        <v>334</v>
      </c>
      <c r="AU299" t="s">
        <v>292</v>
      </c>
      <c r="AV299" t="s">
        <v>435</v>
      </c>
      <c r="AY299" t="s">
        <v>471</v>
      </c>
      <c r="AZ299" t="s">
        <v>472</v>
      </c>
      <c r="BA299" t="s">
        <v>292</v>
      </c>
      <c r="BB299" t="s">
        <v>292</v>
      </c>
      <c r="BC299" t="s">
        <v>292</v>
      </c>
      <c r="BD299" t="s">
        <v>292</v>
      </c>
      <c r="BE299" t="s">
        <v>292</v>
      </c>
      <c r="BF299" t="s">
        <v>292</v>
      </c>
      <c r="CK299" t="s">
        <v>983</v>
      </c>
      <c r="CL299" t="s">
        <v>984</v>
      </c>
      <c r="CM299" t="s">
        <v>9</v>
      </c>
      <c r="CN299" s="2">
        <v>43286</v>
      </c>
      <c r="CO299" t="s">
        <v>292</v>
      </c>
      <c r="CP299" t="s">
        <v>303</v>
      </c>
      <c r="CQ299" t="s">
        <v>303</v>
      </c>
      <c r="CR299" t="s">
        <v>304</v>
      </c>
      <c r="CS299" t="s">
        <v>292</v>
      </c>
      <c r="CT299">
        <v>0</v>
      </c>
      <c r="CU299" t="b">
        <v>0</v>
      </c>
      <c r="CV299" t="s">
        <v>439</v>
      </c>
      <c r="CW299" t="s">
        <v>292</v>
      </c>
      <c r="CX299" t="s">
        <v>292</v>
      </c>
      <c r="CY299" t="b">
        <v>0</v>
      </c>
      <c r="CZ299" t="b">
        <v>0</v>
      </c>
      <c r="DC299" t="s">
        <v>499</v>
      </c>
      <c r="DJ299">
        <f>DataTable[HLD_MaturityDate] - DataTable[SEC_Issue_Date]</f>
        <v>91</v>
      </c>
    </row>
    <row r="300" spans="1:114" x14ac:dyDescent="0.2">
      <c r="A300" s="2">
        <v>43376</v>
      </c>
      <c r="B300" t="s">
        <v>54</v>
      </c>
      <c r="C300" t="s">
        <v>7</v>
      </c>
      <c r="D300" t="s">
        <v>16</v>
      </c>
      <c r="F300" t="s">
        <v>29</v>
      </c>
      <c r="H300" t="s">
        <v>468</v>
      </c>
      <c r="J300" t="s">
        <v>462</v>
      </c>
      <c r="N300" s="2">
        <v>43384</v>
      </c>
      <c r="O300">
        <v>8</v>
      </c>
      <c r="Q300">
        <v>1.1421429999999999</v>
      </c>
      <c r="T300">
        <v>139969341.40000001</v>
      </c>
      <c r="V300">
        <v>139969341.40000001</v>
      </c>
      <c r="W300">
        <v>1.9174E-2</v>
      </c>
      <c r="X300">
        <v>140000000</v>
      </c>
      <c r="Z300">
        <v>139811068.40000001</v>
      </c>
      <c r="AA300">
        <v>1.1421429999999999</v>
      </c>
      <c r="AB300">
        <v>3.6455354000000002E-2</v>
      </c>
      <c r="AC300" t="s">
        <v>29</v>
      </c>
      <c r="AE300" t="s">
        <v>469</v>
      </c>
      <c r="AF300" t="s">
        <v>502</v>
      </c>
      <c r="AG300" t="s">
        <v>502</v>
      </c>
      <c r="AH300" t="s">
        <v>330</v>
      </c>
      <c r="AI300" t="s">
        <v>468</v>
      </c>
      <c r="AJ300" t="s">
        <v>464</v>
      </c>
      <c r="AK300" t="s">
        <v>16</v>
      </c>
      <c r="AM300" t="s">
        <v>405</v>
      </c>
      <c r="AN300" t="s">
        <v>292</v>
      </c>
      <c r="AO300" t="s">
        <v>292</v>
      </c>
      <c r="AP300" t="s">
        <v>434</v>
      </c>
      <c r="AQ300" t="s">
        <v>318</v>
      </c>
      <c r="AR300" t="s">
        <v>292</v>
      </c>
      <c r="AS300" t="s">
        <v>292</v>
      </c>
      <c r="AT300" t="s">
        <v>334</v>
      </c>
      <c r="AU300" t="s">
        <v>292</v>
      </c>
      <c r="AV300" t="s">
        <v>435</v>
      </c>
      <c r="AY300" t="s">
        <v>471</v>
      </c>
      <c r="AZ300" t="s">
        <v>472</v>
      </c>
      <c r="BA300" t="s">
        <v>292</v>
      </c>
      <c r="BB300" t="s">
        <v>292</v>
      </c>
      <c r="BC300" t="s">
        <v>292</v>
      </c>
      <c r="BD300" t="s">
        <v>292</v>
      </c>
      <c r="BE300" t="s">
        <v>292</v>
      </c>
      <c r="BF300" t="s">
        <v>292</v>
      </c>
      <c r="CK300" t="s">
        <v>983</v>
      </c>
      <c r="CL300" t="s">
        <v>984</v>
      </c>
      <c r="CM300" t="s">
        <v>9</v>
      </c>
      <c r="CN300" s="2">
        <v>43202</v>
      </c>
      <c r="CO300" t="s">
        <v>292</v>
      </c>
      <c r="CP300" t="s">
        <v>303</v>
      </c>
      <c r="CQ300" t="s">
        <v>303</v>
      </c>
      <c r="CR300" t="s">
        <v>304</v>
      </c>
      <c r="CS300" t="s">
        <v>292</v>
      </c>
      <c r="CT300">
        <v>0</v>
      </c>
      <c r="CU300" t="b">
        <v>0</v>
      </c>
      <c r="CV300" t="s">
        <v>439</v>
      </c>
      <c r="CW300" t="s">
        <v>292</v>
      </c>
      <c r="CX300" t="s">
        <v>292</v>
      </c>
      <c r="CY300" t="b">
        <v>0</v>
      </c>
      <c r="CZ300" t="b">
        <v>0</v>
      </c>
      <c r="DC300" t="s">
        <v>503</v>
      </c>
      <c r="DJ300">
        <f>DataTable[HLD_MaturityDate] - DataTable[SEC_Issue_Date]</f>
        <v>182</v>
      </c>
    </row>
    <row r="301" spans="1:114" x14ac:dyDescent="0.2">
      <c r="A301" s="2">
        <v>43376</v>
      </c>
      <c r="B301" t="s">
        <v>54</v>
      </c>
      <c r="C301" t="s">
        <v>7</v>
      </c>
      <c r="D301" t="s">
        <v>16</v>
      </c>
      <c r="F301" t="s">
        <v>30</v>
      </c>
      <c r="H301" t="s">
        <v>468</v>
      </c>
      <c r="J301" t="s">
        <v>462</v>
      </c>
      <c r="N301" s="2">
        <v>43384</v>
      </c>
      <c r="O301">
        <v>8</v>
      </c>
      <c r="Q301">
        <v>1.252041</v>
      </c>
      <c r="T301">
        <v>97976474.120000005</v>
      </c>
      <c r="V301">
        <v>97976469.219999999</v>
      </c>
      <c r="W301">
        <v>1.9174E-2</v>
      </c>
      <c r="X301">
        <v>98000000</v>
      </c>
      <c r="Z301">
        <v>97818607.939999998</v>
      </c>
      <c r="AA301">
        <v>1.2522960000000001</v>
      </c>
      <c r="AB301">
        <v>2.551821E-2</v>
      </c>
      <c r="AC301" t="s">
        <v>30</v>
      </c>
      <c r="AE301" t="s">
        <v>469</v>
      </c>
      <c r="AF301" t="s">
        <v>504</v>
      </c>
      <c r="AG301" t="s">
        <v>504</v>
      </c>
      <c r="AH301" t="s">
        <v>330</v>
      </c>
      <c r="AI301" t="s">
        <v>468</v>
      </c>
      <c r="AJ301" t="s">
        <v>464</v>
      </c>
      <c r="AK301" t="s">
        <v>16</v>
      </c>
      <c r="AM301" t="s">
        <v>405</v>
      </c>
      <c r="AN301" t="s">
        <v>292</v>
      </c>
      <c r="AO301" t="s">
        <v>292</v>
      </c>
      <c r="AP301" t="s">
        <v>434</v>
      </c>
      <c r="AQ301" t="s">
        <v>318</v>
      </c>
      <c r="AR301" t="s">
        <v>292</v>
      </c>
      <c r="AS301" t="s">
        <v>292</v>
      </c>
      <c r="AT301" t="s">
        <v>334</v>
      </c>
      <c r="AU301" t="s">
        <v>292</v>
      </c>
      <c r="AV301" t="s">
        <v>435</v>
      </c>
      <c r="AY301" t="s">
        <v>471</v>
      </c>
      <c r="AZ301" t="s">
        <v>472</v>
      </c>
      <c r="BA301" t="s">
        <v>292</v>
      </c>
      <c r="BB301" t="s">
        <v>292</v>
      </c>
      <c r="BC301" t="s">
        <v>292</v>
      </c>
      <c r="BD301" t="s">
        <v>292</v>
      </c>
      <c r="BE301" t="s">
        <v>292</v>
      </c>
      <c r="BF301" t="s">
        <v>292</v>
      </c>
      <c r="CK301" t="s">
        <v>983</v>
      </c>
      <c r="CL301" t="s">
        <v>984</v>
      </c>
      <c r="CM301" t="s">
        <v>9</v>
      </c>
      <c r="CN301" s="2">
        <v>43293</v>
      </c>
      <c r="CO301" t="s">
        <v>292</v>
      </c>
      <c r="CP301" t="s">
        <v>303</v>
      </c>
      <c r="CQ301" t="s">
        <v>303</v>
      </c>
      <c r="CR301" t="s">
        <v>304</v>
      </c>
      <c r="CS301" t="s">
        <v>292</v>
      </c>
      <c r="CT301">
        <v>0</v>
      </c>
      <c r="CU301" t="b">
        <v>0</v>
      </c>
      <c r="CV301" t="s">
        <v>439</v>
      </c>
      <c r="CW301" t="s">
        <v>292</v>
      </c>
      <c r="CX301" t="s">
        <v>292</v>
      </c>
      <c r="CY301" t="b">
        <v>0</v>
      </c>
      <c r="CZ301" t="b">
        <v>0</v>
      </c>
      <c r="DC301" t="s">
        <v>505</v>
      </c>
      <c r="DJ301">
        <f>DataTable[HLD_MaturityDate] - DataTable[SEC_Issue_Date]</f>
        <v>91</v>
      </c>
    </row>
    <row r="302" spans="1:114" x14ac:dyDescent="0.2">
      <c r="A302" s="2">
        <v>43376</v>
      </c>
      <c r="B302" t="s">
        <v>54</v>
      </c>
      <c r="C302" t="s">
        <v>7</v>
      </c>
      <c r="D302" t="s">
        <v>16</v>
      </c>
      <c r="F302" t="s">
        <v>52</v>
      </c>
      <c r="H302" t="s">
        <v>468</v>
      </c>
      <c r="J302" t="s">
        <v>462</v>
      </c>
      <c r="N302" s="2">
        <v>43389</v>
      </c>
      <c r="O302">
        <v>13</v>
      </c>
      <c r="Q302">
        <v>1.11304</v>
      </c>
      <c r="T302">
        <v>579787836</v>
      </c>
      <c r="V302">
        <v>579787836</v>
      </c>
      <c r="W302">
        <v>3.2864999999999998E-2</v>
      </c>
      <c r="X302">
        <v>580000000</v>
      </c>
      <c r="Z302">
        <v>579752492.85000002</v>
      </c>
      <c r="AA302">
        <v>1.11304</v>
      </c>
      <c r="AB302">
        <v>0.15100714630000001</v>
      </c>
      <c r="AC302" t="s">
        <v>52</v>
      </c>
      <c r="AE302" t="s">
        <v>719</v>
      </c>
      <c r="AF302" t="s">
        <v>720</v>
      </c>
      <c r="AG302" t="s">
        <v>720</v>
      </c>
      <c r="AH302" t="s">
        <v>330</v>
      </c>
      <c r="AI302" t="s">
        <v>468</v>
      </c>
      <c r="AJ302" t="s">
        <v>464</v>
      </c>
      <c r="AK302" t="s">
        <v>16</v>
      </c>
      <c r="AM302" t="s">
        <v>405</v>
      </c>
      <c r="AN302" t="s">
        <v>292</v>
      </c>
      <c r="AO302" t="s">
        <v>292</v>
      </c>
      <c r="AP302" t="s">
        <v>434</v>
      </c>
      <c r="AQ302" t="s">
        <v>318</v>
      </c>
      <c r="AR302" t="s">
        <v>292</v>
      </c>
      <c r="AS302" t="s">
        <v>292</v>
      </c>
      <c r="AT302" t="s">
        <v>334</v>
      </c>
      <c r="AU302" t="s">
        <v>292</v>
      </c>
      <c r="AV302" t="s">
        <v>435</v>
      </c>
      <c r="AY302" t="s">
        <v>471</v>
      </c>
      <c r="AZ302" t="s">
        <v>472</v>
      </c>
      <c r="BA302" t="s">
        <v>292</v>
      </c>
      <c r="BB302" t="s">
        <v>292</v>
      </c>
      <c r="BC302" t="s">
        <v>292</v>
      </c>
      <c r="BD302" t="s">
        <v>292</v>
      </c>
      <c r="BE302" t="s">
        <v>292</v>
      </c>
      <c r="BF302" t="s">
        <v>292</v>
      </c>
      <c r="CK302" t="s">
        <v>983</v>
      </c>
      <c r="CL302" t="s">
        <v>984</v>
      </c>
      <c r="CM302" t="s">
        <v>9</v>
      </c>
      <c r="CN302" s="2">
        <v>43375</v>
      </c>
      <c r="CO302" t="s">
        <v>292</v>
      </c>
      <c r="CP302" t="s">
        <v>303</v>
      </c>
      <c r="CQ302" t="s">
        <v>303</v>
      </c>
      <c r="CR302" t="s">
        <v>304</v>
      </c>
      <c r="CS302" t="s">
        <v>292</v>
      </c>
      <c r="CT302">
        <v>0</v>
      </c>
      <c r="CU302" t="b">
        <v>0</v>
      </c>
      <c r="CV302" t="s">
        <v>439</v>
      </c>
      <c r="CW302" t="s">
        <v>292</v>
      </c>
      <c r="CX302" t="s">
        <v>292</v>
      </c>
      <c r="CY302" t="b">
        <v>0</v>
      </c>
      <c r="CZ302" t="b">
        <v>0</v>
      </c>
      <c r="DC302" t="s">
        <v>292</v>
      </c>
      <c r="DJ302">
        <f>DataTable[HLD_MaturityDate] - DataTable[SEC_Issue_Date]</f>
        <v>14</v>
      </c>
    </row>
    <row r="303" spans="1:114" x14ac:dyDescent="0.2">
      <c r="A303" s="2">
        <v>43376</v>
      </c>
      <c r="B303" t="s">
        <v>54</v>
      </c>
      <c r="C303" t="s">
        <v>7</v>
      </c>
      <c r="D303" t="s">
        <v>16</v>
      </c>
      <c r="F303" t="s">
        <v>31</v>
      </c>
      <c r="H303" t="s">
        <v>468</v>
      </c>
      <c r="J303" t="s">
        <v>462</v>
      </c>
      <c r="N303" s="2">
        <v>43391</v>
      </c>
      <c r="O303">
        <v>15</v>
      </c>
      <c r="Q303">
        <v>1.1707350000000001</v>
      </c>
      <c r="T303">
        <v>271877912.80000001</v>
      </c>
      <c r="V303">
        <v>271877912.80000001</v>
      </c>
      <c r="W303">
        <v>3.8338999999999998E-2</v>
      </c>
      <c r="X303">
        <v>272000000</v>
      </c>
      <c r="Z303">
        <v>271760455.24000001</v>
      </c>
      <c r="AA303">
        <v>1.1707350000000001</v>
      </c>
      <c r="AB303">
        <v>7.0811260900000006E-2</v>
      </c>
      <c r="AC303" t="s">
        <v>31</v>
      </c>
      <c r="AE303" t="s">
        <v>469</v>
      </c>
      <c r="AF303" t="s">
        <v>506</v>
      </c>
      <c r="AG303" t="s">
        <v>506</v>
      </c>
      <c r="AH303" t="s">
        <v>330</v>
      </c>
      <c r="AI303" t="s">
        <v>468</v>
      </c>
      <c r="AJ303" t="s">
        <v>464</v>
      </c>
      <c r="AK303" t="s">
        <v>16</v>
      </c>
      <c r="AM303" t="s">
        <v>405</v>
      </c>
      <c r="AN303" t="s">
        <v>292</v>
      </c>
      <c r="AO303" t="s">
        <v>292</v>
      </c>
      <c r="AP303" t="s">
        <v>434</v>
      </c>
      <c r="AQ303" t="s">
        <v>318</v>
      </c>
      <c r="AR303" t="s">
        <v>292</v>
      </c>
      <c r="AS303" t="s">
        <v>292</v>
      </c>
      <c r="AT303" t="s">
        <v>334</v>
      </c>
      <c r="AU303" t="s">
        <v>292</v>
      </c>
      <c r="AV303" t="s">
        <v>435</v>
      </c>
      <c r="AY303" t="s">
        <v>471</v>
      </c>
      <c r="AZ303" t="s">
        <v>472</v>
      </c>
      <c r="BA303" t="s">
        <v>292</v>
      </c>
      <c r="BB303" t="s">
        <v>292</v>
      </c>
      <c r="BC303" t="s">
        <v>292</v>
      </c>
      <c r="BD303" t="s">
        <v>292</v>
      </c>
      <c r="BE303" t="s">
        <v>292</v>
      </c>
      <c r="BF303" t="s">
        <v>292</v>
      </c>
      <c r="CK303" t="s">
        <v>983</v>
      </c>
      <c r="CL303" t="s">
        <v>984</v>
      </c>
      <c r="CM303" t="s">
        <v>9</v>
      </c>
      <c r="CN303" s="2">
        <v>43209</v>
      </c>
      <c r="CO303" t="s">
        <v>292</v>
      </c>
      <c r="CP303" t="s">
        <v>303</v>
      </c>
      <c r="CQ303" t="s">
        <v>303</v>
      </c>
      <c r="CR303" t="s">
        <v>304</v>
      </c>
      <c r="CS303" t="s">
        <v>292</v>
      </c>
      <c r="CT303">
        <v>0</v>
      </c>
      <c r="CU303" t="b">
        <v>0</v>
      </c>
      <c r="CV303" t="s">
        <v>439</v>
      </c>
      <c r="CW303" t="s">
        <v>292</v>
      </c>
      <c r="CX303" t="s">
        <v>292</v>
      </c>
      <c r="CY303" t="b">
        <v>0</v>
      </c>
      <c r="CZ303" t="b">
        <v>0</v>
      </c>
      <c r="DC303" t="s">
        <v>507</v>
      </c>
      <c r="DJ303">
        <f>DataTable[HLD_MaturityDate] - DataTable[SEC_Issue_Date]</f>
        <v>182</v>
      </c>
    </row>
    <row r="304" spans="1:114" x14ac:dyDescent="0.2">
      <c r="A304" s="2">
        <v>43376</v>
      </c>
      <c r="B304" t="s">
        <v>54</v>
      </c>
      <c r="C304" t="s">
        <v>7</v>
      </c>
      <c r="D304" t="s">
        <v>16</v>
      </c>
      <c r="F304" t="s">
        <v>32</v>
      </c>
      <c r="H304" t="s">
        <v>468</v>
      </c>
      <c r="J304" t="s">
        <v>462</v>
      </c>
      <c r="N304" s="2">
        <v>43391</v>
      </c>
      <c r="O304">
        <v>15</v>
      </c>
      <c r="Q304">
        <v>1.34</v>
      </c>
      <c r="T304">
        <v>164915237.84999999</v>
      </c>
      <c r="V304">
        <v>164913139.05000001</v>
      </c>
      <c r="W304">
        <v>3.8338999999999998E-2</v>
      </c>
      <c r="X304">
        <v>165000000</v>
      </c>
      <c r="Z304">
        <v>164437030.16</v>
      </c>
      <c r="AA304">
        <v>1.37321</v>
      </c>
      <c r="AB304">
        <v>4.2952573199999997E-2</v>
      </c>
      <c r="AC304" t="s">
        <v>32</v>
      </c>
      <c r="AE304" t="s">
        <v>469</v>
      </c>
      <c r="AF304" t="s">
        <v>508</v>
      </c>
      <c r="AG304" t="s">
        <v>508</v>
      </c>
      <c r="AH304" t="s">
        <v>330</v>
      </c>
      <c r="AI304" t="s">
        <v>468</v>
      </c>
      <c r="AJ304" t="s">
        <v>464</v>
      </c>
      <c r="AK304" t="s">
        <v>16</v>
      </c>
      <c r="AM304" t="s">
        <v>405</v>
      </c>
      <c r="AN304" t="s">
        <v>292</v>
      </c>
      <c r="AO304" t="s">
        <v>292</v>
      </c>
      <c r="AP304" t="s">
        <v>434</v>
      </c>
      <c r="AQ304" t="s">
        <v>318</v>
      </c>
      <c r="AR304" t="s">
        <v>292</v>
      </c>
      <c r="AS304" t="s">
        <v>292</v>
      </c>
      <c r="AT304" t="s">
        <v>334</v>
      </c>
      <c r="AU304" t="s">
        <v>292</v>
      </c>
      <c r="AV304" t="s">
        <v>435</v>
      </c>
      <c r="AY304" t="s">
        <v>471</v>
      </c>
      <c r="AZ304" t="s">
        <v>472</v>
      </c>
      <c r="BA304" t="s">
        <v>292</v>
      </c>
      <c r="BB304" t="s">
        <v>292</v>
      </c>
      <c r="BC304" t="s">
        <v>292</v>
      </c>
      <c r="BD304" t="s">
        <v>292</v>
      </c>
      <c r="BE304" t="s">
        <v>292</v>
      </c>
      <c r="BF304" t="s">
        <v>292</v>
      </c>
      <c r="CK304" t="s">
        <v>983</v>
      </c>
      <c r="CL304" t="s">
        <v>984</v>
      </c>
      <c r="CM304" t="s">
        <v>9</v>
      </c>
      <c r="CN304" s="2">
        <v>43300</v>
      </c>
      <c r="CO304" t="s">
        <v>292</v>
      </c>
      <c r="CP304" t="s">
        <v>303</v>
      </c>
      <c r="CQ304" t="s">
        <v>303</v>
      </c>
      <c r="CR304" t="s">
        <v>304</v>
      </c>
      <c r="CS304" t="s">
        <v>292</v>
      </c>
      <c r="CT304">
        <v>0</v>
      </c>
      <c r="CU304" t="b">
        <v>0</v>
      </c>
      <c r="CV304" t="s">
        <v>439</v>
      </c>
      <c r="CW304" t="s">
        <v>292</v>
      </c>
      <c r="CX304" t="s">
        <v>292</v>
      </c>
      <c r="CY304" t="b">
        <v>0</v>
      </c>
      <c r="CZ304" t="b">
        <v>0</v>
      </c>
      <c r="DC304" t="s">
        <v>509</v>
      </c>
      <c r="DJ304">
        <f>DataTable[HLD_MaturityDate] - DataTable[SEC_Issue_Date]</f>
        <v>91</v>
      </c>
    </row>
    <row r="305" spans="1:114" x14ac:dyDescent="0.2">
      <c r="A305" s="2">
        <v>43376</v>
      </c>
      <c r="B305" t="s">
        <v>54</v>
      </c>
      <c r="C305" t="s">
        <v>7</v>
      </c>
      <c r="D305" t="s">
        <v>16</v>
      </c>
      <c r="F305" t="s">
        <v>33</v>
      </c>
      <c r="H305" t="s">
        <v>468</v>
      </c>
      <c r="J305" t="s">
        <v>462</v>
      </c>
      <c r="N305" s="2">
        <v>43398</v>
      </c>
      <c r="O305">
        <v>22</v>
      </c>
      <c r="Q305">
        <v>1.2273689999999999</v>
      </c>
      <c r="T305">
        <v>189865924.59999999</v>
      </c>
      <c r="V305">
        <v>189865924.59999999</v>
      </c>
      <c r="W305">
        <v>5.7495999999999998E-2</v>
      </c>
      <c r="X305">
        <v>190000000</v>
      </c>
      <c r="Z305">
        <v>189573270.80000001</v>
      </c>
      <c r="AA305">
        <v>1.227368</v>
      </c>
      <c r="AB305">
        <v>4.9451040000000002E-2</v>
      </c>
      <c r="AC305" t="s">
        <v>33</v>
      </c>
      <c r="AE305" t="s">
        <v>469</v>
      </c>
      <c r="AF305" t="s">
        <v>510</v>
      </c>
      <c r="AG305" t="s">
        <v>510</v>
      </c>
      <c r="AH305" t="s">
        <v>330</v>
      </c>
      <c r="AI305" t="s">
        <v>468</v>
      </c>
      <c r="AJ305" t="s">
        <v>464</v>
      </c>
      <c r="AK305" t="s">
        <v>16</v>
      </c>
      <c r="AM305" t="s">
        <v>405</v>
      </c>
      <c r="AN305" t="s">
        <v>292</v>
      </c>
      <c r="AO305" t="s">
        <v>292</v>
      </c>
      <c r="AP305" t="s">
        <v>434</v>
      </c>
      <c r="AQ305" t="s">
        <v>318</v>
      </c>
      <c r="AR305" t="s">
        <v>292</v>
      </c>
      <c r="AS305" t="s">
        <v>292</v>
      </c>
      <c r="AT305" t="s">
        <v>334</v>
      </c>
      <c r="AU305" t="s">
        <v>292</v>
      </c>
      <c r="AV305" t="s">
        <v>435</v>
      </c>
      <c r="AY305" t="s">
        <v>471</v>
      </c>
      <c r="AZ305" t="s">
        <v>472</v>
      </c>
      <c r="BA305" t="s">
        <v>292</v>
      </c>
      <c r="BB305" t="s">
        <v>292</v>
      </c>
      <c r="BC305" t="s">
        <v>292</v>
      </c>
      <c r="BD305" t="s">
        <v>292</v>
      </c>
      <c r="BE305" t="s">
        <v>292</v>
      </c>
      <c r="BF305" t="s">
        <v>292</v>
      </c>
      <c r="CK305" t="s">
        <v>983</v>
      </c>
      <c r="CL305" t="s">
        <v>984</v>
      </c>
      <c r="CM305" t="s">
        <v>9</v>
      </c>
      <c r="CN305" s="2">
        <v>43216</v>
      </c>
      <c r="CO305" t="s">
        <v>292</v>
      </c>
      <c r="CP305" t="s">
        <v>303</v>
      </c>
      <c r="CQ305" t="s">
        <v>303</v>
      </c>
      <c r="CR305" t="s">
        <v>304</v>
      </c>
      <c r="CS305" t="s">
        <v>292</v>
      </c>
      <c r="CT305">
        <v>0</v>
      </c>
      <c r="CU305" t="b">
        <v>0</v>
      </c>
      <c r="CV305" t="s">
        <v>439</v>
      </c>
      <c r="CW305" t="s">
        <v>292</v>
      </c>
      <c r="CX305" t="s">
        <v>292</v>
      </c>
      <c r="CY305" t="b">
        <v>0</v>
      </c>
      <c r="CZ305" t="b">
        <v>0</v>
      </c>
      <c r="DC305" t="s">
        <v>511</v>
      </c>
      <c r="DJ305">
        <f>DataTable[HLD_MaturityDate] - DataTable[SEC_Issue_Date]</f>
        <v>182</v>
      </c>
    </row>
    <row r="306" spans="1:114" x14ac:dyDescent="0.2">
      <c r="A306" s="2">
        <v>43376</v>
      </c>
      <c r="B306" t="s">
        <v>54</v>
      </c>
      <c r="C306" t="s">
        <v>7</v>
      </c>
      <c r="D306" t="s">
        <v>16</v>
      </c>
      <c r="F306" t="s">
        <v>35</v>
      </c>
      <c r="H306" t="s">
        <v>468</v>
      </c>
      <c r="J306" t="s">
        <v>462</v>
      </c>
      <c r="N306" s="2">
        <v>43468</v>
      </c>
      <c r="O306">
        <v>92</v>
      </c>
      <c r="Q306">
        <v>1.4906330000000001</v>
      </c>
      <c r="T306">
        <v>149444608.02000001</v>
      </c>
      <c r="V306">
        <v>149444608.02000001</v>
      </c>
      <c r="W306">
        <v>0.25205499999999997</v>
      </c>
      <c r="X306">
        <v>150000000</v>
      </c>
      <c r="Z306">
        <v>149444608.02000001</v>
      </c>
      <c r="AA306">
        <v>1.4906330000000001</v>
      </c>
      <c r="AB306">
        <v>3.8923210200000002E-2</v>
      </c>
      <c r="AC306" t="s">
        <v>35</v>
      </c>
      <c r="AE306" t="s">
        <v>514</v>
      </c>
      <c r="AF306" t="s">
        <v>515</v>
      </c>
      <c r="AG306" t="s">
        <v>515</v>
      </c>
      <c r="AH306" t="s">
        <v>330</v>
      </c>
      <c r="AI306" t="s">
        <v>468</v>
      </c>
      <c r="AJ306" t="s">
        <v>464</v>
      </c>
      <c r="AK306" t="s">
        <v>16</v>
      </c>
      <c r="AM306" t="s">
        <v>405</v>
      </c>
      <c r="AN306" t="s">
        <v>292</v>
      </c>
      <c r="AO306" t="s">
        <v>292</v>
      </c>
      <c r="AP306" t="s">
        <v>434</v>
      </c>
      <c r="AQ306" t="s">
        <v>318</v>
      </c>
      <c r="AR306" t="s">
        <v>292</v>
      </c>
      <c r="AS306" t="s">
        <v>292</v>
      </c>
      <c r="AT306" t="s">
        <v>334</v>
      </c>
      <c r="AU306" t="s">
        <v>292</v>
      </c>
      <c r="AV306" t="s">
        <v>435</v>
      </c>
      <c r="AY306" t="s">
        <v>471</v>
      </c>
      <c r="AZ306" t="s">
        <v>472</v>
      </c>
      <c r="BA306" t="s">
        <v>292</v>
      </c>
      <c r="BB306" t="s">
        <v>292</v>
      </c>
      <c r="BC306" t="s">
        <v>292</v>
      </c>
      <c r="BD306" t="s">
        <v>292</v>
      </c>
      <c r="BE306" t="s">
        <v>292</v>
      </c>
      <c r="BF306" t="s">
        <v>292</v>
      </c>
      <c r="CK306" t="s">
        <v>983</v>
      </c>
      <c r="CL306" t="s">
        <v>984</v>
      </c>
      <c r="CM306" t="s">
        <v>9</v>
      </c>
      <c r="CN306" s="2">
        <v>43377</v>
      </c>
      <c r="CO306" t="s">
        <v>292</v>
      </c>
      <c r="CP306" t="s">
        <v>303</v>
      </c>
      <c r="CQ306" t="s">
        <v>303</v>
      </c>
      <c r="CR306" t="s">
        <v>304</v>
      </c>
      <c r="CS306" t="s">
        <v>292</v>
      </c>
      <c r="CT306">
        <v>0</v>
      </c>
      <c r="CU306" t="b">
        <v>0</v>
      </c>
      <c r="CV306" t="s">
        <v>439</v>
      </c>
      <c r="CW306" t="s">
        <v>292</v>
      </c>
      <c r="CX306" t="s">
        <v>292</v>
      </c>
      <c r="CY306" t="b">
        <v>0</v>
      </c>
      <c r="CZ306" t="b">
        <v>0</v>
      </c>
      <c r="DC306" t="s">
        <v>292</v>
      </c>
      <c r="DJ306">
        <f>DataTable[HLD_MaturityDate] - DataTable[SEC_Issue_Date]</f>
        <v>91</v>
      </c>
    </row>
    <row r="307" spans="1:114" x14ac:dyDescent="0.2">
      <c r="A307" s="2">
        <v>43376</v>
      </c>
      <c r="B307" t="s">
        <v>54</v>
      </c>
      <c r="C307" t="s">
        <v>551</v>
      </c>
      <c r="D307" t="s">
        <v>986</v>
      </c>
      <c r="E307" t="s">
        <v>40</v>
      </c>
      <c r="F307" t="s">
        <v>32</v>
      </c>
      <c r="R307">
        <v>0</v>
      </c>
      <c r="S307">
        <v>99.956293000000002</v>
      </c>
      <c r="T307">
        <v>9995629.3000000007</v>
      </c>
      <c r="V307">
        <v>9995629.3000000007</v>
      </c>
      <c r="Z307">
        <v>7</v>
      </c>
      <c r="AA307">
        <v>0</v>
      </c>
      <c r="AB307">
        <v>2.6033859E-3</v>
      </c>
      <c r="AC307" t="s">
        <v>32</v>
      </c>
      <c r="AE307" t="s">
        <v>469</v>
      </c>
      <c r="AF307" t="s">
        <v>508</v>
      </c>
      <c r="AG307" t="s">
        <v>508</v>
      </c>
      <c r="AH307" t="s">
        <v>330</v>
      </c>
      <c r="AI307" t="s">
        <v>468</v>
      </c>
      <c r="AJ307" t="s">
        <v>464</v>
      </c>
      <c r="AK307" t="s">
        <v>16</v>
      </c>
      <c r="AM307" t="s">
        <v>405</v>
      </c>
      <c r="AN307" t="s">
        <v>292</v>
      </c>
      <c r="AO307" t="s">
        <v>292</v>
      </c>
      <c r="AP307" t="s">
        <v>434</v>
      </c>
      <c r="AQ307" t="s">
        <v>318</v>
      </c>
      <c r="AR307" t="s">
        <v>292</v>
      </c>
      <c r="AS307" t="s">
        <v>292</v>
      </c>
      <c r="AT307" t="s">
        <v>334</v>
      </c>
      <c r="AU307" t="s">
        <v>292</v>
      </c>
      <c r="AV307" t="s">
        <v>435</v>
      </c>
      <c r="AY307" t="s">
        <v>471</v>
      </c>
      <c r="AZ307" t="s">
        <v>472</v>
      </c>
      <c r="BA307" t="s">
        <v>292</v>
      </c>
      <c r="BB307" t="s">
        <v>292</v>
      </c>
      <c r="BC307" t="s">
        <v>292</v>
      </c>
      <c r="BD307" t="s">
        <v>292</v>
      </c>
      <c r="BE307" t="s">
        <v>292</v>
      </c>
      <c r="BF307" t="s">
        <v>292</v>
      </c>
      <c r="CK307" t="s">
        <v>983</v>
      </c>
      <c r="CL307" t="s">
        <v>984</v>
      </c>
      <c r="CM307" t="s">
        <v>9</v>
      </c>
      <c r="CN307" s="2">
        <v>43300</v>
      </c>
      <c r="CO307" t="s">
        <v>292</v>
      </c>
      <c r="CP307" t="s">
        <v>303</v>
      </c>
      <c r="CQ307" t="s">
        <v>303</v>
      </c>
      <c r="CR307" t="s">
        <v>304</v>
      </c>
      <c r="CS307" t="s">
        <v>292</v>
      </c>
      <c r="CT307">
        <v>0</v>
      </c>
      <c r="CU307" t="b">
        <v>0</v>
      </c>
      <c r="CV307" t="s">
        <v>439</v>
      </c>
      <c r="CW307" t="s">
        <v>292</v>
      </c>
      <c r="CX307" t="s">
        <v>292</v>
      </c>
      <c r="CY307" t="b">
        <v>0</v>
      </c>
      <c r="CZ307" t="b">
        <v>0</v>
      </c>
      <c r="DC307" t="s">
        <v>509</v>
      </c>
      <c r="DJ307">
        <f>DataTable[HLD_MaturityDate] - DataTable[SEC_Issue_Date]</f>
        <v>-43300</v>
      </c>
    </row>
    <row r="308" spans="1:114" x14ac:dyDescent="0.2">
      <c r="A308" s="2">
        <v>43376</v>
      </c>
      <c r="B308" t="s">
        <v>54</v>
      </c>
      <c r="C308" t="s">
        <v>38</v>
      </c>
      <c r="D308" t="s">
        <v>39</v>
      </c>
      <c r="E308" t="s">
        <v>40</v>
      </c>
      <c r="F308" t="s">
        <v>35</v>
      </c>
      <c r="R308">
        <v>0</v>
      </c>
      <c r="S308">
        <v>99.629739000000001</v>
      </c>
      <c r="T308">
        <v>-149444608.02000001</v>
      </c>
      <c r="V308">
        <v>-149444608.02000001</v>
      </c>
      <c r="Z308">
        <v>7</v>
      </c>
      <c r="AA308">
        <v>0</v>
      </c>
      <c r="AB308">
        <v>-3.8923210200000002E-2</v>
      </c>
      <c r="AC308" t="s">
        <v>35</v>
      </c>
      <c r="AE308" t="s">
        <v>514</v>
      </c>
      <c r="AF308" t="s">
        <v>515</v>
      </c>
      <c r="AG308" t="s">
        <v>515</v>
      </c>
      <c r="AH308" t="s">
        <v>330</v>
      </c>
      <c r="AI308" t="s">
        <v>468</v>
      </c>
      <c r="AJ308" t="s">
        <v>464</v>
      </c>
      <c r="AK308" t="s">
        <v>16</v>
      </c>
      <c r="AM308" t="s">
        <v>405</v>
      </c>
      <c r="AN308" t="s">
        <v>292</v>
      </c>
      <c r="AO308" t="s">
        <v>292</v>
      </c>
      <c r="AP308" t="s">
        <v>434</v>
      </c>
      <c r="AQ308" t="s">
        <v>318</v>
      </c>
      <c r="AR308" t="s">
        <v>292</v>
      </c>
      <c r="AS308" t="s">
        <v>292</v>
      </c>
      <c r="AT308" t="s">
        <v>334</v>
      </c>
      <c r="AU308" t="s">
        <v>292</v>
      </c>
      <c r="AV308" t="s">
        <v>435</v>
      </c>
      <c r="AY308" t="s">
        <v>471</v>
      </c>
      <c r="AZ308" t="s">
        <v>472</v>
      </c>
      <c r="BA308" t="s">
        <v>292</v>
      </c>
      <c r="BB308" t="s">
        <v>292</v>
      </c>
      <c r="BC308" t="s">
        <v>292</v>
      </c>
      <c r="BD308" t="s">
        <v>292</v>
      </c>
      <c r="BE308" t="s">
        <v>292</v>
      </c>
      <c r="BF308" t="s">
        <v>292</v>
      </c>
      <c r="CK308" t="s">
        <v>983</v>
      </c>
      <c r="CL308" t="s">
        <v>984</v>
      </c>
      <c r="CM308" t="s">
        <v>9</v>
      </c>
      <c r="CN308" s="2">
        <v>43377</v>
      </c>
      <c r="CO308" t="s">
        <v>292</v>
      </c>
      <c r="CP308" t="s">
        <v>303</v>
      </c>
      <c r="CQ308" t="s">
        <v>303</v>
      </c>
      <c r="CR308" t="s">
        <v>304</v>
      </c>
      <c r="CS308" t="s">
        <v>292</v>
      </c>
      <c r="CT308">
        <v>0</v>
      </c>
      <c r="CU308" t="b">
        <v>0</v>
      </c>
      <c r="CV308" t="s">
        <v>439</v>
      </c>
      <c r="CW308" t="s">
        <v>292</v>
      </c>
      <c r="CX308" t="s">
        <v>292</v>
      </c>
      <c r="CY308" t="b">
        <v>0</v>
      </c>
      <c r="CZ308" t="b">
        <v>0</v>
      </c>
      <c r="DC308" t="s">
        <v>292</v>
      </c>
      <c r="DJ308">
        <f>DataTable[HLD_MaturityDate] - DataTable[SEC_Issue_Date]</f>
        <v>-43377</v>
      </c>
    </row>
    <row r="309" spans="1:114" x14ac:dyDescent="0.2">
      <c r="A309" s="2">
        <v>43376</v>
      </c>
      <c r="B309" t="s">
        <v>54</v>
      </c>
      <c r="C309" t="s">
        <v>38</v>
      </c>
      <c r="D309" t="s">
        <v>41</v>
      </c>
      <c r="E309" t="s">
        <v>41</v>
      </c>
      <c r="F309" t="s">
        <v>41</v>
      </c>
      <c r="T309">
        <v>-20164.48</v>
      </c>
      <c r="Z309">
        <v>0</v>
      </c>
      <c r="AA309">
        <v>0</v>
      </c>
      <c r="AB309">
        <v>-5.2518999999999996E-6</v>
      </c>
      <c r="CK309" t="s">
        <v>983</v>
      </c>
      <c r="CL309" t="s">
        <v>984</v>
      </c>
      <c r="CM309" t="s">
        <v>9</v>
      </c>
      <c r="CN309" s="2"/>
      <c r="DJ309">
        <f>DataTable[HLD_MaturityDate] - DataTable[SEC_Issue_Date]</f>
        <v>0</v>
      </c>
    </row>
    <row r="310" spans="1:114" x14ac:dyDescent="0.2">
      <c r="A310" s="2">
        <v>43376</v>
      </c>
      <c r="B310" t="s">
        <v>54</v>
      </c>
      <c r="C310" t="s">
        <v>38</v>
      </c>
      <c r="D310" t="s">
        <v>42</v>
      </c>
      <c r="T310">
        <v>-76513.100000000006</v>
      </c>
      <c r="U310">
        <v>0</v>
      </c>
      <c r="Z310">
        <v>0</v>
      </c>
      <c r="AA310">
        <v>0</v>
      </c>
      <c r="AB310">
        <v>-1.9928E-5</v>
      </c>
      <c r="CK310" t="s">
        <v>983</v>
      </c>
      <c r="CL310" t="s">
        <v>984</v>
      </c>
      <c r="CM310" t="s">
        <v>9</v>
      </c>
      <c r="CN310" s="2"/>
      <c r="DJ310">
        <f>DataTable[HLD_MaturityDate] - DataTable[SEC_Issue_Date]</f>
        <v>0</v>
      </c>
    </row>
    <row r="311" spans="1:114" x14ac:dyDescent="0.2">
      <c r="A311" s="2">
        <v>43376</v>
      </c>
      <c r="B311" t="s">
        <v>54</v>
      </c>
      <c r="C311" t="s">
        <v>38</v>
      </c>
      <c r="D311" t="s">
        <v>44</v>
      </c>
      <c r="E311" t="s">
        <v>44</v>
      </c>
      <c r="T311">
        <v>-89723.520000000004</v>
      </c>
      <c r="V311">
        <v>-89723.520000000004</v>
      </c>
      <c r="Z311">
        <v>0</v>
      </c>
      <c r="AA311">
        <v>0</v>
      </c>
      <c r="AB311">
        <v>-2.3368699999999999E-5</v>
      </c>
      <c r="CK311" t="s">
        <v>983</v>
      </c>
      <c r="CL311" t="s">
        <v>984</v>
      </c>
      <c r="CM311" t="s">
        <v>9</v>
      </c>
      <c r="CN311" s="2"/>
      <c r="DJ311">
        <f>DataTable[HLD_MaturityDate] - DataTable[SEC_Issue_Date]</f>
        <v>0</v>
      </c>
    </row>
    <row r="312" spans="1:114" x14ac:dyDescent="0.2">
      <c r="A312" s="2">
        <v>43376</v>
      </c>
      <c r="B312" t="s">
        <v>54</v>
      </c>
      <c r="C312" t="s">
        <v>38</v>
      </c>
      <c r="D312" t="s">
        <v>555</v>
      </c>
      <c r="E312" t="s">
        <v>555</v>
      </c>
      <c r="F312" t="s">
        <v>555</v>
      </c>
      <c r="T312">
        <v>-4182.17</v>
      </c>
      <c r="Z312">
        <v>0</v>
      </c>
      <c r="AA312">
        <v>0</v>
      </c>
      <c r="AB312">
        <v>-1.0893000000000001E-6</v>
      </c>
      <c r="CK312" t="s">
        <v>983</v>
      </c>
      <c r="CL312" t="s">
        <v>984</v>
      </c>
      <c r="CM312" t="s">
        <v>9</v>
      </c>
      <c r="CN312" s="2"/>
      <c r="DJ312">
        <f>DataTable[HLD_MaturityDate] - DataTable[SEC_Issue_Date]</f>
        <v>0</v>
      </c>
    </row>
    <row r="313" spans="1:114" x14ac:dyDescent="0.2">
      <c r="A313" s="2">
        <v>43376</v>
      </c>
      <c r="B313" t="s">
        <v>54</v>
      </c>
      <c r="C313" t="s">
        <v>38</v>
      </c>
      <c r="D313" t="s">
        <v>555</v>
      </c>
      <c r="E313" t="s">
        <v>555</v>
      </c>
      <c r="F313" t="s">
        <v>555</v>
      </c>
      <c r="T313">
        <v>-424.95</v>
      </c>
      <c r="Z313">
        <v>0</v>
      </c>
      <c r="AA313">
        <v>0</v>
      </c>
      <c r="AB313">
        <v>-1.1070000000000001E-7</v>
      </c>
      <c r="CK313" t="s">
        <v>983</v>
      </c>
      <c r="CL313" t="s">
        <v>984</v>
      </c>
      <c r="CM313" t="s">
        <v>9</v>
      </c>
      <c r="CN313" s="2"/>
      <c r="DJ313">
        <f>DataTable[HLD_MaturityDate] - DataTable[SEC_Issue_Date]</f>
        <v>0</v>
      </c>
    </row>
    <row r="314" spans="1:114" x14ac:dyDescent="0.2">
      <c r="A314" s="2">
        <v>43376</v>
      </c>
      <c r="B314" t="s">
        <v>54</v>
      </c>
      <c r="C314" t="s">
        <v>38</v>
      </c>
      <c r="D314" t="s">
        <v>43</v>
      </c>
      <c r="E314" t="s">
        <v>43</v>
      </c>
      <c r="T314">
        <v>-2593747.67</v>
      </c>
      <c r="V314">
        <v>-2593747.67</v>
      </c>
      <c r="Z314">
        <v>0</v>
      </c>
      <c r="AA314">
        <v>0</v>
      </c>
      <c r="AB314">
        <v>-6.7554789999999996E-4</v>
      </c>
      <c r="CK314" t="s">
        <v>983</v>
      </c>
      <c r="CL314" t="s">
        <v>984</v>
      </c>
      <c r="CM314" t="s">
        <v>9</v>
      </c>
      <c r="CN314" s="2"/>
      <c r="DJ314">
        <f>DataTable[HLD_MaturityDate] - DataTable[SEC_Issue_Date]</f>
        <v>0</v>
      </c>
    </row>
    <row r="315" spans="1:114" x14ac:dyDescent="0.2">
      <c r="A315" s="2">
        <v>43376</v>
      </c>
      <c r="B315" t="s">
        <v>54</v>
      </c>
      <c r="C315" t="s">
        <v>38</v>
      </c>
      <c r="D315" t="s">
        <v>554</v>
      </c>
      <c r="E315" t="s">
        <v>554</v>
      </c>
      <c r="T315">
        <v>0</v>
      </c>
      <c r="V315">
        <v>0</v>
      </c>
      <c r="Z315">
        <v>0</v>
      </c>
      <c r="AA315">
        <v>0</v>
      </c>
      <c r="AB315">
        <v>0</v>
      </c>
      <c r="CK315" t="s">
        <v>983</v>
      </c>
      <c r="CL315" t="s">
        <v>984</v>
      </c>
      <c r="CM315" t="s">
        <v>9</v>
      </c>
      <c r="CN315" s="2"/>
      <c r="DJ315">
        <f>DataTable[HLD_MaturityDate] - DataTable[SEC_Issue_Date]</f>
        <v>0</v>
      </c>
    </row>
    <row r="316" spans="1:114" x14ac:dyDescent="0.2">
      <c r="A316" s="2">
        <v>43376</v>
      </c>
      <c r="B316" t="s">
        <v>54</v>
      </c>
      <c r="C316" t="s">
        <v>45</v>
      </c>
      <c r="D316" t="s">
        <v>44</v>
      </c>
      <c r="E316" t="s">
        <v>44</v>
      </c>
      <c r="T316">
        <v>-2813.92</v>
      </c>
      <c r="V316">
        <v>-2813.92</v>
      </c>
      <c r="Z316">
        <v>0</v>
      </c>
      <c r="AA316">
        <v>0</v>
      </c>
      <c r="AB316">
        <v>-7.329E-7</v>
      </c>
      <c r="CK316" t="s">
        <v>983</v>
      </c>
      <c r="CL316" t="s">
        <v>984</v>
      </c>
      <c r="CM316" t="s">
        <v>9</v>
      </c>
      <c r="CN316" s="2"/>
      <c r="DJ316">
        <f>DataTable[HLD_MaturityDate] - DataTable[SEC_Issue_Date]</f>
        <v>0</v>
      </c>
    </row>
    <row r="317" spans="1:114" x14ac:dyDescent="0.2">
      <c r="A317" s="2">
        <v>43376</v>
      </c>
      <c r="B317" t="s">
        <v>54</v>
      </c>
      <c r="C317" t="s">
        <v>45</v>
      </c>
      <c r="D317" t="s">
        <v>43</v>
      </c>
      <c r="E317" t="s">
        <v>43</v>
      </c>
      <c r="T317">
        <v>-81345.490000000005</v>
      </c>
      <c r="V317">
        <v>-81345.490000000005</v>
      </c>
      <c r="Z317">
        <v>0</v>
      </c>
      <c r="AA317">
        <v>0</v>
      </c>
      <c r="AB317">
        <v>-2.1186600000000001E-5</v>
      </c>
      <c r="CK317" t="s">
        <v>983</v>
      </c>
      <c r="CL317" t="s">
        <v>984</v>
      </c>
      <c r="CM317" t="s">
        <v>9</v>
      </c>
      <c r="CN317" s="2"/>
      <c r="DJ317">
        <f>DataTable[HLD_MaturityDate] - DataTable[SEC_Issue_Date]</f>
        <v>0</v>
      </c>
    </row>
    <row r="318" spans="1:114" x14ac:dyDescent="0.2">
      <c r="A318" s="2">
        <v>43376</v>
      </c>
      <c r="B318" t="s">
        <v>54</v>
      </c>
      <c r="C318" t="s">
        <v>45</v>
      </c>
      <c r="D318" t="s">
        <v>554</v>
      </c>
      <c r="E318" t="s">
        <v>554</v>
      </c>
      <c r="T318">
        <v>0</v>
      </c>
      <c r="V318">
        <v>0</v>
      </c>
      <c r="Z318">
        <v>0</v>
      </c>
      <c r="AA318">
        <v>0</v>
      </c>
      <c r="AB318">
        <v>0</v>
      </c>
      <c r="CK318" t="s">
        <v>983</v>
      </c>
      <c r="CL318" t="s">
        <v>984</v>
      </c>
      <c r="CM318" t="s">
        <v>9</v>
      </c>
      <c r="CN318" s="2"/>
      <c r="DJ318">
        <f>DataTable[HLD_MaturityDate] - DataTable[SEC_Issue_Date]</f>
        <v>0</v>
      </c>
    </row>
    <row r="319" spans="1:114" x14ac:dyDescent="0.2">
      <c r="A319" s="2">
        <v>43376</v>
      </c>
      <c r="B319" t="s">
        <v>56</v>
      </c>
      <c r="C319" t="s">
        <v>7</v>
      </c>
      <c r="D319" t="s">
        <v>8</v>
      </c>
      <c r="F319" t="s">
        <v>10</v>
      </c>
      <c r="H319" t="s">
        <v>47</v>
      </c>
      <c r="J319" t="s">
        <v>287</v>
      </c>
      <c r="T319">
        <v>2075857.25</v>
      </c>
      <c r="U319">
        <v>5797.46</v>
      </c>
      <c r="V319">
        <v>2075857.25</v>
      </c>
      <c r="W319">
        <v>0</v>
      </c>
      <c r="X319">
        <v>0</v>
      </c>
      <c r="Z319">
        <v>2075857.25</v>
      </c>
      <c r="AA319">
        <v>0</v>
      </c>
      <c r="AB319">
        <v>1.5954510000000001E-4</v>
      </c>
      <c r="AC319" t="s">
        <v>324</v>
      </c>
      <c r="AE319" t="s">
        <v>292</v>
      </c>
      <c r="AH319" t="s">
        <v>289</v>
      </c>
      <c r="AI319" t="s">
        <v>292</v>
      </c>
      <c r="AJ319" t="s">
        <v>290</v>
      </c>
      <c r="AK319" t="s">
        <v>292</v>
      </c>
      <c r="AM319" t="s">
        <v>292</v>
      </c>
      <c r="AN319" t="s">
        <v>292</v>
      </c>
      <c r="AO319" t="s">
        <v>292</v>
      </c>
      <c r="AP319" t="s">
        <v>292</v>
      </c>
      <c r="AQ319" t="s">
        <v>318</v>
      </c>
      <c r="AR319" t="s">
        <v>292</v>
      </c>
      <c r="AS319" t="s">
        <v>292</v>
      </c>
      <c r="AT319" t="s">
        <v>292</v>
      </c>
      <c r="AU319" t="s">
        <v>295</v>
      </c>
      <c r="AV319" t="s">
        <v>292</v>
      </c>
      <c r="CK319" t="s">
        <v>57</v>
      </c>
      <c r="CL319" t="s">
        <v>58</v>
      </c>
      <c r="CM319" t="s">
        <v>9</v>
      </c>
      <c r="CN319" s="2">
        <v>2</v>
      </c>
      <c r="CO319" t="s">
        <v>292</v>
      </c>
      <c r="CP319" t="s">
        <v>303</v>
      </c>
      <c r="CS319" t="s">
        <v>292</v>
      </c>
      <c r="CU319" t="b">
        <v>1</v>
      </c>
      <c r="CV319" t="s">
        <v>292</v>
      </c>
      <c r="CY319" t="b">
        <v>0</v>
      </c>
      <c r="CZ319" t="b">
        <v>0</v>
      </c>
      <c r="DC319" t="s">
        <v>292</v>
      </c>
      <c r="DJ319">
        <f>DataTable[HLD_MaturityDate] - DataTable[SEC_Issue_Date]</f>
        <v>-2</v>
      </c>
    </row>
    <row r="320" spans="1:114" x14ac:dyDescent="0.2">
      <c r="A320" s="2">
        <v>43376</v>
      </c>
      <c r="B320" t="s">
        <v>56</v>
      </c>
      <c r="C320" t="s">
        <v>7</v>
      </c>
      <c r="D320" t="s">
        <v>11</v>
      </c>
      <c r="F320" t="s">
        <v>59</v>
      </c>
      <c r="H320" t="s">
        <v>377</v>
      </c>
      <c r="I320" t="s">
        <v>378</v>
      </c>
      <c r="J320" t="s">
        <v>287</v>
      </c>
      <c r="K320" t="s">
        <v>379</v>
      </c>
      <c r="N320" s="2">
        <v>43441</v>
      </c>
      <c r="O320">
        <v>65</v>
      </c>
      <c r="P320">
        <v>1.6</v>
      </c>
      <c r="T320">
        <v>150000000</v>
      </c>
      <c r="U320">
        <v>1972602.74</v>
      </c>
      <c r="V320">
        <v>150000000</v>
      </c>
      <c r="W320">
        <v>0.17757600000000001</v>
      </c>
      <c r="X320">
        <v>150000000</v>
      </c>
      <c r="Z320">
        <v>150000000</v>
      </c>
      <c r="AA320">
        <v>1.6</v>
      </c>
      <c r="AB320">
        <v>1.1647696799999999E-2</v>
      </c>
      <c r="AC320" t="s">
        <v>59</v>
      </c>
      <c r="AE320" t="s">
        <v>380</v>
      </c>
      <c r="AF320" t="s">
        <v>381</v>
      </c>
      <c r="AG320" t="s">
        <v>381</v>
      </c>
      <c r="AH320" t="s">
        <v>330</v>
      </c>
      <c r="AI320" t="s">
        <v>377</v>
      </c>
      <c r="AJ320" t="s">
        <v>382</v>
      </c>
      <c r="AK320" t="s">
        <v>10</v>
      </c>
      <c r="AM320" t="s">
        <v>287</v>
      </c>
      <c r="AN320" t="s">
        <v>292</v>
      </c>
      <c r="AO320" t="s">
        <v>292</v>
      </c>
      <c r="AP320" t="s">
        <v>333</v>
      </c>
      <c r="AQ320" t="s">
        <v>318</v>
      </c>
      <c r="AR320" t="s">
        <v>292</v>
      </c>
      <c r="AS320" t="s">
        <v>292</v>
      </c>
      <c r="AT320" t="s">
        <v>334</v>
      </c>
      <c r="AU320" t="s">
        <v>292</v>
      </c>
      <c r="AV320" t="s">
        <v>335</v>
      </c>
      <c r="AY320" t="s">
        <v>383</v>
      </c>
      <c r="AZ320" t="s">
        <v>384</v>
      </c>
      <c r="BA320" t="s">
        <v>378</v>
      </c>
      <c r="BB320" t="s">
        <v>292</v>
      </c>
      <c r="BC320" t="s">
        <v>379</v>
      </c>
      <c r="BD320" t="s">
        <v>292</v>
      </c>
      <c r="BE320" t="s">
        <v>292</v>
      </c>
      <c r="BF320" t="s">
        <v>299</v>
      </c>
      <c r="BG320" t="s">
        <v>379</v>
      </c>
      <c r="BH320">
        <v>1</v>
      </c>
      <c r="BI320" t="s">
        <v>300</v>
      </c>
      <c r="BJ320" t="s">
        <v>300</v>
      </c>
      <c r="CK320" t="s">
        <v>57</v>
      </c>
      <c r="CL320" t="s">
        <v>58</v>
      </c>
      <c r="CM320" t="s">
        <v>9</v>
      </c>
      <c r="CN320" s="2">
        <v>43077</v>
      </c>
      <c r="CO320" t="s">
        <v>292</v>
      </c>
      <c r="CP320" t="s">
        <v>303</v>
      </c>
      <c r="CQ320" t="s">
        <v>303</v>
      </c>
      <c r="CR320" t="s">
        <v>304</v>
      </c>
      <c r="CS320" t="s">
        <v>292</v>
      </c>
      <c r="CT320">
        <v>30000</v>
      </c>
      <c r="CU320" t="b">
        <v>0</v>
      </c>
      <c r="CV320" t="s">
        <v>311</v>
      </c>
      <c r="CW320" t="s">
        <v>292</v>
      </c>
      <c r="CX320" t="s">
        <v>292</v>
      </c>
      <c r="CY320" t="b">
        <v>0</v>
      </c>
      <c r="CZ320" t="b">
        <v>0</v>
      </c>
      <c r="DC320" t="s">
        <v>292</v>
      </c>
      <c r="DJ320">
        <f>DataTable[HLD_MaturityDate] - DataTable[SEC_Issue_Date]</f>
        <v>364</v>
      </c>
    </row>
    <row r="321" spans="1:114" x14ac:dyDescent="0.2">
      <c r="A321" s="2">
        <v>43376</v>
      </c>
      <c r="B321" t="s">
        <v>56</v>
      </c>
      <c r="C321" t="s">
        <v>7</v>
      </c>
      <c r="D321" t="s">
        <v>11</v>
      </c>
      <c r="F321" t="s">
        <v>55</v>
      </c>
      <c r="H321" t="s">
        <v>377</v>
      </c>
      <c r="I321" t="s">
        <v>378</v>
      </c>
      <c r="J321" t="s">
        <v>287</v>
      </c>
      <c r="K321" t="s">
        <v>379</v>
      </c>
      <c r="N321" s="2">
        <v>43564</v>
      </c>
      <c r="O321">
        <v>188</v>
      </c>
      <c r="P321">
        <v>1.5</v>
      </c>
      <c r="T321">
        <v>120000000</v>
      </c>
      <c r="U321">
        <v>877808.22</v>
      </c>
      <c r="V321">
        <v>120000000</v>
      </c>
      <c r="W321">
        <v>0.51114800000000005</v>
      </c>
      <c r="X321">
        <v>120000000</v>
      </c>
      <c r="Z321">
        <v>120000000</v>
      </c>
      <c r="AA321">
        <v>1.5</v>
      </c>
      <c r="AB321">
        <v>9.2644861000000002E-3</v>
      </c>
      <c r="AC321" t="s">
        <v>55</v>
      </c>
      <c r="AE321" t="s">
        <v>380</v>
      </c>
      <c r="AF321" t="s">
        <v>381</v>
      </c>
      <c r="AG321" t="s">
        <v>381</v>
      </c>
      <c r="AH321" t="s">
        <v>330</v>
      </c>
      <c r="AI321" t="s">
        <v>377</v>
      </c>
      <c r="AJ321" t="s">
        <v>382</v>
      </c>
      <c r="AK321" t="s">
        <v>10</v>
      </c>
      <c r="AM321" t="s">
        <v>287</v>
      </c>
      <c r="AN321" t="s">
        <v>292</v>
      </c>
      <c r="AO321" t="s">
        <v>292</v>
      </c>
      <c r="AP321" t="s">
        <v>333</v>
      </c>
      <c r="AQ321" t="s">
        <v>318</v>
      </c>
      <c r="AR321" t="s">
        <v>292</v>
      </c>
      <c r="AS321" t="s">
        <v>292</v>
      </c>
      <c r="AT321" t="s">
        <v>334</v>
      </c>
      <c r="AU321" t="s">
        <v>292</v>
      </c>
      <c r="AV321" t="s">
        <v>335</v>
      </c>
      <c r="AY321" t="s">
        <v>383</v>
      </c>
      <c r="AZ321" t="s">
        <v>384</v>
      </c>
      <c r="BA321" t="s">
        <v>378</v>
      </c>
      <c r="BB321" t="s">
        <v>292</v>
      </c>
      <c r="BC321" t="s">
        <v>379</v>
      </c>
      <c r="BD321" t="s">
        <v>292</v>
      </c>
      <c r="BE321" t="s">
        <v>292</v>
      </c>
      <c r="BF321" t="s">
        <v>299</v>
      </c>
      <c r="BG321" t="s">
        <v>379</v>
      </c>
      <c r="BH321">
        <v>1</v>
      </c>
      <c r="BI321" t="s">
        <v>300</v>
      </c>
      <c r="BJ321" t="s">
        <v>300</v>
      </c>
      <c r="CK321" t="s">
        <v>57</v>
      </c>
      <c r="CL321" t="s">
        <v>58</v>
      </c>
      <c r="CM321" t="s">
        <v>9</v>
      </c>
      <c r="CN321" s="2">
        <v>43199</v>
      </c>
      <c r="CO321" t="s">
        <v>292</v>
      </c>
      <c r="CP321" t="s">
        <v>303</v>
      </c>
      <c r="CQ321" t="s">
        <v>303</v>
      </c>
      <c r="CR321" t="s">
        <v>304</v>
      </c>
      <c r="CS321" t="s">
        <v>292</v>
      </c>
      <c r="CT321">
        <v>30000</v>
      </c>
      <c r="CU321" t="b">
        <v>0</v>
      </c>
      <c r="CV321" t="s">
        <v>311</v>
      </c>
      <c r="CW321" t="s">
        <v>292</v>
      </c>
      <c r="CX321" t="s">
        <v>292</v>
      </c>
      <c r="CY321" t="b">
        <v>0</v>
      </c>
      <c r="CZ321" t="b">
        <v>0</v>
      </c>
      <c r="DC321" t="s">
        <v>292</v>
      </c>
      <c r="DJ321">
        <f>DataTable[HLD_MaturityDate] - DataTable[SEC_Issue_Date]</f>
        <v>365</v>
      </c>
    </row>
    <row r="322" spans="1:114" x14ac:dyDescent="0.2">
      <c r="A322" s="2">
        <v>43376</v>
      </c>
      <c r="B322" t="s">
        <v>56</v>
      </c>
      <c r="C322" t="s">
        <v>7</v>
      </c>
      <c r="D322" t="s">
        <v>11</v>
      </c>
      <c r="F322" t="s">
        <v>13</v>
      </c>
      <c r="H322" t="s">
        <v>377</v>
      </c>
      <c r="I322" t="s">
        <v>378</v>
      </c>
      <c r="J322" t="s">
        <v>287</v>
      </c>
      <c r="K322" t="s">
        <v>379</v>
      </c>
      <c r="N322" s="2">
        <v>43686</v>
      </c>
      <c r="O322">
        <v>310</v>
      </c>
      <c r="P322">
        <v>1.7</v>
      </c>
      <c r="T322">
        <v>60000000</v>
      </c>
      <c r="U322">
        <v>156493.15</v>
      </c>
      <c r="V322">
        <v>60000000</v>
      </c>
      <c r="W322">
        <v>0.83725700000000003</v>
      </c>
      <c r="X322">
        <v>60000000</v>
      </c>
      <c r="Z322">
        <v>60000000</v>
      </c>
      <c r="AA322">
        <v>1.7</v>
      </c>
      <c r="AB322">
        <v>4.6105981000000001E-3</v>
      </c>
      <c r="AC322" t="s">
        <v>13</v>
      </c>
      <c r="AE322" t="s">
        <v>380</v>
      </c>
      <c r="AF322" t="s">
        <v>381</v>
      </c>
      <c r="AG322" t="s">
        <v>381</v>
      </c>
      <c r="AH322" t="s">
        <v>330</v>
      </c>
      <c r="AI322" t="s">
        <v>377</v>
      </c>
      <c r="AJ322" t="s">
        <v>382</v>
      </c>
      <c r="AK322" t="s">
        <v>10</v>
      </c>
      <c r="AM322" t="s">
        <v>287</v>
      </c>
      <c r="AN322" t="s">
        <v>292</v>
      </c>
      <c r="AO322" t="s">
        <v>292</v>
      </c>
      <c r="AP322" t="s">
        <v>333</v>
      </c>
      <c r="AQ322" t="s">
        <v>318</v>
      </c>
      <c r="AR322" t="s">
        <v>292</v>
      </c>
      <c r="AS322" t="s">
        <v>292</v>
      </c>
      <c r="AT322" t="s">
        <v>334</v>
      </c>
      <c r="AU322" t="s">
        <v>292</v>
      </c>
      <c r="AV322" t="s">
        <v>335</v>
      </c>
      <c r="AY322" t="s">
        <v>383</v>
      </c>
      <c r="AZ322" t="s">
        <v>384</v>
      </c>
      <c r="BA322" t="s">
        <v>378</v>
      </c>
      <c r="BB322" t="s">
        <v>292</v>
      </c>
      <c r="BC322" t="s">
        <v>379</v>
      </c>
      <c r="BD322" t="s">
        <v>292</v>
      </c>
      <c r="BE322" t="s">
        <v>292</v>
      </c>
      <c r="BF322" t="s">
        <v>299</v>
      </c>
      <c r="BG322" t="s">
        <v>379</v>
      </c>
      <c r="BH322">
        <v>1</v>
      </c>
      <c r="BI322" t="s">
        <v>300</v>
      </c>
      <c r="BJ322" t="s">
        <v>300</v>
      </c>
      <c r="CK322" t="s">
        <v>57</v>
      </c>
      <c r="CL322" t="s">
        <v>58</v>
      </c>
      <c r="CM322" t="s">
        <v>9</v>
      </c>
      <c r="CN322" s="2">
        <v>43321</v>
      </c>
      <c r="CO322" t="s">
        <v>292</v>
      </c>
      <c r="CP322" t="s">
        <v>303</v>
      </c>
      <c r="CQ322" t="s">
        <v>303</v>
      </c>
      <c r="CR322" t="s">
        <v>304</v>
      </c>
      <c r="CS322" t="s">
        <v>292</v>
      </c>
      <c r="CT322">
        <v>30000</v>
      </c>
      <c r="CU322" t="b">
        <v>0</v>
      </c>
      <c r="CV322" t="s">
        <v>311</v>
      </c>
      <c r="CW322" t="s">
        <v>292</v>
      </c>
      <c r="CX322" t="s">
        <v>292</v>
      </c>
      <c r="CY322" t="b">
        <v>0</v>
      </c>
      <c r="CZ322" t="b">
        <v>0</v>
      </c>
      <c r="DC322" t="s">
        <v>292</v>
      </c>
      <c r="DJ322">
        <f>DataTable[HLD_MaturityDate] - DataTable[SEC_Issue_Date]</f>
        <v>365</v>
      </c>
    </row>
    <row r="323" spans="1:114" x14ac:dyDescent="0.2">
      <c r="A323" s="2">
        <v>43376</v>
      </c>
      <c r="B323" t="s">
        <v>56</v>
      </c>
      <c r="C323" t="s">
        <v>7</v>
      </c>
      <c r="D323" t="s">
        <v>11</v>
      </c>
      <c r="F323" t="s">
        <v>14</v>
      </c>
      <c r="H323" t="s">
        <v>377</v>
      </c>
      <c r="I323" t="s">
        <v>378</v>
      </c>
      <c r="J323" t="s">
        <v>287</v>
      </c>
      <c r="K323" t="s">
        <v>379</v>
      </c>
      <c r="N323" s="2">
        <v>43483</v>
      </c>
      <c r="O323">
        <v>107</v>
      </c>
      <c r="P323">
        <v>1.6</v>
      </c>
      <c r="T323">
        <v>50000000</v>
      </c>
      <c r="U323">
        <v>567671.23</v>
      </c>
      <c r="V323">
        <v>50000000</v>
      </c>
      <c r="W323">
        <v>0.29178199999999999</v>
      </c>
      <c r="X323">
        <v>50000000</v>
      </c>
      <c r="Z323">
        <v>50000000</v>
      </c>
      <c r="AA323">
        <v>1.6</v>
      </c>
      <c r="AB323">
        <v>3.8756782000000001E-3</v>
      </c>
      <c r="AC323" t="s">
        <v>14</v>
      </c>
      <c r="AE323" t="s">
        <v>380</v>
      </c>
      <c r="AF323" t="s">
        <v>381</v>
      </c>
      <c r="AG323" t="s">
        <v>381</v>
      </c>
      <c r="AH323" t="s">
        <v>330</v>
      </c>
      <c r="AI323" t="s">
        <v>377</v>
      </c>
      <c r="AJ323" t="s">
        <v>382</v>
      </c>
      <c r="AK323" t="s">
        <v>10</v>
      </c>
      <c r="AM323" t="s">
        <v>287</v>
      </c>
      <c r="AN323" t="s">
        <v>292</v>
      </c>
      <c r="AO323" t="s">
        <v>292</v>
      </c>
      <c r="AP323" t="s">
        <v>333</v>
      </c>
      <c r="AQ323" t="s">
        <v>318</v>
      </c>
      <c r="AR323" t="s">
        <v>292</v>
      </c>
      <c r="AS323" t="s">
        <v>292</v>
      </c>
      <c r="AT323" t="s">
        <v>334</v>
      </c>
      <c r="AU323" t="s">
        <v>292</v>
      </c>
      <c r="AV323" t="s">
        <v>335</v>
      </c>
      <c r="AY323" t="s">
        <v>383</v>
      </c>
      <c r="AZ323" t="s">
        <v>384</v>
      </c>
      <c r="BA323" t="s">
        <v>378</v>
      </c>
      <c r="BB323" t="s">
        <v>292</v>
      </c>
      <c r="BC323" t="s">
        <v>379</v>
      </c>
      <c r="BD323" t="s">
        <v>292</v>
      </c>
      <c r="BE323" t="s">
        <v>292</v>
      </c>
      <c r="BF323" t="s">
        <v>299</v>
      </c>
      <c r="BG323" t="s">
        <v>379</v>
      </c>
      <c r="BH323">
        <v>1</v>
      </c>
      <c r="BI323" t="s">
        <v>300</v>
      </c>
      <c r="BJ323" t="s">
        <v>300</v>
      </c>
      <c r="CK323" t="s">
        <v>57</v>
      </c>
      <c r="CL323" t="s">
        <v>58</v>
      </c>
      <c r="CM323" t="s">
        <v>9</v>
      </c>
      <c r="CN323" s="2">
        <v>43118</v>
      </c>
      <c r="CO323" t="s">
        <v>292</v>
      </c>
      <c r="CP323" t="s">
        <v>303</v>
      </c>
      <c r="CQ323" t="s">
        <v>303</v>
      </c>
      <c r="CR323" t="s">
        <v>304</v>
      </c>
      <c r="CS323" t="s">
        <v>292</v>
      </c>
      <c r="CT323">
        <v>30000</v>
      </c>
      <c r="CU323" t="b">
        <v>0</v>
      </c>
      <c r="CV323" t="s">
        <v>311</v>
      </c>
      <c r="CW323" t="s">
        <v>292</v>
      </c>
      <c r="CX323" t="s">
        <v>292</v>
      </c>
      <c r="CY323" t="b">
        <v>0</v>
      </c>
      <c r="CZ323" t="b">
        <v>0</v>
      </c>
      <c r="DC323" t="s">
        <v>292</v>
      </c>
      <c r="DJ323">
        <f>DataTable[HLD_MaturityDate] - DataTable[SEC_Issue_Date]</f>
        <v>365</v>
      </c>
    </row>
    <row r="324" spans="1:114" x14ac:dyDescent="0.2">
      <c r="A324" s="2">
        <v>43376</v>
      </c>
      <c r="B324" t="s">
        <v>56</v>
      </c>
      <c r="C324" t="s">
        <v>7</v>
      </c>
      <c r="D324" t="s">
        <v>11</v>
      </c>
      <c r="F324" t="s">
        <v>48</v>
      </c>
      <c r="H324" t="s">
        <v>377</v>
      </c>
      <c r="I324" t="s">
        <v>378</v>
      </c>
      <c r="J324" t="s">
        <v>287</v>
      </c>
      <c r="K324" t="s">
        <v>379</v>
      </c>
      <c r="N324" s="2">
        <v>43672</v>
      </c>
      <c r="O324">
        <v>296</v>
      </c>
      <c r="P324">
        <v>1.7</v>
      </c>
      <c r="T324">
        <v>200000000</v>
      </c>
      <c r="U324">
        <v>652054.79</v>
      </c>
      <c r="V324">
        <v>200000000</v>
      </c>
      <c r="W324">
        <v>0.79996599999999995</v>
      </c>
      <c r="X324">
        <v>200000000</v>
      </c>
      <c r="Z324">
        <v>200000000</v>
      </c>
      <c r="AA324">
        <v>1.7</v>
      </c>
      <c r="AB324">
        <v>1.5378655499999999E-2</v>
      </c>
      <c r="AC324" t="s">
        <v>48</v>
      </c>
      <c r="AE324" t="s">
        <v>380</v>
      </c>
      <c r="AF324" t="s">
        <v>381</v>
      </c>
      <c r="AG324" t="s">
        <v>381</v>
      </c>
      <c r="AH324" t="s">
        <v>330</v>
      </c>
      <c r="AI324" t="s">
        <v>377</v>
      </c>
      <c r="AJ324" t="s">
        <v>382</v>
      </c>
      <c r="AK324" t="s">
        <v>10</v>
      </c>
      <c r="AM324" t="s">
        <v>287</v>
      </c>
      <c r="AN324" t="s">
        <v>292</v>
      </c>
      <c r="AO324" t="s">
        <v>292</v>
      </c>
      <c r="AP324" t="s">
        <v>333</v>
      </c>
      <c r="AQ324" t="s">
        <v>318</v>
      </c>
      <c r="AR324" t="s">
        <v>292</v>
      </c>
      <c r="AS324" t="s">
        <v>292</v>
      </c>
      <c r="AT324" t="s">
        <v>334</v>
      </c>
      <c r="AU324" t="s">
        <v>292</v>
      </c>
      <c r="AV324" t="s">
        <v>335</v>
      </c>
      <c r="AY324" t="s">
        <v>383</v>
      </c>
      <c r="AZ324" t="s">
        <v>384</v>
      </c>
      <c r="BA324" t="s">
        <v>378</v>
      </c>
      <c r="BB324" t="s">
        <v>292</v>
      </c>
      <c r="BC324" t="s">
        <v>379</v>
      </c>
      <c r="BD324" t="s">
        <v>292</v>
      </c>
      <c r="BE324" t="s">
        <v>292</v>
      </c>
      <c r="BF324" t="s">
        <v>299</v>
      </c>
      <c r="BG324" t="s">
        <v>379</v>
      </c>
      <c r="BH324">
        <v>1</v>
      </c>
      <c r="BI324" t="s">
        <v>300</v>
      </c>
      <c r="BJ324" t="s">
        <v>300</v>
      </c>
      <c r="CK324" t="s">
        <v>57</v>
      </c>
      <c r="CL324" t="s">
        <v>58</v>
      </c>
      <c r="CM324" t="s">
        <v>9</v>
      </c>
      <c r="CN324" s="2">
        <v>43307</v>
      </c>
      <c r="CO324" t="s">
        <v>292</v>
      </c>
      <c r="CP324" t="s">
        <v>303</v>
      </c>
      <c r="CQ324" t="s">
        <v>303</v>
      </c>
      <c r="CR324" t="s">
        <v>304</v>
      </c>
      <c r="CS324" t="s">
        <v>292</v>
      </c>
      <c r="CT324">
        <v>30000</v>
      </c>
      <c r="CU324" t="b">
        <v>0</v>
      </c>
      <c r="CV324" t="s">
        <v>311</v>
      </c>
      <c r="CW324" t="s">
        <v>292</v>
      </c>
      <c r="CX324" t="s">
        <v>292</v>
      </c>
      <c r="CY324" t="b">
        <v>0</v>
      </c>
      <c r="CZ324" t="b">
        <v>0</v>
      </c>
      <c r="DC324" t="s">
        <v>292</v>
      </c>
      <c r="DJ324">
        <f>DataTable[HLD_MaturityDate] - DataTable[SEC_Issue_Date]</f>
        <v>365</v>
      </c>
    </row>
    <row r="325" spans="1:114" x14ac:dyDescent="0.2">
      <c r="A325" s="2">
        <v>43376</v>
      </c>
      <c r="B325" t="s">
        <v>56</v>
      </c>
      <c r="C325" t="s">
        <v>7</v>
      </c>
      <c r="D325" t="s">
        <v>11</v>
      </c>
      <c r="F325" t="s">
        <v>60</v>
      </c>
      <c r="H325" t="s">
        <v>408</v>
      </c>
      <c r="I325" t="s">
        <v>286</v>
      </c>
      <c r="J325" t="s">
        <v>287</v>
      </c>
      <c r="K325" t="s">
        <v>288</v>
      </c>
      <c r="N325" s="2">
        <v>55153</v>
      </c>
      <c r="O325">
        <v>11777</v>
      </c>
      <c r="P325">
        <v>0.375</v>
      </c>
      <c r="T325">
        <v>2041</v>
      </c>
      <c r="U325">
        <v>1.99</v>
      </c>
      <c r="V325">
        <v>2041</v>
      </c>
      <c r="W325">
        <v>0</v>
      </c>
      <c r="X325">
        <v>2041</v>
      </c>
      <c r="Z325">
        <v>2041</v>
      </c>
      <c r="AA325">
        <v>0</v>
      </c>
      <c r="AB325">
        <v>1.5660000000000001E-7</v>
      </c>
      <c r="AC325" t="s">
        <v>60</v>
      </c>
      <c r="AE325" t="s">
        <v>409</v>
      </c>
      <c r="AF325" t="s">
        <v>410</v>
      </c>
      <c r="AG325" t="s">
        <v>410</v>
      </c>
      <c r="AH325" t="s">
        <v>330</v>
      </c>
      <c r="AI325" t="s">
        <v>408</v>
      </c>
      <c r="AJ325" t="s">
        <v>404</v>
      </c>
      <c r="AK325" t="s">
        <v>10</v>
      </c>
      <c r="AL325" t="s">
        <v>317</v>
      </c>
      <c r="AM325" t="s">
        <v>287</v>
      </c>
      <c r="AN325" t="s">
        <v>292</v>
      </c>
      <c r="AO325" t="s">
        <v>292</v>
      </c>
      <c r="AP325" t="s">
        <v>333</v>
      </c>
      <c r="AQ325" t="s">
        <v>318</v>
      </c>
      <c r="AR325" t="s">
        <v>292</v>
      </c>
      <c r="AS325" t="s">
        <v>292</v>
      </c>
      <c r="AT325" t="s">
        <v>292</v>
      </c>
      <c r="AU325" t="s">
        <v>295</v>
      </c>
      <c r="AV325" t="s">
        <v>335</v>
      </c>
      <c r="AY325" t="s">
        <v>411</v>
      </c>
      <c r="AZ325" t="s">
        <v>412</v>
      </c>
      <c r="BA325" t="s">
        <v>286</v>
      </c>
      <c r="BB325" t="s">
        <v>292</v>
      </c>
      <c r="BC325" t="s">
        <v>288</v>
      </c>
      <c r="BD325" t="s">
        <v>292</v>
      </c>
      <c r="BE325" t="s">
        <v>313</v>
      </c>
      <c r="BF325" t="s">
        <v>299</v>
      </c>
      <c r="BG325" t="s">
        <v>288</v>
      </c>
      <c r="BH325">
        <v>2</v>
      </c>
      <c r="BI325" t="s">
        <v>300</v>
      </c>
      <c r="BJ325" t="s">
        <v>300</v>
      </c>
      <c r="CK325" t="s">
        <v>57</v>
      </c>
      <c r="CL325" t="s">
        <v>58</v>
      </c>
      <c r="CM325" t="s">
        <v>9</v>
      </c>
      <c r="CN325" s="2">
        <v>41247</v>
      </c>
      <c r="CO325" t="s">
        <v>292</v>
      </c>
      <c r="CP325" t="s">
        <v>303</v>
      </c>
      <c r="CQ325" t="s">
        <v>303</v>
      </c>
      <c r="CR325" t="s">
        <v>304</v>
      </c>
      <c r="CS325" t="s">
        <v>292</v>
      </c>
      <c r="CT325">
        <v>39000</v>
      </c>
      <c r="CU325" t="b">
        <v>1</v>
      </c>
      <c r="CV325" t="s">
        <v>292</v>
      </c>
      <c r="CW325" t="s">
        <v>292</v>
      </c>
      <c r="CX325" t="s">
        <v>292</v>
      </c>
      <c r="CY325" t="b">
        <v>0</v>
      </c>
      <c r="CZ325" t="b">
        <v>0</v>
      </c>
      <c r="DC325" t="s">
        <v>292</v>
      </c>
      <c r="DJ325">
        <f>DataTable[HLD_MaturityDate] - DataTable[SEC_Issue_Date]</f>
        <v>13906</v>
      </c>
    </row>
    <row r="326" spans="1:114" x14ac:dyDescent="0.2">
      <c r="A326" s="2">
        <v>43376</v>
      </c>
      <c r="B326" t="s">
        <v>56</v>
      </c>
      <c r="C326" t="s">
        <v>7</v>
      </c>
      <c r="D326" t="s">
        <v>11</v>
      </c>
      <c r="F326" t="s">
        <v>61</v>
      </c>
      <c r="H326" t="s">
        <v>414</v>
      </c>
      <c r="I326" t="s">
        <v>415</v>
      </c>
      <c r="J326" t="s">
        <v>287</v>
      </c>
      <c r="K326" t="s">
        <v>379</v>
      </c>
      <c r="N326" s="2">
        <v>44196</v>
      </c>
      <c r="O326">
        <v>820</v>
      </c>
      <c r="P326">
        <v>0.85</v>
      </c>
      <c r="T326">
        <v>167816728.56</v>
      </c>
      <c r="U326">
        <v>111701.39</v>
      </c>
      <c r="V326">
        <v>167816728.56</v>
      </c>
      <c r="W326">
        <v>0</v>
      </c>
      <c r="X326">
        <v>167816728.56</v>
      </c>
      <c r="Z326">
        <v>167816728.56</v>
      </c>
      <c r="AA326">
        <v>0</v>
      </c>
      <c r="AB326">
        <v>1.2870605699999999E-2</v>
      </c>
      <c r="AC326" t="s">
        <v>61</v>
      </c>
      <c r="AE326" t="s">
        <v>409</v>
      </c>
      <c r="AF326" t="s">
        <v>416</v>
      </c>
      <c r="AG326" t="s">
        <v>416</v>
      </c>
      <c r="AH326" t="s">
        <v>330</v>
      </c>
      <c r="AI326" t="s">
        <v>414</v>
      </c>
      <c r="AJ326" t="s">
        <v>404</v>
      </c>
      <c r="AK326" t="s">
        <v>10</v>
      </c>
      <c r="AL326" t="s">
        <v>317</v>
      </c>
      <c r="AM326" t="s">
        <v>287</v>
      </c>
      <c r="AN326" t="s">
        <v>292</v>
      </c>
      <c r="AO326" t="s">
        <v>292</v>
      </c>
      <c r="AP326" t="s">
        <v>333</v>
      </c>
      <c r="AQ326" t="s">
        <v>318</v>
      </c>
      <c r="AR326" t="s">
        <v>292</v>
      </c>
      <c r="AS326" t="s">
        <v>292</v>
      </c>
      <c r="AT326" t="s">
        <v>292</v>
      </c>
      <c r="AU326" t="s">
        <v>295</v>
      </c>
      <c r="AV326" t="s">
        <v>335</v>
      </c>
      <c r="AY326" t="s">
        <v>417</v>
      </c>
      <c r="AZ326" t="s">
        <v>418</v>
      </c>
      <c r="BA326" t="s">
        <v>415</v>
      </c>
      <c r="BB326" t="s">
        <v>292</v>
      </c>
      <c r="BC326" t="s">
        <v>379</v>
      </c>
      <c r="BD326" t="s">
        <v>292</v>
      </c>
      <c r="BE326" t="s">
        <v>292</v>
      </c>
      <c r="BF326" t="s">
        <v>299</v>
      </c>
      <c r="BG326" t="s">
        <v>379</v>
      </c>
      <c r="BH326">
        <v>1</v>
      </c>
      <c r="BI326" t="s">
        <v>300</v>
      </c>
      <c r="BJ326" t="s">
        <v>300</v>
      </c>
      <c r="CK326" t="s">
        <v>57</v>
      </c>
      <c r="CL326" t="s">
        <v>58</v>
      </c>
      <c r="CM326" t="s">
        <v>9</v>
      </c>
      <c r="CN326" s="2">
        <v>41164</v>
      </c>
      <c r="CO326" t="s">
        <v>292</v>
      </c>
      <c r="CP326" t="s">
        <v>303</v>
      </c>
      <c r="CQ326" t="s">
        <v>303</v>
      </c>
      <c r="CR326" t="s">
        <v>304</v>
      </c>
      <c r="CS326" t="s">
        <v>292</v>
      </c>
      <c r="CT326">
        <v>17000</v>
      </c>
      <c r="CU326" t="b">
        <v>1</v>
      </c>
      <c r="CV326" t="s">
        <v>311</v>
      </c>
      <c r="CW326" t="s">
        <v>419</v>
      </c>
      <c r="CX326" t="s">
        <v>420</v>
      </c>
      <c r="CY326" t="b">
        <v>0</v>
      </c>
      <c r="CZ326" t="b">
        <v>0</v>
      </c>
      <c r="DC326" t="s">
        <v>292</v>
      </c>
      <c r="DJ326">
        <f>DataTable[HLD_MaturityDate] - DataTable[SEC_Issue_Date]</f>
        <v>3032</v>
      </c>
    </row>
    <row r="327" spans="1:114" x14ac:dyDescent="0.2">
      <c r="A327" s="2">
        <v>43376</v>
      </c>
      <c r="B327" t="s">
        <v>56</v>
      </c>
      <c r="C327" t="s">
        <v>7</v>
      </c>
      <c r="D327" t="s">
        <v>15</v>
      </c>
      <c r="F327" t="s">
        <v>49</v>
      </c>
      <c r="H327" t="s">
        <v>462</v>
      </c>
      <c r="I327" t="s">
        <v>293</v>
      </c>
      <c r="J327" t="s">
        <v>462</v>
      </c>
      <c r="K327" t="s">
        <v>298</v>
      </c>
      <c r="N327" s="2">
        <v>43418</v>
      </c>
      <c r="O327">
        <v>42</v>
      </c>
      <c r="Q327">
        <v>1.22</v>
      </c>
      <c r="T327">
        <v>67906939.280000001</v>
      </c>
      <c r="V327">
        <v>67906939.280000001</v>
      </c>
      <c r="W327">
        <v>0.112179</v>
      </c>
      <c r="X327">
        <v>68000000</v>
      </c>
      <c r="Z327">
        <v>67893342.680000007</v>
      </c>
      <c r="AA327">
        <v>1.22</v>
      </c>
      <c r="AB327">
        <v>5.2046185999999996E-3</v>
      </c>
      <c r="AC327" t="s">
        <v>49</v>
      </c>
      <c r="AE327" t="s">
        <v>15</v>
      </c>
      <c r="AF327" t="s">
        <v>707</v>
      </c>
      <c r="AG327" t="s">
        <v>707</v>
      </c>
      <c r="AH327" t="s">
        <v>330</v>
      </c>
      <c r="AI327" t="s">
        <v>462</v>
      </c>
      <c r="AJ327" t="s">
        <v>464</v>
      </c>
      <c r="AK327" t="s">
        <v>15</v>
      </c>
      <c r="AM327" t="s">
        <v>405</v>
      </c>
      <c r="AN327" t="s">
        <v>292</v>
      </c>
      <c r="AO327" t="s">
        <v>292</v>
      </c>
      <c r="AP327" t="s">
        <v>434</v>
      </c>
      <c r="AQ327" t="s">
        <v>318</v>
      </c>
      <c r="AR327" t="s">
        <v>292</v>
      </c>
      <c r="AS327" t="s">
        <v>292</v>
      </c>
      <c r="AT327" t="s">
        <v>334</v>
      </c>
      <c r="AU327" t="s">
        <v>292</v>
      </c>
      <c r="AV327" t="s">
        <v>435</v>
      </c>
      <c r="AY327" t="s">
        <v>465</v>
      </c>
      <c r="AZ327" t="s">
        <v>466</v>
      </c>
      <c r="BA327" t="s">
        <v>293</v>
      </c>
      <c r="BB327" t="s">
        <v>292</v>
      </c>
      <c r="BC327" t="s">
        <v>298</v>
      </c>
      <c r="BD327" t="s">
        <v>292</v>
      </c>
      <c r="BE327" t="s">
        <v>298</v>
      </c>
      <c r="BF327" t="s">
        <v>299</v>
      </c>
      <c r="BG327" t="s">
        <v>298</v>
      </c>
      <c r="BH327">
        <v>8</v>
      </c>
      <c r="BI327" t="s">
        <v>300</v>
      </c>
      <c r="BJ327" t="s">
        <v>300</v>
      </c>
      <c r="CK327" t="s">
        <v>57</v>
      </c>
      <c r="CL327" t="s">
        <v>58</v>
      </c>
      <c r="CM327" t="s">
        <v>9</v>
      </c>
      <c r="CN327" s="2">
        <v>43054</v>
      </c>
      <c r="CO327" t="s">
        <v>292</v>
      </c>
      <c r="CP327" t="s">
        <v>303</v>
      </c>
      <c r="CQ327" t="s">
        <v>303</v>
      </c>
      <c r="CR327" t="s">
        <v>304</v>
      </c>
      <c r="CS327" t="s">
        <v>292</v>
      </c>
      <c r="CT327">
        <v>0</v>
      </c>
      <c r="CU327" t="b">
        <v>0</v>
      </c>
      <c r="CV327" t="s">
        <v>439</v>
      </c>
      <c r="CW327" t="s">
        <v>292</v>
      </c>
      <c r="CX327" t="s">
        <v>292</v>
      </c>
      <c r="CY327" t="b">
        <v>0</v>
      </c>
      <c r="CZ327" t="b">
        <v>0</v>
      </c>
      <c r="DC327" t="s">
        <v>708</v>
      </c>
      <c r="DJ327">
        <f>DataTable[HLD_MaturityDate] - DataTable[SEC_Issue_Date]</f>
        <v>364</v>
      </c>
    </row>
    <row r="328" spans="1:114" x14ac:dyDescent="0.2">
      <c r="A328" s="2">
        <v>43376</v>
      </c>
      <c r="B328" t="s">
        <v>56</v>
      </c>
      <c r="C328" t="s">
        <v>7</v>
      </c>
      <c r="D328" t="s">
        <v>16</v>
      </c>
      <c r="F328" t="s">
        <v>62</v>
      </c>
      <c r="H328" t="s">
        <v>468</v>
      </c>
      <c r="J328" t="s">
        <v>462</v>
      </c>
      <c r="N328" s="2">
        <v>43440</v>
      </c>
      <c r="O328">
        <v>64</v>
      </c>
      <c r="Q328">
        <v>1.31</v>
      </c>
      <c r="T328">
        <v>49887200.5</v>
      </c>
      <c r="V328">
        <v>49887200.5</v>
      </c>
      <c r="W328">
        <v>0.17216899999999999</v>
      </c>
      <c r="X328">
        <v>50000000</v>
      </c>
      <c r="Z328">
        <v>49856849.5</v>
      </c>
      <c r="AA328">
        <v>1.31</v>
      </c>
      <c r="AB328">
        <v>3.8235245999999998E-3</v>
      </c>
      <c r="AC328" t="s">
        <v>62</v>
      </c>
      <c r="AE328" t="s">
        <v>469</v>
      </c>
      <c r="AF328" t="s">
        <v>987</v>
      </c>
      <c r="AG328" t="s">
        <v>987</v>
      </c>
      <c r="AH328" t="s">
        <v>330</v>
      </c>
      <c r="AI328" t="s">
        <v>468</v>
      </c>
      <c r="AJ328" t="s">
        <v>464</v>
      </c>
      <c r="AK328" t="s">
        <v>16</v>
      </c>
      <c r="AM328" t="s">
        <v>405</v>
      </c>
      <c r="AN328" t="s">
        <v>292</v>
      </c>
      <c r="AO328" t="s">
        <v>292</v>
      </c>
      <c r="AP328" t="s">
        <v>434</v>
      </c>
      <c r="AQ328" t="s">
        <v>318</v>
      </c>
      <c r="AR328" t="s">
        <v>292</v>
      </c>
      <c r="AS328" t="s">
        <v>292</v>
      </c>
      <c r="AT328" t="s">
        <v>334</v>
      </c>
      <c r="AU328" t="s">
        <v>292</v>
      </c>
      <c r="AV328" t="s">
        <v>435</v>
      </c>
      <c r="AY328" t="s">
        <v>471</v>
      </c>
      <c r="AZ328" t="s">
        <v>472</v>
      </c>
      <c r="BA328" t="s">
        <v>292</v>
      </c>
      <c r="BB328" t="s">
        <v>292</v>
      </c>
      <c r="BC328" t="s">
        <v>292</v>
      </c>
      <c r="BD328" t="s">
        <v>292</v>
      </c>
      <c r="BE328" t="s">
        <v>292</v>
      </c>
      <c r="BF328" t="s">
        <v>292</v>
      </c>
      <c r="CK328" t="s">
        <v>57</v>
      </c>
      <c r="CL328" t="s">
        <v>58</v>
      </c>
      <c r="CM328" t="s">
        <v>9</v>
      </c>
      <c r="CN328" s="2">
        <v>43076</v>
      </c>
      <c r="CO328" t="s">
        <v>292</v>
      </c>
      <c r="CP328" t="s">
        <v>303</v>
      </c>
      <c r="CQ328" t="s">
        <v>303</v>
      </c>
      <c r="CR328" t="s">
        <v>304</v>
      </c>
      <c r="CS328" t="s">
        <v>292</v>
      </c>
      <c r="CT328">
        <v>0</v>
      </c>
      <c r="CU328" t="b">
        <v>0</v>
      </c>
      <c r="CV328" t="s">
        <v>439</v>
      </c>
      <c r="CW328" t="s">
        <v>292</v>
      </c>
      <c r="CX328" t="s">
        <v>292</v>
      </c>
      <c r="CY328" t="b">
        <v>0</v>
      </c>
      <c r="CZ328" t="b">
        <v>0</v>
      </c>
      <c r="DC328" t="s">
        <v>988</v>
      </c>
      <c r="DJ328">
        <f>DataTable[HLD_MaturityDate] - DataTable[SEC_Issue_Date]</f>
        <v>364</v>
      </c>
    </row>
    <row r="329" spans="1:114" x14ac:dyDescent="0.2">
      <c r="A329" s="2">
        <v>43376</v>
      </c>
      <c r="B329" t="s">
        <v>56</v>
      </c>
      <c r="C329" t="s">
        <v>7</v>
      </c>
      <c r="D329" t="s">
        <v>16</v>
      </c>
      <c r="F329" t="s">
        <v>17</v>
      </c>
      <c r="H329" t="s">
        <v>468</v>
      </c>
      <c r="J329" t="s">
        <v>462</v>
      </c>
      <c r="N329" s="2">
        <v>43440</v>
      </c>
      <c r="O329">
        <v>64</v>
      </c>
      <c r="Q329">
        <v>1.3</v>
      </c>
      <c r="T329">
        <v>997761190</v>
      </c>
      <c r="V329">
        <v>997687970</v>
      </c>
      <c r="W329">
        <v>0.17222399999999999</v>
      </c>
      <c r="X329">
        <v>1000000000</v>
      </c>
      <c r="Z329">
        <v>996663832.62</v>
      </c>
      <c r="AA329">
        <v>1.3426119999999999</v>
      </c>
      <c r="AB329">
        <v>7.6471809000000002E-2</v>
      </c>
      <c r="AC329" t="s">
        <v>17</v>
      </c>
      <c r="AE329" t="s">
        <v>469</v>
      </c>
      <c r="AF329" t="s">
        <v>470</v>
      </c>
      <c r="AG329" t="s">
        <v>470</v>
      </c>
      <c r="AH329" t="s">
        <v>330</v>
      </c>
      <c r="AI329" t="s">
        <v>468</v>
      </c>
      <c r="AJ329" t="s">
        <v>464</v>
      </c>
      <c r="AK329" t="s">
        <v>16</v>
      </c>
      <c r="AM329" t="s">
        <v>405</v>
      </c>
      <c r="AN329" t="s">
        <v>292</v>
      </c>
      <c r="AO329" t="s">
        <v>292</v>
      </c>
      <c r="AP329" t="s">
        <v>434</v>
      </c>
      <c r="AQ329" t="s">
        <v>318</v>
      </c>
      <c r="AR329" t="s">
        <v>292</v>
      </c>
      <c r="AS329" t="s">
        <v>292</v>
      </c>
      <c r="AT329" t="s">
        <v>334</v>
      </c>
      <c r="AU329" t="s">
        <v>292</v>
      </c>
      <c r="AV329" t="s">
        <v>435</v>
      </c>
      <c r="AY329" t="s">
        <v>471</v>
      </c>
      <c r="AZ329" t="s">
        <v>472</v>
      </c>
      <c r="BA329" t="s">
        <v>292</v>
      </c>
      <c r="BB329" t="s">
        <v>292</v>
      </c>
      <c r="BC329" t="s">
        <v>292</v>
      </c>
      <c r="BD329" t="s">
        <v>292</v>
      </c>
      <c r="BE329" t="s">
        <v>292</v>
      </c>
      <c r="BF329" t="s">
        <v>292</v>
      </c>
      <c r="CK329" t="s">
        <v>57</v>
      </c>
      <c r="CL329" t="s">
        <v>58</v>
      </c>
      <c r="CM329" t="s">
        <v>9</v>
      </c>
      <c r="CN329" s="2">
        <v>43349</v>
      </c>
      <c r="CO329" t="s">
        <v>292</v>
      </c>
      <c r="CP329" t="s">
        <v>303</v>
      </c>
      <c r="CQ329" t="s">
        <v>303</v>
      </c>
      <c r="CR329" t="s">
        <v>304</v>
      </c>
      <c r="CS329" t="s">
        <v>292</v>
      </c>
      <c r="CT329">
        <v>0</v>
      </c>
      <c r="CU329" t="b">
        <v>0</v>
      </c>
      <c r="CV329" t="s">
        <v>439</v>
      </c>
      <c r="CW329" t="s">
        <v>292</v>
      </c>
      <c r="CX329" t="s">
        <v>292</v>
      </c>
      <c r="CY329" t="b">
        <v>0</v>
      </c>
      <c r="CZ329" t="b">
        <v>0</v>
      </c>
      <c r="DC329" t="s">
        <v>473</v>
      </c>
      <c r="DJ329">
        <f>DataTable[HLD_MaturityDate] - DataTable[SEC_Issue_Date]</f>
        <v>91</v>
      </c>
    </row>
    <row r="330" spans="1:114" x14ac:dyDescent="0.2">
      <c r="A330" s="2">
        <v>43376</v>
      </c>
      <c r="B330" t="s">
        <v>56</v>
      </c>
      <c r="C330" t="s">
        <v>7</v>
      </c>
      <c r="D330" t="s">
        <v>16</v>
      </c>
      <c r="F330" t="s">
        <v>18</v>
      </c>
      <c r="H330" t="s">
        <v>468</v>
      </c>
      <c r="J330" t="s">
        <v>462</v>
      </c>
      <c r="N330" s="2">
        <v>43447</v>
      </c>
      <c r="O330">
        <v>71</v>
      </c>
      <c r="Q330">
        <v>1.1839059999999999</v>
      </c>
      <c r="T330">
        <v>957825254.39999998</v>
      </c>
      <c r="V330">
        <v>957808176</v>
      </c>
      <c r="W330">
        <v>0.19130800000000001</v>
      </c>
      <c r="X330">
        <v>960000000</v>
      </c>
      <c r="Z330">
        <v>957275565.21000004</v>
      </c>
      <c r="AA330">
        <v>1.193222</v>
      </c>
      <c r="AB330">
        <v>7.3410983099999993E-2</v>
      </c>
      <c r="AC330" t="s">
        <v>18</v>
      </c>
      <c r="AE330" t="s">
        <v>469</v>
      </c>
      <c r="AF330" t="s">
        <v>474</v>
      </c>
      <c r="AG330" t="s">
        <v>474</v>
      </c>
      <c r="AH330" t="s">
        <v>330</v>
      </c>
      <c r="AI330" t="s">
        <v>468</v>
      </c>
      <c r="AJ330" t="s">
        <v>464</v>
      </c>
      <c r="AK330" t="s">
        <v>16</v>
      </c>
      <c r="AM330" t="s">
        <v>405</v>
      </c>
      <c r="AN330" t="s">
        <v>292</v>
      </c>
      <c r="AO330" t="s">
        <v>292</v>
      </c>
      <c r="AP330" t="s">
        <v>434</v>
      </c>
      <c r="AQ330" t="s">
        <v>318</v>
      </c>
      <c r="AR330" t="s">
        <v>292</v>
      </c>
      <c r="AS330" t="s">
        <v>292</v>
      </c>
      <c r="AT330" t="s">
        <v>334</v>
      </c>
      <c r="AU330" t="s">
        <v>292</v>
      </c>
      <c r="AV330" t="s">
        <v>435</v>
      </c>
      <c r="AY330" t="s">
        <v>471</v>
      </c>
      <c r="AZ330" t="s">
        <v>472</v>
      </c>
      <c r="BA330" t="s">
        <v>292</v>
      </c>
      <c r="BB330" t="s">
        <v>292</v>
      </c>
      <c r="BC330" t="s">
        <v>292</v>
      </c>
      <c r="BD330" t="s">
        <v>292</v>
      </c>
      <c r="BE330" t="s">
        <v>292</v>
      </c>
      <c r="BF330" t="s">
        <v>292</v>
      </c>
      <c r="CK330" t="s">
        <v>57</v>
      </c>
      <c r="CL330" t="s">
        <v>58</v>
      </c>
      <c r="CM330" t="s">
        <v>9</v>
      </c>
      <c r="CN330" s="2">
        <v>43356</v>
      </c>
      <c r="CO330" t="s">
        <v>292</v>
      </c>
      <c r="CP330" t="s">
        <v>303</v>
      </c>
      <c r="CQ330" t="s">
        <v>303</v>
      </c>
      <c r="CR330" t="s">
        <v>304</v>
      </c>
      <c r="CS330" t="s">
        <v>292</v>
      </c>
      <c r="CT330">
        <v>0</v>
      </c>
      <c r="CU330" t="b">
        <v>0</v>
      </c>
      <c r="CV330" t="s">
        <v>439</v>
      </c>
      <c r="CW330" t="s">
        <v>292</v>
      </c>
      <c r="CX330" t="s">
        <v>292</v>
      </c>
      <c r="CY330" t="b">
        <v>0</v>
      </c>
      <c r="CZ330" t="b">
        <v>0</v>
      </c>
      <c r="DC330" t="s">
        <v>475</v>
      </c>
      <c r="DJ330">
        <f>DataTable[HLD_MaturityDate] - DataTable[SEC_Issue_Date]</f>
        <v>91</v>
      </c>
    </row>
    <row r="331" spans="1:114" x14ac:dyDescent="0.2">
      <c r="A331" s="2">
        <v>43376</v>
      </c>
      <c r="B331" t="s">
        <v>56</v>
      </c>
      <c r="C331" t="s">
        <v>7</v>
      </c>
      <c r="D331" t="s">
        <v>16</v>
      </c>
      <c r="F331" t="s">
        <v>19</v>
      </c>
      <c r="H331" t="s">
        <v>468</v>
      </c>
      <c r="J331" t="s">
        <v>462</v>
      </c>
      <c r="N331" s="2">
        <v>43454</v>
      </c>
      <c r="O331">
        <v>78</v>
      </c>
      <c r="Q331">
        <v>1.2549999999999999</v>
      </c>
      <c r="T331">
        <v>598415676</v>
      </c>
      <c r="V331">
        <v>598262130</v>
      </c>
      <c r="W331">
        <v>0.21034700000000001</v>
      </c>
      <c r="X331">
        <v>600000000</v>
      </c>
      <c r="Z331">
        <v>597953804.09000003</v>
      </c>
      <c r="AA331">
        <v>1.3769830000000001</v>
      </c>
      <c r="AB331">
        <v>4.5864611399999998E-2</v>
      </c>
      <c r="AC331" t="s">
        <v>19</v>
      </c>
      <c r="AE331" t="s">
        <v>469</v>
      </c>
      <c r="AF331" t="s">
        <v>476</v>
      </c>
      <c r="AG331" t="s">
        <v>476</v>
      </c>
      <c r="AH331" t="s">
        <v>330</v>
      </c>
      <c r="AI331" t="s">
        <v>468</v>
      </c>
      <c r="AJ331" t="s">
        <v>464</v>
      </c>
      <c r="AK331" t="s">
        <v>16</v>
      </c>
      <c r="AM331" t="s">
        <v>405</v>
      </c>
      <c r="AN331" t="s">
        <v>292</v>
      </c>
      <c r="AO331" t="s">
        <v>292</v>
      </c>
      <c r="AP331" t="s">
        <v>434</v>
      </c>
      <c r="AQ331" t="s">
        <v>318</v>
      </c>
      <c r="AR331" t="s">
        <v>292</v>
      </c>
      <c r="AS331" t="s">
        <v>292</v>
      </c>
      <c r="AT331" t="s">
        <v>334</v>
      </c>
      <c r="AU331" t="s">
        <v>292</v>
      </c>
      <c r="AV331" t="s">
        <v>435</v>
      </c>
      <c r="AY331" t="s">
        <v>471</v>
      </c>
      <c r="AZ331" t="s">
        <v>472</v>
      </c>
      <c r="BA331" t="s">
        <v>292</v>
      </c>
      <c r="BB331" t="s">
        <v>292</v>
      </c>
      <c r="BC331" t="s">
        <v>292</v>
      </c>
      <c r="BD331" t="s">
        <v>292</v>
      </c>
      <c r="BE331" t="s">
        <v>292</v>
      </c>
      <c r="BF331" t="s">
        <v>292</v>
      </c>
      <c r="CK331" t="s">
        <v>57</v>
      </c>
      <c r="CL331" t="s">
        <v>58</v>
      </c>
      <c r="CM331" t="s">
        <v>9</v>
      </c>
      <c r="CN331" s="2">
        <v>43363</v>
      </c>
      <c r="CO331" t="s">
        <v>292</v>
      </c>
      <c r="CP331" t="s">
        <v>303</v>
      </c>
      <c r="CQ331" t="s">
        <v>303</v>
      </c>
      <c r="CR331" t="s">
        <v>304</v>
      </c>
      <c r="CS331" t="s">
        <v>292</v>
      </c>
      <c r="CT331">
        <v>0</v>
      </c>
      <c r="CU331" t="b">
        <v>0</v>
      </c>
      <c r="CV331" t="s">
        <v>439</v>
      </c>
      <c r="CW331" t="s">
        <v>292</v>
      </c>
      <c r="CX331" t="s">
        <v>292</v>
      </c>
      <c r="CY331" t="b">
        <v>0</v>
      </c>
      <c r="CZ331" t="b">
        <v>0</v>
      </c>
      <c r="DC331" t="s">
        <v>477</v>
      </c>
      <c r="DJ331">
        <f>DataTable[HLD_MaturityDate] - DataTable[SEC_Issue_Date]</f>
        <v>91</v>
      </c>
    </row>
    <row r="332" spans="1:114" x14ac:dyDescent="0.2">
      <c r="A332" s="2">
        <v>43376</v>
      </c>
      <c r="B332" t="s">
        <v>56</v>
      </c>
      <c r="C332" t="s">
        <v>7</v>
      </c>
      <c r="D332" t="s">
        <v>16</v>
      </c>
      <c r="F332" t="s">
        <v>50</v>
      </c>
      <c r="H332" t="s">
        <v>468</v>
      </c>
      <c r="J332" t="s">
        <v>462</v>
      </c>
      <c r="N332" s="2">
        <v>43461</v>
      </c>
      <c r="O332">
        <v>85</v>
      </c>
      <c r="Q332">
        <v>1.38</v>
      </c>
      <c r="T332">
        <v>847309036</v>
      </c>
      <c r="V332">
        <v>847170707</v>
      </c>
      <c r="W332">
        <v>0.229406</v>
      </c>
      <c r="X332">
        <v>850000000</v>
      </c>
      <c r="Z332">
        <v>846935801.5</v>
      </c>
      <c r="AA332">
        <v>1.451176</v>
      </c>
      <c r="AB332">
        <v>6.4940644500000005E-2</v>
      </c>
      <c r="AC332" t="s">
        <v>50</v>
      </c>
      <c r="AE332" t="s">
        <v>469</v>
      </c>
      <c r="AF332" t="s">
        <v>712</v>
      </c>
      <c r="AG332" t="s">
        <v>712</v>
      </c>
      <c r="AH332" t="s">
        <v>330</v>
      </c>
      <c r="AI332" t="s">
        <v>468</v>
      </c>
      <c r="AJ332" t="s">
        <v>464</v>
      </c>
      <c r="AK332" t="s">
        <v>16</v>
      </c>
      <c r="AM332" t="s">
        <v>405</v>
      </c>
      <c r="AN332" t="s">
        <v>292</v>
      </c>
      <c r="AO332" t="s">
        <v>292</v>
      </c>
      <c r="AP332" t="s">
        <v>434</v>
      </c>
      <c r="AQ332" t="s">
        <v>318</v>
      </c>
      <c r="AR332" t="s">
        <v>292</v>
      </c>
      <c r="AS332" t="s">
        <v>292</v>
      </c>
      <c r="AT332" t="s">
        <v>334</v>
      </c>
      <c r="AU332" t="s">
        <v>292</v>
      </c>
      <c r="AV332" t="s">
        <v>435</v>
      </c>
      <c r="AY332" t="s">
        <v>471</v>
      </c>
      <c r="AZ332" t="s">
        <v>472</v>
      </c>
      <c r="BA332" t="s">
        <v>292</v>
      </c>
      <c r="BB332" t="s">
        <v>292</v>
      </c>
      <c r="BC332" t="s">
        <v>292</v>
      </c>
      <c r="BD332" t="s">
        <v>292</v>
      </c>
      <c r="BE332" t="s">
        <v>292</v>
      </c>
      <c r="BF332" t="s">
        <v>292</v>
      </c>
      <c r="CK332" t="s">
        <v>57</v>
      </c>
      <c r="CL332" t="s">
        <v>58</v>
      </c>
      <c r="CM332" t="s">
        <v>9</v>
      </c>
      <c r="CN332" s="2">
        <v>43370</v>
      </c>
      <c r="CO332" t="s">
        <v>292</v>
      </c>
      <c r="CP332" t="s">
        <v>303</v>
      </c>
      <c r="CQ332" t="s">
        <v>303</v>
      </c>
      <c r="CR332" t="s">
        <v>304</v>
      </c>
      <c r="CS332" t="s">
        <v>292</v>
      </c>
      <c r="CT332">
        <v>0</v>
      </c>
      <c r="CU332" t="b">
        <v>0</v>
      </c>
      <c r="CV332" t="s">
        <v>439</v>
      </c>
      <c r="CW332" t="s">
        <v>292</v>
      </c>
      <c r="CX332" t="s">
        <v>292</v>
      </c>
      <c r="CY332" t="b">
        <v>0</v>
      </c>
      <c r="CZ332" t="b">
        <v>0</v>
      </c>
      <c r="DC332" t="s">
        <v>713</v>
      </c>
      <c r="DJ332">
        <f>DataTable[HLD_MaturityDate] - DataTable[SEC_Issue_Date]</f>
        <v>91</v>
      </c>
    </row>
    <row r="333" spans="1:114" x14ac:dyDescent="0.2">
      <c r="A333" s="2">
        <v>43376</v>
      </c>
      <c r="B333" t="s">
        <v>56</v>
      </c>
      <c r="C333" t="s">
        <v>7</v>
      </c>
      <c r="D333" t="s">
        <v>16</v>
      </c>
      <c r="F333" t="s">
        <v>51</v>
      </c>
      <c r="H333" t="s">
        <v>468</v>
      </c>
      <c r="J333" t="s">
        <v>462</v>
      </c>
      <c r="N333" s="2">
        <v>43405</v>
      </c>
      <c r="O333">
        <v>29</v>
      </c>
      <c r="Q333">
        <v>1.2649999999999999</v>
      </c>
      <c r="T333">
        <v>129873968.90000001</v>
      </c>
      <c r="V333">
        <v>129873968.90000001</v>
      </c>
      <c r="W333">
        <v>7.6644000000000004E-2</v>
      </c>
      <c r="X333">
        <v>130000000</v>
      </c>
      <c r="Z333">
        <v>129658483.5</v>
      </c>
      <c r="AA333">
        <v>1.2649999999999999</v>
      </c>
      <c r="AB333">
        <v>9.9539824000000002E-3</v>
      </c>
      <c r="AC333" t="s">
        <v>51</v>
      </c>
      <c r="AE333" t="s">
        <v>469</v>
      </c>
      <c r="AF333" t="s">
        <v>714</v>
      </c>
      <c r="AG333" t="s">
        <v>714</v>
      </c>
      <c r="AH333" t="s">
        <v>330</v>
      </c>
      <c r="AI333" t="s">
        <v>468</v>
      </c>
      <c r="AJ333" t="s">
        <v>464</v>
      </c>
      <c r="AK333" t="s">
        <v>16</v>
      </c>
      <c r="AM333" t="s">
        <v>405</v>
      </c>
      <c r="AN333" t="s">
        <v>292</v>
      </c>
      <c r="AO333" t="s">
        <v>292</v>
      </c>
      <c r="AP333" t="s">
        <v>434</v>
      </c>
      <c r="AQ333" t="s">
        <v>318</v>
      </c>
      <c r="AR333" t="s">
        <v>292</v>
      </c>
      <c r="AS333" t="s">
        <v>292</v>
      </c>
      <c r="AT333" t="s">
        <v>334</v>
      </c>
      <c r="AU333" t="s">
        <v>292</v>
      </c>
      <c r="AV333" t="s">
        <v>435</v>
      </c>
      <c r="AY333" t="s">
        <v>471</v>
      </c>
      <c r="AZ333" t="s">
        <v>472</v>
      </c>
      <c r="BA333" t="s">
        <v>292</v>
      </c>
      <c r="BB333" t="s">
        <v>292</v>
      </c>
      <c r="BC333" t="s">
        <v>292</v>
      </c>
      <c r="BD333" t="s">
        <v>292</v>
      </c>
      <c r="BE333" t="s">
        <v>292</v>
      </c>
      <c r="BF333" t="s">
        <v>292</v>
      </c>
      <c r="CK333" t="s">
        <v>57</v>
      </c>
      <c r="CL333" t="s">
        <v>58</v>
      </c>
      <c r="CM333" t="s">
        <v>9</v>
      </c>
      <c r="CN333" s="2">
        <v>43223</v>
      </c>
      <c r="CO333" t="s">
        <v>292</v>
      </c>
      <c r="CP333" t="s">
        <v>303</v>
      </c>
      <c r="CQ333" t="s">
        <v>303</v>
      </c>
      <c r="CR333" t="s">
        <v>304</v>
      </c>
      <c r="CS333" t="s">
        <v>292</v>
      </c>
      <c r="CT333">
        <v>0</v>
      </c>
      <c r="CU333" t="b">
        <v>0</v>
      </c>
      <c r="CV333" t="s">
        <v>439</v>
      </c>
      <c r="CW333" t="s">
        <v>292</v>
      </c>
      <c r="CX333" t="s">
        <v>292</v>
      </c>
      <c r="CY333" t="b">
        <v>0</v>
      </c>
      <c r="CZ333" t="b">
        <v>0</v>
      </c>
      <c r="DC333" t="s">
        <v>715</v>
      </c>
      <c r="DJ333">
        <f>DataTable[HLD_MaturityDate] - DataTable[SEC_Issue_Date]</f>
        <v>182</v>
      </c>
    </row>
    <row r="334" spans="1:114" x14ac:dyDescent="0.2">
      <c r="A334" s="2">
        <v>43376</v>
      </c>
      <c r="B334" t="s">
        <v>56</v>
      </c>
      <c r="C334" t="s">
        <v>7</v>
      </c>
      <c r="D334" t="s">
        <v>16</v>
      </c>
      <c r="F334" t="s">
        <v>20</v>
      </c>
      <c r="H334" t="s">
        <v>468</v>
      </c>
      <c r="J334" t="s">
        <v>462</v>
      </c>
      <c r="N334" s="2">
        <v>43405</v>
      </c>
      <c r="O334">
        <v>29</v>
      </c>
      <c r="Q334">
        <v>1.2716670000000001</v>
      </c>
      <c r="T334">
        <v>1198830516</v>
      </c>
      <c r="V334">
        <v>1198824324</v>
      </c>
      <c r="W334">
        <v>7.6643000000000003E-2</v>
      </c>
      <c r="X334">
        <v>1200000000</v>
      </c>
      <c r="Z334">
        <v>1196573880.71</v>
      </c>
      <c r="AA334">
        <v>1.2784040000000001</v>
      </c>
      <c r="AB334">
        <v>9.1882445600000001E-2</v>
      </c>
      <c r="AC334" t="s">
        <v>20</v>
      </c>
      <c r="AE334" t="s">
        <v>469</v>
      </c>
      <c r="AF334" t="s">
        <v>478</v>
      </c>
      <c r="AG334" t="s">
        <v>478</v>
      </c>
      <c r="AH334" t="s">
        <v>330</v>
      </c>
      <c r="AI334" t="s">
        <v>468</v>
      </c>
      <c r="AJ334" t="s">
        <v>464</v>
      </c>
      <c r="AK334" t="s">
        <v>16</v>
      </c>
      <c r="AM334" t="s">
        <v>405</v>
      </c>
      <c r="AN334" t="s">
        <v>292</v>
      </c>
      <c r="AO334" t="s">
        <v>292</v>
      </c>
      <c r="AP334" t="s">
        <v>434</v>
      </c>
      <c r="AQ334" t="s">
        <v>318</v>
      </c>
      <c r="AR334" t="s">
        <v>292</v>
      </c>
      <c r="AS334" t="s">
        <v>292</v>
      </c>
      <c r="AT334" t="s">
        <v>334</v>
      </c>
      <c r="AU334" t="s">
        <v>292</v>
      </c>
      <c r="AV334" t="s">
        <v>435</v>
      </c>
      <c r="AY334" t="s">
        <v>471</v>
      </c>
      <c r="AZ334" t="s">
        <v>472</v>
      </c>
      <c r="BA334" t="s">
        <v>292</v>
      </c>
      <c r="BB334" t="s">
        <v>292</v>
      </c>
      <c r="BC334" t="s">
        <v>292</v>
      </c>
      <c r="BD334" t="s">
        <v>292</v>
      </c>
      <c r="BE334" t="s">
        <v>292</v>
      </c>
      <c r="BF334" t="s">
        <v>292</v>
      </c>
      <c r="CK334" t="s">
        <v>57</v>
      </c>
      <c r="CL334" t="s">
        <v>58</v>
      </c>
      <c r="CM334" t="s">
        <v>9</v>
      </c>
      <c r="CN334" s="2">
        <v>43314</v>
      </c>
      <c r="CO334" t="s">
        <v>292</v>
      </c>
      <c r="CP334" t="s">
        <v>303</v>
      </c>
      <c r="CQ334" t="s">
        <v>303</v>
      </c>
      <c r="CR334" t="s">
        <v>304</v>
      </c>
      <c r="CS334" t="s">
        <v>292</v>
      </c>
      <c r="CT334">
        <v>0</v>
      </c>
      <c r="CU334" t="b">
        <v>0</v>
      </c>
      <c r="CV334" t="s">
        <v>439</v>
      </c>
      <c r="CW334" t="s">
        <v>292</v>
      </c>
      <c r="CX334" t="s">
        <v>292</v>
      </c>
      <c r="CY334" t="b">
        <v>0</v>
      </c>
      <c r="CZ334" t="b">
        <v>0</v>
      </c>
      <c r="DC334" t="s">
        <v>479</v>
      </c>
      <c r="DJ334">
        <f>DataTable[HLD_MaturityDate] - DataTable[SEC_Issue_Date]</f>
        <v>91</v>
      </c>
    </row>
    <row r="335" spans="1:114" x14ac:dyDescent="0.2">
      <c r="A335" s="2">
        <v>43376</v>
      </c>
      <c r="B335" t="s">
        <v>56</v>
      </c>
      <c r="C335" t="s">
        <v>7</v>
      </c>
      <c r="D335" t="s">
        <v>16</v>
      </c>
      <c r="F335" t="s">
        <v>21</v>
      </c>
      <c r="H335" t="s">
        <v>468</v>
      </c>
      <c r="J335" t="s">
        <v>462</v>
      </c>
      <c r="N335" s="2">
        <v>43412</v>
      </c>
      <c r="O335">
        <v>36</v>
      </c>
      <c r="Q335">
        <v>1.2649999999999999</v>
      </c>
      <c r="T335">
        <v>19975769.199999999</v>
      </c>
      <c r="V335">
        <v>19975769.199999999</v>
      </c>
      <c r="W335">
        <v>9.5782000000000006E-2</v>
      </c>
      <c r="X335">
        <v>20000000</v>
      </c>
      <c r="Z335">
        <v>19942633.600000001</v>
      </c>
      <c r="AA335">
        <v>1.2649999999999999</v>
      </c>
      <c r="AB335">
        <v>1.5310108E-3</v>
      </c>
      <c r="AC335" t="s">
        <v>21</v>
      </c>
      <c r="AE335" t="s">
        <v>469</v>
      </c>
      <c r="AF335" t="s">
        <v>480</v>
      </c>
      <c r="AG335" t="s">
        <v>480</v>
      </c>
      <c r="AH335" t="s">
        <v>330</v>
      </c>
      <c r="AI335" t="s">
        <v>468</v>
      </c>
      <c r="AJ335" t="s">
        <v>464</v>
      </c>
      <c r="AK335" t="s">
        <v>16</v>
      </c>
      <c r="AM335" t="s">
        <v>405</v>
      </c>
      <c r="AN335" t="s">
        <v>292</v>
      </c>
      <c r="AO335" t="s">
        <v>292</v>
      </c>
      <c r="AP335" t="s">
        <v>434</v>
      </c>
      <c r="AQ335" t="s">
        <v>318</v>
      </c>
      <c r="AR335" t="s">
        <v>292</v>
      </c>
      <c r="AS335" t="s">
        <v>292</v>
      </c>
      <c r="AT335" t="s">
        <v>334</v>
      </c>
      <c r="AU335" t="s">
        <v>292</v>
      </c>
      <c r="AV335" t="s">
        <v>435</v>
      </c>
      <c r="AY335" t="s">
        <v>471</v>
      </c>
      <c r="AZ335" t="s">
        <v>472</v>
      </c>
      <c r="BA335" t="s">
        <v>292</v>
      </c>
      <c r="BB335" t="s">
        <v>292</v>
      </c>
      <c r="BC335" t="s">
        <v>292</v>
      </c>
      <c r="BD335" t="s">
        <v>292</v>
      </c>
      <c r="BE335" t="s">
        <v>292</v>
      </c>
      <c r="BF335" t="s">
        <v>292</v>
      </c>
      <c r="CK335" t="s">
        <v>57</v>
      </c>
      <c r="CL335" t="s">
        <v>58</v>
      </c>
      <c r="CM335" t="s">
        <v>9</v>
      </c>
      <c r="CN335" s="2">
        <v>43230</v>
      </c>
      <c r="CO335" t="s">
        <v>292</v>
      </c>
      <c r="CP335" t="s">
        <v>303</v>
      </c>
      <c r="CQ335" t="s">
        <v>303</v>
      </c>
      <c r="CR335" t="s">
        <v>304</v>
      </c>
      <c r="CS335" t="s">
        <v>292</v>
      </c>
      <c r="CT335">
        <v>0</v>
      </c>
      <c r="CU335" t="b">
        <v>0</v>
      </c>
      <c r="CV335" t="s">
        <v>439</v>
      </c>
      <c r="CW335" t="s">
        <v>292</v>
      </c>
      <c r="CX335" t="s">
        <v>292</v>
      </c>
      <c r="CY335" t="b">
        <v>0</v>
      </c>
      <c r="CZ335" t="b">
        <v>0</v>
      </c>
      <c r="DC335" t="s">
        <v>481</v>
      </c>
      <c r="DJ335">
        <f>DataTable[HLD_MaturityDate] - DataTable[SEC_Issue_Date]</f>
        <v>182</v>
      </c>
    </row>
    <row r="336" spans="1:114" x14ac:dyDescent="0.2">
      <c r="A336" s="2">
        <v>43376</v>
      </c>
      <c r="B336" t="s">
        <v>56</v>
      </c>
      <c r="C336" t="s">
        <v>7</v>
      </c>
      <c r="D336" t="s">
        <v>16</v>
      </c>
      <c r="F336" t="s">
        <v>22</v>
      </c>
      <c r="H336" t="s">
        <v>468</v>
      </c>
      <c r="J336" t="s">
        <v>462</v>
      </c>
      <c r="N336" s="2">
        <v>43412</v>
      </c>
      <c r="O336">
        <v>36</v>
      </c>
      <c r="Q336">
        <v>1.17709</v>
      </c>
      <c r="T336">
        <v>671242360.32000005</v>
      </c>
      <c r="V336">
        <v>671241540.48000002</v>
      </c>
      <c r="W336">
        <v>9.5780000000000004E-2</v>
      </c>
      <c r="X336">
        <v>672000000</v>
      </c>
      <c r="Z336">
        <v>670721021.80999994</v>
      </c>
      <c r="AA336">
        <v>1.1783650000000001</v>
      </c>
      <c r="AB336">
        <v>5.1446296000000002E-2</v>
      </c>
      <c r="AC336" t="s">
        <v>22</v>
      </c>
      <c r="AE336" t="s">
        <v>469</v>
      </c>
      <c r="AF336" t="s">
        <v>482</v>
      </c>
      <c r="AG336" t="s">
        <v>482</v>
      </c>
      <c r="AH336" t="s">
        <v>330</v>
      </c>
      <c r="AI336" t="s">
        <v>468</v>
      </c>
      <c r="AJ336" t="s">
        <v>464</v>
      </c>
      <c r="AK336" t="s">
        <v>16</v>
      </c>
      <c r="AM336" t="s">
        <v>405</v>
      </c>
      <c r="AN336" t="s">
        <v>292</v>
      </c>
      <c r="AO336" t="s">
        <v>292</v>
      </c>
      <c r="AP336" t="s">
        <v>434</v>
      </c>
      <c r="AQ336" t="s">
        <v>318</v>
      </c>
      <c r="AR336" t="s">
        <v>292</v>
      </c>
      <c r="AS336" t="s">
        <v>292</v>
      </c>
      <c r="AT336" t="s">
        <v>334</v>
      </c>
      <c r="AU336" t="s">
        <v>292</v>
      </c>
      <c r="AV336" t="s">
        <v>435</v>
      </c>
      <c r="AY336" t="s">
        <v>471</v>
      </c>
      <c r="AZ336" t="s">
        <v>472</v>
      </c>
      <c r="BA336" t="s">
        <v>292</v>
      </c>
      <c r="BB336" t="s">
        <v>292</v>
      </c>
      <c r="BC336" t="s">
        <v>292</v>
      </c>
      <c r="BD336" t="s">
        <v>292</v>
      </c>
      <c r="BE336" t="s">
        <v>292</v>
      </c>
      <c r="BF336" t="s">
        <v>292</v>
      </c>
      <c r="CK336" t="s">
        <v>57</v>
      </c>
      <c r="CL336" t="s">
        <v>58</v>
      </c>
      <c r="CM336" t="s">
        <v>9</v>
      </c>
      <c r="CN336" s="2">
        <v>43321</v>
      </c>
      <c r="CO336" t="s">
        <v>292</v>
      </c>
      <c r="CP336" t="s">
        <v>303</v>
      </c>
      <c r="CQ336" t="s">
        <v>303</v>
      </c>
      <c r="CR336" t="s">
        <v>304</v>
      </c>
      <c r="CS336" t="s">
        <v>292</v>
      </c>
      <c r="CT336">
        <v>0</v>
      </c>
      <c r="CU336" t="b">
        <v>0</v>
      </c>
      <c r="CV336" t="s">
        <v>439</v>
      </c>
      <c r="CW336" t="s">
        <v>292</v>
      </c>
      <c r="CX336" t="s">
        <v>292</v>
      </c>
      <c r="CY336" t="b">
        <v>0</v>
      </c>
      <c r="CZ336" t="b">
        <v>0</v>
      </c>
      <c r="DC336" t="s">
        <v>483</v>
      </c>
      <c r="DJ336">
        <f>DataTable[HLD_MaturityDate] - DataTable[SEC_Issue_Date]</f>
        <v>91</v>
      </c>
    </row>
    <row r="337" spans="1:114" x14ac:dyDescent="0.2">
      <c r="A337" s="2">
        <v>43376</v>
      </c>
      <c r="B337" t="s">
        <v>56</v>
      </c>
      <c r="C337" t="s">
        <v>7</v>
      </c>
      <c r="D337" t="s">
        <v>16</v>
      </c>
      <c r="F337" t="s">
        <v>23</v>
      </c>
      <c r="H337" t="s">
        <v>468</v>
      </c>
      <c r="J337" t="s">
        <v>462</v>
      </c>
      <c r="N337" s="2">
        <v>43419</v>
      </c>
      <c r="O337">
        <v>43</v>
      </c>
      <c r="Q337">
        <v>1.2252369999999999</v>
      </c>
      <c r="T337">
        <v>1002586488.48</v>
      </c>
      <c r="V337">
        <v>1002585604.96</v>
      </c>
      <c r="W337">
        <v>0.114912</v>
      </c>
      <c r="X337">
        <v>1004000000</v>
      </c>
      <c r="Z337">
        <v>1001105085.67</v>
      </c>
      <c r="AA337">
        <v>1.22601</v>
      </c>
      <c r="AB337">
        <v>7.6841636300000002E-2</v>
      </c>
      <c r="AC337" t="s">
        <v>23</v>
      </c>
      <c r="AE337" t="s">
        <v>469</v>
      </c>
      <c r="AF337" t="s">
        <v>484</v>
      </c>
      <c r="AG337" t="s">
        <v>484</v>
      </c>
      <c r="AH337" t="s">
        <v>330</v>
      </c>
      <c r="AI337" t="s">
        <v>468</v>
      </c>
      <c r="AJ337" t="s">
        <v>464</v>
      </c>
      <c r="AK337" t="s">
        <v>16</v>
      </c>
      <c r="AM337" t="s">
        <v>405</v>
      </c>
      <c r="AN337" t="s">
        <v>292</v>
      </c>
      <c r="AO337" t="s">
        <v>292</v>
      </c>
      <c r="AP337" t="s">
        <v>434</v>
      </c>
      <c r="AQ337" t="s">
        <v>318</v>
      </c>
      <c r="AR337" t="s">
        <v>292</v>
      </c>
      <c r="AS337" t="s">
        <v>292</v>
      </c>
      <c r="AT337" t="s">
        <v>334</v>
      </c>
      <c r="AU337" t="s">
        <v>292</v>
      </c>
      <c r="AV337" t="s">
        <v>435</v>
      </c>
      <c r="AY337" t="s">
        <v>471</v>
      </c>
      <c r="AZ337" t="s">
        <v>472</v>
      </c>
      <c r="BA337" t="s">
        <v>292</v>
      </c>
      <c r="BB337" t="s">
        <v>292</v>
      </c>
      <c r="BC337" t="s">
        <v>292</v>
      </c>
      <c r="BD337" t="s">
        <v>292</v>
      </c>
      <c r="BE337" t="s">
        <v>292</v>
      </c>
      <c r="BF337" t="s">
        <v>292</v>
      </c>
      <c r="CK337" t="s">
        <v>57</v>
      </c>
      <c r="CL337" t="s">
        <v>58</v>
      </c>
      <c r="CM337" t="s">
        <v>9</v>
      </c>
      <c r="CN337" s="2">
        <v>43328</v>
      </c>
      <c r="CO337" t="s">
        <v>292</v>
      </c>
      <c r="CP337" t="s">
        <v>303</v>
      </c>
      <c r="CQ337" t="s">
        <v>303</v>
      </c>
      <c r="CR337" t="s">
        <v>304</v>
      </c>
      <c r="CS337" t="s">
        <v>292</v>
      </c>
      <c r="CT337">
        <v>0</v>
      </c>
      <c r="CU337" t="b">
        <v>0</v>
      </c>
      <c r="CV337" t="s">
        <v>439</v>
      </c>
      <c r="CW337" t="s">
        <v>292</v>
      </c>
      <c r="CX337" t="s">
        <v>292</v>
      </c>
      <c r="CY337" t="b">
        <v>0</v>
      </c>
      <c r="CZ337" t="b">
        <v>0</v>
      </c>
      <c r="DC337" t="s">
        <v>485</v>
      </c>
      <c r="DJ337">
        <f>DataTable[HLD_MaturityDate] - DataTable[SEC_Issue_Date]</f>
        <v>91</v>
      </c>
    </row>
    <row r="338" spans="1:114" x14ac:dyDescent="0.2">
      <c r="A338" s="2">
        <v>43376</v>
      </c>
      <c r="B338" t="s">
        <v>56</v>
      </c>
      <c r="C338" t="s">
        <v>7</v>
      </c>
      <c r="D338" t="s">
        <v>16</v>
      </c>
      <c r="F338" t="s">
        <v>24</v>
      </c>
      <c r="H338" t="s">
        <v>468</v>
      </c>
      <c r="J338" t="s">
        <v>462</v>
      </c>
      <c r="N338" s="2">
        <v>43426</v>
      </c>
      <c r="O338">
        <v>50</v>
      </c>
      <c r="Q338">
        <v>1.2475229999999999</v>
      </c>
      <c r="T338">
        <v>338433205.56</v>
      </c>
      <c r="V338">
        <v>338423977.98000002</v>
      </c>
      <c r="W338">
        <v>0.13402800000000001</v>
      </c>
      <c r="X338">
        <v>339000000</v>
      </c>
      <c r="Z338">
        <v>337974330.19999999</v>
      </c>
      <c r="AA338">
        <v>1.267868</v>
      </c>
      <c r="AB338">
        <v>2.5938671199999999E-2</v>
      </c>
      <c r="AC338" t="s">
        <v>24</v>
      </c>
      <c r="AE338" t="s">
        <v>469</v>
      </c>
      <c r="AF338" t="s">
        <v>489</v>
      </c>
      <c r="AG338" t="s">
        <v>489</v>
      </c>
      <c r="AH338" t="s">
        <v>330</v>
      </c>
      <c r="AI338" t="s">
        <v>468</v>
      </c>
      <c r="AJ338" t="s">
        <v>464</v>
      </c>
      <c r="AK338" t="s">
        <v>16</v>
      </c>
      <c r="AM338" t="s">
        <v>405</v>
      </c>
      <c r="AN338" t="s">
        <v>292</v>
      </c>
      <c r="AO338" t="s">
        <v>292</v>
      </c>
      <c r="AP338" t="s">
        <v>434</v>
      </c>
      <c r="AQ338" t="s">
        <v>318</v>
      </c>
      <c r="AR338" t="s">
        <v>292</v>
      </c>
      <c r="AS338" t="s">
        <v>292</v>
      </c>
      <c r="AT338" t="s">
        <v>334</v>
      </c>
      <c r="AU338" t="s">
        <v>292</v>
      </c>
      <c r="AV338" t="s">
        <v>435</v>
      </c>
      <c r="AY338" t="s">
        <v>471</v>
      </c>
      <c r="AZ338" t="s">
        <v>472</v>
      </c>
      <c r="BA338" t="s">
        <v>292</v>
      </c>
      <c r="BB338" t="s">
        <v>292</v>
      </c>
      <c r="BC338" t="s">
        <v>292</v>
      </c>
      <c r="BD338" t="s">
        <v>292</v>
      </c>
      <c r="BE338" t="s">
        <v>292</v>
      </c>
      <c r="BF338" t="s">
        <v>292</v>
      </c>
      <c r="CK338" t="s">
        <v>57</v>
      </c>
      <c r="CL338" t="s">
        <v>58</v>
      </c>
      <c r="CM338" t="s">
        <v>9</v>
      </c>
      <c r="CN338" s="2">
        <v>43335</v>
      </c>
      <c r="CO338" t="s">
        <v>292</v>
      </c>
      <c r="CP338" t="s">
        <v>303</v>
      </c>
      <c r="CQ338" t="s">
        <v>303</v>
      </c>
      <c r="CR338" t="s">
        <v>304</v>
      </c>
      <c r="CS338" t="s">
        <v>292</v>
      </c>
      <c r="CT338">
        <v>0</v>
      </c>
      <c r="CU338" t="b">
        <v>0</v>
      </c>
      <c r="CV338" t="s">
        <v>439</v>
      </c>
      <c r="CW338" t="s">
        <v>292</v>
      </c>
      <c r="CX338" t="s">
        <v>292</v>
      </c>
      <c r="CY338" t="b">
        <v>0</v>
      </c>
      <c r="CZ338" t="b">
        <v>0</v>
      </c>
      <c r="DC338" t="s">
        <v>490</v>
      </c>
      <c r="DJ338">
        <f>DataTable[HLD_MaturityDate] - DataTable[SEC_Issue_Date]</f>
        <v>91</v>
      </c>
    </row>
    <row r="339" spans="1:114" x14ac:dyDescent="0.2">
      <c r="A339" s="2">
        <v>43376</v>
      </c>
      <c r="B339" t="s">
        <v>56</v>
      </c>
      <c r="C339" t="s">
        <v>7</v>
      </c>
      <c r="D339" t="s">
        <v>16</v>
      </c>
      <c r="F339" t="s">
        <v>25</v>
      </c>
      <c r="H339" t="s">
        <v>468</v>
      </c>
      <c r="J339" t="s">
        <v>462</v>
      </c>
      <c r="N339" s="2">
        <v>43433</v>
      </c>
      <c r="O339">
        <v>57</v>
      </c>
      <c r="Q339">
        <v>1.19</v>
      </c>
      <c r="T339">
        <v>648815420.5</v>
      </c>
      <c r="V339">
        <v>648762660</v>
      </c>
      <c r="W339">
        <v>0.153145</v>
      </c>
      <c r="X339">
        <v>650000000</v>
      </c>
      <c r="Z339">
        <v>647991708.27999997</v>
      </c>
      <c r="AA339">
        <v>1.2431080000000001</v>
      </c>
      <c r="AB339">
        <v>4.9727419100000003E-2</v>
      </c>
      <c r="AC339" t="s">
        <v>25</v>
      </c>
      <c r="AE339" t="s">
        <v>469</v>
      </c>
      <c r="AF339" t="s">
        <v>494</v>
      </c>
      <c r="AG339" t="s">
        <v>494</v>
      </c>
      <c r="AH339" t="s">
        <v>330</v>
      </c>
      <c r="AI339" t="s">
        <v>468</v>
      </c>
      <c r="AJ339" t="s">
        <v>464</v>
      </c>
      <c r="AK339" t="s">
        <v>16</v>
      </c>
      <c r="AM339" t="s">
        <v>405</v>
      </c>
      <c r="AN339" t="s">
        <v>292</v>
      </c>
      <c r="AO339" t="s">
        <v>292</v>
      </c>
      <c r="AP339" t="s">
        <v>434</v>
      </c>
      <c r="AQ339" t="s">
        <v>318</v>
      </c>
      <c r="AR339" t="s">
        <v>292</v>
      </c>
      <c r="AS339" t="s">
        <v>292</v>
      </c>
      <c r="AT339" t="s">
        <v>334</v>
      </c>
      <c r="AU339" t="s">
        <v>292</v>
      </c>
      <c r="AV339" t="s">
        <v>435</v>
      </c>
      <c r="AY339" t="s">
        <v>471</v>
      </c>
      <c r="AZ339" t="s">
        <v>472</v>
      </c>
      <c r="BA339" t="s">
        <v>292</v>
      </c>
      <c r="BB339" t="s">
        <v>292</v>
      </c>
      <c r="BC339" t="s">
        <v>292</v>
      </c>
      <c r="BD339" t="s">
        <v>292</v>
      </c>
      <c r="BE339" t="s">
        <v>292</v>
      </c>
      <c r="BF339" t="s">
        <v>292</v>
      </c>
      <c r="CK339" t="s">
        <v>57</v>
      </c>
      <c r="CL339" t="s">
        <v>58</v>
      </c>
      <c r="CM339" t="s">
        <v>9</v>
      </c>
      <c r="CN339" s="2">
        <v>43342</v>
      </c>
      <c r="CO339" t="s">
        <v>292</v>
      </c>
      <c r="CP339" t="s">
        <v>303</v>
      </c>
      <c r="CQ339" t="s">
        <v>303</v>
      </c>
      <c r="CR339" t="s">
        <v>304</v>
      </c>
      <c r="CS339" t="s">
        <v>292</v>
      </c>
      <c r="CT339">
        <v>0</v>
      </c>
      <c r="CU339" t="b">
        <v>0</v>
      </c>
      <c r="CV339" t="s">
        <v>439</v>
      </c>
      <c r="CW339" t="s">
        <v>292</v>
      </c>
      <c r="CX339" t="s">
        <v>292</v>
      </c>
      <c r="CY339" t="b">
        <v>0</v>
      </c>
      <c r="CZ339" t="b">
        <v>0</v>
      </c>
      <c r="DC339" t="s">
        <v>495</v>
      </c>
      <c r="DJ339">
        <f>DataTable[HLD_MaturityDate] - DataTable[SEC_Issue_Date]</f>
        <v>91</v>
      </c>
    </row>
    <row r="340" spans="1:114" x14ac:dyDescent="0.2">
      <c r="A340" s="2">
        <v>43376</v>
      </c>
      <c r="B340" t="s">
        <v>56</v>
      </c>
      <c r="C340" t="s">
        <v>7</v>
      </c>
      <c r="D340" t="s">
        <v>16</v>
      </c>
      <c r="F340" t="s">
        <v>26</v>
      </c>
      <c r="H340" t="s">
        <v>468</v>
      </c>
      <c r="J340" t="s">
        <v>462</v>
      </c>
      <c r="N340" s="2">
        <v>43377</v>
      </c>
      <c r="O340">
        <v>1</v>
      </c>
      <c r="Q340">
        <v>1.1239809999999999</v>
      </c>
      <c r="T340">
        <v>103000000</v>
      </c>
      <c r="V340">
        <v>103000000</v>
      </c>
      <c r="W340">
        <v>2.7399999999999998E-3</v>
      </c>
      <c r="X340">
        <v>103000000</v>
      </c>
      <c r="Z340">
        <v>102971999.26000001</v>
      </c>
      <c r="AA340">
        <v>1.1239809999999999</v>
      </c>
      <c r="AB340">
        <v>7.8942700999999997E-3</v>
      </c>
      <c r="AC340" t="s">
        <v>26</v>
      </c>
      <c r="AE340" t="s">
        <v>469</v>
      </c>
      <c r="AF340" t="s">
        <v>496</v>
      </c>
      <c r="AG340" t="s">
        <v>496</v>
      </c>
      <c r="AH340" t="s">
        <v>330</v>
      </c>
      <c r="AI340" t="s">
        <v>468</v>
      </c>
      <c r="AJ340" t="s">
        <v>464</v>
      </c>
      <c r="AK340" t="s">
        <v>16</v>
      </c>
      <c r="AM340" t="s">
        <v>405</v>
      </c>
      <c r="AN340" t="s">
        <v>292</v>
      </c>
      <c r="AO340" t="s">
        <v>292</v>
      </c>
      <c r="AP340" t="s">
        <v>434</v>
      </c>
      <c r="AQ340" t="s">
        <v>318</v>
      </c>
      <c r="AR340" t="s">
        <v>292</v>
      </c>
      <c r="AS340" t="s">
        <v>292</v>
      </c>
      <c r="AT340" t="s">
        <v>334</v>
      </c>
      <c r="AU340" t="s">
        <v>292</v>
      </c>
      <c r="AV340" t="s">
        <v>435</v>
      </c>
      <c r="AY340" t="s">
        <v>471</v>
      </c>
      <c r="AZ340" t="s">
        <v>472</v>
      </c>
      <c r="BA340" t="s">
        <v>292</v>
      </c>
      <c r="BB340" t="s">
        <v>292</v>
      </c>
      <c r="BC340" t="s">
        <v>292</v>
      </c>
      <c r="BD340" t="s">
        <v>292</v>
      </c>
      <c r="BE340" t="s">
        <v>292</v>
      </c>
      <c r="BF340" t="s">
        <v>292</v>
      </c>
      <c r="CK340" t="s">
        <v>57</v>
      </c>
      <c r="CL340" t="s">
        <v>58</v>
      </c>
      <c r="CM340" t="s">
        <v>9</v>
      </c>
      <c r="CN340" s="2">
        <v>43195</v>
      </c>
      <c r="CO340" t="s">
        <v>292</v>
      </c>
      <c r="CP340" t="s">
        <v>303</v>
      </c>
      <c r="CQ340" t="s">
        <v>303</v>
      </c>
      <c r="CR340" t="s">
        <v>304</v>
      </c>
      <c r="CS340" t="s">
        <v>292</v>
      </c>
      <c r="CT340">
        <v>0</v>
      </c>
      <c r="CU340" t="b">
        <v>0</v>
      </c>
      <c r="CV340" t="s">
        <v>439</v>
      </c>
      <c r="CW340" t="s">
        <v>292</v>
      </c>
      <c r="CX340" t="s">
        <v>292</v>
      </c>
      <c r="CY340" t="b">
        <v>0</v>
      </c>
      <c r="CZ340" t="b">
        <v>0</v>
      </c>
      <c r="DC340" t="s">
        <v>497</v>
      </c>
      <c r="DJ340">
        <f>DataTable[HLD_MaturityDate] - DataTable[SEC_Issue_Date]</f>
        <v>182</v>
      </c>
    </row>
    <row r="341" spans="1:114" x14ac:dyDescent="0.2">
      <c r="A341" s="2">
        <v>43376</v>
      </c>
      <c r="B341" t="s">
        <v>56</v>
      </c>
      <c r="C341" t="s">
        <v>7</v>
      </c>
      <c r="D341" t="s">
        <v>16</v>
      </c>
      <c r="F341" t="s">
        <v>27</v>
      </c>
      <c r="H341" t="s">
        <v>468</v>
      </c>
      <c r="J341" t="s">
        <v>462</v>
      </c>
      <c r="N341" s="2">
        <v>43377</v>
      </c>
      <c r="O341">
        <v>1</v>
      </c>
      <c r="Q341">
        <v>1.306152</v>
      </c>
      <c r="T341">
        <v>360000000</v>
      </c>
      <c r="V341">
        <v>360000000</v>
      </c>
      <c r="W341">
        <v>2.7399999999999998E-3</v>
      </c>
      <c r="X341">
        <v>360000000</v>
      </c>
      <c r="Z341">
        <v>358795047.93000001</v>
      </c>
      <c r="AA341">
        <v>1.382398</v>
      </c>
      <c r="AB341">
        <v>2.75916236E-2</v>
      </c>
      <c r="AC341" t="s">
        <v>27</v>
      </c>
      <c r="AE341" t="s">
        <v>469</v>
      </c>
      <c r="AF341" t="s">
        <v>498</v>
      </c>
      <c r="AG341" t="s">
        <v>498</v>
      </c>
      <c r="AH341" t="s">
        <v>330</v>
      </c>
      <c r="AI341" t="s">
        <v>468</v>
      </c>
      <c r="AJ341" t="s">
        <v>464</v>
      </c>
      <c r="AK341" t="s">
        <v>16</v>
      </c>
      <c r="AM341" t="s">
        <v>405</v>
      </c>
      <c r="AN341" t="s">
        <v>292</v>
      </c>
      <c r="AO341" t="s">
        <v>292</v>
      </c>
      <c r="AP341" t="s">
        <v>434</v>
      </c>
      <c r="AQ341" t="s">
        <v>318</v>
      </c>
      <c r="AR341" t="s">
        <v>292</v>
      </c>
      <c r="AS341" t="s">
        <v>292</v>
      </c>
      <c r="AT341" t="s">
        <v>334</v>
      </c>
      <c r="AU341" t="s">
        <v>292</v>
      </c>
      <c r="AV341" t="s">
        <v>435</v>
      </c>
      <c r="AY341" t="s">
        <v>471</v>
      </c>
      <c r="AZ341" t="s">
        <v>472</v>
      </c>
      <c r="BA341" t="s">
        <v>292</v>
      </c>
      <c r="BB341" t="s">
        <v>292</v>
      </c>
      <c r="BC341" t="s">
        <v>292</v>
      </c>
      <c r="BD341" t="s">
        <v>292</v>
      </c>
      <c r="BE341" t="s">
        <v>292</v>
      </c>
      <c r="BF341" t="s">
        <v>292</v>
      </c>
      <c r="CK341" t="s">
        <v>57</v>
      </c>
      <c r="CL341" t="s">
        <v>58</v>
      </c>
      <c r="CM341" t="s">
        <v>9</v>
      </c>
      <c r="CN341" s="2">
        <v>43286</v>
      </c>
      <c r="CO341" t="s">
        <v>292</v>
      </c>
      <c r="CP341" t="s">
        <v>303</v>
      </c>
      <c r="CQ341" t="s">
        <v>303</v>
      </c>
      <c r="CR341" t="s">
        <v>304</v>
      </c>
      <c r="CS341" t="s">
        <v>292</v>
      </c>
      <c r="CT341">
        <v>0</v>
      </c>
      <c r="CU341" t="b">
        <v>0</v>
      </c>
      <c r="CV341" t="s">
        <v>439</v>
      </c>
      <c r="CW341" t="s">
        <v>292</v>
      </c>
      <c r="CX341" t="s">
        <v>292</v>
      </c>
      <c r="CY341" t="b">
        <v>0</v>
      </c>
      <c r="CZ341" t="b">
        <v>0</v>
      </c>
      <c r="DC341" t="s">
        <v>499</v>
      </c>
      <c r="DJ341">
        <f>DataTable[HLD_MaturityDate] - DataTable[SEC_Issue_Date]</f>
        <v>91</v>
      </c>
    </row>
    <row r="342" spans="1:114" x14ac:dyDescent="0.2">
      <c r="A342" s="2">
        <v>43376</v>
      </c>
      <c r="B342" t="s">
        <v>56</v>
      </c>
      <c r="C342" t="s">
        <v>7</v>
      </c>
      <c r="D342" t="s">
        <v>16</v>
      </c>
      <c r="F342" t="s">
        <v>28</v>
      </c>
      <c r="H342" t="s">
        <v>468</v>
      </c>
      <c r="J342" t="s">
        <v>462</v>
      </c>
      <c r="N342" s="2">
        <v>43382</v>
      </c>
      <c r="O342">
        <v>6</v>
      </c>
      <c r="Q342">
        <v>1.16547</v>
      </c>
      <c r="T342">
        <v>473924335.38</v>
      </c>
      <c r="V342">
        <v>473924335.38</v>
      </c>
      <c r="W342">
        <v>1.3697000000000001E-2</v>
      </c>
      <c r="X342">
        <v>474000000</v>
      </c>
      <c r="Z342">
        <v>473788202.57999998</v>
      </c>
      <c r="AA342">
        <v>1.16547</v>
      </c>
      <c r="AB342">
        <v>3.6323171899999999E-2</v>
      </c>
      <c r="AC342" t="s">
        <v>28</v>
      </c>
      <c r="AE342" t="s">
        <v>469</v>
      </c>
      <c r="AF342" t="s">
        <v>500</v>
      </c>
      <c r="AG342" t="s">
        <v>500</v>
      </c>
      <c r="AH342" t="s">
        <v>330</v>
      </c>
      <c r="AI342" t="s">
        <v>468</v>
      </c>
      <c r="AJ342" t="s">
        <v>464</v>
      </c>
      <c r="AK342" t="s">
        <v>16</v>
      </c>
      <c r="AM342" t="s">
        <v>405</v>
      </c>
      <c r="AN342" t="s">
        <v>292</v>
      </c>
      <c r="AO342" t="s">
        <v>292</v>
      </c>
      <c r="AP342" t="s">
        <v>434</v>
      </c>
      <c r="AQ342" t="s">
        <v>318</v>
      </c>
      <c r="AR342" t="s">
        <v>292</v>
      </c>
      <c r="AS342" t="s">
        <v>292</v>
      </c>
      <c r="AT342" t="s">
        <v>334</v>
      </c>
      <c r="AU342" t="s">
        <v>292</v>
      </c>
      <c r="AV342" t="s">
        <v>435</v>
      </c>
      <c r="AY342" t="s">
        <v>471</v>
      </c>
      <c r="AZ342" t="s">
        <v>472</v>
      </c>
      <c r="BA342" t="s">
        <v>292</v>
      </c>
      <c r="BB342" t="s">
        <v>292</v>
      </c>
      <c r="BC342" t="s">
        <v>292</v>
      </c>
      <c r="BD342" t="s">
        <v>292</v>
      </c>
      <c r="BE342" t="s">
        <v>292</v>
      </c>
      <c r="BF342" t="s">
        <v>292</v>
      </c>
      <c r="CK342" t="s">
        <v>57</v>
      </c>
      <c r="CL342" t="s">
        <v>58</v>
      </c>
      <c r="CM342" t="s">
        <v>9</v>
      </c>
      <c r="CN342" s="2">
        <v>43368</v>
      </c>
      <c r="CO342" t="s">
        <v>292</v>
      </c>
      <c r="CP342" t="s">
        <v>303</v>
      </c>
      <c r="CQ342" t="s">
        <v>303</v>
      </c>
      <c r="CR342" t="s">
        <v>304</v>
      </c>
      <c r="CS342" t="s">
        <v>292</v>
      </c>
      <c r="CT342">
        <v>0</v>
      </c>
      <c r="CU342" t="b">
        <v>0</v>
      </c>
      <c r="CV342" t="s">
        <v>439</v>
      </c>
      <c r="CW342" t="s">
        <v>292</v>
      </c>
      <c r="CX342" t="s">
        <v>292</v>
      </c>
      <c r="CY342" t="b">
        <v>0</v>
      </c>
      <c r="CZ342" t="b">
        <v>0</v>
      </c>
      <c r="DC342" t="s">
        <v>501</v>
      </c>
      <c r="DJ342">
        <f>DataTable[HLD_MaturityDate] - DataTable[SEC_Issue_Date]</f>
        <v>14</v>
      </c>
    </row>
    <row r="343" spans="1:114" x14ac:dyDescent="0.2">
      <c r="A343" s="2">
        <v>43376</v>
      </c>
      <c r="B343" t="s">
        <v>56</v>
      </c>
      <c r="C343" t="s">
        <v>7</v>
      </c>
      <c r="D343" t="s">
        <v>16</v>
      </c>
      <c r="F343" t="s">
        <v>29</v>
      </c>
      <c r="H343" t="s">
        <v>468</v>
      </c>
      <c r="J343" t="s">
        <v>462</v>
      </c>
      <c r="N343" s="2">
        <v>43384</v>
      </c>
      <c r="O343">
        <v>8</v>
      </c>
      <c r="Q343">
        <v>1.169896</v>
      </c>
      <c r="T343">
        <v>211752491.13999999</v>
      </c>
      <c r="V343">
        <v>211752491.13999999</v>
      </c>
      <c r="W343">
        <v>1.9174E-2</v>
      </c>
      <c r="X343">
        <v>211800000</v>
      </c>
      <c r="Z343">
        <v>211526845.81999999</v>
      </c>
      <c r="AA343">
        <v>1.169896</v>
      </c>
      <c r="AB343">
        <v>1.6229430699999998E-2</v>
      </c>
      <c r="AC343" t="s">
        <v>29</v>
      </c>
      <c r="AE343" t="s">
        <v>469</v>
      </c>
      <c r="AF343" t="s">
        <v>502</v>
      </c>
      <c r="AG343" t="s">
        <v>502</v>
      </c>
      <c r="AH343" t="s">
        <v>330</v>
      </c>
      <c r="AI343" t="s">
        <v>468</v>
      </c>
      <c r="AJ343" t="s">
        <v>464</v>
      </c>
      <c r="AK343" t="s">
        <v>16</v>
      </c>
      <c r="AM343" t="s">
        <v>405</v>
      </c>
      <c r="AN343" t="s">
        <v>292</v>
      </c>
      <c r="AO343" t="s">
        <v>292</v>
      </c>
      <c r="AP343" t="s">
        <v>434</v>
      </c>
      <c r="AQ343" t="s">
        <v>318</v>
      </c>
      <c r="AR343" t="s">
        <v>292</v>
      </c>
      <c r="AS343" t="s">
        <v>292</v>
      </c>
      <c r="AT343" t="s">
        <v>334</v>
      </c>
      <c r="AU343" t="s">
        <v>292</v>
      </c>
      <c r="AV343" t="s">
        <v>435</v>
      </c>
      <c r="AY343" t="s">
        <v>471</v>
      </c>
      <c r="AZ343" t="s">
        <v>472</v>
      </c>
      <c r="BA343" t="s">
        <v>292</v>
      </c>
      <c r="BB343" t="s">
        <v>292</v>
      </c>
      <c r="BC343" t="s">
        <v>292</v>
      </c>
      <c r="BD343" t="s">
        <v>292</v>
      </c>
      <c r="BE343" t="s">
        <v>292</v>
      </c>
      <c r="BF343" t="s">
        <v>292</v>
      </c>
      <c r="CK343" t="s">
        <v>57</v>
      </c>
      <c r="CL343" t="s">
        <v>58</v>
      </c>
      <c r="CM343" t="s">
        <v>9</v>
      </c>
      <c r="CN343" s="2">
        <v>43202</v>
      </c>
      <c r="CO343" t="s">
        <v>292</v>
      </c>
      <c r="CP343" t="s">
        <v>303</v>
      </c>
      <c r="CQ343" t="s">
        <v>303</v>
      </c>
      <c r="CR343" t="s">
        <v>304</v>
      </c>
      <c r="CS343" t="s">
        <v>292</v>
      </c>
      <c r="CT343">
        <v>0</v>
      </c>
      <c r="CU343" t="b">
        <v>0</v>
      </c>
      <c r="CV343" t="s">
        <v>439</v>
      </c>
      <c r="CW343" t="s">
        <v>292</v>
      </c>
      <c r="CX343" t="s">
        <v>292</v>
      </c>
      <c r="CY343" t="b">
        <v>0</v>
      </c>
      <c r="CZ343" t="b">
        <v>0</v>
      </c>
      <c r="DC343" t="s">
        <v>503</v>
      </c>
      <c r="DJ343">
        <f>DataTable[HLD_MaturityDate] - DataTable[SEC_Issue_Date]</f>
        <v>182</v>
      </c>
    </row>
    <row r="344" spans="1:114" x14ac:dyDescent="0.2">
      <c r="A344" s="2">
        <v>43376</v>
      </c>
      <c r="B344" t="s">
        <v>56</v>
      </c>
      <c r="C344" t="s">
        <v>7</v>
      </c>
      <c r="D344" t="s">
        <v>16</v>
      </c>
      <c r="F344" t="s">
        <v>30</v>
      </c>
      <c r="H344" t="s">
        <v>468</v>
      </c>
      <c r="J344" t="s">
        <v>462</v>
      </c>
      <c r="N344" s="2">
        <v>43384</v>
      </c>
      <c r="O344">
        <v>8</v>
      </c>
      <c r="Q344">
        <v>1.2994870000000001</v>
      </c>
      <c r="T344">
        <v>662834813.54999995</v>
      </c>
      <c r="V344">
        <v>662834753.88</v>
      </c>
      <c r="W344">
        <v>1.9174E-2</v>
      </c>
      <c r="X344">
        <v>663000000</v>
      </c>
      <c r="Z344">
        <v>661240323.75</v>
      </c>
      <c r="AA344">
        <v>1.299917</v>
      </c>
      <c r="AB344">
        <v>5.0801913099999998E-2</v>
      </c>
      <c r="AC344" t="s">
        <v>30</v>
      </c>
      <c r="AE344" t="s">
        <v>469</v>
      </c>
      <c r="AF344" t="s">
        <v>504</v>
      </c>
      <c r="AG344" t="s">
        <v>504</v>
      </c>
      <c r="AH344" t="s">
        <v>330</v>
      </c>
      <c r="AI344" t="s">
        <v>468</v>
      </c>
      <c r="AJ344" t="s">
        <v>464</v>
      </c>
      <c r="AK344" t="s">
        <v>16</v>
      </c>
      <c r="AM344" t="s">
        <v>405</v>
      </c>
      <c r="AN344" t="s">
        <v>292</v>
      </c>
      <c r="AO344" t="s">
        <v>292</v>
      </c>
      <c r="AP344" t="s">
        <v>434</v>
      </c>
      <c r="AQ344" t="s">
        <v>318</v>
      </c>
      <c r="AR344" t="s">
        <v>292</v>
      </c>
      <c r="AS344" t="s">
        <v>292</v>
      </c>
      <c r="AT344" t="s">
        <v>334</v>
      </c>
      <c r="AU344" t="s">
        <v>292</v>
      </c>
      <c r="AV344" t="s">
        <v>435</v>
      </c>
      <c r="AY344" t="s">
        <v>471</v>
      </c>
      <c r="AZ344" t="s">
        <v>472</v>
      </c>
      <c r="BA344" t="s">
        <v>292</v>
      </c>
      <c r="BB344" t="s">
        <v>292</v>
      </c>
      <c r="BC344" t="s">
        <v>292</v>
      </c>
      <c r="BD344" t="s">
        <v>292</v>
      </c>
      <c r="BE344" t="s">
        <v>292</v>
      </c>
      <c r="BF344" t="s">
        <v>292</v>
      </c>
      <c r="CK344" t="s">
        <v>57</v>
      </c>
      <c r="CL344" t="s">
        <v>58</v>
      </c>
      <c r="CM344" t="s">
        <v>9</v>
      </c>
      <c r="CN344" s="2">
        <v>43293</v>
      </c>
      <c r="CO344" t="s">
        <v>292</v>
      </c>
      <c r="CP344" t="s">
        <v>303</v>
      </c>
      <c r="CQ344" t="s">
        <v>303</v>
      </c>
      <c r="CR344" t="s">
        <v>304</v>
      </c>
      <c r="CS344" t="s">
        <v>292</v>
      </c>
      <c r="CT344">
        <v>0</v>
      </c>
      <c r="CU344" t="b">
        <v>0</v>
      </c>
      <c r="CV344" t="s">
        <v>439</v>
      </c>
      <c r="CW344" t="s">
        <v>292</v>
      </c>
      <c r="CX344" t="s">
        <v>292</v>
      </c>
      <c r="CY344" t="b">
        <v>0</v>
      </c>
      <c r="CZ344" t="b">
        <v>0</v>
      </c>
      <c r="DC344" t="s">
        <v>505</v>
      </c>
      <c r="DJ344">
        <f>DataTable[HLD_MaturityDate] - DataTable[SEC_Issue_Date]</f>
        <v>91</v>
      </c>
    </row>
    <row r="345" spans="1:114" x14ac:dyDescent="0.2">
      <c r="A345" s="2">
        <v>43376</v>
      </c>
      <c r="B345" t="s">
        <v>56</v>
      </c>
      <c r="C345" t="s">
        <v>7</v>
      </c>
      <c r="D345" t="s">
        <v>16</v>
      </c>
      <c r="F345" t="s">
        <v>52</v>
      </c>
      <c r="H345" t="s">
        <v>468</v>
      </c>
      <c r="J345" t="s">
        <v>462</v>
      </c>
      <c r="N345" s="2">
        <v>43389</v>
      </c>
      <c r="O345">
        <v>13</v>
      </c>
      <c r="Q345">
        <v>1.1127279999999999</v>
      </c>
      <c r="T345">
        <v>819700134.20000005</v>
      </c>
      <c r="V345">
        <v>819700134.20000005</v>
      </c>
      <c r="W345">
        <v>3.2864999999999998E-2</v>
      </c>
      <c r="X345">
        <v>820000000</v>
      </c>
      <c r="Z345">
        <v>819650174.14999998</v>
      </c>
      <c r="AA345">
        <v>1.1127279999999999</v>
      </c>
      <c r="AB345">
        <v>6.2824604399999998E-2</v>
      </c>
      <c r="AC345" t="s">
        <v>52</v>
      </c>
      <c r="AE345" t="s">
        <v>719</v>
      </c>
      <c r="AF345" t="s">
        <v>720</v>
      </c>
      <c r="AG345" t="s">
        <v>720</v>
      </c>
      <c r="AH345" t="s">
        <v>330</v>
      </c>
      <c r="AI345" t="s">
        <v>468</v>
      </c>
      <c r="AJ345" t="s">
        <v>464</v>
      </c>
      <c r="AK345" t="s">
        <v>16</v>
      </c>
      <c r="AM345" t="s">
        <v>405</v>
      </c>
      <c r="AN345" t="s">
        <v>292</v>
      </c>
      <c r="AO345" t="s">
        <v>292</v>
      </c>
      <c r="AP345" t="s">
        <v>434</v>
      </c>
      <c r="AQ345" t="s">
        <v>318</v>
      </c>
      <c r="AR345" t="s">
        <v>292</v>
      </c>
      <c r="AS345" t="s">
        <v>292</v>
      </c>
      <c r="AT345" t="s">
        <v>334</v>
      </c>
      <c r="AU345" t="s">
        <v>292</v>
      </c>
      <c r="AV345" t="s">
        <v>435</v>
      </c>
      <c r="AY345" t="s">
        <v>471</v>
      </c>
      <c r="AZ345" t="s">
        <v>472</v>
      </c>
      <c r="BA345" t="s">
        <v>292</v>
      </c>
      <c r="BB345" t="s">
        <v>292</v>
      </c>
      <c r="BC345" t="s">
        <v>292</v>
      </c>
      <c r="BD345" t="s">
        <v>292</v>
      </c>
      <c r="BE345" t="s">
        <v>292</v>
      </c>
      <c r="BF345" t="s">
        <v>292</v>
      </c>
      <c r="CK345" t="s">
        <v>57</v>
      </c>
      <c r="CL345" t="s">
        <v>58</v>
      </c>
      <c r="CM345" t="s">
        <v>9</v>
      </c>
      <c r="CN345" s="2">
        <v>43375</v>
      </c>
      <c r="CO345" t="s">
        <v>292</v>
      </c>
      <c r="CP345" t="s">
        <v>303</v>
      </c>
      <c r="CQ345" t="s">
        <v>303</v>
      </c>
      <c r="CR345" t="s">
        <v>304</v>
      </c>
      <c r="CS345" t="s">
        <v>292</v>
      </c>
      <c r="CT345">
        <v>0</v>
      </c>
      <c r="CU345" t="b">
        <v>0</v>
      </c>
      <c r="CV345" t="s">
        <v>439</v>
      </c>
      <c r="CW345" t="s">
        <v>292</v>
      </c>
      <c r="CX345" t="s">
        <v>292</v>
      </c>
      <c r="CY345" t="b">
        <v>0</v>
      </c>
      <c r="CZ345" t="b">
        <v>0</v>
      </c>
      <c r="DC345" t="s">
        <v>292</v>
      </c>
      <c r="DJ345">
        <f>DataTable[HLD_MaturityDate] - DataTable[SEC_Issue_Date]</f>
        <v>14</v>
      </c>
    </row>
    <row r="346" spans="1:114" x14ac:dyDescent="0.2">
      <c r="A346" s="2">
        <v>43376</v>
      </c>
      <c r="B346" t="s">
        <v>56</v>
      </c>
      <c r="C346" t="s">
        <v>7</v>
      </c>
      <c r="D346" t="s">
        <v>16</v>
      </c>
      <c r="F346" t="s">
        <v>31</v>
      </c>
      <c r="H346" t="s">
        <v>468</v>
      </c>
      <c r="J346" t="s">
        <v>462</v>
      </c>
      <c r="N346" s="2">
        <v>43391</v>
      </c>
      <c r="O346">
        <v>15</v>
      </c>
      <c r="Q346">
        <v>1.115073</v>
      </c>
      <c r="T346">
        <v>204912358.40000001</v>
      </c>
      <c r="V346">
        <v>204912358.40000001</v>
      </c>
      <c r="W346">
        <v>3.8338999999999998E-2</v>
      </c>
      <c r="X346">
        <v>205000000</v>
      </c>
      <c r="Z346">
        <v>204864606.50999999</v>
      </c>
      <c r="AA346">
        <v>1.115073</v>
      </c>
      <c r="AB346">
        <v>1.5705179600000001E-2</v>
      </c>
      <c r="AC346" t="s">
        <v>31</v>
      </c>
      <c r="AE346" t="s">
        <v>469</v>
      </c>
      <c r="AF346" t="s">
        <v>506</v>
      </c>
      <c r="AG346" t="s">
        <v>506</v>
      </c>
      <c r="AH346" t="s">
        <v>330</v>
      </c>
      <c r="AI346" t="s">
        <v>468</v>
      </c>
      <c r="AJ346" t="s">
        <v>464</v>
      </c>
      <c r="AK346" t="s">
        <v>16</v>
      </c>
      <c r="AM346" t="s">
        <v>405</v>
      </c>
      <c r="AN346" t="s">
        <v>292</v>
      </c>
      <c r="AO346" t="s">
        <v>292</v>
      </c>
      <c r="AP346" t="s">
        <v>434</v>
      </c>
      <c r="AQ346" t="s">
        <v>318</v>
      </c>
      <c r="AR346" t="s">
        <v>292</v>
      </c>
      <c r="AS346" t="s">
        <v>292</v>
      </c>
      <c r="AT346" t="s">
        <v>334</v>
      </c>
      <c r="AU346" t="s">
        <v>292</v>
      </c>
      <c r="AV346" t="s">
        <v>435</v>
      </c>
      <c r="AY346" t="s">
        <v>471</v>
      </c>
      <c r="AZ346" t="s">
        <v>472</v>
      </c>
      <c r="BA346" t="s">
        <v>292</v>
      </c>
      <c r="BB346" t="s">
        <v>292</v>
      </c>
      <c r="BC346" t="s">
        <v>292</v>
      </c>
      <c r="BD346" t="s">
        <v>292</v>
      </c>
      <c r="BE346" t="s">
        <v>292</v>
      </c>
      <c r="BF346" t="s">
        <v>292</v>
      </c>
      <c r="CK346" t="s">
        <v>57</v>
      </c>
      <c r="CL346" t="s">
        <v>58</v>
      </c>
      <c r="CM346" t="s">
        <v>9</v>
      </c>
      <c r="CN346" s="2">
        <v>43209</v>
      </c>
      <c r="CO346" t="s">
        <v>292</v>
      </c>
      <c r="CP346" t="s">
        <v>303</v>
      </c>
      <c r="CQ346" t="s">
        <v>303</v>
      </c>
      <c r="CR346" t="s">
        <v>304</v>
      </c>
      <c r="CS346" t="s">
        <v>292</v>
      </c>
      <c r="CT346">
        <v>0</v>
      </c>
      <c r="CU346" t="b">
        <v>0</v>
      </c>
      <c r="CV346" t="s">
        <v>439</v>
      </c>
      <c r="CW346" t="s">
        <v>292</v>
      </c>
      <c r="CX346" t="s">
        <v>292</v>
      </c>
      <c r="CY346" t="b">
        <v>0</v>
      </c>
      <c r="CZ346" t="b">
        <v>0</v>
      </c>
      <c r="DC346" t="s">
        <v>507</v>
      </c>
      <c r="DJ346">
        <f>DataTable[HLD_MaturityDate] - DataTable[SEC_Issue_Date]</f>
        <v>182</v>
      </c>
    </row>
    <row r="347" spans="1:114" x14ac:dyDescent="0.2">
      <c r="A347" s="2">
        <v>43376</v>
      </c>
      <c r="B347" t="s">
        <v>56</v>
      </c>
      <c r="C347" t="s">
        <v>7</v>
      </c>
      <c r="D347" t="s">
        <v>16</v>
      </c>
      <c r="F347" t="s">
        <v>32</v>
      </c>
      <c r="H347" t="s">
        <v>468</v>
      </c>
      <c r="J347" t="s">
        <v>462</v>
      </c>
      <c r="N347" s="2">
        <v>43391</v>
      </c>
      <c r="O347">
        <v>15</v>
      </c>
      <c r="Q347">
        <v>1.32738</v>
      </c>
      <c r="T347">
        <v>326833599.50999999</v>
      </c>
      <c r="V347">
        <v>326829714.75</v>
      </c>
      <c r="W347">
        <v>3.8338999999999998E-2</v>
      </c>
      <c r="X347">
        <v>327000000</v>
      </c>
      <c r="Z347">
        <v>325931313.93000001</v>
      </c>
      <c r="AA347">
        <v>1.3583860000000001</v>
      </c>
      <c r="AB347">
        <v>2.5049637999999999E-2</v>
      </c>
      <c r="AC347" t="s">
        <v>32</v>
      </c>
      <c r="AE347" t="s">
        <v>469</v>
      </c>
      <c r="AF347" t="s">
        <v>508</v>
      </c>
      <c r="AG347" t="s">
        <v>508</v>
      </c>
      <c r="AH347" t="s">
        <v>330</v>
      </c>
      <c r="AI347" t="s">
        <v>468</v>
      </c>
      <c r="AJ347" t="s">
        <v>464</v>
      </c>
      <c r="AK347" t="s">
        <v>16</v>
      </c>
      <c r="AM347" t="s">
        <v>405</v>
      </c>
      <c r="AN347" t="s">
        <v>292</v>
      </c>
      <c r="AO347" t="s">
        <v>292</v>
      </c>
      <c r="AP347" t="s">
        <v>434</v>
      </c>
      <c r="AQ347" t="s">
        <v>318</v>
      </c>
      <c r="AR347" t="s">
        <v>292</v>
      </c>
      <c r="AS347" t="s">
        <v>292</v>
      </c>
      <c r="AT347" t="s">
        <v>334</v>
      </c>
      <c r="AU347" t="s">
        <v>292</v>
      </c>
      <c r="AV347" t="s">
        <v>435</v>
      </c>
      <c r="AY347" t="s">
        <v>471</v>
      </c>
      <c r="AZ347" t="s">
        <v>472</v>
      </c>
      <c r="BA347" t="s">
        <v>292</v>
      </c>
      <c r="BB347" t="s">
        <v>292</v>
      </c>
      <c r="BC347" t="s">
        <v>292</v>
      </c>
      <c r="BD347" t="s">
        <v>292</v>
      </c>
      <c r="BE347" t="s">
        <v>292</v>
      </c>
      <c r="BF347" t="s">
        <v>292</v>
      </c>
      <c r="CK347" t="s">
        <v>57</v>
      </c>
      <c r="CL347" t="s">
        <v>58</v>
      </c>
      <c r="CM347" t="s">
        <v>9</v>
      </c>
      <c r="CN347" s="2">
        <v>43300</v>
      </c>
      <c r="CO347" t="s">
        <v>292</v>
      </c>
      <c r="CP347" t="s">
        <v>303</v>
      </c>
      <c r="CQ347" t="s">
        <v>303</v>
      </c>
      <c r="CR347" t="s">
        <v>304</v>
      </c>
      <c r="CS347" t="s">
        <v>292</v>
      </c>
      <c r="CT347">
        <v>0</v>
      </c>
      <c r="CU347" t="b">
        <v>0</v>
      </c>
      <c r="CV347" t="s">
        <v>439</v>
      </c>
      <c r="CW347" t="s">
        <v>292</v>
      </c>
      <c r="CX347" t="s">
        <v>292</v>
      </c>
      <c r="CY347" t="b">
        <v>0</v>
      </c>
      <c r="CZ347" t="b">
        <v>0</v>
      </c>
      <c r="DC347" t="s">
        <v>509</v>
      </c>
      <c r="DJ347">
        <f>DataTable[HLD_MaturityDate] - DataTable[SEC_Issue_Date]</f>
        <v>91</v>
      </c>
    </row>
    <row r="348" spans="1:114" x14ac:dyDescent="0.2">
      <c r="A348" s="2">
        <v>43376</v>
      </c>
      <c r="B348" t="s">
        <v>56</v>
      </c>
      <c r="C348" t="s">
        <v>7</v>
      </c>
      <c r="D348" t="s">
        <v>16</v>
      </c>
      <c r="F348" t="s">
        <v>33</v>
      </c>
      <c r="H348" t="s">
        <v>468</v>
      </c>
      <c r="J348" t="s">
        <v>462</v>
      </c>
      <c r="N348" s="2">
        <v>43398</v>
      </c>
      <c r="O348">
        <v>22</v>
      </c>
      <c r="Q348">
        <v>1.2160530000000001</v>
      </c>
      <c r="T348">
        <v>264814722.59999999</v>
      </c>
      <c r="V348">
        <v>264814722.59999999</v>
      </c>
      <c r="W348">
        <v>5.7495999999999998E-2</v>
      </c>
      <c r="X348">
        <v>265000000</v>
      </c>
      <c r="Z348">
        <v>264380681.58000001</v>
      </c>
      <c r="AA348">
        <v>1.2160530000000001</v>
      </c>
      <c r="AB348">
        <v>2.0296300400000002E-2</v>
      </c>
      <c r="AC348" t="s">
        <v>33</v>
      </c>
      <c r="AE348" t="s">
        <v>469</v>
      </c>
      <c r="AF348" t="s">
        <v>510</v>
      </c>
      <c r="AG348" t="s">
        <v>510</v>
      </c>
      <c r="AH348" t="s">
        <v>330</v>
      </c>
      <c r="AI348" t="s">
        <v>468</v>
      </c>
      <c r="AJ348" t="s">
        <v>464</v>
      </c>
      <c r="AK348" t="s">
        <v>16</v>
      </c>
      <c r="AM348" t="s">
        <v>405</v>
      </c>
      <c r="AN348" t="s">
        <v>292</v>
      </c>
      <c r="AO348" t="s">
        <v>292</v>
      </c>
      <c r="AP348" t="s">
        <v>434</v>
      </c>
      <c r="AQ348" t="s">
        <v>318</v>
      </c>
      <c r="AR348" t="s">
        <v>292</v>
      </c>
      <c r="AS348" t="s">
        <v>292</v>
      </c>
      <c r="AT348" t="s">
        <v>334</v>
      </c>
      <c r="AU348" t="s">
        <v>292</v>
      </c>
      <c r="AV348" t="s">
        <v>435</v>
      </c>
      <c r="AY348" t="s">
        <v>471</v>
      </c>
      <c r="AZ348" t="s">
        <v>472</v>
      </c>
      <c r="BA348" t="s">
        <v>292</v>
      </c>
      <c r="BB348" t="s">
        <v>292</v>
      </c>
      <c r="BC348" t="s">
        <v>292</v>
      </c>
      <c r="BD348" t="s">
        <v>292</v>
      </c>
      <c r="BE348" t="s">
        <v>292</v>
      </c>
      <c r="BF348" t="s">
        <v>292</v>
      </c>
      <c r="CK348" t="s">
        <v>57</v>
      </c>
      <c r="CL348" t="s">
        <v>58</v>
      </c>
      <c r="CM348" t="s">
        <v>9</v>
      </c>
      <c r="CN348" s="2">
        <v>43216</v>
      </c>
      <c r="CO348" t="s">
        <v>292</v>
      </c>
      <c r="CP348" t="s">
        <v>303</v>
      </c>
      <c r="CQ348" t="s">
        <v>303</v>
      </c>
      <c r="CR348" t="s">
        <v>304</v>
      </c>
      <c r="CS348" t="s">
        <v>292</v>
      </c>
      <c r="CT348">
        <v>0</v>
      </c>
      <c r="CU348" t="b">
        <v>0</v>
      </c>
      <c r="CV348" t="s">
        <v>439</v>
      </c>
      <c r="CW348" t="s">
        <v>292</v>
      </c>
      <c r="CX348" t="s">
        <v>292</v>
      </c>
      <c r="CY348" t="b">
        <v>0</v>
      </c>
      <c r="CZ348" t="b">
        <v>0</v>
      </c>
      <c r="DC348" t="s">
        <v>511</v>
      </c>
      <c r="DJ348">
        <f>DataTable[HLD_MaturityDate] - DataTable[SEC_Issue_Date]</f>
        <v>182</v>
      </c>
    </row>
    <row r="349" spans="1:114" x14ac:dyDescent="0.2">
      <c r="A349" s="2">
        <v>43376</v>
      </c>
      <c r="B349" t="s">
        <v>56</v>
      </c>
      <c r="C349" t="s">
        <v>7</v>
      </c>
      <c r="D349" t="s">
        <v>16</v>
      </c>
      <c r="F349" t="s">
        <v>34</v>
      </c>
      <c r="H349" t="s">
        <v>468</v>
      </c>
      <c r="J349" t="s">
        <v>462</v>
      </c>
      <c r="N349" s="2">
        <v>43398</v>
      </c>
      <c r="O349">
        <v>22</v>
      </c>
      <c r="Q349">
        <v>1.1894929999999999</v>
      </c>
      <c r="T349">
        <v>1204175900.5</v>
      </c>
      <c r="V349">
        <v>1204152921.1500001</v>
      </c>
      <c r="W349">
        <v>5.7495999999999998E-2</v>
      </c>
      <c r="X349">
        <v>1205000000</v>
      </c>
      <c r="Z349">
        <v>1202117817.6099999</v>
      </c>
      <c r="AA349">
        <v>1.222683</v>
      </c>
      <c r="AB349">
        <v>9.2292133999999998E-2</v>
      </c>
      <c r="AC349" t="s">
        <v>34</v>
      </c>
      <c r="AE349" t="s">
        <v>469</v>
      </c>
      <c r="AF349" t="s">
        <v>512</v>
      </c>
      <c r="AG349" t="s">
        <v>512</v>
      </c>
      <c r="AH349" t="s">
        <v>330</v>
      </c>
      <c r="AI349" t="s">
        <v>468</v>
      </c>
      <c r="AJ349" t="s">
        <v>464</v>
      </c>
      <c r="AK349" t="s">
        <v>16</v>
      </c>
      <c r="AM349" t="s">
        <v>405</v>
      </c>
      <c r="AN349" t="s">
        <v>292</v>
      </c>
      <c r="AO349" t="s">
        <v>292</v>
      </c>
      <c r="AP349" t="s">
        <v>434</v>
      </c>
      <c r="AQ349" t="s">
        <v>318</v>
      </c>
      <c r="AR349" t="s">
        <v>292</v>
      </c>
      <c r="AS349" t="s">
        <v>292</v>
      </c>
      <c r="AT349" t="s">
        <v>334</v>
      </c>
      <c r="AU349" t="s">
        <v>292</v>
      </c>
      <c r="AV349" t="s">
        <v>435</v>
      </c>
      <c r="AY349" t="s">
        <v>471</v>
      </c>
      <c r="AZ349" t="s">
        <v>472</v>
      </c>
      <c r="BA349" t="s">
        <v>292</v>
      </c>
      <c r="BB349" t="s">
        <v>292</v>
      </c>
      <c r="BC349" t="s">
        <v>292</v>
      </c>
      <c r="BD349" t="s">
        <v>292</v>
      </c>
      <c r="BE349" t="s">
        <v>292</v>
      </c>
      <c r="BF349" t="s">
        <v>292</v>
      </c>
      <c r="CK349" t="s">
        <v>57</v>
      </c>
      <c r="CL349" t="s">
        <v>58</v>
      </c>
      <c r="CM349" t="s">
        <v>9</v>
      </c>
      <c r="CN349" s="2">
        <v>43307</v>
      </c>
      <c r="CO349" t="s">
        <v>292</v>
      </c>
      <c r="CP349" t="s">
        <v>303</v>
      </c>
      <c r="CQ349" t="s">
        <v>303</v>
      </c>
      <c r="CR349" t="s">
        <v>304</v>
      </c>
      <c r="CS349" t="s">
        <v>292</v>
      </c>
      <c r="CT349">
        <v>0</v>
      </c>
      <c r="CU349" t="b">
        <v>0</v>
      </c>
      <c r="CV349" t="s">
        <v>439</v>
      </c>
      <c r="CW349" t="s">
        <v>292</v>
      </c>
      <c r="CX349" t="s">
        <v>292</v>
      </c>
      <c r="CY349" t="b">
        <v>0</v>
      </c>
      <c r="CZ349" t="b">
        <v>0</v>
      </c>
      <c r="DC349" t="s">
        <v>513</v>
      </c>
      <c r="DJ349">
        <f>DataTable[HLD_MaturityDate] - DataTable[SEC_Issue_Date]</f>
        <v>91</v>
      </c>
    </row>
    <row r="350" spans="1:114" x14ac:dyDescent="0.2">
      <c r="A350" s="2">
        <v>43376</v>
      </c>
      <c r="B350" t="s">
        <v>56</v>
      </c>
      <c r="C350" t="s">
        <v>7</v>
      </c>
      <c r="D350" t="s">
        <v>16</v>
      </c>
      <c r="F350" t="s">
        <v>35</v>
      </c>
      <c r="H350" t="s">
        <v>468</v>
      </c>
      <c r="J350" t="s">
        <v>462</v>
      </c>
      <c r="N350" s="2">
        <v>43468</v>
      </c>
      <c r="O350">
        <v>92</v>
      </c>
      <c r="Q350">
        <v>1.490669</v>
      </c>
      <c r="T350">
        <v>448333784.47000003</v>
      </c>
      <c r="V350">
        <v>448333784.47000003</v>
      </c>
      <c r="W350">
        <v>0.25205499999999997</v>
      </c>
      <c r="X350">
        <v>450000000</v>
      </c>
      <c r="Z350">
        <v>448333784.47000003</v>
      </c>
      <c r="AA350">
        <v>1.490669</v>
      </c>
      <c r="AB350">
        <v>3.43618251E-2</v>
      </c>
      <c r="AC350" t="s">
        <v>35</v>
      </c>
      <c r="AE350" t="s">
        <v>514</v>
      </c>
      <c r="AF350" t="s">
        <v>515</v>
      </c>
      <c r="AG350" t="s">
        <v>515</v>
      </c>
      <c r="AH350" t="s">
        <v>330</v>
      </c>
      <c r="AI350" t="s">
        <v>468</v>
      </c>
      <c r="AJ350" t="s">
        <v>464</v>
      </c>
      <c r="AK350" t="s">
        <v>16</v>
      </c>
      <c r="AM350" t="s">
        <v>405</v>
      </c>
      <c r="AN350" t="s">
        <v>292</v>
      </c>
      <c r="AO350" t="s">
        <v>292</v>
      </c>
      <c r="AP350" t="s">
        <v>434</v>
      </c>
      <c r="AQ350" t="s">
        <v>318</v>
      </c>
      <c r="AR350" t="s">
        <v>292</v>
      </c>
      <c r="AS350" t="s">
        <v>292</v>
      </c>
      <c r="AT350" t="s">
        <v>334</v>
      </c>
      <c r="AU350" t="s">
        <v>292</v>
      </c>
      <c r="AV350" t="s">
        <v>435</v>
      </c>
      <c r="AY350" t="s">
        <v>471</v>
      </c>
      <c r="AZ350" t="s">
        <v>472</v>
      </c>
      <c r="BA350" t="s">
        <v>292</v>
      </c>
      <c r="BB350" t="s">
        <v>292</v>
      </c>
      <c r="BC350" t="s">
        <v>292</v>
      </c>
      <c r="BD350" t="s">
        <v>292</v>
      </c>
      <c r="BE350" t="s">
        <v>292</v>
      </c>
      <c r="BF350" t="s">
        <v>292</v>
      </c>
      <c r="CK350" t="s">
        <v>57</v>
      </c>
      <c r="CL350" t="s">
        <v>58</v>
      </c>
      <c r="CM350" t="s">
        <v>9</v>
      </c>
      <c r="CN350" s="2">
        <v>43377</v>
      </c>
      <c r="CO350" t="s">
        <v>292</v>
      </c>
      <c r="CP350" t="s">
        <v>303</v>
      </c>
      <c r="CQ350" t="s">
        <v>303</v>
      </c>
      <c r="CR350" t="s">
        <v>304</v>
      </c>
      <c r="CS350" t="s">
        <v>292</v>
      </c>
      <c r="CT350">
        <v>0</v>
      </c>
      <c r="CU350" t="b">
        <v>0</v>
      </c>
      <c r="CV350" t="s">
        <v>439</v>
      </c>
      <c r="CW350" t="s">
        <v>292</v>
      </c>
      <c r="CX350" t="s">
        <v>292</v>
      </c>
      <c r="CY350" t="b">
        <v>0</v>
      </c>
      <c r="CZ350" t="b">
        <v>0</v>
      </c>
      <c r="DC350" t="s">
        <v>292</v>
      </c>
      <c r="DJ350">
        <f>DataTable[HLD_MaturityDate] - DataTable[SEC_Issue_Date]</f>
        <v>91</v>
      </c>
    </row>
    <row r="351" spans="1:114" x14ac:dyDescent="0.2">
      <c r="A351" s="2">
        <v>43376</v>
      </c>
      <c r="B351" t="s">
        <v>56</v>
      </c>
      <c r="C351" t="s">
        <v>7</v>
      </c>
      <c r="D351" t="s">
        <v>37</v>
      </c>
      <c r="F351" t="s">
        <v>63</v>
      </c>
      <c r="H351" t="s">
        <v>377</v>
      </c>
      <c r="I351" t="s">
        <v>378</v>
      </c>
      <c r="J351" t="s">
        <v>287</v>
      </c>
      <c r="K351" t="s">
        <v>379</v>
      </c>
      <c r="N351" s="2">
        <v>43457</v>
      </c>
      <c r="O351">
        <v>81</v>
      </c>
      <c r="P351">
        <v>2.69</v>
      </c>
      <c r="Q351">
        <v>1.4092899999999999</v>
      </c>
      <c r="R351">
        <v>100000</v>
      </c>
      <c r="S351">
        <v>1002.74441</v>
      </c>
      <c r="T351">
        <v>100274441</v>
      </c>
      <c r="U351">
        <v>759096</v>
      </c>
      <c r="V351">
        <v>100269888</v>
      </c>
      <c r="W351">
        <v>0.217583</v>
      </c>
      <c r="X351">
        <v>100000000</v>
      </c>
      <c r="Z351">
        <v>100846431</v>
      </c>
      <c r="AA351">
        <v>1.43</v>
      </c>
      <c r="AB351">
        <v>7.7435537E-3</v>
      </c>
      <c r="AC351" t="s">
        <v>63</v>
      </c>
      <c r="AE351" t="s">
        <v>383</v>
      </c>
      <c r="AF351" t="s">
        <v>989</v>
      </c>
      <c r="AG351" t="s">
        <v>989</v>
      </c>
      <c r="AH351" t="s">
        <v>330</v>
      </c>
      <c r="AI351" t="s">
        <v>377</v>
      </c>
      <c r="AJ351" t="s">
        <v>523</v>
      </c>
      <c r="AK351" t="s">
        <v>37</v>
      </c>
      <c r="AM351" t="s">
        <v>287</v>
      </c>
      <c r="AN351" t="s">
        <v>433</v>
      </c>
      <c r="AO351" t="s">
        <v>292</v>
      </c>
      <c r="AP351" t="s">
        <v>434</v>
      </c>
      <c r="AQ351" t="s">
        <v>318</v>
      </c>
      <c r="AR351" t="s">
        <v>292</v>
      </c>
      <c r="AS351" t="s">
        <v>292</v>
      </c>
      <c r="AT351" t="s">
        <v>348</v>
      </c>
      <c r="AU351" t="s">
        <v>292</v>
      </c>
      <c r="AV351" t="s">
        <v>37</v>
      </c>
      <c r="AY351" t="s">
        <v>383</v>
      </c>
      <c r="AZ351" t="s">
        <v>384</v>
      </c>
      <c r="BA351" t="s">
        <v>378</v>
      </c>
      <c r="BB351" t="s">
        <v>292</v>
      </c>
      <c r="BC351" t="s">
        <v>379</v>
      </c>
      <c r="BD351" t="s">
        <v>292</v>
      </c>
      <c r="BE351" t="s">
        <v>292</v>
      </c>
      <c r="BF351" t="s">
        <v>299</v>
      </c>
      <c r="BG351" t="s">
        <v>379</v>
      </c>
      <c r="BH351">
        <v>1</v>
      </c>
      <c r="BI351" t="s">
        <v>300</v>
      </c>
      <c r="BJ351" t="s">
        <v>300</v>
      </c>
      <c r="CK351" t="s">
        <v>57</v>
      </c>
      <c r="CL351" t="s">
        <v>58</v>
      </c>
      <c r="CM351" t="s">
        <v>9</v>
      </c>
      <c r="CN351" s="2">
        <v>42178</v>
      </c>
      <c r="CO351" t="s">
        <v>292</v>
      </c>
      <c r="CP351" t="s">
        <v>303</v>
      </c>
      <c r="CQ351" t="s">
        <v>303</v>
      </c>
      <c r="CR351" t="s">
        <v>304</v>
      </c>
      <c r="CS351" t="s">
        <v>292</v>
      </c>
      <c r="CT351">
        <v>30000</v>
      </c>
      <c r="CU351" t="b">
        <v>0</v>
      </c>
      <c r="CV351" t="s">
        <v>439</v>
      </c>
      <c r="CW351" t="s">
        <v>292</v>
      </c>
      <c r="CX351" t="s">
        <v>292</v>
      </c>
      <c r="CY351" t="b">
        <v>0</v>
      </c>
      <c r="CZ351" t="b">
        <v>0</v>
      </c>
      <c r="DC351" t="s">
        <v>990</v>
      </c>
      <c r="DJ351">
        <f>DataTable[HLD_MaturityDate] - DataTable[SEC_Issue_Date]</f>
        <v>1279</v>
      </c>
    </row>
    <row r="352" spans="1:114" x14ac:dyDescent="0.2">
      <c r="A352" s="2">
        <v>43376</v>
      </c>
      <c r="B352" t="s">
        <v>56</v>
      </c>
      <c r="C352" t="s">
        <v>7</v>
      </c>
      <c r="D352" t="s">
        <v>36</v>
      </c>
      <c r="F352" t="s">
        <v>64</v>
      </c>
      <c r="G352" t="s">
        <v>379</v>
      </c>
      <c r="H352" t="s">
        <v>323</v>
      </c>
      <c r="I352" t="s">
        <v>286</v>
      </c>
      <c r="J352" t="s">
        <v>287</v>
      </c>
      <c r="K352" t="s">
        <v>991</v>
      </c>
      <c r="N352" s="2">
        <v>43525</v>
      </c>
      <c r="O352">
        <v>149</v>
      </c>
      <c r="P352">
        <v>1.86</v>
      </c>
      <c r="Q352">
        <v>1.74</v>
      </c>
      <c r="R352">
        <v>30000</v>
      </c>
      <c r="S352">
        <v>1000.55305</v>
      </c>
      <c r="T352">
        <v>30016591.5</v>
      </c>
      <c r="U352">
        <v>50449.2</v>
      </c>
      <c r="V352">
        <v>30048052.800000001</v>
      </c>
      <c r="W352">
        <v>0.40198200000000001</v>
      </c>
      <c r="X352">
        <v>30000000</v>
      </c>
      <c r="Z352">
        <v>30099193.800000001</v>
      </c>
      <c r="AA352">
        <v>1.48</v>
      </c>
      <c r="AB352">
        <v>2.3044402000000001E-3</v>
      </c>
      <c r="AC352" t="s">
        <v>64</v>
      </c>
      <c r="AE352" t="s">
        <v>992</v>
      </c>
      <c r="AF352" t="s">
        <v>993</v>
      </c>
      <c r="AG352" t="s">
        <v>994</v>
      </c>
      <c r="AH352" t="s">
        <v>330</v>
      </c>
      <c r="AI352" t="s">
        <v>323</v>
      </c>
      <c r="AJ352" t="s">
        <v>995</v>
      </c>
      <c r="AK352" t="s">
        <v>36</v>
      </c>
      <c r="AM352" t="s">
        <v>287</v>
      </c>
      <c r="AN352" t="s">
        <v>433</v>
      </c>
      <c r="AO352" t="s">
        <v>292</v>
      </c>
      <c r="AP352" t="s">
        <v>434</v>
      </c>
      <c r="AQ352" t="s">
        <v>318</v>
      </c>
      <c r="AR352" t="s">
        <v>292</v>
      </c>
      <c r="AS352" t="s">
        <v>292</v>
      </c>
      <c r="AT352" t="s">
        <v>348</v>
      </c>
      <c r="AU352" t="s">
        <v>292</v>
      </c>
      <c r="AV352" t="s">
        <v>37</v>
      </c>
      <c r="AW352" t="s">
        <v>379</v>
      </c>
      <c r="AX352">
        <v>1</v>
      </c>
      <c r="AY352" t="s">
        <v>992</v>
      </c>
      <c r="AZ352" t="s">
        <v>996</v>
      </c>
      <c r="BA352" t="s">
        <v>286</v>
      </c>
      <c r="BB352" t="s">
        <v>991</v>
      </c>
      <c r="BC352" t="s">
        <v>379</v>
      </c>
      <c r="BD352" t="s">
        <v>292</v>
      </c>
      <c r="BE352" t="s">
        <v>298</v>
      </c>
      <c r="BF352" t="s">
        <v>299</v>
      </c>
      <c r="BG352" t="s">
        <v>991</v>
      </c>
      <c r="BH352">
        <v>1</v>
      </c>
      <c r="BI352" t="s">
        <v>300</v>
      </c>
      <c r="BJ352" t="s">
        <v>300</v>
      </c>
      <c r="CK352" t="s">
        <v>57</v>
      </c>
      <c r="CL352" t="s">
        <v>58</v>
      </c>
      <c r="CM352" t="s">
        <v>9</v>
      </c>
      <c r="CN352" s="2">
        <v>42429</v>
      </c>
      <c r="CO352" t="s">
        <v>292</v>
      </c>
      <c r="CP352" t="s">
        <v>303</v>
      </c>
      <c r="CQ352" t="s">
        <v>303</v>
      </c>
      <c r="CR352" t="s">
        <v>304</v>
      </c>
      <c r="CS352" t="s">
        <v>292</v>
      </c>
      <c r="CT352">
        <v>34000</v>
      </c>
      <c r="CU352" t="b">
        <v>0</v>
      </c>
      <c r="CV352" t="s">
        <v>439</v>
      </c>
      <c r="CW352" t="s">
        <v>292</v>
      </c>
      <c r="CX352" t="s">
        <v>292</v>
      </c>
      <c r="CY352" t="b">
        <v>0</v>
      </c>
      <c r="CZ352" t="b">
        <v>0</v>
      </c>
      <c r="DC352" t="s">
        <v>997</v>
      </c>
      <c r="DJ352">
        <f>DataTable[HLD_MaturityDate] - DataTable[SEC_Issue_Date]</f>
        <v>1096</v>
      </c>
    </row>
    <row r="353" spans="1:114" x14ac:dyDescent="0.2">
      <c r="A353" s="2">
        <v>43376</v>
      </c>
      <c r="B353" t="s">
        <v>56</v>
      </c>
      <c r="C353" t="s">
        <v>7</v>
      </c>
      <c r="D353" t="s">
        <v>36</v>
      </c>
      <c r="F353" t="s">
        <v>53</v>
      </c>
      <c r="G353" t="s">
        <v>12</v>
      </c>
      <c r="H353" t="s">
        <v>400</v>
      </c>
      <c r="I353" t="s">
        <v>286</v>
      </c>
      <c r="J353" t="s">
        <v>287</v>
      </c>
      <c r="K353" t="s">
        <v>12</v>
      </c>
      <c r="N353" s="2">
        <v>43433</v>
      </c>
      <c r="O353">
        <v>57</v>
      </c>
      <c r="P353">
        <v>1.85</v>
      </c>
      <c r="Q353">
        <v>1.4454370000000001</v>
      </c>
      <c r="R353">
        <v>4000</v>
      </c>
      <c r="S353">
        <v>1000.53467</v>
      </c>
      <c r="T353">
        <v>4002138.68</v>
      </c>
      <c r="U353">
        <v>25950.68</v>
      </c>
      <c r="V353">
        <v>4001619.96</v>
      </c>
      <c r="W353">
        <v>0.15229799999999999</v>
      </c>
      <c r="X353">
        <v>4000000</v>
      </c>
      <c r="Z353">
        <v>4007777.92</v>
      </c>
      <c r="AA353">
        <v>1.53</v>
      </c>
      <c r="AB353">
        <v>3.0872650000000001E-4</v>
      </c>
      <c r="AC353" t="s">
        <v>53</v>
      </c>
      <c r="AE353" t="s">
        <v>406</v>
      </c>
      <c r="AF353" t="s">
        <v>862</v>
      </c>
      <c r="AG353" t="s">
        <v>863</v>
      </c>
      <c r="AH353" t="s">
        <v>330</v>
      </c>
      <c r="AI353" t="s">
        <v>400</v>
      </c>
      <c r="AJ353" t="s">
        <v>523</v>
      </c>
      <c r="AK353" t="s">
        <v>36</v>
      </c>
      <c r="AM353" t="s">
        <v>287</v>
      </c>
      <c r="AN353" t="s">
        <v>433</v>
      </c>
      <c r="AO353" t="s">
        <v>292</v>
      </c>
      <c r="AP353" t="s">
        <v>434</v>
      </c>
      <c r="AQ353" t="s">
        <v>318</v>
      </c>
      <c r="AR353" t="s">
        <v>292</v>
      </c>
      <c r="AS353" t="s">
        <v>292</v>
      </c>
      <c r="AT353" t="s">
        <v>348</v>
      </c>
      <c r="AU353" t="s">
        <v>292</v>
      </c>
      <c r="AV353" t="s">
        <v>37</v>
      </c>
      <c r="AW353" t="s">
        <v>12</v>
      </c>
      <c r="AX353">
        <v>6</v>
      </c>
      <c r="AY353" t="s">
        <v>406</v>
      </c>
      <c r="AZ353" t="s">
        <v>403</v>
      </c>
      <c r="BA353" t="s">
        <v>286</v>
      </c>
      <c r="BB353" t="s">
        <v>12</v>
      </c>
      <c r="BC353" t="s">
        <v>292</v>
      </c>
      <c r="BD353" t="s">
        <v>292</v>
      </c>
      <c r="BE353" t="s">
        <v>292</v>
      </c>
      <c r="BF353" t="s">
        <v>292</v>
      </c>
      <c r="BG353" t="s">
        <v>12</v>
      </c>
      <c r="BH353">
        <v>6</v>
      </c>
      <c r="BI353" t="s">
        <v>300</v>
      </c>
      <c r="BJ353" t="s">
        <v>300</v>
      </c>
      <c r="CK353" t="s">
        <v>57</v>
      </c>
      <c r="CL353" t="s">
        <v>58</v>
      </c>
      <c r="CM353" t="s">
        <v>9</v>
      </c>
      <c r="CN353" s="2">
        <v>42884</v>
      </c>
      <c r="CO353" t="s">
        <v>292</v>
      </c>
      <c r="CP353" t="s">
        <v>303</v>
      </c>
      <c r="CQ353" t="s">
        <v>303</v>
      </c>
      <c r="CR353" t="s">
        <v>304</v>
      </c>
      <c r="CS353" t="s">
        <v>292</v>
      </c>
      <c r="CT353">
        <v>8900</v>
      </c>
      <c r="CU353" t="b">
        <v>0</v>
      </c>
      <c r="CV353" t="s">
        <v>439</v>
      </c>
      <c r="CW353" t="s">
        <v>292</v>
      </c>
      <c r="CX353" t="s">
        <v>292</v>
      </c>
      <c r="CY353" t="b">
        <v>0</v>
      </c>
      <c r="CZ353" t="b">
        <v>0</v>
      </c>
      <c r="DC353" t="s">
        <v>864</v>
      </c>
      <c r="DJ353">
        <f>DataTable[HLD_MaturityDate] - DataTable[SEC_Issue_Date]</f>
        <v>549</v>
      </c>
    </row>
    <row r="354" spans="1:114" x14ac:dyDescent="0.2">
      <c r="A354" s="2">
        <v>43376</v>
      </c>
      <c r="B354" t="s">
        <v>56</v>
      </c>
      <c r="C354" t="s">
        <v>38</v>
      </c>
      <c r="D354" t="s">
        <v>39</v>
      </c>
      <c r="E354" t="s">
        <v>40</v>
      </c>
      <c r="F354" t="s">
        <v>35</v>
      </c>
      <c r="R354">
        <v>0</v>
      </c>
      <c r="S354">
        <v>99.629729999999995</v>
      </c>
      <c r="T354">
        <v>-448333784.47000003</v>
      </c>
      <c r="V354">
        <v>-448333784.47000003</v>
      </c>
      <c r="Z354">
        <v>7</v>
      </c>
      <c r="AA354">
        <v>0</v>
      </c>
      <c r="AB354">
        <v>-3.43618251E-2</v>
      </c>
      <c r="AC354" t="s">
        <v>35</v>
      </c>
      <c r="AE354" t="s">
        <v>514</v>
      </c>
      <c r="AF354" t="s">
        <v>515</v>
      </c>
      <c r="AG354" t="s">
        <v>515</v>
      </c>
      <c r="AH354" t="s">
        <v>330</v>
      </c>
      <c r="AI354" t="s">
        <v>468</v>
      </c>
      <c r="AJ354" t="s">
        <v>464</v>
      </c>
      <c r="AK354" t="s">
        <v>16</v>
      </c>
      <c r="AM354" t="s">
        <v>405</v>
      </c>
      <c r="AN354" t="s">
        <v>292</v>
      </c>
      <c r="AO354" t="s">
        <v>292</v>
      </c>
      <c r="AP354" t="s">
        <v>434</v>
      </c>
      <c r="AQ354" t="s">
        <v>318</v>
      </c>
      <c r="AR354" t="s">
        <v>292</v>
      </c>
      <c r="AS354" t="s">
        <v>292</v>
      </c>
      <c r="AT354" t="s">
        <v>334</v>
      </c>
      <c r="AU354" t="s">
        <v>292</v>
      </c>
      <c r="AV354" t="s">
        <v>435</v>
      </c>
      <c r="AY354" t="s">
        <v>471</v>
      </c>
      <c r="AZ354" t="s">
        <v>472</v>
      </c>
      <c r="BA354" t="s">
        <v>292</v>
      </c>
      <c r="BB354" t="s">
        <v>292</v>
      </c>
      <c r="BC354" t="s">
        <v>292</v>
      </c>
      <c r="BD354" t="s">
        <v>292</v>
      </c>
      <c r="BE354" t="s">
        <v>292</v>
      </c>
      <c r="BF354" t="s">
        <v>292</v>
      </c>
      <c r="CK354" t="s">
        <v>57</v>
      </c>
      <c r="CL354" t="s">
        <v>58</v>
      </c>
      <c r="CM354" t="s">
        <v>9</v>
      </c>
      <c r="CN354" s="2">
        <v>43377</v>
      </c>
      <c r="CO354" t="s">
        <v>292</v>
      </c>
      <c r="CP354" t="s">
        <v>303</v>
      </c>
      <c r="CQ354" t="s">
        <v>303</v>
      </c>
      <c r="CR354" t="s">
        <v>304</v>
      </c>
      <c r="CS354" t="s">
        <v>292</v>
      </c>
      <c r="CT354">
        <v>0</v>
      </c>
      <c r="CU354" t="b">
        <v>0</v>
      </c>
      <c r="CV354" t="s">
        <v>439</v>
      </c>
      <c r="CW354" t="s">
        <v>292</v>
      </c>
      <c r="CX354" t="s">
        <v>292</v>
      </c>
      <c r="CY354" t="b">
        <v>0</v>
      </c>
      <c r="CZ354" t="b">
        <v>0</v>
      </c>
      <c r="DC354" t="s">
        <v>292</v>
      </c>
      <c r="DJ354">
        <f>DataTable[HLD_MaturityDate] - DataTable[SEC_Issue_Date]</f>
        <v>-43377</v>
      </c>
    </row>
    <row r="355" spans="1:114" x14ac:dyDescent="0.2">
      <c r="A355" s="2">
        <v>43376</v>
      </c>
      <c r="B355" t="s">
        <v>56</v>
      </c>
      <c r="C355" t="s">
        <v>38</v>
      </c>
      <c r="D355" t="s">
        <v>41</v>
      </c>
      <c r="E355" t="s">
        <v>41</v>
      </c>
      <c r="F355" t="s">
        <v>41</v>
      </c>
      <c r="T355">
        <v>-229000</v>
      </c>
      <c r="Z355">
        <v>0</v>
      </c>
      <c r="AA355">
        <v>0</v>
      </c>
      <c r="AB355">
        <v>-1.7551299999999999E-5</v>
      </c>
      <c r="CK355" t="s">
        <v>57</v>
      </c>
      <c r="CL355" t="s">
        <v>58</v>
      </c>
      <c r="CM355" t="s">
        <v>9</v>
      </c>
      <c r="CN355" s="2"/>
      <c r="DJ355">
        <f>DataTable[HLD_MaturityDate] - DataTable[SEC_Issue_Date]</f>
        <v>0</v>
      </c>
    </row>
    <row r="356" spans="1:114" x14ac:dyDescent="0.2">
      <c r="A356" s="2">
        <v>43376</v>
      </c>
      <c r="B356" t="s">
        <v>56</v>
      </c>
      <c r="C356" t="s">
        <v>38</v>
      </c>
      <c r="D356" t="s">
        <v>41</v>
      </c>
      <c r="E356" t="s">
        <v>41</v>
      </c>
      <c r="F356" t="s">
        <v>41</v>
      </c>
      <c r="T356">
        <v>-11000</v>
      </c>
      <c r="Z356">
        <v>0</v>
      </c>
      <c r="AA356">
        <v>0</v>
      </c>
      <c r="AB356">
        <v>-8.4310000000000003E-7</v>
      </c>
      <c r="CK356" t="s">
        <v>57</v>
      </c>
      <c r="CL356" t="s">
        <v>58</v>
      </c>
      <c r="CM356" t="s">
        <v>9</v>
      </c>
      <c r="CN356" s="2"/>
      <c r="DJ356">
        <f>DataTable[HLD_MaturityDate] - DataTable[SEC_Issue_Date]</f>
        <v>0</v>
      </c>
    </row>
    <row r="357" spans="1:114" x14ac:dyDescent="0.2">
      <c r="A357" s="2">
        <v>43376</v>
      </c>
      <c r="B357" t="s">
        <v>56</v>
      </c>
      <c r="C357" t="s">
        <v>38</v>
      </c>
      <c r="D357" t="s">
        <v>41</v>
      </c>
      <c r="E357" t="s">
        <v>41</v>
      </c>
      <c r="F357" t="s">
        <v>41</v>
      </c>
      <c r="T357">
        <v>-21698.49</v>
      </c>
      <c r="Z357">
        <v>0</v>
      </c>
      <c r="AA357">
        <v>0</v>
      </c>
      <c r="AB357">
        <v>-1.663E-6</v>
      </c>
      <c r="CK357" t="s">
        <v>57</v>
      </c>
      <c r="CL357" t="s">
        <v>58</v>
      </c>
      <c r="CM357" t="s">
        <v>9</v>
      </c>
      <c r="CN357" s="2"/>
      <c r="DJ357">
        <f>DataTable[HLD_MaturityDate] - DataTable[SEC_Issue_Date]</f>
        <v>0</v>
      </c>
    </row>
    <row r="358" spans="1:114" x14ac:dyDescent="0.2">
      <c r="A358" s="2">
        <v>43376</v>
      </c>
      <c r="B358" t="s">
        <v>56</v>
      </c>
      <c r="C358" t="s">
        <v>38</v>
      </c>
      <c r="D358" t="s">
        <v>42</v>
      </c>
      <c r="T358">
        <v>-63198.400000000001</v>
      </c>
      <c r="U358">
        <v>0</v>
      </c>
      <c r="Z358">
        <v>0</v>
      </c>
      <c r="AA358">
        <v>0</v>
      </c>
      <c r="AB358">
        <v>-4.8436999999999999E-6</v>
      </c>
      <c r="CK358" t="s">
        <v>57</v>
      </c>
      <c r="CL358" t="s">
        <v>58</v>
      </c>
      <c r="CM358" t="s">
        <v>9</v>
      </c>
      <c r="CN358" s="2"/>
      <c r="DJ358">
        <f>DataTable[HLD_MaturityDate] - DataTable[SEC_Issue_Date]</f>
        <v>0</v>
      </c>
    </row>
    <row r="359" spans="1:114" x14ac:dyDescent="0.2">
      <c r="A359" s="2">
        <v>43376</v>
      </c>
      <c r="B359" t="s">
        <v>56</v>
      </c>
      <c r="C359" t="s">
        <v>38</v>
      </c>
      <c r="D359" t="s">
        <v>44</v>
      </c>
      <c r="E359" t="s">
        <v>44</v>
      </c>
      <c r="T359">
        <v>-298243.36</v>
      </c>
      <c r="V359">
        <v>-298243.36</v>
      </c>
      <c r="Z359">
        <v>0</v>
      </c>
      <c r="AA359">
        <v>0</v>
      </c>
      <c r="AB359">
        <v>-2.2858400000000001E-5</v>
      </c>
      <c r="CK359" t="s">
        <v>57</v>
      </c>
      <c r="CL359" t="s">
        <v>58</v>
      </c>
      <c r="CM359" t="s">
        <v>9</v>
      </c>
      <c r="CN359" s="2"/>
      <c r="DJ359">
        <f>DataTable[HLD_MaturityDate] - DataTable[SEC_Issue_Date]</f>
        <v>0</v>
      </c>
    </row>
    <row r="360" spans="1:114" x14ac:dyDescent="0.2">
      <c r="A360" s="2">
        <v>43376</v>
      </c>
      <c r="B360" t="s">
        <v>56</v>
      </c>
      <c r="C360" t="s">
        <v>38</v>
      </c>
      <c r="D360" t="s">
        <v>43</v>
      </c>
      <c r="E360" t="s">
        <v>43</v>
      </c>
      <c r="T360">
        <v>-2042508.8</v>
      </c>
      <c r="V360">
        <v>-2042508.8</v>
      </c>
      <c r="Z360">
        <v>0</v>
      </c>
      <c r="AA360">
        <v>0</v>
      </c>
      <c r="AB360">
        <v>-1.565448E-4</v>
      </c>
      <c r="CK360" t="s">
        <v>57</v>
      </c>
      <c r="CL360" t="s">
        <v>58</v>
      </c>
      <c r="CM360" t="s">
        <v>9</v>
      </c>
      <c r="CN360" s="2"/>
      <c r="DJ360">
        <f>DataTable[HLD_MaturityDate] - DataTable[SEC_Issue_Date]</f>
        <v>0</v>
      </c>
    </row>
    <row r="361" spans="1:114" x14ac:dyDescent="0.2">
      <c r="A361" s="2">
        <v>43376</v>
      </c>
      <c r="B361" t="s">
        <v>56</v>
      </c>
      <c r="C361" t="s">
        <v>45</v>
      </c>
      <c r="D361" t="s">
        <v>44</v>
      </c>
      <c r="E361" t="s">
        <v>44</v>
      </c>
      <c r="T361">
        <v>-9562.2199999999993</v>
      </c>
      <c r="V361">
        <v>-9562.2199999999993</v>
      </c>
      <c r="Z361">
        <v>0</v>
      </c>
      <c r="AA361">
        <v>0</v>
      </c>
      <c r="AB361">
        <v>-7.329E-7</v>
      </c>
      <c r="CK361" t="s">
        <v>57</v>
      </c>
      <c r="CL361" t="s">
        <v>58</v>
      </c>
      <c r="CM361" t="s">
        <v>9</v>
      </c>
      <c r="CN361" s="2"/>
      <c r="DJ361">
        <f>DataTable[HLD_MaturityDate] - DataTable[SEC_Issue_Date]</f>
        <v>0</v>
      </c>
    </row>
    <row r="362" spans="1:114" x14ac:dyDescent="0.2">
      <c r="A362" s="2">
        <v>43376</v>
      </c>
      <c r="B362" t="s">
        <v>56</v>
      </c>
      <c r="C362" t="s">
        <v>45</v>
      </c>
      <c r="D362" t="s">
        <v>43</v>
      </c>
      <c r="E362" t="s">
        <v>43</v>
      </c>
      <c r="T362">
        <v>-65546.720000000001</v>
      </c>
      <c r="V362">
        <v>-65546.720000000001</v>
      </c>
      <c r="Z362">
        <v>0</v>
      </c>
      <c r="AA362">
        <v>0</v>
      </c>
      <c r="AB362">
        <v>-5.0236999999999999E-6</v>
      </c>
      <c r="CK362" t="s">
        <v>57</v>
      </c>
      <c r="CL362" t="s">
        <v>58</v>
      </c>
      <c r="CM362" t="s">
        <v>9</v>
      </c>
      <c r="CN362" s="2"/>
      <c r="DJ362">
        <f>DataTable[HLD_MaturityDate] - DataTable[SEC_Issue_Date]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9745E-9684-446D-B44C-717E61BFF3C5}">
  <sheetPr codeName="Sheet6"/>
  <dimension ref="A1:BC65"/>
  <sheetViews>
    <sheetView workbookViewId="0">
      <selection activeCell="B8" sqref="B8"/>
    </sheetView>
  </sheetViews>
  <sheetFormatPr defaultRowHeight="14.25" x14ac:dyDescent="0.2"/>
  <cols>
    <col min="1" max="1" width="12" bestFit="1" customWidth="1"/>
    <col min="2" max="2" width="25.625" customWidth="1"/>
    <col min="3" max="3" width="34.875" customWidth="1"/>
    <col min="4" max="4" width="12" customWidth="1"/>
    <col min="5" max="5" width="27.125" bestFit="1" customWidth="1"/>
    <col min="6" max="6" width="14.125" customWidth="1"/>
    <col min="7" max="7" width="14.375" customWidth="1"/>
    <col min="8" max="8" width="13.75" customWidth="1"/>
    <col min="9" max="9" width="14" customWidth="1"/>
    <col min="10" max="10" width="11" customWidth="1"/>
    <col min="11" max="11" width="12.125" customWidth="1"/>
    <col min="12" max="12" width="12.25" customWidth="1"/>
    <col min="13" max="13" width="16.875" customWidth="1"/>
    <col min="14" max="14" width="11.875" customWidth="1"/>
    <col min="15" max="15" width="10.75" customWidth="1"/>
    <col min="16" max="16" width="14.75" customWidth="1"/>
    <col min="17" max="17" width="13" customWidth="1"/>
    <col min="18" max="18" width="13.125" customWidth="1"/>
    <col min="19" max="19" width="17.125" customWidth="1"/>
    <col min="20" max="20" width="10.875" bestFit="1" customWidth="1"/>
    <col min="21" max="21" width="15.75" customWidth="1"/>
    <col min="22" max="22" width="12.75" customWidth="1"/>
    <col min="23" max="23" width="11.125" customWidth="1"/>
    <col min="24" max="24" width="12.5" customWidth="1"/>
    <col min="25" max="25" width="11.875" bestFit="1" customWidth="1"/>
    <col min="26" max="26" width="12.5" customWidth="1"/>
    <col min="27" max="27" width="10" customWidth="1"/>
    <col min="28" max="28" width="15.375" customWidth="1"/>
    <col min="29" max="29" width="18.25" bestFit="1" customWidth="1"/>
    <col min="30" max="30" width="26.625" bestFit="1" customWidth="1"/>
    <col min="31" max="31" width="12.5" customWidth="1"/>
    <col min="32" max="32" width="9.875" customWidth="1"/>
    <col min="33" max="33" width="21" customWidth="1"/>
    <col min="34" max="34" width="21.125" customWidth="1"/>
    <col min="35" max="35" width="19.5" customWidth="1"/>
    <col min="36" max="36" width="19.625" customWidth="1"/>
    <col min="37" max="37" width="21.875" customWidth="1"/>
    <col min="38" max="38" width="22" customWidth="1"/>
    <col min="39" max="39" width="20.125" customWidth="1"/>
    <col min="40" max="40" width="21.75" customWidth="1"/>
    <col min="41" max="41" width="19.375" customWidth="1"/>
    <col min="42" max="42" width="21" customWidth="1"/>
    <col min="43" max="43" width="13.875" customWidth="1"/>
    <col min="44" max="44" width="18" customWidth="1"/>
    <col min="45" max="45" width="21.5" customWidth="1"/>
    <col min="46" max="46" width="23.125" customWidth="1"/>
    <col min="47" max="47" width="20.75" customWidth="1"/>
    <col min="48" max="48" width="22.375" customWidth="1"/>
    <col min="49" max="49" width="14.375" customWidth="1"/>
    <col min="50" max="50" width="14.625" customWidth="1"/>
    <col min="51" max="51" width="14" customWidth="1"/>
    <col min="52" max="52" width="13.875" customWidth="1"/>
    <col min="53" max="53" width="23.375" customWidth="1"/>
    <col min="54" max="54" width="15.25" customWidth="1"/>
    <col min="55" max="55" width="11.75" customWidth="1"/>
  </cols>
  <sheetData>
    <row r="1" spans="1:55" x14ac:dyDescent="0.2">
      <c r="A1" t="s">
        <v>110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140</v>
      </c>
      <c r="AF1" t="s">
        <v>141</v>
      </c>
      <c r="AG1" t="s">
        <v>142</v>
      </c>
      <c r="AH1" t="s">
        <v>143</v>
      </c>
      <c r="AI1" t="s">
        <v>144</v>
      </c>
      <c r="AJ1" t="s">
        <v>145</v>
      </c>
      <c r="AK1" t="s">
        <v>146</v>
      </c>
      <c r="AL1" t="s">
        <v>147</v>
      </c>
      <c r="AM1" t="s">
        <v>148</v>
      </c>
      <c r="AN1" t="s">
        <v>149</v>
      </c>
      <c r="AO1" t="s">
        <v>150</v>
      </c>
      <c r="AP1" t="s">
        <v>151</v>
      </c>
      <c r="AQ1" t="s">
        <v>152</v>
      </c>
      <c r="AR1" t="s">
        <v>153</v>
      </c>
      <c r="AS1" t="s">
        <v>154</v>
      </c>
      <c r="AT1" t="s">
        <v>155</v>
      </c>
      <c r="AU1" t="s">
        <v>156</v>
      </c>
      <c r="AV1" t="s">
        <v>157</v>
      </c>
      <c r="AW1" t="s">
        <v>158</v>
      </c>
      <c r="AX1" t="s">
        <v>159</v>
      </c>
      <c r="AY1" t="s">
        <v>160</v>
      </c>
      <c r="AZ1" t="s">
        <v>161</v>
      </c>
      <c r="BA1" t="s">
        <v>162</v>
      </c>
      <c r="BB1" t="s">
        <v>163</v>
      </c>
      <c r="BC1" t="s">
        <v>164</v>
      </c>
    </row>
    <row r="2" spans="1:55" x14ac:dyDescent="0.2">
      <c r="A2" t="s">
        <v>6</v>
      </c>
      <c r="B2" t="s">
        <v>301</v>
      </c>
      <c r="C2" t="s">
        <v>302</v>
      </c>
      <c r="D2" t="s">
        <v>323</v>
      </c>
      <c r="E2" t="s">
        <v>996</v>
      </c>
      <c r="F2" t="s">
        <v>998</v>
      </c>
      <c r="G2" t="s">
        <v>999</v>
      </c>
      <c r="H2" t="s">
        <v>1000</v>
      </c>
      <c r="I2" t="s">
        <v>1001</v>
      </c>
      <c r="J2" s="2">
        <v>43375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115151059.47</v>
      </c>
      <c r="V2">
        <v>0</v>
      </c>
      <c r="W2">
        <v>34138178.149999999</v>
      </c>
      <c r="X2">
        <v>0</v>
      </c>
      <c r="Y2">
        <v>0</v>
      </c>
      <c r="Z2">
        <v>0</v>
      </c>
      <c r="AB2" t="s">
        <v>1002</v>
      </c>
      <c r="AC2" t="s">
        <v>1003</v>
      </c>
      <c r="AD2" t="s">
        <v>1004</v>
      </c>
      <c r="AE2">
        <v>1</v>
      </c>
      <c r="AF2" t="s">
        <v>12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115151059.47</v>
      </c>
      <c r="AP2">
        <v>0</v>
      </c>
      <c r="AQ2">
        <v>0</v>
      </c>
      <c r="AR2">
        <v>-34138178.149999999</v>
      </c>
      <c r="AS2">
        <v>0</v>
      </c>
      <c r="AT2">
        <v>0</v>
      </c>
      <c r="AU2">
        <v>0</v>
      </c>
      <c r="AV2">
        <v>0</v>
      </c>
      <c r="AW2" t="s">
        <v>172</v>
      </c>
      <c r="AY2" t="s">
        <v>173</v>
      </c>
      <c r="AZ2" t="s">
        <v>1005</v>
      </c>
      <c r="BA2">
        <v>-34138178.149999999</v>
      </c>
      <c r="BB2">
        <v>0</v>
      </c>
      <c r="BC2" t="s">
        <v>9</v>
      </c>
    </row>
    <row r="3" spans="1:55" x14ac:dyDescent="0.2">
      <c r="A3" t="s">
        <v>6</v>
      </c>
      <c r="B3" t="s">
        <v>301</v>
      </c>
      <c r="C3" t="s">
        <v>302</v>
      </c>
      <c r="D3" t="s">
        <v>323</v>
      </c>
      <c r="E3" t="s">
        <v>996</v>
      </c>
      <c r="F3" t="s">
        <v>998</v>
      </c>
      <c r="G3" t="s">
        <v>999</v>
      </c>
      <c r="H3" t="s">
        <v>1000</v>
      </c>
      <c r="I3" t="s">
        <v>1001</v>
      </c>
      <c r="J3" s="2">
        <v>43376</v>
      </c>
      <c r="K3">
        <v>0</v>
      </c>
      <c r="L3">
        <v>0</v>
      </c>
      <c r="M3">
        <v>0</v>
      </c>
      <c r="N3">
        <v>65959239.200000003</v>
      </c>
      <c r="O3">
        <v>599577174</v>
      </c>
      <c r="P3">
        <v>0</v>
      </c>
      <c r="Q3">
        <v>0</v>
      </c>
      <c r="R3">
        <v>0</v>
      </c>
      <c r="S3">
        <v>0</v>
      </c>
      <c r="T3">
        <v>0</v>
      </c>
      <c r="U3">
        <v>337417200.81</v>
      </c>
      <c r="V3">
        <v>152300157.96000001</v>
      </c>
      <c r="W3">
        <v>72636131.560000002</v>
      </c>
      <c r="X3">
        <v>278389116.58999997</v>
      </c>
      <c r="Y3">
        <v>748296337.08000004</v>
      </c>
      <c r="Z3">
        <v>410603878118.97998</v>
      </c>
      <c r="AB3" t="s">
        <v>1002</v>
      </c>
      <c r="AC3" t="s">
        <v>1003</v>
      </c>
      <c r="AD3" t="s">
        <v>1004</v>
      </c>
      <c r="AE3">
        <v>2</v>
      </c>
      <c r="AF3" t="s">
        <v>12</v>
      </c>
      <c r="AG3">
        <v>0</v>
      </c>
      <c r="AH3">
        <v>0</v>
      </c>
      <c r="AI3">
        <v>0</v>
      </c>
      <c r="AJ3">
        <v>599577174</v>
      </c>
      <c r="AK3">
        <v>0</v>
      </c>
      <c r="AL3">
        <v>0</v>
      </c>
      <c r="AM3">
        <v>115151059.47</v>
      </c>
      <c r="AN3">
        <v>0</v>
      </c>
      <c r="AO3">
        <v>337417200.81</v>
      </c>
      <c r="AP3">
        <v>0</v>
      </c>
      <c r="AQ3">
        <v>304104826.56</v>
      </c>
      <c r="AR3">
        <v>641179236.88999999</v>
      </c>
      <c r="AS3">
        <v>0</v>
      </c>
      <c r="AT3">
        <v>0</v>
      </c>
      <c r="AU3">
        <v>34138178.149999999</v>
      </c>
      <c r="AV3">
        <v>0</v>
      </c>
      <c r="AW3" t="s">
        <v>172</v>
      </c>
      <c r="AY3" t="s">
        <v>173</v>
      </c>
      <c r="AZ3" t="s">
        <v>1005</v>
      </c>
      <c r="BA3">
        <v>641179236.88999999</v>
      </c>
      <c r="BB3">
        <v>342790.48</v>
      </c>
      <c r="BC3" t="s">
        <v>9</v>
      </c>
    </row>
    <row r="4" spans="1:55" x14ac:dyDescent="0.2">
      <c r="A4" t="s">
        <v>6</v>
      </c>
      <c r="B4" t="s">
        <v>301</v>
      </c>
      <c r="C4" t="s">
        <v>302</v>
      </c>
      <c r="D4" t="s">
        <v>323</v>
      </c>
      <c r="E4" t="s">
        <v>996</v>
      </c>
      <c r="F4" t="s">
        <v>998</v>
      </c>
      <c r="G4" t="s">
        <v>999</v>
      </c>
      <c r="H4" t="s">
        <v>1000</v>
      </c>
      <c r="I4" t="s">
        <v>1001</v>
      </c>
      <c r="J4" s="2">
        <v>43377</v>
      </c>
      <c r="K4">
        <v>0</v>
      </c>
      <c r="L4">
        <v>0</v>
      </c>
      <c r="M4">
        <v>0</v>
      </c>
      <c r="N4">
        <v>1992594629.27</v>
      </c>
      <c r="O4">
        <v>2952000000</v>
      </c>
      <c r="P4">
        <v>0</v>
      </c>
      <c r="Q4">
        <v>0</v>
      </c>
      <c r="R4">
        <v>0</v>
      </c>
      <c r="S4">
        <v>0</v>
      </c>
      <c r="T4">
        <v>0</v>
      </c>
      <c r="U4">
        <v>136927855.56999999</v>
      </c>
      <c r="V4">
        <v>186072418.59999999</v>
      </c>
      <c r="W4">
        <v>21879197.920000002</v>
      </c>
      <c r="X4">
        <v>215273889.25</v>
      </c>
      <c r="Y4">
        <v>1487041651.3699999</v>
      </c>
      <c r="Z4">
        <v>410603878118.97998</v>
      </c>
      <c r="AB4" t="s">
        <v>1002</v>
      </c>
      <c r="AC4" t="s">
        <v>1003</v>
      </c>
      <c r="AD4" t="s">
        <v>1004</v>
      </c>
      <c r="AE4">
        <v>3</v>
      </c>
      <c r="AF4" t="s">
        <v>12</v>
      </c>
      <c r="AG4">
        <v>0</v>
      </c>
      <c r="AH4">
        <v>0</v>
      </c>
      <c r="AI4">
        <v>1992594629.27</v>
      </c>
      <c r="AJ4">
        <v>2952000000</v>
      </c>
      <c r="AK4">
        <v>0</v>
      </c>
      <c r="AL4">
        <v>0</v>
      </c>
      <c r="AM4">
        <v>337417200.81</v>
      </c>
      <c r="AN4">
        <v>0</v>
      </c>
      <c r="AO4">
        <v>136927855.56999999</v>
      </c>
      <c r="AP4">
        <v>0</v>
      </c>
      <c r="AQ4">
        <v>1255598466.3199999</v>
      </c>
      <c r="AR4">
        <v>1182619544.28</v>
      </c>
      <c r="AS4">
        <v>34138178.149999999</v>
      </c>
      <c r="AT4">
        <v>0</v>
      </c>
      <c r="AU4">
        <v>72636131.560000002</v>
      </c>
      <c r="AV4">
        <v>0</v>
      </c>
      <c r="AW4" t="s">
        <v>172</v>
      </c>
      <c r="AY4" t="s">
        <v>173</v>
      </c>
      <c r="AZ4" t="s">
        <v>1005</v>
      </c>
      <c r="BA4">
        <v>1255255675.8399999</v>
      </c>
      <c r="BB4">
        <v>22221988.399999999</v>
      </c>
      <c r="BC4" t="s">
        <v>9</v>
      </c>
    </row>
    <row r="5" spans="1:55" x14ac:dyDescent="0.2">
      <c r="A5" t="s">
        <v>6</v>
      </c>
      <c r="B5" t="s">
        <v>301</v>
      </c>
      <c r="C5" t="s">
        <v>302</v>
      </c>
      <c r="D5" t="s">
        <v>323</v>
      </c>
      <c r="E5" t="s">
        <v>996</v>
      </c>
      <c r="F5" t="s">
        <v>998</v>
      </c>
      <c r="G5" t="s">
        <v>999</v>
      </c>
      <c r="H5" t="s">
        <v>1000</v>
      </c>
      <c r="I5" t="s">
        <v>1001</v>
      </c>
      <c r="J5" s="2">
        <v>43378</v>
      </c>
      <c r="K5">
        <v>0</v>
      </c>
      <c r="L5">
        <v>0</v>
      </c>
      <c r="M5">
        <v>0</v>
      </c>
      <c r="N5">
        <v>996339480</v>
      </c>
      <c r="O5">
        <v>0</v>
      </c>
      <c r="P5">
        <v>0</v>
      </c>
      <c r="Q5">
        <v>0</v>
      </c>
      <c r="R5">
        <v>0</v>
      </c>
      <c r="S5">
        <v>0</v>
      </c>
      <c r="T5">
        <v>54951592</v>
      </c>
      <c r="U5">
        <v>0</v>
      </c>
      <c r="V5">
        <v>0</v>
      </c>
      <c r="W5">
        <v>0</v>
      </c>
      <c r="X5">
        <v>0</v>
      </c>
      <c r="Y5">
        <v>435750579.37</v>
      </c>
      <c r="Z5">
        <v>410603878118.97998</v>
      </c>
      <c r="AB5" t="s">
        <v>1002</v>
      </c>
      <c r="AC5" t="s">
        <v>1003</v>
      </c>
      <c r="AD5" t="s">
        <v>1004</v>
      </c>
      <c r="AE5">
        <v>4</v>
      </c>
      <c r="AF5" t="s">
        <v>12</v>
      </c>
      <c r="AG5">
        <v>0</v>
      </c>
      <c r="AH5">
        <v>0</v>
      </c>
      <c r="AI5">
        <v>996339480</v>
      </c>
      <c r="AJ5">
        <v>0</v>
      </c>
      <c r="AK5">
        <v>0</v>
      </c>
      <c r="AL5">
        <v>0</v>
      </c>
      <c r="AM5">
        <v>136927855.56999999</v>
      </c>
      <c r="AN5">
        <v>0</v>
      </c>
      <c r="AO5">
        <v>0</v>
      </c>
      <c r="AP5">
        <v>0</v>
      </c>
      <c r="AQ5">
        <v>413871381.44999999</v>
      </c>
      <c r="AR5">
        <v>369770195.13</v>
      </c>
      <c r="AS5">
        <v>72636131.560000002</v>
      </c>
      <c r="AT5">
        <v>0</v>
      </c>
      <c r="AU5">
        <v>21879197.920000002</v>
      </c>
      <c r="AV5">
        <v>0</v>
      </c>
      <c r="AW5" t="s">
        <v>172</v>
      </c>
      <c r="AY5" t="s">
        <v>173</v>
      </c>
      <c r="AZ5" t="s">
        <v>1005</v>
      </c>
      <c r="BA5">
        <v>186280064.28</v>
      </c>
      <c r="BB5">
        <v>22221988.399999999</v>
      </c>
      <c r="BC5" t="s">
        <v>9</v>
      </c>
    </row>
    <row r="6" spans="1:55" x14ac:dyDescent="0.2">
      <c r="A6" t="s">
        <v>6</v>
      </c>
      <c r="B6" t="s">
        <v>301</v>
      </c>
      <c r="C6" t="s">
        <v>302</v>
      </c>
      <c r="D6" t="s">
        <v>323</v>
      </c>
      <c r="E6" t="s">
        <v>996</v>
      </c>
      <c r="F6" t="s">
        <v>998</v>
      </c>
      <c r="G6" t="s">
        <v>999</v>
      </c>
      <c r="H6" t="s">
        <v>1000</v>
      </c>
      <c r="I6" t="s">
        <v>1001</v>
      </c>
      <c r="J6" s="2">
        <v>43379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435750579.37</v>
      </c>
      <c r="Z6">
        <v>410603878118.97998</v>
      </c>
      <c r="AB6" t="s">
        <v>1002</v>
      </c>
      <c r="AC6" t="s">
        <v>1003</v>
      </c>
      <c r="AD6" t="s">
        <v>1004</v>
      </c>
      <c r="AE6">
        <v>5</v>
      </c>
      <c r="AF6" t="s">
        <v>12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435750579.37</v>
      </c>
      <c r="AR6">
        <v>413528590.97000003</v>
      </c>
      <c r="AS6">
        <v>0</v>
      </c>
      <c r="AT6">
        <v>0</v>
      </c>
      <c r="AU6">
        <v>0</v>
      </c>
      <c r="AV6">
        <v>0</v>
      </c>
      <c r="AW6" t="s">
        <v>172</v>
      </c>
      <c r="AY6" t="s">
        <v>173</v>
      </c>
      <c r="AZ6" t="s">
        <v>1005</v>
      </c>
      <c r="BA6">
        <v>0</v>
      </c>
      <c r="BB6">
        <v>22221988.399999999</v>
      </c>
      <c r="BC6" t="s">
        <v>9</v>
      </c>
    </row>
    <row r="7" spans="1:55" x14ac:dyDescent="0.2">
      <c r="A7" t="s">
        <v>6</v>
      </c>
      <c r="B7" t="s">
        <v>301</v>
      </c>
      <c r="C7" t="s">
        <v>302</v>
      </c>
      <c r="D7" t="s">
        <v>323</v>
      </c>
      <c r="E7" t="s">
        <v>996</v>
      </c>
      <c r="F7" t="s">
        <v>998</v>
      </c>
      <c r="G7" t="s">
        <v>999</v>
      </c>
      <c r="H7" t="s">
        <v>1000</v>
      </c>
      <c r="I7" t="s">
        <v>1001</v>
      </c>
      <c r="J7" s="2">
        <v>43380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435750579.37</v>
      </c>
      <c r="Z7">
        <v>410603878118.97998</v>
      </c>
      <c r="AB7" t="s">
        <v>1002</v>
      </c>
      <c r="AC7" t="s">
        <v>1003</v>
      </c>
      <c r="AD7" t="s">
        <v>1004</v>
      </c>
      <c r="AE7">
        <v>6</v>
      </c>
      <c r="AF7" t="s">
        <v>12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435750579.37</v>
      </c>
      <c r="AR7">
        <v>413528590.97000003</v>
      </c>
      <c r="AS7">
        <v>0</v>
      </c>
      <c r="AT7">
        <v>0</v>
      </c>
      <c r="AU7">
        <v>0</v>
      </c>
      <c r="AV7">
        <v>0</v>
      </c>
      <c r="AW7" t="s">
        <v>172</v>
      </c>
      <c r="AY7" t="s">
        <v>173</v>
      </c>
      <c r="AZ7" t="s">
        <v>1006</v>
      </c>
      <c r="BA7">
        <v>0</v>
      </c>
      <c r="BB7">
        <v>22221988.399999999</v>
      </c>
      <c r="BC7" t="s">
        <v>9</v>
      </c>
    </row>
    <row r="8" spans="1:55" x14ac:dyDescent="0.2">
      <c r="A8" t="s">
        <v>6</v>
      </c>
      <c r="B8" t="s">
        <v>301</v>
      </c>
      <c r="C8" t="s">
        <v>302</v>
      </c>
      <c r="D8" t="s">
        <v>323</v>
      </c>
      <c r="E8" t="s">
        <v>996</v>
      </c>
      <c r="F8" t="s">
        <v>998</v>
      </c>
      <c r="G8" t="s">
        <v>999</v>
      </c>
      <c r="H8" t="s">
        <v>1000</v>
      </c>
      <c r="I8" t="s">
        <v>1001</v>
      </c>
      <c r="J8" s="2">
        <v>43381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435750579.37</v>
      </c>
      <c r="Z8">
        <v>410603878118.97998</v>
      </c>
      <c r="AB8" t="s">
        <v>1002</v>
      </c>
      <c r="AC8" t="s">
        <v>1003</v>
      </c>
      <c r="AD8" t="s">
        <v>1004</v>
      </c>
      <c r="AE8">
        <v>7</v>
      </c>
      <c r="AF8" t="s">
        <v>12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435750579.37</v>
      </c>
      <c r="AR8">
        <v>413528590.97000003</v>
      </c>
      <c r="AS8">
        <v>21879197.920000002</v>
      </c>
      <c r="AT8">
        <v>0</v>
      </c>
      <c r="AU8">
        <v>0</v>
      </c>
      <c r="AV8">
        <v>0</v>
      </c>
      <c r="AW8" t="s">
        <v>172</v>
      </c>
      <c r="AY8" t="s">
        <v>173</v>
      </c>
      <c r="AZ8" t="s">
        <v>1006</v>
      </c>
      <c r="BA8">
        <v>369770195.13</v>
      </c>
      <c r="BB8">
        <v>22221988.399999999</v>
      </c>
      <c r="BC8" t="s">
        <v>9</v>
      </c>
    </row>
    <row r="9" spans="1:55" x14ac:dyDescent="0.2">
      <c r="A9" t="s">
        <v>6</v>
      </c>
      <c r="B9" t="s">
        <v>301</v>
      </c>
      <c r="C9" t="s">
        <v>302</v>
      </c>
      <c r="D9" t="s">
        <v>323</v>
      </c>
      <c r="E9" t="s">
        <v>996</v>
      </c>
      <c r="F9" t="s">
        <v>998</v>
      </c>
      <c r="G9" t="s">
        <v>999</v>
      </c>
      <c r="H9" t="s">
        <v>1000</v>
      </c>
      <c r="I9" t="s">
        <v>1001</v>
      </c>
      <c r="J9" s="2">
        <v>43382</v>
      </c>
      <c r="K9">
        <v>0</v>
      </c>
      <c r="L9">
        <v>0</v>
      </c>
      <c r="M9">
        <v>0</v>
      </c>
      <c r="N9">
        <v>0</v>
      </c>
      <c r="O9">
        <v>2963000000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3398750579.3699999</v>
      </c>
      <c r="Z9">
        <v>410603878118.97998</v>
      </c>
      <c r="AB9" t="s">
        <v>1002</v>
      </c>
      <c r="AC9" t="s">
        <v>1003</v>
      </c>
      <c r="AD9" t="s">
        <v>1004</v>
      </c>
      <c r="AE9">
        <v>8</v>
      </c>
      <c r="AF9" t="s">
        <v>12</v>
      </c>
      <c r="AG9">
        <v>0</v>
      </c>
      <c r="AH9">
        <v>0</v>
      </c>
      <c r="AI9">
        <v>0</v>
      </c>
      <c r="AJ9">
        <v>2963000000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3398750579.3699999</v>
      </c>
      <c r="AR9">
        <v>3376528590.9699998</v>
      </c>
      <c r="AS9">
        <v>0</v>
      </c>
      <c r="AT9">
        <v>0</v>
      </c>
      <c r="AU9">
        <v>0</v>
      </c>
      <c r="AV9">
        <v>0</v>
      </c>
      <c r="AW9" t="s">
        <v>172</v>
      </c>
      <c r="AY9" t="s">
        <v>173</v>
      </c>
      <c r="AZ9" t="s">
        <v>1006</v>
      </c>
      <c r="BA9">
        <v>3376528590.9699998</v>
      </c>
      <c r="BB9">
        <v>22221988.399999999</v>
      </c>
      <c r="BC9" t="s">
        <v>9</v>
      </c>
    </row>
    <row r="10" spans="1:55" x14ac:dyDescent="0.2">
      <c r="A10" t="s">
        <v>6</v>
      </c>
      <c r="B10" t="s">
        <v>301</v>
      </c>
      <c r="C10" t="s">
        <v>302</v>
      </c>
      <c r="D10" t="s">
        <v>323</v>
      </c>
      <c r="E10" t="s">
        <v>996</v>
      </c>
      <c r="F10" t="s">
        <v>998</v>
      </c>
      <c r="G10" t="s">
        <v>999</v>
      </c>
      <c r="H10" t="s">
        <v>1000</v>
      </c>
      <c r="I10" t="s">
        <v>1001</v>
      </c>
      <c r="J10" s="2">
        <v>43383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3398750579.3699999</v>
      </c>
      <c r="Z10">
        <v>410603878118.97998</v>
      </c>
      <c r="AB10" t="s">
        <v>1002</v>
      </c>
      <c r="AC10" t="s">
        <v>1003</v>
      </c>
      <c r="AD10" t="s">
        <v>1004</v>
      </c>
      <c r="AE10">
        <v>9</v>
      </c>
      <c r="AF10" t="s">
        <v>12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3398750579.3699999</v>
      </c>
      <c r="AR10">
        <v>3376528590.9699998</v>
      </c>
      <c r="AS10">
        <v>0</v>
      </c>
      <c r="AT10">
        <v>0</v>
      </c>
      <c r="AU10">
        <v>0</v>
      </c>
      <c r="AV10">
        <v>0</v>
      </c>
      <c r="AW10" t="s">
        <v>172</v>
      </c>
      <c r="AY10" t="s">
        <v>173</v>
      </c>
      <c r="AZ10" t="s">
        <v>1006</v>
      </c>
      <c r="BA10">
        <v>3376528590.9699998</v>
      </c>
      <c r="BB10">
        <v>22221988.399999999</v>
      </c>
      <c r="BC10" t="s">
        <v>9</v>
      </c>
    </row>
    <row r="11" spans="1:55" x14ac:dyDescent="0.2">
      <c r="A11" t="s">
        <v>6</v>
      </c>
      <c r="B11" t="s">
        <v>301</v>
      </c>
      <c r="C11" t="s">
        <v>302</v>
      </c>
      <c r="D11" t="s">
        <v>323</v>
      </c>
      <c r="E11" t="s">
        <v>996</v>
      </c>
      <c r="F11" t="s">
        <v>998</v>
      </c>
      <c r="G11" t="s">
        <v>999</v>
      </c>
      <c r="H11" t="s">
        <v>1000</v>
      </c>
      <c r="I11" t="s">
        <v>1001</v>
      </c>
      <c r="J11" s="2">
        <v>43384</v>
      </c>
      <c r="K11">
        <v>0</v>
      </c>
      <c r="L11">
        <v>0</v>
      </c>
      <c r="M11">
        <v>0</v>
      </c>
      <c r="N11">
        <v>0</v>
      </c>
      <c r="O11">
        <v>4407000000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7805750579.3699999</v>
      </c>
      <c r="Z11">
        <v>410603878118.97998</v>
      </c>
      <c r="AB11" t="s">
        <v>1002</v>
      </c>
      <c r="AC11" t="s">
        <v>1003</v>
      </c>
      <c r="AD11" t="s">
        <v>1004</v>
      </c>
      <c r="AE11">
        <v>10</v>
      </c>
      <c r="AF11" t="s">
        <v>12</v>
      </c>
      <c r="AG11">
        <v>0</v>
      </c>
      <c r="AH11">
        <v>0</v>
      </c>
      <c r="AI11">
        <v>0</v>
      </c>
      <c r="AJ11">
        <v>4407000000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7805750579.3699999</v>
      </c>
      <c r="AR11">
        <v>7783528590.9700003</v>
      </c>
      <c r="AS11">
        <v>0</v>
      </c>
      <c r="AT11">
        <v>0</v>
      </c>
      <c r="AU11">
        <v>0</v>
      </c>
      <c r="AV11">
        <v>0</v>
      </c>
      <c r="AW11" t="s">
        <v>172</v>
      </c>
      <c r="AY11" t="s">
        <v>173</v>
      </c>
      <c r="AZ11" t="s">
        <v>1006</v>
      </c>
      <c r="BA11">
        <v>7783528590.9700003</v>
      </c>
      <c r="BB11">
        <v>22221988.399999999</v>
      </c>
      <c r="BC11" t="s">
        <v>9</v>
      </c>
    </row>
    <row r="12" spans="1:55" x14ac:dyDescent="0.2">
      <c r="A12" t="s">
        <v>6</v>
      </c>
      <c r="B12" t="s">
        <v>301</v>
      </c>
      <c r="C12" t="s">
        <v>302</v>
      </c>
      <c r="D12" t="s">
        <v>323</v>
      </c>
      <c r="E12" t="s">
        <v>996</v>
      </c>
      <c r="F12" t="s">
        <v>998</v>
      </c>
      <c r="G12" t="s">
        <v>999</v>
      </c>
      <c r="H12" t="s">
        <v>1000</v>
      </c>
      <c r="I12" t="s">
        <v>1001</v>
      </c>
      <c r="J12" s="2">
        <v>43385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7805750579.3699999</v>
      </c>
      <c r="Z12">
        <v>410603878118.97998</v>
      </c>
      <c r="AB12" t="s">
        <v>1002</v>
      </c>
      <c r="AC12" t="s">
        <v>1003</v>
      </c>
      <c r="AD12" t="s">
        <v>1004</v>
      </c>
      <c r="AE12">
        <v>11</v>
      </c>
      <c r="AF12" t="s">
        <v>12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7805750579.3699999</v>
      </c>
      <c r="AR12">
        <v>7783528590.9700003</v>
      </c>
      <c r="AS12">
        <v>0</v>
      </c>
      <c r="AT12">
        <v>0</v>
      </c>
      <c r="AU12">
        <v>0</v>
      </c>
      <c r="AV12">
        <v>0</v>
      </c>
      <c r="AW12" t="s">
        <v>172</v>
      </c>
      <c r="AY12" t="s">
        <v>173</v>
      </c>
      <c r="AZ12" t="s">
        <v>1006</v>
      </c>
      <c r="BA12">
        <v>7783528590.9700003</v>
      </c>
      <c r="BB12">
        <v>22221988.399999999</v>
      </c>
      <c r="BC12" t="s">
        <v>9</v>
      </c>
    </row>
    <row r="13" spans="1:55" x14ac:dyDescent="0.2">
      <c r="A13" t="s">
        <v>6</v>
      </c>
      <c r="B13" t="s">
        <v>301</v>
      </c>
      <c r="C13" t="s">
        <v>302</v>
      </c>
      <c r="D13" t="s">
        <v>323</v>
      </c>
      <c r="E13" t="s">
        <v>996</v>
      </c>
      <c r="F13" t="s">
        <v>998</v>
      </c>
      <c r="G13" t="s">
        <v>999</v>
      </c>
      <c r="H13" t="s">
        <v>1000</v>
      </c>
      <c r="I13" t="s">
        <v>1001</v>
      </c>
      <c r="J13" s="2">
        <v>43386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7805750579.3699999</v>
      </c>
      <c r="Z13">
        <v>410603878118.97998</v>
      </c>
      <c r="AB13" t="s">
        <v>1002</v>
      </c>
      <c r="AC13" t="s">
        <v>1003</v>
      </c>
      <c r="AD13" t="s">
        <v>1004</v>
      </c>
      <c r="AE13">
        <v>12</v>
      </c>
      <c r="AF13" t="s">
        <v>12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7805750579.3699999</v>
      </c>
      <c r="AR13">
        <v>7783528590.9700003</v>
      </c>
      <c r="AS13">
        <v>0</v>
      </c>
      <c r="AT13">
        <v>0</v>
      </c>
      <c r="AU13">
        <v>0</v>
      </c>
      <c r="AV13">
        <v>0</v>
      </c>
      <c r="AW13" t="s">
        <v>172</v>
      </c>
      <c r="AY13" t="s">
        <v>173</v>
      </c>
      <c r="AZ13" t="s">
        <v>1006</v>
      </c>
      <c r="BA13">
        <v>0</v>
      </c>
      <c r="BB13">
        <v>22221988.399999999</v>
      </c>
      <c r="BC13" t="s">
        <v>9</v>
      </c>
    </row>
    <row r="14" spans="1:55" x14ac:dyDescent="0.2">
      <c r="A14" t="s">
        <v>6</v>
      </c>
      <c r="B14" t="s">
        <v>301</v>
      </c>
      <c r="C14" t="s">
        <v>302</v>
      </c>
      <c r="D14" t="s">
        <v>323</v>
      </c>
      <c r="E14" t="s">
        <v>996</v>
      </c>
      <c r="F14" t="s">
        <v>998</v>
      </c>
      <c r="G14" t="s">
        <v>999</v>
      </c>
      <c r="H14" t="s">
        <v>1000</v>
      </c>
      <c r="I14" t="s">
        <v>1001</v>
      </c>
      <c r="J14" s="2">
        <v>43387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7805750579.3699999</v>
      </c>
      <c r="Z14">
        <v>410603878118.97998</v>
      </c>
      <c r="AB14" t="s">
        <v>1002</v>
      </c>
      <c r="AC14" t="s">
        <v>1003</v>
      </c>
      <c r="AD14" t="s">
        <v>1004</v>
      </c>
      <c r="AE14">
        <v>13</v>
      </c>
      <c r="AF14" t="s">
        <v>12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7805750579.3699999</v>
      </c>
      <c r="AR14">
        <v>7783528590.9700003</v>
      </c>
      <c r="AS14">
        <v>0</v>
      </c>
      <c r="AT14">
        <v>0</v>
      </c>
      <c r="AU14">
        <v>0</v>
      </c>
      <c r="AV14">
        <v>0</v>
      </c>
      <c r="AW14" t="s">
        <v>172</v>
      </c>
      <c r="AY14" t="s">
        <v>173</v>
      </c>
      <c r="AZ14" t="s">
        <v>1006</v>
      </c>
      <c r="BA14">
        <v>0</v>
      </c>
      <c r="BB14">
        <v>22221988.399999999</v>
      </c>
      <c r="BC14" t="s">
        <v>9</v>
      </c>
    </row>
    <row r="15" spans="1:55" x14ac:dyDescent="0.2">
      <c r="A15" t="s">
        <v>6</v>
      </c>
      <c r="B15" t="s">
        <v>301</v>
      </c>
      <c r="C15" t="s">
        <v>302</v>
      </c>
      <c r="D15" t="s">
        <v>323</v>
      </c>
      <c r="E15" t="s">
        <v>996</v>
      </c>
      <c r="F15" t="s">
        <v>998</v>
      </c>
      <c r="G15" t="s">
        <v>999</v>
      </c>
      <c r="H15" t="s">
        <v>1000</v>
      </c>
      <c r="I15" t="s">
        <v>1001</v>
      </c>
      <c r="J15" s="2">
        <v>43388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7805750579.3699999</v>
      </c>
      <c r="Z15">
        <v>410603878118.97998</v>
      </c>
      <c r="AB15" t="s">
        <v>1002</v>
      </c>
      <c r="AC15" t="s">
        <v>1003</v>
      </c>
      <c r="AD15" t="s">
        <v>1004</v>
      </c>
      <c r="AE15">
        <v>14</v>
      </c>
      <c r="AF15" t="s">
        <v>12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7805750579.3699999</v>
      </c>
      <c r="AR15">
        <v>7783528590.9700003</v>
      </c>
      <c r="AS15">
        <v>0</v>
      </c>
      <c r="AT15">
        <v>0</v>
      </c>
      <c r="AU15">
        <v>0</v>
      </c>
      <c r="AV15">
        <v>0</v>
      </c>
      <c r="AW15" t="s">
        <v>172</v>
      </c>
      <c r="AY15" t="s">
        <v>173</v>
      </c>
      <c r="AZ15" t="s">
        <v>1006</v>
      </c>
      <c r="BA15">
        <v>0</v>
      </c>
      <c r="BB15">
        <v>22221988.399999999</v>
      </c>
      <c r="BC15" t="s">
        <v>9</v>
      </c>
    </row>
    <row r="16" spans="1:55" x14ac:dyDescent="0.2">
      <c r="A16" t="s">
        <v>6</v>
      </c>
      <c r="B16" t="s">
        <v>301</v>
      </c>
      <c r="C16" t="s">
        <v>302</v>
      </c>
      <c r="D16" t="s">
        <v>323</v>
      </c>
      <c r="E16" t="s">
        <v>996</v>
      </c>
      <c r="F16" t="s">
        <v>998</v>
      </c>
      <c r="G16" t="s">
        <v>999</v>
      </c>
      <c r="H16" t="s">
        <v>1000</v>
      </c>
      <c r="I16" t="s">
        <v>1001</v>
      </c>
      <c r="J16" s="2">
        <v>43389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2912130000</v>
      </c>
      <c r="S16">
        <v>48742584.799999997</v>
      </c>
      <c r="T16">
        <v>0</v>
      </c>
      <c r="U16">
        <v>0</v>
      </c>
      <c r="V16">
        <v>0</v>
      </c>
      <c r="W16">
        <v>0</v>
      </c>
      <c r="X16">
        <v>0</v>
      </c>
      <c r="Y16">
        <v>10766623164.17</v>
      </c>
      <c r="Z16">
        <v>407691748118.97998</v>
      </c>
      <c r="AB16" t="s">
        <v>1002</v>
      </c>
      <c r="AC16" t="s">
        <v>1003</v>
      </c>
      <c r="AD16" t="s">
        <v>1004</v>
      </c>
      <c r="AE16">
        <v>15</v>
      </c>
      <c r="AF16" t="s">
        <v>12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2912130000</v>
      </c>
      <c r="AM16">
        <v>0</v>
      </c>
      <c r="AN16">
        <v>0</v>
      </c>
      <c r="AO16">
        <v>0</v>
      </c>
      <c r="AP16">
        <v>0</v>
      </c>
      <c r="AQ16">
        <v>10766623164.17</v>
      </c>
      <c r="AR16">
        <v>10695658590.969999</v>
      </c>
      <c r="AS16">
        <v>0</v>
      </c>
      <c r="AT16">
        <v>0</v>
      </c>
      <c r="AU16">
        <v>0</v>
      </c>
      <c r="AV16">
        <v>0</v>
      </c>
      <c r="AW16" t="s">
        <v>172</v>
      </c>
      <c r="AY16" t="s">
        <v>173</v>
      </c>
      <c r="AZ16" t="s">
        <v>1006</v>
      </c>
      <c r="BA16">
        <v>10695658590.969999</v>
      </c>
      <c r="BB16">
        <v>22221988.399999999</v>
      </c>
      <c r="BC16" t="s">
        <v>9</v>
      </c>
    </row>
    <row r="17" spans="1:55" x14ac:dyDescent="0.2">
      <c r="A17" t="s">
        <v>6</v>
      </c>
      <c r="B17" t="s">
        <v>301</v>
      </c>
      <c r="C17" t="s">
        <v>302</v>
      </c>
      <c r="D17" t="s">
        <v>323</v>
      </c>
      <c r="E17" t="s">
        <v>996</v>
      </c>
      <c r="F17" t="s">
        <v>998</v>
      </c>
      <c r="G17" t="s">
        <v>999</v>
      </c>
      <c r="H17" t="s">
        <v>1000</v>
      </c>
      <c r="I17" t="s">
        <v>1001</v>
      </c>
      <c r="J17" s="2">
        <v>43390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10766623164.17</v>
      </c>
      <c r="Z17">
        <v>407691748118.97998</v>
      </c>
      <c r="AB17" t="s">
        <v>1002</v>
      </c>
      <c r="AC17" t="s">
        <v>1003</v>
      </c>
      <c r="AD17" t="s">
        <v>1004</v>
      </c>
      <c r="AE17">
        <v>16</v>
      </c>
      <c r="AF17" t="s">
        <v>12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10766623164.17</v>
      </c>
      <c r="AR17">
        <v>10744401175.77</v>
      </c>
      <c r="AS17">
        <v>0</v>
      </c>
      <c r="AT17">
        <v>0</v>
      </c>
      <c r="AU17">
        <v>0</v>
      </c>
      <c r="AV17">
        <v>0</v>
      </c>
      <c r="AW17" t="s">
        <v>172</v>
      </c>
      <c r="AY17" t="s">
        <v>173</v>
      </c>
      <c r="AZ17" t="s">
        <v>1006</v>
      </c>
      <c r="BA17">
        <v>10695658590.969999</v>
      </c>
      <c r="BB17">
        <v>22221988.399999999</v>
      </c>
      <c r="BC17" t="s">
        <v>9</v>
      </c>
    </row>
    <row r="18" spans="1:55" x14ac:dyDescent="0.2">
      <c r="A18" t="s">
        <v>46</v>
      </c>
      <c r="B18" t="s">
        <v>560</v>
      </c>
      <c r="C18" t="s">
        <v>561</v>
      </c>
      <c r="D18" t="s">
        <v>323</v>
      </c>
      <c r="E18" t="s">
        <v>996</v>
      </c>
      <c r="F18" t="s">
        <v>1007</v>
      </c>
      <c r="G18" t="s">
        <v>1008</v>
      </c>
      <c r="H18" t="s">
        <v>1009</v>
      </c>
      <c r="J18" s="2">
        <v>43375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781328443.52999997</v>
      </c>
      <c r="V18">
        <v>0</v>
      </c>
      <c r="W18">
        <v>0</v>
      </c>
      <c r="X18">
        <v>0</v>
      </c>
      <c r="Y18">
        <v>0</v>
      </c>
      <c r="Z18">
        <v>0</v>
      </c>
      <c r="AB18" t="s">
        <v>1010</v>
      </c>
      <c r="AC18" t="s">
        <v>1011</v>
      </c>
      <c r="AD18" t="s">
        <v>1012</v>
      </c>
      <c r="AE18">
        <v>1</v>
      </c>
      <c r="AF18" t="s">
        <v>12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781328443.52999997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 t="s">
        <v>172</v>
      </c>
      <c r="AY18" t="s">
        <v>173</v>
      </c>
      <c r="AZ18" t="s">
        <v>1006</v>
      </c>
      <c r="BA18">
        <v>0</v>
      </c>
      <c r="BB18">
        <v>0</v>
      </c>
      <c r="BC18" t="s">
        <v>9</v>
      </c>
    </row>
    <row r="19" spans="1:55" x14ac:dyDescent="0.2">
      <c r="A19" t="s">
        <v>46</v>
      </c>
      <c r="B19" t="s">
        <v>560</v>
      </c>
      <c r="C19" t="s">
        <v>561</v>
      </c>
      <c r="D19" t="s">
        <v>323</v>
      </c>
      <c r="E19" t="s">
        <v>996</v>
      </c>
      <c r="F19" t="s">
        <v>1007</v>
      </c>
      <c r="G19" t="s">
        <v>1008</v>
      </c>
      <c r="H19" t="s">
        <v>1009</v>
      </c>
      <c r="J19" s="2">
        <v>43376</v>
      </c>
      <c r="K19">
        <v>0</v>
      </c>
      <c r="L19">
        <v>0</v>
      </c>
      <c r="M19">
        <v>0</v>
      </c>
      <c r="N19">
        <v>0</v>
      </c>
      <c r="O19">
        <v>399718116</v>
      </c>
      <c r="P19">
        <v>1279.9000000000001</v>
      </c>
      <c r="Q19">
        <v>0</v>
      </c>
      <c r="R19">
        <v>30000000</v>
      </c>
      <c r="S19">
        <v>0</v>
      </c>
      <c r="T19">
        <v>0</v>
      </c>
      <c r="U19">
        <v>793554140.17999995</v>
      </c>
      <c r="V19">
        <v>984010974.07000005</v>
      </c>
      <c r="W19">
        <v>0</v>
      </c>
      <c r="X19">
        <v>527602473.36000001</v>
      </c>
      <c r="Y19">
        <v>9573199.4299999997</v>
      </c>
      <c r="Z19">
        <v>2056375704377.05</v>
      </c>
      <c r="AB19" t="s">
        <v>1010</v>
      </c>
      <c r="AC19" t="s">
        <v>1011</v>
      </c>
      <c r="AD19" t="s">
        <v>1012</v>
      </c>
      <c r="AE19">
        <v>2</v>
      </c>
      <c r="AF19" t="s">
        <v>12</v>
      </c>
      <c r="AG19">
        <v>0</v>
      </c>
      <c r="AH19">
        <v>0</v>
      </c>
      <c r="AI19">
        <v>0</v>
      </c>
      <c r="AJ19">
        <v>399718116</v>
      </c>
      <c r="AK19">
        <v>0</v>
      </c>
      <c r="AL19">
        <v>30000000</v>
      </c>
      <c r="AM19">
        <v>781328443.52999997</v>
      </c>
      <c r="AN19">
        <v>0</v>
      </c>
      <c r="AO19">
        <v>793554140.17999995</v>
      </c>
      <c r="AP19">
        <v>0</v>
      </c>
      <c r="AQ19">
        <v>9573199.4299999997</v>
      </c>
      <c r="AR19">
        <v>9571919.5299999993</v>
      </c>
      <c r="AS19">
        <v>0</v>
      </c>
      <c r="AT19">
        <v>0</v>
      </c>
      <c r="AU19">
        <v>0</v>
      </c>
      <c r="AV19">
        <v>0</v>
      </c>
      <c r="AW19" t="s">
        <v>172</v>
      </c>
      <c r="AY19" t="s">
        <v>173</v>
      </c>
      <c r="AZ19" t="s">
        <v>1006</v>
      </c>
      <c r="BA19">
        <v>9571919.5299999993</v>
      </c>
      <c r="BB19">
        <v>0</v>
      </c>
      <c r="BC19" t="s">
        <v>9</v>
      </c>
    </row>
    <row r="20" spans="1:55" x14ac:dyDescent="0.2">
      <c r="A20" t="s">
        <v>46</v>
      </c>
      <c r="B20" t="s">
        <v>560</v>
      </c>
      <c r="C20" t="s">
        <v>561</v>
      </c>
      <c r="D20" t="s">
        <v>323</v>
      </c>
      <c r="E20" t="s">
        <v>996</v>
      </c>
      <c r="F20" t="s">
        <v>1007</v>
      </c>
      <c r="G20" t="s">
        <v>1008</v>
      </c>
      <c r="H20" t="s">
        <v>1009</v>
      </c>
      <c r="J20" s="2">
        <v>43377</v>
      </c>
      <c r="K20">
        <v>0</v>
      </c>
      <c r="L20">
        <v>0</v>
      </c>
      <c r="M20">
        <v>0</v>
      </c>
      <c r="N20">
        <v>10024714567.74</v>
      </c>
      <c r="O20">
        <v>8615000000</v>
      </c>
      <c r="P20">
        <v>0</v>
      </c>
      <c r="Q20">
        <v>0</v>
      </c>
      <c r="R20">
        <v>3083213105</v>
      </c>
      <c r="S20">
        <v>88967827.040000007</v>
      </c>
      <c r="T20">
        <v>0</v>
      </c>
      <c r="U20">
        <v>0</v>
      </c>
      <c r="V20">
        <v>0</v>
      </c>
      <c r="W20">
        <v>0</v>
      </c>
      <c r="X20">
        <v>0</v>
      </c>
      <c r="Y20">
        <v>1772039563.73</v>
      </c>
      <c r="Z20">
        <v>2053292491272.05</v>
      </c>
      <c r="AB20" t="s">
        <v>1010</v>
      </c>
      <c r="AC20" t="s">
        <v>1011</v>
      </c>
      <c r="AD20" t="s">
        <v>1012</v>
      </c>
      <c r="AE20">
        <v>3</v>
      </c>
      <c r="AF20" t="s">
        <v>12</v>
      </c>
      <c r="AG20">
        <v>0</v>
      </c>
      <c r="AH20">
        <v>0</v>
      </c>
      <c r="AI20">
        <v>10024714567.74</v>
      </c>
      <c r="AJ20">
        <v>8615000000</v>
      </c>
      <c r="AK20">
        <v>0</v>
      </c>
      <c r="AL20">
        <v>3083213105</v>
      </c>
      <c r="AM20">
        <v>793554140.17999995</v>
      </c>
      <c r="AN20">
        <v>0</v>
      </c>
      <c r="AO20">
        <v>0</v>
      </c>
      <c r="AP20">
        <v>0</v>
      </c>
      <c r="AQ20">
        <v>1772039563.73</v>
      </c>
      <c r="AR20">
        <v>1683071736.6900001</v>
      </c>
      <c r="AS20">
        <v>0</v>
      </c>
      <c r="AT20">
        <v>0</v>
      </c>
      <c r="AU20">
        <v>0</v>
      </c>
      <c r="AV20">
        <v>0</v>
      </c>
      <c r="AW20" t="s">
        <v>172</v>
      </c>
      <c r="AY20" t="s">
        <v>173</v>
      </c>
      <c r="AZ20" t="s">
        <v>1013</v>
      </c>
      <c r="BA20">
        <v>1683070456.79</v>
      </c>
      <c r="BB20">
        <v>0</v>
      </c>
      <c r="BC20" t="s">
        <v>9</v>
      </c>
    </row>
    <row r="21" spans="1:55" x14ac:dyDescent="0.2">
      <c r="A21" t="s">
        <v>46</v>
      </c>
      <c r="B21" t="s">
        <v>560</v>
      </c>
      <c r="C21" t="s">
        <v>561</v>
      </c>
      <c r="D21" t="s">
        <v>323</v>
      </c>
      <c r="E21" t="s">
        <v>996</v>
      </c>
      <c r="F21" t="s">
        <v>1007</v>
      </c>
      <c r="G21" t="s">
        <v>1008</v>
      </c>
      <c r="H21" t="s">
        <v>1009</v>
      </c>
      <c r="J21" s="2">
        <v>43378</v>
      </c>
      <c r="K21">
        <v>0</v>
      </c>
      <c r="L21">
        <v>0</v>
      </c>
      <c r="M21">
        <v>0</v>
      </c>
      <c r="N21">
        <v>40988603.740000002</v>
      </c>
      <c r="O21">
        <v>0</v>
      </c>
      <c r="P21">
        <v>0</v>
      </c>
      <c r="Q21">
        <v>0</v>
      </c>
      <c r="R21">
        <v>0</v>
      </c>
      <c r="S21">
        <v>0</v>
      </c>
      <c r="T21">
        <v>74389981.409999996</v>
      </c>
      <c r="U21">
        <v>0</v>
      </c>
      <c r="V21">
        <v>0</v>
      </c>
      <c r="W21">
        <v>0</v>
      </c>
      <c r="X21">
        <v>0</v>
      </c>
      <c r="Y21">
        <v>1656660978.5799999</v>
      </c>
      <c r="Z21">
        <v>2053292491272.05</v>
      </c>
      <c r="AB21" t="s">
        <v>1010</v>
      </c>
      <c r="AC21" t="s">
        <v>1011</v>
      </c>
      <c r="AD21" t="s">
        <v>1012</v>
      </c>
      <c r="AE21">
        <v>4</v>
      </c>
      <c r="AF21" t="s">
        <v>12</v>
      </c>
      <c r="AG21">
        <v>0</v>
      </c>
      <c r="AH21">
        <v>0</v>
      </c>
      <c r="AI21">
        <v>40988603.740000002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1656660978.5799999</v>
      </c>
      <c r="AR21">
        <v>1656660978.5799999</v>
      </c>
      <c r="AS21">
        <v>0</v>
      </c>
      <c r="AT21">
        <v>0</v>
      </c>
      <c r="AU21">
        <v>0</v>
      </c>
      <c r="AV21">
        <v>0</v>
      </c>
      <c r="AW21" t="s">
        <v>172</v>
      </c>
      <c r="AY21" t="s">
        <v>173</v>
      </c>
      <c r="AZ21" t="s">
        <v>1013</v>
      </c>
      <c r="BA21">
        <v>1642083132.95</v>
      </c>
      <c r="BB21">
        <v>0</v>
      </c>
      <c r="BC21" t="s">
        <v>9</v>
      </c>
    </row>
    <row r="22" spans="1:55" x14ac:dyDescent="0.2">
      <c r="A22" t="s">
        <v>46</v>
      </c>
      <c r="B22" t="s">
        <v>560</v>
      </c>
      <c r="C22" t="s">
        <v>561</v>
      </c>
      <c r="D22" t="s">
        <v>323</v>
      </c>
      <c r="E22" t="s">
        <v>996</v>
      </c>
      <c r="F22" t="s">
        <v>1007</v>
      </c>
      <c r="G22" t="s">
        <v>1008</v>
      </c>
      <c r="H22" t="s">
        <v>1009</v>
      </c>
      <c r="J22" s="2">
        <v>43379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1656660978.5799999</v>
      </c>
      <c r="Z22">
        <v>2053292491272.05</v>
      </c>
      <c r="AB22" t="s">
        <v>1010</v>
      </c>
      <c r="AC22" t="s">
        <v>1011</v>
      </c>
      <c r="AD22" t="s">
        <v>1012</v>
      </c>
      <c r="AE22">
        <v>5</v>
      </c>
      <c r="AF22" t="s">
        <v>12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1656660978.5799999</v>
      </c>
      <c r="AR22">
        <v>1656660978.5799999</v>
      </c>
      <c r="AS22">
        <v>0</v>
      </c>
      <c r="AT22">
        <v>0</v>
      </c>
      <c r="AU22">
        <v>0</v>
      </c>
      <c r="AV22">
        <v>0</v>
      </c>
      <c r="AW22" t="s">
        <v>172</v>
      </c>
      <c r="AY22" t="s">
        <v>173</v>
      </c>
      <c r="AZ22" t="s">
        <v>1013</v>
      </c>
      <c r="BA22">
        <v>0</v>
      </c>
      <c r="BB22">
        <v>0</v>
      </c>
      <c r="BC22" t="s">
        <v>9</v>
      </c>
    </row>
    <row r="23" spans="1:55" x14ac:dyDescent="0.2">
      <c r="A23" t="s">
        <v>46</v>
      </c>
      <c r="B23" t="s">
        <v>560</v>
      </c>
      <c r="C23" t="s">
        <v>561</v>
      </c>
      <c r="D23" t="s">
        <v>323</v>
      </c>
      <c r="E23" t="s">
        <v>996</v>
      </c>
      <c r="F23" t="s">
        <v>1007</v>
      </c>
      <c r="G23" t="s">
        <v>1008</v>
      </c>
      <c r="H23" t="s">
        <v>1009</v>
      </c>
      <c r="J23" s="2">
        <v>43380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1656660978.5799999</v>
      </c>
      <c r="Z23">
        <v>2053292491272.05</v>
      </c>
      <c r="AB23" t="s">
        <v>1010</v>
      </c>
      <c r="AC23" t="s">
        <v>1011</v>
      </c>
      <c r="AD23" t="s">
        <v>1012</v>
      </c>
      <c r="AE23">
        <v>6</v>
      </c>
      <c r="AF23" t="s">
        <v>12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1656660978.5799999</v>
      </c>
      <c r="AR23">
        <v>1656660978.5799999</v>
      </c>
      <c r="AS23">
        <v>0</v>
      </c>
      <c r="AT23">
        <v>0</v>
      </c>
      <c r="AU23">
        <v>0</v>
      </c>
      <c r="AV23">
        <v>0</v>
      </c>
      <c r="AW23" t="s">
        <v>172</v>
      </c>
      <c r="AY23" t="s">
        <v>173</v>
      </c>
      <c r="AZ23" t="s">
        <v>1013</v>
      </c>
      <c r="BA23">
        <v>0</v>
      </c>
      <c r="BB23">
        <v>0</v>
      </c>
      <c r="BC23" t="s">
        <v>9</v>
      </c>
    </row>
    <row r="24" spans="1:55" x14ac:dyDescent="0.2">
      <c r="A24" t="s">
        <v>46</v>
      </c>
      <c r="B24" t="s">
        <v>560</v>
      </c>
      <c r="C24" t="s">
        <v>561</v>
      </c>
      <c r="D24" t="s">
        <v>323</v>
      </c>
      <c r="E24" t="s">
        <v>996</v>
      </c>
      <c r="F24" t="s">
        <v>1007</v>
      </c>
      <c r="G24" t="s">
        <v>1008</v>
      </c>
      <c r="H24" t="s">
        <v>1009</v>
      </c>
      <c r="J24" s="2">
        <v>43381</v>
      </c>
      <c r="K24">
        <v>0</v>
      </c>
      <c r="L24">
        <v>0</v>
      </c>
      <c r="M24">
        <v>0</v>
      </c>
      <c r="N24">
        <v>0</v>
      </c>
      <c r="O24">
        <v>1000000000</v>
      </c>
      <c r="P24">
        <v>2640547.9500000002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2659301526.5300002</v>
      </c>
      <c r="Z24">
        <v>2053292491272.05</v>
      </c>
      <c r="AB24" t="s">
        <v>1010</v>
      </c>
      <c r="AC24" t="s">
        <v>1011</v>
      </c>
      <c r="AD24" t="s">
        <v>1012</v>
      </c>
      <c r="AE24">
        <v>7</v>
      </c>
      <c r="AF24" t="s">
        <v>12</v>
      </c>
      <c r="AG24">
        <v>0</v>
      </c>
      <c r="AH24">
        <v>0</v>
      </c>
      <c r="AI24">
        <v>0</v>
      </c>
      <c r="AJ24">
        <v>1000000000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2659301526.5300002</v>
      </c>
      <c r="AR24">
        <v>2656660978.5799999</v>
      </c>
      <c r="AS24">
        <v>0</v>
      </c>
      <c r="AT24">
        <v>0</v>
      </c>
      <c r="AU24">
        <v>0</v>
      </c>
      <c r="AV24">
        <v>0</v>
      </c>
      <c r="AW24" t="s">
        <v>172</v>
      </c>
      <c r="AY24" t="s">
        <v>173</v>
      </c>
      <c r="AZ24" t="s">
        <v>1013</v>
      </c>
      <c r="BA24">
        <v>2656660978.5799999</v>
      </c>
      <c r="BB24">
        <v>0</v>
      </c>
      <c r="BC24" t="s">
        <v>9</v>
      </c>
    </row>
    <row r="25" spans="1:55" x14ac:dyDescent="0.2">
      <c r="A25" t="s">
        <v>46</v>
      </c>
      <c r="B25" t="s">
        <v>560</v>
      </c>
      <c r="C25" t="s">
        <v>561</v>
      </c>
      <c r="D25" t="s">
        <v>323</v>
      </c>
      <c r="E25" t="s">
        <v>996</v>
      </c>
      <c r="F25" t="s">
        <v>1007</v>
      </c>
      <c r="G25" t="s">
        <v>1008</v>
      </c>
      <c r="H25" t="s">
        <v>1009</v>
      </c>
      <c r="J25" s="2">
        <v>43382</v>
      </c>
      <c r="K25">
        <v>0</v>
      </c>
      <c r="L25">
        <v>0</v>
      </c>
      <c r="M25">
        <v>0</v>
      </c>
      <c r="N25">
        <v>0</v>
      </c>
      <c r="O25">
        <v>2147000000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4806301526.5299997</v>
      </c>
      <c r="Z25">
        <v>2053292491272.05</v>
      </c>
      <c r="AB25" t="s">
        <v>1010</v>
      </c>
      <c r="AC25" t="s">
        <v>1011</v>
      </c>
      <c r="AD25" t="s">
        <v>1012</v>
      </c>
      <c r="AE25">
        <v>8</v>
      </c>
      <c r="AF25" t="s">
        <v>12</v>
      </c>
      <c r="AG25">
        <v>0</v>
      </c>
      <c r="AH25">
        <v>0</v>
      </c>
      <c r="AI25">
        <v>0</v>
      </c>
      <c r="AJ25">
        <v>2147000000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4806301526.5299997</v>
      </c>
      <c r="AR25">
        <v>4806301526.5299997</v>
      </c>
      <c r="AS25">
        <v>0</v>
      </c>
      <c r="AT25">
        <v>0</v>
      </c>
      <c r="AU25">
        <v>0</v>
      </c>
      <c r="AV25">
        <v>0</v>
      </c>
      <c r="AW25" t="s">
        <v>172</v>
      </c>
      <c r="AY25" t="s">
        <v>173</v>
      </c>
      <c r="AZ25" t="s">
        <v>1013</v>
      </c>
      <c r="BA25">
        <v>4803660978.5799999</v>
      </c>
      <c r="BB25">
        <v>0</v>
      </c>
      <c r="BC25" t="s">
        <v>9</v>
      </c>
    </row>
    <row r="26" spans="1:55" x14ac:dyDescent="0.2">
      <c r="A26" t="s">
        <v>46</v>
      </c>
      <c r="B26" t="s">
        <v>560</v>
      </c>
      <c r="C26" t="s">
        <v>561</v>
      </c>
      <c r="D26" t="s">
        <v>323</v>
      </c>
      <c r="E26" t="s">
        <v>996</v>
      </c>
      <c r="F26" t="s">
        <v>1007</v>
      </c>
      <c r="G26" t="s">
        <v>1008</v>
      </c>
      <c r="H26" t="s">
        <v>1009</v>
      </c>
      <c r="J26" s="2">
        <v>43383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4806301526.5299997</v>
      </c>
      <c r="Z26">
        <v>2053292491272.05</v>
      </c>
      <c r="AB26" t="s">
        <v>1010</v>
      </c>
      <c r="AC26" t="s">
        <v>1011</v>
      </c>
      <c r="AD26" t="s">
        <v>1012</v>
      </c>
      <c r="AE26">
        <v>9</v>
      </c>
      <c r="AF26" t="s">
        <v>12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4806301526.5299997</v>
      </c>
      <c r="AR26">
        <v>4806301526.5299997</v>
      </c>
      <c r="AS26">
        <v>0</v>
      </c>
      <c r="AT26">
        <v>0</v>
      </c>
      <c r="AU26">
        <v>0</v>
      </c>
      <c r="AV26">
        <v>0</v>
      </c>
      <c r="AW26" t="s">
        <v>172</v>
      </c>
      <c r="AY26" t="s">
        <v>173</v>
      </c>
      <c r="AZ26" t="s">
        <v>1013</v>
      </c>
      <c r="BA26">
        <v>4806301526.5299997</v>
      </c>
      <c r="BB26">
        <v>0</v>
      </c>
      <c r="BC26" t="s">
        <v>9</v>
      </c>
    </row>
    <row r="27" spans="1:55" x14ac:dyDescent="0.2">
      <c r="A27" t="s">
        <v>46</v>
      </c>
      <c r="B27" t="s">
        <v>560</v>
      </c>
      <c r="C27" t="s">
        <v>561</v>
      </c>
      <c r="D27" t="s">
        <v>323</v>
      </c>
      <c r="E27" t="s">
        <v>996</v>
      </c>
      <c r="F27" t="s">
        <v>1007</v>
      </c>
      <c r="G27" t="s">
        <v>1008</v>
      </c>
      <c r="H27" t="s">
        <v>1009</v>
      </c>
      <c r="J27" s="2">
        <v>43384</v>
      </c>
      <c r="K27">
        <v>0</v>
      </c>
      <c r="L27">
        <v>0</v>
      </c>
      <c r="M27">
        <v>0</v>
      </c>
      <c r="N27">
        <v>0</v>
      </c>
      <c r="O27">
        <v>5577999999.9799995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10384301526.51</v>
      </c>
      <c r="Z27">
        <v>2053292491272.05</v>
      </c>
      <c r="AB27" t="s">
        <v>1010</v>
      </c>
      <c r="AC27" t="s">
        <v>1011</v>
      </c>
      <c r="AD27" t="s">
        <v>1012</v>
      </c>
      <c r="AE27">
        <v>10</v>
      </c>
      <c r="AF27" t="s">
        <v>12</v>
      </c>
      <c r="AG27">
        <v>0</v>
      </c>
      <c r="AH27">
        <v>0</v>
      </c>
      <c r="AI27">
        <v>0</v>
      </c>
      <c r="AJ27">
        <v>5577999999.9799995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10384301526.51</v>
      </c>
      <c r="AR27">
        <v>10384301526.51</v>
      </c>
      <c r="AS27">
        <v>0</v>
      </c>
      <c r="AT27">
        <v>0</v>
      </c>
      <c r="AU27">
        <v>0</v>
      </c>
      <c r="AV27">
        <v>0</v>
      </c>
      <c r="AW27" t="s">
        <v>172</v>
      </c>
      <c r="AY27" t="s">
        <v>173</v>
      </c>
      <c r="AZ27" t="s">
        <v>1013</v>
      </c>
      <c r="BA27">
        <v>10384301526.51</v>
      </c>
      <c r="BB27">
        <v>0</v>
      </c>
      <c r="BC27" t="s">
        <v>9</v>
      </c>
    </row>
    <row r="28" spans="1:55" x14ac:dyDescent="0.2">
      <c r="A28" t="s">
        <v>46</v>
      </c>
      <c r="B28" t="s">
        <v>560</v>
      </c>
      <c r="C28" t="s">
        <v>561</v>
      </c>
      <c r="D28" t="s">
        <v>323</v>
      </c>
      <c r="E28" t="s">
        <v>996</v>
      </c>
      <c r="F28" t="s">
        <v>1007</v>
      </c>
      <c r="G28" t="s">
        <v>1008</v>
      </c>
      <c r="H28" t="s">
        <v>1009</v>
      </c>
      <c r="J28" s="2">
        <v>43385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10384301526.51</v>
      </c>
      <c r="Z28">
        <v>2053292491272.05</v>
      </c>
      <c r="AB28" t="s">
        <v>1010</v>
      </c>
      <c r="AC28" t="s">
        <v>1011</v>
      </c>
      <c r="AD28" t="s">
        <v>1012</v>
      </c>
      <c r="AE28">
        <v>11</v>
      </c>
      <c r="AF28" t="s">
        <v>12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10384301526.51</v>
      </c>
      <c r="AR28">
        <v>10384301526.51</v>
      </c>
      <c r="AS28">
        <v>0</v>
      </c>
      <c r="AT28">
        <v>0</v>
      </c>
      <c r="AU28">
        <v>0</v>
      </c>
      <c r="AV28">
        <v>0</v>
      </c>
      <c r="AW28" t="s">
        <v>172</v>
      </c>
      <c r="AY28" t="s">
        <v>173</v>
      </c>
      <c r="AZ28" t="s">
        <v>1013</v>
      </c>
      <c r="BA28">
        <v>10384301526.51</v>
      </c>
      <c r="BB28">
        <v>0</v>
      </c>
      <c r="BC28" t="s">
        <v>9</v>
      </c>
    </row>
    <row r="29" spans="1:55" x14ac:dyDescent="0.2">
      <c r="A29" t="s">
        <v>46</v>
      </c>
      <c r="B29" t="s">
        <v>560</v>
      </c>
      <c r="C29" t="s">
        <v>561</v>
      </c>
      <c r="D29" t="s">
        <v>323</v>
      </c>
      <c r="E29" t="s">
        <v>996</v>
      </c>
      <c r="F29" t="s">
        <v>1007</v>
      </c>
      <c r="G29" t="s">
        <v>1008</v>
      </c>
      <c r="H29" t="s">
        <v>1009</v>
      </c>
      <c r="J29" s="2">
        <v>43386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10384301526.51</v>
      </c>
      <c r="Z29">
        <v>2053292491272.05</v>
      </c>
      <c r="AB29" t="s">
        <v>1010</v>
      </c>
      <c r="AC29" t="s">
        <v>1011</v>
      </c>
      <c r="AD29" t="s">
        <v>1012</v>
      </c>
      <c r="AE29">
        <v>12</v>
      </c>
      <c r="AF29" t="s">
        <v>12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10384301526.51</v>
      </c>
      <c r="AR29">
        <v>10384301526.51</v>
      </c>
      <c r="AS29">
        <v>0</v>
      </c>
      <c r="AT29">
        <v>0</v>
      </c>
      <c r="AU29">
        <v>0</v>
      </c>
      <c r="AV29">
        <v>0</v>
      </c>
      <c r="AW29" t="s">
        <v>172</v>
      </c>
      <c r="AY29" t="s">
        <v>173</v>
      </c>
      <c r="AZ29" t="s">
        <v>1013</v>
      </c>
      <c r="BA29">
        <v>0</v>
      </c>
      <c r="BB29">
        <v>0</v>
      </c>
      <c r="BC29" t="s">
        <v>9</v>
      </c>
    </row>
    <row r="30" spans="1:55" x14ac:dyDescent="0.2">
      <c r="A30" t="s">
        <v>46</v>
      </c>
      <c r="B30" t="s">
        <v>560</v>
      </c>
      <c r="C30" t="s">
        <v>561</v>
      </c>
      <c r="D30" t="s">
        <v>323</v>
      </c>
      <c r="E30" t="s">
        <v>996</v>
      </c>
      <c r="F30" t="s">
        <v>1007</v>
      </c>
      <c r="G30" t="s">
        <v>1008</v>
      </c>
      <c r="H30" t="s">
        <v>1009</v>
      </c>
      <c r="J30" s="2">
        <v>43387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10384301526.51</v>
      </c>
      <c r="Z30">
        <v>2053292491272.05</v>
      </c>
      <c r="AB30" t="s">
        <v>1010</v>
      </c>
      <c r="AC30" t="s">
        <v>1011</v>
      </c>
      <c r="AD30" t="s">
        <v>1012</v>
      </c>
      <c r="AE30">
        <v>13</v>
      </c>
      <c r="AF30" t="s">
        <v>12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10384301526.51</v>
      </c>
      <c r="AR30">
        <v>10384301526.51</v>
      </c>
      <c r="AS30">
        <v>0</v>
      </c>
      <c r="AT30">
        <v>0</v>
      </c>
      <c r="AU30">
        <v>0</v>
      </c>
      <c r="AV30">
        <v>0</v>
      </c>
      <c r="AW30" t="s">
        <v>172</v>
      </c>
      <c r="AY30" t="s">
        <v>173</v>
      </c>
      <c r="AZ30" t="s">
        <v>1013</v>
      </c>
      <c r="BA30">
        <v>0</v>
      </c>
      <c r="BB30">
        <v>0</v>
      </c>
      <c r="BC30" t="s">
        <v>9</v>
      </c>
    </row>
    <row r="31" spans="1:55" x14ac:dyDescent="0.2">
      <c r="A31" t="s">
        <v>46</v>
      </c>
      <c r="B31" t="s">
        <v>560</v>
      </c>
      <c r="C31" t="s">
        <v>561</v>
      </c>
      <c r="D31" t="s">
        <v>323</v>
      </c>
      <c r="E31" t="s">
        <v>996</v>
      </c>
      <c r="F31" t="s">
        <v>1007</v>
      </c>
      <c r="G31" t="s">
        <v>1008</v>
      </c>
      <c r="H31" t="s">
        <v>1009</v>
      </c>
      <c r="J31" s="2">
        <v>43388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10384301526.51</v>
      </c>
      <c r="Z31">
        <v>2053292491272.05</v>
      </c>
      <c r="AB31" t="s">
        <v>1010</v>
      </c>
      <c r="AC31" t="s">
        <v>1011</v>
      </c>
      <c r="AD31" t="s">
        <v>1012</v>
      </c>
      <c r="AE31">
        <v>14</v>
      </c>
      <c r="AF31" t="s">
        <v>12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10384301526.51</v>
      </c>
      <c r="AR31">
        <v>10384301526.51</v>
      </c>
      <c r="AS31">
        <v>0</v>
      </c>
      <c r="AT31">
        <v>0</v>
      </c>
      <c r="AU31">
        <v>0</v>
      </c>
      <c r="AV31">
        <v>0</v>
      </c>
      <c r="AW31" t="s">
        <v>172</v>
      </c>
      <c r="AY31" t="s">
        <v>173</v>
      </c>
      <c r="AZ31" t="s">
        <v>1013</v>
      </c>
      <c r="BA31">
        <v>0</v>
      </c>
      <c r="BB31">
        <v>0</v>
      </c>
      <c r="BC31" t="s">
        <v>9</v>
      </c>
    </row>
    <row r="32" spans="1:55" x14ac:dyDescent="0.2">
      <c r="A32" t="s">
        <v>46</v>
      </c>
      <c r="B32" t="s">
        <v>560</v>
      </c>
      <c r="C32" t="s">
        <v>561</v>
      </c>
      <c r="D32" t="s">
        <v>323</v>
      </c>
      <c r="E32" t="s">
        <v>996</v>
      </c>
      <c r="F32" t="s">
        <v>1007</v>
      </c>
      <c r="G32" t="s">
        <v>1008</v>
      </c>
      <c r="H32" t="s">
        <v>1009</v>
      </c>
      <c r="J32" s="2">
        <v>43389</v>
      </c>
      <c r="K32">
        <v>0</v>
      </c>
      <c r="L32">
        <v>0</v>
      </c>
      <c r="M32">
        <v>0</v>
      </c>
      <c r="N32">
        <v>0</v>
      </c>
      <c r="O32">
        <v>5274000000</v>
      </c>
      <c r="P32">
        <v>0</v>
      </c>
      <c r="Q32">
        <v>0</v>
      </c>
      <c r="R32">
        <v>2912130000</v>
      </c>
      <c r="S32">
        <v>48742584.799999997</v>
      </c>
      <c r="T32">
        <v>0</v>
      </c>
      <c r="U32">
        <v>0</v>
      </c>
      <c r="V32">
        <v>0</v>
      </c>
      <c r="W32">
        <v>0</v>
      </c>
      <c r="X32">
        <v>0</v>
      </c>
      <c r="Y32">
        <v>18619174111.310001</v>
      </c>
      <c r="Z32">
        <v>2050380361272.05</v>
      </c>
      <c r="AB32" t="s">
        <v>1010</v>
      </c>
      <c r="AC32" t="s">
        <v>1011</v>
      </c>
      <c r="AD32" t="s">
        <v>1012</v>
      </c>
      <c r="AE32">
        <v>15</v>
      </c>
      <c r="AF32" t="s">
        <v>12</v>
      </c>
      <c r="AG32">
        <v>0</v>
      </c>
      <c r="AH32">
        <v>0</v>
      </c>
      <c r="AI32">
        <v>0</v>
      </c>
      <c r="AJ32">
        <v>5274000000</v>
      </c>
      <c r="AK32">
        <v>0</v>
      </c>
      <c r="AL32">
        <v>2912130000</v>
      </c>
      <c r="AM32">
        <v>0</v>
      </c>
      <c r="AN32">
        <v>0</v>
      </c>
      <c r="AO32">
        <v>0</v>
      </c>
      <c r="AP32">
        <v>0</v>
      </c>
      <c r="AQ32">
        <v>18619174111.310001</v>
      </c>
      <c r="AR32">
        <v>18570431526.509998</v>
      </c>
      <c r="AS32">
        <v>0</v>
      </c>
      <c r="AT32">
        <v>0</v>
      </c>
      <c r="AU32">
        <v>0</v>
      </c>
      <c r="AV32">
        <v>0</v>
      </c>
      <c r="AW32" t="s">
        <v>172</v>
      </c>
      <c r="AY32" t="s">
        <v>173</v>
      </c>
      <c r="AZ32" t="s">
        <v>1013</v>
      </c>
      <c r="BA32">
        <v>18570431526.509998</v>
      </c>
      <c r="BB32">
        <v>0</v>
      </c>
      <c r="BC32" t="s">
        <v>9</v>
      </c>
    </row>
    <row r="33" spans="1:55" x14ac:dyDescent="0.2">
      <c r="A33" t="s">
        <v>46</v>
      </c>
      <c r="B33" t="s">
        <v>560</v>
      </c>
      <c r="C33" t="s">
        <v>561</v>
      </c>
      <c r="D33" t="s">
        <v>323</v>
      </c>
      <c r="E33" t="s">
        <v>996</v>
      </c>
      <c r="F33" t="s">
        <v>1007</v>
      </c>
      <c r="G33" t="s">
        <v>1008</v>
      </c>
      <c r="H33" t="s">
        <v>1009</v>
      </c>
      <c r="J33" s="2">
        <v>43390</v>
      </c>
      <c r="K33">
        <v>0</v>
      </c>
      <c r="L33">
        <v>0</v>
      </c>
      <c r="M33">
        <v>0</v>
      </c>
      <c r="N33">
        <v>0</v>
      </c>
      <c r="O33">
        <v>70000000</v>
      </c>
      <c r="P33">
        <v>1589843.84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18690763955.150002</v>
      </c>
      <c r="Z33">
        <v>2050380361272.05</v>
      </c>
      <c r="AB33" t="s">
        <v>1010</v>
      </c>
      <c r="AC33" t="s">
        <v>1011</v>
      </c>
      <c r="AD33" t="s">
        <v>1012</v>
      </c>
      <c r="AE33">
        <v>16</v>
      </c>
      <c r="AF33" t="s">
        <v>12</v>
      </c>
      <c r="AG33">
        <v>0</v>
      </c>
      <c r="AH33">
        <v>0</v>
      </c>
      <c r="AI33">
        <v>0</v>
      </c>
      <c r="AJ33">
        <v>70000000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18690763955.150002</v>
      </c>
      <c r="AR33">
        <v>18689174111.310001</v>
      </c>
      <c r="AS33">
        <v>0</v>
      </c>
      <c r="AT33">
        <v>0</v>
      </c>
      <c r="AU33">
        <v>0</v>
      </c>
      <c r="AV33">
        <v>0</v>
      </c>
      <c r="AW33" t="s">
        <v>172</v>
      </c>
      <c r="AY33" t="s">
        <v>173</v>
      </c>
      <c r="AZ33" t="s">
        <v>1013</v>
      </c>
      <c r="BA33">
        <v>18640431526.509998</v>
      </c>
      <c r="BB33">
        <v>0</v>
      </c>
      <c r="BC33" t="s">
        <v>9</v>
      </c>
    </row>
    <row r="34" spans="1:55" x14ac:dyDescent="0.2">
      <c r="A34" t="s">
        <v>54</v>
      </c>
      <c r="B34" t="s">
        <v>983</v>
      </c>
      <c r="C34" t="s">
        <v>984</v>
      </c>
      <c r="D34" t="s">
        <v>47</v>
      </c>
      <c r="E34" t="s">
        <v>165</v>
      </c>
      <c r="F34" t="s">
        <v>1014</v>
      </c>
      <c r="G34" t="s">
        <v>1015</v>
      </c>
      <c r="H34" t="s">
        <v>1016</v>
      </c>
      <c r="J34" s="2">
        <v>43375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43072388.549999997</v>
      </c>
      <c r="V34">
        <v>0</v>
      </c>
      <c r="W34">
        <v>45685.95</v>
      </c>
      <c r="X34">
        <v>0</v>
      </c>
      <c r="Y34">
        <v>0</v>
      </c>
      <c r="Z34">
        <v>0</v>
      </c>
      <c r="AB34" t="s">
        <v>1002</v>
      </c>
      <c r="AC34" t="s">
        <v>1003</v>
      </c>
      <c r="AD34" t="s">
        <v>1004</v>
      </c>
      <c r="AE34">
        <v>1</v>
      </c>
      <c r="AF34" t="s">
        <v>12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43072388.549999997</v>
      </c>
      <c r="AP34">
        <v>0</v>
      </c>
      <c r="AQ34">
        <v>-45685.95</v>
      </c>
      <c r="AR34">
        <v>-45685.95</v>
      </c>
      <c r="AS34">
        <v>0</v>
      </c>
      <c r="AT34">
        <v>0</v>
      </c>
      <c r="AU34">
        <v>0</v>
      </c>
      <c r="AV34">
        <v>0</v>
      </c>
      <c r="AW34" t="s">
        <v>172</v>
      </c>
      <c r="AY34" t="s">
        <v>173</v>
      </c>
      <c r="AZ34" t="s">
        <v>1017</v>
      </c>
      <c r="BA34">
        <v>-45685.95</v>
      </c>
      <c r="BB34">
        <v>0</v>
      </c>
      <c r="BC34" t="s">
        <v>9</v>
      </c>
    </row>
    <row r="35" spans="1:55" x14ac:dyDescent="0.2">
      <c r="A35" t="s">
        <v>54</v>
      </c>
      <c r="B35" t="s">
        <v>983</v>
      </c>
      <c r="C35" t="s">
        <v>984</v>
      </c>
      <c r="D35" t="s">
        <v>47</v>
      </c>
      <c r="E35" t="s">
        <v>165</v>
      </c>
      <c r="F35" t="s">
        <v>1014</v>
      </c>
      <c r="G35" t="s">
        <v>1015</v>
      </c>
      <c r="H35" t="s">
        <v>1016</v>
      </c>
      <c r="J35" s="2">
        <v>43376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15000000</v>
      </c>
      <c r="R35">
        <v>0</v>
      </c>
      <c r="S35">
        <v>0</v>
      </c>
      <c r="T35">
        <v>0</v>
      </c>
      <c r="U35">
        <v>14446618.710000001</v>
      </c>
      <c r="V35">
        <v>3347631.72</v>
      </c>
      <c r="W35">
        <v>729656.2</v>
      </c>
      <c r="X35">
        <v>1347999.57</v>
      </c>
      <c r="Y35">
        <v>2361430.83</v>
      </c>
      <c r="Z35">
        <v>228275021.05000001</v>
      </c>
      <c r="AB35" t="s">
        <v>1002</v>
      </c>
      <c r="AC35" t="s">
        <v>1003</v>
      </c>
      <c r="AD35" t="s">
        <v>1004</v>
      </c>
      <c r="AE35">
        <v>2</v>
      </c>
      <c r="AF35" t="s">
        <v>12</v>
      </c>
      <c r="AG35">
        <v>0</v>
      </c>
      <c r="AH35">
        <v>0</v>
      </c>
      <c r="AI35">
        <v>0</v>
      </c>
      <c r="AJ35">
        <v>0</v>
      </c>
      <c r="AK35">
        <v>15000000</v>
      </c>
      <c r="AL35">
        <v>0</v>
      </c>
      <c r="AM35">
        <v>43072388.549999997</v>
      </c>
      <c r="AN35">
        <v>0</v>
      </c>
      <c r="AO35">
        <v>14446618.710000001</v>
      </c>
      <c r="AP35">
        <v>0</v>
      </c>
      <c r="AQ35">
        <v>1631774.63</v>
      </c>
      <c r="AR35">
        <v>1586088.68</v>
      </c>
      <c r="AS35">
        <v>0</v>
      </c>
      <c r="AT35">
        <v>0</v>
      </c>
      <c r="AU35">
        <v>45685.95</v>
      </c>
      <c r="AV35">
        <v>0</v>
      </c>
      <c r="AW35" t="s">
        <v>172</v>
      </c>
      <c r="AY35" t="s">
        <v>173</v>
      </c>
      <c r="AZ35" t="s">
        <v>174</v>
      </c>
      <c r="BA35">
        <v>1586088.68</v>
      </c>
      <c r="BB35">
        <v>0</v>
      </c>
      <c r="BC35" t="s">
        <v>9</v>
      </c>
    </row>
    <row r="36" spans="1:55" x14ac:dyDescent="0.2">
      <c r="A36" t="s">
        <v>54</v>
      </c>
      <c r="B36" t="s">
        <v>983</v>
      </c>
      <c r="C36" t="s">
        <v>984</v>
      </c>
      <c r="D36" t="s">
        <v>47</v>
      </c>
      <c r="E36" t="s">
        <v>165</v>
      </c>
      <c r="F36" t="s">
        <v>1014</v>
      </c>
      <c r="G36" t="s">
        <v>1015</v>
      </c>
      <c r="H36" t="s">
        <v>1016</v>
      </c>
      <c r="J36" s="2">
        <v>43377</v>
      </c>
      <c r="K36">
        <v>0</v>
      </c>
      <c r="L36">
        <v>0</v>
      </c>
      <c r="M36">
        <v>0</v>
      </c>
      <c r="N36">
        <v>149444608.02000001</v>
      </c>
      <c r="O36">
        <v>159995629.30000001</v>
      </c>
      <c r="P36">
        <v>0</v>
      </c>
      <c r="Q36">
        <v>0</v>
      </c>
      <c r="R36">
        <v>0</v>
      </c>
      <c r="S36">
        <v>0</v>
      </c>
      <c r="T36">
        <v>0</v>
      </c>
      <c r="U36">
        <v>7848176.3200000003</v>
      </c>
      <c r="V36">
        <v>33231959.260000002</v>
      </c>
      <c r="W36">
        <v>0</v>
      </c>
      <c r="X36">
        <v>187213.93</v>
      </c>
      <c r="Y36">
        <v>-12658544.76</v>
      </c>
      <c r="Z36">
        <v>228275021.05000001</v>
      </c>
      <c r="AB36" t="s">
        <v>1002</v>
      </c>
      <c r="AC36" t="s">
        <v>1003</v>
      </c>
      <c r="AD36" t="s">
        <v>1004</v>
      </c>
      <c r="AE36">
        <v>3</v>
      </c>
      <c r="AF36" t="s">
        <v>12</v>
      </c>
      <c r="AG36">
        <v>0</v>
      </c>
      <c r="AH36">
        <v>0</v>
      </c>
      <c r="AI36">
        <v>149444608.02000001</v>
      </c>
      <c r="AJ36">
        <v>159995629.30000001</v>
      </c>
      <c r="AK36">
        <v>0</v>
      </c>
      <c r="AL36">
        <v>0</v>
      </c>
      <c r="AM36">
        <v>14446618.710000001</v>
      </c>
      <c r="AN36">
        <v>0</v>
      </c>
      <c r="AO36">
        <v>7848176.3200000003</v>
      </c>
      <c r="AP36">
        <v>0</v>
      </c>
      <c r="AQ36">
        <v>-12658544.76</v>
      </c>
      <c r="AR36">
        <v>-13388200.960000001</v>
      </c>
      <c r="AS36">
        <v>45685.95</v>
      </c>
      <c r="AT36">
        <v>0</v>
      </c>
      <c r="AU36">
        <v>729656.2</v>
      </c>
      <c r="AV36">
        <v>0</v>
      </c>
      <c r="AW36" t="s">
        <v>172</v>
      </c>
      <c r="AY36" t="s">
        <v>173</v>
      </c>
      <c r="AZ36" t="s">
        <v>174</v>
      </c>
      <c r="BA36">
        <v>0</v>
      </c>
      <c r="BB36">
        <v>0</v>
      </c>
      <c r="BC36" t="s">
        <v>9</v>
      </c>
    </row>
    <row r="37" spans="1:55" x14ac:dyDescent="0.2">
      <c r="A37" t="s">
        <v>54</v>
      </c>
      <c r="B37" t="s">
        <v>983</v>
      </c>
      <c r="C37" t="s">
        <v>984</v>
      </c>
      <c r="D37" t="s">
        <v>47</v>
      </c>
      <c r="E37" t="s">
        <v>165</v>
      </c>
      <c r="F37" t="s">
        <v>1014</v>
      </c>
      <c r="G37" t="s">
        <v>1015</v>
      </c>
      <c r="H37" t="s">
        <v>1016</v>
      </c>
      <c r="J37" s="2">
        <v>43378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2518344.9300000002</v>
      </c>
      <c r="U37">
        <v>0</v>
      </c>
      <c r="V37">
        <v>0</v>
      </c>
      <c r="W37">
        <v>0</v>
      </c>
      <c r="X37">
        <v>0</v>
      </c>
      <c r="Y37">
        <v>-15176889.689999999</v>
      </c>
      <c r="Z37">
        <v>228275021.05000001</v>
      </c>
      <c r="AB37" t="s">
        <v>1002</v>
      </c>
      <c r="AC37" t="s">
        <v>1003</v>
      </c>
      <c r="AD37" t="s">
        <v>1004</v>
      </c>
      <c r="AE37">
        <v>4</v>
      </c>
      <c r="AF37" t="s">
        <v>12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7848176.3200000003</v>
      </c>
      <c r="AN37">
        <v>0</v>
      </c>
      <c r="AO37">
        <v>0</v>
      </c>
      <c r="AP37">
        <v>0</v>
      </c>
      <c r="AQ37">
        <v>-15176889.689999999</v>
      </c>
      <c r="AR37">
        <v>-15176889.689999999</v>
      </c>
      <c r="AS37">
        <v>729656.2</v>
      </c>
      <c r="AT37">
        <v>0</v>
      </c>
      <c r="AU37">
        <v>0</v>
      </c>
      <c r="AV37">
        <v>0</v>
      </c>
      <c r="AW37" t="s">
        <v>172</v>
      </c>
      <c r="AY37" t="s">
        <v>173</v>
      </c>
      <c r="AZ37" t="s">
        <v>174</v>
      </c>
      <c r="BA37">
        <v>0</v>
      </c>
      <c r="BB37">
        <v>0</v>
      </c>
      <c r="BC37" t="s">
        <v>9</v>
      </c>
    </row>
    <row r="38" spans="1:55" x14ac:dyDescent="0.2">
      <c r="A38" t="s">
        <v>54</v>
      </c>
      <c r="B38" t="s">
        <v>983</v>
      </c>
      <c r="C38" t="s">
        <v>984</v>
      </c>
      <c r="D38" t="s">
        <v>47</v>
      </c>
      <c r="E38" t="s">
        <v>165</v>
      </c>
      <c r="F38" t="s">
        <v>1014</v>
      </c>
      <c r="G38" t="s">
        <v>1015</v>
      </c>
      <c r="H38" t="s">
        <v>1016</v>
      </c>
      <c r="J38" s="2">
        <v>43379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-15176889.689999999</v>
      </c>
      <c r="Z38">
        <v>228275021.05000001</v>
      </c>
      <c r="AB38" t="s">
        <v>1002</v>
      </c>
      <c r="AC38" t="s">
        <v>1003</v>
      </c>
      <c r="AD38" t="s">
        <v>1004</v>
      </c>
      <c r="AE38">
        <v>5</v>
      </c>
      <c r="AF38" t="s">
        <v>12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-15176889.689999999</v>
      </c>
      <c r="AR38">
        <v>-15176889.689999999</v>
      </c>
      <c r="AS38">
        <v>0</v>
      </c>
      <c r="AT38">
        <v>0</v>
      </c>
      <c r="AU38">
        <v>0</v>
      </c>
      <c r="AV38">
        <v>0</v>
      </c>
      <c r="AW38" t="s">
        <v>172</v>
      </c>
      <c r="AY38" t="s">
        <v>173</v>
      </c>
      <c r="AZ38" t="s">
        <v>174</v>
      </c>
      <c r="BA38">
        <v>0</v>
      </c>
      <c r="BB38">
        <v>0</v>
      </c>
      <c r="BC38" t="s">
        <v>9</v>
      </c>
    </row>
    <row r="39" spans="1:55" x14ac:dyDescent="0.2">
      <c r="A39" t="s">
        <v>54</v>
      </c>
      <c r="B39" t="s">
        <v>983</v>
      </c>
      <c r="C39" t="s">
        <v>984</v>
      </c>
      <c r="D39" t="s">
        <v>47</v>
      </c>
      <c r="E39" t="s">
        <v>165</v>
      </c>
      <c r="F39" t="s">
        <v>1014</v>
      </c>
      <c r="G39" t="s">
        <v>1015</v>
      </c>
      <c r="H39" t="s">
        <v>1016</v>
      </c>
      <c r="J39" s="2">
        <v>43380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-15176889.689999999</v>
      </c>
      <c r="Z39">
        <v>228275021.05000001</v>
      </c>
      <c r="AB39" t="s">
        <v>1002</v>
      </c>
      <c r="AC39" t="s">
        <v>1003</v>
      </c>
      <c r="AD39" t="s">
        <v>1004</v>
      </c>
      <c r="AE39">
        <v>6</v>
      </c>
      <c r="AF39" t="s">
        <v>12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-15176889.689999999</v>
      </c>
      <c r="AR39">
        <v>-15176889.689999999</v>
      </c>
      <c r="AS39">
        <v>0</v>
      </c>
      <c r="AT39">
        <v>0</v>
      </c>
      <c r="AU39">
        <v>0</v>
      </c>
      <c r="AV39">
        <v>0</v>
      </c>
      <c r="AW39" t="s">
        <v>172</v>
      </c>
      <c r="AY39" t="s">
        <v>173</v>
      </c>
      <c r="AZ39" t="s">
        <v>174</v>
      </c>
      <c r="BA39">
        <v>0</v>
      </c>
      <c r="BB39">
        <v>0</v>
      </c>
      <c r="BC39" t="s">
        <v>9</v>
      </c>
    </row>
    <row r="40" spans="1:55" x14ac:dyDescent="0.2">
      <c r="A40" t="s">
        <v>54</v>
      </c>
      <c r="B40" t="s">
        <v>983</v>
      </c>
      <c r="C40" t="s">
        <v>984</v>
      </c>
      <c r="D40" t="s">
        <v>47</v>
      </c>
      <c r="E40" t="s">
        <v>165</v>
      </c>
      <c r="F40" t="s">
        <v>1014</v>
      </c>
      <c r="G40" t="s">
        <v>1015</v>
      </c>
      <c r="H40" t="s">
        <v>1016</v>
      </c>
      <c r="J40" s="2">
        <v>43381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-15176889.689999999</v>
      </c>
      <c r="Z40">
        <v>228275021.05000001</v>
      </c>
      <c r="AB40" t="s">
        <v>1002</v>
      </c>
      <c r="AC40" t="s">
        <v>1003</v>
      </c>
      <c r="AD40" t="s">
        <v>1004</v>
      </c>
      <c r="AE40">
        <v>7</v>
      </c>
      <c r="AF40" t="s">
        <v>12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-15176889.689999999</v>
      </c>
      <c r="AR40">
        <v>-15176889.689999999</v>
      </c>
      <c r="AS40">
        <v>0</v>
      </c>
      <c r="AT40">
        <v>0</v>
      </c>
      <c r="AU40">
        <v>0</v>
      </c>
      <c r="AV40">
        <v>0</v>
      </c>
      <c r="AW40" t="s">
        <v>172</v>
      </c>
      <c r="AY40" t="s">
        <v>173</v>
      </c>
      <c r="AZ40" t="s">
        <v>174</v>
      </c>
      <c r="BA40">
        <v>0</v>
      </c>
      <c r="BB40">
        <v>0</v>
      </c>
      <c r="BC40" t="s">
        <v>9</v>
      </c>
    </row>
    <row r="41" spans="1:55" x14ac:dyDescent="0.2">
      <c r="A41" t="s">
        <v>54</v>
      </c>
      <c r="B41" t="s">
        <v>983</v>
      </c>
      <c r="C41" t="s">
        <v>984</v>
      </c>
      <c r="D41" t="s">
        <v>47</v>
      </c>
      <c r="E41" t="s">
        <v>165</v>
      </c>
      <c r="F41" t="s">
        <v>1014</v>
      </c>
      <c r="G41" t="s">
        <v>1015</v>
      </c>
      <c r="H41" t="s">
        <v>1016</v>
      </c>
      <c r="J41" s="2">
        <v>43382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-15176889.689999999</v>
      </c>
      <c r="Z41">
        <v>228275021.05000001</v>
      </c>
      <c r="AB41" t="s">
        <v>1002</v>
      </c>
      <c r="AC41" t="s">
        <v>1003</v>
      </c>
      <c r="AD41" t="s">
        <v>1004</v>
      </c>
      <c r="AE41">
        <v>8</v>
      </c>
      <c r="AF41" t="s">
        <v>12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-15176889.689999999</v>
      </c>
      <c r="AR41">
        <v>-15176889.689999999</v>
      </c>
      <c r="AS41">
        <v>0</v>
      </c>
      <c r="AT41">
        <v>0</v>
      </c>
      <c r="AU41">
        <v>0</v>
      </c>
      <c r="AV41">
        <v>0</v>
      </c>
      <c r="AW41" t="s">
        <v>172</v>
      </c>
      <c r="AY41" t="s">
        <v>173</v>
      </c>
      <c r="AZ41" t="s">
        <v>174</v>
      </c>
      <c r="BA41">
        <v>0</v>
      </c>
      <c r="BB41">
        <v>0</v>
      </c>
      <c r="BC41" t="s">
        <v>9</v>
      </c>
    </row>
    <row r="42" spans="1:55" x14ac:dyDescent="0.2">
      <c r="A42" t="s">
        <v>54</v>
      </c>
      <c r="B42" t="s">
        <v>983</v>
      </c>
      <c r="C42" t="s">
        <v>984</v>
      </c>
      <c r="D42" t="s">
        <v>47</v>
      </c>
      <c r="E42" t="s">
        <v>165</v>
      </c>
      <c r="F42" t="s">
        <v>1014</v>
      </c>
      <c r="G42" t="s">
        <v>1015</v>
      </c>
      <c r="H42" t="s">
        <v>1016</v>
      </c>
      <c r="J42" s="2">
        <v>43383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-15176889.689999999</v>
      </c>
      <c r="Z42">
        <v>228275021.05000001</v>
      </c>
      <c r="AB42" t="s">
        <v>1002</v>
      </c>
      <c r="AC42" t="s">
        <v>1003</v>
      </c>
      <c r="AD42" t="s">
        <v>1004</v>
      </c>
      <c r="AE42">
        <v>9</v>
      </c>
      <c r="AF42" t="s">
        <v>12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-15176889.689999999</v>
      </c>
      <c r="AR42">
        <v>-15176889.689999999</v>
      </c>
      <c r="AS42">
        <v>0</v>
      </c>
      <c r="AT42">
        <v>0</v>
      </c>
      <c r="AU42">
        <v>0</v>
      </c>
      <c r="AV42">
        <v>0</v>
      </c>
      <c r="AW42" t="s">
        <v>172</v>
      </c>
      <c r="AY42" t="s">
        <v>173</v>
      </c>
      <c r="AZ42" t="s">
        <v>174</v>
      </c>
      <c r="BA42">
        <v>0</v>
      </c>
      <c r="BB42">
        <v>0</v>
      </c>
      <c r="BC42" t="s">
        <v>9</v>
      </c>
    </row>
    <row r="43" spans="1:55" x14ac:dyDescent="0.2">
      <c r="A43" t="s">
        <v>54</v>
      </c>
      <c r="B43" t="s">
        <v>983</v>
      </c>
      <c r="C43" t="s">
        <v>984</v>
      </c>
      <c r="D43" t="s">
        <v>47</v>
      </c>
      <c r="E43" t="s">
        <v>165</v>
      </c>
      <c r="F43" t="s">
        <v>1014</v>
      </c>
      <c r="G43" t="s">
        <v>1015</v>
      </c>
      <c r="H43" t="s">
        <v>1016</v>
      </c>
      <c r="J43" s="2">
        <v>43384</v>
      </c>
      <c r="K43">
        <v>0</v>
      </c>
      <c r="L43">
        <v>0</v>
      </c>
      <c r="M43">
        <v>0</v>
      </c>
      <c r="N43">
        <v>0</v>
      </c>
      <c r="O43">
        <v>238000000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222823110.31</v>
      </c>
      <c r="Z43">
        <v>228275021.05000001</v>
      </c>
      <c r="AB43" t="s">
        <v>1002</v>
      </c>
      <c r="AC43" t="s">
        <v>1003</v>
      </c>
      <c r="AD43" t="s">
        <v>1004</v>
      </c>
      <c r="AE43">
        <v>10</v>
      </c>
      <c r="AF43" t="s">
        <v>12</v>
      </c>
      <c r="AG43">
        <v>0</v>
      </c>
      <c r="AH43">
        <v>0</v>
      </c>
      <c r="AI43">
        <v>0</v>
      </c>
      <c r="AJ43">
        <v>238000000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222823110.31</v>
      </c>
      <c r="AR43">
        <v>222823110.31</v>
      </c>
      <c r="AS43">
        <v>0</v>
      </c>
      <c r="AT43">
        <v>0</v>
      </c>
      <c r="AU43">
        <v>0</v>
      </c>
      <c r="AV43">
        <v>0</v>
      </c>
      <c r="AW43" t="s">
        <v>172</v>
      </c>
      <c r="AY43" t="s">
        <v>173</v>
      </c>
      <c r="AZ43" t="s">
        <v>174</v>
      </c>
      <c r="BA43">
        <v>222823110.31</v>
      </c>
      <c r="BB43">
        <v>0</v>
      </c>
      <c r="BC43" t="s">
        <v>9</v>
      </c>
    </row>
    <row r="44" spans="1:55" x14ac:dyDescent="0.2">
      <c r="A44" t="s">
        <v>54</v>
      </c>
      <c r="B44" t="s">
        <v>983</v>
      </c>
      <c r="C44" t="s">
        <v>984</v>
      </c>
      <c r="D44" t="s">
        <v>47</v>
      </c>
      <c r="E44" t="s">
        <v>165</v>
      </c>
      <c r="F44" t="s">
        <v>1014</v>
      </c>
      <c r="G44" t="s">
        <v>1015</v>
      </c>
      <c r="H44" t="s">
        <v>1016</v>
      </c>
      <c r="J44" s="2">
        <v>43385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222823110.31</v>
      </c>
      <c r="Z44">
        <v>228275021.05000001</v>
      </c>
      <c r="AB44" t="s">
        <v>1002</v>
      </c>
      <c r="AC44" t="s">
        <v>1003</v>
      </c>
      <c r="AD44" t="s">
        <v>1004</v>
      </c>
      <c r="AE44">
        <v>11</v>
      </c>
      <c r="AF44" t="s">
        <v>12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222823110.31</v>
      </c>
      <c r="AR44">
        <v>222823110.31</v>
      </c>
      <c r="AS44">
        <v>0</v>
      </c>
      <c r="AT44">
        <v>0</v>
      </c>
      <c r="AU44">
        <v>0</v>
      </c>
      <c r="AV44">
        <v>0</v>
      </c>
      <c r="AW44" t="s">
        <v>172</v>
      </c>
      <c r="AY44" t="s">
        <v>173</v>
      </c>
      <c r="AZ44" t="s">
        <v>174</v>
      </c>
      <c r="BA44">
        <v>222823110.31</v>
      </c>
      <c r="BB44">
        <v>0</v>
      </c>
      <c r="BC44" t="s">
        <v>9</v>
      </c>
    </row>
    <row r="45" spans="1:55" x14ac:dyDescent="0.2">
      <c r="A45" t="s">
        <v>54</v>
      </c>
      <c r="B45" t="s">
        <v>983</v>
      </c>
      <c r="C45" t="s">
        <v>984</v>
      </c>
      <c r="D45" t="s">
        <v>47</v>
      </c>
      <c r="E45" t="s">
        <v>165</v>
      </c>
      <c r="F45" t="s">
        <v>1014</v>
      </c>
      <c r="G45" t="s">
        <v>1015</v>
      </c>
      <c r="H45" t="s">
        <v>1016</v>
      </c>
      <c r="J45" s="2">
        <v>43386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222823110.31</v>
      </c>
      <c r="Z45">
        <v>228275021.05000001</v>
      </c>
      <c r="AB45" t="s">
        <v>1002</v>
      </c>
      <c r="AC45" t="s">
        <v>1003</v>
      </c>
      <c r="AD45" t="s">
        <v>1004</v>
      </c>
      <c r="AE45">
        <v>12</v>
      </c>
      <c r="AF45" t="s">
        <v>12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222823110.31</v>
      </c>
      <c r="AR45">
        <v>222823110.31</v>
      </c>
      <c r="AS45">
        <v>0</v>
      </c>
      <c r="AT45">
        <v>0</v>
      </c>
      <c r="AU45">
        <v>0</v>
      </c>
      <c r="AV45">
        <v>0</v>
      </c>
      <c r="AW45" t="s">
        <v>172</v>
      </c>
      <c r="AY45" t="s">
        <v>173</v>
      </c>
      <c r="AZ45" t="s">
        <v>174</v>
      </c>
      <c r="BA45">
        <v>0</v>
      </c>
      <c r="BB45">
        <v>0</v>
      </c>
      <c r="BC45" t="s">
        <v>9</v>
      </c>
    </row>
    <row r="46" spans="1:55" x14ac:dyDescent="0.2">
      <c r="A46" t="s">
        <v>54</v>
      </c>
      <c r="B46" t="s">
        <v>983</v>
      </c>
      <c r="C46" t="s">
        <v>984</v>
      </c>
      <c r="D46" t="s">
        <v>47</v>
      </c>
      <c r="E46" t="s">
        <v>165</v>
      </c>
      <c r="F46" t="s">
        <v>1014</v>
      </c>
      <c r="G46" t="s">
        <v>1015</v>
      </c>
      <c r="H46" t="s">
        <v>1016</v>
      </c>
      <c r="J46" s="2">
        <v>43387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222823110.31</v>
      </c>
      <c r="Z46">
        <v>228275021.05000001</v>
      </c>
      <c r="AB46" t="s">
        <v>1002</v>
      </c>
      <c r="AC46" t="s">
        <v>1003</v>
      </c>
      <c r="AD46" t="s">
        <v>1004</v>
      </c>
      <c r="AE46">
        <v>13</v>
      </c>
      <c r="AF46" t="s">
        <v>12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222823110.31</v>
      </c>
      <c r="AR46">
        <v>222823110.31</v>
      </c>
      <c r="AS46">
        <v>0</v>
      </c>
      <c r="AT46">
        <v>0</v>
      </c>
      <c r="AU46">
        <v>0</v>
      </c>
      <c r="AV46">
        <v>0</v>
      </c>
      <c r="AW46" t="s">
        <v>172</v>
      </c>
      <c r="AY46" t="s">
        <v>173</v>
      </c>
      <c r="AZ46" t="s">
        <v>174</v>
      </c>
      <c r="BA46">
        <v>0</v>
      </c>
      <c r="BB46">
        <v>0</v>
      </c>
      <c r="BC46" t="s">
        <v>9</v>
      </c>
    </row>
    <row r="47" spans="1:55" x14ac:dyDescent="0.2">
      <c r="A47" t="s">
        <v>54</v>
      </c>
      <c r="B47" t="s">
        <v>983</v>
      </c>
      <c r="C47" t="s">
        <v>984</v>
      </c>
      <c r="D47" t="s">
        <v>47</v>
      </c>
      <c r="E47" t="s">
        <v>165</v>
      </c>
      <c r="F47" t="s">
        <v>1014</v>
      </c>
      <c r="G47" t="s">
        <v>1015</v>
      </c>
      <c r="H47" t="s">
        <v>1016</v>
      </c>
      <c r="J47" s="2">
        <v>43388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222823110.31</v>
      </c>
      <c r="Z47">
        <v>228275021.05000001</v>
      </c>
      <c r="AB47" t="s">
        <v>1002</v>
      </c>
      <c r="AC47" t="s">
        <v>1003</v>
      </c>
      <c r="AD47" t="s">
        <v>1004</v>
      </c>
      <c r="AE47">
        <v>14</v>
      </c>
      <c r="AF47" t="s">
        <v>12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222823110.31</v>
      </c>
      <c r="AR47">
        <v>222823110.31</v>
      </c>
      <c r="AS47">
        <v>0</v>
      </c>
      <c r="AT47">
        <v>0</v>
      </c>
      <c r="AU47">
        <v>0</v>
      </c>
      <c r="AV47">
        <v>0</v>
      </c>
      <c r="AW47" t="s">
        <v>172</v>
      </c>
      <c r="AY47" t="s">
        <v>173</v>
      </c>
      <c r="AZ47" t="s">
        <v>174</v>
      </c>
      <c r="BA47">
        <v>0</v>
      </c>
      <c r="BB47">
        <v>0</v>
      </c>
      <c r="BC47" t="s">
        <v>9</v>
      </c>
    </row>
    <row r="48" spans="1:55" x14ac:dyDescent="0.2">
      <c r="A48" t="s">
        <v>54</v>
      </c>
      <c r="B48" t="s">
        <v>983</v>
      </c>
      <c r="C48" t="s">
        <v>984</v>
      </c>
      <c r="D48" t="s">
        <v>47</v>
      </c>
      <c r="E48" t="s">
        <v>165</v>
      </c>
      <c r="F48" t="s">
        <v>1014</v>
      </c>
      <c r="G48" t="s">
        <v>1015</v>
      </c>
      <c r="H48" t="s">
        <v>1016</v>
      </c>
      <c r="J48" s="2">
        <v>43389</v>
      </c>
      <c r="K48">
        <v>0</v>
      </c>
      <c r="L48">
        <v>0</v>
      </c>
      <c r="M48">
        <v>0</v>
      </c>
      <c r="N48">
        <v>0</v>
      </c>
      <c r="O48">
        <v>580000000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802823110.30999994</v>
      </c>
      <c r="Z48">
        <v>228275021.05000001</v>
      </c>
      <c r="AB48" t="s">
        <v>1002</v>
      </c>
      <c r="AC48" t="s">
        <v>1003</v>
      </c>
      <c r="AD48" t="s">
        <v>1004</v>
      </c>
      <c r="AE48">
        <v>15</v>
      </c>
      <c r="AF48" t="s">
        <v>12</v>
      </c>
      <c r="AG48">
        <v>0</v>
      </c>
      <c r="AH48">
        <v>0</v>
      </c>
      <c r="AI48">
        <v>0</v>
      </c>
      <c r="AJ48">
        <v>580000000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802823110.30999994</v>
      </c>
      <c r="AR48">
        <v>802823110.30999994</v>
      </c>
      <c r="AS48">
        <v>0</v>
      </c>
      <c r="AT48">
        <v>0</v>
      </c>
      <c r="AU48">
        <v>0</v>
      </c>
      <c r="AV48">
        <v>0</v>
      </c>
      <c r="AW48" t="s">
        <v>172</v>
      </c>
      <c r="AY48" t="s">
        <v>173</v>
      </c>
      <c r="AZ48" t="s">
        <v>174</v>
      </c>
      <c r="BA48">
        <v>802823110.30999994</v>
      </c>
      <c r="BB48">
        <v>0</v>
      </c>
      <c r="BC48" t="s">
        <v>9</v>
      </c>
    </row>
    <row r="49" spans="1:55" x14ac:dyDescent="0.2">
      <c r="A49" t="s">
        <v>54</v>
      </c>
      <c r="B49" t="s">
        <v>983</v>
      </c>
      <c r="C49" t="s">
        <v>984</v>
      </c>
      <c r="D49" t="s">
        <v>47</v>
      </c>
      <c r="E49" t="s">
        <v>165</v>
      </c>
      <c r="F49" t="s">
        <v>1014</v>
      </c>
      <c r="G49" t="s">
        <v>1015</v>
      </c>
      <c r="H49" t="s">
        <v>1016</v>
      </c>
      <c r="J49" s="2">
        <v>43390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802823110.30999994</v>
      </c>
      <c r="Z49">
        <v>228275021.05000001</v>
      </c>
      <c r="AB49" t="s">
        <v>1002</v>
      </c>
      <c r="AC49" t="s">
        <v>1003</v>
      </c>
      <c r="AD49" t="s">
        <v>1004</v>
      </c>
      <c r="AE49">
        <v>16</v>
      </c>
      <c r="AF49" t="s">
        <v>12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802823110.30999994</v>
      </c>
      <c r="AR49">
        <v>802823110.30999994</v>
      </c>
      <c r="AS49">
        <v>0</v>
      </c>
      <c r="AT49">
        <v>0</v>
      </c>
      <c r="AU49">
        <v>0</v>
      </c>
      <c r="AV49">
        <v>0</v>
      </c>
      <c r="AW49" t="s">
        <v>172</v>
      </c>
      <c r="AY49" t="s">
        <v>173</v>
      </c>
      <c r="AZ49" t="s">
        <v>174</v>
      </c>
      <c r="BA49">
        <v>802823110.30999994</v>
      </c>
      <c r="BB49">
        <v>0</v>
      </c>
      <c r="BC49" t="s">
        <v>9</v>
      </c>
    </row>
    <row r="50" spans="1:55" x14ac:dyDescent="0.2">
      <c r="A50" t="s">
        <v>56</v>
      </c>
      <c r="B50" t="s">
        <v>57</v>
      </c>
      <c r="C50" t="s">
        <v>58</v>
      </c>
      <c r="D50" t="s">
        <v>47</v>
      </c>
      <c r="E50" t="s">
        <v>165</v>
      </c>
      <c r="F50" t="s">
        <v>166</v>
      </c>
      <c r="G50" t="s">
        <v>167</v>
      </c>
      <c r="H50" t="s">
        <v>168</v>
      </c>
      <c r="J50" s="2">
        <v>43375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315864732.16000003</v>
      </c>
      <c r="V50">
        <v>0</v>
      </c>
      <c r="W50">
        <v>0</v>
      </c>
      <c r="X50">
        <v>0</v>
      </c>
      <c r="Y50">
        <v>0</v>
      </c>
      <c r="Z50">
        <v>0</v>
      </c>
      <c r="AB50" t="s">
        <v>169</v>
      </c>
      <c r="AC50" t="s">
        <v>170</v>
      </c>
      <c r="AD50" t="s">
        <v>171</v>
      </c>
      <c r="AE50">
        <v>1</v>
      </c>
      <c r="AF50" t="s">
        <v>12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315864732.16000003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 t="s">
        <v>172</v>
      </c>
      <c r="AY50" t="s">
        <v>173</v>
      </c>
      <c r="AZ50" t="s">
        <v>174</v>
      </c>
      <c r="BA50">
        <v>0</v>
      </c>
      <c r="BB50">
        <v>0</v>
      </c>
      <c r="BC50" t="s">
        <v>9</v>
      </c>
    </row>
    <row r="51" spans="1:55" x14ac:dyDescent="0.2">
      <c r="A51" t="s">
        <v>56</v>
      </c>
      <c r="B51" t="s">
        <v>57</v>
      </c>
      <c r="C51" t="s">
        <v>58</v>
      </c>
      <c r="D51" t="s">
        <v>47</v>
      </c>
      <c r="E51" t="s">
        <v>165</v>
      </c>
      <c r="F51" t="s">
        <v>166</v>
      </c>
      <c r="G51" t="s">
        <v>167</v>
      </c>
      <c r="H51" t="s">
        <v>168</v>
      </c>
      <c r="J51" s="2">
        <v>43376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117000000</v>
      </c>
      <c r="R51">
        <v>0</v>
      </c>
      <c r="S51">
        <v>0</v>
      </c>
      <c r="T51">
        <v>0</v>
      </c>
      <c r="U51">
        <v>119527469.39</v>
      </c>
      <c r="V51">
        <v>5433191.9900000002</v>
      </c>
      <c r="W51">
        <v>0</v>
      </c>
      <c r="X51">
        <v>100000</v>
      </c>
      <c r="Y51">
        <v>2075857.25</v>
      </c>
      <c r="Z51">
        <v>747818769.55999994</v>
      </c>
      <c r="AB51" t="s">
        <v>169</v>
      </c>
      <c r="AC51" t="s">
        <v>170</v>
      </c>
      <c r="AD51" t="s">
        <v>171</v>
      </c>
      <c r="AE51">
        <v>2</v>
      </c>
      <c r="AF51" t="s">
        <v>12</v>
      </c>
      <c r="AG51">
        <v>0</v>
      </c>
      <c r="AH51">
        <v>0</v>
      </c>
      <c r="AI51">
        <v>0</v>
      </c>
      <c r="AJ51">
        <v>0</v>
      </c>
      <c r="AK51">
        <v>117000000</v>
      </c>
      <c r="AL51">
        <v>0</v>
      </c>
      <c r="AM51">
        <v>315864732.16000003</v>
      </c>
      <c r="AN51">
        <v>0</v>
      </c>
      <c r="AO51">
        <v>119527469.39</v>
      </c>
      <c r="AP51">
        <v>0</v>
      </c>
      <c r="AQ51">
        <v>2075857.25</v>
      </c>
      <c r="AR51">
        <v>2075857.25</v>
      </c>
      <c r="AS51">
        <v>0</v>
      </c>
      <c r="AT51">
        <v>0</v>
      </c>
      <c r="AU51">
        <v>0</v>
      </c>
      <c r="AV51">
        <v>0</v>
      </c>
      <c r="AW51" t="s">
        <v>172</v>
      </c>
      <c r="AY51" t="s">
        <v>173</v>
      </c>
      <c r="AZ51" t="s">
        <v>175</v>
      </c>
      <c r="BA51">
        <v>2075857.25</v>
      </c>
      <c r="BB51">
        <v>0</v>
      </c>
      <c r="BC51" t="s">
        <v>9</v>
      </c>
    </row>
    <row r="52" spans="1:55" x14ac:dyDescent="0.2">
      <c r="A52" t="s">
        <v>56</v>
      </c>
      <c r="B52" t="s">
        <v>57</v>
      </c>
      <c r="C52" t="s">
        <v>58</v>
      </c>
      <c r="D52" t="s">
        <v>47</v>
      </c>
      <c r="E52" t="s">
        <v>165</v>
      </c>
      <c r="F52" t="s">
        <v>166</v>
      </c>
      <c r="G52" t="s">
        <v>167</v>
      </c>
      <c r="H52" t="s">
        <v>168</v>
      </c>
      <c r="J52" s="2">
        <v>43377</v>
      </c>
      <c r="K52">
        <v>0</v>
      </c>
      <c r="L52">
        <v>0</v>
      </c>
      <c r="M52">
        <v>0</v>
      </c>
      <c r="N52">
        <v>448333784.47000003</v>
      </c>
      <c r="O52">
        <v>463000000.00999999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16742072.789999999</v>
      </c>
      <c r="Z52">
        <v>747818769.55999994</v>
      </c>
      <c r="AB52" t="s">
        <v>169</v>
      </c>
      <c r="AC52" t="s">
        <v>170</v>
      </c>
      <c r="AD52" t="s">
        <v>171</v>
      </c>
      <c r="AE52">
        <v>3</v>
      </c>
      <c r="AF52" t="s">
        <v>12</v>
      </c>
      <c r="AG52">
        <v>0</v>
      </c>
      <c r="AH52">
        <v>0</v>
      </c>
      <c r="AI52">
        <v>448333784.47000003</v>
      </c>
      <c r="AJ52">
        <v>463000000.00999999</v>
      </c>
      <c r="AK52">
        <v>0</v>
      </c>
      <c r="AL52">
        <v>0</v>
      </c>
      <c r="AM52">
        <v>119527469.39</v>
      </c>
      <c r="AN52">
        <v>0</v>
      </c>
      <c r="AO52">
        <v>0</v>
      </c>
      <c r="AP52">
        <v>0</v>
      </c>
      <c r="AQ52">
        <v>16742072.789999999</v>
      </c>
      <c r="AR52">
        <v>16742072.789999999</v>
      </c>
      <c r="AS52">
        <v>0</v>
      </c>
      <c r="AT52">
        <v>0</v>
      </c>
      <c r="AU52">
        <v>0</v>
      </c>
      <c r="AV52">
        <v>0</v>
      </c>
      <c r="AW52" t="s">
        <v>172</v>
      </c>
      <c r="AY52" t="s">
        <v>173</v>
      </c>
      <c r="AZ52" t="s">
        <v>175</v>
      </c>
      <c r="BA52">
        <v>16742072.789999999</v>
      </c>
      <c r="BB52">
        <v>0</v>
      </c>
      <c r="BC52" t="s">
        <v>9</v>
      </c>
    </row>
    <row r="53" spans="1:55" x14ac:dyDescent="0.2">
      <c r="A53" t="s">
        <v>56</v>
      </c>
      <c r="B53" t="s">
        <v>57</v>
      </c>
      <c r="C53" t="s">
        <v>58</v>
      </c>
      <c r="D53" t="s">
        <v>47</v>
      </c>
      <c r="E53" t="s">
        <v>165</v>
      </c>
      <c r="F53" t="s">
        <v>166</v>
      </c>
      <c r="G53" t="s">
        <v>167</v>
      </c>
      <c r="H53" t="s">
        <v>168</v>
      </c>
      <c r="J53" s="2">
        <v>43378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2194688.1800000002</v>
      </c>
      <c r="U53">
        <v>0</v>
      </c>
      <c r="V53">
        <v>0</v>
      </c>
      <c r="W53">
        <v>0</v>
      </c>
      <c r="X53">
        <v>0</v>
      </c>
      <c r="Y53">
        <v>14547384.609999999</v>
      </c>
      <c r="Z53">
        <v>747818769.55999994</v>
      </c>
      <c r="AB53" t="s">
        <v>169</v>
      </c>
      <c r="AC53" t="s">
        <v>170</v>
      </c>
      <c r="AD53" t="s">
        <v>171</v>
      </c>
      <c r="AE53">
        <v>4</v>
      </c>
      <c r="AF53" t="s">
        <v>12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14547384.609999999</v>
      </c>
      <c r="AR53">
        <v>14547384.609999999</v>
      </c>
      <c r="AS53">
        <v>0</v>
      </c>
      <c r="AT53">
        <v>0</v>
      </c>
      <c r="AU53">
        <v>0</v>
      </c>
      <c r="AV53">
        <v>0</v>
      </c>
      <c r="AW53" t="s">
        <v>172</v>
      </c>
      <c r="AY53" t="s">
        <v>173</v>
      </c>
      <c r="AZ53" t="s">
        <v>175</v>
      </c>
      <c r="BA53">
        <v>14547384.609999999</v>
      </c>
      <c r="BB53">
        <v>0</v>
      </c>
      <c r="BC53" t="s">
        <v>9</v>
      </c>
    </row>
    <row r="54" spans="1:55" x14ac:dyDescent="0.2">
      <c r="A54" t="s">
        <v>56</v>
      </c>
      <c r="B54" t="s">
        <v>57</v>
      </c>
      <c r="C54" t="s">
        <v>58</v>
      </c>
      <c r="D54" t="s">
        <v>47</v>
      </c>
      <c r="E54" t="s">
        <v>165</v>
      </c>
      <c r="F54" t="s">
        <v>166</v>
      </c>
      <c r="G54" t="s">
        <v>167</v>
      </c>
      <c r="H54" t="s">
        <v>168</v>
      </c>
      <c r="J54" s="2">
        <v>43379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14547384.609999999</v>
      </c>
      <c r="Z54">
        <v>747818769.55999994</v>
      </c>
      <c r="AB54" t="s">
        <v>169</v>
      </c>
      <c r="AC54" t="s">
        <v>170</v>
      </c>
      <c r="AD54" t="s">
        <v>171</v>
      </c>
      <c r="AE54">
        <v>5</v>
      </c>
      <c r="AF54" t="s">
        <v>12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14547384.609999999</v>
      </c>
      <c r="AR54">
        <v>14547384.609999999</v>
      </c>
      <c r="AS54">
        <v>0</v>
      </c>
      <c r="AT54">
        <v>0</v>
      </c>
      <c r="AU54">
        <v>0</v>
      </c>
      <c r="AV54">
        <v>0</v>
      </c>
      <c r="AW54" t="s">
        <v>172</v>
      </c>
      <c r="AY54" t="s">
        <v>173</v>
      </c>
      <c r="AZ54" t="s">
        <v>175</v>
      </c>
      <c r="BA54">
        <v>0</v>
      </c>
      <c r="BB54">
        <v>0</v>
      </c>
      <c r="BC54" t="s">
        <v>9</v>
      </c>
    </row>
    <row r="55" spans="1:55" x14ac:dyDescent="0.2">
      <c r="A55" t="s">
        <v>56</v>
      </c>
      <c r="B55" t="s">
        <v>57</v>
      </c>
      <c r="C55" t="s">
        <v>58</v>
      </c>
      <c r="D55" t="s">
        <v>47</v>
      </c>
      <c r="E55" t="s">
        <v>165</v>
      </c>
      <c r="F55" t="s">
        <v>166</v>
      </c>
      <c r="G55" t="s">
        <v>167</v>
      </c>
      <c r="H55" t="s">
        <v>168</v>
      </c>
      <c r="J55" s="2">
        <v>43380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14547384.609999999</v>
      </c>
      <c r="Z55">
        <v>747818769.55999994</v>
      </c>
      <c r="AB55" t="s">
        <v>169</v>
      </c>
      <c r="AC55" t="s">
        <v>170</v>
      </c>
      <c r="AD55" t="s">
        <v>171</v>
      </c>
      <c r="AE55">
        <v>6</v>
      </c>
      <c r="AF55" t="s">
        <v>12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14547384.609999999</v>
      </c>
      <c r="AR55">
        <v>14547384.609999999</v>
      </c>
      <c r="AS55">
        <v>0</v>
      </c>
      <c r="AT55">
        <v>0</v>
      </c>
      <c r="AU55">
        <v>0</v>
      </c>
      <c r="AV55">
        <v>0</v>
      </c>
      <c r="AW55" t="s">
        <v>172</v>
      </c>
      <c r="AY55" t="s">
        <v>173</v>
      </c>
      <c r="AZ55" t="s">
        <v>175</v>
      </c>
      <c r="BA55">
        <v>0</v>
      </c>
      <c r="BB55">
        <v>0</v>
      </c>
      <c r="BC55" t="s">
        <v>9</v>
      </c>
    </row>
    <row r="56" spans="1:55" x14ac:dyDescent="0.2">
      <c r="A56" t="s">
        <v>56</v>
      </c>
      <c r="B56" t="s">
        <v>57</v>
      </c>
      <c r="C56" t="s">
        <v>58</v>
      </c>
      <c r="D56" t="s">
        <v>47</v>
      </c>
      <c r="E56" t="s">
        <v>165</v>
      </c>
      <c r="F56" t="s">
        <v>166</v>
      </c>
      <c r="G56" t="s">
        <v>167</v>
      </c>
      <c r="H56" t="s">
        <v>168</v>
      </c>
      <c r="J56" s="2">
        <v>43381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14547384.609999999</v>
      </c>
      <c r="Z56">
        <v>747818769.55999994</v>
      </c>
      <c r="AB56" t="s">
        <v>169</v>
      </c>
      <c r="AC56" t="s">
        <v>170</v>
      </c>
      <c r="AD56" t="s">
        <v>171</v>
      </c>
      <c r="AE56">
        <v>7</v>
      </c>
      <c r="AF56" t="s">
        <v>12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14547384.609999999</v>
      </c>
      <c r="AR56">
        <v>14547384.609999999</v>
      </c>
      <c r="AS56">
        <v>0</v>
      </c>
      <c r="AT56">
        <v>0</v>
      </c>
      <c r="AU56">
        <v>0</v>
      </c>
      <c r="AV56">
        <v>0</v>
      </c>
      <c r="AW56" t="s">
        <v>172</v>
      </c>
      <c r="AY56" t="s">
        <v>173</v>
      </c>
      <c r="AZ56" t="s">
        <v>175</v>
      </c>
      <c r="BA56">
        <v>14547384.609999999</v>
      </c>
      <c r="BB56">
        <v>0</v>
      </c>
      <c r="BC56" t="s">
        <v>9</v>
      </c>
    </row>
    <row r="57" spans="1:55" x14ac:dyDescent="0.2">
      <c r="A57" t="s">
        <v>56</v>
      </c>
      <c r="B57" t="s">
        <v>57</v>
      </c>
      <c r="C57" t="s">
        <v>58</v>
      </c>
      <c r="D57" t="s">
        <v>47</v>
      </c>
      <c r="E57" t="s">
        <v>165</v>
      </c>
      <c r="F57" t="s">
        <v>166</v>
      </c>
      <c r="G57" t="s">
        <v>167</v>
      </c>
      <c r="H57" t="s">
        <v>168</v>
      </c>
      <c r="J57" s="2">
        <v>43382</v>
      </c>
      <c r="K57">
        <v>0</v>
      </c>
      <c r="L57">
        <v>0</v>
      </c>
      <c r="M57">
        <v>0</v>
      </c>
      <c r="N57">
        <v>0</v>
      </c>
      <c r="O57">
        <v>474000000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488547384.61000001</v>
      </c>
      <c r="Z57">
        <v>747818769.55999994</v>
      </c>
      <c r="AB57" t="s">
        <v>169</v>
      </c>
      <c r="AC57" t="s">
        <v>170</v>
      </c>
      <c r="AD57" t="s">
        <v>171</v>
      </c>
      <c r="AE57">
        <v>8</v>
      </c>
      <c r="AF57" t="s">
        <v>12</v>
      </c>
      <c r="AG57">
        <v>0</v>
      </c>
      <c r="AH57">
        <v>0</v>
      </c>
      <c r="AI57">
        <v>0</v>
      </c>
      <c r="AJ57">
        <v>474000000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488547384.61000001</v>
      </c>
      <c r="AR57">
        <v>488547384.61000001</v>
      </c>
      <c r="AS57">
        <v>0</v>
      </c>
      <c r="AT57">
        <v>0</v>
      </c>
      <c r="AU57">
        <v>0</v>
      </c>
      <c r="AV57">
        <v>0</v>
      </c>
      <c r="AW57" t="s">
        <v>172</v>
      </c>
      <c r="AY57" t="s">
        <v>173</v>
      </c>
      <c r="AZ57" t="s">
        <v>175</v>
      </c>
      <c r="BA57">
        <v>488547384.61000001</v>
      </c>
      <c r="BB57">
        <v>0</v>
      </c>
      <c r="BC57" t="s">
        <v>9</v>
      </c>
    </row>
    <row r="58" spans="1:55" x14ac:dyDescent="0.2">
      <c r="A58" t="s">
        <v>56</v>
      </c>
      <c r="B58" t="s">
        <v>57</v>
      </c>
      <c r="C58" t="s">
        <v>58</v>
      </c>
      <c r="D58" t="s">
        <v>47</v>
      </c>
      <c r="E58" t="s">
        <v>165</v>
      </c>
      <c r="F58" t="s">
        <v>166</v>
      </c>
      <c r="G58" t="s">
        <v>167</v>
      </c>
      <c r="H58" t="s">
        <v>168</v>
      </c>
      <c r="J58" s="2">
        <v>43383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488547384.61000001</v>
      </c>
      <c r="Z58">
        <v>747818769.55999994</v>
      </c>
      <c r="AB58" t="s">
        <v>169</v>
      </c>
      <c r="AC58" t="s">
        <v>170</v>
      </c>
      <c r="AD58" t="s">
        <v>171</v>
      </c>
      <c r="AE58">
        <v>9</v>
      </c>
      <c r="AF58" t="s">
        <v>12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488547384.61000001</v>
      </c>
      <c r="AR58">
        <v>488547384.61000001</v>
      </c>
      <c r="AS58">
        <v>0</v>
      </c>
      <c r="AT58">
        <v>0</v>
      </c>
      <c r="AU58">
        <v>0</v>
      </c>
      <c r="AV58">
        <v>0</v>
      </c>
      <c r="AW58" t="s">
        <v>172</v>
      </c>
      <c r="AY58" t="s">
        <v>173</v>
      </c>
      <c r="AZ58" t="s">
        <v>175</v>
      </c>
      <c r="BA58">
        <v>488547384.61000001</v>
      </c>
      <c r="BB58">
        <v>0</v>
      </c>
      <c r="BC58" t="s">
        <v>9</v>
      </c>
    </row>
    <row r="59" spans="1:55" x14ac:dyDescent="0.2">
      <c r="A59" t="s">
        <v>56</v>
      </c>
      <c r="B59" t="s">
        <v>57</v>
      </c>
      <c r="C59" t="s">
        <v>58</v>
      </c>
      <c r="D59" t="s">
        <v>47</v>
      </c>
      <c r="E59" t="s">
        <v>165</v>
      </c>
      <c r="F59" t="s">
        <v>166</v>
      </c>
      <c r="G59" t="s">
        <v>167</v>
      </c>
      <c r="H59" t="s">
        <v>168</v>
      </c>
      <c r="J59" s="2">
        <v>43384</v>
      </c>
      <c r="K59">
        <v>0</v>
      </c>
      <c r="L59">
        <v>0</v>
      </c>
      <c r="M59">
        <v>0</v>
      </c>
      <c r="N59">
        <v>0</v>
      </c>
      <c r="O59">
        <v>874800000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1363347384.6099999</v>
      </c>
      <c r="Z59">
        <v>747818769.55999994</v>
      </c>
      <c r="AB59" t="s">
        <v>169</v>
      </c>
      <c r="AC59" t="s">
        <v>170</v>
      </c>
      <c r="AD59" t="s">
        <v>171</v>
      </c>
      <c r="AE59">
        <v>10</v>
      </c>
      <c r="AF59" t="s">
        <v>12</v>
      </c>
      <c r="AG59">
        <v>0</v>
      </c>
      <c r="AH59">
        <v>0</v>
      </c>
      <c r="AI59">
        <v>0</v>
      </c>
      <c r="AJ59">
        <v>874800000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1363347384.6099999</v>
      </c>
      <c r="AR59">
        <v>1363347384.6099999</v>
      </c>
      <c r="AS59">
        <v>0</v>
      </c>
      <c r="AT59">
        <v>0</v>
      </c>
      <c r="AU59">
        <v>0</v>
      </c>
      <c r="AV59">
        <v>0</v>
      </c>
      <c r="AW59" t="s">
        <v>172</v>
      </c>
      <c r="AY59" t="s">
        <v>173</v>
      </c>
      <c r="AZ59" t="s">
        <v>175</v>
      </c>
      <c r="BA59">
        <v>1363347384.6099999</v>
      </c>
      <c r="BB59">
        <v>0</v>
      </c>
      <c r="BC59" t="s">
        <v>9</v>
      </c>
    </row>
    <row r="60" spans="1:55" x14ac:dyDescent="0.2">
      <c r="A60" t="s">
        <v>56</v>
      </c>
      <c r="B60" t="s">
        <v>57</v>
      </c>
      <c r="C60" t="s">
        <v>58</v>
      </c>
      <c r="D60" t="s">
        <v>47</v>
      </c>
      <c r="E60" t="s">
        <v>165</v>
      </c>
      <c r="F60" t="s">
        <v>166</v>
      </c>
      <c r="G60" t="s">
        <v>167</v>
      </c>
      <c r="H60" t="s">
        <v>168</v>
      </c>
      <c r="J60" s="2">
        <v>43385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1363347384.6099999</v>
      </c>
      <c r="Z60">
        <v>747818769.55999994</v>
      </c>
      <c r="AB60" t="s">
        <v>169</v>
      </c>
      <c r="AC60" t="s">
        <v>170</v>
      </c>
      <c r="AD60" t="s">
        <v>171</v>
      </c>
      <c r="AE60">
        <v>11</v>
      </c>
      <c r="AF60" t="s">
        <v>12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1363347384.6099999</v>
      </c>
      <c r="AR60">
        <v>1363347384.6099999</v>
      </c>
      <c r="AS60">
        <v>0</v>
      </c>
      <c r="AT60">
        <v>0</v>
      </c>
      <c r="AU60">
        <v>0</v>
      </c>
      <c r="AV60">
        <v>0</v>
      </c>
      <c r="AW60" t="s">
        <v>172</v>
      </c>
      <c r="AY60" t="s">
        <v>173</v>
      </c>
      <c r="AZ60" t="s">
        <v>175</v>
      </c>
      <c r="BA60">
        <v>1363347384.6099999</v>
      </c>
      <c r="BB60">
        <v>0</v>
      </c>
      <c r="BC60" t="s">
        <v>9</v>
      </c>
    </row>
    <row r="61" spans="1:55" x14ac:dyDescent="0.2">
      <c r="A61" t="s">
        <v>56</v>
      </c>
      <c r="B61" t="s">
        <v>57</v>
      </c>
      <c r="C61" t="s">
        <v>58</v>
      </c>
      <c r="D61" t="s">
        <v>47</v>
      </c>
      <c r="E61" t="s">
        <v>165</v>
      </c>
      <c r="F61" t="s">
        <v>166</v>
      </c>
      <c r="G61" t="s">
        <v>167</v>
      </c>
      <c r="H61" t="s">
        <v>168</v>
      </c>
      <c r="J61" s="2">
        <v>43386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1363347384.6099999</v>
      </c>
      <c r="Z61">
        <v>747818769.55999994</v>
      </c>
      <c r="AB61" t="s">
        <v>169</v>
      </c>
      <c r="AC61" t="s">
        <v>170</v>
      </c>
      <c r="AD61" t="s">
        <v>171</v>
      </c>
      <c r="AE61">
        <v>12</v>
      </c>
      <c r="AF61" t="s">
        <v>12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1363347384.6099999</v>
      </c>
      <c r="AR61">
        <v>1363347384.6099999</v>
      </c>
      <c r="AS61">
        <v>0</v>
      </c>
      <c r="AT61">
        <v>0</v>
      </c>
      <c r="AU61">
        <v>0</v>
      </c>
      <c r="AV61">
        <v>0</v>
      </c>
      <c r="AW61" t="s">
        <v>172</v>
      </c>
      <c r="AY61" t="s">
        <v>173</v>
      </c>
      <c r="AZ61" t="s">
        <v>175</v>
      </c>
      <c r="BA61">
        <v>0</v>
      </c>
      <c r="BB61">
        <v>0</v>
      </c>
      <c r="BC61" t="s">
        <v>9</v>
      </c>
    </row>
    <row r="62" spans="1:55" x14ac:dyDescent="0.2">
      <c r="A62" t="s">
        <v>56</v>
      </c>
      <c r="B62" t="s">
        <v>57</v>
      </c>
      <c r="C62" t="s">
        <v>58</v>
      </c>
      <c r="D62" t="s">
        <v>47</v>
      </c>
      <c r="E62" t="s">
        <v>165</v>
      </c>
      <c r="F62" t="s">
        <v>166</v>
      </c>
      <c r="G62" t="s">
        <v>167</v>
      </c>
      <c r="H62" t="s">
        <v>168</v>
      </c>
      <c r="J62" s="2">
        <v>43387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1363347384.6099999</v>
      </c>
      <c r="Z62">
        <v>747818769.55999994</v>
      </c>
      <c r="AB62" t="s">
        <v>169</v>
      </c>
      <c r="AC62" t="s">
        <v>170</v>
      </c>
      <c r="AD62" t="s">
        <v>171</v>
      </c>
      <c r="AE62">
        <v>13</v>
      </c>
      <c r="AF62" t="s">
        <v>12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1363347384.6099999</v>
      </c>
      <c r="AR62">
        <v>1363347384.6099999</v>
      </c>
      <c r="AS62">
        <v>0</v>
      </c>
      <c r="AT62">
        <v>0</v>
      </c>
      <c r="AU62">
        <v>0</v>
      </c>
      <c r="AV62">
        <v>0</v>
      </c>
      <c r="AW62" t="s">
        <v>172</v>
      </c>
      <c r="AY62" t="s">
        <v>173</v>
      </c>
      <c r="AZ62" t="s">
        <v>175</v>
      </c>
      <c r="BA62">
        <v>0</v>
      </c>
      <c r="BB62">
        <v>0</v>
      </c>
      <c r="BC62" t="s">
        <v>9</v>
      </c>
    </row>
    <row r="63" spans="1:55" x14ac:dyDescent="0.2">
      <c r="A63" t="s">
        <v>56</v>
      </c>
      <c r="B63" t="s">
        <v>57</v>
      </c>
      <c r="C63" t="s">
        <v>58</v>
      </c>
      <c r="D63" t="s">
        <v>47</v>
      </c>
      <c r="E63" t="s">
        <v>165</v>
      </c>
      <c r="F63" t="s">
        <v>166</v>
      </c>
      <c r="G63" t="s">
        <v>167</v>
      </c>
      <c r="H63" t="s">
        <v>168</v>
      </c>
      <c r="J63" s="2">
        <v>43388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1363347384.6099999</v>
      </c>
      <c r="Z63">
        <v>747818769.55999994</v>
      </c>
      <c r="AB63" t="s">
        <v>169</v>
      </c>
      <c r="AC63" t="s">
        <v>170</v>
      </c>
      <c r="AD63" t="s">
        <v>171</v>
      </c>
      <c r="AE63">
        <v>14</v>
      </c>
      <c r="AF63" t="s">
        <v>12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1363347384.6099999</v>
      </c>
      <c r="AR63">
        <v>1363347384.6099999</v>
      </c>
      <c r="AS63">
        <v>0</v>
      </c>
      <c r="AT63">
        <v>0</v>
      </c>
      <c r="AU63">
        <v>0</v>
      </c>
      <c r="AV63">
        <v>0</v>
      </c>
      <c r="AW63" t="s">
        <v>172</v>
      </c>
      <c r="AY63" t="s">
        <v>173</v>
      </c>
      <c r="AZ63" t="s">
        <v>175</v>
      </c>
      <c r="BA63">
        <v>0</v>
      </c>
      <c r="BB63">
        <v>0</v>
      </c>
      <c r="BC63" t="s">
        <v>9</v>
      </c>
    </row>
    <row r="64" spans="1:55" x14ac:dyDescent="0.2">
      <c r="A64" t="s">
        <v>56</v>
      </c>
      <c r="B64" t="s">
        <v>57</v>
      </c>
      <c r="C64" t="s">
        <v>58</v>
      </c>
      <c r="D64" t="s">
        <v>47</v>
      </c>
      <c r="E64" t="s">
        <v>165</v>
      </c>
      <c r="F64" t="s">
        <v>166</v>
      </c>
      <c r="G64" t="s">
        <v>167</v>
      </c>
      <c r="H64" t="s">
        <v>168</v>
      </c>
      <c r="J64" s="2">
        <v>43389</v>
      </c>
      <c r="K64">
        <v>0</v>
      </c>
      <c r="L64">
        <v>0</v>
      </c>
      <c r="M64">
        <v>0</v>
      </c>
      <c r="N64">
        <v>0</v>
      </c>
      <c r="O64">
        <v>820000000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2183347384.6100001</v>
      </c>
      <c r="Z64">
        <v>747818769.55999994</v>
      </c>
      <c r="AB64" t="s">
        <v>169</v>
      </c>
      <c r="AC64" t="s">
        <v>170</v>
      </c>
      <c r="AD64" t="s">
        <v>171</v>
      </c>
      <c r="AE64">
        <v>15</v>
      </c>
      <c r="AF64" t="s">
        <v>12</v>
      </c>
      <c r="AG64">
        <v>0</v>
      </c>
      <c r="AH64">
        <v>0</v>
      </c>
      <c r="AI64">
        <v>0</v>
      </c>
      <c r="AJ64">
        <v>820000000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2183347384.6100001</v>
      </c>
      <c r="AR64">
        <v>2183347384.6100001</v>
      </c>
      <c r="AS64">
        <v>0</v>
      </c>
      <c r="AT64">
        <v>0</v>
      </c>
      <c r="AU64">
        <v>0</v>
      </c>
      <c r="AV64">
        <v>0</v>
      </c>
      <c r="AW64" t="s">
        <v>172</v>
      </c>
      <c r="AY64" t="s">
        <v>173</v>
      </c>
      <c r="AZ64" t="s">
        <v>175</v>
      </c>
      <c r="BA64">
        <v>2183347384.6100001</v>
      </c>
      <c r="BB64">
        <v>0</v>
      </c>
      <c r="BC64" t="s">
        <v>9</v>
      </c>
    </row>
    <row r="65" spans="1:55" x14ac:dyDescent="0.2">
      <c r="A65" t="s">
        <v>56</v>
      </c>
      <c r="B65" t="s">
        <v>57</v>
      </c>
      <c r="C65" t="s">
        <v>58</v>
      </c>
      <c r="D65" t="s">
        <v>47</v>
      </c>
      <c r="E65" t="s">
        <v>165</v>
      </c>
      <c r="F65" t="s">
        <v>166</v>
      </c>
      <c r="G65" t="s">
        <v>167</v>
      </c>
      <c r="H65" t="s">
        <v>168</v>
      </c>
      <c r="J65" s="2">
        <v>43390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2183347384.6100001</v>
      </c>
      <c r="Z65">
        <v>747818769.55999994</v>
      </c>
      <c r="AB65" t="s">
        <v>169</v>
      </c>
      <c r="AC65" t="s">
        <v>170</v>
      </c>
      <c r="AD65" t="s">
        <v>171</v>
      </c>
      <c r="AE65">
        <v>16</v>
      </c>
      <c r="AF65" t="s">
        <v>12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2183347384.6100001</v>
      </c>
      <c r="AR65">
        <v>2183347384.6100001</v>
      </c>
      <c r="AS65">
        <v>0</v>
      </c>
      <c r="AT65">
        <v>0</v>
      </c>
      <c r="AU65">
        <v>0</v>
      </c>
      <c r="AV65">
        <v>0</v>
      </c>
      <c r="AW65" t="s">
        <v>172</v>
      </c>
      <c r="AY65" t="s">
        <v>173</v>
      </c>
      <c r="AZ65" t="s">
        <v>175</v>
      </c>
      <c r="BA65">
        <v>2183347384.6100001</v>
      </c>
      <c r="BB65">
        <v>0</v>
      </c>
      <c r="BC65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8C38F-A7F5-43C4-B52E-3B1DCEF52A0D}">
  <sheetPr codeName="Sheet7"/>
  <dimension ref="A1:SA84"/>
  <sheetViews>
    <sheetView tabSelected="1" topLeftCell="HY19" workbookViewId="0">
      <selection activeCell="PO27" sqref="PO27"/>
    </sheetView>
  </sheetViews>
  <sheetFormatPr defaultRowHeight="12.75" outlineLevelRow="1" x14ac:dyDescent="0.2"/>
  <cols>
    <col min="1" max="1" width="26.125" style="11" bestFit="1" customWidth="1"/>
    <col min="2" max="52" width="17.25" style="11" hidden="1" customWidth="1"/>
    <col min="53" max="57" width="17.25" style="11" customWidth="1"/>
    <col min="58" max="60" width="17.875" style="11" customWidth="1"/>
    <col min="61" max="62" width="17.25" style="11" customWidth="1"/>
    <col min="63" max="104" width="17.25" style="11" hidden="1" customWidth="1"/>
    <col min="105" max="105" width="17.125" style="11" hidden="1" customWidth="1"/>
    <col min="106" max="110" width="17.25" style="11" hidden="1" customWidth="1"/>
    <col min="111" max="114" width="17.25" style="11" customWidth="1"/>
    <col min="115" max="118" width="17.25" style="11" hidden="1" customWidth="1"/>
    <col min="119" max="119" width="16.625" style="11" hidden="1" customWidth="1"/>
    <col min="120" max="120" width="18" style="11" hidden="1" customWidth="1"/>
    <col min="121" max="146" width="16.625" style="11" hidden="1" customWidth="1"/>
    <col min="147" max="147" width="19.375" style="11" hidden="1" customWidth="1"/>
    <col min="148" max="148" width="19" style="11" hidden="1" customWidth="1"/>
    <col min="149" max="149" width="18.625" style="11" hidden="1" customWidth="1"/>
    <col min="150" max="150" width="19" style="11" hidden="1" customWidth="1"/>
    <col min="151" max="151" width="18.75" style="11" hidden="1" customWidth="1"/>
    <col min="152" max="152" width="19" style="11" hidden="1" customWidth="1"/>
    <col min="153" max="153" width="18.75" style="11" hidden="1" customWidth="1"/>
    <col min="154" max="155" width="19" style="11" hidden="1" customWidth="1"/>
    <col min="156" max="156" width="18.625" style="11" hidden="1" customWidth="1"/>
    <col min="157" max="157" width="18.25" style="11" hidden="1" customWidth="1"/>
    <col min="158" max="159" width="18.625" style="11" hidden="1" customWidth="1"/>
    <col min="160" max="160" width="18" style="11" hidden="1" customWidth="1"/>
    <col min="161" max="161" width="17.75" style="11" hidden="1" customWidth="1"/>
    <col min="162" max="165" width="18" style="11" hidden="1" customWidth="1"/>
    <col min="166" max="166" width="19.875" style="11" hidden="1" customWidth="1"/>
    <col min="167" max="167" width="18" style="11" customWidth="1"/>
    <col min="168" max="170" width="18.625" style="11" customWidth="1"/>
    <col min="171" max="173" width="18.625" style="11" hidden="1" customWidth="1"/>
    <col min="174" max="179" width="18.375" style="11" hidden="1" customWidth="1"/>
    <col min="180" max="181" width="17.75" style="11" hidden="1" customWidth="1"/>
    <col min="182" max="182" width="18.375" style="11" hidden="1" customWidth="1"/>
    <col min="183" max="191" width="18.625" style="11" hidden="1" customWidth="1"/>
    <col min="192" max="193" width="18.25" style="11" hidden="1" customWidth="1"/>
    <col min="194" max="194" width="19.5" style="11" hidden="1" customWidth="1"/>
    <col min="195" max="195" width="19.375" style="11" hidden="1" customWidth="1"/>
    <col min="196" max="197" width="19.125" style="11" hidden="1" customWidth="1"/>
    <col min="198" max="231" width="0" style="11" hidden="1" customWidth="1"/>
    <col min="232" max="232" width="15" style="11" customWidth="1"/>
    <col min="233" max="233" width="15.25" style="11" customWidth="1"/>
    <col min="234" max="234" width="14.875" style="11" customWidth="1"/>
    <col min="235" max="248" width="0" style="11" hidden="1" customWidth="1"/>
    <col min="249" max="252" width="17.125" style="11" hidden="1" customWidth="1"/>
    <col min="253" max="261" width="17.25" style="11" hidden="1" customWidth="1"/>
    <col min="262" max="262" width="0.625" style="11" customWidth="1"/>
    <col min="263" max="263" width="17.25" style="11" customWidth="1"/>
    <col min="264" max="264" width="17.25" style="11" hidden="1" customWidth="1"/>
    <col min="265" max="265" width="17.25" style="11" customWidth="1"/>
    <col min="266" max="293" width="17.25" style="11" hidden="1" customWidth="1"/>
    <col min="294" max="372" width="17.375" style="11" hidden="1" customWidth="1"/>
    <col min="373" max="374" width="17.25" style="11" hidden="1" customWidth="1"/>
    <col min="375" max="375" width="16.625" style="11" hidden="1" customWidth="1"/>
    <col min="376" max="376" width="18" style="11" hidden="1" customWidth="1"/>
    <col min="377" max="384" width="16.625" style="11" hidden="1" customWidth="1"/>
    <col min="385" max="428" width="16.875" style="11" hidden="1" customWidth="1"/>
    <col min="429" max="432" width="16.875" style="11" customWidth="1"/>
    <col min="433" max="433" width="23.875" style="11" customWidth="1"/>
    <col min="434" max="495" width="16.875" style="11" customWidth="1"/>
    <col min="496" max="506" width="9" style="11"/>
    <col min="507" max="507" width="25.125" style="11" customWidth="1"/>
    <col min="508" max="616" width="17.25" style="11" customWidth="1"/>
    <col min="617" max="617" width="19.875" style="11" customWidth="1"/>
    <col min="618" max="630" width="17.25" style="11" customWidth="1"/>
    <col min="631" max="631" width="16.625" style="11" bestFit="1" customWidth="1"/>
    <col min="632" max="632" width="18" style="11" customWidth="1"/>
    <col min="633" max="640" width="16.625" style="11" bestFit="1" customWidth="1"/>
    <col min="641" max="641" width="16.875" style="11" customWidth="1"/>
    <col min="642" max="642" width="19.375" style="11" bestFit="1" customWidth="1"/>
    <col min="643" max="650" width="18.75" style="11" customWidth="1"/>
    <col min="651" max="651" width="20.375" style="11" customWidth="1"/>
    <col min="652" max="652" width="18.75" style="11" bestFit="1" customWidth="1"/>
    <col min="653" max="653" width="19.375" style="11" customWidth="1"/>
    <col min="654" max="654" width="18.625" style="11" bestFit="1" customWidth="1"/>
    <col min="655" max="655" width="18.25" style="11" bestFit="1" customWidth="1"/>
    <col min="656" max="656" width="19.5" style="11" customWidth="1"/>
    <col min="657" max="659" width="19.375" style="11" customWidth="1"/>
    <col min="660" max="660" width="19" style="11" bestFit="1" customWidth="1"/>
    <col min="661" max="661" width="18.625" style="11" bestFit="1" customWidth="1"/>
    <col min="662" max="662" width="19" style="11" bestFit="1" customWidth="1"/>
    <col min="663" max="663" width="18.75" style="11" bestFit="1" customWidth="1"/>
    <col min="664" max="664" width="19" style="11" customWidth="1"/>
    <col min="665" max="665" width="18.75" style="11" bestFit="1" customWidth="1"/>
    <col min="666" max="667" width="19" style="11" bestFit="1" customWidth="1"/>
    <col min="668" max="668" width="18.625" style="11" bestFit="1" customWidth="1"/>
    <col min="669" max="669" width="18.25" style="11" bestFit="1" customWidth="1"/>
    <col min="670" max="670" width="18.625" style="11" bestFit="1" customWidth="1"/>
    <col min="671" max="671" width="18.625" style="11" customWidth="1"/>
    <col min="672" max="672" width="18" style="11" customWidth="1"/>
    <col min="673" max="673" width="17.75" style="11" customWidth="1"/>
    <col min="674" max="677" width="18" style="11" customWidth="1"/>
    <col min="678" max="678" width="19.875" style="11" customWidth="1"/>
    <col min="679" max="679" width="18" style="11" customWidth="1"/>
    <col min="680" max="685" width="18.625" style="11" customWidth="1"/>
    <col min="686" max="691" width="18.375" style="11" customWidth="1"/>
    <col min="692" max="693" width="17.75" style="11" customWidth="1"/>
    <col min="694" max="694" width="18.375" style="11" customWidth="1"/>
    <col min="695" max="695" width="18.625" style="11" bestFit="1" customWidth="1"/>
    <col min="696" max="696" width="19.125" style="11" customWidth="1"/>
    <col min="697" max="699" width="18.5" style="11" customWidth="1"/>
    <col min="700" max="700" width="17.25" style="11" customWidth="1"/>
    <col min="701" max="701" width="18.75" style="11" bestFit="1" customWidth="1"/>
    <col min="702" max="702" width="18.125" style="11" bestFit="1" customWidth="1"/>
    <col min="703" max="703" width="17.25" style="11" customWidth="1"/>
    <col min="704" max="705" width="18.25" style="11" bestFit="1" customWidth="1"/>
    <col min="706" max="706" width="19.5" style="11" bestFit="1" customWidth="1"/>
    <col min="707" max="707" width="19.375" style="11" bestFit="1" customWidth="1"/>
    <col min="708" max="709" width="19.125" style="11" bestFit="1" customWidth="1"/>
    <col min="710" max="762" width="9" style="11"/>
    <col min="763" max="763" width="25.125" style="11" customWidth="1"/>
    <col min="764" max="872" width="17.25" style="11" customWidth="1"/>
    <col min="873" max="873" width="19.875" style="11" customWidth="1"/>
    <col min="874" max="886" width="17.25" style="11" customWidth="1"/>
    <col min="887" max="887" width="16.625" style="11" bestFit="1" customWidth="1"/>
    <col min="888" max="888" width="18" style="11" customWidth="1"/>
    <col min="889" max="896" width="16.625" style="11" bestFit="1" customWidth="1"/>
    <col min="897" max="897" width="16.875" style="11" customWidth="1"/>
    <col min="898" max="898" width="19.375" style="11" bestFit="1" customWidth="1"/>
    <col min="899" max="906" width="18.75" style="11" customWidth="1"/>
    <col min="907" max="907" width="20.375" style="11" customWidth="1"/>
    <col min="908" max="908" width="18.75" style="11" bestFit="1" customWidth="1"/>
    <col min="909" max="909" width="19.375" style="11" customWidth="1"/>
    <col min="910" max="910" width="18.625" style="11" bestFit="1" customWidth="1"/>
    <col min="911" max="911" width="18.25" style="11" bestFit="1" customWidth="1"/>
    <col min="912" max="912" width="19.5" style="11" customWidth="1"/>
    <col min="913" max="915" width="19.375" style="11" customWidth="1"/>
    <col min="916" max="916" width="19" style="11" bestFit="1" customWidth="1"/>
    <col min="917" max="917" width="18.625" style="11" bestFit="1" customWidth="1"/>
    <col min="918" max="918" width="19" style="11" bestFit="1" customWidth="1"/>
    <col min="919" max="919" width="18.75" style="11" bestFit="1" customWidth="1"/>
    <col min="920" max="920" width="19" style="11" customWidth="1"/>
    <col min="921" max="921" width="18.75" style="11" bestFit="1" customWidth="1"/>
    <col min="922" max="923" width="19" style="11" bestFit="1" customWidth="1"/>
    <col min="924" max="924" width="18.625" style="11" bestFit="1" customWidth="1"/>
    <col min="925" max="925" width="18.25" style="11" bestFit="1" customWidth="1"/>
    <col min="926" max="926" width="18.625" style="11" bestFit="1" customWidth="1"/>
    <col min="927" max="927" width="18.625" style="11" customWidth="1"/>
    <col min="928" max="928" width="18" style="11" customWidth="1"/>
    <col min="929" max="929" width="17.75" style="11" customWidth="1"/>
    <col min="930" max="933" width="18" style="11" customWidth="1"/>
    <col min="934" max="934" width="19.875" style="11" customWidth="1"/>
    <col min="935" max="935" width="18" style="11" customWidth="1"/>
    <col min="936" max="941" width="18.625" style="11" customWidth="1"/>
    <col min="942" max="947" width="18.375" style="11" customWidth="1"/>
    <col min="948" max="949" width="17.75" style="11" customWidth="1"/>
    <col min="950" max="950" width="18.375" style="11" customWidth="1"/>
    <col min="951" max="951" width="18.625" style="11" bestFit="1" customWidth="1"/>
    <col min="952" max="952" width="19.125" style="11" customWidth="1"/>
    <col min="953" max="955" width="18.5" style="11" customWidth="1"/>
    <col min="956" max="956" width="17.25" style="11" customWidth="1"/>
    <col min="957" max="957" width="18.75" style="11" bestFit="1" customWidth="1"/>
    <col min="958" max="958" width="18.125" style="11" bestFit="1" customWidth="1"/>
    <col min="959" max="959" width="17.25" style="11" customWidth="1"/>
    <col min="960" max="961" width="18.25" style="11" bestFit="1" customWidth="1"/>
    <col min="962" max="962" width="19.5" style="11" bestFit="1" customWidth="1"/>
    <col min="963" max="963" width="19.375" style="11" bestFit="1" customWidth="1"/>
    <col min="964" max="965" width="19.125" style="11" bestFit="1" customWidth="1"/>
    <col min="966" max="1018" width="9" style="11"/>
    <col min="1019" max="1019" width="25.125" style="11" customWidth="1"/>
    <col min="1020" max="1128" width="17.25" style="11" customWidth="1"/>
    <col min="1129" max="1129" width="19.875" style="11" customWidth="1"/>
    <col min="1130" max="1142" width="17.25" style="11" customWidth="1"/>
    <col min="1143" max="1143" width="16.625" style="11" bestFit="1" customWidth="1"/>
    <col min="1144" max="1144" width="18" style="11" customWidth="1"/>
    <col min="1145" max="1152" width="16.625" style="11" bestFit="1" customWidth="1"/>
    <col min="1153" max="1153" width="16.875" style="11" customWidth="1"/>
    <col min="1154" max="1154" width="19.375" style="11" bestFit="1" customWidth="1"/>
    <col min="1155" max="1162" width="18.75" style="11" customWidth="1"/>
    <col min="1163" max="1163" width="20.375" style="11" customWidth="1"/>
    <col min="1164" max="1164" width="18.75" style="11" bestFit="1" customWidth="1"/>
    <col min="1165" max="1165" width="19.375" style="11" customWidth="1"/>
    <col min="1166" max="1166" width="18.625" style="11" bestFit="1" customWidth="1"/>
    <col min="1167" max="1167" width="18.25" style="11" bestFit="1" customWidth="1"/>
    <col min="1168" max="1168" width="19.5" style="11" customWidth="1"/>
    <col min="1169" max="1171" width="19.375" style="11" customWidth="1"/>
    <col min="1172" max="1172" width="19" style="11" bestFit="1" customWidth="1"/>
    <col min="1173" max="1173" width="18.625" style="11" bestFit="1" customWidth="1"/>
    <col min="1174" max="1174" width="19" style="11" bestFit="1" customWidth="1"/>
    <col min="1175" max="1175" width="18.75" style="11" bestFit="1" customWidth="1"/>
    <col min="1176" max="1176" width="19" style="11" customWidth="1"/>
    <col min="1177" max="1177" width="18.75" style="11" bestFit="1" customWidth="1"/>
    <col min="1178" max="1179" width="19" style="11" bestFit="1" customWidth="1"/>
    <col min="1180" max="1180" width="18.625" style="11" bestFit="1" customWidth="1"/>
    <col min="1181" max="1181" width="18.25" style="11" bestFit="1" customWidth="1"/>
    <col min="1182" max="1182" width="18.625" style="11" bestFit="1" customWidth="1"/>
    <col min="1183" max="1183" width="18.625" style="11" customWidth="1"/>
    <col min="1184" max="1184" width="18" style="11" customWidth="1"/>
    <col min="1185" max="1185" width="17.75" style="11" customWidth="1"/>
    <col min="1186" max="1189" width="18" style="11" customWidth="1"/>
    <col min="1190" max="1190" width="19.875" style="11" customWidth="1"/>
    <col min="1191" max="1191" width="18" style="11" customWidth="1"/>
    <col min="1192" max="1197" width="18.625" style="11" customWidth="1"/>
    <col min="1198" max="1203" width="18.375" style="11" customWidth="1"/>
    <col min="1204" max="1205" width="17.75" style="11" customWidth="1"/>
    <col min="1206" max="1206" width="18.375" style="11" customWidth="1"/>
    <col min="1207" max="1207" width="18.625" style="11" bestFit="1" customWidth="1"/>
    <col min="1208" max="1208" width="19.125" style="11" customWidth="1"/>
    <col min="1209" max="1211" width="18.5" style="11" customWidth="1"/>
    <col min="1212" max="1212" width="17.25" style="11" customWidth="1"/>
    <col min="1213" max="1213" width="18.75" style="11" bestFit="1" customWidth="1"/>
    <col min="1214" max="1214" width="18.125" style="11" bestFit="1" customWidth="1"/>
    <col min="1215" max="1215" width="17.25" style="11" customWidth="1"/>
    <col min="1216" max="1217" width="18.25" style="11" bestFit="1" customWidth="1"/>
    <col min="1218" max="1218" width="19.5" style="11" bestFit="1" customWidth="1"/>
    <col min="1219" max="1219" width="19.375" style="11" bestFit="1" customWidth="1"/>
    <col min="1220" max="1221" width="19.125" style="11" bestFit="1" customWidth="1"/>
    <col min="1222" max="1274" width="9" style="11"/>
    <col min="1275" max="1275" width="25.125" style="11" customWidth="1"/>
    <col min="1276" max="1384" width="17.25" style="11" customWidth="1"/>
    <col min="1385" max="1385" width="19.875" style="11" customWidth="1"/>
    <col min="1386" max="1398" width="17.25" style="11" customWidth="1"/>
    <col min="1399" max="1399" width="16.625" style="11" bestFit="1" customWidth="1"/>
    <col min="1400" max="1400" width="18" style="11" customWidth="1"/>
    <col min="1401" max="1408" width="16.625" style="11" bestFit="1" customWidth="1"/>
    <col min="1409" max="1409" width="16.875" style="11" customWidth="1"/>
    <col min="1410" max="1410" width="19.375" style="11" bestFit="1" customWidth="1"/>
    <col min="1411" max="1418" width="18.75" style="11" customWidth="1"/>
    <col min="1419" max="1419" width="20.375" style="11" customWidth="1"/>
    <col min="1420" max="1420" width="18.75" style="11" bestFit="1" customWidth="1"/>
    <col min="1421" max="1421" width="19.375" style="11" customWidth="1"/>
    <col min="1422" max="1422" width="18.625" style="11" bestFit="1" customWidth="1"/>
    <col min="1423" max="1423" width="18.25" style="11" bestFit="1" customWidth="1"/>
    <col min="1424" max="1424" width="19.5" style="11" customWidth="1"/>
    <col min="1425" max="1427" width="19.375" style="11" customWidth="1"/>
    <col min="1428" max="1428" width="19" style="11" bestFit="1" customWidth="1"/>
    <col min="1429" max="1429" width="18.625" style="11" bestFit="1" customWidth="1"/>
    <col min="1430" max="1430" width="19" style="11" bestFit="1" customWidth="1"/>
    <col min="1431" max="1431" width="18.75" style="11" bestFit="1" customWidth="1"/>
    <col min="1432" max="1432" width="19" style="11" customWidth="1"/>
    <col min="1433" max="1433" width="18.75" style="11" bestFit="1" customWidth="1"/>
    <col min="1434" max="1435" width="19" style="11" bestFit="1" customWidth="1"/>
    <col min="1436" max="1436" width="18.625" style="11" bestFit="1" customWidth="1"/>
    <col min="1437" max="1437" width="18.25" style="11" bestFit="1" customWidth="1"/>
    <col min="1438" max="1438" width="18.625" style="11" bestFit="1" customWidth="1"/>
    <col min="1439" max="1439" width="18.625" style="11" customWidth="1"/>
    <col min="1440" max="1440" width="18" style="11" customWidth="1"/>
    <col min="1441" max="1441" width="17.75" style="11" customWidth="1"/>
    <col min="1442" max="1445" width="18" style="11" customWidth="1"/>
    <col min="1446" max="1446" width="19.875" style="11" customWidth="1"/>
    <col min="1447" max="1447" width="18" style="11" customWidth="1"/>
    <col min="1448" max="1453" width="18.625" style="11" customWidth="1"/>
    <col min="1454" max="1459" width="18.375" style="11" customWidth="1"/>
    <col min="1460" max="1461" width="17.75" style="11" customWidth="1"/>
    <col min="1462" max="1462" width="18.375" style="11" customWidth="1"/>
    <col min="1463" max="1463" width="18.625" style="11" bestFit="1" customWidth="1"/>
    <col min="1464" max="1464" width="19.125" style="11" customWidth="1"/>
    <col min="1465" max="1467" width="18.5" style="11" customWidth="1"/>
    <col min="1468" max="1468" width="17.25" style="11" customWidth="1"/>
    <col min="1469" max="1469" width="18.75" style="11" bestFit="1" customWidth="1"/>
    <col min="1470" max="1470" width="18.125" style="11" bestFit="1" customWidth="1"/>
    <col min="1471" max="1471" width="17.25" style="11" customWidth="1"/>
    <col min="1472" max="1473" width="18.25" style="11" bestFit="1" customWidth="1"/>
    <col min="1474" max="1474" width="19.5" style="11" bestFit="1" customWidth="1"/>
    <col min="1475" max="1475" width="19.375" style="11" bestFit="1" customWidth="1"/>
    <col min="1476" max="1477" width="19.125" style="11" bestFit="1" customWidth="1"/>
    <col min="1478" max="1530" width="9" style="11"/>
    <col min="1531" max="1531" width="25.125" style="11" customWidth="1"/>
    <col min="1532" max="1640" width="17.25" style="11" customWidth="1"/>
    <col min="1641" max="1641" width="19.875" style="11" customWidth="1"/>
    <col min="1642" max="1654" width="17.25" style="11" customWidth="1"/>
    <col min="1655" max="1655" width="16.625" style="11" bestFit="1" customWidth="1"/>
    <col min="1656" max="1656" width="18" style="11" customWidth="1"/>
    <col min="1657" max="1664" width="16.625" style="11" bestFit="1" customWidth="1"/>
    <col min="1665" max="1665" width="16.875" style="11" customWidth="1"/>
    <col min="1666" max="1666" width="19.375" style="11" bestFit="1" customWidth="1"/>
    <col min="1667" max="1674" width="18.75" style="11" customWidth="1"/>
    <col min="1675" max="1675" width="20.375" style="11" customWidth="1"/>
    <col min="1676" max="1676" width="18.75" style="11" bestFit="1" customWidth="1"/>
    <col min="1677" max="1677" width="19.375" style="11" customWidth="1"/>
    <col min="1678" max="1678" width="18.625" style="11" bestFit="1" customWidth="1"/>
    <col min="1679" max="1679" width="18.25" style="11" bestFit="1" customWidth="1"/>
    <col min="1680" max="1680" width="19.5" style="11" customWidth="1"/>
    <col min="1681" max="1683" width="19.375" style="11" customWidth="1"/>
    <col min="1684" max="1684" width="19" style="11" bestFit="1" customWidth="1"/>
    <col min="1685" max="1685" width="18.625" style="11" bestFit="1" customWidth="1"/>
    <col min="1686" max="1686" width="19" style="11" bestFit="1" customWidth="1"/>
    <col min="1687" max="1687" width="18.75" style="11" bestFit="1" customWidth="1"/>
    <col min="1688" max="1688" width="19" style="11" customWidth="1"/>
    <col min="1689" max="1689" width="18.75" style="11" bestFit="1" customWidth="1"/>
    <col min="1690" max="1691" width="19" style="11" bestFit="1" customWidth="1"/>
    <col min="1692" max="1692" width="18.625" style="11" bestFit="1" customWidth="1"/>
    <col min="1693" max="1693" width="18.25" style="11" bestFit="1" customWidth="1"/>
    <col min="1694" max="1694" width="18.625" style="11" bestFit="1" customWidth="1"/>
    <col min="1695" max="1695" width="18.625" style="11" customWidth="1"/>
    <col min="1696" max="1696" width="18" style="11" customWidth="1"/>
    <col min="1697" max="1697" width="17.75" style="11" customWidth="1"/>
    <col min="1698" max="1701" width="18" style="11" customWidth="1"/>
    <col min="1702" max="1702" width="19.875" style="11" customWidth="1"/>
    <col min="1703" max="1703" width="18" style="11" customWidth="1"/>
    <col min="1704" max="1709" width="18.625" style="11" customWidth="1"/>
    <col min="1710" max="1715" width="18.375" style="11" customWidth="1"/>
    <col min="1716" max="1717" width="17.75" style="11" customWidth="1"/>
    <col min="1718" max="1718" width="18.375" style="11" customWidth="1"/>
    <col min="1719" max="1719" width="18.625" style="11" bestFit="1" customWidth="1"/>
    <col min="1720" max="1720" width="19.125" style="11" customWidth="1"/>
    <col min="1721" max="1723" width="18.5" style="11" customWidth="1"/>
    <col min="1724" max="1724" width="17.25" style="11" customWidth="1"/>
    <col min="1725" max="1725" width="18.75" style="11" bestFit="1" customWidth="1"/>
    <col min="1726" max="1726" width="18.125" style="11" bestFit="1" customWidth="1"/>
    <col min="1727" max="1727" width="17.25" style="11" customWidth="1"/>
    <col min="1728" max="1729" width="18.25" style="11" bestFit="1" customWidth="1"/>
    <col min="1730" max="1730" width="19.5" style="11" bestFit="1" customWidth="1"/>
    <col min="1731" max="1731" width="19.375" style="11" bestFit="1" customWidth="1"/>
    <col min="1732" max="1733" width="19.125" style="11" bestFit="1" customWidth="1"/>
    <col min="1734" max="1786" width="9" style="11"/>
    <col min="1787" max="1787" width="25.125" style="11" customWidth="1"/>
    <col min="1788" max="1896" width="17.25" style="11" customWidth="1"/>
    <col min="1897" max="1897" width="19.875" style="11" customWidth="1"/>
    <col min="1898" max="1910" width="17.25" style="11" customWidth="1"/>
    <col min="1911" max="1911" width="16.625" style="11" bestFit="1" customWidth="1"/>
    <col min="1912" max="1912" width="18" style="11" customWidth="1"/>
    <col min="1913" max="1920" width="16.625" style="11" bestFit="1" customWidth="1"/>
    <col min="1921" max="1921" width="16.875" style="11" customWidth="1"/>
    <col min="1922" max="1922" width="19.375" style="11" bestFit="1" customWidth="1"/>
    <col min="1923" max="1930" width="18.75" style="11" customWidth="1"/>
    <col min="1931" max="1931" width="20.375" style="11" customWidth="1"/>
    <col min="1932" max="1932" width="18.75" style="11" bestFit="1" customWidth="1"/>
    <col min="1933" max="1933" width="19.375" style="11" customWidth="1"/>
    <col min="1934" max="1934" width="18.625" style="11" bestFit="1" customWidth="1"/>
    <col min="1935" max="1935" width="18.25" style="11" bestFit="1" customWidth="1"/>
    <col min="1936" max="1936" width="19.5" style="11" customWidth="1"/>
    <col min="1937" max="1939" width="19.375" style="11" customWidth="1"/>
    <col min="1940" max="1940" width="19" style="11" bestFit="1" customWidth="1"/>
    <col min="1941" max="1941" width="18.625" style="11" bestFit="1" customWidth="1"/>
    <col min="1942" max="1942" width="19" style="11" bestFit="1" customWidth="1"/>
    <col min="1943" max="1943" width="18.75" style="11" bestFit="1" customWidth="1"/>
    <col min="1944" max="1944" width="19" style="11" customWidth="1"/>
    <col min="1945" max="1945" width="18.75" style="11" bestFit="1" customWidth="1"/>
    <col min="1946" max="1947" width="19" style="11" bestFit="1" customWidth="1"/>
    <col min="1948" max="1948" width="18.625" style="11" bestFit="1" customWidth="1"/>
    <col min="1949" max="1949" width="18.25" style="11" bestFit="1" customWidth="1"/>
    <col min="1950" max="1950" width="18.625" style="11" bestFit="1" customWidth="1"/>
    <col min="1951" max="1951" width="18.625" style="11" customWidth="1"/>
    <col min="1952" max="1952" width="18" style="11" customWidth="1"/>
    <col min="1953" max="1953" width="17.75" style="11" customWidth="1"/>
    <col min="1954" max="1957" width="18" style="11" customWidth="1"/>
    <col min="1958" max="1958" width="19.875" style="11" customWidth="1"/>
    <col min="1959" max="1959" width="18" style="11" customWidth="1"/>
    <col min="1960" max="1965" width="18.625" style="11" customWidth="1"/>
    <col min="1966" max="1971" width="18.375" style="11" customWidth="1"/>
    <col min="1972" max="1973" width="17.75" style="11" customWidth="1"/>
    <col min="1974" max="1974" width="18.375" style="11" customWidth="1"/>
    <col min="1975" max="1975" width="18.625" style="11" bestFit="1" customWidth="1"/>
    <col min="1976" max="1976" width="19.125" style="11" customWidth="1"/>
    <col min="1977" max="1979" width="18.5" style="11" customWidth="1"/>
    <col min="1980" max="1980" width="17.25" style="11" customWidth="1"/>
    <col min="1981" max="1981" width="18.75" style="11" bestFit="1" customWidth="1"/>
    <col min="1982" max="1982" width="18.125" style="11" bestFit="1" customWidth="1"/>
    <col min="1983" max="1983" width="17.25" style="11" customWidth="1"/>
    <col min="1984" max="1985" width="18.25" style="11" bestFit="1" customWidth="1"/>
    <col min="1986" max="1986" width="19.5" style="11" bestFit="1" customWidth="1"/>
    <col min="1987" max="1987" width="19.375" style="11" bestFit="1" customWidth="1"/>
    <col min="1988" max="1989" width="19.125" style="11" bestFit="1" customWidth="1"/>
    <col min="1990" max="2042" width="9" style="11"/>
    <col min="2043" max="2043" width="25.125" style="11" customWidth="1"/>
    <col min="2044" max="2152" width="17.25" style="11" customWidth="1"/>
    <col min="2153" max="2153" width="19.875" style="11" customWidth="1"/>
    <col min="2154" max="2166" width="17.25" style="11" customWidth="1"/>
    <col min="2167" max="2167" width="16.625" style="11" bestFit="1" customWidth="1"/>
    <col min="2168" max="2168" width="18" style="11" customWidth="1"/>
    <col min="2169" max="2176" width="16.625" style="11" bestFit="1" customWidth="1"/>
    <col min="2177" max="2177" width="16.875" style="11" customWidth="1"/>
    <col min="2178" max="2178" width="19.375" style="11" bestFit="1" customWidth="1"/>
    <col min="2179" max="2186" width="18.75" style="11" customWidth="1"/>
    <col min="2187" max="2187" width="20.375" style="11" customWidth="1"/>
    <col min="2188" max="2188" width="18.75" style="11" bestFit="1" customWidth="1"/>
    <col min="2189" max="2189" width="19.375" style="11" customWidth="1"/>
    <col min="2190" max="2190" width="18.625" style="11" bestFit="1" customWidth="1"/>
    <col min="2191" max="2191" width="18.25" style="11" bestFit="1" customWidth="1"/>
    <col min="2192" max="2192" width="19.5" style="11" customWidth="1"/>
    <col min="2193" max="2195" width="19.375" style="11" customWidth="1"/>
    <col min="2196" max="2196" width="19" style="11" bestFit="1" customWidth="1"/>
    <col min="2197" max="2197" width="18.625" style="11" bestFit="1" customWidth="1"/>
    <col min="2198" max="2198" width="19" style="11" bestFit="1" customWidth="1"/>
    <col min="2199" max="2199" width="18.75" style="11" bestFit="1" customWidth="1"/>
    <col min="2200" max="2200" width="19" style="11" customWidth="1"/>
    <col min="2201" max="2201" width="18.75" style="11" bestFit="1" customWidth="1"/>
    <col min="2202" max="2203" width="19" style="11" bestFit="1" customWidth="1"/>
    <col min="2204" max="2204" width="18.625" style="11" bestFit="1" customWidth="1"/>
    <col min="2205" max="2205" width="18.25" style="11" bestFit="1" customWidth="1"/>
    <col min="2206" max="2206" width="18.625" style="11" bestFit="1" customWidth="1"/>
    <col min="2207" max="2207" width="18.625" style="11" customWidth="1"/>
    <col min="2208" max="2208" width="18" style="11" customWidth="1"/>
    <col min="2209" max="2209" width="17.75" style="11" customWidth="1"/>
    <col min="2210" max="2213" width="18" style="11" customWidth="1"/>
    <col min="2214" max="2214" width="19.875" style="11" customWidth="1"/>
    <col min="2215" max="2215" width="18" style="11" customWidth="1"/>
    <col min="2216" max="2221" width="18.625" style="11" customWidth="1"/>
    <col min="2222" max="2227" width="18.375" style="11" customWidth="1"/>
    <col min="2228" max="2229" width="17.75" style="11" customWidth="1"/>
    <col min="2230" max="2230" width="18.375" style="11" customWidth="1"/>
    <col min="2231" max="2231" width="18.625" style="11" bestFit="1" customWidth="1"/>
    <col min="2232" max="2232" width="19.125" style="11" customWidth="1"/>
    <col min="2233" max="2235" width="18.5" style="11" customWidth="1"/>
    <col min="2236" max="2236" width="17.25" style="11" customWidth="1"/>
    <col min="2237" max="2237" width="18.75" style="11" bestFit="1" customWidth="1"/>
    <col min="2238" max="2238" width="18.125" style="11" bestFit="1" customWidth="1"/>
    <col min="2239" max="2239" width="17.25" style="11" customWidth="1"/>
    <col min="2240" max="2241" width="18.25" style="11" bestFit="1" customWidth="1"/>
    <col min="2242" max="2242" width="19.5" style="11" bestFit="1" customWidth="1"/>
    <col min="2243" max="2243" width="19.375" style="11" bestFit="1" customWidth="1"/>
    <col min="2244" max="2245" width="19.125" style="11" bestFit="1" customWidth="1"/>
    <col min="2246" max="2298" width="9" style="11"/>
    <col min="2299" max="2299" width="25.125" style="11" customWidth="1"/>
    <col min="2300" max="2408" width="17.25" style="11" customWidth="1"/>
    <col min="2409" max="2409" width="19.875" style="11" customWidth="1"/>
    <col min="2410" max="2422" width="17.25" style="11" customWidth="1"/>
    <col min="2423" max="2423" width="16.625" style="11" bestFit="1" customWidth="1"/>
    <col min="2424" max="2424" width="18" style="11" customWidth="1"/>
    <col min="2425" max="2432" width="16.625" style="11" bestFit="1" customWidth="1"/>
    <col min="2433" max="2433" width="16.875" style="11" customWidth="1"/>
    <col min="2434" max="2434" width="19.375" style="11" bestFit="1" customWidth="1"/>
    <col min="2435" max="2442" width="18.75" style="11" customWidth="1"/>
    <col min="2443" max="2443" width="20.375" style="11" customWidth="1"/>
    <col min="2444" max="2444" width="18.75" style="11" bestFit="1" customWidth="1"/>
    <col min="2445" max="2445" width="19.375" style="11" customWidth="1"/>
    <col min="2446" max="2446" width="18.625" style="11" bestFit="1" customWidth="1"/>
    <col min="2447" max="2447" width="18.25" style="11" bestFit="1" customWidth="1"/>
    <col min="2448" max="2448" width="19.5" style="11" customWidth="1"/>
    <col min="2449" max="2451" width="19.375" style="11" customWidth="1"/>
    <col min="2452" max="2452" width="19" style="11" bestFit="1" customWidth="1"/>
    <col min="2453" max="2453" width="18.625" style="11" bestFit="1" customWidth="1"/>
    <col min="2454" max="2454" width="19" style="11" bestFit="1" customWidth="1"/>
    <col min="2455" max="2455" width="18.75" style="11" bestFit="1" customWidth="1"/>
    <col min="2456" max="2456" width="19" style="11" customWidth="1"/>
    <col min="2457" max="2457" width="18.75" style="11" bestFit="1" customWidth="1"/>
    <col min="2458" max="2459" width="19" style="11" bestFit="1" customWidth="1"/>
    <col min="2460" max="2460" width="18.625" style="11" bestFit="1" customWidth="1"/>
    <col min="2461" max="2461" width="18.25" style="11" bestFit="1" customWidth="1"/>
    <col min="2462" max="2462" width="18.625" style="11" bestFit="1" customWidth="1"/>
    <col min="2463" max="2463" width="18.625" style="11" customWidth="1"/>
    <col min="2464" max="2464" width="18" style="11" customWidth="1"/>
    <col min="2465" max="2465" width="17.75" style="11" customWidth="1"/>
    <col min="2466" max="2469" width="18" style="11" customWidth="1"/>
    <col min="2470" max="2470" width="19.875" style="11" customWidth="1"/>
    <col min="2471" max="2471" width="18" style="11" customWidth="1"/>
    <col min="2472" max="2477" width="18.625" style="11" customWidth="1"/>
    <col min="2478" max="2483" width="18.375" style="11" customWidth="1"/>
    <col min="2484" max="2485" width="17.75" style="11" customWidth="1"/>
    <col min="2486" max="2486" width="18.375" style="11" customWidth="1"/>
    <col min="2487" max="2487" width="18.625" style="11" bestFit="1" customWidth="1"/>
    <col min="2488" max="2488" width="19.125" style="11" customWidth="1"/>
    <col min="2489" max="2491" width="18.5" style="11" customWidth="1"/>
    <col min="2492" max="2492" width="17.25" style="11" customWidth="1"/>
    <col min="2493" max="2493" width="18.75" style="11" bestFit="1" customWidth="1"/>
    <col min="2494" max="2494" width="18.125" style="11" bestFit="1" customWidth="1"/>
    <col min="2495" max="2495" width="17.25" style="11" customWidth="1"/>
    <col min="2496" max="2497" width="18.25" style="11" bestFit="1" customWidth="1"/>
    <col min="2498" max="2498" width="19.5" style="11" bestFit="1" customWidth="1"/>
    <col min="2499" max="2499" width="19.375" style="11" bestFit="1" customWidth="1"/>
    <col min="2500" max="2501" width="19.125" style="11" bestFit="1" customWidth="1"/>
    <col min="2502" max="2554" width="9" style="11"/>
    <col min="2555" max="2555" width="25.125" style="11" customWidth="1"/>
    <col min="2556" max="2664" width="17.25" style="11" customWidth="1"/>
    <col min="2665" max="2665" width="19.875" style="11" customWidth="1"/>
    <col min="2666" max="2678" width="17.25" style="11" customWidth="1"/>
    <col min="2679" max="2679" width="16.625" style="11" bestFit="1" customWidth="1"/>
    <col min="2680" max="2680" width="18" style="11" customWidth="1"/>
    <col min="2681" max="2688" width="16.625" style="11" bestFit="1" customWidth="1"/>
    <col min="2689" max="2689" width="16.875" style="11" customWidth="1"/>
    <col min="2690" max="2690" width="19.375" style="11" bestFit="1" customWidth="1"/>
    <col min="2691" max="2698" width="18.75" style="11" customWidth="1"/>
    <col min="2699" max="2699" width="20.375" style="11" customWidth="1"/>
    <col min="2700" max="2700" width="18.75" style="11" bestFit="1" customWidth="1"/>
    <col min="2701" max="2701" width="19.375" style="11" customWidth="1"/>
    <col min="2702" max="2702" width="18.625" style="11" bestFit="1" customWidth="1"/>
    <col min="2703" max="2703" width="18.25" style="11" bestFit="1" customWidth="1"/>
    <col min="2704" max="2704" width="19.5" style="11" customWidth="1"/>
    <col min="2705" max="2707" width="19.375" style="11" customWidth="1"/>
    <col min="2708" max="2708" width="19" style="11" bestFit="1" customWidth="1"/>
    <col min="2709" max="2709" width="18.625" style="11" bestFit="1" customWidth="1"/>
    <col min="2710" max="2710" width="19" style="11" bestFit="1" customWidth="1"/>
    <col min="2711" max="2711" width="18.75" style="11" bestFit="1" customWidth="1"/>
    <col min="2712" max="2712" width="19" style="11" customWidth="1"/>
    <col min="2713" max="2713" width="18.75" style="11" bestFit="1" customWidth="1"/>
    <col min="2714" max="2715" width="19" style="11" bestFit="1" customWidth="1"/>
    <col min="2716" max="2716" width="18.625" style="11" bestFit="1" customWidth="1"/>
    <col min="2717" max="2717" width="18.25" style="11" bestFit="1" customWidth="1"/>
    <col min="2718" max="2718" width="18.625" style="11" bestFit="1" customWidth="1"/>
    <col min="2719" max="2719" width="18.625" style="11" customWidth="1"/>
    <col min="2720" max="2720" width="18" style="11" customWidth="1"/>
    <col min="2721" max="2721" width="17.75" style="11" customWidth="1"/>
    <col min="2722" max="2725" width="18" style="11" customWidth="1"/>
    <col min="2726" max="2726" width="19.875" style="11" customWidth="1"/>
    <col min="2727" max="2727" width="18" style="11" customWidth="1"/>
    <col min="2728" max="2733" width="18.625" style="11" customWidth="1"/>
    <col min="2734" max="2739" width="18.375" style="11" customWidth="1"/>
    <col min="2740" max="2741" width="17.75" style="11" customWidth="1"/>
    <col min="2742" max="2742" width="18.375" style="11" customWidth="1"/>
    <col min="2743" max="2743" width="18.625" style="11" bestFit="1" customWidth="1"/>
    <col min="2744" max="2744" width="19.125" style="11" customWidth="1"/>
    <col min="2745" max="2747" width="18.5" style="11" customWidth="1"/>
    <col min="2748" max="2748" width="17.25" style="11" customWidth="1"/>
    <col min="2749" max="2749" width="18.75" style="11" bestFit="1" customWidth="1"/>
    <col min="2750" max="2750" width="18.125" style="11" bestFit="1" customWidth="1"/>
    <col min="2751" max="2751" width="17.25" style="11" customWidth="1"/>
    <col min="2752" max="2753" width="18.25" style="11" bestFit="1" customWidth="1"/>
    <col min="2754" max="2754" width="19.5" style="11" bestFit="1" customWidth="1"/>
    <col min="2755" max="2755" width="19.375" style="11" bestFit="1" customWidth="1"/>
    <col min="2756" max="2757" width="19.125" style="11" bestFit="1" customWidth="1"/>
    <col min="2758" max="2810" width="9" style="11"/>
    <col min="2811" max="2811" width="25.125" style="11" customWidth="1"/>
    <col min="2812" max="2920" width="17.25" style="11" customWidth="1"/>
    <col min="2921" max="2921" width="19.875" style="11" customWidth="1"/>
    <col min="2922" max="2934" width="17.25" style="11" customWidth="1"/>
    <col min="2935" max="2935" width="16.625" style="11" bestFit="1" customWidth="1"/>
    <col min="2936" max="2936" width="18" style="11" customWidth="1"/>
    <col min="2937" max="2944" width="16.625" style="11" bestFit="1" customWidth="1"/>
    <col min="2945" max="2945" width="16.875" style="11" customWidth="1"/>
    <col min="2946" max="2946" width="19.375" style="11" bestFit="1" customWidth="1"/>
    <col min="2947" max="2954" width="18.75" style="11" customWidth="1"/>
    <col min="2955" max="2955" width="20.375" style="11" customWidth="1"/>
    <col min="2956" max="2956" width="18.75" style="11" bestFit="1" customWidth="1"/>
    <col min="2957" max="2957" width="19.375" style="11" customWidth="1"/>
    <col min="2958" max="2958" width="18.625" style="11" bestFit="1" customWidth="1"/>
    <col min="2959" max="2959" width="18.25" style="11" bestFit="1" customWidth="1"/>
    <col min="2960" max="2960" width="19.5" style="11" customWidth="1"/>
    <col min="2961" max="2963" width="19.375" style="11" customWidth="1"/>
    <col min="2964" max="2964" width="19" style="11" bestFit="1" customWidth="1"/>
    <col min="2965" max="2965" width="18.625" style="11" bestFit="1" customWidth="1"/>
    <col min="2966" max="2966" width="19" style="11" bestFit="1" customWidth="1"/>
    <col min="2967" max="2967" width="18.75" style="11" bestFit="1" customWidth="1"/>
    <col min="2968" max="2968" width="19" style="11" customWidth="1"/>
    <col min="2969" max="2969" width="18.75" style="11" bestFit="1" customWidth="1"/>
    <col min="2970" max="2971" width="19" style="11" bestFit="1" customWidth="1"/>
    <col min="2972" max="2972" width="18.625" style="11" bestFit="1" customWidth="1"/>
    <col min="2973" max="2973" width="18.25" style="11" bestFit="1" customWidth="1"/>
    <col min="2974" max="2974" width="18.625" style="11" bestFit="1" customWidth="1"/>
    <col min="2975" max="2975" width="18.625" style="11" customWidth="1"/>
    <col min="2976" max="2976" width="18" style="11" customWidth="1"/>
    <col min="2977" max="2977" width="17.75" style="11" customWidth="1"/>
    <col min="2978" max="2981" width="18" style="11" customWidth="1"/>
    <col min="2982" max="2982" width="19.875" style="11" customWidth="1"/>
    <col min="2983" max="2983" width="18" style="11" customWidth="1"/>
    <col min="2984" max="2989" width="18.625" style="11" customWidth="1"/>
    <col min="2990" max="2995" width="18.375" style="11" customWidth="1"/>
    <col min="2996" max="2997" width="17.75" style="11" customWidth="1"/>
    <col min="2998" max="2998" width="18.375" style="11" customWidth="1"/>
    <col min="2999" max="2999" width="18.625" style="11" bestFit="1" customWidth="1"/>
    <col min="3000" max="3000" width="19.125" style="11" customWidth="1"/>
    <col min="3001" max="3003" width="18.5" style="11" customWidth="1"/>
    <col min="3004" max="3004" width="17.25" style="11" customWidth="1"/>
    <col min="3005" max="3005" width="18.75" style="11" bestFit="1" customWidth="1"/>
    <col min="3006" max="3006" width="18.125" style="11" bestFit="1" customWidth="1"/>
    <col min="3007" max="3007" width="17.25" style="11" customWidth="1"/>
    <col min="3008" max="3009" width="18.25" style="11" bestFit="1" customWidth="1"/>
    <col min="3010" max="3010" width="19.5" style="11" bestFit="1" customWidth="1"/>
    <col min="3011" max="3011" width="19.375" style="11" bestFit="1" customWidth="1"/>
    <col min="3012" max="3013" width="19.125" style="11" bestFit="1" customWidth="1"/>
    <col min="3014" max="3066" width="9" style="11"/>
    <col min="3067" max="3067" width="25.125" style="11" customWidth="1"/>
    <col min="3068" max="3176" width="17.25" style="11" customWidth="1"/>
    <col min="3177" max="3177" width="19.875" style="11" customWidth="1"/>
    <col min="3178" max="3190" width="17.25" style="11" customWidth="1"/>
    <col min="3191" max="3191" width="16.625" style="11" bestFit="1" customWidth="1"/>
    <col min="3192" max="3192" width="18" style="11" customWidth="1"/>
    <col min="3193" max="3200" width="16.625" style="11" bestFit="1" customWidth="1"/>
    <col min="3201" max="3201" width="16.875" style="11" customWidth="1"/>
    <col min="3202" max="3202" width="19.375" style="11" bestFit="1" customWidth="1"/>
    <col min="3203" max="3210" width="18.75" style="11" customWidth="1"/>
    <col min="3211" max="3211" width="20.375" style="11" customWidth="1"/>
    <col min="3212" max="3212" width="18.75" style="11" bestFit="1" customWidth="1"/>
    <col min="3213" max="3213" width="19.375" style="11" customWidth="1"/>
    <col min="3214" max="3214" width="18.625" style="11" bestFit="1" customWidth="1"/>
    <col min="3215" max="3215" width="18.25" style="11" bestFit="1" customWidth="1"/>
    <col min="3216" max="3216" width="19.5" style="11" customWidth="1"/>
    <col min="3217" max="3219" width="19.375" style="11" customWidth="1"/>
    <col min="3220" max="3220" width="19" style="11" bestFit="1" customWidth="1"/>
    <col min="3221" max="3221" width="18.625" style="11" bestFit="1" customWidth="1"/>
    <col min="3222" max="3222" width="19" style="11" bestFit="1" customWidth="1"/>
    <col min="3223" max="3223" width="18.75" style="11" bestFit="1" customWidth="1"/>
    <col min="3224" max="3224" width="19" style="11" customWidth="1"/>
    <col min="3225" max="3225" width="18.75" style="11" bestFit="1" customWidth="1"/>
    <col min="3226" max="3227" width="19" style="11" bestFit="1" customWidth="1"/>
    <col min="3228" max="3228" width="18.625" style="11" bestFit="1" customWidth="1"/>
    <col min="3229" max="3229" width="18.25" style="11" bestFit="1" customWidth="1"/>
    <col min="3230" max="3230" width="18.625" style="11" bestFit="1" customWidth="1"/>
    <col min="3231" max="3231" width="18.625" style="11" customWidth="1"/>
    <col min="3232" max="3232" width="18" style="11" customWidth="1"/>
    <col min="3233" max="3233" width="17.75" style="11" customWidth="1"/>
    <col min="3234" max="3237" width="18" style="11" customWidth="1"/>
    <col min="3238" max="3238" width="19.875" style="11" customWidth="1"/>
    <col min="3239" max="3239" width="18" style="11" customWidth="1"/>
    <col min="3240" max="3245" width="18.625" style="11" customWidth="1"/>
    <col min="3246" max="3251" width="18.375" style="11" customWidth="1"/>
    <col min="3252" max="3253" width="17.75" style="11" customWidth="1"/>
    <col min="3254" max="3254" width="18.375" style="11" customWidth="1"/>
    <col min="3255" max="3255" width="18.625" style="11" bestFit="1" customWidth="1"/>
    <col min="3256" max="3256" width="19.125" style="11" customWidth="1"/>
    <col min="3257" max="3259" width="18.5" style="11" customWidth="1"/>
    <col min="3260" max="3260" width="17.25" style="11" customWidth="1"/>
    <col min="3261" max="3261" width="18.75" style="11" bestFit="1" customWidth="1"/>
    <col min="3262" max="3262" width="18.125" style="11" bestFit="1" customWidth="1"/>
    <col min="3263" max="3263" width="17.25" style="11" customWidth="1"/>
    <col min="3264" max="3265" width="18.25" style="11" bestFit="1" customWidth="1"/>
    <col min="3266" max="3266" width="19.5" style="11" bestFit="1" customWidth="1"/>
    <col min="3267" max="3267" width="19.375" style="11" bestFit="1" customWidth="1"/>
    <col min="3268" max="3269" width="19.125" style="11" bestFit="1" customWidth="1"/>
    <col min="3270" max="3322" width="9" style="11"/>
    <col min="3323" max="3323" width="25.125" style="11" customWidth="1"/>
    <col min="3324" max="3432" width="17.25" style="11" customWidth="1"/>
    <col min="3433" max="3433" width="19.875" style="11" customWidth="1"/>
    <col min="3434" max="3446" width="17.25" style="11" customWidth="1"/>
    <col min="3447" max="3447" width="16.625" style="11" bestFit="1" customWidth="1"/>
    <col min="3448" max="3448" width="18" style="11" customWidth="1"/>
    <col min="3449" max="3456" width="16.625" style="11" bestFit="1" customWidth="1"/>
    <col min="3457" max="3457" width="16.875" style="11" customWidth="1"/>
    <col min="3458" max="3458" width="19.375" style="11" bestFit="1" customWidth="1"/>
    <col min="3459" max="3466" width="18.75" style="11" customWidth="1"/>
    <col min="3467" max="3467" width="20.375" style="11" customWidth="1"/>
    <col min="3468" max="3468" width="18.75" style="11" bestFit="1" customWidth="1"/>
    <col min="3469" max="3469" width="19.375" style="11" customWidth="1"/>
    <col min="3470" max="3470" width="18.625" style="11" bestFit="1" customWidth="1"/>
    <col min="3471" max="3471" width="18.25" style="11" bestFit="1" customWidth="1"/>
    <col min="3472" max="3472" width="19.5" style="11" customWidth="1"/>
    <col min="3473" max="3475" width="19.375" style="11" customWidth="1"/>
    <col min="3476" max="3476" width="19" style="11" bestFit="1" customWidth="1"/>
    <col min="3477" max="3477" width="18.625" style="11" bestFit="1" customWidth="1"/>
    <col min="3478" max="3478" width="19" style="11" bestFit="1" customWidth="1"/>
    <col min="3479" max="3479" width="18.75" style="11" bestFit="1" customWidth="1"/>
    <col min="3480" max="3480" width="19" style="11" customWidth="1"/>
    <col min="3481" max="3481" width="18.75" style="11" bestFit="1" customWidth="1"/>
    <col min="3482" max="3483" width="19" style="11" bestFit="1" customWidth="1"/>
    <col min="3484" max="3484" width="18.625" style="11" bestFit="1" customWidth="1"/>
    <col min="3485" max="3485" width="18.25" style="11" bestFit="1" customWidth="1"/>
    <col min="3486" max="3486" width="18.625" style="11" bestFit="1" customWidth="1"/>
    <col min="3487" max="3487" width="18.625" style="11" customWidth="1"/>
    <col min="3488" max="3488" width="18" style="11" customWidth="1"/>
    <col min="3489" max="3489" width="17.75" style="11" customWidth="1"/>
    <col min="3490" max="3493" width="18" style="11" customWidth="1"/>
    <col min="3494" max="3494" width="19.875" style="11" customWidth="1"/>
    <col min="3495" max="3495" width="18" style="11" customWidth="1"/>
    <col min="3496" max="3501" width="18.625" style="11" customWidth="1"/>
    <col min="3502" max="3507" width="18.375" style="11" customWidth="1"/>
    <col min="3508" max="3509" width="17.75" style="11" customWidth="1"/>
    <col min="3510" max="3510" width="18.375" style="11" customWidth="1"/>
    <col min="3511" max="3511" width="18.625" style="11" bestFit="1" customWidth="1"/>
    <col min="3512" max="3512" width="19.125" style="11" customWidth="1"/>
    <col min="3513" max="3515" width="18.5" style="11" customWidth="1"/>
    <col min="3516" max="3516" width="17.25" style="11" customWidth="1"/>
    <col min="3517" max="3517" width="18.75" style="11" bestFit="1" customWidth="1"/>
    <col min="3518" max="3518" width="18.125" style="11" bestFit="1" customWidth="1"/>
    <col min="3519" max="3519" width="17.25" style="11" customWidth="1"/>
    <col min="3520" max="3521" width="18.25" style="11" bestFit="1" customWidth="1"/>
    <col min="3522" max="3522" width="19.5" style="11" bestFit="1" customWidth="1"/>
    <col min="3523" max="3523" width="19.375" style="11" bestFit="1" customWidth="1"/>
    <col min="3524" max="3525" width="19.125" style="11" bestFit="1" customWidth="1"/>
    <col min="3526" max="3578" width="9" style="11"/>
    <col min="3579" max="3579" width="25.125" style="11" customWidth="1"/>
    <col min="3580" max="3688" width="17.25" style="11" customWidth="1"/>
    <col min="3689" max="3689" width="19.875" style="11" customWidth="1"/>
    <col min="3690" max="3702" width="17.25" style="11" customWidth="1"/>
    <col min="3703" max="3703" width="16.625" style="11" bestFit="1" customWidth="1"/>
    <col min="3704" max="3704" width="18" style="11" customWidth="1"/>
    <col min="3705" max="3712" width="16.625" style="11" bestFit="1" customWidth="1"/>
    <col min="3713" max="3713" width="16.875" style="11" customWidth="1"/>
    <col min="3714" max="3714" width="19.375" style="11" bestFit="1" customWidth="1"/>
    <col min="3715" max="3722" width="18.75" style="11" customWidth="1"/>
    <col min="3723" max="3723" width="20.375" style="11" customWidth="1"/>
    <col min="3724" max="3724" width="18.75" style="11" bestFit="1" customWidth="1"/>
    <col min="3725" max="3725" width="19.375" style="11" customWidth="1"/>
    <col min="3726" max="3726" width="18.625" style="11" bestFit="1" customWidth="1"/>
    <col min="3727" max="3727" width="18.25" style="11" bestFit="1" customWidth="1"/>
    <col min="3728" max="3728" width="19.5" style="11" customWidth="1"/>
    <col min="3729" max="3731" width="19.375" style="11" customWidth="1"/>
    <col min="3732" max="3732" width="19" style="11" bestFit="1" customWidth="1"/>
    <col min="3733" max="3733" width="18.625" style="11" bestFit="1" customWidth="1"/>
    <col min="3734" max="3734" width="19" style="11" bestFit="1" customWidth="1"/>
    <col min="3735" max="3735" width="18.75" style="11" bestFit="1" customWidth="1"/>
    <col min="3736" max="3736" width="19" style="11" customWidth="1"/>
    <col min="3737" max="3737" width="18.75" style="11" bestFit="1" customWidth="1"/>
    <col min="3738" max="3739" width="19" style="11" bestFit="1" customWidth="1"/>
    <col min="3740" max="3740" width="18.625" style="11" bestFit="1" customWidth="1"/>
    <col min="3741" max="3741" width="18.25" style="11" bestFit="1" customWidth="1"/>
    <col min="3742" max="3742" width="18.625" style="11" bestFit="1" customWidth="1"/>
    <col min="3743" max="3743" width="18.625" style="11" customWidth="1"/>
    <col min="3744" max="3744" width="18" style="11" customWidth="1"/>
    <col min="3745" max="3745" width="17.75" style="11" customWidth="1"/>
    <col min="3746" max="3749" width="18" style="11" customWidth="1"/>
    <col min="3750" max="3750" width="19.875" style="11" customWidth="1"/>
    <col min="3751" max="3751" width="18" style="11" customWidth="1"/>
    <col min="3752" max="3757" width="18.625" style="11" customWidth="1"/>
    <col min="3758" max="3763" width="18.375" style="11" customWidth="1"/>
    <col min="3764" max="3765" width="17.75" style="11" customWidth="1"/>
    <col min="3766" max="3766" width="18.375" style="11" customWidth="1"/>
    <col min="3767" max="3767" width="18.625" style="11" bestFit="1" customWidth="1"/>
    <col min="3768" max="3768" width="19.125" style="11" customWidth="1"/>
    <col min="3769" max="3771" width="18.5" style="11" customWidth="1"/>
    <col min="3772" max="3772" width="17.25" style="11" customWidth="1"/>
    <col min="3773" max="3773" width="18.75" style="11" bestFit="1" customWidth="1"/>
    <col min="3774" max="3774" width="18.125" style="11" bestFit="1" customWidth="1"/>
    <col min="3775" max="3775" width="17.25" style="11" customWidth="1"/>
    <col min="3776" max="3777" width="18.25" style="11" bestFit="1" customWidth="1"/>
    <col min="3778" max="3778" width="19.5" style="11" bestFit="1" customWidth="1"/>
    <col min="3779" max="3779" width="19.375" style="11" bestFit="1" customWidth="1"/>
    <col min="3780" max="3781" width="19.125" style="11" bestFit="1" customWidth="1"/>
    <col min="3782" max="3834" width="9" style="11"/>
    <col min="3835" max="3835" width="25.125" style="11" customWidth="1"/>
    <col min="3836" max="3944" width="17.25" style="11" customWidth="1"/>
    <col min="3945" max="3945" width="19.875" style="11" customWidth="1"/>
    <col min="3946" max="3958" width="17.25" style="11" customWidth="1"/>
    <col min="3959" max="3959" width="16.625" style="11" bestFit="1" customWidth="1"/>
    <col min="3960" max="3960" width="18" style="11" customWidth="1"/>
    <col min="3961" max="3968" width="16.625" style="11" bestFit="1" customWidth="1"/>
    <col min="3969" max="3969" width="16.875" style="11" customWidth="1"/>
    <col min="3970" max="3970" width="19.375" style="11" bestFit="1" customWidth="1"/>
    <col min="3971" max="3978" width="18.75" style="11" customWidth="1"/>
    <col min="3979" max="3979" width="20.375" style="11" customWidth="1"/>
    <col min="3980" max="3980" width="18.75" style="11" bestFit="1" customWidth="1"/>
    <col min="3981" max="3981" width="19.375" style="11" customWidth="1"/>
    <col min="3982" max="3982" width="18.625" style="11" bestFit="1" customWidth="1"/>
    <col min="3983" max="3983" width="18.25" style="11" bestFit="1" customWidth="1"/>
    <col min="3984" max="3984" width="19.5" style="11" customWidth="1"/>
    <col min="3985" max="3987" width="19.375" style="11" customWidth="1"/>
    <col min="3988" max="3988" width="19" style="11" bestFit="1" customWidth="1"/>
    <col min="3989" max="3989" width="18.625" style="11" bestFit="1" customWidth="1"/>
    <col min="3990" max="3990" width="19" style="11" bestFit="1" customWidth="1"/>
    <col min="3991" max="3991" width="18.75" style="11" bestFit="1" customWidth="1"/>
    <col min="3992" max="3992" width="19" style="11" customWidth="1"/>
    <col min="3993" max="3993" width="18.75" style="11" bestFit="1" customWidth="1"/>
    <col min="3994" max="3995" width="19" style="11" bestFit="1" customWidth="1"/>
    <col min="3996" max="3996" width="18.625" style="11" bestFit="1" customWidth="1"/>
    <col min="3997" max="3997" width="18.25" style="11" bestFit="1" customWidth="1"/>
    <col min="3998" max="3998" width="18.625" style="11" bestFit="1" customWidth="1"/>
    <col min="3999" max="3999" width="18.625" style="11" customWidth="1"/>
    <col min="4000" max="4000" width="18" style="11" customWidth="1"/>
    <col min="4001" max="4001" width="17.75" style="11" customWidth="1"/>
    <col min="4002" max="4005" width="18" style="11" customWidth="1"/>
    <col min="4006" max="4006" width="19.875" style="11" customWidth="1"/>
    <col min="4007" max="4007" width="18" style="11" customWidth="1"/>
    <col min="4008" max="4013" width="18.625" style="11" customWidth="1"/>
    <col min="4014" max="4019" width="18.375" style="11" customWidth="1"/>
    <col min="4020" max="4021" width="17.75" style="11" customWidth="1"/>
    <col min="4022" max="4022" width="18.375" style="11" customWidth="1"/>
    <col min="4023" max="4023" width="18.625" style="11" bestFit="1" customWidth="1"/>
    <col min="4024" max="4024" width="19.125" style="11" customWidth="1"/>
    <col min="4025" max="4027" width="18.5" style="11" customWidth="1"/>
    <col min="4028" max="4028" width="17.25" style="11" customWidth="1"/>
    <col min="4029" max="4029" width="18.75" style="11" bestFit="1" customWidth="1"/>
    <col min="4030" max="4030" width="18.125" style="11" bestFit="1" customWidth="1"/>
    <col min="4031" max="4031" width="17.25" style="11" customWidth="1"/>
    <col min="4032" max="4033" width="18.25" style="11" bestFit="1" customWidth="1"/>
    <col min="4034" max="4034" width="19.5" style="11" bestFit="1" customWidth="1"/>
    <col min="4035" max="4035" width="19.375" style="11" bestFit="1" customWidth="1"/>
    <col min="4036" max="4037" width="19.125" style="11" bestFit="1" customWidth="1"/>
    <col min="4038" max="4090" width="9" style="11"/>
    <col min="4091" max="4091" width="25.125" style="11" customWidth="1"/>
    <col min="4092" max="4200" width="17.25" style="11" customWidth="1"/>
    <col min="4201" max="4201" width="19.875" style="11" customWidth="1"/>
    <col min="4202" max="4214" width="17.25" style="11" customWidth="1"/>
    <col min="4215" max="4215" width="16.625" style="11" bestFit="1" customWidth="1"/>
    <col min="4216" max="4216" width="18" style="11" customWidth="1"/>
    <col min="4217" max="4224" width="16.625" style="11" bestFit="1" customWidth="1"/>
    <col min="4225" max="4225" width="16.875" style="11" customWidth="1"/>
    <col min="4226" max="4226" width="19.375" style="11" bestFit="1" customWidth="1"/>
    <col min="4227" max="4234" width="18.75" style="11" customWidth="1"/>
    <col min="4235" max="4235" width="20.375" style="11" customWidth="1"/>
    <col min="4236" max="4236" width="18.75" style="11" bestFit="1" customWidth="1"/>
    <col min="4237" max="4237" width="19.375" style="11" customWidth="1"/>
    <col min="4238" max="4238" width="18.625" style="11" bestFit="1" customWidth="1"/>
    <col min="4239" max="4239" width="18.25" style="11" bestFit="1" customWidth="1"/>
    <col min="4240" max="4240" width="19.5" style="11" customWidth="1"/>
    <col min="4241" max="4243" width="19.375" style="11" customWidth="1"/>
    <col min="4244" max="4244" width="19" style="11" bestFit="1" customWidth="1"/>
    <col min="4245" max="4245" width="18.625" style="11" bestFit="1" customWidth="1"/>
    <col min="4246" max="4246" width="19" style="11" bestFit="1" customWidth="1"/>
    <col min="4247" max="4247" width="18.75" style="11" bestFit="1" customWidth="1"/>
    <col min="4248" max="4248" width="19" style="11" customWidth="1"/>
    <col min="4249" max="4249" width="18.75" style="11" bestFit="1" customWidth="1"/>
    <col min="4250" max="4251" width="19" style="11" bestFit="1" customWidth="1"/>
    <col min="4252" max="4252" width="18.625" style="11" bestFit="1" customWidth="1"/>
    <col min="4253" max="4253" width="18.25" style="11" bestFit="1" customWidth="1"/>
    <col min="4254" max="4254" width="18.625" style="11" bestFit="1" customWidth="1"/>
    <col min="4255" max="4255" width="18.625" style="11" customWidth="1"/>
    <col min="4256" max="4256" width="18" style="11" customWidth="1"/>
    <col min="4257" max="4257" width="17.75" style="11" customWidth="1"/>
    <col min="4258" max="4261" width="18" style="11" customWidth="1"/>
    <col min="4262" max="4262" width="19.875" style="11" customWidth="1"/>
    <col min="4263" max="4263" width="18" style="11" customWidth="1"/>
    <col min="4264" max="4269" width="18.625" style="11" customWidth="1"/>
    <col min="4270" max="4275" width="18.375" style="11" customWidth="1"/>
    <col min="4276" max="4277" width="17.75" style="11" customWidth="1"/>
    <col min="4278" max="4278" width="18.375" style="11" customWidth="1"/>
    <col min="4279" max="4279" width="18.625" style="11" bestFit="1" customWidth="1"/>
    <col min="4280" max="4280" width="19.125" style="11" customWidth="1"/>
    <col min="4281" max="4283" width="18.5" style="11" customWidth="1"/>
    <col min="4284" max="4284" width="17.25" style="11" customWidth="1"/>
    <col min="4285" max="4285" width="18.75" style="11" bestFit="1" customWidth="1"/>
    <col min="4286" max="4286" width="18.125" style="11" bestFit="1" customWidth="1"/>
    <col min="4287" max="4287" width="17.25" style="11" customWidth="1"/>
    <col min="4288" max="4289" width="18.25" style="11" bestFit="1" customWidth="1"/>
    <col min="4290" max="4290" width="19.5" style="11" bestFit="1" customWidth="1"/>
    <col min="4291" max="4291" width="19.375" style="11" bestFit="1" customWidth="1"/>
    <col min="4292" max="4293" width="19.125" style="11" bestFit="1" customWidth="1"/>
    <col min="4294" max="4346" width="9" style="11"/>
    <col min="4347" max="4347" width="25.125" style="11" customWidth="1"/>
    <col min="4348" max="4456" width="17.25" style="11" customWidth="1"/>
    <col min="4457" max="4457" width="19.875" style="11" customWidth="1"/>
    <col min="4458" max="4470" width="17.25" style="11" customWidth="1"/>
    <col min="4471" max="4471" width="16.625" style="11" bestFit="1" customWidth="1"/>
    <col min="4472" max="4472" width="18" style="11" customWidth="1"/>
    <col min="4473" max="4480" width="16.625" style="11" bestFit="1" customWidth="1"/>
    <col min="4481" max="4481" width="16.875" style="11" customWidth="1"/>
    <col min="4482" max="4482" width="19.375" style="11" bestFit="1" customWidth="1"/>
    <col min="4483" max="4490" width="18.75" style="11" customWidth="1"/>
    <col min="4491" max="4491" width="20.375" style="11" customWidth="1"/>
    <col min="4492" max="4492" width="18.75" style="11" bestFit="1" customWidth="1"/>
    <col min="4493" max="4493" width="19.375" style="11" customWidth="1"/>
    <col min="4494" max="4494" width="18.625" style="11" bestFit="1" customWidth="1"/>
    <col min="4495" max="4495" width="18.25" style="11" bestFit="1" customWidth="1"/>
    <col min="4496" max="4496" width="19.5" style="11" customWidth="1"/>
    <col min="4497" max="4499" width="19.375" style="11" customWidth="1"/>
    <col min="4500" max="4500" width="19" style="11" bestFit="1" customWidth="1"/>
    <col min="4501" max="4501" width="18.625" style="11" bestFit="1" customWidth="1"/>
    <col min="4502" max="4502" width="19" style="11" bestFit="1" customWidth="1"/>
    <col min="4503" max="4503" width="18.75" style="11" bestFit="1" customWidth="1"/>
    <col min="4504" max="4504" width="19" style="11" customWidth="1"/>
    <col min="4505" max="4505" width="18.75" style="11" bestFit="1" customWidth="1"/>
    <col min="4506" max="4507" width="19" style="11" bestFit="1" customWidth="1"/>
    <col min="4508" max="4508" width="18.625" style="11" bestFit="1" customWidth="1"/>
    <col min="4509" max="4509" width="18.25" style="11" bestFit="1" customWidth="1"/>
    <col min="4510" max="4510" width="18.625" style="11" bestFit="1" customWidth="1"/>
    <col min="4511" max="4511" width="18.625" style="11" customWidth="1"/>
    <col min="4512" max="4512" width="18" style="11" customWidth="1"/>
    <col min="4513" max="4513" width="17.75" style="11" customWidth="1"/>
    <col min="4514" max="4517" width="18" style="11" customWidth="1"/>
    <col min="4518" max="4518" width="19.875" style="11" customWidth="1"/>
    <col min="4519" max="4519" width="18" style="11" customWidth="1"/>
    <col min="4520" max="4525" width="18.625" style="11" customWidth="1"/>
    <col min="4526" max="4531" width="18.375" style="11" customWidth="1"/>
    <col min="4532" max="4533" width="17.75" style="11" customWidth="1"/>
    <col min="4534" max="4534" width="18.375" style="11" customWidth="1"/>
    <col min="4535" max="4535" width="18.625" style="11" bestFit="1" customWidth="1"/>
    <col min="4536" max="4536" width="19.125" style="11" customWidth="1"/>
    <col min="4537" max="4539" width="18.5" style="11" customWidth="1"/>
    <col min="4540" max="4540" width="17.25" style="11" customWidth="1"/>
    <col min="4541" max="4541" width="18.75" style="11" bestFit="1" customWidth="1"/>
    <col min="4542" max="4542" width="18.125" style="11" bestFit="1" customWidth="1"/>
    <col min="4543" max="4543" width="17.25" style="11" customWidth="1"/>
    <col min="4544" max="4545" width="18.25" style="11" bestFit="1" customWidth="1"/>
    <col min="4546" max="4546" width="19.5" style="11" bestFit="1" customWidth="1"/>
    <col min="4547" max="4547" width="19.375" style="11" bestFit="1" customWidth="1"/>
    <col min="4548" max="4549" width="19.125" style="11" bestFit="1" customWidth="1"/>
    <col min="4550" max="4602" width="9" style="11"/>
    <col min="4603" max="4603" width="25.125" style="11" customWidth="1"/>
    <col min="4604" max="4712" width="17.25" style="11" customWidth="1"/>
    <col min="4713" max="4713" width="19.875" style="11" customWidth="1"/>
    <col min="4714" max="4726" width="17.25" style="11" customWidth="1"/>
    <col min="4727" max="4727" width="16.625" style="11" bestFit="1" customWidth="1"/>
    <col min="4728" max="4728" width="18" style="11" customWidth="1"/>
    <col min="4729" max="4736" width="16.625" style="11" bestFit="1" customWidth="1"/>
    <col min="4737" max="4737" width="16.875" style="11" customWidth="1"/>
    <col min="4738" max="4738" width="19.375" style="11" bestFit="1" customWidth="1"/>
    <col min="4739" max="4746" width="18.75" style="11" customWidth="1"/>
    <col min="4747" max="4747" width="20.375" style="11" customWidth="1"/>
    <col min="4748" max="4748" width="18.75" style="11" bestFit="1" customWidth="1"/>
    <col min="4749" max="4749" width="19.375" style="11" customWidth="1"/>
    <col min="4750" max="4750" width="18.625" style="11" bestFit="1" customWidth="1"/>
    <col min="4751" max="4751" width="18.25" style="11" bestFit="1" customWidth="1"/>
    <col min="4752" max="4752" width="19.5" style="11" customWidth="1"/>
    <col min="4753" max="4755" width="19.375" style="11" customWidth="1"/>
    <col min="4756" max="4756" width="19" style="11" bestFit="1" customWidth="1"/>
    <col min="4757" max="4757" width="18.625" style="11" bestFit="1" customWidth="1"/>
    <col min="4758" max="4758" width="19" style="11" bestFit="1" customWidth="1"/>
    <col min="4759" max="4759" width="18.75" style="11" bestFit="1" customWidth="1"/>
    <col min="4760" max="4760" width="19" style="11" customWidth="1"/>
    <col min="4761" max="4761" width="18.75" style="11" bestFit="1" customWidth="1"/>
    <col min="4762" max="4763" width="19" style="11" bestFit="1" customWidth="1"/>
    <col min="4764" max="4764" width="18.625" style="11" bestFit="1" customWidth="1"/>
    <col min="4765" max="4765" width="18.25" style="11" bestFit="1" customWidth="1"/>
    <col min="4766" max="4766" width="18.625" style="11" bestFit="1" customWidth="1"/>
    <col min="4767" max="4767" width="18.625" style="11" customWidth="1"/>
    <col min="4768" max="4768" width="18" style="11" customWidth="1"/>
    <col min="4769" max="4769" width="17.75" style="11" customWidth="1"/>
    <col min="4770" max="4773" width="18" style="11" customWidth="1"/>
    <col min="4774" max="4774" width="19.875" style="11" customWidth="1"/>
    <col min="4775" max="4775" width="18" style="11" customWidth="1"/>
    <col min="4776" max="4781" width="18.625" style="11" customWidth="1"/>
    <col min="4782" max="4787" width="18.375" style="11" customWidth="1"/>
    <col min="4788" max="4789" width="17.75" style="11" customWidth="1"/>
    <col min="4790" max="4790" width="18.375" style="11" customWidth="1"/>
    <col min="4791" max="4791" width="18.625" style="11" bestFit="1" customWidth="1"/>
    <col min="4792" max="4792" width="19.125" style="11" customWidth="1"/>
    <col min="4793" max="4795" width="18.5" style="11" customWidth="1"/>
    <col min="4796" max="4796" width="17.25" style="11" customWidth="1"/>
    <col min="4797" max="4797" width="18.75" style="11" bestFit="1" customWidth="1"/>
    <col min="4798" max="4798" width="18.125" style="11" bestFit="1" customWidth="1"/>
    <col min="4799" max="4799" width="17.25" style="11" customWidth="1"/>
    <col min="4800" max="4801" width="18.25" style="11" bestFit="1" customWidth="1"/>
    <col min="4802" max="4802" width="19.5" style="11" bestFit="1" customWidth="1"/>
    <col min="4803" max="4803" width="19.375" style="11" bestFit="1" customWidth="1"/>
    <col min="4804" max="4805" width="19.125" style="11" bestFit="1" customWidth="1"/>
    <col min="4806" max="4858" width="9" style="11"/>
    <col min="4859" max="4859" width="25.125" style="11" customWidth="1"/>
    <col min="4860" max="4968" width="17.25" style="11" customWidth="1"/>
    <col min="4969" max="4969" width="19.875" style="11" customWidth="1"/>
    <col min="4970" max="4982" width="17.25" style="11" customWidth="1"/>
    <col min="4983" max="4983" width="16.625" style="11" bestFit="1" customWidth="1"/>
    <col min="4984" max="4984" width="18" style="11" customWidth="1"/>
    <col min="4985" max="4992" width="16.625" style="11" bestFit="1" customWidth="1"/>
    <col min="4993" max="4993" width="16.875" style="11" customWidth="1"/>
    <col min="4994" max="4994" width="19.375" style="11" bestFit="1" customWidth="1"/>
    <col min="4995" max="5002" width="18.75" style="11" customWidth="1"/>
    <col min="5003" max="5003" width="20.375" style="11" customWidth="1"/>
    <col min="5004" max="5004" width="18.75" style="11" bestFit="1" customWidth="1"/>
    <col min="5005" max="5005" width="19.375" style="11" customWidth="1"/>
    <col min="5006" max="5006" width="18.625" style="11" bestFit="1" customWidth="1"/>
    <col min="5007" max="5007" width="18.25" style="11" bestFit="1" customWidth="1"/>
    <col min="5008" max="5008" width="19.5" style="11" customWidth="1"/>
    <col min="5009" max="5011" width="19.375" style="11" customWidth="1"/>
    <col min="5012" max="5012" width="19" style="11" bestFit="1" customWidth="1"/>
    <col min="5013" max="5013" width="18.625" style="11" bestFit="1" customWidth="1"/>
    <col min="5014" max="5014" width="19" style="11" bestFit="1" customWidth="1"/>
    <col min="5015" max="5015" width="18.75" style="11" bestFit="1" customWidth="1"/>
    <col min="5016" max="5016" width="19" style="11" customWidth="1"/>
    <col min="5017" max="5017" width="18.75" style="11" bestFit="1" customWidth="1"/>
    <col min="5018" max="5019" width="19" style="11" bestFit="1" customWidth="1"/>
    <col min="5020" max="5020" width="18.625" style="11" bestFit="1" customWidth="1"/>
    <col min="5021" max="5021" width="18.25" style="11" bestFit="1" customWidth="1"/>
    <col min="5022" max="5022" width="18.625" style="11" bestFit="1" customWidth="1"/>
    <col min="5023" max="5023" width="18.625" style="11" customWidth="1"/>
    <col min="5024" max="5024" width="18" style="11" customWidth="1"/>
    <col min="5025" max="5025" width="17.75" style="11" customWidth="1"/>
    <col min="5026" max="5029" width="18" style="11" customWidth="1"/>
    <col min="5030" max="5030" width="19.875" style="11" customWidth="1"/>
    <col min="5031" max="5031" width="18" style="11" customWidth="1"/>
    <col min="5032" max="5037" width="18.625" style="11" customWidth="1"/>
    <col min="5038" max="5043" width="18.375" style="11" customWidth="1"/>
    <col min="5044" max="5045" width="17.75" style="11" customWidth="1"/>
    <col min="5046" max="5046" width="18.375" style="11" customWidth="1"/>
    <col min="5047" max="5047" width="18.625" style="11" bestFit="1" customWidth="1"/>
    <col min="5048" max="5048" width="19.125" style="11" customWidth="1"/>
    <col min="5049" max="5051" width="18.5" style="11" customWidth="1"/>
    <col min="5052" max="5052" width="17.25" style="11" customWidth="1"/>
    <col min="5053" max="5053" width="18.75" style="11" bestFit="1" customWidth="1"/>
    <col min="5054" max="5054" width="18.125" style="11" bestFit="1" customWidth="1"/>
    <col min="5055" max="5055" width="17.25" style="11" customWidth="1"/>
    <col min="5056" max="5057" width="18.25" style="11" bestFit="1" customWidth="1"/>
    <col min="5058" max="5058" width="19.5" style="11" bestFit="1" customWidth="1"/>
    <col min="5059" max="5059" width="19.375" style="11" bestFit="1" customWidth="1"/>
    <col min="5060" max="5061" width="19.125" style="11" bestFit="1" customWidth="1"/>
    <col min="5062" max="5114" width="9" style="11"/>
    <col min="5115" max="5115" width="25.125" style="11" customWidth="1"/>
    <col min="5116" max="5224" width="17.25" style="11" customWidth="1"/>
    <col min="5225" max="5225" width="19.875" style="11" customWidth="1"/>
    <col min="5226" max="5238" width="17.25" style="11" customWidth="1"/>
    <col min="5239" max="5239" width="16.625" style="11" bestFit="1" customWidth="1"/>
    <col min="5240" max="5240" width="18" style="11" customWidth="1"/>
    <col min="5241" max="5248" width="16.625" style="11" bestFit="1" customWidth="1"/>
    <col min="5249" max="5249" width="16.875" style="11" customWidth="1"/>
    <col min="5250" max="5250" width="19.375" style="11" bestFit="1" customWidth="1"/>
    <col min="5251" max="5258" width="18.75" style="11" customWidth="1"/>
    <col min="5259" max="5259" width="20.375" style="11" customWidth="1"/>
    <col min="5260" max="5260" width="18.75" style="11" bestFit="1" customWidth="1"/>
    <col min="5261" max="5261" width="19.375" style="11" customWidth="1"/>
    <col min="5262" max="5262" width="18.625" style="11" bestFit="1" customWidth="1"/>
    <col min="5263" max="5263" width="18.25" style="11" bestFit="1" customWidth="1"/>
    <col min="5264" max="5264" width="19.5" style="11" customWidth="1"/>
    <col min="5265" max="5267" width="19.375" style="11" customWidth="1"/>
    <col min="5268" max="5268" width="19" style="11" bestFit="1" customWidth="1"/>
    <col min="5269" max="5269" width="18.625" style="11" bestFit="1" customWidth="1"/>
    <col min="5270" max="5270" width="19" style="11" bestFit="1" customWidth="1"/>
    <col min="5271" max="5271" width="18.75" style="11" bestFit="1" customWidth="1"/>
    <col min="5272" max="5272" width="19" style="11" customWidth="1"/>
    <col min="5273" max="5273" width="18.75" style="11" bestFit="1" customWidth="1"/>
    <col min="5274" max="5275" width="19" style="11" bestFit="1" customWidth="1"/>
    <col min="5276" max="5276" width="18.625" style="11" bestFit="1" customWidth="1"/>
    <col min="5277" max="5277" width="18.25" style="11" bestFit="1" customWidth="1"/>
    <col min="5278" max="5278" width="18.625" style="11" bestFit="1" customWidth="1"/>
    <col min="5279" max="5279" width="18.625" style="11" customWidth="1"/>
    <col min="5280" max="5280" width="18" style="11" customWidth="1"/>
    <col min="5281" max="5281" width="17.75" style="11" customWidth="1"/>
    <col min="5282" max="5285" width="18" style="11" customWidth="1"/>
    <col min="5286" max="5286" width="19.875" style="11" customWidth="1"/>
    <col min="5287" max="5287" width="18" style="11" customWidth="1"/>
    <col min="5288" max="5293" width="18.625" style="11" customWidth="1"/>
    <col min="5294" max="5299" width="18.375" style="11" customWidth="1"/>
    <col min="5300" max="5301" width="17.75" style="11" customWidth="1"/>
    <col min="5302" max="5302" width="18.375" style="11" customWidth="1"/>
    <col min="5303" max="5303" width="18.625" style="11" bestFit="1" customWidth="1"/>
    <col min="5304" max="5304" width="19.125" style="11" customWidth="1"/>
    <col min="5305" max="5307" width="18.5" style="11" customWidth="1"/>
    <col min="5308" max="5308" width="17.25" style="11" customWidth="1"/>
    <col min="5309" max="5309" width="18.75" style="11" bestFit="1" customWidth="1"/>
    <col min="5310" max="5310" width="18.125" style="11" bestFit="1" customWidth="1"/>
    <col min="5311" max="5311" width="17.25" style="11" customWidth="1"/>
    <col min="5312" max="5313" width="18.25" style="11" bestFit="1" customWidth="1"/>
    <col min="5314" max="5314" width="19.5" style="11" bestFit="1" customWidth="1"/>
    <col min="5315" max="5315" width="19.375" style="11" bestFit="1" customWidth="1"/>
    <col min="5316" max="5317" width="19.125" style="11" bestFit="1" customWidth="1"/>
    <col min="5318" max="5370" width="9" style="11"/>
    <col min="5371" max="5371" width="25.125" style="11" customWidth="1"/>
    <col min="5372" max="5480" width="17.25" style="11" customWidth="1"/>
    <col min="5481" max="5481" width="19.875" style="11" customWidth="1"/>
    <col min="5482" max="5494" width="17.25" style="11" customWidth="1"/>
    <col min="5495" max="5495" width="16.625" style="11" bestFit="1" customWidth="1"/>
    <col min="5496" max="5496" width="18" style="11" customWidth="1"/>
    <col min="5497" max="5504" width="16.625" style="11" bestFit="1" customWidth="1"/>
    <col min="5505" max="5505" width="16.875" style="11" customWidth="1"/>
    <col min="5506" max="5506" width="19.375" style="11" bestFit="1" customWidth="1"/>
    <col min="5507" max="5514" width="18.75" style="11" customWidth="1"/>
    <col min="5515" max="5515" width="20.375" style="11" customWidth="1"/>
    <col min="5516" max="5516" width="18.75" style="11" bestFit="1" customWidth="1"/>
    <col min="5517" max="5517" width="19.375" style="11" customWidth="1"/>
    <col min="5518" max="5518" width="18.625" style="11" bestFit="1" customWidth="1"/>
    <col min="5519" max="5519" width="18.25" style="11" bestFit="1" customWidth="1"/>
    <col min="5520" max="5520" width="19.5" style="11" customWidth="1"/>
    <col min="5521" max="5523" width="19.375" style="11" customWidth="1"/>
    <col min="5524" max="5524" width="19" style="11" bestFit="1" customWidth="1"/>
    <col min="5525" max="5525" width="18.625" style="11" bestFit="1" customWidth="1"/>
    <col min="5526" max="5526" width="19" style="11" bestFit="1" customWidth="1"/>
    <col min="5527" max="5527" width="18.75" style="11" bestFit="1" customWidth="1"/>
    <col min="5528" max="5528" width="19" style="11" customWidth="1"/>
    <col min="5529" max="5529" width="18.75" style="11" bestFit="1" customWidth="1"/>
    <col min="5530" max="5531" width="19" style="11" bestFit="1" customWidth="1"/>
    <col min="5532" max="5532" width="18.625" style="11" bestFit="1" customWidth="1"/>
    <col min="5533" max="5533" width="18.25" style="11" bestFit="1" customWidth="1"/>
    <col min="5534" max="5534" width="18.625" style="11" bestFit="1" customWidth="1"/>
    <col min="5535" max="5535" width="18.625" style="11" customWidth="1"/>
    <col min="5536" max="5536" width="18" style="11" customWidth="1"/>
    <col min="5537" max="5537" width="17.75" style="11" customWidth="1"/>
    <col min="5538" max="5541" width="18" style="11" customWidth="1"/>
    <col min="5542" max="5542" width="19.875" style="11" customWidth="1"/>
    <col min="5543" max="5543" width="18" style="11" customWidth="1"/>
    <col min="5544" max="5549" width="18.625" style="11" customWidth="1"/>
    <col min="5550" max="5555" width="18.375" style="11" customWidth="1"/>
    <col min="5556" max="5557" width="17.75" style="11" customWidth="1"/>
    <col min="5558" max="5558" width="18.375" style="11" customWidth="1"/>
    <col min="5559" max="5559" width="18.625" style="11" bestFit="1" customWidth="1"/>
    <col min="5560" max="5560" width="19.125" style="11" customWidth="1"/>
    <col min="5561" max="5563" width="18.5" style="11" customWidth="1"/>
    <col min="5564" max="5564" width="17.25" style="11" customWidth="1"/>
    <col min="5565" max="5565" width="18.75" style="11" bestFit="1" customWidth="1"/>
    <col min="5566" max="5566" width="18.125" style="11" bestFit="1" customWidth="1"/>
    <col min="5567" max="5567" width="17.25" style="11" customWidth="1"/>
    <col min="5568" max="5569" width="18.25" style="11" bestFit="1" customWidth="1"/>
    <col min="5570" max="5570" width="19.5" style="11" bestFit="1" customWidth="1"/>
    <col min="5571" max="5571" width="19.375" style="11" bestFit="1" customWidth="1"/>
    <col min="5572" max="5573" width="19.125" style="11" bestFit="1" customWidth="1"/>
    <col min="5574" max="5626" width="9" style="11"/>
    <col min="5627" max="5627" width="25.125" style="11" customWidth="1"/>
    <col min="5628" max="5736" width="17.25" style="11" customWidth="1"/>
    <col min="5737" max="5737" width="19.875" style="11" customWidth="1"/>
    <col min="5738" max="5750" width="17.25" style="11" customWidth="1"/>
    <col min="5751" max="5751" width="16.625" style="11" bestFit="1" customWidth="1"/>
    <col min="5752" max="5752" width="18" style="11" customWidth="1"/>
    <col min="5753" max="5760" width="16.625" style="11" bestFit="1" customWidth="1"/>
    <col min="5761" max="5761" width="16.875" style="11" customWidth="1"/>
    <col min="5762" max="5762" width="19.375" style="11" bestFit="1" customWidth="1"/>
    <col min="5763" max="5770" width="18.75" style="11" customWidth="1"/>
    <col min="5771" max="5771" width="20.375" style="11" customWidth="1"/>
    <col min="5772" max="5772" width="18.75" style="11" bestFit="1" customWidth="1"/>
    <col min="5773" max="5773" width="19.375" style="11" customWidth="1"/>
    <col min="5774" max="5774" width="18.625" style="11" bestFit="1" customWidth="1"/>
    <col min="5775" max="5775" width="18.25" style="11" bestFit="1" customWidth="1"/>
    <col min="5776" max="5776" width="19.5" style="11" customWidth="1"/>
    <col min="5777" max="5779" width="19.375" style="11" customWidth="1"/>
    <col min="5780" max="5780" width="19" style="11" bestFit="1" customWidth="1"/>
    <col min="5781" max="5781" width="18.625" style="11" bestFit="1" customWidth="1"/>
    <col min="5782" max="5782" width="19" style="11" bestFit="1" customWidth="1"/>
    <col min="5783" max="5783" width="18.75" style="11" bestFit="1" customWidth="1"/>
    <col min="5784" max="5784" width="19" style="11" customWidth="1"/>
    <col min="5785" max="5785" width="18.75" style="11" bestFit="1" customWidth="1"/>
    <col min="5786" max="5787" width="19" style="11" bestFit="1" customWidth="1"/>
    <col min="5788" max="5788" width="18.625" style="11" bestFit="1" customWidth="1"/>
    <col min="5789" max="5789" width="18.25" style="11" bestFit="1" customWidth="1"/>
    <col min="5790" max="5790" width="18.625" style="11" bestFit="1" customWidth="1"/>
    <col min="5791" max="5791" width="18.625" style="11" customWidth="1"/>
    <col min="5792" max="5792" width="18" style="11" customWidth="1"/>
    <col min="5793" max="5793" width="17.75" style="11" customWidth="1"/>
    <col min="5794" max="5797" width="18" style="11" customWidth="1"/>
    <col min="5798" max="5798" width="19.875" style="11" customWidth="1"/>
    <col min="5799" max="5799" width="18" style="11" customWidth="1"/>
    <col min="5800" max="5805" width="18.625" style="11" customWidth="1"/>
    <col min="5806" max="5811" width="18.375" style="11" customWidth="1"/>
    <col min="5812" max="5813" width="17.75" style="11" customWidth="1"/>
    <col min="5814" max="5814" width="18.375" style="11" customWidth="1"/>
    <col min="5815" max="5815" width="18.625" style="11" bestFit="1" customWidth="1"/>
    <col min="5816" max="5816" width="19.125" style="11" customWidth="1"/>
    <col min="5817" max="5819" width="18.5" style="11" customWidth="1"/>
    <col min="5820" max="5820" width="17.25" style="11" customWidth="1"/>
    <col min="5821" max="5821" width="18.75" style="11" bestFit="1" customWidth="1"/>
    <col min="5822" max="5822" width="18.125" style="11" bestFit="1" customWidth="1"/>
    <col min="5823" max="5823" width="17.25" style="11" customWidth="1"/>
    <col min="5824" max="5825" width="18.25" style="11" bestFit="1" customWidth="1"/>
    <col min="5826" max="5826" width="19.5" style="11" bestFit="1" customWidth="1"/>
    <col min="5827" max="5827" width="19.375" style="11" bestFit="1" customWidth="1"/>
    <col min="5828" max="5829" width="19.125" style="11" bestFit="1" customWidth="1"/>
    <col min="5830" max="5882" width="9" style="11"/>
    <col min="5883" max="5883" width="25.125" style="11" customWidth="1"/>
    <col min="5884" max="5992" width="17.25" style="11" customWidth="1"/>
    <col min="5993" max="5993" width="19.875" style="11" customWidth="1"/>
    <col min="5994" max="6006" width="17.25" style="11" customWidth="1"/>
    <col min="6007" max="6007" width="16.625" style="11" bestFit="1" customWidth="1"/>
    <col min="6008" max="6008" width="18" style="11" customWidth="1"/>
    <col min="6009" max="6016" width="16.625" style="11" bestFit="1" customWidth="1"/>
    <col min="6017" max="6017" width="16.875" style="11" customWidth="1"/>
    <col min="6018" max="6018" width="19.375" style="11" bestFit="1" customWidth="1"/>
    <col min="6019" max="6026" width="18.75" style="11" customWidth="1"/>
    <col min="6027" max="6027" width="20.375" style="11" customWidth="1"/>
    <col min="6028" max="6028" width="18.75" style="11" bestFit="1" customWidth="1"/>
    <col min="6029" max="6029" width="19.375" style="11" customWidth="1"/>
    <col min="6030" max="6030" width="18.625" style="11" bestFit="1" customWidth="1"/>
    <col min="6031" max="6031" width="18.25" style="11" bestFit="1" customWidth="1"/>
    <col min="6032" max="6032" width="19.5" style="11" customWidth="1"/>
    <col min="6033" max="6035" width="19.375" style="11" customWidth="1"/>
    <col min="6036" max="6036" width="19" style="11" bestFit="1" customWidth="1"/>
    <col min="6037" max="6037" width="18.625" style="11" bestFit="1" customWidth="1"/>
    <col min="6038" max="6038" width="19" style="11" bestFit="1" customWidth="1"/>
    <col min="6039" max="6039" width="18.75" style="11" bestFit="1" customWidth="1"/>
    <col min="6040" max="6040" width="19" style="11" customWidth="1"/>
    <col min="6041" max="6041" width="18.75" style="11" bestFit="1" customWidth="1"/>
    <col min="6042" max="6043" width="19" style="11" bestFit="1" customWidth="1"/>
    <col min="6044" max="6044" width="18.625" style="11" bestFit="1" customWidth="1"/>
    <col min="6045" max="6045" width="18.25" style="11" bestFit="1" customWidth="1"/>
    <col min="6046" max="6046" width="18.625" style="11" bestFit="1" customWidth="1"/>
    <col min="6047" max="6047" width="18.625" style="11" customWidth="1"/>
    <col min="6048" max="6048" width="18" style="11" customWidth="1"/>
    <col min="6049" max="6049" width="17.75" style="11" customWidth="1"/>
    <col min="6050" max="6053" width="18" style="11" customWidth="1"/>
    <col min="6054" max="6054" width="19.875" style="11" customWidth="1"/>
    <col min="6055" max="6055" width="18" style="11" customWidth="1"/>
    <col min="6056" max="6061" width="18.625" style="11" customWidth="1"/>
    <col min="6062" max="6067" width="18.375" style="11" customWidth="1"/>
    <col min="6068" max="6069" width="17.75" style="11" customWidth="1"/>
    <col min="6070" max="6070" width="18.375" style="11" customWidth="1"/>
    <col min="6071" max="6071" width="18.625" style="11" bestFit="1" customWidth="1"/>
    <col min="6072" max="6072" width="19.125" style="11" customWidth="1"/>
    <col min="6073" max="6075" width="18.5" style="11" customWidth="1"/>
    <col min="6076" max="6076" width="17.25" style="11" customWidth="1"/>
    <col min="6077" max="6077" width="18.75" style="11" bestFit="1" customWidth="1"/>
    <col min="6078" max="6078" width="18.125" style="11" bestFit="1" customWidth="1"/>
    <col min="6079" max="6079" width="17.25" style="11" customWidth="1"/>
    <col min="6080" max="6081" width="18.25" style="11" bestFit="1" customWidth="1"/>
    <col min="6082" max="6082" width="19.5" style="11" bestFit="1" customWidth="1"/>
    <col min="6083" max="6083" width="19.375" style="11" bestFit="1" customWidth="1"/>
    <col min="6084" max="6085" width="19.125" style="11" bestFit="1" customWidth="1"/>
    <col min="6086" max="6138" width="9" style="11"/>
    <col min="6139" max="6139" width="25.125" style="11" customWidth="1"/>
    <col min="6140" max="6248" width="17.25" style="11" customWidth="1"/>
    <col min="6249" max="6249" width="19.875" style="11" customWidth="1"/>
    <col min="6250" max="6262" width="17.25" style="11" customWidth="1"/>
    <col min="6263" max="6263" width="16.625" style="11" bestFit="1" customWidth="1"/>
    <col min="6264" max="6264" width="18" style="11" customWidth="1"/>
    <col min="6265" max="6272" width="16.625" style="11" bestFit="1" customWidth="1"/>
    <col min="6273" max="6273" width="16.875" style="11" customWidth="1"/>
    <col min="6274" max="6274" width="19.375" style="11" bestFit="1" customWidth="1"/>
    <col min="6275" max="6282" width="18.75" style="11" customWidth="1"/>
    <col min="6283" max="6283" width="20.375" style="11" customWidth="1"/>
    <col min="6284" max="6284" width="18.75" style="11" bestFit="1" customWidth="1"/>
    <col min="6285" max="6285" width="19.375" style="11" customWidth="1"/>
    <col min="6286" max="6286" width="18.625" style="11" bestFit="1" customWidth="1"/>
    <col min="6287" max="6287" width="18.25" style="11" bestFit="1" customWidth="1"/>
    <col min="6288" max="6288" width="19.5" style="11" customWidth="1"/>
    <col min="6289" max="6291" width="19.375" style="11" customWidth="1"/>
    <col min="6292" max="6292" width="19" style="11" bestFit="1" customWidth="1"/>
    <col min="6293" max="6293" width="18.625" style="11" bestFit="1" customWidth="1"/>
    <col min="6294" max="6294" width="19" style="11" bestFit="1" customWidth="1"/>
    <col min="6295" max="6295" width="18.75" style="11" bestFit="1" customWidth="1"/>
    <col min="6296" max="6296" width="19" style="11" customWidth="1"/>
    <col min="6297" max="6297" width="18.75" style="11" bestFit="1" customWidth="1"/>
    <col min="6298" max="6299" width="19" style="11" bestFit="1" customWidth="1"/>
    <col min="6300" max="6300" width="18.625" style="11" bestFit="1" customWidth="1"/>
    <col min="6301" max="6301" width="18.25" style="11" bestFit="1" customWidth="1"/>
    <col min="6302" max="6302" width="18.625" style="11" bestFit="1" customWidth="1"/>
    <col min="6303" max="6303" width="18.625" style="11" customWidth="1"/>
    <col min="6304" max="6304" width="18" style="11" customWidth="1"/>
    <col min="6305" max="6305" width="17.75" style="11" customWidth="1"/>
    <col min="6306" max="6309" width="18" style="11" customWidth="1"/>
    <col min="6310" max="6310" width="19.875" style="11" customWidth="1"/>
    <col min="6311" max="6311" width="18" style="11" customWidth="1"/>
    <col min="6312" max="6317" width="18.625" style="11" customWidth="1"/>
    <col min="6318" max="6323" width="18.375" style="11" customWidth="1"/>
    <col min="6324" max="6325" width="17.75" style="11" customWidth="1"/>
    <col min="6326" max="6326" width="18.375" style="11" customWidth="1"/>
    <col min="6327" max="6327" width="18.625" style="11" bestFit="1" customWidth="1"/>
    <col min="6328" max="6328" width="19.125" style="11" customWidth="1"/>
    <col min="6329" max="6331" width="18.5" style="11" customWidth="1"/>
    <col min="6332" max="6332" width="17.25" style="11" customWidth="1"/>
    <col min="6333" max="6333" width="18.75" style="11" bestFit="1" customWidth="1"/>
    <col min="6334" max="6334" width="18.125" style="11" bestFit="1" customWidth="1"/>
    <col min="6335" max="6335" width="17.25" style="11" customWidth="1"/>
    <col min="6336" max="6337" width="18.25" style="11" bestFit="1" customWidth="1"/>
    <col min="6338" max="6338" width="19.5" style="11" bestFit="1" customWidth="1"/>
    <col min="6339" max="6339" width="19.375" style="11" bestFit="1" customWidth="1"/>
    <col min="6340" max="6341" width="19.125" style="11" bestFit="1" customWidth="1"/>
    <col min="6342" max="6394" width="9" style="11"/>
    <col min="6395" max="6395" width="25.125" style="11" customWidth="1"/>
    <col min="6396" max="6504" width="17.25" style="11" customWidth="1"/>
    <col min="6505" max="6505" width="19.875" style="11" customWidth="1"/>
    <col min="6506" max="6518" width="17.25" style="11" customWidth="1"/>
    <col min="6519" max="6519" width="16.625" style="11" bestFit="1" customWidth="1"/>
    <col min="6520" max="6520" width="18" style="11" customWidth="1"/>
    <col min="6521" max="6528" width="16.625" style="11" bestFit="1" customWidth="1"/>
    <col min="6529" max="6529" width="16.875" style="11" customWidth="1"/>
    <col min="6530" max="6530" width="19.375" style="11" bestFit="1" customWidth="1"/>
    <col min="6531" max="6538" width="18.75" style="11" customWidth="1"/>
    <col min="6539" max="6539" width="20.375" style="11" customWidth="1"/>
    <col min="6540" max="6540" width="18.75" style="11" bestFit="1" customWidth="1"/>
    <col min="6541" max="6541" width="19.375" style="11" customWidth="1"/>
    <col min="6542" max="6542" width="18.625" style="11" bestFit="1" customWidth="1"/>
    <col min="6543" max="6543" width="18.25" style="11" bestFit="1" customWidth="1"/>
    <col min="6544" max="6544" width="19.5" style="11" customWidth="1"/>
    <col min="6545" max="6547" width="19.375" style="11" customWidth="1"/>
    <col min="6548" max="6548" width="19" style="11" bestFit="1" customWidth="1"/>
    <col min="6549" max="6549" width="18.625" style="11" bestFit="1" customWidth="1"/>
    <col min="6550" max="6550" width="19" style="11" bestFit="1" customWidth="1"/>
    <col min="6551" max="6551" width="18.75" style="11" bestFit="1" customWidth="1"/>
    <col min="6552" max="6552" width="19" style="11" customWidth="1"/>
    <col min="6553" max="6553" width="18.75" style="11" bestFit="1" customWidth="1"/>
    <col min="6554" max="6555" width="19" style="11" bestFit="1" customWidth="1"/>
    <col min="6556" max="6556" width="18.625" style="11" bestFit="1" customWidth="1"/>
    <col min="6557" max="6557" width="18.25" style="11" bestFit="1" customWidth="1"/>
    <col min="6558" max="6558" width="18.625" style="11" bestFit="1" customWidth="1"/>
    <col min="6559" max="6559" width="18.625" style="11" customWidth="1"/>
    <col min="6560" max="6560" width="18" style="11" customWidth="1"/>
    <col min="6561" max="6561" width="17.75" style="11" customWidth="1"/>
    <col min="6562" max="6565" width="18" style="11" customWidth="1"/>
    <col min="6566" max="6566" width="19.875" style="11" customWidth="1"/>
    <col min="6567" max="6567" width="18" style="11" customWidth="1"/>
    <col min="6568" max="6573" width="18.625" style="11" customWidth="1"/>
    <col min="6574" max="6579" width="18.375" style="11" customWidth="1"/>
    <col min="6580" max="6581" width="17.75" style="11" customWidth="1"/>
    <col min="6582" max="6582" width="18.375" style="11" customWidth="1"/>
    <col min="6583" max="6583" width="18.625" style="11" bestFit="1" customWidth="1"/>
    <col min="6584" max="6584" width="19.125" style="11" customWidth="1"/>
    <col min="6585" max="6587" width="18.5" style="11" customWidth="1"/>
    <col min="6588" max="6588" width="17.25" style="11" customWidth="1"/>
    <col min="6589" max="6589" width="18.75" style="11" bestFit="1" customWidth="1"/>
    <col min="6590" max="6590" width="18.125" style="11" bestFit="1" customWidth="1"/>
    <col min="6591" max="6591" width="17.25" style="11" customWidth="1"/>
    <col min="6592" max="6593" width="18.25" style="11" bestFit="1" customWidth="1"/>
    <col min="6594" max="6594" width="19.5" style="11" bestFit="1" customWidth="1"/>
    <col min="6595" max="6595" width="19.375" style="11" bestFit="1" customWidth="1"/>
    <col min="6596" max="6597" width="19.125" style="11" bestFit="1" customWidth="1"/>
    <col min="6598" max="6650" width="9" style="11"/>
    <col min="6651" max="6651" width="25.125" style="11" customWidth="1"/>
    <col min="6652" max="6760" width="17.25" style="11" customWidth="1"/>
    <col min="6761" max="6761" width="19.875" style="11" customWidth="1"/>
    <col min="6762" max="6774" width="17.25" style="11" customWidth="1"/>
    <col min="6775" max="6775" width="16.625" style="11" bestFit="1" customWidth="1"/>
    <col min="6776" max="6776" width="18" style="11" customWidth="1"/>
    <col min="6777" max="6784" width="16.625" style="11" bestFit="1" customWidth="1"/>
    <col min="6785" max="6785" width="16.875" style="11" customWidth="1"/>
    <col min="6786" max="6786" width="19.375" style="11" bestFit="1" customWidth="1"/>
    <col min="6787" max="6794" width="18.75" style="11" customWidth="1"/>
    <col min="6795" max="6795" width="20.375" style="11" customWidth="1"/>
    <col min="6796" max="6796" width="18.75" style="11" bestFit="1" customWidth="1"/>
    <col min="6797" max="6797" width="19.375" style="11" customWidth="1"/>
    <col min="6798" max="6798" width="18.625" style="11" bestFit="1" customWidth="1"/>
    <col min="6799" max="6799" width="18.25" style="11" bestFit="1" customWidth="1"/>
    <col min="6800" max="6800" width="19.5" style="11" customWidth="1"/>
    <col min="6801" max="6803" width="19.375" style="11" customWidth="1"/>
    <col min="6804" max="6804" width="19" style="11" bestFit="1" customWidth="1"/>
    <col min="6805" max="6805" width="18.625" style="11" bestFit="1" customWidth="1"/>
    <col min="6806" max="6806" width="19" style="11" bestFit="1" customWidth="1"/>
    <col min="6807" max="6807" width="18.75" style="11" bestFit="1" customWidth="1"/>
    <col min="6808" max="6808" width="19" style="11" customWidth="1"/>
    <col min="6809" max="6809" width="18.75" style="11" bestFit="1" customWidth="1"/>
    <col min="6810" max="6811" width="19" style="11" bestFit="1" customWidth="1"/>
    <col min="6812" max="6812" width="18.625" style="11" bestFit="1" customWidth="1"/>
    <col min="6813" max="6813" width="18.25" style="11" bestFit="1" customWidth="1"/>
    <col min="6814" max="6814" width="18.625" style="11" bestFit="1" customWidth="1"/>
    <col min="6815" max="6815" width="18.625" style="11" customWidth="1"/>
    <col min="6816" max="6816" width="18" style="11" customWidth="1"/>
    <col min="6817" max="6817" width="17.75" style="11" customWidth="1"/>
    <col min="6818" max="6821" width="18" style="11" customWidth="1"/>
    <col min="6822" max="6822" width="19.875" style="11" customWidth="1"/>
    <col min="6823" max="6823" width="18" style="11" customWidth="1"/>
    <col min="6824" max="6829" width="18.625" style="11" customWidth="1"/>
    <col min="6830" max="6835" width="18.375" style="11" customWidth="1"/>
    <col min="6836" max="6837" width="17.75" style="11" customWidth="1"/>
    <col min="6838" max="6838" width="18.375" style="11" customWidth="1"/>
    <col min="6839" max="6839" width="18.625" style="11" bestFit="1" customWidth="1"/>
    <col min="6840" max="6840" width="19.125" style="11" customWidth="1"/>
    <col min="6841" max="6843" width="18.5" style="11" customWidth="1"/>
    <col min="6844" max="6844" width="17.25" style="11" customWidth="1"/>
    <col min="6845" max="6845" width="18.75" style="11" bestFit="1" customWidth="1"/>
    <col min="6846" max="6846" width="18.125" style="11" bestFit="1" customWidth="1"/>
    <col min="6847" max="6847" width="17.25" style="11" customWidth="1"/>
    <col min="6848" max="6849" width="18.25" style="11" bestFit="1" customWidth="1"/>
    <col min="6850" max="6850" width="19.5" style="11" bestFit="1" customWidth="1"/>
    <col min="6851" max="6851" width="19.375" style="11" bestFit="1" customWidth="1"/>
    <col min="6852" max="6853" width="19.125" style="11" bestFit="1" customWidth="1"/>
    <col min="6854" max="6906" width="9" style="11"/>
    <col min="6907" max="6907" width="25.125" style="11" customWidth="1"/>
    <col min="6908" max="7016" width="17.25" style="11" customWidth="1"/>
    <col min="7017" max="7017" width="19.875" style="11" customWidth="1"/>
    <col min="7018" max="7030" width="17.25" style="11" customWidth="1"/>
    <col min="7031" max="7031" width="16.625" style="11" bestFit="1" customWidth="1"/>
    <col min="7032" max="7032" width="18" style="11" customWidth="1"/>
    <col min="7033" max="7040" width="16.625" style="11" bestFit="1" customWidth="1"/>
    <col min="7041" max="7041" width="16.875" style="11" customWidth="1"/>
    <col min="7042" max="7042" width="19.375" style="11" bestFit="1" customWidth="1"/>
    <col min="7043" max="7050" width="18.75" style="11" customWidth="1"/>
    <col min="7051" max="7051" width="20.375" style="11" customWidth="1"/>
    <col min="7052" max="7052" width="18.75" style="11" bestFit="1" customWidth="1"/>
    <col min="7053" max="7053" width="19.375" style="11" customWidth="1"/>
    <col min="7054" max="7054" width="18.625" style="11" bestFit="1" customWidth="1"/>
    <col min="7055" max="7055" width="18.25" style="11" bestFit="1" customWidth="1"/>
    <col min="7056" max="7056" width="19.5" style="11" customWidth="1"/>
    <col min="7057" max="7059" width="19.375" style="11" customWidth="1"/>
    <col min="7060" max="7060" width="19" style="11" bestFit="1" customWidth="1"/>
    <col min="7061" max="7061" width="18.625" style="11" bestFit="1" customWidth="1"/>
    <col min="7062" max="7062" width="19" style="11" bestFit="1" customWidth="1"/>
    <col min="7063" max="7063" width="18.75" style="11" bestFit="1" customWidth="1"/>
    <col min="7064" max="7064" width="19" style="11" customWidth="1"/>
    <col min="7065" max="7065" width="18.75" style="11" bestFit="1" customWidth="1"/>
    <col min="7066" max="7067" width="19" style="11" bestFit="1" customWidth="1"/>
    <col min="7068" max="7068" width="18.625" style="11" bestFit="1" customWidth="1"/>
    <col min="7069" max="7069" width="18.25" style="11" bestFit="1" customWidth="1"/>
    <col min="7070" max="7070" width="18.625" style="11" bestFit="1" customWidth="1"/>
    <col min="7071" max="7071" width="18.625" style="11" customWidth="1"/>
    <col min="7072" max="7072" width="18" style="11" customWidth="1"/>
    <col min="7073" max="7073" width="17.75" style="11" customWidth="1"/>
    <col min="7074" max="7077" width="18" style="11" customWidth="1"/>
    <col min="7078" max="7078" width="19.875" style="11" customWidth="1"/>
    <col min="7079" max="7079" width="18" style="11" customWidth="1"/>
    <col min="7080" max="7085" width="18.625" style="11" customWidth="1"/>
    <col min="7086" max="7091" width="18.375" style="11" customWidth="1"/>
    <col min="7092" max="7093" width="17.75" style="11" customWidth="1"/>
    <col min="7094" max="7094" width="18.375" style="11" customWidth="1"/>
    <col min="7095" max="7095" width="18.625" style="11" bestFit="1" customWidth="1"/>
    <col min="7096" max="7096" width="19.125" style="11" customWidth="1"/>
    <col min="7097" max="7099" width="18.5" style="11" customWidth="1"/>
    <col min="7100" max="7100" width="17.25" style="11" customWidth="1"/>
    <col min="7101" max="7101" width="18.75" style="11" bestFit="1" customWidth="1"/>
    <col min="7102" max="7102" width="18.125" style="11" bestFit="1" customWidth="1"/>
    <col min="7103" max="7103" width="17.25" style="11" customWidth="1"/>
    <col min="7104" max="7105" width="18.25" style="11" bestFit="1" customWidth="1"/>
    <col min="7106" max="7106" width="19.5" style="11" bestFit="1" customWidth="1"/>
    <col min="7107" max="7107" width="19.375" style="11" bestFit="1" customWidth="1"/>
    <col min="7108" max="7109" width="19.125" style="11" bestFit="1" customWidth="1"/>
    <col min="7110" max="7162" width="9" style="11"/>
    <col min="7163" max="7163" width="25.125" style="11" customWidth="1"/>
    <col min="7164" max="7272" width="17.25" style="11" customWidth="1"/>
    <col min="7273" max="7273" width="19.875" style="11" customWidth="1"/>
    <col min="7274" max="7286" width="17.25" style="11" customWidth="1"/>
    <col min="7287" max="7287" width="16.625" style="11" bestFit="1" customWidth="1"/>
    <col min="7288" max="7288" width="18" style="11" customWidth="1"/>
    <col min="7289" max="7296" width="16.625" style="11" bestFit="1" customWidth="1"/>
    <col min="7297" max="7297" width="16.875" style="11" customWidth="1"/>
    <col min="7298" max="7298" width="19.375" style="11" bestFit="1" customWidth="1"/>
    <col min="7299" max="7306" width="18.75" style="11" customWidth="1"/>
    <col min="7307" max="7307" width="20.375" style="11" customWidth="1"/>
    <col min="7308" max="7308" width="18.75" style="11" bestFit="1" customWidth="1"/>
    <col min="7309" max="7309" width="19.375" style="11" customWidth="1"/>
    <col min="7310" max="7310" width="18.625" style="11" bestFit="1" customWidth="1"/>
    <col min="7311" max="7311" width="18.25" style="11" bestFit="1" customWidth="1"/>
    <col min="7312" max="7312" width="19.5" style="11" customWidth="1"/>
    <col min="7313" max="7315" width="19.375" style="11" customWidth="1"/>
    <col min="7316" max="7316" width="19" style="11" bestFit="1" customWidth="1"/>
    <col min="7317" max="7317" width="18.625" style="11" bestFit="1" customWidth="1"/>
    <col min="7318" max="7318" width="19" style="11" bestFit="1" customWidth="1"/>
    <col min="7319" max="7319" width="18.75" style="11" bestFit="1" customWidth="1"/>
    <col min="7320" max="7320" width="19" style="11" customWidth="1"/>
    <col min="7321" max="7321" width="18.75" style="11" bestFit="1" customWidth="1"/>
    <col min="7322" max="7323" width="19" style="11" bestFit="1" customWidth="1"/>
    <col min="7324" max="7324" width="18.625" style="11" bestFit="1" customWidth="1"/>
    <col min="7325" max="7325" width="18.25" style="11" bestFit="1" customWidth="1"/>
    <col min="7326" max="7326" width="18.625" style="11" bestFit="1" customWidth="1"/>
    <col min="7327" max="7327" width="18.625" style="11" customWidth="1"/>
    <col min="7328" max="7328" width="18" style="11" customWidth="1"/>
    <col min="7329" max="7329" width="17.75" style="11" customWidth="1"/>
    <col min="7330" max="7333" width="18" style="11" customWidth="1"/>
    <col min="7334" max="7334" width="19.875" style="11" customWidth="1"/>
    <col min="7335" max="7335" width="18" style="11" customWidth="1"/>
    <col min="7336" max="7341" width="18.625" style="11" customWidth="1"/>
    <col min="7342" max="7347" width="18.375" style="11" customWidth="1"/>
    <col min="7348" max="7349" width="17.75" style="11" customWidth="1"/>
    <col min="7350" max="7350" width="18.375" style="11" customWidth="1"/>
    <col min="7351" max="7351" width="18.625" style="11" bestFit="1" customWidth="1"/>
    <col min="7352" max="7352" width="19.125" style="11" customWidth="1"/>
    <col min="7353" max="7355" width="18.5" style="11" customWidth="1"/>
    <col min="7356" max="7356" width="17.25" style="11" customWidth="1"/>
    <col min="7357" max="7357" width="18.75" style="11" bestFit="1" customWidth="1"/>
    <col min="7358" max="7358" width="18.125" style="11" bestFit="1" customWidth="1"/>
    <col min="7359" max="7359" width="17.25" style="11" customWidth="1"/>
    <col min="7360" max="7361" width="18.25" style="11" bestFit="1" customWidth="1"/>
    <col min="7362" max="7362" width="19.5" style="11" bestFit="1" customWidth="1"/>
    <col min="7363" max="7363" width="19.375" style="11" bestFit="1" customWidth="1"/>
    <col min="7364" max="7365" width="19.125" style="11" bestFit="1" customWidth="1"/>
    <col min="7366" max="7418" width="9" style="11"/>
    <col min="7419" max="7419" width="25.125" style="11" customWidth="1"/>
    <col min="7420" max="7528" width="17.25" style="11" customWidth="1"/>
    <col min="7529" max="7529" width="19.875" style="11" customWidth="1"/>
    <col min="7530" max="7542" width="17.25" style="11" customWidth="1"/>
    <col min="7543" max="7543" width="16.625" style="11" bestFit="1" customWidth="1"/>
    <col min="7544" max="7544" width="18" style="11" customWidth="1"/>
    <col min="7545" max="7552" width="16.625" style="11" bestFit="1" customWidth="1"/>
    <col min="7553" max="7553" width="16.875" style="11" customWidth="1"/>
    <col min="7554" max="7554" width="19.375" style="11" bestFit="1" customWidth="1"/>
    <col min="7555" max="7562" width="18.75" style="11" customWidth="1"/>
    <col min="7563" max="7563" width="20.375" style="11" customWidth="1"/>
    <col min="7564" max="7564" width="18.75" style="11" bestFit="1" customWidth="1"/>
    <col min="7565" max="7565" width="19.375" style="11" customWidth="1"/>
    <col min="7566" max="7566" width="18.625" style="11" bestFit="1" customWidth="1"/>
    <col min="7567" max="7567" width="18.25" style="11" bestFit="1" customWidth="1"/>
    <col min="7568" max="7568" width="19.5" style="11" customWidth="1"/>
    <col min="7569" max="7571" width="19.375" style="11" customWidth="1"/>
    <col min="7572" max="7572" width="19" style="11" bestFit="1" customWidth="1"/>
    <col min="7573" max="7573" width="18.625" style="11" bestFit="1" customWidth="1"/>
    <col min="7574" max="7574" width="19" style="11" bestFit="1" customWidth="1"/>
    <col min="7575" max="7575" width="18.75" style="11" bestFit="1" customWidth="1"/>
    <col min="7576" max="7576" width="19" style="11" customWidth="1"/>
    <col min="7577" max="7577" width="18.75" style="11" bestFit="1" customWidth="1"/>
    <col min="7578" max="7579" width="19" style="11" bestFit="1" customWidth="1"/>
    <col min="7580" max="7580" width="18.625" style="11" bestFit="1" customWidth="1"/>
    <col min="7581" max="7581" width="18.25" style="11" bestFit="1" customWidth="1"/>
    <col min="7582" max="7582" width="18.625" style="11" bestFit="1" customWidth="1"/>
    <col min="7583" max="7583" width="18.625" style="11" customWidth="1"/>
    <col min="7584" max="7584" width="18" style="11" customWidth="1"/>
    <col min="7585" max="7585" width="17.75" style="11" customWidth="1"/>
    <col min="7586" max="7589" width="18" style="11" customWidth="1"/>
    <col min="7590" max="7590" width="19.875" style="11" customWidth="1"/>
    <col min="7591" max="7591" width="18" style="11" customWidth="1"/>
    <col min="7592" max="7597" width="18.625" style="11" customWidth="1"/>
    <col min="7598" max="7603" width="18.375" style="11" customWidth="1"/>
    <col min="7604" max="7605" width="17.75" style="11" customWidth="1"/>
    <col min="7606" max="7606" width="18.375" style="11" customWidth="1"/>
    <col min="7607" max="7607" width="18.625" style="11" bestFit="1" customWidth="1"/>
    <col min="7608" max="7608" width="19.125" style="11" customWidth="1"/>
    <col min="7609" max="7611" width="18.5" style="11" customWidth="1"/>
    <col min="7612" max="7612" width="17.25" style="11" customWidth="1"/>
    <col min="7613" max="7613" width="18.75" style="11" bestFit="1" customWidth="1"/>
    <col min="7614" max="7614" width="18.125" style="11" bestFit="1" customWidth="1"/>
    <col min="7615" max="7615" width="17.25" style="11" customWidth="1"/>
    <col min="7616" max="7617" width="18.25" style="11" bestFit="1" customWidth="1"/>
    <col min="7618" max="7618" width="19.5" style="11" bestFit="1" customWidth="1"/>
    <col min="7619" max="7619" width="19.375" style="11" bestFit="1" customWidth="1"/>
    <col min="7620" max="7621" width="19.125" style="11" bestFit="1" customWidth="1"/>
    <col min="7622" max="7674" width="9" style="11"/>
    <col min="7675" max="7675" width="25.125" style="11" customWidth="1"/>
    <col min="7676" max="7784" width="17.25" style="11" customWidth="1"/>
    <col min="7785" max="7785" width="19.875" style="11" customWidth="1"/>
    <col min="7786" max="7798" width="17.25" style="11" customWidth="1"/>
    <col min="7799" max="7799" width="16.625" style="11" bestFit="1" customWidth="1"/>
    <col min="7800" max="7800" width="18" style="11" customWidth="1"/>
    <col min="7801" max="7808" width="16.625" style="11" bestFit="1" customWidth="1"/>
    <col min="7809" max="7809" width="16.875" style="11" customWidth="1"/>
    <col min="7810" max="7810" width="19.375" style="11" bestFit="1" customWidth="1"/>
    <col min="7811" max="7818" width="18.75" style="11" customWidth="1"/>
    <col min="7819" max="7819" width="20.375" style="11" customWidth="1"/>
    <col min="7820" max="7820" width="18.75" style="11" bestFit="1" customWidth="1"/>
    <col min="7821" max="7821" width="19.375" style="11" customWidth="1"/>
    <col min="7822" max="7822" width="18.625" style="11" bestFit="1" customWidth="1"/>
    <col min="7823" max="7823" width="18.25" style="11" bestFit="1" customWidth="1"/>
    <col min="7824" max="7824" width="19.5" style="11" customWidth="1"/>
    <col min="7825" max="7827" width="19.375" style="11" customWidth="1"/>
    <col min="7828" max="7828" width="19" style="11" bestFit="1" customWidth="1"/>
    <col min="7829" max="7829" width="18.625" style="11" bestFit="1" customWidth="1"/>
    <col min="7830" max="7830" width="19" style="11" bestFit="1" customWidth="1"/>
    <col min="7831" max="7831" width="18.75" style="11" bestFit="1" customWidth="1"/>
    <col min="7832" max="7832" width="19" style="11" customWidth="1"/>
    <col min="7833" max="7833" width="18.75" style="11" bestFit="1" customWidth="1"/>
    <col min="7834" max="7835" width="19" style="11" bestFit="1" customWidth="1"/>
    <col min="7836" max="7836" width="18.625" style="11" bestFit="1" customWidth="1"/>
    <col min="7837" max="7837" width="18.25" style="11" bestFit="1" customWidth="1"/>
    <col min="7838" max="7838" width="18.625" style="11" bestFit="1" customWidth="1"/>
    <col min="7839" max="7839" width="18.625" style="11" customWidth="1"/>
    <col min="7840" max="7840" width="18" style="11" customWidth="1"/>
    <col min="7841" max="7841" width="17.75" style="11" customWidth="1"/>
    <col min="7842" max="7845" width="18" style="11" customWidth="1"/>
    <col min="7846" max="7846" width="19.875" style="11" customWidth="1"/>
    <col min="7847" max="7847" width="18" style="11" customWidth="1"/>
    <col min="7848" max="7853" width="18.625" style="11" customWidth="1"/>
    <col min="7854" max="7859" width="18.375" style="11" customWidth="1"/>
    <col min="7860" max="7861" width="17.75" style="11" customWidth="1"/>
    <col min="7862" max="7862" width="18.375" style="11" customWidth="1"/>
    <col min="7863" max="7863" width="18.625" style="11" bestFit="1" customWidth="1"/>
    <col min="7864" max="7864" width="19.125" style="11" customWidth="1"/>
    <col min="7865" max="7867" width="18.5" style="11" customWidth="1"/>
    <col min="7868" max="7868" width="17.25" style="11" customWidth="1"/>
    <col min="7869" max="7869" width="18.75" style="11" bestFit="1" customWidth="1"/>
    <col min="7870" max="7870" width="18.125" style="11" bestFit="1" customWidth="1"/>
    <col min="7871" max="7871" width="17.25" style="11" customWidth="1"/>
    <col min="7872" max="7873" width="18.25" style="11" bestFit="1" customWidth="1"/>
    <col min="7874" max="7874" width="19.5" style="11" bestFit="1" customWidth="1"/>
    <col min="7875" max="7875" width="19.375" style="11" bestFit="1" customWidth="1"/>
    <col min="7876" max="7877" width="19.125" style="11" bestFit="1" customWidth="1"/>
    <col min="7878" max="7930" width="9" style="11"/>
    <col min="7931" max="7931" width="25.125" style="11" customWidth="1"/>
    <col min="7932" max="8040" width="17.25" style="11" customWidth="1"/>
    <col min="8041" max="8041" width="19.875" style="11" customWidth="1"/>
    <col min="8042" max="8054" width="17.25" style="11" customWidth="1"/>
    <col min="8055" max="8055" width="16.625" style="11" bestFit="1" customWidth="1"/>
    <col min="8056" max="8056" width="18" style="11" customWidth="1"/>
    <col min="8057" max="8064" width="16.625" style="11" bestFit="1" customWidth="1"/>
    <col min="8065" max="8065" width="16.875" style="11" customWidth="1"/>
    <col min="8066" max="8066" width="19.375" style="11" bestFit="1" customWidth="1"/>
    <col min="8067" max="8074" width="18.75" style="11" customWidth="1"/>
    <col min="8075" max="8075" width="20.375" style="11" customWidth="1"/>
    <col min="8076" max="8076" width="18.75" style="11" bestFit="1" customWidth="1"/>
    <col min="8077" max="8077" width="19.375" style="11" customWidth="1"/>
    <col min="8078" max="8078" width="18.625" style="11" bestFit="1" customWidth="1"/>
    <col min="8079" max="8079" width="18.25" style="11" bestFit="1" customWidth="1"/>
    <col min="8080" max="8080" width="19.5" style="11" customWidth="1"/>
    <col min="8081" max="8083" width="19.375" style="11" customWidth="1"/>
    <col min="8084" max="8084" width="19" style="11" bestFit="1" customWidth="1"/>
    <col min="8085" max="8085" width="18.625" style="11" bestFit="1" customWidth="1"/>
    <col min="8086" max="8086" width="19" style="11" bestFit="1" customWidth="1"/>
    <col min="8087" max="8087" width="18.75" style="11" bestFit="1" customWidth="1"/>
    <col min="8088" max="8088" width="19" style="11" customWidth="1"/>
    <col min="8089" max="8089" width="18.75" style="11" bestFit="1" customWidth="1"/>
    <col min="8090" max="8091" width="19" style="11" bestFit="1" customWidth="1"/>
    <col min="8092" max="8092" width="18.625" style="11" bestFit="1" customWidth="1"/>
    <col min="8093" max="8093" width="18.25" style="11" bestFit="1" customWidth="1"/>
    <col min="8094" max="8094" width="18.625" style="11" bestFit="1" customWidth="1"/>
    <col min="8095" max="8095" width="18.625" style="11" customWidth="1"/>
    <col min="8096" max="8096" width="18" style="11" customWidth="1"/>
    <col min="8097" max="8097" width="17.75" style="11" customWidth="1"/>
    <col min="8098" max="8101" width="18" style="11" customWidth="1"/>
    <col min="8102" max="8102" width="19.875" style="11" customWidth="1"/>
    <col min="8103" max="8103" width="18" style="11" customWidth="1"/>
    <col min="8104" max="8109" width="18.625" style="11" customWidth="1"/>
    <col min="8110" max="8115" width="18.375" style="11" customWidth="1"/>
    <col min="8116" max="8117" width="17.75" style="11" customWidth="1"/>
    <col min="8118" max="8118" width="18.375" style="11" customWidth="1"/>
    <col min="8119" max="8119" width="18.625" style="11" bestFit="1" customWidth="1"/>
    <col min="8120" max="8120" width="19.125" style="11" customWidth="1"/>
    <col min="8121" max="8123" width="18.5" style="11" customWidth="1"/>
    <col min="8124" max="8124" width="17.25" style="11" customWidth="1"/>
    <col min="8125" max="8125" width="18.75" style="11" bestFit="1" customWidth="1"/>
    <col min="8126" max="8126" width="18.125" style="11" bestFit="1" customWidth="1"/>
    <col min="8127" max="8127" width="17.25" style="11" customWidth="1"/>
    <col min="8128" max="8129" width="18.25" style="11" bestFit="1" customWidth="1"/>
    <col min="8130" max="8130" width="19.5" style="11" bestFit="1" customWidth="1"/>
    <col min="8131" max="8131" width="19.375" style="11" bestFit="1" customWidth="1"/>
    <col min="8132" max="8133" width="19.125" style="11" bestFit="1" customWidth="1"/>
    <col min="8134" max="8186" width="9" style="11"/>
    <col min="8187" max="8187" width="25.125" style="11" customWidth="1"/>
    <col min="8188" max="8296" width="17.25" style="11" customWidth="1"/>
    <col min="8297" max="8297" width="19.875" style="11" customWidth="1"/>
    <col min="8298" max="8310" width="17.25" style="11" customWidth="1"/>
    <col min="8311" max="8311" width="16.625" style="11" bestFit="1" customWidth="1"/>
    <col min="8312" max="8312" width="18" style="11" customWidth="1"/>
    <col min="8313" max="8320" width="16.625" style="11" bestFit="1" customWidth="1"/>
    <col min="8321" max="8321" width="16.875" style="11" customWidth="1"/>
    <col min="8322" max="8322" width="19.375" style="11" bestFit="1" customWidth="1"/>
    <col min="8323" max="8330" width="18.75" style="11" customWidth="1"/>
    <col min="8331" max="8331" width="20.375" style="11" customWidth="1"/>
    <col min="8332" max="8332" width="18.75" style="11" bestFit="1" customWidth="1"/>
    <col min="8333" max="8333" width="19.375" style="11" customWidth="1"/>
    <col min="8334" max="8334" width="18.625" style="11" bestFit="1" customWidth="1"/>
    <col min="8335" max="8335" width="18.25" style="11" bestFit="1" customWidth="1"/>
    <col min="8336" max="8336" width="19.5" style="11" customWidth="1"/>
    <col min="8337" max="8339" width="19.375" style="11" customWidth="1"/>
    <col min="8340" max="8340" width="19" style="11" bestFit="1" customWidth="1"/>
    <col min="8341" max="8341" width="18.625" style="11" bestFit="1" customWidth="1"/>
    <col min="8342" max="8342" width="19" style="11" bestFit="1" customWidth="1"/>
    <col min="8343" max="8343" width="18.75" style="11" bestFit="1" customWidth="1"/>
    <col min="8344" max="8344" width="19" style="11" customWidth="1"/>
    <col min="8345" max="8345" width="18.75" style="11" bestFit="1" customWidth="1"/>
    <col min="8346" max="8347" width="19" style="11" bestFit="1" customWidth="1"/>
    <col min="8348" max="8348" width="18.625" style="11" bestFit="1" customWidth="1"/>
    <col min="8349" max="8349" width="18.25" style="11" bestFit="1" customWidth="1"/>
    <col min="8350" max="8350" width="18.625" style="11" bestFit="1" customWidth="1"/>
    <col min="8351" max="8351" width="18.625" style="11" customWidth="1"/>
    <col min="8352" max="8352" width="18" style="11" customWidth="1"/>
    <col min="8353" max="8353" width="17.75" style="11" customWidth="1"/>
    <col min="8354" max="8357" width="18" style="11" customWidth="1"/>
    <col min="8358" max="8358" width="19.875" style="11" customWidth="1"/>
    <col min="8359" max="8359" width="18" style="11" customWidth="1"/>
    <col min="8360" max="8365" width="18.625" style="11" customWidth="1"/>
    <col min="8366" max="8371" width="18.375" style="11" customWidth="1"/>
    <col min="8372" max="8373" width="17.75" style="11" customWidth="1"/>
    <col min="8374" max="8374" width="18.375" style="11" customWidth="1"/>
    <col min="8375" max="8375" width="18.625" style="11" bestFit="1" customWidth="1"/>
    <col min="8376" max="8376" width="19.125" style="11" customWidth="1"/>
    <col min="8377" max="8379" width="18.5" style="11" customWidth="1"/>
    <col min="8380" max="8380" width="17.25" style="11" customWidth="1"/>
    <col min="8381" max="8381" width="18.75" style="11" bestFit="1" customWidth="1"/>
    <col min="8382" max="8382" width="18.125" style="11" bestFit="1" customWidth="1"/>
    <col min="8383" max="8383" width="17.25" style="11" customWidth="1"/>
    <col min="8384" max="8385" width="18.25" style="11" bestFit="1" customWidth="1"/>
    <col min="8386" max="8386" width="19.5" style="11" bestFit="1" customWidth="1"/>
    <col min="8387" max="8387" width="19.375" style="11" bestFit="1" customWidth="1"/>
    <col min="8388" max="8389" width="19.125" style="11" bestFit="1" customWidth="1"/>
    <col min="8390" max="8442" width="9" style="11"/>
    <col min="8443" max="8443" width="25.125" style="11" customWidth="1"/>
    <col min="8444" max="8552" width="17.25" style="11" customWidth="1"/>
    <col min="8553" max="8553" width="19.875" style="11" customWidth="1"/>
    <col min="8554" max="8566" width="17.25" style="11" customWidth="1"/>
    <col min="8567" max="8567" width="16.625" style="11" bestFit="1" customWidth="1"/>
    <col min="8568" max="8568" width="18" style="11" customWidth="1"/>
    <col min="8569" max="8576" width="16.625" style="11" bestFit="1" customWidth="1"/>
    <col min="8577" max="8577" width="16.875" style="11" customWidth="1"/>
    <col min="8578" max="8578" width="19.375" style="11" bestFit="1" customWidth="1"/>
    <col min="8579" max="8586" width="18.75" style="11" customWidth="1"/>
    <col min="8587" max="8587" width="20.375" style="11" customWidth="1"/>
    <col min="8588" max="8588" width="18.75" style="11" bestFit="1" customWidth="1"/>
    <col min="8589" max="8589" width="19.375" style="11" customWidth="1"/>
    <col min="8590" max="8590" width="18.625" style="11" bestFit="1" customWidth="1"/>
    <col min="8591" max="8591" width="18.25" style="11" bestFit="1" customWidth="1"/>
    <col min="8592" max="8592" width="19.5" style="11" customWidth="1"/>
    <col min="8593" max="8595" width="19.375" style="11" customWidth="1"/>
    <col min="8596" max="8596" width="19" style="11" bestFit="1" customWidth="1"/>
    <col min="8597" max="8597" width="18.625" style="11" bestFit="1" customWidth="1"/>
    <col min="8598" max="8598" width="19" style="11" bestFit="1" customWidth="1"/>
    <col min="8599" max="8599" width="18.75" style="11" bestFit="1" customWidth="1"/>
    <col min="8600" max="8600" width="19" style="11" customWidth="1"/>
    <col min="8601" max="8601" width="18.75" style="11" bestFit="1" customWidth="1"/>
    <col min="8602" max="8603" width="19" style="11" bestFit="1" customWidth="1"/>
    <col min="8604" max="8604" width="18.625" style="11" bestFit="1" customWidth="1"/>
    <col min="8605" max="8605" width="18.25" style="11" bestFit="1" customWidth="1"/>
    <col min="8606" max="8606" width="18.625" style="11" bestFit="1" customWidth="1"/>
    <col min="8607" max="8607" width="18.625" style="11" customWidth="1"/>
    <col min="8608" max="8608" width="18" style="11" customWidth="1"/>
    <col min="8609" max="8609" width="17.75" style="11" customWidth="1"/>
    <col min="8610" max="8613" width="18" style="11" customWidth="1"/>
    <col min="8614" max="8614" width="19.875" style="11" customWidth="1"/>
    <col min="8615" max="8615" width="18" style="11" customWidth="1"/>
    <col min="8616" max="8621" width="18.625" style="11" customWidth="1"/>
    <col min="8622" max="8627" width="18.375" style="11" customWidth="1"/>
    <col min="8628" max="8629" width="17.75" style="11" customWidth="1"/>
    <col min="8630" max="8630" width="18.375" style="11" customWidth="1"/>
    <col min="8631" max="8631" width="18.625" style="11" bestFit="1" customWidth="1"/>
    <col min="8632" max="8632" width="19.125" style="11" customWidth="1"/>
    <col min="8633" max="8635" width="18.5" style="11" customWidth="1"/>
    <col min="8636" max="8636" width="17.25" style="11" customWidth="1"/>
    <col min="8637" max="8637" width="18.75" style="11" bestFit="1" customWidth="1"/>
    <col min="8638" max="8638" width="18.125" style="11" bestFit="1" customWidth="1"/>
    <col min="8639" max="8639" width="17.25" style="11" customWidth="1"/>
    <col min="8640" max="8641" width="18.25" style="11" bestFit="1" customWidth="1"/>
    <col min="8642" max="8642" width="19.5" style="11" bestFit="1" customWidth="1"/>
    <col min="8643" max="8643" width="19.375" style="11" bestFit="1" customWidth="1"/>
    <col min="8644" max="8645" width="19.125" style="11" bestFit="1" customWidth="1"/>
    <col min="8646" max="8698" width="9" style="11"/>
    <col min="8699" max="8699" width="25.125" style="11" customWidth="1"/>
    <col min="8700" max="8808" width="17.25" style="11" customWidth="1"/>
    <col min="8809" max="8809" width="19.875" style="11" customWidth="1"/>
    <col min="8810" max="8822" width="17.25" style="11" customWidth="1"/>
    <col min="8823" max="8823" width="16.625" style="11" bestFit="1" customWidth="1"/>
    <col min="8824" max="8824" width="18" style="11" customWidth="1"/>
    <col min="8825" max="8832" width="16.625" style="11" bestFit="1" customWidth="1"/>
    <col min="8833" max="8833" width="16.875" style="11" customWidth="1"/>
    <col min="8834" max="8834" width="19.375" style="11" bestFit="1" customWidth="1"/>
    <col min="8835" max="8842" width="18.75" style="11" customWidth="1"/>
    <col min="8843" max="8843" width="20.375" style="11" customWidth="1"/>
    <col min="8844" max="8844" width="18.75" style="11" bestFit="1" customWidth="1"/>
    <col min="8845" max="8845" width="19.375" style="11" customWidth="1"/>
    <col min="8846" max="8846" width="18.625" style="11" bestFit="1" customWidth="1"/>
    <col min="8847" max="8847" width="18.25" style="11" bestFit="1" customWidth="1"/>
    <col min="8848" max="8848" width="19.5" style="11" customWidth="1"/>
    <col min="8849" max="8851" width="19.375" style="11" customWidth="1"/>
    <col min="8852" max="8852" width="19" style="11" bestFit="1" customWidth="1"/>
    <col min="8853" max="8853" width="18.625" style="11" bestFit="1" customWidth="1"/>
    <col min="8854" max="8854" width="19" style="11" bestFit="1" customWidth="1"/>
    <col min="8855" max="8855" width="18.75" style="11" bestFit="1" customWidth="1"/>
    <col min="8856" max="8856" width="19" style="11" customWidth="1"/>
    <col min="8857" max="8857" width="18.75" style="11" bestFit="1" customWidth="1"/>
    <col min="8858" max="8859" width="19" style="11" bestFit="1" customWidth="1"/>
    <col min="8860" max="8860" width="18.625" style="11" bestFit="1" customWidth="1"/>
    <col min="8861" max="8861" width="18.25" style="11" bestFit="1" customWidth="1"/>
    <col min="8862" max="8862" width="18.625" style="11" bestFit="1" customWidth="1"/>
    <col min="8863" max="8863" width="18.625" style="11" customWidth="1"/>
    <col min="8864" max="8864" width="18" style="11" customWidth="1"/>
    <col min="8865" max="8865" width="17.75" style="11" customWidth="1"/>
    <col min="8866" max="8869" width="18" style="11" customWidth="1"/>
    <col min="8870" max="8870" width="19.875" style="11" customWidth="1"/>
    <col min="8871" max="8871" width="18" style="11" customWidth="1"/>
    <col min="8872" max="8877" width="18.625" style="11" customWidth="1"/>
    <col min="8878" max="8883" width="18.375" style="11" customWidth="1"/>
    <col min="8884" max="8885" width="17.75" style="11" customWidth="1"/>
    <col min="8886" max="8886" width="18.375" style="11" customWidth="1"/>
    <col min="8887" max="8887" width="18.625" style="11" bestFit="1" customWidth="1"/>
    <col min="8888" max="8888" width="19.125" style="11" customWidth="1"/>
    <col min="8889" max="8891" width="18.5" style="11" customWidth="1"/>
    <col min="8892" max="8892" width="17.25" style="11" customWidth="1"/>
    <col min="8893" max="8893" width="18.75" style="11" bestFit="1" customWidth="1"/>
    <col min="8894" max="8894" width="18.125" style="11" bestFit="1" customWidth="1"/>
    <col min="8895" max="8895" width="17.25" style="11" customWidth="1"/>
    <col min="8896" max="8897" width="18.25" style="11" bestFit="1" customWidth="1"/>
    <col min="8898" max="8898" width="19.5" style="11" bestFit="1" customWidth="1"/>
    <col min="8899" max="8899" width="19.375" style="11" bestFit="1" customWidth="1"/>
    <col min="8900" max="8901" width="19.125" style="11" bestFit="1" customWidth="1"/>
    <col min="8902" max="8954" width="9" style="11"/>
    <col min="8955" max="8955" width="25.125" style="11" customWidth="1"/>
    <col min="8956" max="9064" width="17.25" style="11" customWidth="1"/>
    <col min="9065" max="9065" width="19.875" style="11" customWidth="1"/>
    <col min="9066" max="9078" width="17.25" style="11" customWidth="1"/>
    <col min="9079" max="9079" width="16.625" style="11" bestFit="1" customWidth="1"/>
    <col min="9080" max="9080" width="18" style="11" customWidth="1"/>
    <col min="9081" max="9088" width="16.625" style="11" bestFit="1" customWidth="1"/>
    <col min="9089" max="9089" width="16.875" style="11" customWidth="1"/>
    <col min="9090" max="9090" width="19.375" style="11" bestFit="1" customWidth="1"/>
    <col min="9091" max="9098" width="18.75" style="11" customWidth="1"/>
    <col min="9099" max="9099" width="20.375" style="11" customWidth="1"/>
    <col min="9100" max="9100" width="18.75" style="11" bestFit="1" customWidth="1"/>
    <col min="9101" max="9101" width="19.375" style="11" customWidth="1"/>
    <col min="9102" max="9102" width="18.625" style="11" bestFit="1" customWidth="1"/>
    <col min="9103" max="9103" width="18.25" style="11" bestFit="1" customWidth="1"/>
    <col min="9104" max="9104" width="19.5" style="11" customWidth="1"/>
    <col min="9105" max="9107" width="19.375" style="11" customWidth="1"/>
    <col min="9108" max="9108" width="19" style="11" bestFit="1" customWidth="1"/>
    <col min="9109" max="9109" width="18.625" style="11" bestFit="1" customWidth="1"/>
    <col min="9110" max="9110" width="19" style="11" bestFit="1" customWidth="1"/>
    <col min="9111" max="9111" width="18.75" style="11" bestFit="1" customWidth="1"/>
    <col min="9112" max="9112" width="19" style="11" customWidth="1"/>
    <col min="9113" max="9113" width="18.75" style="11" bestFit="1" customWidth="1"/>
    <col min="9114" max="9115" width="19" style="11" bestFit="1" customWidth="1"/>
    <col min="9116" max="9116" width="18.625" style="11" bestFit="1" customWidth="1"/>
    <col min="9117" max="9117" width="18.25" style="11" bestFit="1" customWidth="1"/>
    <col min="9118" max="9118" width="18.625" style="11" bestFit="1" customWidth="1"/>
    <col min="9119" max="9119" width="18.625" style="11" customWidth="1"/>
    <col min="9120" max="9120" width="18" style="11" customWidth="1"/>
    <col min="9121" max="9121" width="17.75" style="11" customWidth="1"/>
    <col min="9122" max="9125" width="18" style="11" customWidth="1"/>
    <col min="9126" max="9126" width="19.875" style="11" customWidth="1"/>
    <col min="9127" max="9127" width="18" style="11" customWidth="1"/>
    <col min="9128" max="9133" width="18.625" style="11" customWidth="1"/>
    <col min="9134" max="9139" width="18.375" style="11" customWidth="1"/>
    <col min="9140" max="9141" width="17.75" style="11" customWidth="1"/>
    <col min="9142" max="9142" width="18.375" style="11" customWidth="1"/>
    <col min="9143" max="9143" width="18.625" style="11" bestFit="1" customWidth="1"/>
    <col min="9144" max="9144" width="19.125" style="11" customWidth="1"/>
    <col min="9145" max="9147" width="18.5" style="11" customWidth="1"/>
    <col min="9148" max="9148" width="17.25" style="11" customWidth="1"/>
    <col min="9149" max="9149" width="18.75" style="11" bestFit="1" customWidth="1"/>
    <col min="9150" max="9150" width="18.125" style="11" bestFit="1" customWidth="1"/>
    <col min="9151" max="9151" width="17.25" style="11" customWidth="1"/>
    <col min="9152" max="9153" width="18.25" style="11" bestFit="1" customWidth="1"/>
    <col min="9154" max="9154" width="19.5" style="11" bestFit="1" customWidth="1"/>
    <col min="9155" max="9155" width="19.375" style="11" bestFit="1" customWidth="1"/>
    <col min="9156" max="9157" width="19.125" style="11" bestFit="1" customWidth="1"/>
    <col min="9158" max="9210" width="9" style="11"/>
    <col min="9211" max="9211" width="25.125" style="11" customWidth="1"/>
    <col min="9212" max="9320" width="17.25" style="11" customWidth="1"/>
    <col min="9321" max="9321" width="19.875" style="11" customWidth="1"/>
    <col min="9322" max="9334" width="17.25" style="11" customWidth="1"/>
    <col min="9335" max="9335" width="16.625" style="11" bestFit="1" customWidth="1"/>
    <col min="9336" max="9336" width="18" style="11" customWidth="1"/>
    <col min="9337" max="9344" width="16.625" style="11" bestFit="1" customWidth="1"/>
    <col min="9345" max="9345" width="16.875" style="11" customWidth="1"/>
    <col min="9346" max="9346" width="19.375" style="11" bestFit="1" customWidth="1"/>
    <col min="9347" max="9354" width="18.75" style="11" customWidth="1"/>
    <col min="9355" max="9355" width="20.375" style="11" customWidth="1"/>
    <col min="9356" max="9356" width="18.75" style="11" bestFit="1" customWidth="1"/>
    <col min="9357" max="9357" width="19.375" style="11" customWidth="1"/>
    <col min="9358" max="9358" width="18.625" style="11" bestFit="1" customWidth="1"/>
    <col min="9359" max="9359" width="18.25" style="11" bestFit="1" customWidth="1"/>
    <col min="9360" max="9360" width="19.5" style="11" customWidth="1"/>
    <col min="9361" max="9363" width="19.375" style="11" customWidth="1"/>
    <col min="9364" max="9364" width="19" style="11" bestFit="1" customWidth="1"/>
    <col min="9365" max="9365" width="18.625" style="11" bestFit="1" customWidth="1"/>
    <col min="9366" max="9366" width="19" style="11" bestFit="1" customWidth="1"/>
    <col min="9367" max="9367" width="18.75" style="11" bestFit="1" customWidth="1"/>
    <col min="9368" max="9368" width="19" style="11" customWidth="1"/>
    <col min="9369" max="9369" width="18.75" style="11" bestFit="1" customWidth="1"/>
    <col min="9370" max="9371" width="19" style="11" bestFit="1" customWidth="1"/>
    <col min="9372" max="9372" width="18.625" style="11" bestFit="1" customWidth="1"/>
    <col min="9373" max="9373" width="18.25" style="11" bestFit="1" customWidth="1"/>
    <col min="9374" max="9374" width="18.625" style="11" bestFit="1" customWidth="1"/>
    <col min="9375" max="9375" width="18.625" style="11" customWidth="1"/>
    <col min="9376" max="9376" width="18" style="11" customWidth="1"/>
    <col min="9377" max="9377" width="17.75" style="11" customWidth="1"/>
    <col min="9378" max="9381" width="18" style="11" customWidth="1"/>
    <col min="9382" max="9382" width="19.875" style="11" customWidth="1"/>
    <col min="9383" max="9383" width="18" style="11" customWidth="1"/>
    <col min="9384" max="9389" width="18.625" style="11" customWidth="1"/>
    <col min="9390" max="9395" width="18.375" style="11" customWidth="1"/>
    <col min="9396" max="9397" width="17.75" style="11" customWidth="1"/>
    <col min="9398" max="9398" width="18.375" style="11" customWidth="1"/>
    <col min="9399" max="9399" width="18.625" style="11" bestFit="1" customWidth="1"/>
    <col min="9400" max="9400" width="19.125" style="11" customWidth="1"/>
    <col min="9401" max="9403" width="18.5" style="11" customWidth="1"/>
    <col min="9404" max="9404" width="17.25" style="11" customWidth="1"/>
    <col min="9405" max="9405" width="18.75" style="11" bestFit="1" customWidth="1"/>
    <col min="9406" max="9406" width="18.125" style="11" bestFit="1" customWidth="1"/>
    <col min="9407" max="9407" width="17.25" style="11" customWidth="1"/>
    <col min="9408" max="9409" width="18.25" style="11" bestFit="1" customWidth="1"/>
    <col min="9410" max="9410" width="19.5" style="11" bestFit="1" customWidth="1"/>
    <col min="9411" max="9411" width="19.375" style="11" bestFit="1" customWidth="1"/>
    <col min="9412" max="9413" width="19.125" style="11" bestFit="1" customWidth="1"/>
    <col min="9414" max="9466" width="9" style="11"/>
    <col min="9467" max="9467" width="25.125" style="11" customWidth="1"/>
    <col min="9468" max="9576" width="17.25" style="11" customWidth="1"/>
    <col min="9577" max="9577" width="19.875" style="11" customWidth="1"/>
    <col min="9578" max="9590" width="17.25" style="11" customWidth="1"/>
    <col min="9591" max="9591" width="16.625" style="11" bestFit="1" customWidth="1"/>
    <col min="9592" max="9592" width="18" style="11" customWidth="1"/>
    <col min="9593" max="9600" width="16.625" style="11" bestFit="1" customWidth="1"/>
    <col min="9601" max="9601" width="16.875" style="11" customWidth="1"/>
    <col min="9602" max="9602" width="19.375" style="11" bestFit="1" customWidth="1"/>
    <col min="9603" max="9610" width="18.75" style="11" customWidth="1"/>
    <col min="9611" max="9611" width="20.375" style="11" customWidth="1"/>
    <col min="9612" max="9612" width="18.75" style="11" bestFit="1" customWidth="1"/>
    <col min="9613" max="9613" width="19.375" style="11" customWidth="1"/>
    <col min="9614" max="9614" width="18.625" style="11" bestFit="1" customWidth="1"/>
    <col min="9615" max="9615" width="18.25" style="11" bestFit="1" customWidth="1"/>
    <col min="9616" max="9616" width="19.5" style="11" customWidth="1"/>
    <col min="9617" max="9619" width="19.375" style="11" customWidth="1"/>
    <col min="9620" max="9620" width="19" style="11" bestFit="1" customWidth="1"/>
    <col min="9621" max="9621" width="18.625" style="11" bestFit="1" customWidth="1"/>
    <col min="9622" max="9622" width="19" style="11" bestFit="1" customWidth="1"/>
    <col min="9623" max="9623" width="18.75" style="11" bestFit="1" customWidth="1"/>
    <col min="9624" max="9624" width="19" style="11" customWidth="1"/>
    <col min="9625" max="9625" width="18.75" style="11" bestFit="1" customWidth="1"/>
    <col min="9626" max="9627" width="19" style="11" bestFit="1" customWidth="1"/>
    <col min="9628" max="9628" width="18.625" style="11" bestFit="1" customWidth="1"/>
    <col min="9629" max="9629" width="18.25" style="11" bestFit="1" customWidth="1"/>
    <col min="9630" max="9630" width="18.625" style="11" bestFit="1" customWidth="1"/>
    <col min="9631" max="9631" width="18.625" style="11" customWidth="1"/>
    <col min="9632" max="9632" width="18" style="11" customWidth="1"/>
    <col min="9633" max="9633" width="17.75" style="11" customWidth="1"/>
    <col min="9634" max="9637" width="18" style="11" customWidth="1"/>
    <col min="9638" max="9638" width="19.875" style="11" customWidth="1"/>
    <col min="9639" max="9639" width="18" style="11" customWidth="1"/>
    <col min="9640" max="9645" width="18.625" style="11" customWidth="1"/>
    <col min="9646" max="9651" width="18.375" style="11" customWidth="1"/>
    <col min="9652" max="9653" width="17.75" style="11" customWidth="1"/>
    <col min="9654" max="9654" width="18.375" style="11" customWidth="1"/>
    <col min="9655" max="9655" width="18.625" style="11" bestFit="1" customWidth="1"/>
    <col min="9656" max="9656" width="19.125" style="11" customWidth="1"/>
    <col min="9657" max="9659" width="18.5" style="11" customWidth="1"/>
    <col min="9660" max="9660" width="17.25" style="11" customWidth="1"/>
    <col min="9661" max="9661" width="18.75" style="11" bestFit="1" customWidth="1"/>
    <col min="9662" max="9662" width="18.125" style="11" bestFit="1" customWidth="1"/>
    <col min="9663" max="9663" width="17.25" style="11" customWidth="1"/>
    <col min="9664" max="9665" width="18.25" style="11" bestFit="1" customWidth="1"/>
    <col min="9666" max="9666" width="19.5" style="11" bestFit="1" customWidth="1"/>
    <col min="9667" max="9667" width="19.375" style="11" bestFit="1" customWidth="1"/>
    <col min="9668" max="9669" width="19.125" style="11" bestFit="1" customWidth="1"/>
    <col min="9670" max="9722" width="9" style="11"/>
    <col min="9723" max="9723" width="25.125" style="11" customWidth="1"/>
    <col min="9724" max="9832" width="17.25" style="11" customWidth="1"/>
    <col min="9833" max="9833" width="19.875" style="11" customWidth="1"/>
    <col min="9834" max="9846" width="17.25" style="11" customWidth="1"/>
    <col min="9847" max="9847" width="16.625" style="11" bestFit="1" customWidth="1"/>
    <col min="9848" max="9848" width="18" style="11" customWidth="1"/>
    <col min="9849" max="9856" width="16.625" style="11" bestFit="1" customWidth="1"/>
    <col min="9857" max="9857" width="16.875" style="11" customWidth="1"/>
    <col min="9858" max="9858" width="19.375" style="11" bestFit="1" customWidth="1"/>
    <col min="9859" max="9866" width="18.75" style="11" customWidth="1"/>
    <col min="9867" max="9867" width="20.375" style="11" customWidth="1"/>
    <col min="9868" max="9868" width="18.75" style="11" bestFit="1" customWidth="1"/>
    <col min="9869" max="9869" width="19.375" style="11" customWidth="1"/>
    <col min="9870" max="9870" width="18.625" style="11" bestFit="1" customWidth="1"/>
    <col min="9871" max="9871" width="18.25" style="11" bestFit="1" customWidth="1"/>
    <col min="9872" max="9872" width="19.5" style="11" customWidth="1"/>
    <col min="9873" max="9875" width="19.375" style="11" customWidth="1"/>
    <col min="9876" max="9876" width="19" style="11" bestFit="1" customWidth="1"/>
    <col min="9877" max="9877" width="18.625" style="11" bestFit="1" customWidth="1"/>
    <col min="9878" max="9878" width="19" style="11" bestFit="1" customWidth="1"/>
    <col min="9879" max="9879" width="18.75" style="11" bestFit="1" customWidth="1"/>
    <col min="9880" max="9880" width="19" style="11" customWidth="1"/>
    <col min="9881" max="9881" width="18.75" style="11" bestFit="1" customWidth="1"/>
    <col min="9882" max="9883" width="19" style="11" bestFit="1" customWidth="1"/>
    <col min="9884" max="9884" width="18.625" style="11" bestFit="1" customWidth="1"/>
    <col min="9885" max="9885" width="18.25" style="11" bestFit="1" customWidth="1"/>
    <col min="9886" max="9886" width="18.625" style="11" bestFit="1" customWidth="1"/>
    <col min="9887" max="9887" width="18.625" style="11" customWidth="1"/>
    <col min="9888" max="9888" width="18" style="11" customWidth="1"/>
    <col min="9889" max="9889" width="17.75" style="11" customWidth="1"/>
    <col min="9890" max="9893" width="18" style="11" customWidth="1"/>
    <col min="9894" max="9894" width="19.875" style="11" customWidth="1"/>
    <col min="9895" max="9895" width="18" style="11" customWidth="1"/>
    <col min="9896" max="9901" width="18.625" style="11" customWidth="1"/>
    <col min="9902" max="9907" width="18.375" style="11" customWidth="1"/>
    <col min="9908" max="9909" width="17.75" style="11" customWidth="1"/>
    <col min="9910" max="9910" width="18.375" style="11" customWidth="1"/>
    <col min="9911" max="9911" width="18.625" style="11" bestFit="1" customWidth="1"/>
    <col min="9912" max="9912" width="19.125" style="11" customWidth="1"/>
    <col min="9913" max="9915" width="18.5" style="11" customWidth="1"/>
    <col min="9916" max="9916" width="17.25" style="11" customWidth="1"/>
    <col min="9917" max="9917" width="18.75" style="11" bestFit="1" customWidth="1"/>
    <col min="9918" max="9918" width="18.125" style="11" bestFit="1" customWidth="1"/>
    <col min="9919" max="9919" width="17.25" style="11" customWidth="1"/>
    <col min="9920" max="9921" width="18.25" style="11" bestFit="1" customWidth="1"/>
    <col min="9922" max="9922" width="19.5" style="11" bestFit="1" customWidth="1"/>
    <col min="9923" max="9923" width="19.375" style="11" bestFit="1" customWidth="1"/>
    <col min="9924" max="9925" width="19.125" style="11" bestFit="1" customWidth="1"/>
    <col min="9926" max="9978" width="9" style="11"/>
    <col min="9979" max="9979" width="25.125" style="11" customWidth="1"/>
    <col min="9980" max="10088" width="17.25" style="11" customWidth="1"/>
    <col min="10089" max="10089" width="19.875" style="11" customWidth="1"/>
    <col min="10090" max="10102" width="17.25" style="11" customWidth="1"/>
    <col min="10103" max="10103" width="16.625" style="11" bestFit="1" customWidth="1"/>
    <col min="10104" max="10104" width="18" style="11" customWidth="1"/>
    <col min="10105" max="10112" width="16.625" style="11" bestFit="1" customWidth="1"/>
    <col min="10113" max="10113" width="16.875" style="11" customWidth="1"/>
    <col min="10114" max="10114" width="19.375" style="11" bestFit="1" customWidth="1"/>
    <col min="10115" max="10122" width="18.75" style="11" customWidth="1"/>
    <col min="10123" max="10123" width="20.375" style="11" customWidth="1"/>
    <col min="10124" max="10124" width="18.75" style="11" bestFit="1" customWidth="1"/>
    <col min="10125" max="10125" width="19.375" style="11" customWidth="1"/>
    <col min="10126" max="10126" width="18.625" style="11" bestFit="1" customWidth="1"/>
    <col min="10127" max="10127" width="18.25" style="11" bestFit="1" customWidth="1"/>
    <col min="10128" max="10128" width="19.5" style="11" customWidth="1"/>
    <col min="10129" max="10131" width="19.375" style="11" customWidth="1"/>
    <col min="10132" max="10132" width="19" style="11" bestFit="1" customWidth="1"/>
    <col min="10133" max="10133" width="18.625" style="11" bestFit="1" customWidth="1"/>
    <col min="10134" max="10134" width="19" style="11" bestFit="1" customWidth="1"/>
    <col min="10135" max="10135" width="18.75" style="11" bestFit="1" customWidth="1"/>
    <col min="10136" max="10136" width="19" style="11" customWidth="1"/>
    <col min="10137" max="10137" width="18.75" style="11" bestFit="1" customWidth="1"/>
    <col min="10138" max="10139" width="19" style="11" bestFit="1" customWidth="1"/>
    <col min="10140" max="10140" width="18.625" style="11" bestFit="1" customWidth="1"/>
    <col min="10141" max="10141" width="18.25" style="11" bestFit="1" customWidth="1"/>
    <col min="10142" max="10142" width="18.625" style="11" bestFit="1" customWidth="1"/>
    <col min="10143" max="10143" width="18.625" style="11" customWidth="1"/>
    <col min="10144" max="10144" width="18" style="11" customWidth="1"/>
    <col min="10145" max="10145" width="17.75" style="11" customWidth="1"/>
    <col min="10146" max="10149" width="18" style="11" customWidth="1"/>
    <col min="10150" max="10150" width="19.875" style="11" customWidth="1"/>
    <col min="10151" max="10151" width="18" style="11" customWidth="1"/>
    <col min="10152" max="10157" width="18.625" style="11" customWidth="1"/>
    <col min="10158" max="10163" width="18.375" style="11" customWidth="1"/>
    <col min="10164" max="10165" width="17.75" style="11" customWidth="1"/>
    <col min="10166" max="10166" width="18.375" style="11" customWidth="1"/>
    <col min="10167" max="10167" width="18.625" style="11" bestFit="1" customWidth="1"/>
    <col min="10168" max="10168" width="19.125" style="11" customWidth="1"/>
    <col min="10169" max="10171" width="18.5" style="11" customWidth="1"/>
    <col min="10172" max="10172" width="17.25" style="11" customWidth="1"/>
    <col min="10173" max="10173" width="18.75" style="11" bestFit="1" customWidth="1"/>
    <col min="10174" max="10174" width="18.125" style="11" bestFit="1" customWidth="1"/>
    <col min="10175" max="10175" width="17.25" style="11" customWidth="1"/>
    <col min="10176" max="10177" width="18.25" style="11" bestFit="1" customWidth="1"/>
    <col min="10178" max="10178" width="19.5" style="11" bestFit="1" customWidth="1"/>
    <col min="10179" max="10179" width="19.375" style="11" bestFit="1" customWidth="1"/>
    <col min="10180" max="10181" width="19.125" style="11" bestFit="1" customWidth="1"/>
    <col min="10182" max="10234" width="9" style="11"/>
    <col min="10235" max="10235" width="25.125" style="11" customWidth="1"/>
    <col min="10236" max="10344" width="17.25" style="11" customWidth="1"/>
    <col min="10345" max="10345" width="19.875" style="11" customWidth="1"/>
    <col min="10346" max="10358" width="17.25" style="11" customWidth="1"/>
    <col min="10359" max="10359" width="16.625" style="11" bestFit="1" customWidth="1"/>
    <col min="10360" max="10360" width="18" style="11" customWidth="1"/>
    <col min="10361" max="10368" width="16.625" style="11" bestFit="1" customWidth="1"/>
    <col min="10369" max="10369" width="16.875" style="11" customWidth="1"/>
    <col min="10370" max="10370" width="19.375" style="11" bestFit="1" customWidth="1"/>
    <col min="10371" max="10378" width="18.75" style="11" customWidth="1"/>
    <col min="10379" max="10379" width="20.375" style="11" customWidth="1"/>
    <col min="10380" max="10380" width="18.75" style="11" bestFit="1" customWidth="1"/>
    <col min="10381" max="10381" width="19.375" style="11" customWidth="1"/>
    <col min="10382" max="10382" width="18.625" style="11" bestFit="1" customWidth="1"/>
    <col min="10383" max="10383" width="18.25" style="11" bestFit="1" customWidth="1"/>
    <col min="10384" max="10384" width="19.5" style="11" customWidth="1"/>
    <col min="10385" max="10387" width="19.375" style="11" customWidth="1"/>
    <col min="10388" max="10388" width="19" style="11" bestFit="1" customWidth="1"/>
    <col min="10389" max="10389" width="18.625" style="11" bestFit="1" customWidth="1"/>
    <col min="10390" max="10390" width="19" style="11" bestFit="1" customWidth="1"/>
    <col min="10391" max="10391" width="18.75" style="11" bestFit="1" customWidth="1"/>
    <col min="10392" max="10392" width="19" style="11" customWidth="1"/>
    <col min="10393" max="10393" width="18.75" style="11" bestFit="1" customWidth="1"/>
    <col min="10394" max="10395" width="19" style="11" bestFit="1" customWidth="1"/>
    <col min="10396" max="10396" width="18.625" style="11" bestFit="1" customWidth="1"/>
    <col min="10397" max="10397" width="18.25" style="11" bestFit="1" customWidth="1"/>
    <col min="10398" max="10398" width="18.625" style="11" bestFit="1" customWidth="1"/>
    <col min="10399" max="10399" width="18.625" style="11" customWidth="1"/>
    <col min="10400" max="10400" width="18" style="11" customWidth="1"/>
    <col min="10401" max="10401" width="17.75" style="11" customWidth="1"/>
    <col min="10402" max="10405" width="18" style="11" customWidth="1"/>
    <col min="10406" max="10406" width="19.875" style="11" customWidth="1"/>
    <col min="10407" max="10407" width="18" style="11" customWidth="1"/>
    <col min="10408" max="10413" width="18.625" style="11" customWidth="1"/>
    <col min="10414" max="10419" width="18.375" style="11" customWidth="1"/>
    <col min="10420" max="10421" width="17.75" style="11" customWidth="1"/>
    <col min="10422" max="10422" width="18.375" style="11" customWidth="1"/>
    <col min="10423" max="10423" width="18.625" style="11" bestFit="1" customWidth="1"/>
    <col min="10424" max="10424" width="19.125" style="11" customWidth="1"/>
    <col min="10425" max="10427" width="18.5" style="11" customWidth="1"/>
    <col min="10428" max="10428" width="17.25" style="11" customWidth="1"/>
    <col min="10429" max="10429" width="18.75" style="11" bestFit="1" customWidth="1"/>
    <col min="10430" max="10430" width="18.125" style="11" bestFit="1" customWidth="1"/>
    <col min="10431" max="10431" width="17.25" style="11" customWidth="1"/>
    <col min="10432" max="10433" width="18.25" style="11" bestFit="1" customWidth="1"/>
    <col min="10434" max="10434" width="19.5" style="11" bestFit="1" customWidth="1"/>
    <col min="10435" max="10435" width="19.375" style="11" bestFit="1" customWidth="1"/>
    <col min="10436" max="10437" width="19.125" style="11" bestFit="1" customWidth="1"/>
    <col min="10438" max="10490" width="9" style="11"/>
    <col min="10491" max="10491" width="25.125" style="11" customWidth="1"/>
    <col min="10492" max="10600" width="17.25" style="11" customWidth="1"/>
    <col min="10601" max="10601" width="19.875" style="11" customWidth="1"/>
    <col min="10602" max="10614" width="17.25" style="11" customWidth="1"/>
    <col min="10615" max="10615" width="16.625" style="11" bestFit="1" customWidth="1"/>
    <col min="10616" max="10616" width="18" style="11" customWidth="1"/>
    <col min="10617" max="10624" width="16.625" style="11" bestFit="1" customWidth="1"/>
    <col min="10625" max="10625" width="16.875" style="11" customWidth="1"/>
    <col min="10626" max="10626" width="19.375" style="11" bestFit="1" customWidth="1"/>
    <col min="10627" max="10634" width="18.75" style="11" customWidth="1"/>
    <col min="10635" max="10635" width="20.375" style="11" customWidth="1"/>
    <col min="10636" max="10636" width="18.75" style="11" bestFit="1" customWidth="1"/>
    <col min="10637" max="10637" width="19.375" style="11" customWidth="1"/>
    <col min="10638" max="10638" width="18.625" style="11" bestFit="1" customWidth="1"/>
    <col min="10639" max="10639" width="18.25" style="11" bestFit="1" customWidth="1"/>
    <col min="10640" max="10640" width="19.5" style="11" customWidth="1"/>
    <col min="10641" max="10643" width="19.375" style="11" customWidth="1"/>
    <col min="10644" max="10644" width="19" style="11" bestFit="1" customWidth="1"/>
    <col min="10645" max="10645" width="18.625" style="11" bestFit="1" customWidth="1"/>
    <col min="10646" max="10646" width="19" style="11" bestFit="1" customWidth="1"/>
    <col min="10647" max="10647" width="18.75" style="11" bestFit="1" customWidth="1"/>
    <col min="10648" max="10648" width="19" style="11" customWidth="1"/>
    <col min="10649" max="10649" width="18.75" style="11" bestFit="1" customWidth="1"/>
    <col min="10650" max="10651" width="19" style="11" bestFit="1" customWidth="1"/>
    <col min="10652" max="10652" width="18.625" style="11" bestFit="1" customWidth="1"/>
    <col min="10653" max="10653" width="18.25" style="11" bestFit="1" customWidth="1"/>
    <col min="10654" max="10654" width="18.625" style="11" bestFit="1" customWidth="1"/>
    <col min="10655" max="10655" width="18.625" style="11" customWidth="1"/>
    <col min="10656" max="10656" width="18" style="11" customWidth="1"/>
    <col min="10657" max="10657" width="17.75" style="11" customWidth="1"/>
    <col min="10658" max="10661" width="18" style="11" customWidth="1"/>
    <col min="10662" max="10662" width="19.875" style="11" customWidth="1"/>
    <col min="10663" max="10663" width="18" style="11" customWidth="1"/>
    <col min="10664" max="10669" width="18.625" style="11" customWidth="1"/>
    <col min="10670" max="10675" width="18.375" style="11" customWidth="1"/>
    <col min="10676" max="10677" width="17.75" style="11" customWidth="1"/>
    <col min="10678" max="10678" width="18.375" style="11" customWidth="1"/>
    <col min="10679" max="10679" width="18.625" style="11" bestFit="1" customWidth="1"/>
    <col min="10680" max="10680" width="19.125" style="11" customWidth="1"/>
    <col min="10681" max="10683" width="18.5" style="11" customWidth="1"/>
    <col min="10684" max="10684" width="17.25" style="11" customWidth="1"/>
    <col min="10685" max="10685" width="18.75" style="11" bestFit="1" customWidth="1"/>
    <col min="10686" max="10686" width="18.125" style="11" bestFit="1" customWidth="1"/>
    <col min="10687" max="10687" width="17.25" style="11" customWidth="1"/>
    <col min="10688" max="10689" width="18.25" style="11" bestFit="1" customWidth="1"/>
    <col min="10690" max="10690" width="19.5" style="11" bestFit="1" customWidth="1"/>
    <col min="10691" max="10691" width="19.375" style="11" bestFit="1" customWidth="1"/>
    <col min="10692" max="10693" width="19.125" style="11" bestFit="1" customWidth="1"/>
    <col min="10694" max="10746" width="9" style="11"/>
    <col min="10747" max="10747" width="25.125" style="11" customWidth="1"/>
    <col min="10748" max="10856" width="17.25" style="11" customWidth="1"/>
    <col min="10857" max="10857" width="19.875" style="11" customWidth="1"/>
    <col min="10858" max="10870" width="17.25" style="11" customWidth="1"/>
    <col min="10871" max="10871" width="16.625" style="11" bestFit="1" customWidth="1"/>
    <col min="10872" max="10872" width="18" style="11" customWidth="1"/>
    <col min="10873" max="10880" width="16.625" style="11" bestFit="1" customWidth="1"/>
    <col min="10881" max="10881" width="16.875" style="11" customWidth="1"/>
    <col min="10882" max="10882" width="19.375" style="11" bestFit="1" customWidth="1"/>
    <col min="10883" max="10890" width="18.75" style="11" customWidth="1"/>
    <col min="10891" max="10891" width="20.375" style="11" customWidth="1"/>
    <col min="10892" max="10892" width="18.75" style="11" bestFit="1" customWidth="1"/>
    <col min="10893" max="10893" width="19.375" style="11" customWidth="1"/>
    <col min="10894" max="10894" width="18.625" style="11" bestFit="1" customWidth="1"/>
    <col min="10895" max="10895" width="18.25" style="11" bestFit="1" customWidth="1"/>
    <col min="10896" max="10896" width="19.5" style="11" customWidth="1"/>
    <col min="10897" max="10899" width="19.375" style="11" customWidth="1"/>
    <col min="10900" max="10900" width="19" style="11" bestFit="1" customWidth="1"/>
    <col min="10901" max="10901" width="18.625" style="11" bestFit="1" customWidth="1"/>
    <col min="10902" max="10902" width="19" style="11" bestFit="1" customWidth="1"/>
    <col min="10903" max="10903" width="18.75" style="11" bestFit="1" customWidth="1"/>
    <col min="10904" max="10904" width="19" style="11" customWidth="1"/>
    <col min="10905" max="10905" width="18.75" style="11" bestFit="1" customWidth="1"/>
    <col min="10906" max="10907" width="19" style="11" bestFit="1" customWidth="1"/>
    <col min="10908" max="10908" width="18.625" style="11" bestFit="1" customWidth="1"/>
    <col min="10909" max="10909" width="18.25" style="11" bestFit="1" customWidth="1"/>
    <col min="10910" max="10910" width="18.625" style="11" bestFit="1" customWidth="1"/>
    <col min="10911" max="10911" width="18.625" style="11" customWidth="1"/>
    <col min="10912" max="10912" width="18" style="11" customWidth="1"/>
    <col min="10913" max="10913" width="17.75" style="11" customWidth="1"/>
    <col min="10914" max="10917" width="18" style="11" customWidth="1"/>
    <col min="10918" max="10918" width="19.875" style="11" customWidth="1"/>
    <col min="10919" max="10919" width="18" style="11" customWidth="1"/>
    <col min="10920" max="10925" width="18.625" style="11" customWidth="1"/>
    <col min="10926" max="10931" width="18.375" style="11" customWidth="1"/>
    <col min="10932" max="10933" width="17.75" style="11" customWidth="1"/>
    <col min="10934" max="10934" width="18.375" style="11" customWidth="1"/>
    <col min="10935" max="10935" width="18.625" style="11" bestFit="1" customWidth="1"/>
    <col min="10936" max="10936" width="19.125" style="11" customWidth="1"/>
    <col min="10937" max="10939" width="18.5" style="11" customWidth="1"/>
    <col min="10940" max="10940" width="17.25" style="11" customWidth="1"/>
    <col min="10941" max="10941" width="18.75" style="11" bestFit="1" customWidth="1"/>
    <col min="10942" max="10942" width="18.125" style="11" bestFit="1" customWidth="1"/>
    <col min="10943" max="10943" width="17.25" style="11" customWidth="1"/>
    <col min="10944" max="10945" width="18.25" style="11" bestFit="1" customWidth="1"/>
    <col min="10946" max="10946" width="19.5" style="11" bestFit="1" customWidth="1"/>
    <col min="10947" max="10947" width="19.375" style="11" bestFit="1" customWidth="1"/>
    <col min="10948" max="10949" width="19.125" style="11" bestFit="1" customWidth="1"/>
    <col min="10950" max="11002" width="9" style="11"/>
    <col min="11003" max="11003" width="25.125" style="11" customWidth="1"/>
    <col min="11004" max="11112" width="17.25" style="11" customWidth="1"/>
    <col min="11113" max="11113" width="19.875" style="11" customWidth="1"/>
    <col min="11114" max="11126" width="17.25" style="11" customWidth="1"/>
    <col min="11127" max="11127" width="16.625" style="11" bestFit="1" customWidth="1"/>
    <col min="11128" max="11128" width="18" style="11" customWidth="1"/>
    <col min="11129" max="11136" width="16.625" style="11" bestFit="1" customWidth="1"/>
    <col min="11137" max="11137" width="16.875" style="11" customWidth="1"/>
    <col min="11138" max="11138" width="19.375" style="11" bestFit="1" customWidth="1"/>
    <col min="11139" max="11146" width="18.75" style="11" customWidth="1"/>
    <col min="11147" max="11147" width="20.375" style="11" customWidth="1"/>
    <col min="11148" max="11148" width="18.75" style="11" bestFit="1" customWidth="1"/>
    <col min="11149" max="11149" width="19.375" style="11" customWidth="1"/>
    <col min="11150" max="11150" width="18.625" style="11" bestFit="1" customWidth="1"/>
    <col min="11151" max="11151" width="18.25" style="11" bestFit="1" customWidth="1"/>
    <col min="11152" max="11152" width="19.5" style="11" customWidth="1"/>
    <col min="11153" max="11155" width="19.375" style="11" customWidth="1"/>
    <col min="11156" max="11156" width="19" style="11" bestFit="1" customWidth="1"/>
    <col min="11157" max="11157" width="18.625" style="11" bestFit="1" customWidth="1"/>
    <col min="11158" max="11158" width="19" style="11" bestFit="1" customWidth="1"/>
    <col min="11159" max="11159" width="18.75" style="11" bestFit="1" customWidth="1"/>
    <col min="11160" max="11160" width="19" style="11" customWidth="1"/>
    <col min="11161" max="11161" width="18.75" style="11" bestFit="1" customWidth="1"/>
    <col min="11162" max="11163" width="19" style="11" bestFit="1" customWidth="1"/>
    <col min="11164" max="11164" width="18.625" style="11" bestFit="1" customWidth="1"/>
    <col min="11165" max="11165" width="18.25" style="11" bestFit="1" customWidth="1"/>
    <col min="11166" max="11166" width="18.625" style="11" bestFit="1" customWidth="1"/>
    <col min="11167" max="11167" width="18.625" style="11" customWidth="1"/>
    <col min="11168" max="11168" width="18" style="11" customWidth="1"/>
    <col min="11169" max="11169" width="17.75" style="11" customWidth="1"/>
    <col min="11170" max="11173" width="18" style="11" customWidth="1"/>
    <col min="11174" max="11174" width="19.875" style="11" customWidth="1"/>
    <col min="11175" max="11175" width="18" style="11" customWidth="1"/>
    <col min="11176" max="11181" width="18.625" style="11" customWidth="1"/>
    <col min="11182" max="11187" width="18.375" style="11" customWidth="1"/>
    <col min="11188" max="11189" width="17.75" style="11" customWidth="1"/>
    <col min="11190" max="11190" width="18.375" style="11" customWidth="1"/>
    <col min="11191" max="11191" width="18.625" style="11" bestFit="1" customWidth="1"/>
    <col min="11192" max="11192" width="19.125" style="11" customWidth="1"/>
    <col min="11193" max="11195" width="18.5" style="11" customWidth="1"/>
    <col min="11196" max="11196" width="17.25" style="11" customWidth="1"/>
    <col min="11197" max="11197" width="18.75" style="11" bestFit="1" customWidth="1"/>
    <col min="11198" max="11198" width="18.125" style="11" bestFit="1" customWidth="1"/>
    <col min="11199" max="11199" width="17.25" style="11" customWidth="1"/>
    <col min="11200" max="11201" width="18.25" style="11" bestFit="1" customWidth="1"/>
    <col min="11202" max="11202" width="19.5" style="11" bestFit="1" customWidth="1"/>
    <col min="11203" max="11203" width="19.375" style="11" bestFit="1" customWidth="1"/>
    <col min="11204" max="11205" width="19.125" style="11" bestFit="1" customWidth="1"/>
    <col min="11206" max="11258" width="9" style="11"/>
    <col min="11259" max="11259" width="25.125" style="11" customWidth="1"/>
    <col min="11260" max="11368" width="17.25" style="11" customWidth="1"/>
    <col min="11369" max="11369" width="19.875" style="11" customWidth="1"/>
    <col min="11370" max="11382" width="17.25" style="11" customWidth="1"/>
    <col min="11383" max="11383" width="16.625" style="11" bestFit="1" customWidth="1"/>
    <col min="11384" max="11384" width="18" style="11" customWidth="1"/>
    <col min="11385" max="11392" width="16.625" style="11" bestFit="1" customWidth="1"/>
    <col min="11393" max="11393" width="16.875" style="11" customWidth="1"/>
    <col min="11394" max="11394" width="19.375" style="11" bestFit="1" customWidth="1"/>
    <col min="11395" max="11402" width="18.75" style="11" customWidth="1"/>
    <col min="11403" max="11403" width="20.375" style="11" customWidth="1"/>
    <col min="11404" max="11404" width="18.75" style="11" bestFit="1" customWidth="1"/>
    <col min="11405" max="11405" width="19.375" style="11" customWidth="1"/>
    <col min="11406" max="11406" width="18.625" style="11" bestFit="1" customWidth="1"/>
    <col min="11407" max="11407" width="18.25" style="11" bestFit="1" customWidth="1"/>
    <col min="11408" max="11408" width="19.5" style="11" customWidth="1"/>
    <col min="11409" max="11411" width="19.375" style="11" customWidth="1"/>
    <col min="11412" max="11412" width="19" style="11" bestFit="1" customWidth="1"/>
    <col min="11413" max="11413" width="18.625" style="11" bestFit="1" customWidth="1"/>
    <col min="11414" max="11414" width="19" style="11" bestFit="1" customWidth="1"/>
    <col min="11415" max="11415" width="18.75" style="11" bestFit="1" customWidth="1"/>
    <col min="11416" max="11416" width="19" style="11" customWidth="1"/>
    <col min="11417" max="11417" width="18.75" style="11" bestFit="1" customWidth="1"/>
    <col min="11418" max="11419" width="19" style="11" bestFit="1" customWidth="1"/>
    <col min="11420" max="11420" width="18.625" style="11" bestFit="1" customWidth="1"/>
    <col min="11421" max="11421" width="18.25" style="11" bestFit="1" customWidth="1"/>
    <col min="11422" max="11422" width="18.625" style="11" bestFit="1" customWidth="1"/>
    <col min="11423" max="11423" width="18.625" style="11" customWidth="1"/>
    <col min="11424" max="11424" width="18" style="11" customWidth="1"/>
    <col min="11425" max="11425" width="17.75" style="11" customWidth="1"/>
    <col min="11426" max="11429" width="18" style="11" customWidth="1"/>
    <col min="11430" max="11430" width="19.875" style="11" customWidth="1"/>
    <col min="11431" max="11431" width="18" style="11" customWidth="1"/>
    <col min="11432" max="11437" width="18.625" style="11" customWidth="1"/>
    <col min="11438" max="11443" width="18.375" style="11" customWidth="1"/>
    <col min="11444" max="11445" width="17.75" style="11" customWidth="1"/>
    <col min="11446" max="11446" width="18.375" style="11" customWidth="1"/>
    <col min="11447" max="11447" width="18.625" style="11" bestFit="1" customWidth="1"/>
    <col min="11448" max="11448" width="19.125" style="11" customWidth="1"/>
    <col min="11449" max="11451" width="18.5" style="11" customWidth="1"/>
    <col min="11452" max="11452" width="17.25" style="11" customWidth="1"/>
    <col min="11453" max="11453" width="18.75" style="11" bestFit="1" customWidth="1"/>
    <col min="11454" max="11454" width="18.125" style="11" bestFit="1" customWidth="1"/>
    <col min="11455" max="11455" width="17.25" style="11" customWidth="1"/>
    <col min="11456" max="11457" width="18.25" style="11" bestFit="1" customWidth="1"/>
    <col min="11458" max="11458" width="19.5" style="11" bestFit="1" customWidth="1"/>
    <col min="11459" max="11459" width="19.375" style="11" bestFit="1" customWidth="1"/>
    <col min="11460" max="11461" width="19.125" style="11" bestFit="1" customWidth="1"/>
    <col min="11462" max="11514" width="9" style="11"/>
    <col min="11515" max="11515" width="25.125" style="11" customWidth="1"/>
    <col min="11516" max="11624" width="17.25" style="11" customWidth="1"/>
    <col min="11625" max="11625" width="19.875" style="11" customWidth="1"/>
    <col min="11626" max="11638" width="17.25" style="11" customWidth="1"/>
    <col min="11639" max="11639" width="16.625" style="11" bestFit="1" customWidth="1"/>
    <col min="11640" max="11640" width="18" style="11" customWidth="1"/>
    <col min="11641" max="11648" width="16.625" style="11" bestFit="1" customWidth="1"/>
    <col min="11649" max="11649" width="16.875" style="11" customWidth="1"/>
    <col min="11650" max="11650" width="19.375" style="11" bestFit="1" customWidth="1"/>
    <col min="11651" max="11658" width="18.75" style="11" customWidth="1"/>
    <col min="11659" max="11659" width="20.375" style="11" customWidth="1"/>
    <col min="11660" max="11660" width="18.75" style="11" bestFit="1" customWidth="1"/>
    <col min="11661" max="11661" width="19.375" style="11" customWidth="1"/>
    <col min="11662" max="11662" width="18.625" style="11" bestFit="1" customWidth="1"/>
    <col min="11663" max="11663" width="18.25" style="11" bestFit="1" customWidth="1"/>
    <col min="11664" max="11664" width="19.5" style="11" customWidth="1"/>
    <col min="11665" max="11667" width="19.375" style="11" customWidth="1"/>
    <col min="11668" max="11668" width="19" style="11" bestFit="1" customWidth="1"/>
    <col min="11669" max="11669" width="18.625" style="11" bestFit="1" customWidth="1"/>
    <col min="11670" max="11670" width="19" style="11" bestFit="1" customWidth="1"/>
    <col min="11671" max="11671" width="18.75" style="11" bestFit="1" customWidth="1"/>
    <col min="11672" max="11672" width="19" style="11" customWidth="1"/>
    <col min="11673" max="11673" width="18.75" style="11" bestFit="1" customWidth="1"/>
    <col min="11674" max="11675" width="19" style="11" bestFit="1" customWidth="1"/>
    <col min="11676" max="11676" width="18.625" style="11" bestFit="1" customWidth="1"/>
    <col min="11677" max="11677" width="18.25" style="11" bestFit="1" customWidth="1"/>
    <col min="11678" max="11678" width="18.625" style="11" bestFit="1" customWidth="1"/>
    <col min="11679" max="11679" width="18.625" style="11" customWidth="1"/>
    <col min="11680" max="11680" width="18" style="11" customWidth="1"/>
    <col min="11681" max="11681" width="17.75" style="11" customWidth="1"/>
    <col min="11682" max="11685" width="18" style="11" customWidth="1"/>
    <col min="11686" max="11686" width="19.875" style="11" customWidth="1"/>
    <col min="11687" max="11687" width="18" style="11" customWidth="1"/>
    <col min="11688" max="11693" width="18.625" style="11" customWidth="1"/>
    <col min="11694" max="11699" width="18.375" style="11" customWidth="1"/>
    <col min="11700" max="11701" width="17.75" style="11" customWidth="1"/>
    <col min="11702" max="11702" width="18.375" style="11" customWidth="1"/>
    <col min="11703" max="11703" width="18.625" style="11" bestFit="1" customWidth="1"/>
    <col min="11704" max="11704" width="19.125" style="11" customWidth="1"/>
    <col min="11705" max="11707" width="18.5" style="11" customWidth="1"/>
    <col min="11708" max="11708" width="17.25" style="11" customWidth="1"/>
    <col min="11709" max="11709" width="18.75" style="11" bestFit="1" customWidth="1"/>
    <col min="11710" max="11710" width="18.125" style="11" bestFit="1" customWidth="1"/>
    <col min="11711" max="11711" width="17.25" style="11" customWidth="1"/>
    <col min="11712" max="11713" width="18.25" style="11" bestFit="1" customWidth="1"/>
    <col min="11714" max="11714" width="19.5" style="11" bestFit="1" customWidth="1"/>
    <col min="11715" max="11715" width="19.375" style="11" bestFit="1" customWidth="1"/>
    <col min="11716" max="11717" width="19.125" style="11" bestFit="1" customWidth="1"/>
    <col min="11718" max="11770" width="9" style="11"/>
    <col min="11771" max="11771" width="25.125" style="11" customWidth="1"/>
    <col min="11772" max="11880" width="17.25" style="11" customWidth="1"/>
    <col min="11881" max="11881" width="19.875" style="11" customWidth="1"/>
    <col min="11882" max="11894" width="17.25" style="11" customWidth="1"/>
    <col min="11895" max="11895" width="16.625" style="11" bestFit="1" customWidth="1"/>
    <col min="11896" max="11896" width="18" style="11" customWidth="1"/>
    <col min="11897" max="11904" width="16.625" style="11" bestFit="1" customWidth="1"/>
    <col min="11905" max="11905" width="16.875" style="11" customWidth="1"/>
    <col min="11906" max="11906" width="19.375" style="11" bestFit="1" customWidth="1"/>
    <col min="11907" max="11914" width="18.75" style="11" customWidth="1"/>
    <col min="11915" max="11915" width="20.375" style="11" customWidth="1"/>
    <col min="11916" max="11916" width="18.75" style="11" bestFit="1" customWidth="1"/>
    <col min="11917" max="11917" width="19.375" style="11" customWidth="1"/>
    <col min="11918" max="11918" width="18.625" style="11" bestFit="1" customWidth="1"/>
    <col min="11919" max="11919" width="18.25" style="11" bestFit="1" customWidth="1"/>
    <col min="11920" max="11920" width="19.5" style="11" customWidth="1"/>
    <col min="11921" max="11923" width="19.375" style="11" customWidth="1"/>
    <col min="11924" max="11924" width="19" style="11" bestFit="1" customWidth="1"/>
    <col min="11925" max="11925" width="18.625" style="11" bestFit="1" customWidth="1"/>
    <col min="11926" max="11926" width="19" style="11" bestFit="1" customWidth="1"/>
    <col min="11927" max="11927" width="18.75" style="11" bestFit="1" customWidth="1"/>
    <col min="11928" max="11928" width="19" style="11" customWidth="1"/>
    <col min="11929" max="11929" width="18.75" style="11" bestFit="1" customWidth="1"/>
    <col min="11930" max="11931" width="19" style="11" bestFit="1" customWidth="1"/>
    <col min="11932" max="11932" width="18.625" style="11" bestFit="1" customWidth="1"/>
    <col min="11933" max="11933" width="18.25" style="11" bestFit="1" customWidth="1"/>
    <col min="11934" max="11934" width="18.625" style="11" bestFit="1" customWidth="1"/>
    <col min="11935" max="11935" width="18.625" style="11" customWidth="1"/>
    <col min="11936" max="11936" width="18" style="11" customWidth="1"/>
    <col min="11937" max="11937" width="17.75" style="11" customWidth="1"/>
    <col min="11938" max="11941" width="18" style="11" customWidth="1"/>
    <col min="11942" max="11942" width="19.875" style="11" customWidth="1"/>
    <col min="11943" max="11943" width="18" style="11" customWidth="1"/>
    <col min="11944" max="11949" width="18.625" style="11" customWidth="1"/>
    <col min="11950" max="11955" width="18.375" style="11" customWidth="1"/>
    <col min="11956" max="11957" width="17.75" style="11" customWidth="1"/>
    <col min="11958" max="11958" width="18.375" style="11" customWidth="1"/>
    <col min="11959" max="11959" width="18.625" style="11" bestFit="1" customWidth="1"/>
    <col min="11960" max="11960" width="19.125" style="11" customWidth="1"/>
    <col min="11961" max="11963" width="18.5" style="11" customWidth="1"/>
    <col min="11964" max="11964" width="17.25" style="11" customWidth="1"/>
    <col min="11965" max="11965" width="18.75" style="11" bestFit="1" customWidth="1"/>
    <col min="11966" max="11966" width="18.125" style="11" bestFit="1" customWidth="1"/>
    <col min="11967" max="11967" width="17.25" style="11" customWidth="1"/>
    <col min="11968" max="11969" width="18.25" style="11" bestFit="1" customWidth="1"/>
    <col min="11970" max="11970" width="19.5" style="11" bestFit="1" customWidth="1"/>
    <col min="11971" max="11971" width="19.375" style="11" bestFit="1" customWidth="1"/>
    <col min="11972" max="11973" width="19.125" style="11" bestFit="1" customWidth="1"/>
    <col min="11974" max="12026" width="9" style="11"/>
    <col min="12027" max="12027" width="25.125" style="11" customWidth="1"/>
    <col min="12028" max="12136" width="17.25" style="11" customWidth="1"/>
    <col min="12137" max="12137" width="19.875" style="11" customWidth="1"/>
    <col min="12138" max="12150" width="17.25" style="11" customWidth="1"/>
    <col min="12151" max="12151" width="16.625" style="11" bestFit="1" customWidth="1"/>
    <col min="12152" max="12152" width="18" style="11" customWidth="1"/>
    <col min="12153" max="12160" width="16.625" style="11" bestFit="1" customWidth="1"/>
    <col min="12161" max="12161" width="16.875" style="11" customWidth="1"/>
    <col min="12162" max="12162" width="19.375" style="11" bestFit="1" customWidth="1"/>
    <col min="12163" max="12170" width="18.75" style="11" customWidth="1"/>
    <col min="12171" max="12171" width="20.375" style="11" customWidth="1"/>
    <col min="12172" max="12172" width="18.75" style="11" bestFit="1" customWidth="1"/>
    <col min="12173" max="12173" width="19.375" style="11" customWidth="1"/>
    <col min="12174" max="12174" width="18.625" style="11" bestFit="1" customWidth="1"/>
    <col min="12175" max="12175" width="18.25" style="11" bestFit="1" customWidth="1"/>
    <col min="12176" max="12176" width="19.5" style="11" customWidth="1"/>
    <col min="12177" max="12179" width="19.375" style="11" customWidth="1"/>
    <col min="12180" max="12180" width="19" style="11" bestFit="1" customWidth="1"/>
    <col min="12181" max="12181" width="18.625" style="11" bestFit="1" customWidth="1"/>
    <col min="12182" max="12182" width="19" style="11" bestFit="1" customWidth="1"/>
    <col min="12183" max="12183" width="18.75" style="11" bestFit="1" customWidth="1"/>
    <col min="12184" max="12184" width="19" style="11" customWidth="1"/>
    <col min="12185" max="12185" width="18.75" style="11" bestFit="1" customWidth="1"/>
    <col min="12186" max="12187" width="19" style="11" bestFit="1" customWidth="1"/>
    <col min="12188" max="12188" width="18.625" style="11" bestFit="1" customWidth="1"/>
    <col min="12189" max="12189" width="18.25" style="11" bestFit="1" customWidth="1"/>
    <col min="12190" max="12190" width="18.625" style="11" bestFit="1" customWidth="1"/>
    <col min="12191" max="12191" width="18.625" style="11" customWidth="1"/>
    <col min="12192" max="12192" width="18" style="11" customWidth="1"/>
    <col min="12193" max="12193" width="17.75" style="11" customWidth="1"/>
    <col min="12194" max="12197" width="18" style="11" customWidth="1"/>
    <col min="12198" max="12198" width="19.875" style="11" customWidth="1"/>
    <col min="12199" max="12199" width="18" style="11" customWidth="1"/>
    <col min="12200" max="12205" width="18.625" style="11" customWidth="1"/>
    <col min="12206" max="12211" width="18.375" style="11" customWidth="1"/>
    <col min="12212" max="12213" width="17.75" style="11" customWidth="1"/>
    <col min="12214" max="12214" width="18.375" style="11" customWidth="1"/>
    <col min="12215" max="12215" width="18.625" style="11" bestFit="1" customWidth="1"/>
    <col min="12216" max="12216" width="19.125" style="11" customWidth="1"/>
    <col min="12217" max="12219" width="18.5" style="11" customWidth="1"/>
    <col min="12220" max="12220" width="17.25" style="11" customWidth="1"/>
    <col min="12221" max="12221" width="18.75" style="11" bestFit="1" customWidth="1"/>
    <col min="12222" max="12222" width="18.125" style="11" bestFit="1" customWidth="1"/>
    <col min="12223" max="12223" width="17.25" style="11" customWidth="1"/>
    <col min="12224" max="12225" width="18.25" style="11" bestFit="1" customWidth="1"/>
    <col min="12226" max="12226" width="19.5" style="11" bestFit="1" customWidth="1"/>
    <col min="12227" max="12227" width="19.375" style="11" bestFit="1" customWidth="1"/>
    <col min="12228" max="12229" width="19.125" style="11" bestFit="1" customWidth="1"/>
    <col min="12230" max="12282" width="9" style="11"/>
    <col min="12283" max="12283" width="25.125" style="11" customWidth="1"/>
    <col min="12284" max="12392" width="17.25" style="11" customWidth="1"/>
    <col min="12393" max="12393" width="19.875" style="11" customWidth="1"/>
    <col min="12394" max="12406" width="17.25" style="11" customWidth="1"/>
    <col min="12407" max="12407" width="16.625" style="11" bestFit="1" customWidth="1"/>
    <col min="12408" max="12408" width="18" style="11" customWidth="1"/>
    <col min="12409" max="12416" width="16.625" style="11" bestFit="1" customWidth="1"/>
    <col min="12417" max="12417" width="16.875" style="11" customWidth="1"/>
    <col min="12418" max="12418" width="19.375" style="11" bestFit="1" customWidth="1"/>
    <col min="12419" max="12426" width="18.75" style="11" customWidth="1"/>
    <col min="12427" max="12427" width="20.375" style="11" customWidth="1"/>
    <col min="12428" max="12428" width="18.75" style="11" bestFit="1" customWidth="1"/>
    <col min="12429" max="12429" width="19.375" style="11" customWidth="1"/>
    <col min="12430" max="12430" width="18.625" style="11" bestFit="1" customWidth="1"/>
    <col min="12431" max="12431" width="18.25" style="11" bestFit="1" customWidth="1"/>
    <col min="12432" max="12432" width="19.5" style="11" customWidth="1"/>
    <col min="12433" max="12435" width="19.375" style="11" customWidth="1"/>
    <col min="12436" max="12436" width="19" style="11" bestFit="1" customWidth="1"/>
    <col min="12437" max="12437" width="18.625" style="11" bestFit="1" customWidth="1"/>
    <col min="12438" max="12438" width="19" style="11" bestFit="1" customWidth="1"/>
    <col min="12439" max="12439" width="18.75" style="11" bestFit="1" customWidth="1"/>
    <col min="12440" max="12440" width="19" style="11" customWidth="1"/>
    <col min="12441" max="12441" width="18.75" style="11" bestFit="1" customWidth="1"/>
    <col min="12442" max="12443" width="19" style="11" bestFit="1" customWidth="1"/>
    <col min="12444" max="12444" width="18.625" style="11" bestFit="1" customWidth="1"/>
    <col min="12445" max="12445" width="18.25" style="11" bestFit="1" customWidth="1"/>
    <col min="12446" max="12446" width="18.625" style="11" bestFit="1" customWidth="1"/>
    <col min="12447" max="12447" width="18.625" style="11" customWidth="1"/>
    <col min="12448" max="12448" width="18" style="11" customWidth="1"/>
    <col min="12449" max="12449" width="17.75" style="11" customWidth="1"/>
    <col min="12450" max="12453" width="18" style="11" customWidth="1"/>
    <col min="12454" max="12454" width="19.875" style="11" customWidth="1"/>
    <col min="12455" max="12455" width="18" style="11" customWidth="1"/>
    <col min="12456" max="12461" width="18.625" style="11" customWidth="1"/>
    <col min="12462" max="12467" width="18.375" style="11" customWidth="1"/>
    <col min="12468" max="12469" width="17.75" style="11" customWidth="1"/>
    <col min="12470" max="12470" width="18.375" style="11" customWidth="1"/>
    <col min="12471" max="12471" width="18.625" style="11" bestFit="1" customWidth="1"/>
    <col min="12472" max="12472" width="19.125" style="11" customWidth="1"/>
    <col min="12473" max="12475" width="18.5" style="11" customWidth="1"/>
    <col min="12476" max="12476" width="17.25" style="11" customWidth="1"/>
    <col min="12477" max="12477" width="18.75" style="11" bestFit="1" customWidth="1"/>
    <col min="12478" max="12478" width="18.125" style="11" bestFit="1" customWidth="1"/>
    <col min="12479" max="12479" width="17.25" style="11" customWidth="1"/>
    <col min="12480" max="12481" width="18.25" style="11" bestFit="1" customWidth="1"/>
    <col min="12482" max="12482" width="19.5" style="11" bestFit="1" customWidth="1"/>
    <col min="12483" max="12483" width="19.375" style="11" bestFit="1" customWidth="1"/>
    <col min="12484" max="12485" width="19.125" style="11" bestFit="1" customWidth="1"/>
    <col min="12486" max="12538" width="9" style="11"/>
    <col min="12539" max="12539" width="25.125" style="11" customWidth="1"/>
    <col min="12540" max="12648" width="17.25" style="11" customWidth="1"/>
    <col min="12649" max="12649" width="19.875" style="11" customWidth="1"/>
    <col min="12650" max="12662" width="17.25" style="11" customWidth="1"/>
    <col min="12663" max="12663" width="16.625" style="11" bestFit="1" customWidth="1"/>
    <col min="12664" max="12664" width="18" style="11" customWidth="1"/>
    <col min="12665" max="12672" width="16.625" style="11" bestFit="1" customWidth="1"/>
    <col min="12673" max="12673" width="16.875" style="11" customWidth="1"/>
    <col min="12674" max="12674" width="19.375" style="11" bestFit="1" customWidth="1"/>
    <col min="12675" max="12682" width="18.75" style="11" customWidth="1"/>
    <col min="12683" max="12683" width="20.375" style="11" customWidth="1"/>
    <col min="12684" max="12684" width="18.75" style="11" bestFit="1" customWidth="1"/>
    <col min="12685" max="12685" width="19.375" style="11" customWidth="1"/>
    <col min="12686" max="12686" width="18.625" style="11" bestFit="1" customWidth="1"/>
    <col min="12687" max="12687" width="18.25" style="11" bestFit="1" customWidth="1"/>
    <col min="12688" max="12688" width="19.5" style="11" customWidth="1"/>
    <col min="12689" max="12691" width="19.375" style="11" customWidth="1"/>
    <col min="12692" max="12692" width="19" style="11" bestFit="1" customWidth="1"/>
    <col min="12693" max="12693" width="18.625" style="11" bestFit="1" customWidth="1"/>
    <col min="12694" max="12694" width="19" style="11" bestFit="1" customWidth="1"/>
    <col min="12695" max="12695" width="18.75" style="11" bestFit="1" customWidth="1"/>
    <col min="12696" max="12696" width="19" style="11" customWidth="1"/>
    <col min="12697" max="12697" width="18.75" style="11" bestFit="1" customWidth="1"/>
    <col min="12698" max="12699" width="19" style="11" bestFit="1" customWidth="1"/>
    <col min="12700" max="12700" width="18.625" style="11" bestFit="1" customWidth="1"/>
    <col min="12701" max="12701" width="18.25" style="11" bestFit="1" customWidth="1"/>
    <col min="12702" max="12702" width="18.625" style="11" bestFit="1" customWidth="1"/>
    <col min="12703" max="12703" width="18.625" style="11" customWidth="1"/>
    <col min="12704" max="12704" width="18" style="11" customWidth="1"/>
    <col min="12705" max="12705" width="17.75" style="11" customWidth="1"/>
    <col min="12706" max="12709" width="18" style="11" customWidth="1"/>
    <col min="12710" max="12710" width="19.875" style="11" customWidth="1"/>
    <col min="12711" max="12711" width="18" style="11" customWidth="1"/>
    <col min="12712" max="12717" width="18.625" style="11" customWidth="1"/>
    <col min="12718" max="12723" width="18.375" style="11" customWidth="1"/>
    <col min="12724" max="12725" width="17.75" style="11" customWidth="1"/>
    <col min="12726" max="12726" width="18.375" style="11" customWidth="1"/>
    <col min="12727" max="12727" width="18.625" style="11" bestFit="1" customWidth="1"/>
    <col min="12728" max="12728" width="19.125" style="11" customWidth="1"/>
    <col min="12729" max="12731" width="18.5" style="11" customWidth="1"/>
    <col min="12732" max="12732" width="17.25" style="11" customWidth="1"/>
    <col min="12733" max="12733" width="18.75" style="11" bestFit="1" customWidth="1"/>
    <col min="12734" max="12734" width="18.125" style="11" bestFit="1" customWidth="1"/>
    <col min="12735" max="12735" width="17.25" style="11" customWidth="1"/>
    <col min="12736" max="12737" width="18.25" style="11" bestFit="1" customWidth="1"/>
    <col min="12738" max="12738" width="19.5" style="11" bestFit="1" customWidth="1"/>
    <col min="12739" max="12739" width="19.375" style="11" bestFit="1" customWidth="1"/>
    <col min="12740" max="12741" width="19.125" style="11" bestFit="1" customWidth="1"/>
    <col min="12742" max="12794" width="9" style="11"/>
    <col min="12795" max="12795" width="25.125" style="11" customWidth="1"/>
    <col min="12796" max="12904" width="17.25" style="11" customWidth="1"/>
    <col min="12905" max="12905" width="19.875" style="11" customWidth="1"/>
    <col min="12906" max="12918" width="17.25" style="11" customWidth="1"/>
    <col min="12919" max="12919" width="16.625" style="11" bestFit="1" customWidth="1"/>
    <col min="12920" max="12920" width="18" style="11" customWidth="1"/>
    <col min="12921" max="12928" width="16.625" style="11" bestFit="1" customWidth="1"/>
    <col min="12929" max="12929" width="16.875" style="11" customWidth="1"/>
    <col min="12930" max="12930" width="19.375" style="11" bestFit="1" customWidth="1"/>
    <col min="12931" max="12938" width="18.75" style="11" customWidth="1"/>
    <col min="12939" max="12939" width="20.375" style="11" customWidth="1"/>
    <col min="12940" max="12940" width="18.75" style="11" bestFit="1" customWidth="1"/>
    <col min="12941" max="12941" width="19.375" style="11" customWidth="1"/>
    <col min="12942" max="12942" width="18.625" style="11" bestFit="1" customWidth="1"/>
    <col min="12943" max="12943" width="18.25" style="11" bestFit="1" customWidth="1"/>
    <col min="12944" max="12944" width="19.5" style="11" customWidth="1"/>
    <col min="12945" max="12947" width="19.375" style="11" customWidth="1"/>
    <col min="12948" max="12948" width="19" style="11" bestFit="1" customWidth="1"/>
    <col min="12949" max="12949" width="18.625" style="11" bestFit="1" customWidth="1"/>
    <col min="12950" max="12950" width="19" style="11" bestFit="1" customWidth="1"/>
    <col min="12951" max="12951" width="18.75" style="11" bestFit="1" customWidth="1"/>
    <col min="12952" max="12952" width="19" style="11" customWidth="1"/>
    <col min="12953" max="12953" width="18.75" style="11" bestFit="1" customWidth="1"/>
    <col min="12954" max="12955" width="19" style="11" bestFit="1" customWidth="1"/>
    <col min="12956" max="12956" width="18.625" style="11" bestFit="1" customWidth="1"/>
    <col min="12957" max="12957" width="18.25" style="11" bestFit="1" customWidth="1"/>
    <col min="12958" max="12958" width="18.625" style="11" bestFit="1" customWidth="1"/>
    <col min="12959" max="12959" width="18.625" style="11" customWidth="1"/>
    <col min="12960" max="12960" width="18" style="11" customWidth="1"/>
    <col min="12961" max="12961" width="17.75" style="11" customWidth="1"/>
    <col min="12962" max="12965" width="18" style="11" customWidth="1"/>
    <col min="12966" max="12966" width="19.875" style="11" customWidth="1"/>
    <col min="12967" max="12967" width="18" style="11" customWidth="1"/>
    <col min="12968" max="12973" width="18.625" style="11" customWidth="1"/>
    <col min="12974" max="12979" width="18.375" style="11" customWidth="1"/>
    <col min="12980" max="12981" width="17.75" style="11" customWidth="1"/>
    <col min="12982" max="12982" width="18.375" style="11" customWidth="1"/>
    <col min="12983" max="12983" width="18.625" style="11" bestFit="1" customWidth="1"/>
    <col min="12984" max="12984" width="19.125" style="11" customWidth="1"/>
    <col min="12985" max="12987" width="18.5" style="11" customWidth="1"/>
    <col min="12988" max="12988" width="17.25" style="11" customWidth="1"/>
    <col min="12989" max="12989" width="18.75" style="11" bestFit="1" customWidth="1"/>
    <col min="12990" max="12990" width="18.125" style="11" bestFit="1" customWidth="1"/>
    <col min="12991" max="12991" width="17.25" style="11" customWidth="1"/>
    <col min="12992" max="12993" width="18.25" style="11" bestFit="1" customWidth="1"/>
    <col min="12994" max="12994" width="19.5" style="11" bestFit="1" customWidth="1"/>
    <col min="12995" max="12995" width="19.375" style="11" bestFit="1" customWidth="1"/>
    <col min="12996" max="12997" width="19.125" style="11" bestFit="1" customWidth="1"/>
    <col min="12998" max="13050" width="9" style="11"/>
    <col min="13051" max="13051" width="25.125" style="11" customWidth="1"/>
    <col min="13052" max="13160" width="17.25" style="11" customWidth="1"/>
    <col min="13161" max="13161" width="19.875" style="11" customWidth="1"/>
    <col min="13162" max="13174" width="17.25" style="11" customWidth="1"/>
    <col min="13175" max="13175" width="16.625" style="11" bestFit="1" customWidth="1"/>
    <col min="13176" max="13176" width="18" style="11" customWidth="1"/>
    <col min="13177" max="13184" width="16.625" style="11" bestFit="1" customWidth="1"/>
    <col min="13185" max="13185" width="16.875" style="11" customWidth="1"/>
    <col min="13186" max="13186" width="19.375" style="11" bestFit="1" customWidth="1"/>
    <col min="13187" max="13194" width="18.75" style="11" customWidth="1"/>
    <col min="13195" max="13195" width="20.375" style="11" customWidth="1"/>
    <col min="13196" max="13196" width="18.75" style="11" bestFit="1" customWidth="1"/>
    <col min="13197" max="13197" width="19.375" style="11" customWidth="1"/>
    <col min="13198" max="13198" width="18.625" style="11" bestFit="1" customWidth="1"/>
    <col min="13199" max="13199" width="18.25" style="11" bestFit="1" customWidth="1"/>
    <col min="13200" max="13200" width="19.5" style="11" customWidth="1"/>
    <col min="13201" max="13203" width="19.375" style="11" customWidth="1"/>
    <col min="13204" max="13204" width="19" style="11" bestFit="1" customWidth="1"/>
    <col min="13205" max="13205" width="18.625" style="11" bestFit="1" customWidth="1"/>
    <col min="13206" max="13206" width="19" style="11" bestFit="1" customWidth="1"/>
    <col min="13207" max="13207" width="18.75" style="11" bestFit="1" customWidth="1"/>
    <col min="13208" max="13208" width="19" style="11" customWidth="1"/>
    <col min="13209" max="13209" width="18.75" style="11" bestFit="1" customWidth="1"/>
    <col min="13210" max="13211" width="19" style="11" bestFit="1" customWidth="1"/>
    <col min="13212" max="13212" width="18.625" style="11" bestFit="1" customWidth="1"/>
    <col min="13213" max="13213" width="18.25" style="11" bestFit="1" customWidth="1"/>
    <col min="13214" max="13214" width="18.625" style="11" bestFit="1" customWidth="1"/>
    <col min="13215" max="13215" width="18.625" style="11" customWidth="1"/>
    <col min="13216" max="13216" width="18" style="11" customWidth="1"/>
    <col min="13217" max="13217" width="17.75" style="11" customWidth="1"/>
    <col min="13218" max="13221" width="18" style="11" customWidth="1"/>
    <col min="13222" max="13222" width="19.875" style="11" customWidth="1"/>
    <col min="13223" max="13223" width="18" style="11" customWidth="1"/>
    <col min="13224" max="13229" width="18.625" style="11" customWidth="1"/>
    <col min="13230" max="13235" width="18.375" style="11" customWidth="1"/>
    <col min="13236" max="13237" width="17.75" style="11" customWidth="1"/>
    <col min="13238" max="13238" width="18.375" style="11" customWidth="1"/>
    <col min="13239" max="13239" width="18.625" style="11" bestFit="1" customWidth="1"/>
    <col min="13240" max="13240" width="19.125" style="11" customWidth="1"/>
    <col min="13241" max="13243" width="18.5" style="11" customWidth="1"/>
    <col min="13244" max="13244" width="17.25" style="11" customWidth="1"/>
    <col min="13245" max="13245" width="18.75" style="11" bestFit="1" customWidth="1"/>
    <col min="13246" max="13246" width="18.125" style="11" bestFit="1" customWidth="1"/>
    <col min="13247" max="13247" width="17.25" style="11" customWidth="1"/>
    <col min="13248" max="13249" width="18.25" style="11" bestFit="1" customWidth="1"/>
    <col min="13250" max="13250" width="19.5" style="11" bestFit="1" customWidth="1"/>
    <col min="13251" max="13251" width="19.375" style="11" bestFit="1" customWidth="1"/>
    <col min="13252" max="13253" width="19.125" style="11" bestFit="1" customWidth="1"/>
    <col min="13254" max="13306" width="9" style="11"/>
    <col min="13307" max="13307" width="25.125" style="11" customWidth="1"/>
    <col min="13308" max="13416" width="17.25" style="11" customWidth="1"/>
    <col min="13417" max="13417" width="19.875" style="11" customWidth="1"/>
    <col min="13418" max="13430" width="17.25" style="11" customWidth="1"/>
    <col min="13431" max="13431" width="16.625" style="11" bestFit="1" customWidth="1"/>
    <col min="13432" max="13432" width="18" style="11" customWidth="1"/>
    <col min="13433" max="13440" width="16.625" style="11" bestFit="1" customWidth="1"/>
    <col min="13441" max="13441" width="16.875" style="11" customWidth="1"/>
    <col min="13442" max="13442" width="19.375" style="11" bestFit="1" customWidth="1"/>
    <col min="13443" max="13450" width="18.75" style="11" customWidth="1"/>
    <col min="13451" max="13451" width="20.375" style="11" customWidth="1"/>
    <col min="13452" max="13452" width="18.75" style="11" bestFit="1" customWidth="1"/>
    <col min="13453" max="13453" width="19.375" style="11" customWidth="1"/>
    <col min="13454" max="13454" width="18.625" style="11" bestFit="1" customWidth="1"/>
    <col min="13455" max="13455" width="18.25" style="11" bestFit="1" customWidth="1"/>
    <col min="13456" max="13456" width="19.5" style="11" customWidth="1"/>
    <col min="13457" max="13459" width="19.375" style="11" customWidth="1"/>
    <col min="13460" max="13460" width="19" style="11" bestFit="1" customWidth="1"/>
    <col min="13461" max="13461" width="18.625" style="11" bestFit="1" customWidth="1"/>
    <col min="13462" max="13462" width="19" style="11" bestFit="1" customWidth="1"/>
    <col min="13463" max="13463" width="18.75" style="11" bestFit="1" customWidth="1"/>
    <col min="13464" max="13464" width="19" style="11" customWidth="1"/>
    <col min="13465" max="13465" width="18.75" style="11" bestFit="1" customWidth="1"/>
    <col min="13466" max="13467" width="19" style="11" bestFit="1" customWidth="1"/>
    <col min="13468" max="13468" width="18.625" style="11" bestFit="1" customWidth="1"/>
    <col min="13469" max="13469" width="18.25" style="11" bestFit="1" customWidth="1"/>
    <col min="13470" max="13470" width="18.625" style="11" bestFit="1" customWidth="1"/>
    <col min="13471" max="13471" width="18.625" style="11" customWidth="1"/>
    <col min="13472" max="13472" width="18" style="11" customWidth="1"/>
    <col min="13473" max="13473" width="17.75" style="11" customWidth="1"/>
    <col min="13474" max="13477" width="18" style="11" customWidth="1"/>
    <col min="13478" max="13478" width="19.875" style="11" customWidth="1"/>
    <col min="13479" max="13479" width="18" style="11" customWidth="1"/>
    <col min="13480" max="13485" width="18.625" style="11" customWidth="1"/>
    <col min="13486" max="13491" width="18.375" style="11" customWidth="1"/>
    <col min="13492" max="13493" width="17.75" style="11" customWidth="1"/>
    <col min="13494" max="13494" width="18.375" style="11" customWidth="1"/>
    <col min="13495" max="13495" width="18.625" style="11" bestFit="1" customWidth="1"/>
    <col min="13496" max="13496" width="19.125" style="11" customWidth="1"/>
    <col min="13497" max="13499" width="18.5" style="11" customWidth="1"/>
    <col min="13500" max="13500" width="17.25" style="11" customWidth="1"/>
    <col min="13501" max="13501" width="18.75" style="11" bestFit="1" customWidth="1"/>
    <col min="13502" max="13502" width="18.125" style="11" bestFit="1" customWidth="1"/>
    <col min="13503" max="13503" width="17.25" style="11" customWidth="1"/>
    <col min="13504" max="13505" width="18.25" style="11" bestFit="1" customWidth="1"/>
    <col min="13506" max="13506" width="19.5" style="11" bestFit="1" customWidth="1"/>
    <col min="13507" max="13507" width="19.375" style="11" bestFit="1" customWidth="1"/>
    <col min="13508" max="13509" width="19.125" style="11" bestFit="1" customWidth="1"/>
    <col min="13510" max="13562" width="9" style="11"/>
    <col min="13563" max="13563" width="25.125" style="11" customWidth="1"/>
    <col min="13564" max="13672" width="17.25" style="11" customWidth="1"/>
    <col min="13673" max="13673" width="19.875" style="11" customWidth="1"/>
    <col min="13674" max="13686" width="17.25" style="11" customWidth="1"/>
    <col min="13687" max="13687" width="16.625" style="11" bestFit="1" customWidth="1"/>
    <col min="13688" max="13688" width="18" style="11" customWidth="1"/>
    <col min="13689" max="13696" width="16.625" style="11" bestFit="1" customWidth="1"/>
    <col min="13697" max="13697" width="16.875" style="11" customWidth="1"/>
    <col min="13698" max="13698" width="19.375" style="11" bestFit="1" customWidth="1"/>
    <col min="13699" max="13706" width="18.75" style="11" customWidth="1"/>
    <col min="13707" max="13707" width="20.375" style="11" customWidth="1"/>
    <col min="13708" max="13708" width="18.75" style="11" bestFit="1" customWidth="1"/>
    <col min="13709" max="13709" width="19.375" style="11" customWidth="1"/>
    <col min="13710" max="13710" width="18.625" style="11" bestFit="1" customWidth="1"/>
    <col min="13711" max="13711" width="18.25" style="11" bestFit="1" customWidth="1"/>
    <col min="13712" max="13712" width="19.5" style="11" customWidth="1"/>
    <col min="13713" max="13715" width="19.375" style="11" customWidth="1"/>
    <col min="13716" max="13716" width="19" style="11" bestFit="1" customWidth="1"/>
    <col min="13717" max="13717" width="18.625" style="11" bestFit="1" customWidth="1"/>
    <col min="13718" max="13718" width="19" style="11" bestFit="1" customWidth="1"/>
    <col min="13719" max="13719" width="18.75" style="11" bestFit="1" customWidth="1"/>
    <col min="13720" max="13720" width="19" style="11" customWidth="1"/>
    <col min="13721" max="13721" width="18.75" style="11" bestFit="1" customWidth="1"/>
    <col min="13722" max="13723" width="19" style="11" bestFit="1" customWidth="1"/>
    <col min="13724" max="13724" width="18.625" style="11" bestFit="1" customWidth="1"/>
    <col min="13725" max="13725" width="18.25" style="11" bestFit="1" customWidth="1"/>
    <col min="13726" max="13726" width="18.625" style="11" bestFit="1" customWidth="1"/>
    <col min="13727" max="13727" width="18.625" style="11" customWidth="1"/>
    <col min="13728" max="13728" width="18" style="11" customWidth="1"/>
    <col min="13729" max="13729" width="17.75" style="11" customWidth="1"/>
    <col min="13730" max="13733" width="18" style="11" customWidth="1"/>
    <col min="13734" max="13734" width="19.875" style="11" customWidth="1"/>
    <col min="13735" max="13735" width="18" style="11" customWidth="1"/>
    <col min="13736" max="13741" width="18.625" style="11" customWidth="1"/>
    <col min="13742" max="13747" width="18.375" style="11" customWidth="1"/>
    <col min="13748" max="13749" width="17.75" style="11" customWidth="1"/>
    <col min="13750" max="13750" width="18.375" style="11" customWidth="1"/>
    <col min="13751" max="13751" width="18.625" style="11" bestFit="1" customWidth="1"/>
    <col min="13752" max="13752" width="19.125" style="11" customWidth="1"/>
    <col min="13753" max="13755" width="18.5" style="11" customWidth="1"/>
    <col min="13756" max="13756" width="17.25" style="11" customWidth="1"/>
    <col min="13757" max="13757" width="18.75" style="11" bestFit="1" customWidth="1"/>
    <col min="13758" max="13758" width="18.125" style="11" bestFit="1" customWidth="1"/>
    <col min="13759" max="13759" width="17.25" style="11" customWidth="1"/>
    <col min="13760" max="13761" width="18.25" style="11" bestFit="1" customWidth="1"/>
    <col min="13762" max="13762" width="19.5" style="11" bestFit="1" customWidth="1"/>
    <col min="13763" max="13763" width="19.375" style="11" bestFit="1" customWidth="1"/>
    <col min="13764" max="13765" width="19.125" style="11" bestFit="1" customWidth="1"/>
    <col min="13766" max="13818" width="9" style="11"/>
    <col min="13819" max="13819" width="25.125" style="11" customWidth="1"/>
    <col min="13820" max="13928" width="17.25" style="11" customWidth="1"/>
    <col min="13929" max="13929" width="19.875" style="11" customWidth="1"/>
    <col min="13930" max="13942" width="17.25" style="11" customWidth="1"/>
    <col min="13943" max="13943" width="16.625" style="11" bestFit="1" customWidth="1"/>
    <col min="13944" max="13944" width="18" style="11" customWidth="1"/>
    <col min="13945" max="13952" width="16.625" style="11" bestFit="1" customWidth="1"/>
    <col min="13953" max="13953" width="16.875" style="11" customWidth="1"/>
    <col min="13954" max="13954" width="19.375" style="11" bestFit="1" customWidth="1"/>
    <col min="13955" max="13962" width="18.75" style="11" customWidth="1"/>
    <col min="13963" max="13963" width="20.375" style="11" customWidth="1"/>
    <col min="13964" max="13964" width="18.75" style="11" bestFit="1" customWidth="1"/>
    <col min="13965" max="13965" width="19.375" style="11" customWidth="1"/>
    <col min="13966" max="13966" width="18.625" style="11" bestFit="1" customWidth="1"/>
    <col min="13967" max="13967" width="18.25" style="11" bestFit="1" customWidth="1"/>
    <col min="13968" max="13968" width="19.5" style="11" customWidth="1"/>
    <col min="13969" max="13971" width="19.375" style="11" customWidth="1"/>
    <col min="13972" max="13972" width="19" style="11" bestFit="1" customWidth="1"/>
    <col min="13973" max="13973" width="18.625" style="11" bestFit="1" customWidth="1"/>
    <col min="13974" max="13974" width="19" style="11" bestFit="1" customWidth="1"/>
    <col min="13975" max="13975" width="18.75" style="11" bestFit="1" customWidth="1"/>
    <col min="13976" max="13976" width="19" style="11" customWidth="1"/>
    <col min="13977" max="13977" width="18.75" style="11" bestFit="1" customWidth="1"/>
    <col min="13978" max="13979" width="19" style="11" bestFit="1" customWidth="1"/>
    <col min="13980" max="13980" width="18.625" style="11" bestFit="1" customWidth="1"/>
    <col min="13981" max="13981" width="18.25" style="11" bestFit="1" customWidth="1"/>
    <col min="13982" max="13982" width="18.625" style="11" bestFit="1" customWidth="1"/>
    <col min="13983" max="13983" width="18.625" style="11" customWidth="1"/>
    <col min="13984" max="13984" width="18" style="11" customWidth="1"/>
    <col min="13985" max="13985" width="17.75" style="11" customWidth="1"/>
    <col min="13986" max="13989" width="18" style="11" customWidth="1"/>
    <col min="13990" max="13990" width="19.875" style="11" customWidth="1"/>
    <col min="13991" max="13991" width="18" style="11" customWidth="1"/>
    <col min="13992" max="13997" width="18.625" style="11" customWidth="1"/>
    <col min="13998" max="14003" width="18.375" style="11" customWidth="1"/>
    <col min="14004" max="14005" width="17.75" style="11" customWidth="1"/>
    <col min="14006" max="14006" width="18.375" style="11" customWidth="1"/>
    <col min="14007" max="14007" width="18.625" style="11" bestFit="1" customWidth="1"/>
    <col min="14008" max="14008" width="19.125" style="11" customWidth="1"/>
    <col min="14009" max="14011" width="18.5" style="11" customWidth="1"/>
    <col min="14012" max="14012" width="17.25" style="11" customWidth="1"/>
    <col min="14013" max="14013" width="18.75" style="11" bestFit="1" customWidth="1"/>
    <col min="14014" max="14014" width="18.125" style="11" bestFit="1" customWidth="1"/>
    <col min="14015" max="14015" width="17.25" style="11" customWidth="1"/>
    <col min="14016" max="14017" width="18.25" style="11" bestFit="1" customWidth="1"/>
    <col min="14018" max="14018" width="19.5" style="11" bestFit="1" customWidth="1"/>
    <col min="14019" max="14019" width="19.375" style="11" bestFit="1" customWidth="1"/>
    <col min="14020" max="14021" width="19.125" style="11" bestFit="1" customWidth="1"/>
    <col min="14022" max="14074" width="9" style="11"/>
    <col min="14075" max="14075" width="25.125" style="11" customWidth="1"/>
    <col min="14076" max="14184" width="17.25" style="11" customWidth="1"/>
    <col min="14185" max="14185" width="19.875" style="11" customWidth="1"/>
    <col min="14186" max="14198" width="17.25" style="11" customWidth="1"/>
    <col min="14199" max="14199" width="16.625" style="11" bestFit="1" customWidth="1"/>
    <col min="14200" max="14200" width="18" style="11" customWidth="1"/>
    <col min="14201" max="14208" width="16.625" style="11" bestFit="1" customWidth="1"/>
    <col min="14209" max="14209" width="16.875" style="11" customWidth="1"/>
    <col min="14210" max="14210" width="19.375" style="11" bestFit="1" customWidth="1"/>
    <col min="14211" max="14218" width="18.75" style="11" customWidth="1"/>
    <col min="14219" max="14219" width="20.375" style="11" customWidth="1"/>
    <col min="14220" max="14220" width="18.75" style="11" bestFit="1" customWidth="1"/>
    <col min="14221" max="14221" width="19.375" style="11" customWidth="1"/>
    <col min="14222" max="14222" width="18.625" style="11" bestFit="1" customWidth="1"/>
    <col min="14223" max="14223" width="18.25" style="11" bestFit="1" customWidth="1"/>
    <col min="14224" max="14224" width="19.5" style="11" customWidth="1"/>
    <col min="14225" max="14227" width="19.375" style="11" customWidth="1"/>
    <col min="14228" max="14228" width="19" style="11" bestFit="1" customWidth="1"/>
    <col min="14229" max="14229" width="18.625" style="11" bestFit="1" customWidth="1"/>
    <col min="14230" max="14230" width="19" style="11" bestFit="1" customWidth="1"/>
    <col min="14231" max="14231" width="18.75" style="11" bestFit="1" customWidth="1"/>
    <col min="14232" max="14232" width="19" style="11" customWidth="1"/>
    <col min="14233" max="14233" width="18.75" style="11" bestFit="1" customWidth="1"/>
    <col min="14234" max="14235" width="19" style="11" bestFit="1" customWidth="1"/>
    <col min="14236" max="14236" width="18.625" style="11" bestFit="1" customWidth="1"/>
    <col min="14237" max="14237" width="18.25" style="11" bestFit="1" customWidth="1"/>
    <col min="14238" max="14238" width="18.625" style="11" bestFit="1" customWidth="1"/>
    <col min="14239" max="14239" width="18.625" style="11" customWidth="1"/>
    <col min="14240" max="14240" width="18" style="11" customWidth="1"/>
    <col min="14241" max="14241" width="17.75" style="11" customWidth="1"/>
    <col min="14242" max="14245" width="18" style="11" customWidth="1"/>
    <col min="14246" max="14246" width="19.875" style="11" customWidth="1"/>
    <col min="14247" max="14247" width="18" style="11" customWidth="1"/>
    <col min="14248" max="14253" width="18.625" style="11" customWidth="1"/>
    <col min="14254" max="14259" width="18.375" style="11" customWidth="1"/>
    <col min="14260" max="14261" width="17.75" style="11" customWidth="1"/>
    <col min="14262" max="14262" width="18.375" style="11" customWidth="1"/>
    <col min="14263" max="14263" width="18.625" style="11" bestFit="1" customWidth="1"/>
    <col min="14264" max="14264" width="19.125" style="11" customWidth="1"/>
    <col min="14265" max="14267" width="18.5" style="11" customWidth="1"/>
    <col min="14268" max="14268" width="17.25" style="11" customWidth="1"/>
    <col min="14269" max="14269" width="18.75" style="11" bestFit="1" customWidth="1"/>
    <col min="14270" max="14270" width="18.125" style="11" bestFit="1" customWidth="1"/>
    <col min="14271" max="14271" width="17.25" style="11" customWidth="1"/>
    <col min="14272" max="14273" width="18.25" style="11" bestFit="1" customWidth="1"/>
    <col min="14274" max="14274" width="19.5" style="11" bestFit="1" customWidth="1"/>
    <col min="14275" max="14275" width="19.375" style="11" bestFit="1" customWidth="1"/>
    <col min="14276" max="14277" width="19.125" style="11" bestFit="1" customWidth="1"/>
    <col min="14278" max="14330" width="9" style="11"/>
    <col min="14331" max="14331" width="25.125" style="11" customWidth="1"/>
    <col min="14332" max="14440" width="17.25" style="11" customWidth="1"/>
    <col min="14441" max="14441" width="19.875" style="11" customWidth="1"/>
    <col min="14442" max="14454" width="17.25" style="11" customWidth="1"/>
    <col min="14455" max="14455" width="16.625" style="11" bestFit="1" customWidth="1"/>
    <col min="14456" max="14456" width="18" style="11" customWidth="1"/>
    <col min="14457" max="14464" width="16.625" style="11" bestFit="1" customWidth="1"/>
    <col min="14465" max="14465" width="16.875" style="11" customWidth="1"/>
    <col min="14466" max="14466" width="19.375" style="11" bestFit="1" customWidth="1"/>
    <col min="14467" max="14474" width="18.75" style="11" customWidth="1"/>
    <col min="14475" max="14475" width="20.375" style="11" customWidth="1"/>
    <col min="14476" max="14476" width="18.75" style="11" bestFit="1" customWidth="1"/>
    <col min="14477" max="14477" width="19.375" style="11" customWidth="1"/>
    <col min="14478" max="14478" width="18.625" style="11" bestFit="1" customWidth="1"/>
    <col min="14479" max="14479" width="18.25" style="11" bestFit="1" customWidth="1"/>
    <col min="14480" max="14480" width="19.5" style="11" customWidth="1"/>
    <col min="14481" max="14483" width="19.375" style="11" customWidth="1"/>
    <col min="14484" max="14484" width="19" style="11" bestFit="1" customWidth="1"/>
    <col min="14485" max="14485" width="18.625" style="11" bestFit="1" customWidth="1"/>
    <col min="14486" max="14486" width="19" style="11" bestFit="1" customWidth="1"/>
    <col min="14487" max="14487" width="18.75" style="11" bestFit="1" customWidth="1"/>
    <col min="14488" max="14488" width="19" style="11" customWidth="1"/>
    <col min="14489" max="14489" width="18.75" style="11" bestFit="1" customWidth="1"/>
    <col min="14490" max="14491" width="19" style="11" bestFit="1" customWidth="1"/>
    <col min="14492" max="14492" width="18.625" style="11" bestFit="1" customWidth="1"/>
    <col min="14493" max="14493" width="18.25" style="11" bestFit="1" customWidth="1"/>
    <col min="14494" max="14494" width="18.625" style="11" bestFit="1" customWidth="1"/>
    <col min="14495" max="14495" width="18.625" style="11" customWidth="1"/>
    <col min="14496" max="14496" width="18" style="11" customWidth="1"/>
    <col min="14497" max="14497" width="17.75" style="11" customWidth="1"/>
    <col min="14498" max="14501" width="18" style="11" customWidth="1"/>
    <col min="14502" max="14502" width="19.875" style="11" customWidth="1"/>
    <col min="14503" max="14503" width="18" style="11" customWidth="1"/>
    <col min="14504" max="14509" width="18.625" style="11" customWidth="1"/>
    <col min="14510" max="14515" width="18.375" style="11" customWidth="1"/>
    <col min="14516" max="14517" width="17.75" style="11" customWidth="1"/>
    <col min="14518" max="14518" width="18.375" style="11" customWidth="1"/>
    <col min="14519" max="14519" width="18.625" style="11" bestFit="1" customWidth="1"/>
    <col min="14520" max="14520" width="19.125" style="11" customWidth="1"/>
    <col min="14521" max="14523" width="18.5" style="11" customWidth="1"/>
    <col min="14524" max="14524" width="17.25" style="11" customWidth="1"/>
    <col min="14525" max="14525" width="18.75" style="11" bestFit="1" customWidth="1"/>
    <col min="14526" max="14526" width="18.125" style="11" bestFit="1" customWidth="1"/>
    <col min="14527" max="14527" width="17.25" style="11" customWidth="1"/>
    <col min="14528" max="14529" width="18.25" style="11" bestFit="1" customWidth="1"/>
    <col min="14530" max="14530" width="19.5" style="11" bestFit="1" customWidth="1"/>
    <col min="14531" max="14531" width="19.375" style="11" bestFit="1" customWidth="1"/>
    <col min="14532" max="14533" width="19.125" style="11" bestFit="1" customWidth="1"/>
    <col min="14534" max="14586" width="9" style="11"/>
    <col min="14587" max="14587" width="25.125" style="11" customWidth="1"/>
    <col min="14588" max="14696" width="17.25" style="11" customWidth="1"/>
    <col min="14697" max="14697" width="19.875" style="11" customWidth="1"/>
    <col min="14698" max="14710" width="17.25" style="11" customWidth="1"/>
    <col min="14711" max="14711" width="16.625" style="11" bestFit="1" customWidth="1"/>
    <col min="14712" max="14712" width="18" style="11" customWidth="1"/>
    <col min="14713" max="14720" width="16.625" style="11" bestFit="1" customWidth="1"/>
    <col min="14721" max="14721" width="16.875" style="11" customWidth="1"/>
    <col min="14722" max="14722" width="19.375" style="11" bestFit="1" customWidth="1"/>
    <col min="14723" max="14730" width="18.75" style="11" customWidth="1"/>
    <col min="14731" max="14731" width="20.375" style="11" customWidth="1"/>
    <col min="14732" max="14732" width="18.75" style="11" bestFit="1" customWidth="1"/>
    <col min="14733" max="14733" width="19.375" style="11" customWidth="1"/>
    <col min="14734" max="14734" width="18.625" style="11" bestFit="1" customWidth="1"/>
    <col min="14735" max="14735" width="18.25" style="11" bestFit="1" customWidth="1"/>
    <col min="14736" max="14736" width="19.5" style="11" customWidth="1"/>
    <col min="14737" max="14739" width="19.375" style="11" customWidth="1"/>
    <col min="14740" max="14740" width="19" style="11" bestFit="1" customWidth="1"/>
    <col min="14741" max="14741" width="18.625" style="11" bestFit="1" customWidth="1"/>
    <col min="14742" max="14742" width="19" style="11" bestFit="1" customWidth="1"/>
    <col min="14743" max="14743" width="18.75" style="11" bestFit="1" customWidth="1"/>
    <col min="14744" max="14744" width="19" style="11" customWidth="1"/>
    <col min="14745" max="14745" width="18.75" style="11" bestFit="1" customWidth="1"/>
    <col min="14746" max="14747" width="19" style="11" bestFit="1" customWidth="1"/>
    <col min="14748" max="14748" width="18.625" style="11" bestFit="1" customWidth="1"/>
    <col min="14749" max="14749" width="18.25" style="11" bestFit="1" customWidth="1"/>
    <col min="14750" max="14750" width="18.625" style="11" bestFit="1" customWidth="1"/>
    <col min="14751" max="14751" width="18.625" style="11" customWidth="1"/>
    <col min="14752" max="14752" width="18" style="11" customWidth="1"/>
    <col min="14753" max="14753" width="17.75" style="11" customWidth="1"/>
    <col min="14754" max="14757" width="18" style="11" customWidth="1"/>
    <col min="14758" max="14758" width="19.875" style="11" customWidth="1"/>
    <col min="14759" max="14759" width="18" style="11" customWidth="1"/>
    <col min="14760" max="14765" width="18.625" style="11" customWidth="1"/>
    <col min="14766" max="14771" width="18.375" style="11" customWidth="1"/>
    <col min="14772" max="14773" width="17.75" style="11" customWidth="1"/>
    <col min="14774" max="14774" width="18.375" style="11" customWidth="1"/>
    <col min="14775" max="14775" width="18.625" style="11" bestFit="1" customWidth="1"/>
    <col min="14776" max="14776" width="19.125" style="11" customWidth="1"/>
    <col min="14777" max="14779" width="18.5" style="11" customWidth="1"/>
    <col min="14780" max="14780" width="17.25" style="11" customWidth="1"/>
    <col min="14781" max="14781" width="18.75" style="11" bestFit="1" customWidth="1"/>
    <col min="14782" max="14782" width="18.125" style="11" bestFit="1" customWidth="1"/>
    <col min="14783" max="14783" width="17.25" style="11" customWidth="1"/>
    <col min="14784" max="14785" width="18.25" style="11" bestFit="1" customWidth="1"/>
    <col min="14786" max="14786" width="19.5" style="11" bestFit="1" customWidth="1"/>
    <col min="14787" max="14787" width="19.375" style="11" bestFit="1" customWidth="1"/>
    <col min="14788" max="14789" width="19.125" style="11" bestFit="1" customWidth="1"/>
    <col min="14790" max="14842" width="9" style="11"/>
    <col min="14843" max="14843" width="25.125" style="11" customWidth="1"/>
    <col min="14844" max="14952" width="17.25" style="11" customWidth="1"/>
    <col min="14953" max="14953" width="19.875" style="11" customWidth="1"/>
    <col min="14954" max="14966" width="17.25" style="11" customWidth="1"/>
    <col min="14967" max="14967" width="16.625" style="11" bestFit="1" customWidth="1"/>
    <col min="14968" max="14968" width="18" style="11" customWidth="1"/>
    <col min="14969" max="14976" width="16.625" style="11" bestFit="1" customWidth="1"/>
    <col min="14977" max="14977" width="16.875" style="11" customWidth="1"/>
    <col min="14978" max="14978" width="19.375" style="11" bestFit="1" customWidth="1"/>
    <col min="14979" max="14986" width="18.75" style="11" customWidth="1"/>
    <col min="14987" max="14987" width="20.375" style="11" customWidth="1"/>
    <col min="14988" max="14988" width="18.75" style="11" bestFit="1" customWidth="1"/>
    <col min="14989" max="14989" width="19.375" style="11" customWidth="1"/>
    <col min="14990" max="14990" width="18.625" style="11" bestFit="1" customWidth="1"/>
    <col min="14991" max="14991" width="18.25" style="11" bestFit="1" customWidth="1"/>
    <col min="14992" max="14992" width="19.5" style="11" customWidth="1"/>
    <col min="14993" max="14995" width="19.375" style="11" customWidth="1"/>
    <col min="14996" max="14996" width="19" style="11" bestFit="1" customWidth="1"/>
    <col min="14997" max="14997" width="18.625" style="11" bestFit="1" customWidth="1"/>
    <col min="14998" max="14998" width="19" style="11" bestFit="1" customWidth="1"/>
    <col min="14999" max="14999" width="18.75" style="11" bestFit="1" customWidth="1"/>
    <col min="15000" max="15000" width="19" style="11" customWidth="1"/>
    <col min="15001" max="15001" width="18.75" style="11" bestFit="1" customWidth="1"/>
    <col min="15002" max="15003" width="19" style="11" bestFit="1" customWidth="1"/>
    <col min="15004" max="15004" width="18.625" style="11" bestFit="1" customWidth="1"/>
    <col min="15005" max="15005" width="18.25" style="11" bestFit="1" customWidth="1"/>
    <col min="15006" max="15006" width="18.625" style="11" bestFit="1" customWidth="1"/>
    <col min="15007" max="15007" width="18.625" style="11" customWidth="1"/>
    <col min="15008" max="15008" width="18" style="11" customWidth="1"/>
    <col min="15009" max="15009" width="17.75" style="11" customWidth="1"/>
    <col min="15010" max="15013" width="18" style="11" customWidth="1"/>
    <col min="15014" max="15014" width="19.875" style="11" customWidth="1"/>
    <col min="15015" max="15015" width="18" style="11" customWidth="1"/>
    <col min="15016" max="15021" width="18.625" style="11" customWidth="1"/>
    <col min="15022" max="15027" width="18.375" style="11" customWidth="1"/>
    <col min="15028" max="15029" width="17.75" style="11" customWidth="1"/>
    <col min="15030" max="15030" width="18.375" style="11" customWidth="1"/>
    <col min="15031" max="15031" width="18.625" style="11" bestFit="1" customWidth="1"/>
    <col min="15032" max="15032" width="19.125" style="11" customWidth="1"/>
    <col min="15033" max="15035" width="18.5" style="11" customWidth="1"/>
    <col min="15036" max="15036" width="17.25" style="11" customWidth="1"/>
    <col min="15037" max="15037" width="18.75" style="11" bestFit="1" customWidth="1"/>
    <col min="15038" max="15038" width="18.125" style="11" bestFit="1" customWidth="1"/>
    <col min="15039" max="15039" width="17.25" style="11" customWidth="1"/>
    <col min="15040" max="15041" width="18.25" style="11" bestFit="1" customWidth="1"/>
    <col min="15042" max="15042" width="19.5" style="11" bestFit="1" customWidth="1"/>
    <col min="15043" max="15043" width="19.375" style="11" bestFit="1" customWidth="1"/>
    <col min="15044" max="15045" width="19.125" style="11" bestFit="1" customWidth="1"/>
    <col min="15046" max="15098" width="9" style="11"/>
    <col min="15099" max="15099" width="25.125" style="11" customWidth="1"/>
    <col min="15100" max="15208" width="17.25" style="11" customWidth="1"/>
    <col min="15209" max="15209" width="19.875" style="11" customWidth="1"/>
    <col min="15210" max="15222" width="17.25" style="11" customWidth="1"/>
    <col min="15223" max="15223" width="16.625" style="11" bestFit="1" customWidth="1"/>
    <col min="15224" max="15224" width="18" style="11" customWidth="1"/>
    <col min="15225" max="15232" width="16.625" style="11" bestFit="1" customWidth="1"/>
    <col min="15233" max="15233" width="16.875" style="11" customWidth="1"/>
    <col min="15234" max="15234" width="19.375" style="11" bestFit="1" customWidth="1"/>
    <col min="15235" max="15242" width="18.75" style="11" customWidth="1"/>
    <col min="15243" max="15243" width="20.375" style="11" customWidth="1"/>
    <col min="15244" max="15244" width="18.75" style="11" bestFit="1" customWidth="1"/>
    <col min="15245" max="15245" width="19.375" style="11" customWidth="1"/>
    <col min="15246" max="15246" width="18.625" style="11" bestFit="1" customWidth="1"/>
    <col min="15247" max="15247" width="18.25" style="11" bestFit="1" customWidth="1"/>
    <col min="15248" max="15248" width="19.5" style="11" customWidth="1"/>
    <col min="15249" max="15251" width="19.375" style="11" customWidth="1"/>
    <col min="15252" max="15252" width="19" style="11" bestFit="1" customWidth="1"/>
    <col min="15253" max="15253" width="18.625" style="11" bestFit="1" customWidth="1"/>
    <col min="15254" max="15254" width="19" style="11" bestFit="1" customWidth="1"/>
    <col min="15255" max="15255" width="18.75" style="11" bestFit="1" customWidth="1"/>
    <col min="15256" max="15256" width="19" style="11" customWidth="1"/>
    <col min="15257" max="15257" width="18.75" style="11" bestFit="1" customWidth="1"/>
    <col min="15258" max="15259" width="19" style="11" bestFit="1" customWidth="1"/>
    <col min="15260" max="15260" width="18.625" style="11" bestFit="1" customWidth="1"/>
    <col min="15261" max="15261" width="18.25" style="11" bestFit="1" customWidth="1"/>
    <col min="15262" max="15262" width="18.625" style="11" bestFit="1" customWidth="1"/>
    <col min="15263" max="15263" width="18.625" style="11" customWidth="1"/>
    <col min="15264" max="15264" width="18" style="11" customWidth="1"/>
    <col min="15265" max="15265" width="17.75" style="11" customWidth="1"/>
    <col min="15266" max="15269" width="18" style="11" customWidth="1"/>
    <col min="15270" max="15270" width="19.875" style="11" customWidth="1"/>
    <col min="15271" max="15271" width="18" style="11" customWidth="1"/>
    <col min="15272" max="15277" width="18.625" style="11" customWidth="1"/>
    <col min="15278" max="15283" width="18.375" style="11" customWidth="1"/>
    <col min="15284" max="15285" width="17.75" style="11" customWidth="1"/>
    <col min="15286" max="15286" width="18.375" style="11" customWidth="1"/>
    <col min="15287" max="15287" width="18.625" style="11" bestFit="1" customWidth="1"/>
    <col min="15288" max="15288" width="19.125" style="11" customWidth="1"/>
    <col min="15289" max="15291" width="18.5" style="11" customWidth="1"/>
    <col min="15292" max="15292" width="17.25" style="11" customWidth="1"/>
    <col min="15293" max="15293" width="18.75" style="11" bestFit="1" customWidth="1"/>
    <col min="15294" max="15294" width="18.125" style="11" bestFit="1" customWidth="1"/>
    <col min="15295" max="15295" width="17.25" style="11" customWidth="1"/>
    <col min="15296" max="15297" width="18.25" style="11" bestFit="1" customWidth="1"/>
    <col min="15298" max="15298" width="19.5" style="11" bestFit="1" customWidth="1"/>
    <col min="15299" max="15299" width="19.375" style="11" bestFit="1" customWidth="1"/>
    <col min="15300" max="15301" width="19.125" style="11" bestFit="1" customWidth="1"/>
    <col min="15302" max="15354" width="9" style="11"/>
    <col min="15355" max="15355" width="25.125" style="11" customWidth="1"/>
    <col min="15356" max="15464" width="17.25" style="11" customWidth="1"/>
    <col min="15465" max="15465" width="19.875" style="11" customWidth="1"/>
    <col min="15466" max="15478" width="17.25" style="11" customWidth="1"/>
    <col min="15479" max="15479" width="16.625" style="11" bestFit="1" customWidth="1"/>
    <col min="15480" max="15480" width="18" style="11" customWidth="1"/>
    <col min="15481" max="15488" width="16.625" style="11" bestFit="1" customWidth="1"/>
    <col min="15489" max="15489" width="16.875" style="11" customWidth="1"/>
    <col min="15490" max="15490" width="19.375" style="11" bestFit="1" customWidth="1"/>
    <col min="15491" max="15498" width="18.75" style="11" customWidth="1"/>
    <col min="15499" max="15499" width="20.375" style="11" customWidth="1"/>
    <col min="15500" max="15500" width="18.75" style="11" bestFit="1" customWidth="1"/>
    <col min="15501" max="15501" width="19.375" style="11" customWidth="1"/>
    <col min="15502" max="15502" width="18.625" style="11" bestFit="1" customWidth="1"/>
    <col min="15503" max="15503" width="18.25" style="11" bestFit="1" customWidth="1"/>
    <col min="15504" max="15504" width="19.5" style="11" customWidth="1"/>
    <col min="15505" max="15507" width="19.375" style="11" customWidth="1"/>
    <col min="15508" max="15508" width="19" style="11" bestFit="1" customWidth="1"/>
    <col min="15509" max="15509" width="18.625" style="11" bestFit="1" customWidth="1"/>
    <col min="15510" max="15510" width="19" style="11" bestFit="1" customWidth="1"/>
    <col min="15511" max="15511" width="18.75" style="11" bestFit="1" customWidth="1"/>
    <col min="15512" max="15512" width="19" style="11" customWidth="1"/>
    <col min="15513" max="15513" width="18.75" style="11" bestFit="1" customWidth="1"/>
    <col min="15514" max="15515" width="19" style="11" bestFit="1" customWidth="1"/>
    <col min="15516" max="15516" width="18.625" style="11" bestFit="1" customWidth="1"/>
    <col min="15517" max="15517" width="18.25" style="11" bestFit="1" customWidth="1"/>
    <col min="15518" max="15518" width="18.625" style="11" bestFit="1" customWidth="1"/>
    <col min="15519" max="15519" width="18.625" style="11" customWidth="1"/>
    <col min="15520" max="15520" width="18" style="11" customWidth="1"/>
    <col min="15521" max="15521" width="17.75" style="11" customWidth="1"/>
    <col min="15522" max="15525" width="18" style="11" customWidth="1"/>
    <col min="15526" max="15526" width="19.875" style="11" customWidth="1"/>
    <col min="15527" max="15527" width="18" style="11" customWidth="1"/>
    <col min="15528" max="15533" width="18.625" style="11" customWidth="1"/>
    <col min="15534" max="15539" width="18.375" style="11" customWidth="1"/>
    <col min="15540" max="15541" width="17.75" style="11" customWidth="1"/>
    <col min="15542" max="15542" width="18.375" style="11" customWidth="1"/>
    <col min="15543" max="15543" width="18.625" style="11" bestFit="1" customWidth="1"/>
    <col min="15544" max="15544" width="19.125" style="11" customWidth="1"/>
    <col min="15545" max="15547" width="18.5" style="11" customWidth="1"/>
    <col min="15548" max="15548" width="17.25" style="11" customWidth="1"/>
    <col min="15549" max="15549" width="18.75" style="11" bestFit="1" customWidth="1"/>
    <col min="15550" max="15550" width="18.125" style="11" bestFit="1" customWidth="1"/>
    <col min="15551" max="15551" width="17.25" style="11" customWidth="1"/>
    <col min="15552" max="15553" width="18.25" style="11" bestFit="1" customWidth="1"/>
    <col min="15554" max="15554" width="19.5" style="11" bestFit="1" customWidth="1"/>
    <col min="15555" max="15555" width="19.375" style="11" bestFit="1" customWidth="1"/>
    <col min="15556" max="15557" width="19.125" style="11" bestFit="1" customWidth="1"/>
    <col min="15558" max="16384" width="9" style="11"/>
  </cols>
  <sheetData>
    <row r="1" spans="1:495" x14ac:dyDescent="0.2">
      <c r="A1" s="10" t="s">
        <v>1019</v>
      </c>
      <c r="BI1" s="12">
        <v>3757700000</v>
      </c>
      <c r="CY1" s="11">
        <v>639634891.33000004</v>
      </c>
      <c r="CZ1" s="11">
        <v>490089023.74000001</v>
      </c>
      <c r="DA1" s="11">
        <v>491728617.95999998</v>
      </c>
      <c r="IZ1" s="12">
        <f>1643835.62+2000000000</f>
        <v>2001643835.6199999</v>
      </c>
    </row>
    <row r="2" spans="1:495" x14ac:dyDescent="0.2">
      <c r="A2" s="13">
        <f ca="1">[2]Main!B1</f>
        <v>43376</v>
      </c>
      <c r="BI2" s="12">
        <v>3761700000</v>
      </c>
      <c r="BJ2" s="14">
        <v>12394400000</v>
      </c>
      <c r="CY2" s="11">
        <v>1456700281.8399999</v>
      </c>
      <c r="CZ2" s="11">
        <v>677646051.71000004</v>
      </c>
      <c r="DA2" s="11">
        <v>1317814071.9100001</v>
      </c>
      <c r="GS2" s="15">
        <v>3379158198.3099999</v>
      </c>
      <c r="IZ2" s="15">
        <v>3130248173.0599999</v>
      </c>
      <c r="JA2" s="16"/>
      <c r="JB2" s="11">
        <v>5120595979.5299997</v>
      </c>
      <c r="NX2" s="17" t="s">
        <v>1020</v>
      </c>
      <c r="NY2" s="17"/>
    </row>
    <row r="3" spans="1:495" ht="14.25" x14ac:dyDescent="0.2">
      <c r="A3" s="18">
        <f ca="1">MATCH(A2,5:5,0)</f>
        <v>433</v>
      </c>
      <c r="Y3" s="19" t="s">
        <v>1021</v>
      </c>
      <c r="AK3" s="20">
        <v>1418732980.3603778</v>
      </c>
      <c r="BI3" s="21">
        <v>3584309777.8099999</v>
      </c>
      <c r="CH3" s="20">
        <v>2421849374</v>
      </c>
      <c r="CY3" s="11">
        <v>3313820697.0599999</v>
      </c>
      <c r="CZ3" s="11">
        <v>1960427412.4100001</v>
      </c>
      <c r="DA3" s="11">
        <v>2080024588.95</v>
      </c>
      <c r="DK3" s="15">
        <v>3548479317.3400002</v>
      </c>
      <c r="EM3" s="22" t="s">
        <v>1022</v>
      </c>
      <c r="EN3" s="22"/>
      <c r="EO3" s="22"/>
      <c r="EP3" s="22"/>
      <c r="EQ3" s="22" t="s">
        <v>1023</v>
      </c>
      <c r="ER3" s="22"/>
      <c r="ES3" s="22"/>
      <c r="ET3" s="22"/>
      <c r="EU3" s="22"/>
      <c r="EV3" s="22" t="s">
        <v>1024</v>
      </c>
      <c r="EW3" s="12">
        <v>800000000</v>
      </c>
      <c r="EZ3" s="23" t="s">
        <v>1025</v>
      </c>
      <c r="FC3" s="23" t="s">
        <v>1026</v>
      </c>
      <c r="FE3" s="23" t="s">
        <v>1027</v>
      </c>
      <c r="FF3" s="24">
        <v>3518877348.1700001</v>
      </c>
      <c r="FJ3" s="23">
        <v>3700</v>
      </c>
      <c r="FO3" s="23">
        <v>4000</v>
      </c>
      <c r="FT3" s="23">
        <v>2968</v>
      </c>
      <c r="FX3" s="23">
        <v>2934</v>
      </c>
      <c r="GL3" s="11">
        <v>9848</v>
      </c>
      <c r="GQ3" s="11">
        <v>703</v>
      </c>
      <c r="GR3" s="11">
        <v>4491</v>
      </c>
      <c r="GV3" s="11">
        <v>7436</v>
      </c>
      <c r="GZ3" s="11">
        <v>4510</v>
      </c>
      <c r="HE3" s="11">
        <v>3589</v>
      </c>
      <c r="HI3" s="11">
        <v>6556</v>
      </c>
      <c r="HJ3" s="11">
        <v>3700</v>
      </c>
      <c r="HN3" s="11">
        <v>4925</v>
      </c>
      <c r="HT3" s="11">
        <v>7597</v>
      </c>
      <c r="HX3" s="11">
        <v>6881</v>
      </c>
      <c r="IB3" s="11">
        <v>4717</v>
      </c>
      <c r="IG3" s="11">
        <v>8621</v>
      </c>
      <c r="IK3" s="11">
        <v>516</v>
      </c>
      <c r="IZ3" s="25">
        <v>5131892008.6800003</v>
      </c>
    </row>
    <row r="4" spans="1:495" s="26" customFormat="1" ht="12.75" customHeight="1" thickBot="1" x14ac:dyDescent="0.25">
      <c r="A4" s="12" t="s">
        <v>6</v>
      </c>
      <c r="E4" s="26" t="s">
        <v>1028</v>
      </c>
      <c r="J4" s="26" t="s">
        <v>1029</v>
      </c>
      <c r="O4" s="26" t="s">
        <v>1030</v>
      </c>
      <c r="T4" s="26" t="s">
        <v>1031</v>
      </c>
      <c r="Y4" s="26" t="s">
        <v>1032</v>
      </c>
      <c r="Z4" s="26" t="s">
        <v>1033</v>
      </c>
      <c r="AD4" s="26" t="s">
        <v>1034</v>
      </c>
      <c r="AF4" s="26" t="s">
        <v>1035</v>
      </c>
      <c r="AH4" s="26" t="s">
        <v>1036</v>
      </c>
      <c r="AM4" s="26" t="s">
        <v>1037</v>
      </c>
      <c r="AR4" s="26" t="s">
        <v>1038</v>
      </c>
      <c r="AU4" s="26" t="s">
        <v>1039</v>
      </c>
      <c r="AW4" s="26" t="s">
        <v>1040</v>
      </c>
      <c r="BB4" s="26" t="s">
        <v>1041</v>
      </c>
      <c r="BD4" s="26" t="s">
        <v>1042</v>
      </c>
      <c r="BF4" s="26" t="s">
        <v>1043</v>
      </c>
      <c r="BG4" s="26" t="s">
        <v>1044</v>
      </c>
      <c r="BI4" s="26">
        <v>4875000000</v>
      </c>
      <c r="BL4" s="26" t="s">
        <v>1045</v>
      </c>
      <c r="BP4" s="26" t="s">
        <v>1046</v>
      </c>
      <c r="BQ4" s="26" t="s">
        <v>1047</v>
      </c>
      <c r="BW4" s="26" t="s">
        <v>1048</v>
      </c>
      <c r="BX4" s="26" t="s">
        <v>1049</v>
      </c>
      <c r="CC4" s="26" t="s">
        <v>1050</v>
      </c>
      <c r="CG4" s="26" t="s">
        <v>1051</v>
      </c>
      <c r="CK4" s="26" t="s">
        <v>1052</v>
      </c>
      <c r="CP4" s="26">
        <v>6794</v>
      </c>
      <c r="CU4" s="26">
        <v>8439</v>
      </c>
      <c r="CZ4" s="26">
        <v>5624</v>
      </c>
      <c r="DE4" s="26">
        <v>6689</v>
      </c>
      <c r="DJ4" s="26">
        <v>4907</v>
      </c>
      <c r="DO4" s="26">
        <v>7182</v>
      </c>
      <c r="DT4" s="26">
        <v>4345</v>
      </c>
      <c r="IO4" s="26">
        <v>4363</v>
      </c>
      <c r="JI4" s="26">
        <v>2117</v>
      </c>
      <c r="JN4" s="26">
        <v>10759</v>
      </c>
      <c r="JX4" s="26">
        <v>2315</v>
      </c>
      <c r="KC4" s="26">
        <v>2303</v>
      </c>
      <c r="KG4" s="26">
        <v>1461</v>
      </c>
      <c r="KL4" s="26">
        <v>5130</v>
      </c>
      <c r="KQ4" s="26">
        <v>5222</v>
      </c>
      <c r="KZ4" s="26">
        <v>11802</v>
      </c>
      <c r="LH4" s="26">
        <v>3544</v>
      </c>
      <c r="LM4" s="26">
        <v>9290</v>
      </c>
      <c r="LP4" s="26">
        <v>5303</v>
      </c>
      <c r="LU4" s="26">
        <v>5936</v>
      </c>
      <c r="MA4" s="26">
        <v>10282</v>
      </c>
      <c r="MF4" s="26">
        <v>3500</v>
      </c>
      <c r="MI4" s="26">
        <v>3300</v>
      </c>
      <c r="MJ4" s="26">
        <v>2473</v>
      </c>
      <c r="MO4" s="26">
        <v>2962</v>
      </c>
      <c r="MT4" s="26">
        <v>6505</v>
      </c>
      <c r="MW4" s="26">
        <v>1520</v>
      </c>
      <c r="MY4" s="26">
        <v>3773</v>
      </c>
      <c r="NC4" s="26">
        <v>1960</v>
      </c>
      <c r="ND4" s="26">
        <v>1103</v>
      </c>
      <c r="NI4" s="26">
        <v>5189</v>
      </c>
      <c r="NN4" s="26">
        <v>1240</v>
      </c>
      <c r="NR4" s="26">
        <v>1511.26</v>
      </c>
      <c r="NW4" s="26">
        <v>1939.36</v>
      </c>
      <c r="NX4" s="26">
        <v>850.95</v>
      </c>
      <c r="NY4" s="26">
        <v>413.64</v>
      </c>
      <c r="OE4" s="26">
        <v>2934.78</v>
      </c>
      <c r="OH4" s="26">
        <v>1108.77</v>
      </c>
      <c r="OJ4" s="26">
        <v>743.05</v>
      </c>
      <c r="OO4" s="26">
        <v>512.83000000000004</v>
      </c>
      <c r="OT4" s="26">
        <v>557.54</v>
      </c>
      <c r="OW4" s="26">
        <v>6167.28</v>
      </c>
      <c r="PC4" s="26">
        <v>1200</v>
      </c>
      <c r="PD4" s="26">
        <v>1700</v>
      </c>
      <c r="PI4" s="26">
        <v>3715</v>
      </c>
      <c r="PJ4" s="26">
        <v>1200</v>
      </c>
      <c r="PS4" s="26">
        <v>3436</v>
      </c>
      <c r="PX4" s="26">
        <v>3149</v>
      </c>
      <c r="QD4" s="26">
        <v>467</v>
      </c>
      <c r="QF4" s="26">
        <v>534</v>
      </c>
      <c r="QK4" s="26">
        <v>4765</v>
      </c>
      <c r="QN4" s="26">
        <v>536</v>
      </c>
      <c r="QY4" s="26">
        <v>2600</v>
      </c>
      <c r="RD4" s="26">
        <v>2820</v>
      </c>
      <c r="RE4" s="26">
        <v>7172</v>
      </c>
      <c r="RI4" s="26">
        <v>3753</v>
      </c>
      <c r="RM4" s="26">
        <v>5492</v>
      </c>
      <c r="RR4" s="26">
        <v>1688</v>
      </c>
    </row>
    <row r="5" spans="1:495" ht="14.25" customHeight="1" x14ac:dyDescent="0.2">
      <c r="A5" s="27" t="s">
        <v>1053</v>
      </c>
      <c r="B5" s="28">
        <v>42734</v>
      </c>
      <c r="C5" s="28">
        <v>42739</v>
      </c>
      <c r="D5" s="28">
        <v>42740</v>
      </c>
      <c r="E5" s="28">
        <v>42741</v>
      </c>
      <c r="F5" s="28">
        <v>42744</v>
      </c>
      <c r="G5" s="28">
        <v>42745</v>
      </c>
      <c r="H5" s="28">
        <v>42746</v>
      </c>
      <c r="I5" s="28">
        <v>42747</v>
      </c>
      <c r="J5" s="28">
        <v>42748</v>
      </c>
      <c r="K5" s="28">
        <v>42751</v>
      </c>
      <c r="L5" s="28">
        <v>42752</v>
      </c>
      <c r="M5" s="28">
        <v>42753</v>
      </c>
      <c r="N5" s="28">
        <v>42754</v>
      </c>
      <c r="O5" s="28">
        <v>42755</v>
      </c>
      <c r="P5" s="28">
        <v>42758</v>
      </c>
      <c r="Q5" s="28">
        <v>42759</v>
      </c>
      <c r="R5" s="28">
        <v>42760</v>
      </c>
      <c r="S5" s="28">
        <v>42761</v>
      </c>
      <c r="T5" s="28">
        <v>42762</v>
      </c>
      <c r="U5" s="28">
        <v>42765</v>
      </c>
      <c r="V5" s="28">
        <v>42766</v>
      </c>
      <c r="W5" s="28">
        <v>42767</v>
      </c>
      <c r="X5" s="28">
        <v>42768</v>
      </c>
      <c r="Y5" s="28">
        <v>42769</v>
      </c>
      <c r="Z5" s="28">
        <v>42772</v>
      </c>
      <c r="AA5" s="28">
        <v>42773</v>
      </c>
      <c r="AB5" s="28">
        <v>42774</v>
      </c>
      <c r="AC5" s="28">
        <v>42775</v>
      </c>
      <c r="AD5" s="28">
        <v>42776</v>
      </c>
      <c r="AE5" s="28">
        <v>42780</v>
      </c>
      <c r="AF5" s="28">
        <v>42781</v>
      </c>
      <c r="AG5" s="28">
        <v>42782</v>
      </c>
      <c r="AH5" s="28">
        <v>42783</v>
      </c>
      <c r="AI5" s="28">
        <v>42786</v>
      </c>
      <c r="AJ5" s="28">
        <v>42787</v>
      </c>
      <c r="AK5" s="28">
        <v>42788</v>
      </c>
      <c r="AL5" s="28">
        <v>42789</v>
      </c>
      <c r="AM5" s="28">
        <v>42790</v>
      </c>
      <c r="AN5" s="28">
        <v>42793</v>
      </c>
      <c r="AO5" s="28">
        <v>42794</v>
      </c>
      <c r="AP5" s="28">
        <v>42795</v>
      </c>
      <c r="AQ5" s="28">
        <v>42796</v>
      </c>
      <c r="AR5" s="28">
        <v>42797</v>
      </c>
      <c r="AS5" s="28">
        <v>42800</v>
      </c>
      <c r="AT5" s="28">
        <v>42801</v>
      </c>
      <c r="AU5" s="28">
        <v>42802</v>
      </c>
      <c r="AV5" s="28">
        <v>42803</v>
      </c>
      <c r="AW5" s="28">
        <v>42804</v>
      </c>
      <c r="AX5" s="28">
        <v>42807</v>
      </c>
      <c r="AY5" s="28">
        <v>42808</v>
      </c>
      <c r="AZ5" s="28">
        <v>42809</v>
      </c>
      <c r="BA5" s="28">
        <v>42810</v>
      </c>
      <c r="BB5" s="28">
        <v>42811</v>
      </c>
      <c r="BC5" s="28">
        <v>42814</v>
      </c>
      <c r="BD5" s="28">
        <v>42815</v>
      </c>
      <c r="BE5" s="28">
        <v>42816</v>
      </c>
      <c r="BF5" s="28">
        <v>42817</v>
      </c>
      <c r="BG5" s="28">
        <v>42818</v>
      </c>
      <c r="BH5" s="28">
        <v>42821</v>
      </c>
      <c r="BI5" s="28">
        <v>42822</v>
      </c>
      <c r="BJ5" s="28">
        <v>42823</v>
      </c>
      <c r="BK5" s="28">
        <v>42824</v>
      </c>
      <c r="BL5" s="28">
        <v>42825</v>
      </c>
      <c r="BM5" s="28">
        <v>42828</v>
      </c>
      <c r="BN5" s="28">
        <v>42829</v>
      </c>
      <c r="BO5" s="28">
        <v>42830</v>
      </c>
      <c r="BP5" s="28">
        <v>42832</v>
      </c>
      <c r="BQ5" s="28">
        <v>42835</v>
      </c>
      <c r="BR5" s="28">
        <v>42836</v>
      </c>
      <c r="BS5" s="28">
        <v>42837</v>
      </c>
      <c r="BT5" s="28">
        <v>42842</v>
      </c>
      <c r="BU5" s="28">
        <v>42843</v>
      </c>
      <c r="BV5" s="28">
        <v>42844</v>
      </c>
      <c r="BW5" s="28">
        <v>42845</v>
      </c>
      <c r="BX5" s="28">
        <v>42846</v>
      </c>
      <c r="BY5" s="28">
        <v>42849</v>
      </c>
      <c r="BZ5" s="28">
        <v>42850</v>
      </c>
      <c r="CA5" s="28">
        <v>42851</v>
      </c>
      <c r="CB5" s="28">
        <v>42852</v>
      </c>
      <c r="CC5" s="28">
        <v>42853</v>
      </c>
      <c r="CD5" s="28">
        <v>42857</v>
      </c>
      <c r="CE5" s="28">
        <v>42858</v>
      </c>
      <c r="CF5" s="28">
        <v>42859</v>
      </c>
      <c r="CG5" s="28">
        <v>42860</v>
      </c>
      <c r="CH5" s="28">
        <v>42863</v>
      </c>
      <c r="CI5" s="28">
        <v>42864</v>
      </c>
      <c r="CJ5" s="28">
        <v>42866</v>
      </c>
      <c r="CK5" s="28">
        <v>42867</v>
      </c>
      <c r="CL5" s="28">
        <v>42870</v>
      </c>
      <c r="CM5" s="28">
        <v>42871</v>
      </c>
      <c r="CN5" s="28">
        <v>42872</v>
      </c>
      <c r="CO5" s="28">
        <v>42873</v>
      </c>
      <c r="CP5" s="28">
        <v>42874</v>
      </c>
      <c r="CQ5" s="28">
        <v>42877</v>
      </c>
      <c r="CR5" s="28">
        <v>42878</v>
      </c>
      <c r="CS5" s="28">
        <v>42879</v>
      </c>
      <c r="CT5" s="28">
        <v>42880</v>
      </c>
      <c r="CU5" s="28">
        <v>42881</v>
      </c>
      <c r="CV5" s="28">
        <v>42884</v>
      </c>
      <c r="CW5" s="28">
        <v>42885</v>
      </c>
      <c r="CX5" s="28">
        <v>42886</v>
      </c>
      <c r="CY5" s="28">
        <v>42887</v>
      </c>
      <c r="CZ5" s="28">
        <v>42888</v>
      </c>
      <c r="DA5" s="28">
        <v>42891</v>
      </c>
      <c r="DB5" s="28">
        <v>42892</v>
      </c>
      <c r="DC5" s="28">
        <v>42893</v>
      </c>
      <c r="DD5" s="28">
        <v>42894</v>
      </c>
      <c r="DE5" s="28">
        <v>42895</v>
      </c>
      <c r="DF5" s="28">
        <v>42898</v>
      </c>
      <c r="DG5" s="28">
        <v>42899</v>
      </c>
      <c r="DH5" s="28">
        <v>42900</v>
      </c>
      <c r="DI5" s="28">
        <f>[1]!SCBAM_NextBusinessDay(DH$5)</f>
        <v>42901</v>
      </c>
      <c r="DJ5" s="28">
        <f>[1]!SCBAM_NextBusinessDay(DI$5)</f>
        <v>42902</v>
      </c>
      <c r="DK5" s="28">
        <f>[1]!SCBAM_NextBusinessDay(DJ$5)</f>
        <v>42905</v>
      </c>
      <c r="DL5" s="28">
        <f>[1]!SCBAM_NextBusinessDay(DK$5)</f>
        <v>42906</v>
      </c>
      <c r="DM5" s="28">
        <v>42907</v>
      </c>
      <c r="DN5" s="28">
        <v>42908</v>
      </c>
      <c r="DO5" s="28">
        <v>42909</v>
      </c>
      <c r="DP5" s="28">
        <v>42912</v>
      </c>
      <c r="DQ5" s="28">
        <v>42913</v>
      </c>
      <c r="DR5" s="28">
        <v>42914</v>
      </c>
      <c r="DS5" s="28">
        <v>42915</v>
      </c>
      <c r="DT5" s="28">
        <v>42916</v>
      </c>
      <c r="DU5" s="28">
        <v>42919</v>
      </c>
      <c r="DV5" s="28">
        <v>42920</v>
      </c>
      <c r="DW5" s="28">
        <v>42921</v>
      </c>
      <c r="DX5" s="28">
        <v>42922</v>
      </c>
      <c r="DY5" s="28">
        <v>42923</v>
      </c>
      <c r="DZ5" s="28">
        <v>42927</v>
      </c>
      <c r="EA5" s="28">
        <v>42928</v>
      </c>
      <c r="EB5" s="28">
        <v>42929</v>
      </c>
      <c r="EC5" s="28">
        <v>42930</v>
      </c>
      <c r="ED5" s="28">
        <v>42933</v>
      </c>
      <c r="EE5" s="28">
        <v>42934</v>
      </c>
      <c r="EF5" s="28">
        <v>42935</v>
      </c>
      <c r="EG5" s="28">
        <v>42936</v>
      </c>
      <c r="EH5" s="28">
        <v>42937</v>
      </c>
      <c r="EI5" s="28">
        <v>42940</v>
      </c>
      <c r="EJ5" s="28">
        <v>42941</v>
      </c>
      <c r="EK5" s="28">
        <v>42942</v>
      </c>
      <c r="EL5" s="28">
        <v>42943</v>
      </c>
      <c r="EM5" s="28">
        <v>42947</v>
      </c>
      <c r="EN5" s="28">
        <v>42948</v>
      </c>
      <c r="EO5" s="28">
        <v>42949</v>
      </c>
      <c r="EP5" s="28">
        <v>42950</v>
      </c>
      <c r="EQ5" s="28">
        <v>42951</v>
      </c>
      <c r="ER5" s="28">
        <v>42954</v>
      </c>
      <c r="ES5" s="28">
        <v>42955</v>
      </c>
      <c r="ET5" s="28">
        <v>42956</v>
      </c>
      <c r="EU5" s="28">
        <v>42957</v>
      </c>
      <c r="EV5" s="28">
        <v>42958</v>
      </c>
      <c r="EW5" s="28">
        <v>42962</v>
      </c>
      <c r="EX5" s="28">
        <v>42963</v>
      </c>
      <c r="EY5" s="28">
        <v>42964</v>
      </c>
      <c r="EZ5" s="28">
        <v>42965</v>
      </c>
      <c r="FA5" s="28">
        <v>42968</v>
      </c>
      <c r="FB5" s="28">
        <v>42969</v>
      </c>
      <c r="FC5" s="28">
        <v>42970</v>
      </c>
      <c r="FD5" s="28">
        <v>42971</v>
      </c>
      <c r="FE5" s="28">
        <v>42972</v>
      </c>
      <c r="FF5" s="28">
        <v>42975</v>
      </c>
      <c r="FG5" s="28">
        <v>42976</v>
      </c>
      <c r="FH5" s="28">
        <v>42977</v>
      </c>
      <c r="FI5" s="28">
        <v>42978</v>
      </c>
      <c r="FJ5" s="28">
        <v>42979</v>
      </c>
      <c r="FK5" s="28">
        <v>42982</v>
      </c>
      <c r="FL5" s="28">
        <v>42983</v>
      </c>
      <c r="FM5" s="28">
        <f>[1]!SCBAM_NextBusinessDay(FL$5)</f>
        <v>42984</v>
      </c>
      <c r="FN5" s="28">
        <f>[1]!SCBAM_NextBusinessDay(FM$5)</f>
        <v>42985</v>
      </c>
      <c r="FO5" s="28">
        <f>[1]!SCBAM_NextBusinessDay(FN$5)</f>
        <v>42986</v>
      </c>
      <c r="FP5" s="28">
        <f>[1]!SCBAM_NextBusinessDay(FO$5)</f>
        <v>42989</v>
      </c>
      <c r="FQ5" s="28">
        <v>42990</v>
      </c>
      <c r="FR5" s="28">
        <v>42991</v>
      </c>
      <c r="FS5" s="28">
        <v>42992</v>
      </c>
      <c r="FT5" s="28">
        <v>42993</v>
      </c>
      <c r="FU5" s="28">
        <v>42996</v>
      </c>
      <c r="FV5" s="28">
        <v>42997</v>
      </c>
      <c r="FW5" s="28">
        <v>42998</v>
      </c>
      <c r="FX5" s="28">
        <v>42999</v>
      </c>
      <c r="FY5" s="28">
        <v>43000</v>
      </c>
      <c r="FZ5" s="28">
        <v>43003</v>
      </c>
      <c r="GA5" s="28">
        <v>43004</v>
      </c>
      <c r="GB5" s="28">
        <v>43005</v>
      </c>
      <c r="GC5" s="28">
        <v>43006</v>
      </c>
      <c r="GD5" s="28">
        <v>43007</v>
      </c>
      <c r="GE5" s="28">
        <v>43010</v>
      </c>
      <c r="GF5" s="28">
        <v>43011</v>
      </c>
      <c r="GG5" s="28">
        <v>43012</v>
      </c>
      <c r="GH5" s="28">
        <v>43013</v>
      </c>
      <c r="GI5" s="28">
        <v>43014</v>
      </c>
      <c r="GJ5" s="28">
        <v>43017</v>
      </c>
      <c r="GK5" s="28">
        <v>43018</v>
      </c>
      <c r="GL5" s="28">
        <v>43019</v>
      </c>
      <c r="GM5" s="28">
        <v>43020</v>
      </c>
      <c r="GN5" s="28">
        <v>43024</v>
      </c>
      <c r="GO5" s="28">
        <v>43025</v>
      </c>
      <c r="GP5" s="28">
        <v>43026</v>
      </c>
      <c r="GQ5" s="28">
        <v>43027</v>
      </c>
      <c r="GR5" s="28">
        <v>43028</v>
      </c>
      <c r="GS5" s="28">
        <v>43032</v>
      </c>
      <c r="GT5" s="28">
        <v>43033</v>
      </c>
      <c r="GU5" s="28">
        <v>43035</v>
      </c>
      <c r="GV5" s="28">
        <v>43038</v>
      </c>
      <c r="GW5" s="28">
        <v>43039</v>
      </c>
      <c r="GX5" s="28">
        <v>43040</v>
      </c>
      <c r="GY5" s="28">
        <v>43041</v>
      </c>
      <c r="GZ5" s="28">
        <v>43042</v>
      </c>
      <c r="HA5" s="28">
        <v>43045</v>
      </c>
      <c r="HB5" s="28">
        <v>43046</v>
      </c>
      <c r="HC5" s="28">
        <v>43047</v>
      </c>
      <c r="HD5" s="28">
        <v>43048</v>
      </c>
      <c r="HE5" s="28">
        <v>43049</v>
      </c>
      <c r="HF5" s="28">
        <v>43052</v>
      </c>
      <c r="HG5" s="28">
        <v>43053</v>
      </c>
      <c r="HH5" s="28">
        <v>43054</v>
      </c>
      <c r="HI5" s="28">
        <v>43055</v>
      </c>
      <c r="HJ5" s="28">
        <v>43056</v>
      </c>
      <c r="HK5" s="28">
        <v>43059</v>
      </c>
      <c r="HL5" s="28">
        <v>43060</v>
      </c>
      <c r="HM5" s="28">
        <v>43061</v>
      </c>
      <c r="HN5" s="28">
        <v>43062</v>
      </c>
      <c r="HO5" s="28">
        <v>43063</v>
      </c>
      <c r="HP5" s="28">
        <v>43066</v>
      </c>
      <c r="HQ5" s="28">
        <v>43067</v>
      </c>
      <c r="HR5" s="28">
        <v>43068</v>
      </c>
      <c r="HS5" s="28">
        <v>43069</v>
      </c>
      <c r="HT5" s="28">
        <v>43070</v>
      </c>
      <c r="HU5" s="28">
        <v>43073</v>
      </c>
      <c r="HV5" s="28">
        <v>43075</v>
      </c>
      <c r="HW5" s="28">
        <v>43076</v>
      </c>
      <c r="HX5" s="28">
        <v>43077</v>
      </c>
      <c r="HY5" s="28">
        <v>43081</v>
      </c>
      <c r="HZ5" s="28">
        <f>SCBAM_NextBusinessDay(HY$5)</f>
        <v>43082</v>
      </c>
      <c r="IA5" s="28">
        <f>SCBAM_NextBusinessDay(HZ$5)</f>
        <v>43083</v>
      </c>
      <c r="IB5" s="28">
        <f>SCBAM_NextBusinessDay(IA$5)</f>
        <v>43084</v>
      </c>
      <c r="IC5" s="28">
        <v>43087</v>
      </c>
      <c r="ID5" s="28">
        <v>43088</v>
      </c>
      <c r="IE5" s="28">
        <v>43089</v>
      </c>
      <c r="IF5" s="28">
        <v>43090</v>
      </c>
      <c r="IG5" s="28">
        <v>43091</v>
      </c>
      <c r="IH5" s="28">
        <v>43094</v>
      </c>
      <c r="II5" s="28">
        <v>43095</v>
      </c>
      <c r="IJ5" s="28">
        <v>43096</v>
      </c>
      <c r="IK5" s="28">
        <v>43097</v>
      </c>
      <c r="IL5" s="28">
        <v>43098</v>
      </c>
      <c r="IM5" s="28">
        <v>43103</v>
      </c>
      <c r="IN5" s="28">
        <v>43104</v>
      </c>
      <c r="IO5" s="28">
        <v>43105</v>
      </c>
      <c r="IP5" s="28">
        <v>43108</v>
      </c>
      <c r="IQ5" s="28">
        <v>43109</v>
      </c>
      <c r="IR5" s="28">
        <v>43110</v>
      </c>
      <c r="IS5" s="28">
        <v>43111</v>
      </c>
      <c r="IT5" s="28">
        <v>43112</v>
      </c>
      <c r="IU5" s="28">
        <v>43115</v>
      </c>
      <c r="IV5" s="28">
        <v>43116</v>
      </c>
      <c r="IW5" s="28">
        <v>43117</v>
      </c>
      <c r="IX5" s="28">
        <v>43118</v>
      </c>
      <c r="IY5" s="28">
        <v>43119</v>
      </c>
      <c r="IZ5" s="28">
        <v>43122</v>
      </c>
      <c r="JA5" s="28">
        <v>43123</v>
      </c>
      <c r="JB5" s="28">
        <v>43124</v>
      </c>
      <c r="JC5" s="28">
        <v>43125</v>
      </c>
      <c r="JD5" s="28">
        <v>43126</v>
      </c>
      <c r="JE5" s="28">
        <f>SCBAM_NextBusinessDay(JD$5)</f>
        <v>43129</v>
      </c>
      <c r="JF5" s="28">
        <v>43130</v>
      </c>
      <c r="JG5" s="28">
        <f>SCBAM_NextBusinessDay(JF$5)</f>
        <v>43131</v>
      </c>
      <c r="JH5" s="28">
        <v>43132</v>
      </c>
      <c r="JI5" s="28">
        <v>43133</v>
      </c>
      <c r="JJ5" s="28">
        <v>43136</v>
      </c>
      <c r="JK5" s="28">
        <v>43137</v>
      </c>
      <c r="JL5" s="28">
        <v>43138</v>
      </c>
      <c r="JM5" s="28">
        <v>43139</v>
      </c>
      <c r="JN5" s="28">
        <v>43140</v>
      </c>
      <c r="JO5" s="28">
        <v>43143</v>
      </c>
      <c r="JP5" s="28">
        <v>43144</v>
      </c>
      <c r="JQ5" s="28">
        <v>43145</v>
      </c>
      <c r="JR5" s="28">
        <v>43146</v>
      </c>
      <c r="JS5" s="28">
        <v>43147</v>
      </c>
      <c r="JT5" s="28">
        <v>43150</v>
      </c>
      <c r="JU5" s="28">
        <v>43151</v>
      </c>
      <c r="JV5" s="28">
        <v>43152</v>
      </c>
      <c r="JW5" s="28">
        <v>43153</v>
      </c>
      <c r="JX5" s="28">
        <v>43154</v>
      </c>
      <c r="JY5" s="28">
        <v>43157</v>
      </c>
      <c r="JZ5" s="28">
        <v>43158</v>
      </c>
      <c r="KA5" s="28">
        <v>43159</v>
      </c>
      <c r="KB5" s="28">
        <v>43161</v>
      </c>
      <c r="KC5" s="28">
        <v>43164</v>
      </c>
      <c r="KD5" s="28">
        <v>43165</v>
      </c>
      <c r="KE5" s="28">
        <v>43166</v>
      </c>
      <c r="KF5" s="28">
        <v>43167</v>
      </c>
      <c r="KG5" s="28">
        <v>43168</v>
      </c>
      <c r="KH5" s="28">
        <v>43171</v>
      </c>
      <c r="KI5" s="28">
        <v>43172</v>
      </c>
      <c r="KJ5" s="28">
        <v>43173</v>
      </c>
      <c r="KK5" s="28">
        <v>43174</v>
      </c>
      <c r="KL5" s="28">
        <v>43175</v>
      </c>
      <c r="KM5" s="28">
        <v>43178</v>
      </c>
      <c r="KN5" s="28">
        <v>43179</v>
      </c>
      <c r="KO5" s="28">
        <v>43180</v>
      </c>
      <c r="KP5" s="28">
        <v>43181</v>
      </c>
      <c r="KQ5" s="28">
        <v>43182</v>
      </c>
      <c r="KR5" s="28">
        <v>43185</v>
      </c>
      <c r="KS5" s="28">
        <v>43186</v>
      </c>
      <c r="KT5" s="28">
        <v>43187</v>
      </c>
      <c r="KU5" s="28">
        <v>43188</v>
      </c>
      <c r="KV5" s="28">
        <v>43189</v>
      </c>
      <c r="KW5" s="28">
        <v>43192</v>
      </c>
      <c r="KX5" s="28">
        <v>43193</v>
      </c>
      <c r="KY5" s="28">
        <v>43194</v>
      </c>
      <c r="KZ5" s="28">
        <v>43195</v>
      </c>
      <c r="LA5" s="28">
        <v>43199</v>
      </c>
      <c r="LB5" s="28">
        <v>43200</v>
      </c>
      <c r="LC5" s="28">
        <v>43201</v>
      </c>
      <c r="LD5" s="28">
        <v>43202</v>
      </c>
      <c r="LE5" s="28">
        <v>43207</v>
      </c>
      <c r="LF5" s="28">
        <v>43208</v>
      </c>
      <c r="LG5" s="28">
        <v>43209</v>
      </c>
      <c r="LH5" s="28">
        <v>43210</v>
      </c>
      <c r="LI5" s="28">
        <v>43213</v>
      </c>
      <c r="LJ5" s="28">
        <v>43214</v>
      </c>
      <c r="LK5" s="28">
        <v>43215</v>
      </c>
      <c r="LL5" s="28">
        <v>43216</v>
      </c>
      <c r="LM5" s="28">
        <v>43217</v>
      </c>
      <c r="LN5" s="28">
        <v>43220</v>
      </c>
      <c r="LO5" s="28">
        <v>43222</v>
      </c>
      <c r="LP5" s="28">
        <v>43223</v>
      </c>
      <c r="LQ5" s="28">
        <v>43224</v>
      </c>
      <c r="LR5" s="28">
        <v>43227</v>
      </c>
      <c r="LS5" s="28">
        <v>43228</v>
      </c>
      <c r="LT5" s="28">
        <v>43229</v>
      </c>
      <c r="LU5" s="28">
        <v>43230</v>
      </c>
      <c r="LV5" s="28">
        <v>43231</v>
      </c>
      <c r="LW5" s="28">
        <v>43234</v>
      </c>
      <c r="LX5" s="28">
        <v>43235</v>
      </c>
      <c r="LY5" s="28">
        <v>43236</v>
      </c>
      <c r="LZ5" s="28">
        <v>43237</v>
      </c>
      <c r="MA5" s="28">
        <v>43238</v>
      </c>
      <c r="MB5" s="28">
        <v>43241</v>
      </c>
      <c r="MC5" s="28">
        <v>43242</v>
      </c>
      <c r="MD5" s="28">
        <v>43243</v>
      </c>
      <c r="ME5" s="28">
        <v>43244</v>
      </c>
      <c r="MF5" s="28">
        <v>43245</v>
      </c>
      <c r="MG5" s="28">
        <v>43248</v>
      </c>
      <c r="MH5" s="28">
        <v>43250</v>
      </c>
      <c r="MI5" s="28">
        <v>43251</v>
      </c>
      <c r="MJ5" s="28">
        <v>43252</v>
      </c>
      <c r="MK5" s="28">
        <v>43255</v>
      </c>
      <c r="ML5" s="28">
        <v>43256</v>
      </c>
      <c r="MM5" s="28">
        <v>43257</v>
      </c>
      <c r="MN5" s="28">
        <v>43258</v>
      </c>
      <c r="MO5" s="28">
        <v>43259</v>
      </c>
      <c r="MP5" s="28">
        <v>43262</v>
      </c>
      <c r="MQ5" s="28">
        <v>43263</v>
      </c>
      <c r="MR5" s="28">
        <v>43264</v>
      </c>
      <c r="MS5" s="28">
        <v>43265</v>
      </c>
      <c r="MT5" s="28">
        <v>43266</v>
      </c>
      <c r="MU5" s="28">
        <v>43269</v>
      </c>
      <c r="MV5" s="28">
        <v>43270</v>
      </c>
      <c r="MW5" s="28">
        <v>43271</v>
      </c>
      <c r="MX5" s="28">
        <v>43272</v>
      </c>
      <c r="MY5" s="28">
        <v>43273</v>
      </c>
      <c r="MZ5" s="28">
        <v>43276</v>
      </c>
      <c r="NA5" s="28">
        <v>43277</v>
      </c>
      <c r="NB5" s="28">
        <v>43278</v>
      </c>
      <c r="NC5" s="28">
        <v>43279</v>
      </c>
      <c r="ND5" s="28">
        <v>43280</v>
      </c>
      <c r="NE5" s="28">
        <v>43283</v>
      </c>
      <c r="NF5" s="28">
        <v>43284</v>
      </c>
      <c r="NG5" s="28">
        <v>43285</v>
      </c>
      <c r="NH5" s="28">
        <v>43286</v>
      </c>
      <c r="NI5" s="28">
        <v>43287</v>
      </c>
      <c r="NJ5" s="28">
        <v>43290</v>
      </c>
      <c r="NK5" s="28">
        <v>43291</v>
      </c>
      <c r="NL5" s="28">
        <v>43292</v>
      </c>
      <c r="NM5" s="28">
        <v>43293</v>
      </c>
      <c r="NN5" s="28">
        <v>43294</v>
      </c>
      <c r="NO5" s="28">
        <v>43297</v>
      </c>
      <c r="NP5" s="28">
        <v>43298</v>
      </c>
      <c r="NQ5" s="28">
        <v>43299</v>
      </c>
      <c r="NR5" s="28">
        <v>43300</v>
      </c>
      <c r="NS5" s="28">
        <v>43301</v>
      </c>
      <c r="NT5" s="28">
        <v>43304</v>
      </c>
      <c r="NU5" s="28">
        <v>43305</v>
      </c>
      <c r="NV5" s="28">
        <v>43306</v>
      </c>
      <c r="NW5" s="28">
        <v>43307</v>
      </c>
      <c r="NX5" s="28">
        <v>43312</v>
      </c>
      <c r="NY5" s="28">
        <v>43313</v>
      </c>
      <c r="NZ5" s="28">
        <v>43314</v>
      </c>
      <c r="OA5" s="28">
        <v>43315</v>
      </c>
      <c r="OB5" s="28">
        <v>43318</v>
      </c>
      <c r="OC5" s="28">
        <v>43319</v>
      </c>
      <c r="OD5" s="28">
        <v>43320</v>
      </c>
      <c r="OE5" s="28">
        <v>43321</v>
      </c>
      <c r="OF5" s="28">
        <v>43322</v>
      </c>
      <c r="OG5" s="28">
        <v>43326</v>
      </c>
      <c r="OH5" s="28">
        <v>43327</v>
      </c>
      <c r="OI5" s="28">
        <v>43328</v>
      </c>
      <c r="OJ5" s="28">
        <v>43329</v>
      </c>
      <c r="OK5" s="28">
        <v>43332</v>
      </c>
      <c r="OL5" s="28">
        <v>43333</v>
      </c>
      <c r="OM5" s="28">
        <v>43334</v>
      </c>
      <c r="ON5" s="28">
        <v>43335</v>
      </c>
      <c r="OO5" s="28">
        <v>43336</v>
      </c>
      <c r="OP5" s="28">
        <v>43339</v>
      </c>
      <c r="OQ5" s="28">
        <v>43340</v>
      </c>
      <c r="OR5" s="28">
        <v>43341</v>
      </c>
      <c r="OS5" s="28">
        <v>43342</v>
      </c>
      <c r="OT5" s="28">
        <v>43343</v>
      </c>
      <c r="OU5" s="28">
        <v>43346</v>
      </c>
      <c r="OV5" s="28">
        <v>43347</v>
      </c>
      <c r="OW5" s="28">
        <v>43348</v>
      </c>
      <c r="OX5" s="28">
        <v>43349</v>
      </c>
      <c r="OY5" s="28">
        <v>43350</v>
      </c>
      <c r="OZ5" s="28">
        <v>43353</v>
      </c>
      <c r="PA5" s="28">
        <v>43354</v>
      </c>
      <c r="PB5" s="28">
        <v>43355</v>
      </c>
      <c r="PC5" s="28">
        <v>43356</v>
      </c>
      <c r="PD5" s="28">
        <v>43357</v>
      </c>
      <c r="PE5" s="28">
        <v>43360</v>
      </c>
      <c r="PF5" s="28">
        <v>43361</v>
      </c>
      <c r="PG5" s="28">
        <v>43362</v>
      </c>
      <c r="PH5" s="28">
        <v>43363</v>
      </c>
      <c r="PI5" s="28">
        <v>43364</v>
      </c>
      <c r="PJ5" s="28">
        <v>43367</v>
      </c>
      <c r="PK5" s="28">
        <v>43368</v>
      </c>
      <c r="PL5" s="28">
        <v>43369</v>
      </c>
      <c r="PM5" s="28">
        <v>43370</v>
      </c>
      <c r="PN5" s="28">
        <v>43371</v>
      </c>
      <c r="PO5" s="28">
        <f>SCBAM_NextBusinessDay(PN$5)</f>
        <v>43374</v>
      </c>
      <c r="PP5" s="28">
        <f>SCBAM_NextBusinessDay(PO$5)</f>
        <v>43375</v>
      </c>
      <c r="PQ5" s="28">
        <f t="shared" ref="PQ5:PV5" si="0">SCBAM_NextBusinessDay(PP$5)</f>
        <v>43376</v>
      </c>
      <c r="PR5" s="28">
        <f t="shared" si="0"/>
        <v>43377</v>
      </c>
      <c r="PS5" s="28">
        <f t="shared" si="0"/>
        <v>43378</v>
      </c>
      <c r="PT5" s="28">
        <f t="shared" si="0"/>
        <v>43381</v>
      </c>
      <c r="PU5" s="28">
        <f t="shared" si="0"/>
        <v>43382</v>
      </c>
      <c r="PV5" s="28">
        <f t="shared" si="0"/>
        <v>43383</v>
      </c>
      <c r="PW5" s="28">
        <f t="shared" ref="PW5:QC5" si="1">SCBAM_NextBusinessDay(PV$5)</f>
        <v>43384</v>
      </c>
      <c r="PX5" s="28">
        <f t="shared" si="1"/>
        <v>43385</v>
      </c>
      <c r="PY5" s="28">
        <f t="shared" si="1"/>
        <v>43389</v>
      </c>
      <c r="PZ5" s="28">
        <f t="shared" si="1"/>
        <v>43390</v>
      </c>
      <c r="QA5" s="28">
        <f t="shared" si="1"/>
        <v>43391</v>
      </c>
      <c r="QB5" s="28">
        <f t="shared" si="1"/>
        <v>43392</v>
      </c>
      <c r="QC5" s="28">
        <f t="shared" si="1"/>
        <v>43395</v>
      </c>
      <c r="QD5" s="28">
        <f t="shared" ref="QD5:RI5" si="2">SCBAM_NextBusinessDay(QC$5)</f>
        <v>43397</v>
      </c>
      <c r="QE5" s="28">
        <f t="shared" si="2"/>
        <v>43398</v>
      </c>
      <c r="QF5" s="28">
        <f t="shared" si="2"/>
        <v>43399</v>
      </c>
      <c r="QG5" s="28">
        <f t="shared" si="2"/>
        <v>43402</v>
      </c>
      <c r="QH5" s="28">
        <f t="shared" si="2"/>
        <v>43403</v>
      </c>
      <c r="QI5" s="28">
        <f t="shared" si="2"/>
        <v>43404</v>
      </c>
      <c r="QJ5" s="28">
        <f t="shared" si="2"/>
        <v>43405</v>
      </c>
      <c r="QK5" s="28">
        <f t="shared" si="2"/>
        <v>43406</v>
      </c>
      <c r="QL5" s="28">
        <f t="shared" si="2"/>
        <v>43409</v>
      </c>
      <c r="QM5" s="28">
        <f t="shared" si="2"/>
        <v>43410</v>
      </c>
      <c r="QN5" s="28">
        <f t="shared" si="2"/>
        <v>43411</v>
      </c>
      <c r="QO5" s="28">
        <f t="shared" si="2"/>
        <v>43412</v>
      </c>
      <c r="QP5" s="28">
        <f t="shared" si="2"/>
        <v>43413</v>
      </c>
      <c r="QQ5" s="28">
        <f t="shared" si="2"/>
        <v>43416</v>
      </c>
      <c r="QR5" s="28">
        <f t="shared" si="2"/>
        <v>43417</v>
      </c>
      <c r="QS5" s="28">
        <f t="shared" si="2"/>
        <v>43418</v>
      </c>
      <c r="QT5" s="28">
        <f t="shared" si="2"/>
        <v>43419</v>
      </c>
      <c r="QU5" s="28">
        <f t="shared" si="2"/>
        <v>43420</v>
      </c>
      <c r="QV5" s="28">
        <f t="shared" si="2"/>
        <v>43423</v>
      </c>
      <c r="QW5" s="28">
        <f t="shared" si="2"/>
        <v>43424</v>
      </c>
      <c r="QX5" s="28">
        <f t="shared" si="2"/>
        <v>43425</v>
      </c>
      <c r="QY5" s="28">
        <f t="shared" si="2"/>
        <v>43426</v>
      </c>
      <c r="QZ5" s="28">
        <f t="shared" si="2"/>
        <v>43427</v>
      </c>
      <c r="RA5" s="28">
        <f t="shared" si="2"/>
        <v>43430</v>
      </c>
      <c r="RB5" s="28">
        <f t="shared" si="2"/>
        <v>43431</v>
      </c>
      <c r="RC5" s="28">
        <f t="shared" si="2"/>
        <v>43432</v>
      </c>
      <c r="RD5" s="28">
        <f t="shared" si="2"/>
        <v>43433</v>
      </c>
      <c r="RE5" s="28">
        <f t="shared" si="2"/>
        <v>43434</v>
      </c>
      <c r="RF5" s="28">
        <f t="shared" si="2"/>
        <v>43437</v>
      </c>
      <c r="RG5" s="28">
        <f t="shared" si="2"/>
        <v>43438</v>
      </c>
      <c r="RH5" s="28">
        <f t="shared" si="2"/>
        <v>43440</v>
      </c>
      <c r="RI5" s="28">
        <f t="shared" si="2"/>
        <v>43441</v>
      </c>
      <c r="RJ5" s="28">
        <f t="shared" ref="RJ5:SA5" si="3">SCBAM_NextBusinessDay(RI$5)</f>
        <v>43445</v>
      </c>
      <c r="RK5" s="28">
        <f t="shared" si="3"/>
        <v>43446</v>
      </c>
      <c r="RL5" s="28">
        <f t="shared" si="3"/>
        <v>43447</v>
      </c>
      <c r="RM5" s="28">
        <f t="shared" si="3"/>
        <v>43448</v>
      </c>
      <c r="RN5" s="28">
        <f t="shared" si="3"/>
        <v>43451</v>
      </c>
      <c r="RO5" s="28">
        <f t="shared" si="3"/>
        <v>43452</v>
      </c>
      <c r="RP5" s="28">
        <f t="shared" si="3"/>
        <v>43453</v>
      </c>
      <c r="RQ5" s="28">
        <f t="shared" si="3"/>
        <v>43454</v>
      </c>
      <c r="RR5" s="28">
        <f t="shared" si="3"/>
        <v>43455</v>
      </c>
      <c r="RS5" s="28">
        <f t="shared" si="3"/>
        <v>43458</v>
      </c>
      <c r="RT5" s="28">
        <f t="shared" si="3"/>
        <v>43459</v>
      </c>
      <c r="RU5" s="28">
        <f t="shared" si="3"/>
        <v>43460</v>
      </c>
      <c r="RV5" s="28">
        <f t="shared" si="3"/>
        <v>43461</v>
      </c>
      <c r="RW5" s="28">
        <f t="shared" si="3"/>
        <v>43462</v>
      </c>
      <c r="RX5" s="28">
        <f t="shared" si="3"/>
        <v>43466</v>
      </c>
      <c r="RY5" s="28">
        <f t="shared" si="3"/>
        <v>43467</v>
      </c>
      <c r="RZ5" s="28">
        <f t="shared" si="3"/>
        <v>43468</v>
      </c>
      <c r="SA5" s="28">
        <f t="shared" si="3"/>
        <v>43469</v>
      </c>
    </row>
    <row r="6" spans="1:495" ht="13.5" thickBot="1" x14ac:dyDescent="0.25">
      <c r="A6" s="29" t="s">
        <v>1054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JX6" s="30"/>
      <c r="JY6" s="30"/>
      <c r="JZ6" s="30"/>
      <c r="KA6" s="30"/>
      <c r="KB6" s="3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30"/>
      <c r="KU6" s="30"/>
      <c r="KV6" s="30"/>
      <c r="KW6" s="30"/>
      <c r="KX6" s="30"/>
      <c r="KY6" s="30"/>
      <c r="KZ6" s="30"/>
      <c r="LA6" s="30"/>
      <c r="LB6" s="30"/>
      <c r="LC6" s="30"/>
      <c r="LD6" s="3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30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30"/>
      <c r="OI6" s="30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30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</row>
    <row r="7" spans="1:495" ht="3.75" customHeight="1" x14ac:dyDescent="0.2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  <c r="CG7" s="32"/>
      <c r="CH7" s="32"/>
      <c r="CI7" s="32"/>
      <c r="CJ7" s="32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32"/>
      <c r="GU7" s="32"/>
      <c r="GV7" s="32"/>
      <c r="GW7" s="32"/>
      <c r="GX7" s="32"/>
      <c r="GY7" s="32"/>
      <c r="GZ7" s="32"/>
      <c r="HA7" s="32"/>
      <c r="HB7" s="32"/>
      <c r="HC7" s="32"/>
      <c r="HD7" s="32"/>
      <c r="HE7" s="32"/>
      <c r="HF7" s="32"/>
      <c r="HG7" s="32"/>
      <c r="HH7" s="32"/>
      <c r="HI7" s="32"/>
      <c r="HJ7" s="32"/>
      <c r="HK7" s="32"/>
      <c r="HL7" s="32"/>
      <c r="HM7" s="32"/>
      <c r="HN7" s="32"/>
      <c r="HO7" s="32"/>
      <c r="HP7" s="32"/>
      <c r="HQ7" s="32"/>
      <c r="HR7" s="32"/>
      <c r="HS7" s="32"/>
      <c r="HT7" s="32"/>
      <c r="HU7" s="32"/>
      <c r="HV7" s="32"/>
      <c r="HW7" s="32"/>
      <c r="HX7" s="32"/>
      <c r="HY7" s="32"/>
      <c r="HZ7" s="32"/>
      <c r="IA7" s="32"/>
      <c r="IB7" s="32"/>
      <c r="IC7" s="32"/>
      <c r="ID7" s="32"/>
      <c r="IE7" s="32"/>
      <c r="IF7" s="32"/>
      <c r="IG7" s="32"/>
      <c r="IH7" s="32"/>
      <c r="II7" s="32"/>
      <c r="IJ7" s="32"/>
      <c r="IK7" s="32"/>
      <c r="IL7" s="32"/>
      <c r="IM7" s="32"/>
      <c r="IN7" s="32"/>
      <c r="IO7" s="32"/>
      <c r="IP7" s="32"/>
      <c r="IQ7" s="32"/>
      <c r="IR7" s="32"/>
      <c r="IS7" s="32"/>
      <c r="IT7" s="32"/>
      <c r="IU7" s="32"/>
      <c r="IV7" s="32"/>
      <c r="IW7" s="32"/>
      <c r="IX7" s="32"/>
      <c r="IY7" s="32"/>
      <c r="IZ7" s="32"/>
      <c r="JA7" s="32"/>
      <c r="JB7" s="32"/>
      <c r="JC7" s="32"/>
      <c r="JD7" s="32"/>
      <c r="JE7" s="32"/>
      <c r="JF7" s="32"/>
      <c r="JG7" s="32"/>
      <c r="JH7" s="32"/>
      <c r="JI7" s="32"/>
      <c r="JJ7" s="32"/>
      <c r="JK7" s="32"/>
      <c r="JL7" s="32"/>
      <c r="JM7" s="32"/>
      <c r="JN7" s="32"/>
      <c r="JO7" s="32"/>
      <c r="JP7" s="32"/>
      <c r="JQ7" s="32"/>
      <c r="JR7" s="32"/>
      <c r="JS7" s="32"/>
      <c r="JT7" s="32"/>
      <c r="JU7" s="32"/>
      <c r="JV7" s="32"/>
      <c r="JW7" s="32"/>
      <c r="JX7" s="32"/>
      <c r="JY7" s="32"/>
      <c r="JZ7" s="32"/>
      <c r="KA7" s="32"/>
      <c r="KB7" s="32"/>
      <c r="KC7" s="32"/>
      <c r="KD7" s="32"/>
      <c r="KE7" s="32"/>
      <c r="KF7" s="32"/>
      <c r="KG7" s="32"/>
      <c r="KH7" s="32"/>
      <c r="KI7" s="32"/>
      <c r="KJ7" s="32"/>
      <c r="KK7" s="32"/>
      <c r="KL7" s="32"/>
      <c r="KM7" s="32"/>
      <c r="KN7" s="32"/>
      <c r="KO7" s="32"/>
      <c r="KP7" s="32"/>
      <c r="KQ7" s="32"/>
      <c r="KR7" s="32"/>
      <c r="KS7" s="32"/>
      <c r="KT7" s="32"/>
      <c r="KU7" s="32"/>
      <c r="KV7" s="32"/>
      <c r="KW7" s="32"/>
      <c r="KX7" s="32"/>
      <c r="KY7" s="32"/>
      <c r="KZ7" s="32"/>
      <c r="LA7" s="32"/>
      <c r="LB7" s="32"/>
      <c r="LC7" s="32"/>
      <c r="LD7" s="32"/>
      <c r="LE7" s="32"/>
      <c r="LF7" s="32"/>
      <c r="LG7" s="32"/>
      <c r="LH7" s="32"/>
      <c r="LI7" s="32"/>
      <c r="LJ7" s="32"/>
      <c r="LK7" s="32"/>
      <c r="LL7" s="32"/>
      <c r="LM7" s="32"/>
      <c r="LN7" s="32"/>
      <c r="LO7" s="32"/>
      <c r="LP7" s="32"/>
      <c r="LQ7" s="32"/>
      <c r="LR7" s="32"/>
      <c r="LS7" s="32"/>
      <c r="LT7" s="32"/>
      <c r="LU7" s="32"/>
      <c r="LV7" s="32"/>
      <c r="LW7" s="32"/>
      <c r="LX7" s="32"/>
      <c r="LY7" s="32"/>
      <c r="LZ7" s="32"/>
      <c r="MA7" s="32"/>
      <c r="MB7" s="32"/>
      <c r="MC7" s="32"/>
      <c r="MD7" s="32"/>
      <c r="ME7" s="32"/>
      <c r="MF7" s="32"/>
      <c r="MG7" s="32"/>
      <c r="MH7" s="32"/>
      <c r="MI7" s="32"/>
      <c r="MJ7" s="32"/>
      <c r="MK7" s="32"/>
      <c r="ML7" s="32"/>
      <c r="MM7" s="32"/>
      <c r="MN7" s="32"/>
      <c r="MO7" s="32"/>
      <c r="MP7" s="32"/>
      <c r="MQ7" s="32"/>
      <c r="MR7" s="32"/>
      <c r="MS7" s="32"/>
      <c r="MT7" s="32"/>
      <c r="MU7" s="32"/>
      <c r="MV7" s="32"/>
      <c r="MW7" s="32"/>
      <c r="MX7" s="32"/>
      <c r="MY7" s="32"/>
      <c r="MZ7" s="32"/>
      <c r="NA7" s="32"/>
      <c r="NB7" s="32"/>
      <c r="NC7" s="32"/>
      <c r="ND7" s="32"/>
      <c r="NE7" s="32"/>
      <c r="NF7" s="32"/>
      <c r="NG7" s="32"/>
      <c r="NH7" s="32"/>
      <c r="NI7" s="32"/>
      <c r="NJ7" s="32"/>
      <c r="NK7" s="32"/>
      <c r="NL7" s="32"/>
      <c r="NM7" s="32"/>
      <c r="NN7" s="32"/>
      <c r="NO7" s="32"/>
      <c r="NP7" s="32"/>
      <c r="NQ7" s="32"/>
      <c r="NR7" s="32"/>
      <c r="NS7" s="32"/>
      <c r="NT7" s="32"/>
      <c r="NU7" s="32"/>
      <c r="NV7" s="32"/>
      <c r="NW7" s="32"/>
      <c r="NX7" s="32"/>
      <c r="NY7" s="32"/>
      <c r="NZ7" s="32"/>
      <c r="OA7" s="32"/>
      <c r="OB7" s="32"/>
      <c r="OC7" s="32"/>
      <c r="OD7" s="32"/>
      <c r="OE7" s="32"/>
      <c r="OF7" s="32"/>
      <c r="OG7" s="32"/>
      <c r="OH7" s="32"/>
      <c r="OI7" s="32"/>
      <c r="OJ7" s="32"/>
      <c r="OK7" s="32"/>
      <c r="OL7" s="32"/>
      <c r="OM7" s="32"/>
      <c r="ON7" s="32"/>
      <c r="OO7" s="32"/>
      <c r="OP7" s="32"/>
      <c r="OQ7" s="32"/>
      <c r="OR7" s="32"/>
      <c r="OS7" s="32"/>
      <c r="OT7" s="32"/>
      <c r="OU7" s="32"/>
      <c r="OV7" s="32"/>
      <c r="OW7" s="32"/>
      <c r="OX7" s="32"/>
      <c r="OY7" s="32"/>
      <c r="OZ7" s="32"/>
      <c r="PA7" s="32"/>
      <c r="PB7" s="32"/>
      <c r="PC7" s="32"/>
      <c r="PD7" s="32"/>
      <c r="PE7" s="32"/>
      <c r="PF7" s="32"/>
      <c r="PG7" s="32"/>
      <c r="PH7" s="32"/>
      <c r="PI7" s="32"/>
      <c r="PJ7" s="32"/>
      <c r="PK7" s="32"/>
      <c r="PL7" s="32"/>
      <c r="PM7" s="32"/>
      <c r="PN7" s="32"/>
      <c r="PO7" s="32"/>
      <c r="PP7" s="32"/>
      <c r="PQ7" s="32"/>
      <c r="PR7" s="32"/>
      <c r="PS7" s="32"/>
      <c r="PT7" s="32"/>
      <c r="PU7" s="32"/>
      <c r="PV7" s="32"/>
      <c r="PW7" s="32"/>
      <c r="PX7" s="32"/>
      <c r="PY7" s="32"/>
      <c r="PZ7" s="32"/>
      <c r="QA7" s="32"/>
      <c r="QB7" s="32"/>
      <c r="QC7" s="32"/>
      <c r="QD7" s="32"/>
      <c r="QE7" s="32"/>
      <c r="QF7" s="32"/>
      <c r="QG7" s="32"/>
      <c r="QH7" s="32"/>
      <c r="QI7" s="32"/>
      <c r="QJ7" s="32"/>
      <c r="QK7" s="32"/>
      <c r="QL7" s="32"/>
      <c r="QM7" s="32"/>
      <c r="QN7" s="32"/>
      <c r="QO7" s="32"/>
      <c r="QP7" s="32"/>
      <c r="QQ7" s="32"/>
      <c r="QR7" s="32"/>
      <c r="QS7" s="32"/>
      <c r="QT7" s="32"/>
      <c r="QU7" s="32"/>
      <c r="QV7" s="32"/>
      <c r="QW7" s="32"/>
      <c r="QX7" s="32"/>
      <c r="QY7" s="32"/>
      <c r="QZ7" s="32"/>
      <c r="RA7" s="32"/>
      <c r="RB7" s="32"/>
      <c r="RC7" s="32"/>
      <c r="RD7" s="32"/>
      <c r="RE7" s="32"/>
      <c r="RF7" s="32"/>
      <c r="RG7" s="32"/>
      <c r="RH7" s="32"/>
      <c r="RI7" s="32"/>
      <c r="RJ7" s="32"/>
      <c r="RK7" s="32"/>
      <c r="RL7" s="32"/>
      <c r="RM7" s="32"/>
      <c r="RN7" s="32"/>
      <c r="RO7" s="32"/>
      <c r="RP7" s="32"/>
      <c r="RQ7" s="32"/>
      <c r="RR7" s="32"/>
      <c r="RS7" s="32"/>
      <c r="RT7" s="32"/>
      <c r="RU7" s="32"/>
      <c r="RV7" s="32"/>
      <c r="RW7" s="32"/>
      <c r="RX7" s="32"/>
      <c r="RY7" s="32"/>
      <c r="RZ7" s="32"/>
      <c r="SA7" s="32"/>
    </row>
    <row r="8" spans="1:495" s="35" customFormat="1" x14ac:dyDescent="0.2">
      <c r="A8" s="33" t="s">
        <v>1055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</row>
    <row r="9" spans="1:495" s="38" customFormat="1" x14ac:dyDescent="0.2">
      <c r="A9" s="36" t="s">
        <v>1056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</row>
    <row r="10" spans="1:495" ht="4.5" customHeight="1" x14ac:dyDescent="0.2">
      <c r="A10" s="39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  <c r="PR10" s="40"/>
      <c r="PS10" s="40"/>
      <c r="PT10" s="40"/>
      <c r="PU10" s="40"/>
      <c r="PV10" s="40"/>
      <c r="PW10" s="40"/>
      <c r="PX10" s="40"/>
      <c r="PY10" s="40"/>
      <c r="PZ10" s="40"/>
      <c r="QA10" s="40"/>
      <c r="QB10" s="40"/>
      <c r="QC10" s="40"/>
      <c r="QD10" s="40"/>
      <c r="QE10" s="40"/>
      <c r="QF10" s="40"/>
      <c r="QG10" s="40"/>
      <c r="QH10" s="40"/>
      <c r="QI10" s="40"/>
      <c r="QJ10" s="40"/>
      <c r="QK10" s="40"/>
      <c r="QL10" s="40"/>
      <c r="QM10" s="40"/>
      <c r="QN10" s="40"/>
      <c r="QO10" s="40"/>
      <c r="QP10" s="40"/>
      <c r="QQ10" s="40"/>
      <c r="QR10" s="40"/>
      <c r="QS10" s="40"/>
      <c r="QT10" s="40"/>
      <c r="QU10" s="40"/>
      <c r="QV10" s="40"/>
      <c r="QW10" s="40"/>
      <c r="QX10" s="40"/>
      <c r="QY10" s="40"/>
      <c r="QZ10" s="40"/>
      <c r="RA10" s="40"/>
      <c r="RB10" s="40"/>
      <c r="RC10" s="40"/>
      <c r="RD10" s="40"/>
      <c r="RE10" s="40"/>
      <c r="RF10" s="40"/>
      <c r="RG10" s="40"/>
      <c r="RH10" s="40"/>
      <c r="RI10" s="40"/>
      <c r="RJ10" s="40"/>
      <c r="RK10" s="40"/>
      <c r="RL10" s="40"/>
      <c r="RM10" s="40"/>
      <c r="RN10" s="40"/>
      <c r="RO10" s="40"/>
      <c r="RP10" s="40"/>
      <c r="RQ10" s="40"/>
      <c r="RR10" s="40"/>
      <c r="RS10" s="40"/>
      <c r="RT10" s="40"/>
      <c r="RU10" s="40"/>
      <c r="RV10" s="40"/>
      <c r="RW10" s="40"/>
      <c r="RX10" s="40"/>
      <c r="RY10" s="40"/>
      <c r="RZ10" s="40"/>
      <c r="SA10" s="40"/>
    </row>
    <row r="11" spans="1:495" s="43" customFormat="1" ht="12.75" customHeight="1" outlineLevel="1" x14ac:dyDescent="0.2">
      <c r="A11" s="41" t="s">
        <v>1057</v>
      </c>
      <c r="B11" s="42">
        <v>340871.24</v>
      </c>
      <c r="C11" s="42">
        <v>340871.24</v>
      </c>
      <c r="D11" s="42">
        <v>340871.24</v>
      </c>
      <c r="E11" s="42">
        <v>340871.24</v>
      </c>
      <c r="F11" s="42">
        <v>340871.24</v>
      </c>
      <c r="G11" s="42">
        <v>340871.24</v>
      </c>
      <c r="H11" s="42">
        <v>340871.24</v>
      </c>
      <c r="I11" s="42">
        <v>340871.24</v>
      </c>
      <c r="J11" s="42">
        <v>340871.24</v>
      </c>
      <c r="K11" s="42">
        <v>340871.24</v>
      </c>
      <c r="L11" s="42">
        <v>340871.24</v>
      </c>
      <c r="M11" s="42">
        <v>340871.24</v>
      </c>
      <c r="N11" s="42">
        <v>340871.24</v>
      </c>
      <c r="O11" s="42">
        <v>340871.24</v>
      </c>
      <c r="P11" s="42">
        <v>340871.24</v>
      </c>
      <c r="Q11" s="42">
        <v>340871.24</v>
      </c>
      <c r="R11" s="42">
        <v>340871.24</v>
      </c>
      <c r="S11" s="42">
        <v>340871.24</v>
      </c>
      <c r="T11" s="42">
        <v>340871.24</v>
      </c>
      <c r="U11" s="42">
        <v>340871.24</v>
      </c>
      <c r="V11" s="42">
        <v>341671.24</v>
      </c>
      <c r="W11" s="42">
        <v>340871.24</v>
      </c>
      <c r="X11" s="42">
        <v>340871.24</v>
      </c>
      <c r="Y11" s="42">
        <v>340871.24</v>
      </c>
      <c r="Z11" s="42">
        <v>340871.24</v>
      </c>
      <c r="AA11" s="42">
        <v>340871.24</v>
      </c>
      <c r="AB11" s="42">
        <v>340871.24</v>
      </c>
      <c r="AC11" s="42">
        <v>340871.24</v>
      </c>
      <c r="AD11" s="42">
        <v>340871.24</v>
      </c>
      <c r="AE11" s="42">
        <v>340871.24</v>
      </c>
      <c r="AF11" s="42">
        <v>340871.24</v>
      </c>
      <c r="AG11" s="42">
        <v>340871.24</v>
      </c>
      <c r="AH11" s="42">
        <v>340871.24</v>
      </c>
      <c r="AI11" s="42">
        <v>340871.24</v>
      </c>
      <c r="AJ11" s="42">
        <v>340871.24</v>
      </c>
      <c r="AK11" s="42">
        <v>340871.24</v>
      </c>
      <c r="AL11" s="42">
        <v>340871.24</v>
      </c>
      <c r="AM11" s="42">
        <v>340871.24</v>
      </c>
      <c r="AN11" s="42">
        <v>340871.24</v>
      </c>
      <c r="AO11" s="42">
        <v>340871.24</v>
      </c>
      <c r="AP11" s="42">
        <v>340871.24</v>
      </c>
      <c r="AQ11" s="42">
        <v>340871.24</v>
      </c>
      <c r="AR11" s="42">
        <v>340871.24</v>
      </c>
      <c r="AS11" s="42">
        <v>340871.24</v>
      </c>
      <c r="AT11" s="42">
        <v>340871.24</v>
      </c>
      <c r="AU11" s="42">
        <v>340871.24</v>
      </c>
      <c r="AV11" s="42">
        <v>340871.24</v>
      </c>
      <c r="AW11" s="42">
        <v>340871.24</v>
      </c>
      <c r="AX11" s="42">
        <v>340871.24</v>
      </c>
      <c r="AY11" s="42">
        <v>340871.24</v>
      </c>
      <c r="AZ11" s="42">
        <v>340871.24</v>
      </c>
      <c r="BA11" s="42">
        <v>340871.24</v>
      </c>
      <c r="BB11" s="42">
        <v>340871.24</v>
      </c>
      <c r="BC11" s="42">
        <v>340871.24</v>
      </c>
      <c r="BD11" s="42">
        <v>340871.24</v>
      </c>
      <c r="BE11" s="42">
        <v>340871.24</v>
      </c>
      <c r="BF11" s="42">
        <v>340871.24</v>
      </c>
      <c r="BG11" s="42">
        <v>340871.24</v>
      </c>
      <c r="BH11" s="42">
        <v>340871.24</v>
      </c>
      <c r="BI11" s="42">
        <v>340871.24</v>
      </c>
      <c r="BJ11" s="42">
        <v>340871.24</v>
      </c>
      <c r="BK11" s="42">
        <v>340871.24</v>
      </c>
      <c r="BL11" s="42">
        <v>340871.24</v>
      </c>
      <c r="BM11" s="42">
        <v>340871.24</v>
      </c>
      <c r="BN11" s="42">
        <v>340871.24</v>
      </c>
      <c r="BO11" s="42">
        <v>340871.24</v>
      </c>
      <c r="BP11" s="42">
        <v>340871.24</v>
      </c>
      <c r="BQ11" s="42">
        <v>340871.24</v>
      </c>
      <c r="BR11" s="42">
        <v>340871.24</v>
      </c>
      <c r="BS11" s="42">
        <v>340871.24</v>
      </c>
      <c r="BT11" s="42">
        <v>340871.24</v>
      </c>
      <c r="BU11" s="42">
        <v>340871.24</v>
      </c>
      <c r="BV11" s="42">
        <v>340871.24</v>
      </c>
      <c r="BW11" s="42">
        <v>340871.24</v>
      </c>
      <c r="BX11" s="42">
        <v>340871.24</v>
      </c>
      <c r="BY11" s="42">
        <v>340871.24</v>
      </c>
      <c r="BZ11" s="42">
        <v>340871.24</v>
      </c>
      <c r="CA11" s="42">
        <v>340871.24</v>
      </c>
      <c r="CB11" s="42">
        <v>340871.24</v>
      </c>
      <c r="CC11" s="42">
        <v>340871.24</v>
      </c>
      <c r="CD11" s="42">
        <v>340871.24</v>
      </c>
      <c r="CE11" s="42">
        <v>340871.24</v>
      </c>
      <c r="CF11" s="42">
        <v>340871.24</v>
      </c>
      <c r="CG11" s="42">
        <v>340871.24</v>
      </c>
      <c r="CH11" s="42">
        <v>340871.24</v>
      </c>
      <c r="CI11" s="42">
        <v>340871.24</v>
      </c>
      <c r="CJ11" s="42">
        <v>340871.24</v>
      </c>
      <c r="CK11" s="42">
        <v>340871.24</v>
      </c>
      <c r="CL11" s="42">
        <v>340871.24</v>
      </c>
      <c r="CM11" s="42">
        <v>340871.24</v>
      </c>
      <c r="CN11" s="42">
        <v>340871.24</v>
      </c>
      <c r="CO11" s="42">
        <v>340871.24</v>
      </c>
      <c r="CP11" s="42">
        <v>340871.24</v>
      </c>
      <c r="CQ11" s="42">
        <v>340871.24</v>
      </c>
      <c r="CR11" s="42">
        <v>340871.24</v>
      </c>
      <c r="CS11" s="42">
        <v>340871.24</v>
      </c>
      <c r="CT11" s="42">
        <v>340871.24</v>
      </c>
      <c r="CU11" s="42">
        <v>340871.24</v>
      </c>
      <c r="CV11" s="42">
        <v>340871.24</v>
      </c>
      <c r="CW11" s="42">
        <v>340871.24</v>
      </c>
      <c r="CX11" s="42">
        <v>340871.24</v>
      </c>
      <c r="CY11" s="42">
        <v>340871.24</v>
      </c>
      <c r="CZ11" s="42">
        <v>340871.24</v>
      </c>
      <c r="DA11" s="42">
        <v>340871.24</v>
      </c>
      <c r="DB11" s="42">
        <v>340871.24</v>
      </c>
      <c r="DC11" s="42">
        <v>340871.24</v>
      </c>
      <c r="DD11" s="42">
        <v>340871.24</v>
      </c>
      <c r="DE11" s="42">
        <v>340871.24</v>
      </c>
      <c r="DF11" s="42">
        <v>340871.24</v>
      </c>
      <c r="DG11" s="42">
        <v>340871.24</v>
      </c>
      <c r="DH11" s="42">
        <v>340871.24</v>
      </c>
      <c r="DI11" s="42">
        <f ca="1">IF(DI$5&gt;TODAY(),DH13,[1]!SCBAM_GetSecDtl("SCBSFF","-SACON SFF",DH$5,"MarketVal"))</f>
        <v>340871.24</v>
      </c>
      <c r="DJ11" s="42">
        <f ca="1">IF(DJ$5&gt;TODAY(),DI13,[1]!SCBAM_GetSecDtl("SCBSFF","-SACON SFF",DI$5,"MarketVal"))</f>
        <v>340871.24</v>
      </c>
      <c r="DK11" s="42">
        <f ca="1">IF(DK$5&gt;TODAY(),DJ13,[1]!SCBAM_GetSecDtl("SCBSFF","-SACON SFF",DJ$5,"MarketVal"))</f>
        <v>340871.24</v>
      </c>
      <c r="DL11" s="42">
        <f ca="1">IF(DL$5&gt;TODAY(),DK13,[1]!SCBAM_GetSecDtl("SCBSFF","-SACON SFF",DK$5,"MarketVal"))</f>
        <v>340871.24</v>
      </c>
      <c r="DM11" s="42">
        <v>340871.24</v>
      </c>
      <c r="DN11" s="42">
        <v>340871.24</v>
      </c>
      <c r="DO11" s="42">
        <v>340871.24</v>
      </c>
      <c r="DP11" s="42">
        <v>340871.24</v>
      </c>
      <c r="DQ11" s="42">
        <v>341508.63</v>
      </c>
      <c r="DR11" s="42">
        <v>341508.63</v>
      </c>
      <c r="DS11" s="42">
        <v>341508.63</v>
      </c>
      <c r="DT11" s="42">
        <v>341508.63</v>
      </c>
      <c r="DU11" s="42">
        <v>341508.63</v>
      </c>
      <c r="DV11" s="42">
        <v>341508.63</v>
      </c>
      <c r="DW11" s="42">
        <v>341508.63</v>
      </c>
      <c r="DX11" s="42">
        <v>341508.63</v>
      </c>
      <c r="DY11" s="42">
        <v>341508.63</v>
      </c>
      <c r="DZ11" s="42">
        <v>341508.63</v>
      </c>
      <c r="EA11" s="42">
        <v>341508.63</v>
      </c>
      <c r="EB11" s="42">
        <v>341508.63</v>
      </c>
      <c r="EC11" s="42">
        <v>341508.63</v>
      </c>
      <c r="ED11" s="42">
        <v>341508.63</v>
      </c>
      <c r="EE11" s="42">
        <v>341508.63</v>
      </c>
      <c r="EF11" s="42">
        <v>341508.63</v>
      </c>
      <c r="EG11" s="42">
        <v>341508.63</v>
      </c>
      <c r="EH11" s="42">
        <v>341508.63</v>
      </c>
      <c r="EI11" s="42">
        <v>341508.63</v>
      </c>
      <c r="EJ11" s="42">
        <v>341508.63</v>
      </c>
      <c r="EK11" s="42">
        <v>341508.63</v>
      </c>
      <c r="EL11" s="42">
        <v>341508.63</v>
      </c>
      <c r="EM11" s="42">
        <v>341508.63</v>
      </c>
      <c r="EN11" s="42">
        <v>341508.63</v>
      </c>
      <c r="EO11" s="42">
        <v>341508.63</v>
      </c>
      <c r="EP11" s="42">
        <v>341508.63</v>
      </c>
      <c r="EQ11" s="42">
        <v>341508.63</v>
      </c>
      <c r="ER11" s="42">
        <v>341508.63</v>
      </c>
      <c r="ES11" s="42">
        <v>341508.63</v>
      </c>
      <c r="ET11" s="42">
        <v>341508.63</v>
      </c>
      <c r="EU11" s="42">
        <v>341508.63</v>
      </c>
      <c r="EV11" s="42">
        <v>341508.63</v>
      </c>
      <c r="EW11" s="42">
        <v>341508.63</v>
      </c>
      <c r="EX11" s="42">
        <v>341508.63</v>
      </c>
      <c r="EY11" s="42">
        <v>341508.63</v>
      </c>
      <c r="EZ11" s="42">
        <v>341508.63</v>
      </c>
      <c r="FA11" s="42">
        <v>341508.63</v>
      </c>
      <c r="FB11" s="42">
        <v>341508.63</v>
      </c>
      <c r="FC11" s="42">
        <v>341508.63</v>
      </c>
      <c r="FD11" s="42">
        <v>341508.63</v>
      </c>
      <c r="FE11" s="42">
        <v>341508.63</v>
      </c>
      <c r="FF11" s="42">
        <v>341508.63</v>
      </c>
      <c r="FG11" s="42">
        <v>341508.63</v>
      </c>
      <c r="FH11" s="42">
        <v>341508.63</v>
      </c>
      <c r="FI11" s="42">
        <v>341508.63</v>
      </c>
      <c r="FJ11" s="42">
        <v>341508.63</v>
      </c>
      <c r="FK11" s="42">
        <v>341508.63</v>
      </c>
      <c r="FL11" s="42">
        <v>341508.63</v>
      </c>
      <c r="FM11" s="42">
        <f ca="1">IF(FM$5&gt;TODAY(),FL13,[1]!SCBAM_GetSecDtl("SCBSFF","-SACON SFF",FL$5,"MarketVal"))</f>
        <v>341508.63</v>
      </c>
      <c r="FN11" s="42">
        <f ca="1">IF(FN$5&gt;TODAY(),FM13,[1]!SCBAM_GetSecDtl("SCBSFF","-SACON SFF",FM$5,"MarketVal"))</f>
        <v>341508.63</v>
      </c>
      <c r="FO11" s="42">
        <f ca="1">IF(FO$5&gt;TODAY(),FN13,[1]!SCBAM_GetSecDtl("SCBSFF","-SACON SFF",FN$5,"MarketVal"))</f>
        <v>341508.63</v>
      </c>
      <c r="FP11" s="42">
        <f ca="1">IF(FP$5&gt;TODAY(),FO13,[1]!SCBAM_GetSecDtl("SCBSFF","-SACON SFF",FO$5,"MarketVal"))</f>
        <v>341508.63</v>
      </c>
      <c r="FQ11" s="42">
        <v>341508.63</v>
      </c>
      <c r="FR11" s="42">
        <v>341508.63</v>
      </c>
      <c r="FS11" s="42">
        <v>341508.63</v>
      </c>
      <c r="FT11" s="42">
        <v>341508.63</v>
      </c>
      <c r="FU11" s="42">
        <v>341508.63</v>
      </c>
      <c r="FV11" s="42">
        <v>341508.63</v>
      </c>
      <c r="FW11" s="42">
        <v>341508.63</v>
      </c>
      <c r="FX11" s="42">
        <v>341508.63</v>
      </c>
      <c r="FY11" s="42">
        <v>341508.63</v>
      </c>
      <c r="FZ11" s="42">
        <v>341508.63</v>
      </c>
      <c r="GA11" s="42">
        <v>341508.63</v>
      </c>
      <c r="GB11" s="42">
        <v>341508.63</v>
      </c>
      <c r="GC11" s="42">
        <v>341508.63</v>
      </c>
      <c r="GD11" s="42">
        <v>341508.63</v>
      </c>
      <c r="GE11" s="42">
        <v>341508.63</v>
      </c>
      <c r="GF11" s="42">
        <v>341508.63</v>
      </c>
      <c r="GG11" s="42">
        <v>341508.63</v>
      </c>
      <c r="GH11" s="42">
        <v>341508.63</v>
      </c>
      <c r="GI11" s="42">
        <v>341508.63</v>
      </c>
      <c r="GJ11" s="42">
        <v>341508.63</v>
      </c>
      <c r="GK11" s="42">
        <v>341508.63</v>
      </c>
      <c r="GL11" s="42">
        <v>341508.63</v>
      </c>
      <c r="GM11" s="42">
        <v>341508.63</v>
      </c>
      <c r="GN11" s="42">
        <v>341508.63</v>
      </c>
      <c r="GO11" s="42">
        <v>341508.63</v>
      </c>
      <c r="GP11" s="42">
        <v>341508.63</v>
      </c>
      <c r="GQ11" s="42">
        <v>341508.63</v>
      </c>
      <c r="GR11" s="42">
        <v>341508.63</v>
      </c>
      <c r="GS11" s="42">
        <v>341508.63</v>
      </c>
      <c r="GT11" s="42">
        <v>341508.63</v>
      </c>
      <c r="GU11" s="42">
        <v>341508.63</v>
      </c>
      <c r="GV11" s="42">
        <v>341508.63</v>
      </c>
      <c r="GW11" s="42" t="e">
        <v>#NAME?</v>
      </c>
      <c r="GX11" s="42">
        <v>341508.63</v>
      </c>
      <c r="GY11" s="42">
        <v>341508.63</v>
      </c>
      <c r="GZ11" s="42">
        <v>341508.63</v>
      </c>
      <c r="HA11" s="42">
        <v>341508.63</v>
      </c>
      <c r="HB11" s="42">
        <v>341508.63</v>
      </c>
      <c r="HC11" s="42">
        <v>341508.63</v>
      </c>
      <c r="HD11" s="42">
        <v>341508.63</v>
      </c>
      <c r="HE11" s="42">
        <v>341508.63</v>
      </c>
      <c r="HF11" s="42">
        <v>341508.63</v>
      </c>
      <c r="HG11" s="42">
        <v>341508.63</v>
      </c>
      <c r="HH11" s="42">
        <v>341508.63</v>
      </c>
      <c r="HI11" s="42">
        <v>341508.63</v>
      </c>
      <c r="HJ11" s="42">
        <v>341508.63</v>
      </c>
      <c r="HK11" s="42">
        <v>341508.63</v>
      </c>
      <c r="HL11" s="42">
        <v>341508.63</v>
      </c>
      <c r="HM11" s="42">
        <v>341508.63</v>
      </c>
      <c r="HN11" s="42">
        <v>341508.63</v>
      </c>
      <c r="HO11" s="42">
        <v>341508.63</v>
      </c>
      <c r="HP11" s="42">
        <v>341508.63</v>
      </c>
      <c r="HQ11" s="42">
        <v>341508.63</v>
      </c>
      <c r="HR11" s="42">
        <v>341508.63</v>
      </c>
      <c r="HS11" s="42">
        <v>341508.63</v>
      </c>
      <c r="HT11" s="42">
        <v>341508.63</v>
      </c>
      <c r="HU11" s="42">
        <v>341508.63</v>
      </c>
      <c r="HV11" s="42">
        <v>341508.63</v>
      </c>
      <c r="HW11" s="42">
        <v>341508.63</v>
      </c>
      <c r="HX11" s="42">
        <v>341508.63</v>
      </c>
      <c r="HY11" s="42">
        <v>341508.63</v>
      </c>
      <c r="HZ11" s="42" t="e">
        <f ca="1">IF(HZ$5&gt;TODAY(),HY13,SCBAM_GetSecDtl("SCBSFF","-SACON SFF",HY$5,"MarketVal"))</f>
        <v>#NAME?</v>
      </c>
      <c r="IA11" s="42" t="e">
        <f ca="1">IF(IA$5&gt;TODAY(),HZ13,SCBAM_GetSecDtl("SCBSFF","-SACON SFF",HZ$5,"MarketVal"))</f>
        <v>#NAME?</v>
      </c>
      <c r="IB11" s="42" t="e">
        <f ca="1">IF(IB$5&gt;TODAY(),IA13,SCBAM_GetSecDtl("SCBSFF","-SACON SFF",IA$5,"MarketVal"))</f>
        <v>#NAME?</v>
      </c>
      <c r="IC11" s="42">
        <v>341508.63</v>
      </c>
      <c r="ID11" s="42">
        <v>341508.63</v>
      </c>
      <c r="IE11" s="42">
        <v>341508.63</v>
      </c>
      <c r="IF11" s="42">
        <v>341508.63</v>
      </c>
      <c r="IG11" s="42">
        <v>341508.63</v>
      </c>
      <c r="IH11" s="42">
        <v>341508.63</v>
      </c>
      <c r="II11" s="42">
        <v>341508.63</v>
      </c>
      <c r="IJ11" s="42">
        <v>342150.71</v>
      </c>
      <c r="IK11" s="42">
        <v>342150.71</v>
      </c>
      <c r="IL11" s="42">
        <v>342150.71</v>
      </c>
      <c r="IM11" s="42">
        <v>342150.71</v>
      </c>
      <c r="IN11" s="42">
        <v>342150.71</v>
      </c>
      <c r="IO11" s="42">
        <v>342150.71</v>
      </c>
      <c r="IP11" s="42">
        <v>342150.71</v>
      </c>
      <c r="IQ11" s="42">
        <v>342150.71</v>
      </c>
      <c r="IR11" s="42">
        <v>342150.71</v>
      </c>
      <c r="IS11" s="42">
        <v>342150.71</v>
      </c>
      <c r="IT11" s="42">
        <v>342150.71</v>
      </c>
      <c r="IU11" s="42">
        <v>342150.71</v>
      </c>
      <c r="IV11" s="42">
        <v>342150.71</v>
      </c>
      <c r="IW11" s="42">
        <v>342150.71</v>
      </c>
      <c r="IX11" s="42">
        <v>342150.71</v>
      </c>
      <c r="IY11" s="42">
        <v>342150.71</v>
      </c>
      <c r="IZ11" s="42">
        <v>342150.71</v>
      </c>
      <c r="JA11" s="42">
        <v>342150.71</v>
      </c>
      <c r="JB11" s="42">
        <v>342150.71</v>
      </c>
      <c r="JC11" s="42">
        <v>342150.71</v>
      </c>
      <c r="JD11" s="42">
        <v>342150.71</v>
      </c>
      <c r="JE11" s="42" t="e">
        <f ca="1">IF(JE$5&gt;TODAY(),JD13,SCBAM_GetSecDtl("SCBSFF","-SACON SFF",JD$5,"MarketVal"))</f>
        <v>#NAME?</v>
      </c>
      <c r="JF11" s="42">
        <v>342150.71</v>
      </c>
      <c r="JG11" s="42" t="e">
        <f ca="1">IF(JG$5&gt;TODAY(),JF13,SCBAM_GetSecDtl("SCBSFF","-SACON SFF",JF$5,"MarketVal"))</f>
        <v>#NAME?</v>
      </c>
      <c r="JH11" s="42">
        <v>342150.71</v>
      </c>
      <c r="JI11" s="42">
        <v>342150.71</v>
      </c>
      <c r="JJ11" s="42">
        <v>342150.71</v>
      </c>
      <c r="JK11" s="42">
        <v>342150.71</v>
      </c>
      <c r="JL11" s="42">
        <v>342150.71</v>
      </c>
      <c r="JM11" s="42">
        <v>342150.71</v>
      </c>
      <c r="JN11" s="42">
        <v>342150.71</v>
      </c>
      <c r="JO11" s="42">
        <v>342150.71</v>
      </c>
      <c r="JP11" s="42">
        <v>342150.71</v>
      </c>
      <c r="JQ11" s="42">
        <v>342150.71</v>
      </c>
      <c r="JR11" s="42">
        <v>342150.71</v>
      </c>
      <c r="JS11" s="42">
        <v>342150.71</v>
      </c>
      <c r="JT11" s="42">
        <v>342150.71</v>
      </c>
      <c r="JU11" s="42">
        <v>342150.71</v>
      </c>
      <c r="JV11" s="42">
        <v>342150.71</v>
      </c>
      <c r="JW11" s="42">
        <v>342150.71</v>
      </c>
      <c r="JX11" s="42">
        <v>342150.71</v>
      </c>
      <c r="JY11" s="42">
        <v>342150.71</v>
      </c>
      <c r="JZ11" s="42">
        <v>342150.71</v>
      </c>
      <c r="KA11" s="42">
        <v>342150.71</v>
      </c>
      <c r="KB11" s="42">
        <v>342150.71</v>
      </c>
      <c r="KC11" s="42">
        <v>342150.71</v>
      </c>
      <c r="KD11" s="42">
        <v>342150.71</v>
      </c>
      <c r="KE11" s="42">
        <v>342150.71</v>
      </c>
      <c r="KF11" s="42">
        <v>342150.71</v>
      </c>
      <c r="KG11" s="42">
        <v>342150.71</v>
      </c>
      <c r="KH11" s="42">
        <v>342150.71</v>
      </c>
      <c r="KI11" s="42">
        <v>342150.71</v>
      </c>
      <c r="KJ11" s="42">
        <v>342150.71</v>
      </c>
      <c r="KK11" s="42">
        <v>342150.71</v>
      </c>
      <c r="KL11" s="42">
        <v>342150.71</v>
      </c>
      <c r="KM11" s="42">
        <v>342150.71</v>
      </c>
      <c r="KN11" s="42">
        <v>342150.71</v>
      </c>
      <c r="KO11" s="42">
        <v>342150.71</v>
      </c>
      <c r="KP11" s="42">
        <v>342150.71</v>
      </c>
      <c r="KQ11" s="42">
        <v>342150.71</v>
      </c>
      <c r="KR11" s="42">
        <v>342150.71</v>
      </c>
      <c r="KS11" s="42">
        <v>342150.71</v>
      </c>
      <c r="KT11" s="42">
        <v>342150.71</v>
      </c>
      <c r="KU11" s="42">
        <v>342150.71</v>
      </c>
      <c r="KV11" s="42">
        <v>342150.71</v>
      </c>
      <c r="KW11" s="42">
        <v>342150.71</v>
      </c>
      <c r="KX11" s="42">
        <v>342150.71</v>
      </c>
      <c r="KY11" s="42">
        <v>342150.71</v>
      </c>
      <c r="KZ11" s="42">
        <v>342150.71</v>
      </c>
      <c r="LA11" s="42">
        <v>342150.71</v>
      </c>
      <c r="LB11" s="42">
        <v>342150.71</v>
      </c>
      <c r="LC11" s="42">
        <v>342150.71</v>
      </c>
      <c r="LD11" s="42">
        <v>342150.71</v>
      </c>
      <c r="LE11" s="42">
        <v>342150.71</v>
      </c>
      <c r="LF11" s="42">
        <v>342150.71</v>
      </c>
      <c r="LG11" s="42">
        <v>342150.71</v>
      </c>
      <c r="LH11" s="42">
        <v>342150.71</v>
      </c>
      <c r="LI11" s="42">
        <v>342150.71</v>
      </c>
      <c r="LJ11" s="42">
        <v>342150.71</v>
      </c>
      <c r="LK11" s="42">
        <v>342150.71</v>
      </c>
      <c r="LL11" s="42">
        <v>342150.71</v>
      </c>
      <c r="LM11" s="42">
        <v>342150.71</v>
      </c>
      <c r="LN11" s="42">
        <v>342150.71</v>
      </c>
      <c r="LO11" s="42">
        <v>342150.71</v>
      </c>
      <c r="LP11" s="42">
        <v>342150.71</v>
      </c>
      <c r="LQ11" s="42">
        <v>342150.71</v>
      </c>
      <c r="LR11" s="42">
        <v>342150.71</v>
      </c>
      <c r="LS11" s="42">
        <v>342150.71</v>
      </c>
      <c r="LT11" s="42">
        <v>342150.71</v>
      </c>
      <c r="LU11" s="42">
        <v>342150.71</v>
      </c>
      <c r="LV11" s="42">
        <v>342150.71</v>
      </c>
      <c r="LW11" s="42">
        <v>342150.71</v>
      </c>
      <c r="LX11" s="42">
        <v>342150.71</v>
      </c>
      <c r="LY11" s="42">
        <v>342150.71</v>
      </c>
      <c r="LZ11" s="42">
        <v>342150.71</v>
      </c>
      <c r="MA11" s="42">
        <v>342150.71</v>
      </c>
      <c r="MB11" s="42">
        <v>342150.71</v>
      </c>
      <c r="MC11" s="42">
        <v>342150.71</v>
      </c>
      <c r="MD11" s="42">
        <v>342150.71</v>
      </c>
      <c r="ME11" s="42">
        <v>342150.71</v>
      </c>
      <c r="MF11" s="42">
        <v>342150.71</v>
      </c>
      <c r="MG11" s="42">
        <v>342150.71</v>
      </c>
      <c r="MH11" s="42">
        <v>342150.71</v>
      </c>
      <c r="MI11" s="42">
        <v>342150.71</v>
      </c>
      <c r="MJ11" s="42">
        <v>342150.71</v>
      </c>
      <c r="MK11" s="42">
        <v>342150.71</v>
      </c>
      <c r="ML11" s="42">
        <v>342150.71</v>
      </c>
      <c r="MM11" s="42">
        <v>342150.71</v>
      </c>
      <c r="MN11" s="42">
        <v>342150.71</v>
      </c>
      <c r="MO11" s="42">
        <v>342150.71</v>
      </c>
      <c r="MP11" s="42">
        <v>342150.71</v>
      </c>
      <c r="MQ11" s="42">
        <v>342150.71</v>
      </c>
      <c r="MR11" s="42">
        <v>342150.71</v>
      </c>
      <c r="MS11" s="42">
        <v>342150.71</v>
      </c>
      <c r="MT11" s="42">
        <v>342150.71</v>
      </c>
      <c r="MU11" s="42">
        <v>342150.71</v>
      </c>
      <c r="MV11" s="42">
        <v>342150.71</v>
      </c>
      <c r="MW11" s="42">
        <v>342150.71</v>
      </c>
      <c r="MX11" s="42">
        <v>342150.71</v>
      </c>
      <c r="MY11" s="42">
        <v>342150.71</v>
      </c>
      <c r="MZ11" s="42">
        <v>342150.71</v>
      </c>
      <c r="NA11" s="42">
        <v>342150.71</v>
      </c>
      <c r="NB11" s="42">
        <v>342790.48</v>
      </c>
      <c r="NC11" s="42">
        <v>342790.48</v>
      </c>
      <c r="ND11" s="42">
        <v>342790.48</v>
      </c>
      <c r="NE11" s="42">
        <v>342790.48</v>
      </c>
      <c r="NF11" s="42">
        <v>342790.48</v>
      </c>
      <c r="NG11" s="42">
        <v>342790.48</v>
      </c>
      <c r="NH11" s="42">
        <v>342790.48</v>
      </c>
      <c r="NI11" s="42">
        <v>342790.48</v>
      </c>
      <c r="NJ11" s="42">
        <v>342790.48</v>
      </c>
      <c r="NK11" s="42">
        <v>342790.48</v>
      </c>
      <c r="NL11" s="42">
        <v>342790.48</v>
      </c>
      <c r="NM11" s="42">
        <v>342790.48</v>
      </c>
      <c r="NN11" s="42">
        <v>342790.48</v>
      </c>
      <c r="NO11" s="42">
        <v>342790.48</v>
      </c>
      <c r="NP11" s="42">
        <v>342790.48</v>
      </c>
      <c r="NQ11" s="42">
        <v>342790.48</v>
      </c>
      <c r="NR11" s="42">
        <v>342790.48</v>
      </c>
      <c r="NS11" s="42">
        <v>342790.48</v>
      </c>
      <c r="NT11" s="42">
        <v>342790.48</v>
      </c>
      <c r="NU11" s="42">
        <v>342790.48</v>
      </c>
      <c r="NV11" s="42">
        <v>342790.48</v>
      </c>
      <c r="NW11" s="42">
        <v>342790.48</v>
      </c>
      <c r="NX11" s="42">
        <v>342790.48</v>
      </c>
      <c r="NY11" s="42">
        <v>342790.48</v>
      </c>
      <c r="NZ11" s="42">
        <v>342790.48</v>
      </c>
      <c r="OA11" s="42">
        <v>342790.48</v>
      </c>
      <c r="OB11" s="42">
        <v>342790.48</v>
      </c>
      <c r="OC11" s="42">
        <v>342790.48</v>
      </c>
      <c r="OD11" s="42">
        <v>342790.48</v>
      </c>
      <c r="OE11" s="42">
        <v>342790.48</v>
      </c>
      <c r="OF11" s="42">
        <v>342790.48</v>
      </c>
      <c r="OG11" s="42">
        <v>342790.48</v>
      </c>
      <c r="OH11" s="42">
        <v>342790.48</v>
      </c>
      <c r="OI11" s="42">
        <v>342790.48</v>
      </c>
      <c r="OJ11" s="42">
        <v>342790.48</v>
      </c>
      <c r="OK11" s="42">
        <v>342790.48</v>
      </c>
      <c r="OL11" s="42">
        <v>342790.48</v>
      </c>
      <c r="OM11" s="42">
        <v>342790.48</v>
      </c>
      <c r="ON11" s="42">
        <v>342790.48</v>
      </c>
      <c r="OO11" s="42">
        <v>342790.48</v>
      </c>
      <c r="OP11" s="42">
        <v>342790.48</v>
      </c>
      <c r="OQ11" s="42">
        <v>342790.48</v>
      </c>
      <c r="OR11" s="42">
        <v>342790.48</v>
      </c>
      <c r="OS11" s="42">
        <v>342790.48</v>
      </c>
      <c r="OT11" s="42">
        <v>342790.48</v>
      </c>
      <c r="OU11" s="42">
        <v>342790.48</v>
      </c>
      <c r="OV11" s="42">
        <v>342790.48</v>
      </c>
      <c r="OW11" s="42">
        <v>342790.48</v>
      </c>
      <c r="OX11" s="42">
        <v>342790.48</v>
      </c>
      <c r="OY11" s="42">
        <v>342790.48</v>
      </c>
      <c r="OZ11" s="42">
        <v>342790.48</v>
      </c>
      <c r="PA11" s="42">
        <v>342790.48</v>
      </c>
      <c r="PB11" s="42">
        <v>342790.48</v>
      </c>
      <c r="PC11" s="42">
        <v>342790.48</v>
      </c>
      <c r="PD11" s="42">
        <v>342790.48</v>
      </c>
      <c r="PE11" s="42">
        <v>342790.48</v>
      </c>
      <c r="PF11" s="42">
        <v>342790.48</v>
      </c>
      <c r="PG11" s="42">
        <v>342790.48</v>
      </c>
      <c r="PH11" s="42">
        <v>342790.48</v>
      </c>
      <c r="PI11" s="42">
        <v>342790.48</v>
      </c>
      <c r="PJ11" s="42">
        <v>342790.48</v>
      </c>
      <c r="PK11" s="42">
        <v>342790.48</v>
      </c>
      <c r="PL11" s="42">
        <v>342790.48</v>
      </c>
      <c r="PM11" s="42">
        <v>342790.48</v>
      </c>
      <c r="PN11" s="42">
        <v>342790.48</v>
      </c>
      <c r="PO11" s="42" t="e">
        <f ca="1">IF(PO$5&gt;TODAY(),PN13,SCBAM_GetSecDtl("SCBSFF","-SACON SFF",PN$5,"MarketVal"))</f>
        <v>#NAME?</v>
      </c>
      <c r="PP11" s="42" t="e">
        <f ca="1">IF(PP$5&gt;TODAY(),PO13,SCBAM_GetSecDtl("SCBSFF","-SACON SFF",PO$5,"MarketVal"))</f>
        <v>#NAME?</v>
      </c>
      <c r="PQ11" s="42" t="e">
        <f ca="1">IF(PQ$5&gt;TODAY(),PP13,SCBAM_GetSecDtl("SCBSFF","-SACON SFF",PP$5,"MarketVal"))</f>
        <v>#NAME?</v>
      </c>
      <c r="PR11" s="42" t="e">
        <f ca="1">IF(PR$5&gt;TODAY(),PQ13,SCBAM_GetSecDtl("SCBSFF","-SACON SFF",PQ$5,"MarketVal"))</f>
        <v>#NAME?</v>
      </c>
      <c r="PS11" s="42" t="e">
        <f ca="1">IF(PS$5&gt;TODAY(),PR13,SCBAM_GetSecDtl("SCBSFF","-SACON SFF",PR$5,"MarketVal"))</f>
        <v>#NAME?</v>
      </c>
      <c r="PT11" s="42" t="e">
        <f ca="1">IF(PT$5&gt;TODAY(),PS13,SCBAM_GetSecDtl("SCBSFF","-SACON SFF",PS$5,"MarketVal"))</f>
        <v>#NAME?</v>
      </c>
      <c r="PU11" s="42" t="e">
        <f ca="1">IF(PU$5&gt;TODAY(),PT13,SCBAM_GetSecDtl("SCBSFF","-SACON SFF",PT$5,"MarketVal"))</f>
        <v>#NAME?</v>
      </c>
      <c r="PV11" s="42" t="e">
        <f ca="1">IF(PV$5&gt;TODAY(),PU13,SCBAM_GetSecDtl("SCBSFF","-SACON SFF",PU$5,"MarketVal"))</f>
        <v>#NAME?</v>
      </c>
      <c r="PW11" s="42" t="e">
        <f ca="1">IF(PW$5&gt;TODAY(),PV13,SCBAM_GetSecDtl("SCBSFF","-SACON SFF",PV$5,"MarketVal"))</f>
        <v>#NAME?</v>
      </c>
      <c r="PX11" s="42" t="e">
        <f ca="1">IF(PX$5&gt;TODAY(),PW13,SCBAM_GetSecDtl("SCBSFF","-SACON SFF",PW$5,"MarketVal"))</f>
        <v>#NAME?</v>
      </c>
      <c r="PY11" s="42" t="e">
        <f ca="1">IF(PY$5&gt;TODAY(),PX13,SCBAM_GetSecDtl("SCBSFF","-SACON SFF",PX$5,"MarketVal"))</f>
        <v>#NAME?</v>
      </c>
      <c r="PZ11" s="42" t="e">
        <f ca="1">IF(PZ$5&gt;TODAY(),PY13,SCBAM_GetSecDtl("SCBSFF","-SACON SFF",PY$5,"MarketVal"))</f>
        <v>#NAME?</v>
      </c>
      <c r="QA11" s="42" t="e">
        <f ca="1">IF(QA$5&gt;TODAY(),PZ13,SCBAM_GetSecDtl("SCBSFF","-SACON SFF",PZ$5,"MarketVal"))</f>
        <v>#NAME?</v>
      </c>
      <c r="QB11" s="42" t="e">
        <f ca="1">IF(QB$5&gt;TODAY(),QA13,SCBAM_GetSecDtl("SCBSFF","-SACON SFF",QA$5,"MarketVal"))</f>
        <v>#NAME?</v>
      </c>
      <c r="QC11" s="42" t="e">
        <f ca="1">IF(QC$5&gt;TODAY(),QB13,SCBAM_GetSecDtl("SCBSFF","-SACON SFF",QB$5,"MarketVal"))</f>
        <v>#NAME?</v>
      </c>
      <c r="QD11" s="42" t="e">
        <f ca="1">IF(QD$5&gt;TODAY(),QC13,SCBAM_GetSecDtl("SCBSFF","-SACON SFF",QC$5,"MarketVal"))</f>
        <v>#NAME?</v>
      </c>
      <c r="QE11" s="42" t="e">
        <f ca="1">IF(QE$5&gt;TODAY(),QD13,SCBAM_GetSecDtl("SCBSFF","-SACON SFF",QD$5,"MarketVal"))</f>
        <v>#NAME?</v>
      </c>
      <c r="QF11" s="42" t="e">
        <f ca="1">IF(QF$5&gt;TODAY(),QE13,SCBAM_GetSecDtl("SCBSFF","-SACON SFF",QE$5,"MarketVal"))</f>
        <v>#NAME?</v>
      </c>
      <c r="QG11" s="42" t="e">
        <f ca="1">IF(QG$5&gt;TODAY(),QF13,SCBAM_GetSecDtl("SCBSFF","-SACON SFF",QF$5,"MarketVal"))</f>
        <v>#NAME?</v>
      </c>
      <c r="QH11" s="42" t="e">
        <f ca="1">IF(QH$5&gt;TODAY(),QG13,SCBAM_GetSecDtl("SCBSFF","-SACON SFF",QG$5,"MarketVal"))</f>
        <v>#NAME?</v>
      </c>
      <c r="QI11" s="42" t="e">
        <f ca="1">IF(QI$5&gt;TODAY(),QH13,SCBAM_GetSecDtl("SCBSFF","-SACON SFF",QH$5,"MarketVal"))</f>
        <v>#NAME?</v>
      </c>
      <c r="QJ11" s="42" t="e">
        <f ca="1">IF(QJ$5&gt;TODAY(),QI13,SCBAM_GetSecDtl("SCBSFF","-SACON SFF",QI$5,"MarketVal"))</f>
        <v>#NAME?</v>
      </c>
      <c r="QK11" s="42" t="e">
        <f ca="1">IF(QK$5&gt;TODAY(),QJ13,SCBAM_GetSecDtl("SCBSFF","-SACON SFF",QJ$5,"MarketVal"))</f>
        <v>#NAME?</v>
      </c>
      <c r="QL11" s="42" t="e">
        <f ca="1">IF(QL$5&gt;TODAY(),QK13,SCBAM_GetSecDtl("SCBSFF","-SACON SFF",QK$5,"MarketVal"))</f>
        <v>#NAME?</v>
      </c>
      <c r="QM11" s="42" t="e">
        <f ca="1">IF(QM$5&gt;TODAY(),QL13,SCBAM_GetSecDtl("SCBSFF","-SACON SFF",QL$5,"MarketVal"))</f>
        <v>#NAME?</v>
      </c>
      <c r="QN11" s="42" t="e">
        <f ca="1">IF(QN$5&gt;TODAY(),QM13,SCBAM_GetSecDtl("SCBSFF","-SACON SFF",QM$5,"MarketVal"))</f>
        <v>#NAME?</v>
      </c>
      <c r="QO11" s="42" t="e">
        <f ca="1">IF(QO$5&gt;TODAY(),QN13,SCBAM_GetSecDtl("SCBSFF","-SACON SFF",QN$5,"MarketVal"))</f>
        <v>#NAME?</v>
      </c>
      <c r="QP11" s="42" t="e">
        <f ca="1">IF(QP$5&gt;TODAY(),QO13,SCBAM_GetSecDtl("SCBSFF","-SACON SFF",QO$5,"MarketVal"))</f>
        <v>#NAME?</v>
      </c>
      <c r="QQ11" s="42" t="e">
        <f ca="1">IF(QQ$5&gt;TODAY(),QP13,SCBAM_GetSecDtl("SCBSFF","-SACON SFF",QP$5,"MarketVal"))</f>
        <v>#NAME?</v>
      </c>
      <c r="QR11" s="42" t="e">
        <f ca="1">IF(QR$5&gt;TODAY(),QQ13,SCBAM_GetSecDtl("SCBSFF","-SACON SFF",QQ$5,"MarketVal"))</f>
        <v>#NAME?</v>
      </c>
      <c r="QS11" s="42" t="e">
        <f ca="1">IF(QS$5&gt;TODAY(),QR13,SCBAM_GetSecDtl("SCBSFF","-SACON SFF",QR$5,"MarketVal"))</f>
        <v>#NAME?</v>
      </c>
      <c r="QT11" s="42" t="e">
        <f ca="1">IF(QT$5&gt;TODAY(),QS13,SCBAM_GetSecDtl("SCBSFF","-SACON SFF",QS$5,"MarketVal"))</f>
        <v>#NAME?</v>
      </c>
      <c r="QU11" s="42" t="e">
        <f ca="1">IF(QU$5&gt;TODAY(),QT13,SCBAM_GetSecDtl("SCBSFF","-SACON SFF",QT$5,"MarketVal"))</f>
        <v>#NAME?</v>
      </c>
      <c r="QV11" s="42" t="e">
        <f ca="1">IF(QV$5&gt;TODAY(),QU13,SCBAM_GetSecDtl("SCBSFF","-SACON SFF",QU$5,"MarketVal"))</f>
        <v>#NAME?</v>
      </c>
      <c r="QW11" s="42" t="e">
        <f ca="1">IF(QW$5&gt;TODAY(),QV13,SCBAM_GetSecDtl("SCBSFF","-SACON SFF",QV$5,"MarketVal"))</f>
        <v>#NAME?</v>
      </c>
      <c r="QX11" s="42" t="e">
        <f ca="1">IF(QX$5&gt;TODAY(),QW13,SCBAM_GetSecDtl("SCBSFF","-SACON SFF",QW$5,"MarketVal"))</f>
        <v>#NAME?</v>
      </c>
      <c r="QY11" s="42" t="e">
        <f ca="1">IF(QY$5&gt;TODAY(),QX13,SCBAM_GetSecDtl("SCBSFF","-SACON SFF",QX$5,"MarketVal"))</f>
        <v>#NAME?</v>
      </c>
      <c r="QZ11" s="42" t="e">
        <f ca="1">IF(QZ$5&gt;TODAY(),QY13,SCBAM_GetSecDtl("SCBSFF","-SACON SFF",QY$5,"MarketVal"))</f>
        <v>#NAME?</v>
      </c>
      <c r="RA11" s="42" t="e">
        <f ca="1">IF(RA$5&gt;TODAY(),QZ13,SCBAM_GetSecDtl("SCBSFF","-SACON SFF",QZ$5,"MarketVal"))</f>
        <v>#NAME?</v>
      </c>
      <c r="RB11" s="42" t="e">
        <f ca="1">IF(RB$5&gt;TODAY(),RA13,SCBAM_GetSecDtl("SCBSFF","-SACON SFF",RA$5,"MarketVal"))</f>
        <v>#NAME?</v>
      </c>
      <c r="RC11" s="42" t="e">
        <f ca="1">IF(RC$5&gt;TODAY(),RB13,SCBAM_GetSecDtl("SCBSFF","-SACON SFF",RB$5,"MarketVal"))</f>
        <v>#NAME?</v>
      </c>
      <c r="RD11" s="42" t="e">
        <f ca="1">IF(RD$5&gt;TODAY(),RC13,SCBAM_GetSecDtl("SCBSFF","-SACON SFF",RC$5,"MarketVal"))</f>
        <v>#NAME?</v>
      </c>
      <c r="RE11" s="42" t="e">
        <f ca="1">IF(RE$5&gt;TODAY(),RD13,SCBAM_GetSecDtl("SCBSFF","-SACON SFF",RD$5,"MarketVal"))</f>
        <v>#NAME?</v>
      </c>
      <c r="RF11" s="42" t="e">
        <f ca="1">IF(RF$5&gt;TODAY(),RE13,SCBAM_GetSecDtl("SCBSFF","-SACON SFF",RE$5,"MarketVal"))</f>
        <v>#NAME?</v>
      </c>
      <c r="RG11" s="42" t="e">
        <f ca="1">IF(RG$5&gt;TODAY(),RF13,SCBAM_GetSecDtl("SCBSFF","-SACON SFF",RF$5,"MarketVal"))</f>
        <v>#NAME?</v>
      </c>
      <c r="RH11" s="42" t="e">
        <f ca="1">IF(RH$5&gt;TODAY(),RG13,SCBAM_GetSecDtl("SCBSFF","-SACON SFF",RG$5,"MarketVal"))</f>
        <v>#NAME?</v>
      </c>
      <c r="RI11" s="42" t="e">
        <f ca="1">IF(RI$5&gt;TODAY(),RH13,SCBAM_GetSecDtl("SCBSFF","-SACON SFF",RH$5,"MarketVal"))</f>
        <v>#NAME?</v>
      </c>
      <c r="RJ11" s="42" t="e">
        <f ca="1">IF(RJ$5&gt;TODAY(),RI13,SCBAM_GetSecDtl("SCBSFF","-SACON SFF",RI$5,"MarketVal"))</f>
        <v>#NAME?</v>
      </c>
      <c r="RK11" s="42" t="e">
        <f ca="1">IF(RK$5&gt;TODAY(),RJ13,SCBAM_GetSecDtl("SCBSFF","-SACON SFF",RJ$5,"MarketVal"))</f>
        <v>#NAME?</v>
      </c>
      <c r="RL11" s="42" t="e">
        <f ca="1">IF(RL$5&gt;TODAY(),RK13,SCBAM_GetSecDtl("SCBSFF","-SACON SFF",RK$5,"MarketVal"))</f>
        <v>#NAME?</v>
      </c>
      <c r="RM11" s="42" t="e">
        <f ca="1">IF(RM$5&gt;TODAY(),RL13,SCBAM_GetSecDtl("SCBSFF","-SACON SFF",RL$5,"MarketVal"))</f>
        <v>#NAME?</v>
      </c>
      <c r="RN11" s="42" t="e">
        <f ca="1">IF(RN$5&gt;TODAY(),RM13,SCBAM_GetSecDtl("SCBSFF","-SACON SFF",RM$5,"MarketVal"))</f>
        <v>#NAME?</v>
      </c>
      <c r="RO11" s="42" t="e">
        <f ca="1">IF(RO$5&gt;TODAY(),RN13,SCBAM_GetSecDtl("SCBSFF","-SACON SFF",RN$5,"MarketVal"))</f>
        <v>#NAME?</v>
      </c>
      <c r="RP11" s="42" t="e">
        <f ca="1">IF(RP$5&gt;TODAY(),RO13,SCBAM_GetSecDtl("SCBSFF","-SACON SFF",RO$5,"MarketVal"))</f>
        <v>#NAME?</v>
      </c>
      <c r="RQ11" s="42" t="e">
        <f ca="1">IF(RQ$5&gt;TODAY(),RP13,SCBAM_GetSecDtl("SCBSFF","-SACON SFF",RP$5,"MarketVal"))</f>
        <v>#NAME?</v>
      </c>
      <c r="RR11" s="42" t="e">
        <f ca="1">IF(RR$5&gt;TODAY(),RQ13,SCBAM_GetSecDtl("SCBSFF","-SACON SFF",RQ$5,"MarketVal"))</f>
        <v>#NAME?</v>
      </c>
      <c r="RS11" s="42" t="e">
        <f ca="1">IF(RS$5&gt;TODAY(),RR13,SCBAM_GetSecDtl("SCBSFF","-SACON SFF",RR$5,"MarketVal"))</f>
        <v>#NAME?</v>
      </c>
      <c r="RT11" s="42" t="e">
        <f ca="1">IF(RT$5&gt;TODAY(),RS13,SCBAM_GetSecDtl("SCBSFF","-SACON SFF",RS$5,"MarketVal"))</f>
        <v>#NAME?</v>
      </c>
      <c r="RU11" s="42" t="e">
        <f ca="1">IF(RU$5&gt;TODAY(),RT13,SCBAM_GetSecDtl("SCBSFF","-SACON SFF",RT$5,"MarketVal"))</f>
        <v>#NAME?</v>
      </c>
      <c r="RV11" s="42" t="e">
        <f ca="1">IF(RV$5&gt;TODAY(),RU13,SCBAM_GetSecDtl("SCBSFF","-SACON SFF",RU$5,"MarketVal"))</f>
        <v>#NAME?</v>
      </c>
      <c r="RW11" s="42" t="e">
        <f ca="1">IF(RW$5&gt;TODAY(),RV13,SCBAM_GetSecDtl("SCBSFF","-SACON SFF",RV$5,"MarketVal"))</f>
        <v>#NAME?</v>
      </c>
      <c r="RX11" s="42" t="e">
        <f ca="1">IF(RX$5&gt;TODAY(),RW13,SCBAM_GetSecDtl("SCBSFF","-SACON SFF",RW$5,"MarketVal"))</f>
        <v>#NAME?</v>
      </c>
      <c r="RY11" s="42" t="e">
        <f ca="1">IF(RY$5&gt;TODAY(),RX13,SCBAM_GetSecDtl("SCBSFF","-SACON SFF",RX$5,"MarketVal"))</f>
        <v>#NAME?</v>
      </c>
      <c r="RZ11" s="42" t="e">
        <f ca="1">IF(RZ$5&gt;TODAY(),RY13,SCBAM_GetSecDtl("SCBSFF","-SACON SFF",RY$5,"MarketVal"))</f>
        <v>#NAME?</v>
      </c>
      <c r="SA11" s="42" t="e">
        <f ca="1">IF(SA$5&gt;TODAY(),RZ13,SCBAM_GetSecDtl("SCBSFF","-SACON SFF",RZ$5,"MarketVal"))</f>
        <v>#NAME?</v>
      </c>
    </row>
    <row r="12" spans="1:495" s="45" customFormat="1" ht="12.75" customHeight="1" outlineLevel="1" x14ac:dyDescent="0.2">
      <c r="A12" s="44" t="s">
        <v>1058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2"/>
      <c r="NY12" s="32"/>
      <c r="NZ12" s="32"/>
      <c r="OA12" s="32"/>
      <c r="OB12" s="32"/>
      <c r="OC12" s="32"/>
      <c r="OD12" s="32"/>
      <c r="OE12" s="32"/>
      <c r="OF12" s="32"/>
      <c r="OG12" s="32"/>
      <c r="OH12" s="32"/>
      <c r="OI12" s="32"/>
      <c r="OJ12" s="32"/>
      <c r="OK12" s="32"/>
      <c r="OL12" s="32"/>
      <c r="OM12" s="32"/>
      <c r="ON12" s="32"/>
      <c r="OO12" s="32"/>
      <c r="OP12" s="32"/>
      <c r="OQ12" s="32"/>
      <c r="OR12" s="32"/>
      <c r="OS12" s="32"/>
      <c r="OT12" s="32"/>
      <c r="OU12" s="32"/>
      <c r="OV12" s="32"/>
      <c r="OW12" s="32"/>
      <c r="OX12" s="32"/>
      <c r="OY12" s="32"/>
      <c r="OZ12" s="32"/>
      <c r="PA12" s="32"/>
      <c r="PB12" s="32"/>
      <c r="PC12" s="32"/>
      <c r="PD12" s="32"/>
      <c r="PE12" s="32"/>
      <c r="PF12" s="32"/>
      <c r="PG12" s="32"/>
      <c r="PH12" s="32"/>
      <c r="PI12" s="32"/>
      <c r="PJ12" s="32"/>
      <c r="PK12" s="32"/>
      <c r="PL12" s="32"/>
      <c r="PM12" s="32"/>
      <c r="PN12" s="32"/>
      <c r="PO12" s="32"/>
      <c r="PP12" s="32"/>
      <c r="PQ12" s="32"/>
      <c r="PR12" s="32"/>
      <c r="PS12" s="32"/>
      <c r="PT12" s="32"/>
      <c r="PU12" s="32"/>
      <c r="PV12" s="32"/>
      <c r="PW12" s="32"/>
      <c r="PX12" s="32"/>
      <c r="PY12" s="32"/>
      <c r="PZ12" s="32"/>
      <c r="QA12" s="32"/>
      <c r="QB12" s="32"/>
      <c r="QC12" s="32"/>
      <c r="QD12" s="32"/>
      <c r="QE12" s="32"/>
      <c r="QF12" s="32"/>
      <c r="QG12" s="32"/>
      <c r="QH12" s="32"/>
      <c r="QI12" s="32"/>
      <c r="QJ12" s="32"/>
      <c r="QK12" s="32"/>
      <c r="QL12" s="32"/>
      <c r="QM12" s="32"/>
      <c r="QN12" s="32"/>
      <c r="QO12" s="32"/>
      <c r="QP12" s="32"/>
      <c r="QQ12" s="32"/>
      <c r="QR12" s="32"/>
      <c r="QS12" s="32"/>
      <c r="QT12" s="32"/>
      <c r="QU12" s="32"/>
      <c r="QV12" s="32"/>
      <c r="QW12" s="32"/>
      <c r="QX12" s="32"/>
      <c r="QY12" s="32"/>
      <c r="QZ12" s="32"/>
      <c r="RA12" s="32"/>
      <c r="RB12" s="32"/>
      <c r="RC12" s="32"/>
      <c r="RD12" s="32"/>
      <c r="RE12" s="32"/>
      <c r="RF12" s="32"/>
      <c r="RG12" s="32"/>
      <c r="RH12" s="32"/>
      <c r="RI12" s="32"/>
      <c r="RJ12" s="32"/>
      <c r="RK12" s="32"/>
      <c r="RL12" s="32"/>
      <c r="RM12" s="32"/>
      <c r="RN12" s="32"/>
      <c r="RO12" s="32"/>
      <c r="RP12" s="32"/>
      <c r="RQ12" s="32"/>
      <c r="RR12" s="32"/>
      <c r="RS12" s="32"/>
      <c r="RT12" s="32"/>
      <c r="RU12" s="32"/>
      <c r="RV12" s="32"/>
      <c r="RW12" s="32"/>
      <c r="RX12" s="32"/>
      <c r="RY12" s="32"/>
      <c r="RZ12" s="32"/>
      <c r="SA12" s="32"/>
    </row>
    <row r="13" spans="1:495" s="46" customFormat="1" ht="12.75" customHeight="1" outlineLevel="1" x14ac:dyDescent="0.2">
      <c r="A13" s="41" t="s">
        <v>1059</v>
      </c>
      <c r="B13" s="42">
        <v>340871.24</v>
      </c>
      <c r="C13" s="42">
        <v>340871.24</v>
      </c>
      <c r="D13" s="42">
        <v>340871.24</v>
      </c>
      <c r="E13" s="42">
        <v>340871.24</v>
      </c>
      <c r="F13" s="42">
        <v>340871.24</v>
      </c>
      <c r="G13" s="42">
        <v>340871.24</v>
      </c>
      <c r="H13" s="42">
        <v>340871.24</v>
      </c>
      <c r="I13" s="42">
        <v>340871.24</v>
      </c>
      <c r="J13" s="42">
        <v>340871.24</v>
      </c>
      <c r="K13" s="42">
        <v>340871.24</v>
      </c>
      <c r="L13" s="42">
        <v>340871.24</v>
      </c>
      <c r="M13" s="42">
        <v>340871.24</v>
      </c>
      <c r="N13" s="42">
        <v>340871.24</v>
      </c>
      <c r="O13" s="42">
        <v>340871.24</v>
      </c>
      <c r="P13" s="42">
        <v>340871.24</v>
      </c>
      <c r="Q13" s="42">
        <v>340871.24</v>
      </c>
      <c r="R13" s="42">
        <v>340871.24</v>
      </c>
      <c r="S13" s="42">
        <v>340871.24</v>
      </c>
      <c r="T13" s="42">
        <v>340871.24</v>
      </c>
      <c r="U13" s="42">
        <v>340871.24</v>
      </c>
      <c r="V13" s="42">
        <v>341671.24</v>
      </c>
      <c r="W13" s="42">
        <v>340871.24</v>
      </c>
      <c r="X13" s="42">
        <v>340871.24</v>
      </c>
      <c r="Y13" s="42">
        <v>340871.24</v>
      </c>
      <c r="Z13" s="42">
        <v>340871.24</v>
      </c>
      <c r="AA13" s="42">
        <v>340871.24</v>
      </c>
      <c r="AB13" s="42">
        <v>340871.24</v>
      </c>
      <c r="AC13" s="42">
        <v>340871.24</v>
      </c>
      <c r="AD13" s="42">
        <v>340871.24</v>
      </c>
      <c r="AE13" s="42">
        <v>340871.24</v>
      </c>
      <c r="AF13" s="42">
        <v>340871.24</v>
      </c>
      <c r="AG13" s="42">
        <v>340871.24</v>
      </c>
      <c r="AH13" s="42">
        <v>340871.24</v>
      </c>
      <c r="AI13" s="42">
        <v>340871.24</v>
      </c>
      <c r="AJ13" s="42">
        <v>340871.24</v>
      </c>
      <c r="AK13" s="42">
        <v>340871.24</v>
      </c>
      <c r="AL13" s="42">
        <v>340871.24</v>
      </c>
      <c r="AM13" s="42">
        <v>340871.24</v>
      </c>
      <c r="AN13" s="42">
        <v>340871.24</v>
      </c>
      <c r="AO13" s="42">
        <v>340871.24</v>
      </c>
      <c r="AP13" s="42">
        <v>340871.24</v>
      </c>
      <c r="AQ13" s="42">
        <v>340871.24</v>
      </c>
      <c r="AR13" s="42">
        <v>340871.24</v>
      </c>
      <c r="AS13" s="42">
        <v>340871.24</v>
      </c>
      <c r="AT13" s="42">
        <v>340871.24</v>
      </c>
      <c r="AU13" s="42">
        <v>340871.24</v>
      </c>
      <c r="AV13" s="42">
        <v>340871.24</v>
      </c>
      <c r="AW13" s="42">
        <v>340871.24</v>
      </c>
      <c r="AX13" s="42">
        <v>340871.24</v>
      </c>
      <c r="AY13" s="42">
        <v>340871.24</v>
      </c>
      <c r="AZ13" s="42">
        <v>340871.24</v>
      </c>
      <c r="BA13" s="42">
        <v>340871.24</v>
      </c>
      <c r="BB13" s="42">
        <v>340871.24</v>
      </c>
      <c r="BC13" s="42">
        <v>340871.24</v>
      </c>
      <c r="BD13" s="42">
        <v>340871.24</v>
      </c>
      <c r="BE13" s="42">
        <v>340871.24</v>
      </c>
      <c r="BF13" s="42">
        <v>340871.24</v>
      </c>
      <c r="BG13" s="42">
        <v>340871.24</v>
      </c>
      <c r="BH13" s="42">
        <v>340871.24</v>
      </c>
      <c r="BI13" s="42">
        <v>340871.24</v>
      </c>
      <c r="BJ13" s="42">
        <v>340871.24</v>
      </c>
      <c r="BK13" s="42">
        <v>340871.24</v>
      </c>
      <c r="BL13" s="42">
        <v>340871.24</v>
      </c>
      <c r="BM13" s="42">
        <v>340871.24</v>
      </c>
      <c r="BN13" s="42">
        <v>340871.24</v>
      </c>
      <c r="BO13" s="42">
        <v>340871.24</v>
      </c>
      <c r="BP13" s="42">
        <v>340871.24</v>
      </c>
      <c r="BQ13" s="42">
        <v>340871.24</v>
      </c>
      <c r="BR13" s="42">
        <v>340871.24</v>
      </c>
      <c r="BS13" s="42">
        <v>340871.24</v>
      </c>
      <c r="BT13" s="42">
        <v>340871.24</v>
      </c>
      <c r="BU13" s="42">
        <v>340871.24</v>
      </c>
      <c r="BV13" s="42">
        <v>340871.24</v>
      </c>
      <c r="BW13" s="42">
        <v>340871.24</v>
      </c>
      <c r="BX13" s="42">
        <v>340871.24</v>
      </c>
      <c r="BY13" s="42">
        <v>340871.24</v>
      </c>
      <c r="BZ13" s="42">
        <v>340871.24</v>
      </c>
      <c r="CA13" s="42">
        <v>340871.24</v>
      </c>
      <c r="CB13" s="42">
        <v>340871.24</v>
      </c>
      <c r="CC13" s="42">
        <v>340871.24</v>
      </c>
      <c r="CD13" s="42">
        <v>340871.24</v>
      </c>
      <c r="CE13" s="42">
        <v>340871.24</v>
      </c>
      <c r="CF13" s="42">
        <v>340871.24</v>
      </c>
      <c r="CG13" s="42">
        <v>340871.24</v>
      </c>
      <c r="CH13" s="42">
        <v>340871.24</v>
      </c>
      <c r="CI13" s="42">
        <v>340871.24</v>
      </c>
      <c r="CJ13" s="42">
        <v>340871.24</v>
      </c>
      <c r="CK13" s="42">
        <v>340871.24</v>
      </c>
      <c r="CL13" s="42">
        <v>340871.24</v>
      </c>
      <c r="CM13" s="42">
        <v>340871.24</v>
      </c>
      <c r="CN13" s="42">
        <v>340871.24</v>
      </c>
      <c r="CO13" s="42">
        <v>340871.24</v>
      </c>
      <c r="CP13" s="42">
        <v>340871.24</v>
      </c>
      <c r="CQ13" s="42">
        <v>340871.24</v>
      </c>
      <c r="CR13" s="42">
        <v>340871.24</v>
      </c>
      <c r="CS13" s="42">
        <v>340871.24</v>
      </c>
      <c r="CT13" s="42">
        <v>340871.24</v>
      </c>
      <c r="CU13" s="42">
        <v>340871.24</v>
      </c>
      <c r="CV13" s="42">
        <v>340871.24</v>
      </c>
      <c r="CW13" s="42">
        <v>340871.24</v>
      </c>
      <c r="CX13" s="42">
        <v>340871.24</v>
      </c>
      <c r="CY13" s="42">
        <v>340871.24</v>
      </c>
      <c r="CZ13" s="42">
        <v>340871.24</v>
      </c>
      <c r="DA13" s="42">
        <v>340871.24</v>
      </c>
      <c r="DB13" s="42">
        <v>340871.24</v>
      </c>
      <c r="DC13" s="42">
        <v>340871.24</v>
      </c>
      <c r="DD13" s="42">
        <v>340871.24</v>
      </c>
      <c r="DE13" s="42">
        <v>340871.24</v>
      </c>
      <c r="DF13" s="42">
        <v>340871.24</v>
      </c>
      <c r="DG13" s="42">
        <v>340871.24</v>
      </c>
      <c r="DH13" s="42">
        <v>340871.24</v>
      </c>
      <c r="DI13" s="42">
        <f ca="1">DI11+DI12</f>
        <v>340871.24</v>
      </c>
      <c r="DJ13" s="42">
        <f ca="1">DJ11+DJ12</f>
        <v>340871.24</v>
      </c>
      <c r="DK13" s="42">
        <f ca="1">DK11+DK12</f>
        <v>340871.24</v>
      </c>
      <c r="DL13" s="42">
        <f ca="1">DL11+DL12</f>
        <v>340871.24</v>
      </c>
      <c r="DM13" s="42">
        <v>340871.24</v>
      </c>
      <c r="DN13" s="42">
        <v>340871.24</v>
      </c>
      <c r="DO13" s="42">
        <v>340871.24</v>
      </c>
      <c r="DP13" s="42">
        <v>340871.24</v>
      </c>
      <c r="DQ13" s="42">
        <v>341508.63</v>
      </c>
      <c r="DR13" s="42">
        <v>341508.63</v>
      </c>
      <c r="DS13" s="42">
        <v>341508.63</v>
      </c>
      <c r="DT13" s="42">
        <v>341508.63</v>
      </c>
      <c r="DU13" s="42">
        <v>341508.63</v>
      </c>
      <c r="DV13" s="42">
        <v>341508.63</v>
      </c>
      <c r="DW13" s="42">
        <v>341508.63</v>
      </c>
      <c r="DX13" s="42">
        <v>341508.63</v>
      </c>
      <c r="DY13" s="42">
        <v>341508.63</v>
      </c>
      <c r="DZ13" s="42">
        <v>341508.63</v>
      </c>
      <c r="EA13" s="42">
        <v>341508.63</v>
      </c>
      <c r="EB13" s="42">
        <v>341508.63</v>
      </c>
      <c r="EC13" s="42">
        <v>341508.63</v>
      </c>
      <c r="ED13" s="42">
        <v>341508.63</v>
      </c>
      <c r="EE13" s="42">
        <v>341508.63</v>
      </c>
      <c r="EF13" s="42">
        <v>341508.63</v>
      </c>
      <c r="EG13" s="42">
        <v>341508.63</v>
      </c>
      <c r="EH13" s="42">
        <v>341508.63</v>
      </c>
      <c r="EI13" s="42">
        <v>341508.63</v>
      </c>
      <c r="EJ13" s="42">
        <v>341508.63</v>
      </c>
      <c r="EK13" s="42">
        <v>341508.63</v>
      </c>
      <c r="EL13" s="42">
        <v>341508.63</v>
      </c>
      <c r="EM13" s="42">
        <v>341508.63</v>
      </c>
      <c r="EN13" s="42">
        <v>341508.63</v>
      </c>
      <c r="EO13" s="42">
        <v>341508.63</v>
      </c>
      <c r="EP13" s="42">
        <v>341508.63</v>
      </c>
      <c r="EQ13" s="42">
        <v>341508.63</v>
      </c>
      <c r="ER13" s="42">
        <v>341508.63</v>
      </c>
      <c r="ES13" s="42">
        <v>341508.63</v>
      </c>
      <c r="ET13" s="42">
        <v>341508.63</v>
      </c>
      <c r="EU13" s="42">
        <v>341508.63</v>
      </c>
      <c r="EV13" s="42">
        <v>341508.63</v>
      </c>
      <c r="EW13" s="42">
        <v>341508.63</v>
      </c>
      <c r="EX13" s="42">
        <v>341508.63</v>
      </c>
      <c r="EY13" s="42">
        <v>341508.63</v>
      </c>
      <c r="EZ13" s="42">
        <v>341508.63</v>
      </c>
      <c r="FA13" s="42">
        <v>341508.63</v>
      </c>
      <c r="FB13" s="42">
        <v>341508.63</v>
      </c>
      <c r="FC13" s="42">
        <v>341508.63</v>
      </c>
      <c r="FD13" s="42">
        <v>341508.63</v>
      </c>
      <c r="FE13" s="42">
        <v>341508.63</v>
      </c>
      <c r="FF13" s="42">
        <v>341508.63</v>
      </c>
      <c r="FG13" s="42">
        <v>341508.63</v>
      </c>
      <c r="FH13" s="42">
        <v>341508.63</v>
      </c>
      <c r="FI13" s="42">
        <v>341508.63</v>
      </c>
      <c r="FJ13" s="42">
        <v>341508.63</v>
      </c>
      <c r="FK13" s="42">
        <v>341508.63</v>
      </c>
      <c r="FL13" s="42">
        <v>341508.63</v>
      </c>
      <c r="FM13" s="42">
        <f ca="1">FM11+FM12</f>
        <v>341508.63</v>
      </c>
      <c r="FN13" s="42">
        <f ca="1">FN11+FN12</f>
        <v>341508.63</v>
      </c>
      <c r="FO13" s="42">
        <f ca="1">FO11+FO12</f>
        <v>341508.63</v>
      </c>
      <c r="FP13" s="42">
        <f ca="1">FP11+FP12</f>
        <v>341508.63</v>
      </c>
      <c r="FQ13" s="42">
        <v>341508.63</v>
      </c>
      <c r="FR13" s="42">
        <v>341508.63</v>
      </c>
      <c r="FS13" s="42">
        <v>341508.63</v>
      </c>
      <c r="FT13" s="42">
        <v>341508.63</v>
      </c>
      <c r="FU13" s="42">
        <v>341508.63</v>
      </c>
      <c r="FV13" s="42">
        <v>341508.63</v>
      </c>
      <c r="FW13" s="42">
        <v>341508.63</v>
      </c>
      <c r="FX13" s="42">
        <v>341508.63</v>
      </c>
      <c r="FY13" s="42">
        <v>341508.63</v>
      </c>
      <c r="FZ13" s="42">
        <v>341508.63</v>
      </c>
      <c r="GA13" s="42">
        <v>341508.63</v>
      </c>
      <c r="GB13" s="42">
        <v>341508.63</v>
      </c>
      <c r="GC13" s="42">
        <v>341508.63</v>
      </c>
      <c r="GD13" s="42">
        <v>341508.63</v>
      </c>
      <c r="GE13" s="42">
        <v>341508.63</v>
      </c>
      <c r="GF13" s="42">
        <v>341508.63</v>
      </c>
      <c r="GG13" s="42">
        <v>341508.63</v>
      </c>
      <c r="GH13" s="42">
        <v>341508.63</v>
      </c>
      <c r="GI13" s="42">
        <v>341508.63</v>
      </c>
      <c r="GJ13" s="42">
        <v>341508.63</v>
      </c>
      <c r="GK13" s="42">
        <v>341508.63</v>
      </c>
      <c r="GL13" s="42">
        <v>341508.63</v>
      </c>
      <c r="GM13" s="42">
        <v>341508.63</v>
      </c>
      <c r="GN13" s="42">
        <v>341508.63</v>
      </c>
      <c r="GO13" s="42">
        <v>341508.63</v>
      </c>
      <c r="GP13" s="42">
        <v>341508.63</v>
      </c>
      <c r="GQ13" s="42">
        <v>341508.63</v>
      </c>
      <c r="GR13" s="42">
        <v>341508.63</v>
      </c>
      <c r="GS13" s="42">
        <v>341508.63</v>
      </c>
      <c r="GT13" s="42">
        <v>341508.63</v>
      </c>
      <c r="GU13" s="42">
        <v>341508.63</v>
      </c>
      <c r="GV13" s="42">
        <v>341508.63</v>
      </c>
      <c r="GW13" s="42" t="e">
        <v>#NAME?</v>
      </c>
      <c r="GX13" s="42">
        <v>341508.63</v>
      </c>
      <c r="GY13" s="42">
        <v>341508.63</v>
      </c>
      <c r="GZ13" s="42">
        <v>341508.63</v>
      </c>
      <c r="HA13" s="42">
        <v>341508.63</v>
      </c>
      <c r="HB13" s="42">
        <v>341508.63</v>
      </c>
      <c r="HC13" s="42">
        <v>341508.63</v>
      </c>
      <c r="HD13" s="42">
        <v>341508.63</v>
      </c>
      <c r="HE13" s="42">
        <v>341508.63</v>
      </c>
      <c r="HF13" s="42">
        <v>341508.63</v>
      </c>
      <c r="HG13" s="42">
        <v>341508.63</v>
      </c>
      <c r="HH13" s="42">
        <v>341508.63</v>
      </c>
      <c r="HI13" s="42">
        <v>341508.63</v>
      </c>
      <c r="HJ13" s="42">
        <v>341508.63</v>
      </c>
      <c r="HK13" s="42">
        <v>341508.63</v>
      </c>
      <c r="HL13" s="42">
        <v>341508.63</v>
      </c>
      <c r="HM13" s="42">
        <v>341508.63</v>
      </c>
      <c r="HN13" s="42">
        <v>341508.63</v>
      </c>
      <c r="HO13" s="42">
        <v>341508.63</v>
      </c>
      <c r="HP13" s="42">
        <v>341508.63</v>
      </c>
      <c r="HQ13" s="42">
        <v>341508.63</v>
      </c>
      <c r="HR13" s="42">
        <v>341508.63</v>
      </c>
      <c r="HS13" s="42">
        <v>341508.63</v>
      </c>
      <c r="HT13" s="42">
        <v>341508.63</v>
      </c>
      <c r="HU13" s="42">
        <v>341508.63</v>
      </c>
      <c r="HV13" s="42">
        <v>341508.63</v>
      </c>
      <c r="HW13" s="42">
        <v>341508.63</v>
      </c>
      <c r="HX13" s="42">
        <v>341508.63</v>
      </c>
      <c r="HY13" s="42">
        <v>341508.63</v>
      </c>
      <c r="HZ13" s="42" t="e">
        <f ca="1">HZ11+HZ12</f>
        <v>#NAME?</v>
      </c>
      <c r="IA13" s="42" t="e">
        <f ca="1">IA11+IA12</f>
        <v>#NAME?</v>
      </c>
      <c r="IB13" s="42" t="e">
        <f ca="1">IB11+IB12</f>
        <v>#NAME?</v>
      </c>
      <c r="IC13" s="42">
        <v>341508.63</v>
      </c>
      <c r="ID13" s="42">
        <v>341508.63</v>
      </c>
      <c r="IE13" s="42">
        <v>341508.63</v>
      </c>
      <c r="IF13" s="42">
        <v>341508.63</v>
      </c>
      <c r="IG13" s="42">
        <v>341508.63</v>
      </c>
      <c r="IH13" s="42">
        <v>341508.63</v>
      </c>
      <c r="II13" s="42">
        <v>341508.63</v>
      </c>
      <c r="IJ13" s="42">
        <v>342150.71</v>
      </c>
      <c r="IK13" s="42">
        <v>342150.71</v>
      </c>
      <c r="IL13" s="42">
        <v>342150.71</v>
      </c>
      <c r="IM13" s="42">
        <v>342150.71</v>
      </c>
      <c r="IN13" s="42">
        <v>342150.71</v>
      </c>
      <c r="IO13" s="42">
        <v>342150.71</v>
      </c>
      <c r="IP13" s="42">
        <v>342150.71</v>
      </c>
      <c r="IQ13" s="42">
        <v>342150.71</v>
      </c>
      <c r="IR13" s="42">
        <v>342150.71</v>
      </c>
      <c r="IS13" s="42">
        <v>342150.71</v>
      </c>
      <c r="IT13" s="42">
        <v>342150.71</v>
      </c>
      <c r="IU13" s="42">
        <v>342150.71</v>
      </c>
      <c r="IV13" s="42">
        <v>342150.71</v>
      </c>
      <c r="IW13" s="42">
        <v>342150.71</v>
      </c>
      <c r="IX13" s="42">
        <v>342150.71</v>
      </c>
      <c r="IY13" s="42">
        <v>342150.71</v>
      </c>
      <c r="IZ13" s="42">
        <v>342150.71</v>
      </c>
      <c r="JA13" s="42">
        <v>342150.71</v>
      </c>
      <c r="JB13" s="42">
        <v>342150.71</v>
      </c>
      <c r="JC13" s="42">
        <v>342150.71</v>
      </c>
      <c r="JD13" s="42">
        <v>342150.71</v>
      </c>
      <c r="JE13" s="42" t="e">
        <f ca="1">JE11+JE12</f>
        <v>#NAME?</v>
      </c>
      <c r="JF13" s="42">
        <v>342150.71</v>
      </c>
      <c r="JG13" s="42" t="e">
        <f ca="1">JG11+JG12</f>
        <v>#NAME?</v>
      </c>
      <c r="JH13" s="42">
        <v>342150.71</v>
      </c>
      <c r="JI13" s="42">
        <v>342150.71</v>
      </c>
      <c r="JJ13" s="42">
        <v>342150.71</v>
      </c>
      <c r="JK13" s="42">
        <v>342150.71</v>
      </c>
      <c r="JL13" s="42">
        <v>342150.71</v>
      </c>
      <c r="JM13" s="42">
        <v>342150.71</v>
      </c>
      <c r="JN13" s="42">
        <v>342150.71</v>
      </c>
      <c r="JO13" s="42">
        <v>342150.71</v>
      </c>
      <c r="JP13" s="42">
        <v>342150.71</v>
      </c>
      <c r="JQ13" s="42">
        <v>342150.71</v>
      </c>
      <c r="JR13" s="42">
        <v>342150.71</v>
      </c>
      <c r="JS13" s="42">
        <v>342150.71</v>
      </c>
      <c r="JT13" s="42">
        <v>342150.71</v>
      </c>
      <c r="JU13" s="42">
        <v>342150.71</v>
      </c>
      <c r="JV13" s="42">
        <v>342150.71</v>
      </c>
      <c r="JW13" s="42">
        <v>342150.71</v>
      </c>
      <c r="JX13" s="42">
        <v>342150.71</v>
      </c>
      <c r="JY13" s="42">
        <v>342150.71</v>
      </c>
      <c r="JZ13" s="42">
        <v>342150.71</v>
      </c>
      <c r="KA13" s="42">
        <v>342150.71</v>
      </c>
      <c r="KB13" s="42">
        <v>342150.71</v>
      </c>
      <c r="KC13" s="42">
        <v>342150.71</v>
      </c>
      <c r="KD13" s="42">
        <v>342150.71</v>
      </c>
      <c r="KE13" s="42">
        <v>342150.71</v>
      </c>
      <c r="KF13" s="42">
        <v>342150.71</v>
      </c>
      <c r="KG13" s="42">
        <v>342150.71</v>
      </c>
      <c r="KH13" s="42">
        <v>342150.71</v>
      </c>
      <c r="KI13" s="42">
        <v>342150.71</v>
      </c>
      <c r="KJ13" s="42">
        <v>342150.71</v>
      </c>
      <c r="KK13" s="42">
        <v>342150.71</v>
      </c>
      <c r="KL13" s="42">
        <v>342150.71</v>
      </c>
      <c r="KM13" s="42">
        <v>342150.71</v>
      </c>
      <c r="KN13" s="42">
        <v>342150.71</v>
      </c>
      <c r="KO13" s="42">
        <v>342150.71</v>
      </c>
      <c r="KP13" s="42">
        <v>342150.71</v>
      </c>
      <c r="KQ13" s="42">
        <v>342150.71</v>
      </c>
      <c r="KR13" s="42">
        <v>342150.71</v>
      </c>
      <c r="KS13" s="42">
        <v>342150.71</v>
      </c>
      <c r="KT13" s="42">
        <v>342150.71</v>
      </c>
      <c r="KU13" s="42">
        <v>342150.71</v>
      </c>
      <c r="KV13" s="42">
        <v>342150.71</v>
      </c>
      <c r="KW13" s="42">
        <v>342150.71</v>
      </c>
      <c r="KX13" s="42">
        <v>342150.71</v>
      </c>
      <c r="KY13" s="42">
        <v>342150.71</v>
      </c>
      <c r="KZ13" s="42">
        <v>342150.71</v>
      </c>
      <c r="LA13" s="42">
        <v>342150.71</v>
      </c>
      <c r="LB13" s="42">
        <v>342150.71</v>
      </c>
      <c r="LC13" s="42">
        <v>342150.71</v>
      </c>
      <c r="LD13" s="42">
        <v>342150.71</v>
      </c>
      <c r="LE13" s="42">
        <v>342150.71</v>
      </c>
      <c r="LF13" s="42">
        <v>342150.71</v>
      </c>
      <c r="LG13" s="42">
        <v>342150.71</v>
      </c>
      <c r="LH13" s="42">
        <v>342150.71</v>
      </c>
      <c r="LI13" s="42">
        <v>342150.71</v>
      </c>
      <c r="LJ13" s="42">
        <v>342150.71</v>
      </c>
      <c r="LK13" s="42">
        <v>342150.71</v>
      </c>
      <c r="LL13" s="42">
        <v>342150.71</v>
      </c>
      <c r="LM13" s="42">
        <v>342150.71</v>
      </c>
      <c r="LN13" s="42">
        <v>342150.71</v>
      </c>
      <c r="LO13" s="42">
        <v>342150.71</v>
      </c>
      <c r="LP13" s="42">
        <v>342150.71</v>
      </c>
      <c r="LQ13" s="42">
        <v>342150.71</v>
      </c>
      <c r="LR13" s="42">
        <v>342150.71</v>
      </c>
      <c r="LS13" s="42">
        <v>342150.71</v>
      </c>
      <c r="LT13" s="42">
        <v>342150.71</v>
      </c>
      <c r="LU13" s="42">
        <v>342150.71</v>
      </c>
      <c r="LV13" s="42">
        <v>342150.71</v>
      </c>
      <c r="LW13" s="42">
        <v>342150.71</v>
      </c>
      <c r="LX13" s="42">
        <v>342150.71</v>
      </c>
      <c r="LY13" s="42">
        <v>342150.71</v>
      </c>
      <c r="LZ13" s="42">
        <v>342150.71</v>
      </c>
      <c r="MA13" s="42">
        <v>342150.71</v>
      </c>
      <c r="MB13" s="42">
        <v>342150.71</v>
      </c>
      <c r="MC13" s="42">
        <v>342150.71</v>
      </c>
      <c r="MD13" s="42">
        <v>342150.71</v>
      </c>
      <c r="ME13" s="42">
        <v>342150.71</v>
      </c>
      <c r="MF13" s="42">
        <v>342150.71</v>
      </c>
      <c r="MG13" s="42">
        <v>342150.71</v>
      </c>
      <c r="MH13" s="42">
        <v>342150.71</v>
      </c>
      <c r="MI13" s="42">
        <v>342150.71</v>
      </c>
      <c r="MJ13" s="42">
        <v>342150.71</v>
      </c>
      <c r="MK13" s="42">
        <v>342150.71</v>
      </c>
      <c r="ML13" s="42">
        <v>342150.71</v>
      </c>
      <c r="MM13" s="42">
        <v>342150.71</v>
      </c>
      <c r="MN13" s="42">
        <v>342150.71</v>
      </c>
      <c r="MO13" s="42">
        <v>342150.71</v>
      </c>
      <c r="MP13" s="42">
        <v>342150.71</v>
      </c>
      <c r="MQ13" s="42">
        <v>342150.71</v>
      </c>
      <c r="MR13" s="42">
        <v>342150.71</v>
      </c>
      <c r="MS13" s="42">
        <v>342150.71</v>
      </c>
      <c r="MT13" s="42">
        <v>342150.71</v>
      </c>
      <c r="MU13" s="42">
        <v>342150.71</v>
      </c>
      <c r="MV13" s="42">
        <v>342150.71</v>
      </c>
      <c r="MW13" s="42">
        <v>342150.71</v>
      </c>
      <c r="MX13" s="42">
        <v>342150.71</v>
      </c>
      <c r="MY13" s="42">
        <v>342150.71</v>
      </c>
      <c r="MZ13" s="42">
        <v>342150.71</v>
      </c>
      <c r="NA13" s="42">
        <v>342150.71</v>
      </c>
      <c r="NB13" s="42">
        <v>342790.48</v>
      </c>
      <c r="NC13" s="42">
        <v>342790.48</v>
      </c>
      <c r="ND13" s="42">
        <v>342790.48</v>
      </c>
      <c r="NE13" s="42">
        <v>342790.48</v>
      </c>
      <c r="NF13" s="42">
        <v>342790.48</v>
      </c>
      <c r="NG13" s="42">
        <v>342790.48</v>
      </c>
      <c r="NH13" s="42">
        <v>342790.48</v>
      </c>
      <c r="NI13" s="42">
        <v>342790.48</v>
      </c>
      <c r="NJ13" s="42">
        <v>342790.48</v>
      </c>
      <c r="NK13" s="42">
        <v>342790.48</v>
      </c>
      <c r="NL13" s="42">
        <v>342790.48</v>
      </c>
      <c r="NM13" s="42">
        <v>342790.48</v>
      </c>
      <c r="NN13" s="42">
        <v>342790.48</v>
      </c>
      <c r="NO13" s="42">
        <v>342790.48</v>
      </c>
      <c r="NP13" s="42">
        <v>342790.48</v>
      </c>
      <c r="NQ13" s="42">
        <v>342790.48</v>
      </c>
      <c r="NR13" s="42">
        <v>342790.48</v>
      </c>
      <c r="NS13" s="42">
        <v>342790.48</v>
      </c>
      <c r="NT13" s="42">
        <v>342790.48</v>
      </c>
      <c r="NU13" s="42">
        <v>342790.48</v>
      </c>
      <c r="NV13" s="42">
        <v>342790.48</v>
      </c>
      <c r="NW13" s="42">
        <v>342790.48</v>
      </c>
      <c r="NX13" s="42">
        <v>342790.48</v>
      </c>
      <c r="NY13" s="42">
        <v>342790.48</v>
      </c>
      <c r="NZ13" s="42">
        <v>342790.48</v>
      </c>
      <c r="OA13" s="42">
        <v>342790.48</v>
      </c>
      <c r="OB13" s="42">
        <v>342790.48</v>
      </c>
      <c r="OC13" s="42">
        <v>342790.48</v>
      </c>
      <c r="OD13" s="42">
        <v>342790.48</v>
      </c>
      <c r="OE13" s="42">
        <v>342790.48</v>
      </c>
      <c r="OF13" s="42">
        <v>342790.48</v>
      </c>
      <c r="OG13" s="42">
        <v>342790.48</v>
      </c>
      <c r="OH13" s="42">
        <v>342790.48</v>
      </c>
      <c r="OI13" s="42">
        <v>342790.48</v>
      </c>
      <c r="OJ13" s="42">
        <v>342790.48</v>
      </c>
      <c r="OK13" s="42">
        <v>342790.48</v>
      </c>
      <c r="OL13" s="42">
        <v>342790.48</v>
      </c>
      <c r="OM13" s="42">
        <v>342790.48</v>
      </c>
      <c r="ON13" s="42">
        <v>342790.48</v>
      </c>
      <c r="OO13" s="42">
        <v>342790.48</v>
      </c>
      <c r="OP13" s="42">
        <v>342790.48</v>
      </c>
      <c r="OQ13" s="42">
        <v>342790.48</v>
      </c>
      <c r="OR13" s="42">
        <v>342790.48</v>
      </c>
      <c r="OS13" s="42">
        <v>342790.48</v>
      </c>
      <c r="OT13" s="42">
        <v>342790.48</v>
      </c>
      <c r="OU13" s="42">
        <v>342790.48</v>
      </c>
      <c r="OV13" s="42">
        <v>342790.48</v>
      </c>
      <c r="OW13" s="42">
        <v>342790.48</v>
      </c>
      <c r="OX13" s="42">
        <v>342790.48</v>
      </c>
      <c r="OY13" s="42">
        <v>342790.48</v>
      </c>
      <c r="OZ13" s="42">
        <v>342790.48</v>
      </c>
      <c r="PA13" s="42">
        <v>342790.48</v>
      </c>
      <c r="PB13" s="42">
        <v>342790.48</v>
      </c>
      <c r="PC13" s="42">
        <v>342790.48</v>
      </c>
      <c r="PD13" s="42">
        <v>342790.48</v>
      </c>
      <c r="PE13" s="42">
        <v>342790.48</v>
      </c>
      <c r="PF13" s="42">
        <v>342790.48</v>
      </c>
      <c r="PG13" s="42">
        <v>342790.48</v>
      </c>
      <c r="PH13" s="42">
        <v>342790.48</v>
      </c>
      <c r="PI13" s="42">
        <v>342790.48</v>
      </c>
      <c r="PJ13" s="42">
        <v>342790.48</v>
      </c>
      <c r="PK13" s="42">
        <v>342790.48</v>
      </c>
      <c r="PL13" s="42">
        <v>342790.48</v>
      </c>
      <c r="PM13" s="42">
        <v>342790.48</v>
      </c>
      <c r="PN13" s="42">
        <v>342790.48</v>
      </c>
      <c r="PO13" s="42" t="e">
        <f ca="1">PO11+PO12</f>
        <v>#NAME?</v>
      </c>
      <c r="PP13" s="42" t="e">
        <f ca="1">PP11+PP12</f>
        <v>#NAME?</v>
      </c>
      <c r="PQ13" s="42" t="e">
        <f t="shared" ref="PQ13:SA13" ca="1" si="4">PQ11+PQ12</f>
        <v>#NAME?</v>
      </c>
      <c r="PR13" s="42" t="e">
        <f t="shared" ca="1" si="4"/>
        <v>#NAME?</v>
      </c>
      <c r="PS13" s="42" t="e">
        <f t="shared" ca="1" si="4"/>
        <v>#NAME?</v>
      </c>
      <c r="PT13" s="42" t="e">
        <f t="shared" ca="1" si="4"/>
        <v>#NAME?</v>
      </c>
      <c r="PU13" s="42" t="e">
        <f t="shared" ca="1" si="4"/>
        <v>#NAME?</v>
      </c>
      <c r="PV13" s="42" t="e">
        <f t="shared" ca="1" si="4"/>
        <v>#NAME?</v>
      </c>
      <c r="PW13" s="42" t="e">
        <f t="shared" ca="1" si="4"/>
        <v>#NAME?</v>
      </c>
      <c r="PX13" s="42" t="e">
        <f t="shared" ca="1" si="4"/>
        <v>#NAME?</v>
      </c>
      <c r="PY13" s="42" t="e">
        <f t="shared" ca="1" si="4"/>
        <v>#NAME?</v>
      </c>
      <c r="PZ13" s="42" t="e">
        <f t="shared" ca="1" si="4"/>
        <v>#NAME?</v>
      </c>
      <c r="QA13" s="42" t="e">
        <f t="shared" ca="1" si="4"/>
        <v>#NAME?</v>
      </c>
      <c r="QB13" s="42" t="e">
        <f t="shared" ca="1" si="4"/>
        <v>#NAME?</v>
      </c>
      <c r="QC13" s="42" t="e">
        <f t="shared" ca="1" si="4"/>
        <v>#NAME?</v>
      </c>
      <c r="QD13" s="42" t="e">
        <f t="shared" ca="1" si="4"/>
        <v>#NAME?</v>
      </c>
      <c r="QE13" s="42" t="e">
        <f t="shared" ca="1" si="4"/>
        <v>#NAME?</v>
      </c>
      <c r="QF13" s="42" t="e">
        <f t="shared" ca="1" si="4"/>
        <v>#NAME?</v>
      </c>
      <c r="QG13" s="42" t="e">
        <f t="shared" ca="1" si="4"/>
        <v>#NAME?</v>
      </c>
      <c r="QH13" s="42" t="e">
        <f t="shared" ca="1" si="4"/>
        <v>#NAME?</v>
      </c>
      <c r="QI13" s="42" t="e">
        <f t="shared" ca="1" si="4"/>
        <v>#NAME?</v>
      </c>
      <c r="QJ13" s="42" t="e">
        <f t="shared" ca="1" si="4"/>
        <v>#NAME?</v>
      </c>
      <c r="QK13" s="42" t="e">
        <f t="shared" ca="1" si="4"/>
        <v>#NAME?</v>
      </c>
      <c r="QL13" s="42" t="e">
        <f t="shared" ca="1" si="4"/>
        <v>#NAME?</v>
      </c>
      <c r="QM13" s="42" t="e">
        <f t="shared" ca="1" si="4"/>
        <v>#NAME?</v>
      </c>
      <c r="QN13" s="42" t="e">
        <f t="shared" ca="1" si="4"/>
        <v>#NAME?</v>
      </c>
      <c r="QO13" s="42" t="e">
        <f t="shared" ca="1" si="4"/>
        <v>#NAME?</v>
      </c>
      <c r="QP13" s="42" t="e">
        <f t="shared" ca="1" si="4"/>
        <v>#NAME?</v>
      </c>
      <c r="QQ13" s="42" t="e">
        <f t="shared" ca="1" si="4"/>
        <v>#NAME?</v>
      </c>
      <c r="QR13" s="42" t="e">
        <f t="shared" ca="1" si="4"/>
        <v>#NAME?</v>
      </c>
      <c r="QS13" s="42" t="e">
        <f t="shared" ca="1" si="4"/>
        <v>#NAME?</v>
      </c>
      <c r="QT13" s="42" t="e">
        <f t="shared" ca="1" si="4"/>
        <v>#NAME?</v>
      </c>
      <c r="QU13" s="42" t="e">
        <f t="shared" ca="1" si="4"/>
        <v>#NAME?</v>
      </c>
      <c r="QV13" s="42" t="e">
        <f t="shared" ca="1" si="4"/>
        <v>#NAME?</v>
      </c>
      <c r="QW13" s="42" t="e">
        <f t="shared" ca="1" si="4"/>
        <v>#NAME?</v>
      </c>
      <c r="QX13" s="42" t="e">
        <f t="shared" ca="1" si="4"/>
        <v>#NAME?</v>
      </c>
      <c r="QY13" s="42" t="e">
        <f t="shared" ca="1" si="4"/>
        <v>#NAME?</v>
      </c>
      <c r="QZ13" s="42" t="e">
        <f t="shared" ca="1" si="4"/>
        <v>#NAME?</v>
      </c>
      <c r="RA13" s="42" t="e">
        <f t="shared" ca="1" si="4"/>
        <v>#NAME?</v>
      </c>
      <c r="RB13" s="42" t="e">
        <f t="shared" ca="1" si="4"/>
        <v>#NAME?</v>
      </c>
      <c r="RC13" s="42" t="e">
        <f t="shared" ca="1" si="4"/>
        <v>#NAME?</v>
      </c>
      <c r="RD13" s="42" t="e">
        <f t="shared" ca="1" si="4"/>
        <v>#NAME?</v>
      </c>
      <c r="RE13" s="42" t="e">
        <f t="shared" ca="1" si="4"/>
        <v>#NAME?</v>
      </c>
      <c r="RF13" s="42" t="e">
        <f t="shared" ca="1" si="4"/>
        <v>#NAME?</v>
      </c>
      <c r="RG13" s="42" t="e">
        <f t="shared" ca="1" si="4"/>
        <v>#NAME?</v>
      </c>
      <c r="RH13" s="42" t="e">
        <f t="shared" ca="1" si="4"/>
        <v>#NAME?</v>
      </c>
      <c r="RI13" s="42" t="e">
        <f t="shared" ca="1" si="4"/>
        <v>#NAME?</v>
      </c>
      <c r="RJ13" s="42" t="e">
        <f t="shared" ca="1" si="4"/>
        <v>#NAME?</v>
      </c>
      <c r="RK13" s="42" t="e">
        <f t="shared" ca="1" si="4"/>
        <v>#NAME?</v>
      </c>
      <c r="RL13" s="42" t="e">
        <f t="shared" ca="1" si="4"/>
        <v>#NAME?</v>
      </c>
      <c r="RM13" s="42" t="e">
        <f t="shared" ca="1" si="4"/>
        <v>#NAME?</v>
      </c>
      <c r="RN13" s="42" t="e">
        <f t="shared" ca="1" si="4"/>
        <v>#NAME?</v>
      </c>
      <c r="RO13" s="42" t="e">
        <f t="shared" ca="1" si="4"/>
        <v>#NAME?</v>
      </c>
      <c r="RP13" s="42" t="e">
        <f t="shared" ca="1" si="4"/>
        <v>#NAME?</v>
      </c>
      <c r="RQ13" s="42" t="e">
        <f t="shared" ca="1" si="4"/>
        <v>#NAME?</v>
      </c>
      <c r="RR13" s="42" t="e">
        <f t="shared" ca="1" si="4"/>
        <v>#NAME?</v>
      </c>
      <c r="RS13" s="42" t="e">
        <f t="shared" ca="1" si="4"/>
        <v>#NAME?</v>
      </c>
      <c r="RT13" s="42" t="e">
        <f t="shared" ca="1" si="4"/>
        <v>#NAME?</v>
      </c>
      <c r="RU13" s="42" t="e">
        <f t="shared" ca="1" si="4"/>
        <v>#NAME?</v>
      </c>
      <c r="RV13" s="42" t="e">
        <f t="shared" ca="1" si="4"/>
        <v>#NAME?</v>
      </c>
      <c r="RW13" s="42" t="e">
        <f t="shared" ca="1" si="4"/>
        <v>#NAME?</v>
      </c>
      <c r="RX13" s="42" t="e">
        <f t="shared" ca="1" si="4"/>
        <v>#NAME?</v>
      </c>
      <c r="RY13" s="42" t="e">
        <f t="shared" ca="1" si="4"/>
        <v>#NAME?</v>
      </c>
      <c r="RZ13" s="42" t="e">
        <f t="shared" ca="1" si="4"/>
        <v>#NAME?</v>
      </c>
      <c r="SA13" s="42" t="e">
        <f t="shared" ca="1" si="4"/>
        <v>#NAME?</v>
      </c>
    </row>
    <row r="14" spans="1:495" s="49" customFormat="1" ht="12.75" customHeight="1" outlineLevel="1" x14ac:dyDescent="0.2">
      <c r="A14" s="47" t="s">
        <v>1060</v>
      </c>
      <c r="B14" s="48">
        <v>2101311554.4100001</v>
      </c>
      <c r="C14" s="48">
        <v>2819746138.5100002</v>
      </c>
      <c r="D14" s="48">
        <v>3490810939.9099998</v>
      </c>
      <c r="E14" s="48">
        <v>8543170279.79</v>
      </c>
      <c r="F14" s="48">
        <v>17161920755.959999</v>
      </c>
      <c r="G14" s="48">
        <v>12617973380.82</v>
      </c>
      <c r="H14" s="48">
        <v>2730968200.6500001</v>
      </c>
      <c r="I14" s="48">
        <v>104828829.16</v>
      </c>
      <c r="J14" s="48">
        <v>2752276210.4400001</v>
      </c>
      <c r="K14" s="48">
        <v>2007750727.5899999</v>
      </c>
      <c r="L14" s="48">
        <v>3062238286.75</v>
      </c>
      <c r="M14" s="48">
        <v>54333267.369999997</v>
      </c>
      <c r="N14" s="48">
        <v>140717446.59</v>
      </c>
      <c r="O14" s="48">
        <v>42474874.609999999</v>
      </c>
      <c r="P14" s="48">
        <v>7640972842.1800003</v>
      </c>
      <c r="Q14" s="48">
        <v>6768650384.3100004</v>
      </c>
      <c r="R14" s="48">
        <v>2421418251.25</v>
      </c>
      <c r="S14" s="48">
        <v>20363826.059999999</v>
      </c>
      <c r="T14" s="48">
        <v>70048968.519999996</v>
      </c>
      <c r="U14" s="48">
        <v>7897991594.8900003</v>
      </c>
      <c r="V14" s="48">
        <v>5378584702.7299995</v>
      </c>
      <c r="W14" s="48">
        <v>2116563388.6800001</v>
      </c>
      <c r="X14" s="48">
        <v>975808370.27999997</v>
      </c>
      <c r="Y14" s="48">
        <v>137668176.94999999</v>
      </c>
      <c r="Z14" s="48">
        <v>1267950966.9200001</v>
      </c>
      <c r="AA14" s="48">
        <v>4288506504.9099998</v>
      </c>
      <c r="AB14" s="48">
        <v>1366041124.9300001</v>
      </c>
      <c r="AC14" s="48">
        <v>1021385228.96</v>
      </c>
      <c r="AD14" s="48">
        <v>975207606.84000003</v>
      </c>
      <c r="AE14" s="48">
        <v>145752471.61000001</v>
      </c>
      <c r="AF14" s="48">
        <v>2771696905.21</v>
      </c>
      <c r="AG14" s="48">
        <v>102525789.72</v>
      </c>
      <c r="AH14" s="48">
        <v>35456198.560000002</v>
      </c>
      <c r="AI14" s="48">
        <v>771505062.64999998</v>
      </c>
      <c r="AJ14" s="48">
        <v>28506913.800000001</v>
      </c>
      <c r="AK14" s="48">
        <v>13285918.060000001</v>
      </c>
      <c r="AL14" s="48">
        <v>85965910.090000004</v>
      </c>
      <c r="AM14" s="48">
        <v>485024826.38</v>
      </c>
      <c r="AN14" s="48">
        <v>220046121.69</v>
      </c>
      <c r="AO14" s="48">
        <v>1469570650.78</v>
      </c>
      <c r="AP14" s="48">
        <v>75459881.670000002</v>
      </c>
      <c r="AQ14" s="48">
        <v>34197555.049999997</v>
      </c>
      <c r="AR14" s="48">
        <v>82319736.959999993</v>
      </c>
      <c r="AS14" s="48">
        <v>718948662.71000004</v>
      </c>
      <c r="AT14" s="48">
        <v>1221024118.8699999</v>
      </c>
      <c r="AU14" s="48">
        <v>1658635797.8900001</v>
      </c>
      <c r="AV14" s="48">
        <v>1727077087.9100001</v>
      </c>
      <c r="AW14" s="48">
        <v>52932410.799999997</v>
      </c>
      <c r="AX14" s="48">
        <v>2290501942.4699998</v>
      </c>
      <c r="AY14" s="48">
        <v>452527624.47000003</v>
      </c>
      <c r="AZ14" s="48">
        <v>1515747838.5899999</v>
      </c>
      <c r="BA14" s="48">
        <v>393569582.42000002</v>
      </c>
      <c r="BB14" s="48">
        <v>67923050.450000003</v>
      </c>
      <c r="BC14" s="48">
        <v>123072968.61</v>
      </c>
      <c r="BD14" s="48">
        <v>48727876.439999998</v>
      </c>
      <c r="BE14" s="48">
        <v>4569063677.3500004</v>
      </c>
      <c r="BF14" s="48">
        <v>3735962155.8499999</v>
      </c>
      <c r="BG14" s="48">
        <v>5371757701.9300003</v>
      </c>
      <c r="BH14" s="48">
        <v>20278857891.549999</v>
      </c>
      <c r="BI14" s="48">
        <v>11851587604.450001</v>
      </c>
      <c r="BJ14" s="48">
        <v>7699895881.9899998</v>
      </c>
      <c r="BK14" s="48">
        <v>2924338964.3699999</v>
      </c>
      <c r="BL14" s="48">
        <v>41894360.549999997</v>
      </c>
      <c r="BM14" s="48">
        <v>197901548.59</v>
      </c>
      <c r="BN14" s="48">
        <v>97241841.129999995</v>
      </c>
      <c r="BO14" s="48">
        <v>6021398618.8999996</v>
      </c>
      <c r="BP14" s="48">
        <v>2491646457.9200001</v>
      </c>
      <c r="BQ14" s="48">
        <v>1796002657.9300001</v>
      </c>
      <c r="BR14" s="48">
        <v>1132042268.29</v>
      </c>
      <c r="BS14" s="48">
        <v>20071768.530000001</v>
      </c>
      <c r="BT14" s="48">
        <v>93253430.569999993</v>
      </c>
      <c r="BU14" s="48">
        <v>1790585016.46</v>
      </c>
      <c r="BV14" s="48">
        <v>797770631.74000001</v>
      </c>
      <c r="BW14" s="48">
        <v>789236835.84000003</v>
      </c>
      <c r="BX14" s="48">
        <v>1592873660.4000001</v>
      </c>
      <c r="BY14" s="48">
        <v>24916242.100000001</v>
      </c>
      <c r="BZ14" s="48">
        <v>395852972.55000001</v>
      </c>
      <c r="CA14" s="48">
        <v>141397167.97999999</v>
      </c>
      <c r="CB14" s="48">
        <v>63073453.899999999</v>
      </c>
      <c r="CC14" s="48">
        <v>131905556.75</v>
      </c>
      <c r="CD14" s="48">
        <v>451608741.23000002</v>
      </c>
      <c r="CE14" s="48">
        <v>1064651304.5700001</v>
      </c>
      <c r="CF14" s="48">
        <v>48733283.960000001</v>
      </c>
      <c r="CG14" s="48">
        <v>158249362.53999999</v>
      </c>
      <c r="CH14" s="48">
        <v>3899712108.04</v>
      </c>
      <c r="CI14" s="48">
        <v>832284701.51999998</v>
      </c>
      <c r="CJ14" s="48">
        <v>141710922.44</v>
      </c>
      <c r="CK14" s="48">
        <v>1206886709.5799999</v>
      </c>
      <c r="CL14" s="48">
        <v>483985158.38999999</v>
      </c>
      <c r="CM14" s="48">
        <v>78156447.239999995</v>
      </c>
      <c r="CN14" s="48">
        <v>54862759.57</v>
      </c>
      <c r="CO14" s="48">
        <v>3275065346.6599998</v>
      </c>
      <c r="CP14" s="48">
        <v>127913797.58</v>
      </c>
      <c r="CQ14" s="48">
        <v>3212984583.04</v>
      </c>
      <c r="CR14" s="48">
        <v>2173109394.6599998</v>
      </c>
      <c r="CS14" s="48">
        <v>1127461529.3099999</v>
      </c>
      <c r="CT14" s="48">
        <v>442691521.27999997</v>
      </c>
      <c r="CU14" s="48">
        <v>100216718.76000001</v>
      </c>
      <c r="CV14" s="48">
        <v>3617272009.4899998</v>
      </c>
      <c r="CW14" s="48">
        <v>1778546475.9200001</v>
      </c>
      <c r="CX14" s="48">
        <v>1274387859.6400001</v>
      </c>
      <c r="CY14" s="48">
        <v>1880273316.5799999</v>
      </c>
      <c r="CZ14" s="48">
        <v>33346691.850000001</v>
      </c>
      <c r="DA14" s="48">
        <v>2122435223.8299999</v>
      </c>
      <c r="DB14" s="48">
        <v>1169293594.54</v>
      </c>
      <c r="DC14" s="48">
        <v>89212452.689999998</v>
      </c>
      <c r="DD14" s="48">
        <v>1392664661.03</v>
      </c>
      <c r="DE14" s="48">
        <v>2068324318.5599999</v>
      </c>
      <c r="DF14" s="48">
        <v>4693565750.8500004</v>
      </c>
      <c r="DG14" s="48">
        <v>3148667352.1199999</v>
      </c>
      <c r="DH14" s="48">
        <v>1576563744.3699999</v>
      </c>
      <c r="DI14" s="48">
        <f ca="1">IF(DI$5&gt;TODAY(),DH14,[1]!SCBAM_GetSecDtl("SCBSFF","CASH",DH$5,"MarketVal"))</f>
        <v>785873671.38</v>
      </c>
      <c r="DJ14" s="48">
        <f ca="1">IF(DJ$5&gt;TODAY(),DI14,[1]!SCBAM_GetSecDtl("SCBSFF","CASH",DI$5,"MarketVal"))</f>
        <v>80620209.670000002</v>
      </c>
      <c r="DK14" s="48">
        <f ca="1">IF(DK$5&gt;TODAY(),DJ14,[1]!SCBAM_GetSecDtl("SCBSFF","CASH",DJ$5,"MarketVal"))</f>
        <v>1399591142.8499999</v>
      </c>
      <c r="DL14" s="48">
        <f ca="1">IF(DL$5&gt;TODAY(),DK14,[1]!SCBAM_GetSecDtl("SCBSFF","CASH",DK$5,"MarketVal"))</f>
        <v>4226837535.7600002</v>
      </c>
      <c r="DM14" s="48">
        <v>58592436.390000001</v>
      </c>
      <c r="DN14" s="48">
        <v>1583874474.46</v>
      </c>
      <c r="DO14" s="48">
        <v>474942829.50999999</v>
      </c>
      <c r="DP14" s="48">
        <v>4763355695.0600004</v>
      </c>
      <c r="DQ14" s="48">
        <v>701998830.98000002</v>
      </c>
      <c r="DR14" s="48">
        <v>1614264310.25</v>
      </c>
      <c r="DS14" s="48">
        <v>866737364.80999994</v>
      </c>
      <c r="DT14" s="48">
        <v>53556577.829999998</v>
      </c>
      <c r="DU14" s="48">
        <v>2952498548.6199999</v>
      </c>
      <c r="DV14" s="48">
        <v>4631011670.54</v>
      </c>
      <c r="DW14" s="48">
        <v>343083785.36000001</v>
      </c>
      <c r="DX14" s="48">
        <v>67628652.099999994</v>
      </c>
      <c r="DY14" s="48">
        <v>247543025.66</v>
      </c>
      <c r="DZ14" s="48">
        <v>3513591240.8699999</v>
      </c>
      <c r="EA14" s="48">
        <v>2265086280.1599998</v>
      </c>
      <c r="EB14" s="48">
        <v>622551582.76999998</v>
      </c>
      <c r="EC14" s="48">
        <v>56129624.799999997</v>
      </c>
      <c r="ED14" s="48">
        <v>828282216.23000002</v>
      </c>
      <c r="EE14" s="48">
        <v>114834604.12</v>
      </c>
      <c r="EF14" s="48">
        <v>78737367.840000004</v>
      </c>
      <c r="EG14" s="48">
        <v>301760595.00999999</v>
      </c>
      <c r="EH14" s="48">
        <v>215842403.16</v>
      </c>
      <c r="EI14" s="48">
        <v>3521239040.8699999</v>
      </c>
      <c r="EJ14" s="48">
        <v>1964770892.1600001</v>
      </c>
      <c r="EK14" s="48">
        <v>464004123.29000002</v>
      </c>
      <c r="EL14" s="48">
        <v>40349430.020000003</v>
      </c>
      <c r="EM14" s="48">
        <v>81879783.879999995</v>
      </c>
      <c r="EN14" s="48">
        <v>2334010776.71</v>
      </c>
      <c r="EO14" s="48">
        <v>2772563908.27</v>
      </c>
      <c r="EP14" s="48">
        <v>1452825363.25</v>
      </c>
      <c r="EQ14" s="48">
        <v>55190117.060000002</v>
      </c>
      <c r="ER14" s="48">
        <v>2947955830.6100001</v>
      </c>
      <c r="ES14" s="48">
        <v>1609094490.6199999</v>
      </c>
      <c r="ET14" s="48">
        <v>34566702.539999999</v>
      </c>
      <c r="EU14" s="48">
        <v>331444973.81999999</v>
      </c>
      <c r="EV14" s="48">
        <v>195870373.06</v>
      </c>
      <c r="EW14" s="48">
        <v>906888676.04999995</v>
      </c>
      <c r="EX14" s="48">
        <v>1282484884.73</v>
      </c>
      <c r="EY14" s="48">
        <v>52879602.890000001</v>
      </c>
      <c r="EZ14" s="48">
        <v>254641532.44999999</v>
      </c>
      <c r="FA14" s="48">
        <v>1450642193.3299999</v>
      </c>
      <c r="FB14" s="48">
        <v>3335642382.98</v>
      </c>
      <c r="FC14" s="48">
        <v>1230991078.6400001</v>
      </c>
      <c r="FD14" s="48">
        <v>91173436.150000006</v>
      </c>
      <c r="FE14" s="48">
        <v>129203205.20999999</v>
      </c>
      <c r="FF14" s="48">
        <v>354901085.20999998</v>
      </c>
      <c r="FG14" s="48">
        <v>2429667377.3800001</v>
      </c>
      <c r="FH14" s="48">
        <v>1947778727.8599999</v>
      </c>
      <c r="FI14" s="48">
        <v>5502670.8300000001</v>
      </c>
      <c r="FJ14" s="48">
        <v>218979117.30000001</v>
      </c>
      <c r="FK14" s="48">
        <v>652028740.24000001</v>
      </c>
      <c r="FL14" s="48">
        <v>354055444.08999997</v>
      </c>
      <c r="FM14" s="48">
        <f ca="1">IF(FM$5&gt;TODAY(),FL14,[1]!SCBAM_GetSecDtl("SCBSFF","CASH",FL$5,"MarketVal"))</f>
        <v>211994400.50999999</v>
      </c>
      <c r="FN14" s="48">
        <f ca="1">IF(FN$5&gt;TODAY(),FM14,[1]!SCBAM_GetSecDtl("SCBSFF","CASH",FM$5,"MarketVal"))</f>
        <v>100852306.5</v>
      </c>
      <c r="FO14" s="48">
        <f ca="1">IF(FO$5&gt;TODAY(),FN14,[1]!SCBAM_GetSecDtl("SCBSFF","CASH",FN$5,"MarketVal"))</f>
        <v>127023906.38</v>
      </c>
      <c r="FP14" s="48">
        <f ca="1">IF(FP$5&gt;TODAY(),FO14,[1]!SCBAM_GetSecDtl("SCBSFF","CASH",FO$5,"MarketVal"))</f>
        <v>1333261867.45</v>
      </c>
      <c r="FQ14" s="48">
        <v>439589560.76999998</v>
      </c>
      <c r="FR14" s="48">
        <v>767056228.85000002</v>
      </c>
      <c r="FS14" s="48">
        <v>105999045.65000001</v>
      </c>
      <c r="FT14" s="48">
        <v>1782330464.25</v>
      </c>
      <c r="FU14" s="48">
        <v>2162138176.7199998</v>
      </c>
      <c r="FV14" s="48">
        <v>3013998301.4000001</v>
      </c>
      <c r="FW14" s="48">
        <v>2102126116.5699999</v>
      </c>
      <c r="FX14" s="48">
        <v>68360831.349999994</v>
      </c>
      <c r="FY14" s="48">
        <v>579513143.95000005</v>
      </c>
      <c r="FZ14" s="48">
        <v>323094163.81999999</v>
      </c>
      <c r="GA14" s="48">
        <v>537458034.33000004</v>
      </c>
      <c r="GB14" s="48">
        <v>2092868027.3699999</v>
      </c>
      <c r="GC14" s="48">
        <v>55496326.219999999</v>
      </c>
      <c r="GD14" s="48">
        <v>123525572.39</v>
      </c>
      <c r="GE14" s="48">
        <v>221596631.91999999</v>
      </c>
      <c r="GF14" s="48">
        <v>850551609.85000002</v>
      </c>
      <c r="GG14" s="48">
        <v>1289129246.04</v>
      </c>
      <c r="GH14" s="48">
        <v>3667043817.5500002</v>
      </c>
      <c r="GI14" s="48">
        <v>1035687185.55</v>
      </c>
      <c r="GJ14" s="48">
        <v>802265185.76999998</v>
      </c>
      <c r="GK14" s="48">
        <v>360936139.19999999</v>
      </c>
      <c r="GL14" s="48">
        <v>2744012908.8000002</v>
      </c>
      <c r="GM14" s="48">
        <v>8749277939.7399998</v>
      </c>
      <c r="GN14" s="48">
        <v>319155627.87</v>
      </c>
      <c r="GO14" s="48">
        <v>267308553.28999999</v>
      </c>
      <c r="GP14" s="48">
        <v>4083486302.1199999</v>
      </c>
      <c r="GQ14" s="48">
        <v>4396311922.1499996</v>
      </c>
      <c r="GR14" s="48">
        <v>846576583.41999996</v>
      </c>
      <c r="GS14" s="48">
        <v>21220086.73</v>
      </c>
      <c r="GT14" s="48">
        <v>1545144318.72</v>
      </c>
      <c r="GU14" s="48">
        <v>57086315.82</v>
      </c>
      <c r="GV14" s="48">
        <v>116624310.31</v>
      </c>
      <c r="GW14" s="48" t="e">
        <v>#NAME?</v>
      </c>
      <c r="GX14" s="48">
        <v>866439415.44000006</v>
      </c>
      <c r="GY14" s="48">
        <v>551852257.47000003</v>
      </c>
      <c r="GZ14" s="48">
        <v>151325804.81</v>
      </c>
      <c r="HA14" s="48">
        <v>596740337.26999998</v>
      </c>
      <c r="HB14" s="48">
        <v>339725087.66000003</v>
      </c>
      <c r="HC14" s="48">
        <v>56588024.649999999</v>
      </c>
      <c r="HD14" s="48">
        <v>621255800.29999995</v>
      </c>
      <c r="HE14" s="48">
        <v>199894157.62</v>
      </c>
      <c r="HF14" s="48">
        <v>452599723.57999998</v>
      </c>
      <c r="HG14" s="48">
        <v>5318321855.5799999</v>
      </c>
      <c r="HH14" s="48">
        <v>873791626.38</v>
      </c>
      <c r="HI14" s="48">
        <v>414137405</v>
      </c>
      <c r="HJ14" s="48">
        <v>5462005868.5600004</v>
      </c>
      <c r="HK14" s="48">
        <v>5555115366.2600002</v>
      </c>
      <c r="HL14" s="48">
        <v>4335182551.5</v>
      </c>
      <c r="HM14" s="48">
        <v>3491007415.25</v>
      </c>
      <c r="HN14" s="48">
        <v>2191792892.7600002</v>
      </c>
      <c r="HO14" s="48">
        <v>3122911927.48</v>
      </c>
      <c r="HP14" s="48">
        <v>2248418593.5700002</v>
      </c>
      <c r="HQ14" s="48">
        <v>2376248925.0900002</v>
      </c>
      <c r="HR14" s="48">
        <v>1028521407.01</v>
      </c>
      <c r="HS14" s="48">
        <v>1651618796.9100001</v>
      </c>
      <c r="HT14" s="48">
        <v>252390849.75</v>
      </c>
      <c r="HU14" s="48">
        <v>4824576620.04</v>
      </c>
      <c r="HV14" s="48">
        <v>2014461667.1500001</v>
      </c>
      <c r="HW14" s="48">
        <v>264973889.47</v>
      </c>
      <c r="HX14" s="48">
        <v>1246539735.24</v>
      </c>
      <c r="HY14" s="48">
        <v>4050867697.0599999</v>
      </c>
      <c r="HZ14" s="48" t="e">
        <f ca="1">IF(HZ$5&gt;TODAY(),HY14,SCBAM_GetSecDtl("SCBSFF","CASH",HY$5,"MarketVal"))</f>
        <v>#NAME?</v>
      </c>
      <c r="IA14" s="48" t="e">
        <f ca="1">IF(IA$5&gt;TODAY(),HZ14,SCBAM_GetSecDtl("SCBSFF","CASH",HZ$5,"MarketVal"))</f>
        <v>#NAME?</v>
      </c>
      <c r="IB14" s="48" t="e">
        <f ca="1">IF(IB$5&gt;TODAY(),IA14,SCBAM_GetSecDtl("SCBSFF","CASH",IA$5,"MarketVal"))</f>
        <v>#NAME?</v>
      </c>
      <c r="IC14" s="48">
        <v>2330921333.7399998</v>
      </c>
      <c r="ID14" s="48">
        <v>1209362185.4100001</v>
      </c>
      <c r="IE14" s="48">
        <v>1295298482.9400001</v>
      </c>
      <c r="IF14" s="48">
        <v>829741070.88</v>
      </c>
      <c r="IG14" s="48">
        <v>187973714.53999999</v>
      </c>
      <c r="IH14" s="48">
        <v>3347806198.75</v>
      </c>
      <c r="II14" s="48">
        <v>2638980937.0100002</v>
      </c>
      <c r="IJ14" s="48">
        <v>299981901.06</v>
      </c>
      <c r="IK14" s="48">
        <v>511923814.02999997</v>
      </c>
      <c r="IL14" s="48">
        <v>627004069.29999995</v>
      </c>
      <c r="IM14" s="48">
        <v>39925285.229999997</v>
      </c>
      <c r="IN14" s="48">
        <v>533186086.52999997</v>
      </c>
      <c r="IO14" s="48">
        <v>3812137858.6700001</v>
      </c>
      <c r="IP14" s="48">
        <v>2748395696.79</v>
      </c>
      <c r="IQ14" s="48">
        <v>2615728898.5799999</v>
      </c>
      <c r="IR14" s="48">
        <v>2572686156.4099998</v>
      </c>
      <c r="IS14" s="48">
        <v>1097072109.8900001</v>
      </c>
      <c r="IT14" s="48">
        <v>1003508234.3200001</v>
      </c>
      <c r="IU14" s="48">
        <v>164504474.30000001</v>
      </c>
      <c r="IV14" s="48">
        <v>1339959823.51</v>
      </c>
      <c r="IW14" s="48">
        <v>927836064.28999996</v>
      </c>
      <c r="IX14" s="48">
        <v>27605589.84</v>
      </c>
      <c r="IY14" s="48">
        <v>323969185.55000001</v>
      </c>
      <c r="IZ14" s="48">
        <v>33027515.989999998</v>
      </c>
      <c r="JA14" s="48">
        <v>1663895599.71</v>
      </c>
      <c r="JB14" s="48">
        <v>1288437830.45</v>
      </c>
      <c r="JC14" s="48">
        <v>599093246.16999996</v>
      </c>
      <c r="JD14" s="48">
        <v>1171904084.3699999</v>
      </c>
      <c r="JE14" s="48" t="e">
        <f ca="1">IF(JE$5&gt;TODAY(),JD14,SCBAM_GetSecDtl("SCBSFF","CASH",JD$5,"MarketVal"))</f>
        <v>#NAME?</v>
      </c>
      <c r="JF14" s="48">
        <v>245870393.19999999</v>
      </c>
      <c r="JG14" s="48" t="e">
        <f ca="1">IF(JG$5&gt;TODAY(),JF14,SCBAM_GetSecDtl("SCBSFF","CASH",JF$5,"MarketVal"))</f>
        <v>#NAME?</v>
      </c>
      <c r="JH14" s="48">
        <v>981137927.51999998</v>
      </c>
      <c r="JI14" s="48">
        <v>413658272.5</v>
      </c>
      <c r="JJ14" s="48">
        <v>2067972072.73</v>
      </c>
      <c r="JK14" s="48">
        <v>5010037381.3999996</v>
      </c>
      <c r="JL14" s="48">
        <v>3046747445.0599999</v>
      </c>
      <c r="JM14" s="48">
        <v>1443398307.53</v>
      </c>
      <c r="JN14" s="48">
        <v>56565544.030000001</v>
      </c>
      <c r="JO14" s="48">
        <v>8562923805.5900002</v>
      </c>
      <c r="JP14" s="48">
        <v>6184420990.0699997</v>
      </c>
      <c r="JQ14" s="48">
        <v>860225249.85000002</v>
      </c>
      <c r="JR14" s="48">
        <v>414581361.38</v>
      </c>
      <c r="JS14" s="48">
        <v>113174932.52</v>
      </c>
      <c r="JT14" s="48">
        <v>1875853996.28</v>
      </c>
      <c r="JU14" s="48">
        <v>2028554673.8099999</v>
      </c>
      <c r="JV14" s="48">
        <v>719372335.19000006</v>
      </c>
      <c r="JW14" s="48">
        <v>82004324.180000007</v>
      </c>
      <c r="JX14" s="48">
        <v>121433294.44</v>
      </c>
      <c r="JY14" s="48">
        <v>851884229.78999996</v>
      </c>
      <c r="JZ14" s="48">
        <v>1212882162.4400001</v>
      </c>
      <c r="KA14" s="48">
        <v>1182503924.7</v>
      </c>
      <c r="KB14" s="48">
        <v>584492708.99000001</v>
      </c>
      <c r="KC14" s="48">
        <v>312258512.83999997</v>
      </c>
      <c r="KD14" s="48">
        <v>2106728925.5899999</v>
      </c>
      <c r="KE14" s="48">
        <v>914971540.52999997</v>
      </c>
      <c r="KF14" s="48">
        <v>612552313.87</v>
      </c>
      <c r="KG14" s="48">
        <v>552821030.08000004</v>
      </c>
      <c r="KH14" s="48">
        <v>37844712.109999999</v>
      </c>
      <c r="KI14" s="48">
        <v>514704819.19</v>
      </c>
      <c r="KJ14" s="48">
        <v>1334347626.3800001</v>
      </c>
      <c r="KK14" s="48">
        <v>674112823.10000002</v>
      </c>
      <c r="KL14" s="48">
        <v>733847255.5</v>
      </c>
      <c r="KM14" s="48">
        <v>1000560746.79</v>
      </c>
      <c r="KN14" s="48">
        <v>89821422.480000004</v>
      </c>
      <c r="KO14" s="48">
        <v>195888992.53</v>
      </c>
      <c r="KP14" s="48">
        <v>106688597.29000001</v>
      </c>
      <c r="KQ14" s="48">
        <v>321114548.88999999</v>
      </c>
      <c r="KR14" s="48">
        <v>3154032503.6999998</v>
      </c>
      <c r="KS14" s="48">
        <v>1779625162.77</v>
      </c>
      <c r="KT14" s="48">
        <v>379683844.22000003</v>
      </c>
      <c r="KU14" s="48">
        <v>249658828.94</v>
      </c>
      <c r="KV14" s="48">
        <v>156087060.37</v>
      </c>
      <c r="KW14" s="48">
        <v>50670031.479999997</v>
      </c>
      <c r="KX14" s="48">
        <v>732807252.75</v>
      </c>
      <c r="KY14" s="48">
        <v>1897775664.76</v>
      </c>
      <c r="KZ14" s="48">
        <v>1776371733.1300001</v>
      </c>
      <c r="LA14" s="48">
        <v>9069110479.5300007</v>
      </c>
      <c r="LB14" s="48">
        <v>4941803773.3100004</v>
      </c>
      <c r="LC14" s="48">
        <v>1396368969.1199999</v>
      </c>
      <c r="LD14" s="48">
        <v>389057647.61000001</v>
      </c>
      <c r="LE14" s="48">
        <v>1199353596.6800001</v>
      </c>
      <c r="LF14" s="48">
        <v>310719216.86000001</v>
      </c>
      <c r="LG14" s="48">
        <v>116238225.84</v>
      </c>
      <c r="LH14" s="48">
        <v>365816387.70999998</v>
      </c>
      <c r="LI14" s="48">
        <v>3451361415.9299998</v>
      </c>
      <c r="LJ14" s="48">
        <v>5195175682.4799995</v>
      </c>
      <c r="LK14" s="48">
        <v>6099776824.7600002</v>
      </c>
      <c r="LL14" s="48">
        <v>151296153.18000001</v>
      </c>
      <c r="LM14" s="48">
        <v>556219955.86000001</v>
      </c>
      <c r="LN14" s="48">
        <v>4331456660.8999996</v>
      </c>
      <c r="LO14" s="48">
        <v>1823362153.6400001</v>
      </c>
      <c r="LP14" s="48">
        <v>450897004.39999998</v>
      </c>
      <c r="LQ14" s="48">
        <v>4625587563.6700001</v>
      </c>
      <c r="LR14" s="48">
        <v>2362616376.6799998</v>
      </c>
      <c r="LS14" s="48">
        <v>1174840632.8199999</v>
      </c>
      <c r="LT14" s="48">
        <v>918593586.98000002</v>
      </c>
      <c r="LU14" s="48">
        <v>52056116.799999997</v>
      </c>
      <c r="LV14" s="48">
        <v>2204300253.1900001</v>
      </c>
      <c r="LW14" s="48">
        <v>323968590.83999997</v>
      </c>
      <c r="LX14" s="48">
        <v>1230733575.78</v>
      </c>
      <c r="LY14" s="48">
        <v>1614436851.1600001</v>
      </c>
      <c r="LZ14" s="48">
        <v>331791252.56999999</v>
      </c>
      <c r="MA14" s="48">
        <v>453471305.81999999</v>
      </c>
      <c r="MB14" s="48">
        <v>7134176659.8199997</v>
      </c>
      <c r="MC14" s="48">
        <v>3916036258.1199999</v>
      </c>
      <c r="MD14" s="48">
        <v>3493787752.6700001</v>
      </c>
      <c r="ME14" s="48">
        <v>1405092430.8800001</v>
      </c>
      <c r="MF14" s="48">
        <v>1194583613.5</v>
      </c>
      <c r="MG14" s="48">
        <v>3142607956.4699998</v>
      </c>
      <c r="MH14" s="48">
        <v>1517078006.6099999</v>
      </c>
      <c r="MI14" s="48">
        <v>511096012.67000002</v>
      </c>
      <c r="MJ14" s="48">
        <v>2611879793.4200001</v>
      </c>
      <c r="MK14" s="48">
        <v>3868453081.6700001</v>
      </c>
      <c r="ML14" s="48">
        <v>2400390675.3000002</v>
      </c>
      <c r="MM14" s="48">
        <v>210305438.30000001</v>
      </c>
      <c r="MN14" s="48">
        <v>95357307.480000004</v>
      </c>
      <c r="MO14" s="48">
        <v>1030313267.39</v>
      </c>
      <c r="MP14" s="48">
        <v>2947703294</v>
      </c>
      <c r="MQ14" s="48">
        <v>2253056453.5799999</v>
      </c>
      <c r="MR14" s="48">
        <v>471294457.75999999</v>
      </c>
      <c r="MS14" s="48">
        <v>131470827.2</v>
      </c>
      <c r="MT14" s="48">
        <v>707338956.57000005</v>
      </c>
      <c r="MU14" s="48">
        <v>3455209494.8899999</v>
      </c>
      <c r="MV14" s="48">
        <v>2086994935.6900001</v>
      </c>
      <c r="MW14" s="48">
        <v>1815394621.52</v>
      </c>
      <c r="MX14" s="48">
        <v>771319342.00999999</v>
      </c>
      <c r="MY14" s="48">
        <v>308233495.93000001</v>
      </c>
      <c r="MZ14" s="48">
        <v>938556151.12</v>
      </c>
      <c r="NA14" s="48">
        <v>484130155.98000002</v>
      </c>
      <c r="NB14" s="48">
        <v>282145742.48000002</v>
      </c>
      <c r="NC14" s="48">
        <v>148950175.41</v>
      </c>
      <c r="ND14" s="48">
        <v>1817506666.78</v>
      </c>
      <c r="NE14" s="48">
        <v>1791537465.55</v>
      </c>
      <c r="NF14" s="48">
        <v>1253035641.47</v>
      </c>
      <c r="NG14" s="48">
        <v>2265536573.4499998</v>
      </c>
      <c r="NH14" s="48">
        <v>1552301012.8699999</v>
      </c>
      <c r="NI14" s="48">
        <v>2716173029.2800002</v>
      </c>
      <c r="NJ14" s="48">
        <v>6250426780.2399998</v>
      </c>
      <c r="NK14" s="48">
        <v>4901944860.6000004</v>
      </c>
      <c r="NL14" s="48">
        <v>3517388248.4400001</v>
      </c>
      <c r="NM14" s="48">
        <v>2400048230.0100002</v>
      </c>
      <c r="NN14" s="48">
        <v>215098690.16</v>
      </c>
      <c r="NO14" s="48">
        <v>1400035692.1400001</v>
      </c>
      <c r="NP14" s="48">
        <v>921287818.61000001</v>
      </c>
      <c r="NQ14" s="48">
        <v>1755478795.3499999</v>
      </c>
      <c r="NR14" s="48">
        <v>409303383.61000001</v>
      </c>
      <c r="NS14" s="48">
        <v>1851123701.6400001</v>
      </c>
      <c r="NT14" s="48">
        <v>723769237.11000001</v>
      </c>
      <c r="NU14" s="48">
        <v>178015680.63</v>
      </c>
      <c r="NV14" s="48">
        <v>932125531.84000003</v>
      </c>
      <c r="NW14" s="48">
        <v>300821774.24000001</v>
      </c>
      <c r="NX14" s="48">
        <v>2665614553.7399998</v>
      </c>
      <c r="NY14" s="48">
        <v>2414469052.0300002</v>
      </c>
      <c r="NZ14" s="48">
        <v>649648060.55999994</v>
      </c>
      <c r="OA14" s="48">
        <v>81206849.450000003</v>
      </c>
      <c r="OB14" s="48">
        <v>18775562.5</v>
      </c>
      <c r="OC14" s="48">
        <v>216822135.38</v>
      </c>
      <c r="OD14" s="48">
        <v>1079045031.9100001</v>
      </c>
      <c r="OE14" s="48">
        <v>521883696.72000003</v>
      </c>
      <c r="OF14" s="48">
        <v>1687849545.6099999</v>
      </c>
      <c r="OG14" s="48">
        <v>391769413.57999998</v>
      </c>
      <c r="OH14" s="48">
        <v>191692208.08000001</v>
      </c>
      <c r="OI14" s="48">
        <v>862546809.73000002</v>
      </c>
      <c r="OJ14" s="48">
        <v>437544211.43000001</v>
      </c>
      <c r="OK14" s="48">
        <v>606858596.92999995</v>
      </c>
      <c r="OL14" s="48">
        <v>475679044.63</v>
      </c>
      <c r="OM14" s="48">
        <v>150789108.63</v>
      </c>
      <c r="ON14" s="48">
        <v>173975942.74000001</v>
      </c>
      <c r="OO14" s="48">
        <v>446598817.54000002</v>
      </c>
      <c r="OP14" s="48">
        <v>456726598.20999998</v>
      </c>
      <c r="OQ14" s="48">
        <v>403468709.44999999</v>
      </c>
      <c r="OR14" s="48">
        <v>628366709.07000005</v>
      </c>
      <c r="OS14" s="48">
        <v>776387821.28999996</v>
      </c>
      <c r="OT14" s="48">
        <v>1760588910.98</v>
      </c>
      <c r="OU14" s="48">
        <v>895452118.73000002</v>
      </c>
      <c r="OV14" s="48">
        <v>878944172.91999996</v>
      </c>
      <c r="OW14" s="48">
        <v>1249807387.0999999</v>
      </c>
      <c r="OX14" s="48">
        <v>6781376420.8500004</v>
      </c>
      <c r="OY14" s="48">
        <v>3709295076.21</v>
      </c>
      <c r="OZ14" s="48">
        <v>2240653505.9699998</v>
      </c>
      <c r="PA14" s="48">
        <v>4787043645.6599998</v>
      </c>
      <c r="PB14" s="48">
        <v>1537245041.4000001</v>
      </c>
      <c r="PC14" s="48">
        <v>449033456.80000001</v>
      </c>
      <c r="PD14" s="48">
        <v>924864509.83000004</v>
      </c>
      <c r="PE14" s="48">
        <v>2213548432.5300002</v>
      </c>
      <c r="PF14" s="48">
        <v>1253473765.23</v>
      </c>
      <c r="PG14" s="48">
        <v>495502605.52999997</v>
      </c>
      <c r="PH14" s="48">
        <v>1275800288.6500001</v>
      </c>
      <c r="PI14" s="48">
        <v>767838991.88</v>
      </c>
      <c r="PJ14" s="48">
        <v>2645690997.3899999</v>
      </c>
      <c r="PK14" s="48">
        <v>3540967764.8400002</v>
      </c>
      <c r="PL14" s="48">
        <v>3407678011.6900001</v>
      </c>
      <c r="PM14" s="48">
        <v>70039435.980000004</v>
      </c>
      <c r="PN14" s="48">
        <v>2967278613.6799998</v>
      </c>
      <c r="PO14" s="48" t="e">
        <f ca="1">IF(PO$5&gt;TODAY(),PN14,SCBAM_GetSecDtl("SCBSFF","CASH",PN$5,"MarketVal"))</f>
        <v>#NAME?</v>
      </c>
      <c r="PP14" s="48" t="e">
        <f ca="1">IF(PP$5&gt;TODAY(),PO14,SCBAM_GetSecDtl("SCBSFF","CASH",PO$5,"MarketVal"))</f>
        <v>#NAME?</v>
      </c>
      <c r="PQ14" s="48" t="e">
        <f ca="1">IF(PQ$5&gt;TODAY(),PP14,SCBAM_GetSecDtl("SCBSFF","CASH",PP$5,"MarketVal"))</f>
        <v>#NAME?</v>
      </c>
      <c r="PR14" s="48" t="e">
        <f ca="1">IF(PR$5&gt;TODAY(),PQ14,SCBAM_GetSecDtl("SCBSFF","CASH",PQ$5,"MarketVal"))</f>
        <v>#NAME?</v>
      </c>
      <c r="PS14" s="48" t="e">
        <f ca="1">IF(PS$5&gt;TODAY(),PR14,SCBAM_GetSecDtl("SCBSFF","CASH",PR$5,"MarketVal"))</f>
        <v>#NAME?</v>
      </c>
      <c r="PT14" s="48" t="e">
        <f ca="1">IF(PT$5&gt;TODAY(),PS14,SCBAM_GetSecDtl("SCBSFF","CASH",PS$5,"MarketVal"))</f>
        <v>#NAME?</v>
      </c>
      <c r="PU14" s="48" t="e">
        <f ca="1">IF(PU$5&gt;TODAY(),PT14,SCBAM_GetSecDtl("SCBSFF","CASH",PT$5,"MarketVal"))</f>
        <v>#NAME?</v>
      </c>
      <c r="PV14" s="48" t="e">
        <f ca="1">IF(PV$5&gt;TODAY(),PU14,SCBAM_GetSecDtl("SCBSFF","CASH",PU$5,"MarketVal"))</f>
        <v>#NAME?</v>
      </c>
      <c r="PW14" s="48" t="e">
        <f ca="1">IF(PW$5&gt;TODAY(),PV14,SCBAM_GetSecDtl("SCBSFF","CASH",PV$5,"MarketVal"))</f>
        <v>#NAME?</v>
      </c>
      <c r="PX14" s="48" t="e">
        <f ca="1">IF(PX$5&gt;TODAY(),PW14,SCBAM_GetSecDtl("SCBSFF","CASH",PW$5,"MarketVal"))</f>
        <v>#NAME?</v>
      </c>
      <c r="PY14" s="48" t="e">
        <f ca="1">IF(PY$5&gt;TODAY(),PX14,SCBAM_GetSecDtl("SCBSFF","CASH",PX$5,"MarketVal"))</f>
        <v>#NAME?</v>
      </c>
      <c r="PZ14" s="48" t="e">
        <f ca="1">IF(PZ$5&gt;TODAY(),PY14,SCBAM_GetSecDtl("SCBSFF","CASH",PY$5,"MarketVal"))</f>
        <v>#NAME?</v>
      </c>
      <c r="QA14" s="48" t="e">
        <f ca="1">IF(QA$5&gt;TODAY(),PZ14,SCBAM_GetSecDtl("SCBSFF","CASH",PZ$5,"MarketVal"))</f>
        <v>#NAME?</v>
      </c>
      <c r="QB14" s="48" t="e">
        <f ca="1">IF(QB$5&gt;TODAY(),QA14,SCBAM_GetSecDtl("SCBSFF","CASH",QA$5,"MarketVal"))</f>
        <v>#NAME?</v>
      </c>
      <c r="QC14" s="48" t="e">
        <f ca="1">IF(QC$5&gt;TODAY(),QB14,SCBAM_GetSecDtl("SCBSFF","CASH",QB$5,"MarketVal"))</f>
        <v>#NAME?</v>
      </c>
      <c r="QD14" s="48" t="e">
        <f ca="1">IF(QD$5&gt;TODAY(),QC14,SCBAM_GetSecDtl("SCBSFF","CASH",QC$5,"MarketVal"))</f>
        <v>#NAME?</v>
      </c>
      <c r="QE14" s="48" t="e">
        <f ca="1">IF(QE$5&gt;TODAY(),QD14,SCBAM_GetSecDtl("SCBSFF","CASH",QD$5,"MarketVal"))</f>
        <v>#NAME?</v>
      </c>
      <c r="QF14" s="48" t="e">
        <f ca="1">IF(QF$5&gt;TODAY(),QE14,SCBAM_GetSecDtl("SCBSFF","CASH",QE$5,"MarketVal"))</f>
        <v>#NAME?</v>
      </c>
      <c r="QG14" s="48" t="e">
        <f ca="1">IF(QG$5&gt;TODAY(),QF14,SCBAM_GetSecDtl("SCBSFF","CASH",QF$5,"MarketVal"))</f>
        <v>#NAME?</v>
      </c>
      <c r="QH14" s="48" t="e">
        <f ca="1">IF(QH$5&gt;TODAY(),QG14,SCBAM_GetSecDtl("SCBSFF","CASH",QG$5,"MarketVal"))</f>
        <v>#NAME?</v>
      </c>
      <c r="QI14" s="48" t="e">
        <f ca="1">IF(QI$5&gt;TODAY(),QH14,SCBAM_GetSecDtl("SCBSFF","CASH",QH$5,"MarketVal"))</f>
        <v>#NAME?</v>
      </c>
      <c r="QJ14" s="48" t="e">
        <f ca="1">IF(QJ$5&gt;TODAY(),QI14,SCBAM_GetSecDtl("SCBSFF","CASH",QI$5,"MarketVal"))</f>
        <v>#NAME?</v>
      </c>
      <c r="QK14" s="48" t="e">
        <f ca="1">IF(QK$5&gt;TODAY(),QJ14,SCBAM_GetSecDtl("SCBSFF","CASH",QJ$5,"MarketVal"))</f>
        <v>#NAME?</v>
      </c>
      <c r="QL14" s="48" t="e">
        <f ca="1">IF(QL$5&gt;TODAY(),QK14,SCBAM_GetSecDtl("SCBSFF","CASH",QK$5,"MarketVal"))</f>
        <v>#NAME?</v>
      </c>
      <c r="QM14" s="48" t="e">
        <f ca="1">IF(QM$5&gt;TODAY(),QL14,SCBAM_GetSecDtl("SCBSFF","CASH",QL$5,"MarketVal"))</f>
        <v>#NAME?</v>
      </c>
      <c r="QN14" s="48" t="e">
        <f ca="1">IF(QN$5&gt;TODAY(),QM14,SCBAM_GetSecDtl("SCBSFF","CASH",QM$5,"MarketVal"))</f>
        <v>#NAME?</v>
      </c>
      <c r="QO14" s="48" t="e">
        <f ca="1">IF(QO$5&gt;TODAY(),QN14,SCBAM_GetSecDtl("SCBSFF","CASH",QN$5,"MarketVal"))</f>
        <v>#NAME?</v>
      </c>
      <c r="QP14" s="48" t="e">
        <f ca="1">IF(QP$5&gt;TODAY(),QO14,SCBAM_GetSecDtl("SCBSFF","CASH",QO$5,"MarketVal"))</f>
        <v>#NAME?</v>
      </c>
      <c r="QQ14" s="48" t="e">
        <f ca="1">IF(QQ$5&gt;TODAY(),QP14,SCBAM_GetSecDtl("SCBSFF","CASH",QP$5,"MarketVal"))</f>
        <v>#NAME?</v>
      </c>
      <c r="QR14" s="48" t="e">
        <f ca="1">IF(QR$5&gt;TODAY(),QQ14,SCBAM_GetSecDtl("SCBSFF","CASH",QQ$5,"MarketVal"))</f>
        <v>#NAME?</v>
      </c>
      <c r="QS14" s="48" t="e">
        <f ca="1">IF(QS$5&gt;TODAY(),QR14,SCBAM_GetSecDtl("SCBSFF","CASH",QR$5,"MarketVal"))</f>
        <v>#NAME?</v>
      </c>
      <c r="QT14" s="48" t="e">
        <f ca="1">IF(QT$5&gt;TODAY(),QS14,SCBAM_GetSecDtl("SCBSFF","CASH",QS$5,"MarketVal"))</f>
        <v>#NAME?</v>
      </c>
      <c r="QU14" s="48" t="e">
        <f ca="1">IF(QU$5&gt;TODAY(),QT14,SCBAM_GetSecDtl("SCBSFF","CASH",QT$5,"MarketVal"))</f>
        <v>#NAME?</v>
      </c>
      <c r="QV14" s="48" t="e">
        <f ca="1">IF(QV$5&gt;TODAY(),QU14,SCBAM_GetSecDtl("SCBSFF","CASH",QU$5,"MarketVal"))</f>
        <v>#NAME?</v>
      </c>
      <c r="QW14" s="48" t="e">
        <f ca="1">IF(QW$5&gt;TODAY(),QV14,SCBAM_GetSecDtl("SCBSFF","CASH",QV$5,"MarketVal"))</f>
        <v>#NAME?</v>
      </c>
      <c r="QX14" s="48" t="e">
        <f ca="1">IF(QX$5&gt;TODAY(),QW14,SCBAM_GetSecDtl("SCBSFF","CASH",QW$5,"MarketVal"))</f>
        <v>#NAME?</v>
      </c>
      <c r="QY14" s="48" t="e">
        <f ca="1">IF(QY$5&gt;TODAY(),QX14,SCBAM_GetSecDtl("SCBSFF","CASH",QX$5,"MarketVal"))</f>
        <v>#NAME?</v>
      </c>
      <c r="QZ14" s="48" t="e">
        <f ca="1">IF(QZ$5&gt;TODAY(),QY14,SCBAM_GetSecDtl("SCBSFF","CASH",QY$5,"MarketVal"))</f>
        <v>#NAME?</v>
      </c>
      <c r="RA14" s="48" t="e">
        <f ca="1">IF(RA$5&gt;TODAY(),QZ14,SCBAM_GetSecDtl("SCBSFF","CASH",QZ$5,"MarketVal"))</f>
        <v>#NAME?</v>
      </c>
      <c r="RB14" s="48" t="e">
        <f ca="1">IF(RB$5&gt;TODAY(),RA14,SCBAM_GetSecDtl("SCBSFF","CASH",RA$5,"MarketVal"))</f>
        <v>#NAME?</v>
      </c>
      <c r="RC14" s="48" t="e">
        <f ca="1">IF(RC$5&gt;TODAY(),RB14,SCBAM_GetSecDtl("SCBSFF","CASH",RB$5,"MarketVal"))</f>
        <v>#NAME?</v>
      </c>
      <c r="RD14" s="48" t="e">
        <f ca="1">IF(RD$5&gt;TODAY(),RC14,SCBAM_GetSecDtl("SCBSFF","CASH",RC$5,"MarketVal"))</f>
        <v>#NAME?</v>
      </c>
      <c r="RE14" s="48" t="e">
        <f ca="1">IF(RE$5&gt;TODAY(),RD14,SCBAM_GetSecDtl("SCBSFF","CASH",RD$5,"MarketVal"))</f>
        <v>#NAME?</v>
      </c>
      <c r="RF14" s="48" t="e">
        <f ca="1">IF(RF$5&gt;TODAY(),RE14,SCBAM_GetSecDtl("SCBSFF","CASH",RE$5,"MarketVal"))</f>
        <v>#NAME?</v>
      </c>
      <c r="RG14" s="48" t="e">
        <f ca="1">IF(RG$5&gt;TODAY(),RF14,SCBAM_GetSecDtl("SCBSFF","CASH",RF$5,"MarketVal"))</f>
        <v>#NAME?</v>
      </c>
      <c r="RH14" s="48" t="e">
        <f ca="1">IF(RH$5&gt;TODAY(),RG14,SCBAM_GetSecDtl("SCBSFF","CASH",RG$5,"MarketVal"))</f>
        <v>#NAME?</v>
      </c>
      <c r="RI14" s="48" t="e">
        <f ca="1">IF(RI$5&gt;TODAY(),RH14,SCBAM_GetSecDtl("SCBSFF","CASH",RH$5,"MarketVal"))</f>
        <v>#NAME?</v>
      </c>
      <c r="RJ14" s="48" t="e">
        <f ca="1">IF(RJ$5&gt;TODAY(),RI14,SCBAM_GetSecDtl("SCBSFF","CASH",RI$5,"MarketVal"))</f>
        <v>#NAME?</v>
      </c>
      <c r="RK14" s="48" t="e">
        <f ca="1">IF(RK$5&gt;TODAY(),RJ14,SCBAM_GetSecDtl("SCBSFF","CASH",RJ$5,"MarketVal"))</f>
        <v>#NAME?</v>
      </c>
      <c r="RL14" s="48" t="e">
        <f ca="1">IF(RL$5&gt;TODAY(),RK14,SCBAM_GetSecDtl("SCBSFF","CASH",RK$5,"MarketVal"))</f>
        <v>#NAME?</v>
      </c>
      <c r="RM14" s="48" t="e">
        <f ca="1">IF(RM$5&gt;TODAY(),RL14,SCBAM_GetSecDtl("SCBSFF","CASH",RL$5,"MarketVal"))</f>
        <v>#NAME?</v>
      </c>
      <c r="RN14" s="48" t="e">
        <f ca="1">IF(RN$5&gt;TODAY(),RM14,SCBAM_GetSecDtl("SCBSFF","CASH",RM$5,"MarketVal"))</f>
        <v>#NAME?</v>
      </c>
      <c r="RO14" s="48" t="e">
        <f ca="1">IF(RO$5&gt;TODAY(),RN14,SCBAM_GetSecDtl("SCBSFF","CASH",RN$5,"MarketVal"))</f>
        <v>#NAME?</v>
      </c>
      <c r="RP14" s="48" t="e">
        <f ca="1">IF(RP$5&gt;TODAY(),RO14,SCBAM_GetSecDtl("SCBSFF","CASH",RO$5,"MarketVal"))</f>
        <v>#NAME?</v>
      </c>
      <c r="RQ14" s="48" t="e">
        <f ca="1">IF(RQ$5&gt;TODAY(),RP14,SCBAM_GetSecDtl("SCBSFF","CASH",RP$5,"MarketVal"))</f>
        <v>#NAME?</v>
      </c>
      <c r="RR14" s="48" t="e">
        <f ca="1">IF(RR$5&gt;TODAY(),RQ14,SCBAM_GetSecDtl("SCBSFF","CASH",RQ$5,"MarketVal"))</f>
        <v>#NAME?</v>
      </c>
      <c r="RS14" s="48" t="e">
        <f ca="1">IF(RS$5&gt;TODAY(),RR14,SCBAM_GetSecDtl("SCBSFF","CASH",RR$5,"MarketVal"))</f>
        <v>#NAME?</v>
      </c>
      <c r="RT14" s="48" t="e">
        <f ca="1">IF(RT$5&gt;TODAY(),RS14,SCBAM_GetSecDtl("SCBSFF","CASH",RS$5,"MarketVal"))</f>
        <v>#NAME?</v>
      </c>
      <c r="RU14" s="48" t="e">
        <f ca="1">IF(RU$5&gt;TODAY(),RT14,SCBAM_GetSecDtl("SCBSFF","CASH",RT$5,"MarketVal"))</f>
        <v>#NAME?</v>
      </c>
      <c r="RV14" s="48" t="e">
        <f ca="1">IF(RV$5&gt;TODAY(),RU14,SCBAM_GetSecDtl("SCBSFF","CASH",RU$5,"MarketVal"))</f>
        <v>#NAME?</v>
      </c>
      <c r="RW14" s="48" t="e">
        <f ca="1">IF(RW$5&gt;TODAY(),RV14,SCBAM_GetSecDtl("SCBSFF","CASH",RV$5,"MarketVal"))</f>
        <v>#NAME?</v>
      </c>
      <c r="RX14" s="48" t="e">
        <f ca="1">IF(RX$5&gt;TODAY(),RW14,SCBAM_GetSecDtl("SCBSFF","CASH",RW$5,"MarketVal"))</f>
        <v>#NAME?</v>
      </c>
      <c r="RY14" s="48" t="e">
        <f ca="1">IF(RY$5&gt;TODAY(),RX14,SCBAM_GetSecDtl("SCBSFF","CASH",RX$5,"MarketVal"))</f>
        <v>#NAME?</v>
      </c>
      <c r="RZ14" s="48" t="e">
        <f ca="1">IF(RZ$5&gt;TODAY(),RY14,SCBAM_GetSecDtl("SCBSFF","CASH",RY$5,"MarketVal"))</f>
        <v>#NAME?</v>
      </c>
      <c r="SA14" s="48" t="e">
        <f ca="1">IF(SA$5&gt;TODAY(),RZ14,SCBAM_GetSecDtl("SCBSFF","CASH",RZ$5,"MarketVal"))</f>
        <v>#NAME?</v>
      </c>
    </row>
    <row r="15" spans="1:495" ht="12.75" customHeight="1" outlineLevel="1" x14ac:dyDescent="0.2">
      <c r="A15" s="44" t="s">
        <v>1061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50"/>
      <c r="PR15" s="50"/>
      <c r="PS15" s="50"/>
      <c r="PT15" s="50"/>
      <c r="PU15" s="50"/>
      <c r="PV15" s="50"/>
      <c r="PW15" s="50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  <c r="RW15" s="32"/>
      <c r="RX15" s="32"/>
      <c r="RY15" s="32"/>
      <c r="RZ15" s="32"/>
      <c r="SA15" s="32"/>
    </row>
    <row r="16" spans="1:495" s="51" customFormat="1" ht="12.75" customHeight="1" outlineLevel="1" x14ac:dyDescent="0.2">
      <c r="A16" s="47" t="s">
        <v>1062</v>
      </c>
      <c r="B16" s="48">
        <v>2820040731.4900002</v>
      </c>
      <c r="C16" s="48">
        <v>3490555467.8000002</v>
      </c>
      <c r="D16" s="48">
        <v>8543170276.6800013</v>
      </c>
      <c r="E16" s="48">
        <v>17162028944.6</v>
      </c>
      <c r="F16" s="48">
        <v>12620488246.480001</v>
      </c>
      <c r="G16" s="48">
        <v>2728453517.4200001</v>
      </c>
      <c r="H16" s="48">
        <v>104962522.30999972</v>
      </c>
      <c r="I16" s="48">
        <v>2752276183.5299988</v>
      </c>
      <c r="J16" s="48">
        <v>2007764383.2300012</v>
      </c>
      <c r="K16" s="48">
        <v>3183772945.1199999</v>
      </c>
      <c r="L16" s="48">
        <v>-66376813.580000155</v>
      </c>
      <c r="M16" s="48">
        <v>140717446.59000039</v>
      </c>
      <c r="N16" s="48">
        <v>42514037.929999121</v>
      </c>
      <c r="O16" s="48">
        <v>7641002716.9400015</v>
      </c>
      <c r="P16" s="48">
        <v>6768702237.6199989</v>
      </c>
      <c r="Q16" s="48">
        <v>2421492193.5999985</v>
      </c>
      <c r="R16" s="48">
        <v>20330841.120000612</v>
      </c>
      <c r="S16" s="48">
        <v>70055133.869999662</v>
      </c>
      <c r="T16" s="48">
        <v>7908578870.8099995</v>
      </c>
      <c r="U16" s="48">
        <v>5122687570.2000008</v>
      </c>
      <c r="V16" s="48">
        <v>2109983838.049999</v>
      </c>
      <c r="W16" s="48">
        <v>965352287.4799993</v>
      </c>
      <c r="X16" s="48">
        <v>137668173.38999915</v>
      </c>
      <c r="Y16" s="48">
        <v>1267950966.7400005</v>
      </c>
      <c r="Z16" s="48">
        <v>4288507099.6700006</v>
      </c>
      <c r="AA16" s="48">
        <v>1366049944.4999998</v>
      </c>
      <c r="AB16" s="48">
        <v>1021385228.5699995</v>
      </c>
      <c r="AC16" s="48">
        <v>975207606.83999991</v>
      </c>
      <c r="AD16" s="48">
        <v>145764753.45999885</v>
      </c>
      <c r="AE16" s="48">
        <v>-280963456.18000054</v>
      </c>
      <c r="AF16" s="48">
        <v>102525789.5999992</v>
      </c>
      <c r="AG16" s="48">
        <v>35456192.959999807</v>
      </c>
      <c r="AH16" s="48">
        <v>771505057.75000072</v>
      </c>
      <c r="AI16" s="48">
        <v>36488146.700000055</v>
      </c>
      <c r="AJ16" s="48">
        <v>65331229.779999979</v>
      </c>
      <c r="AK16" s="48">
        <v>85965881.750380293</v>
      </c>
      <c r="AL16" s="48">
        <v>485024976.37999988</v>
      </c>
      <c r="AM16" s="48">
        <v>220083260.3700006</v>
      </c>
      <c r="AN16" s="48">
        <v>1422727019.1000001</v>
      </c>
      <c r="AO16" s="48">
        <v>75612202.119999662</v>
      </c>
      <c r="AP16" s="48">
        <v>34308013.470000036</v>
      </c>
      <c r="AQ16" s="48">
        <v>3073029051.3000002</v>
      </c>
      <c r="AR16" s="48">
        <v>718955005.86000228</v>
      </c>
      <c r="AS16" s="48">
        <v>1221481540.700001</v>
      </c>
      <c r="AT16" s="48">
        <v>1658635776.4399984</v>
      </c>
      <c r="AU16" s="48">
        <v>1727077837.9099996</v>
      </c>
      <c r="AV16" s="48">
        <v>52932410.79999996</v>
      </c>
      <c r="AW16" s="48">
        <v>2290532603.3600006</v>
      </c>
      <c r="AX16" s="48">
        <v>452527622.49000001</v>
      </c>
      <c r="AY16" s="48">
        <v>1515747835.4699991</v>
      </c>
      <c r="AZ16" s="48">
        <v>393569581.07000041</v>
      </c>
      <c r="BA16" s="48">
        <v>590467857.99999881</v>
      </c>
      <c r="BB16" s="48">
        <v>123072968.54999997</v>
      </c>
      <c r="BC16" s="48">
        <v>49006032.04999996</v>
      </c>
      <c r="BD16" s="48">
        <v>4569110007.7600012</v>
      </c>
      <c r="BE16" s="48">
        <v>3735962155.8500004</v>
      </c>
      <c r="BF16" s="48">
        <v>5371757701.9499989</v>
      </c>
      <c r="BG16" s="48">
        <v>20278857891.549999</v>
      </c>
      <c r="BH16" s="48">
        <v>11851587604.450001</v>
      </c>
      <c r="BI16" s="48">
        <v>7533442681.1099987</v>
      </c>
      <c r="BJ16" s="48">
        <v>2924342863.1700001</v>
      </c>
      <c r="BK16" s="48">
        <v>41897634.780000456</v>
      </c>
      <c r="BL16" s="48">
        <v>197901548.59000182</v>
      </c>
      <c r="BM16" s="48">
        <v>97424684.35999991</v>
      </c>
      <c r="BN16" s="48">
        <v>6021398617.7600021</v>
      </c>
      <c r="BO16" s="48">
        <v>2491646456.5</v>
      </c>
      <c r="BP16" s="48">
        <v>1086095182.5300004</v>
      </c>
      <c r="BQ16" s="48">
        <v>422321168.11000037</v>
      </c>
      <c r="BR16" s="48">
        <v>20111833.079999696</v>
      </c>
      <c r="BS16" s="48">
        <v>93361659.640001073</v>
      </c>
      <c r="BT16" s="48">
        <v>1791840389.8799999</v>
      </c>
      <c r="BU16" s="48">
        <v>796518591.1099999</v>
      </c>
      <c r="BV16" s="48">
        <v>789241880.56000113</v>
      </c>
      <c r="BW16" s="48">
        <v>1592903091.3699996</v>
      </c>
      <c r="BX16" s="48">
        <v>24993790.940000307</v>
      </c>
      <c r="BY16" s="48">
        <v>395999591.96999907</v>
      </c>
      <c r="BZ16" s="48">
        <v>141397167.90999961</v>
      </c>
      <c r="CA16" s="48">
        <v>938695239.41000056</v>
      </c>
      <c r="CB16" s="48">
        <v>131911317.84000088</v>
      </c>
      <c r="CC16" s="48">
        <v>451695826.16999793</v>
      </c>
      <c r="CD16" s="48">
        <v>1064796293.2300003</v>
      </c>
      <c r="CE16" s="48">
        <v>59960086.979999311</v>
      </c>
      <c r="CF16" s="48">
        <v>155598130.12999892</v>
      </c>
      <c r="CG16" s="48">
        <v>3899945255.54</v>
      </c>
      <c r="CH16" s="48">
        <v>824130547.1400001</v>
      </c>
      <c r="CI16" s="48">
        <v>2833370964.7700005</v>
      </c>
      <c r="CJ16" s="48">
        <v>1206886709.5800016</v>
      </c>
      <c r="CK16" s="48">
        <v>484316149.91999888</v>
      </c>
      <c r="CL16" s="48">
        <v>78272533.559999719</v>
      </c>
      <c r="CM16" s="48">
        <v>52450867.419999845</v>
      </c>
      <c r="CN16" s="48">
        <v>3275065319.539999</v>
      </c>
      <c r="CO16" s="48">
        <v>127913797.4900005</v>
      </c>
      <c r="CP16" s="48">
        <v>3213031070.5299997</v>
      </c>
      <c r="CQ16" s="48">
        <v>2173109394.5300007</v>
      </c>
      <c r="CR16" s="48">
        <v>1127461528.7800004</v>
      </c>
      <c r="CS16" s="48">
        <v>442691521.27999854</v>
      </c>
      <c r="CT16" s="48">
        <v>110421356.02</v>
      </c>
      <c r="CU16" s="48">
        <v>3607069367.3699989</v>
      </c>
      <c r="CV16" s="48">
        <v>1787118187.4699996</v>
      </c>
      <c r="CW16" s="48">
        <v>1273770120.1199996</v>
      </c>
      <c r="CX16" s="48">
        <v>1867462704.55</v>
      </c>
      <c r="CY16" s="48">
        <v>33346691.810000192</v>
      </c>
      <c r="CZ16" s="48">
        <v>2122525185.9999983</v>
      </c>
      <c r="DA16" s="48">
        <v>2591334923.000001</v>
      </c>
      <c r="DB16" s="48">
        <v>80874703.569999471</v>
      </c>
      <c r="DC16" s="48">
        <v>1392683434.7300007</v>
      </c>
      <c r="DD16" s="48">
        <v>2025150937.0999992</v>
      </c>
      <c r="DE16" s="48">
        <v>4693565750.1400003</v>
      </c>
      <c r="DF16" s="48">
        <v>3148670352.1199999</v>
      </c>
      <c r="DG16" s="48">
        <v>1576599368.6699998</v>
      </c>
      <c r="DH16" s="48">
        <v>785882448.13000035</v>
      </c>
      <c r="DI16" s="48">
        <f ca="1">DI15+DI48-DI13-DH18</f>
        <v>80620209.669999853</v>
      </c>
      <c r="DJ16" s="48">
        <f ca="1">DJ15+DJ48-DJ13-DI18</f>
        <v>1399591632.2899997</v>
      </c>
      <c r="DK16" s="48">
        <f ca="1">DK15+DK48-DK13-DJ18</f>
        <v>5590332694.7700005</v>
      </c>
      <c r="DL16" s="48">
        <f ca="1">DL15+DL48-DL13-DK18</f>
        <v>58693867.699999578</v>
      </c>
      <c r="DM16" s="48">
        <v>9188189553.1200008</v>
      </c>
      <c r="DN16" s="48">
        <v>474942829.50999999</v>
      </c>
      <c r="DO16" s="48">
        <v>4770296674.0500011</v>
      </c>
      <c r="DP16" s="48">
        <v>696199124.90000033</v>
      </c>
      <c r="DQ16" s="48">
        <v>1565560275.5899992</v>
      </c>
      <c r="DR16" s="48">
        <v>866741639.60999978</v>
      </c>
      <c r="DS16" s="48">
        <v>39238539.919999234</v>
      </c>
      <c r="DT16" s="48">
        <v>2952528108.6199999</v>
      </c>
      <c r="DU16" s="48">
        <v>4593045504.3999996</v>
      </c>
      <c r="DV16" s="48">
        <v>437401600.87</v>
      </c>
      <c r="DW16" s="48">
        <v>-26685932.760000113</v>
      </c>
      <c r="DX16" s="48">
        <v>247878310.04000056</v>
      </c>
      <c r="DY16" s="48">
        <v>3513842566.5400019</v>
      </c>
      <c r="DZ16" s="48">
        <v>2232725909.9700003</v>
      </c>
      <c r="EA16" s="48">
        <v>622551272.43000042</v>
      </c>
      <c r="EB16" s="48">
        <v>56129624.759999387</v>
      </c>
      <c r="EC16" s="48">
        <v>828282316.2299999</v>
      </c>
      <c r="ED16" s="48">
        <v>114847413.51000011</v>
      </c>
      <c r="EE16" s="48">
        <v>78737467.220000386</v>
      </c>
      <c r="EF16" s="48">
        <v>301760595.01000011</v>
      </c>
      <c r="EG16" s="48">
        <v>215842403.15999997</v>
      </c>
      <c r="EH16" s="48">
        <v>3521262599.5900002</v>
      </c>
      <c r="EI16" s="48">
        <v>1964770892.1599998</v>
      </c>
      <c r="EJ16" s="48">
        <v>464004123.29000008</v>
      </c>
      <c r="EK16" s="48">
        <v>40150712.800000302</v>
      </c>
      <c r="EL16" s="48">
        <v>80724104.420000196</v>
      </c>
      <c r="EM16" s="48">
        <v>2334236096.1200008</v>
      </c>
      <c r="EN16" s="48">
        <v>2772154942.71</v>
      </c>
      <c r="EO16" s="48">
        <v>1452332095.46</v>
      </c>
      <c r="EP16" s="48">
        <v>55345501.060000531</v>
      </c>
      <c r="EQ16" s="48">
        <v>2947432139.2099996</v>
      </c>
      <c r="ER16" s="48">
        <v>1609094489.4199991</v>
      </c>
      <c r="ES16" s="48">
        <v>31553496.790000077</v>
      </c>
      <c r="ET16" s="48">
        <v>331976136.25000012</v>
      </c>
      <c r="EU16" s="48">
        <v>195271914.16999972</v>
      </c>
      <c r="EV16" s="48">
        <v>908517877.59999979</v>
      </c>
      <c r="EW16" s="48">
        <v>1322738129.0600004</v>
      </c>
      <c r="EX16" s="48">
        <v>409905349.36999953</v>
      </c>
      <c r="EY16" s="48">
        <v>254632484.48000062</v>
      </c>
      <c r="EZ16" s="48">
        <v>1438749897.4099994</v>
      </c>
      <c r="FA16" s="48">
        <v>3335710615.1499996</v>
      </c>
      <c r="FB16" s="48">
        <v>1230268438.6399994</v>
      </c>
      <c r="FC16" s="48">
        <v>91073407.05000031</v>
      </c>
      <c r="FD16" s="48">
        <v>129203203.74999964</v>
      </c>
      <c r="FE16" s="48">
        <v>348900085.21000016</v>
      </c>
      <c r="FF16" s="48">
        <v>2269781832.4200006</v>
      </c>
      <c r="FG16" s="48">
        <v>1947460091.3300009</v>
      </c>
      <c r="FH16" s="48">
        <v>1967957.1000000192</v>
      </c>
      <c r="FI16" s="48">
        <v>218979117.29999983</v>
      </c>
      <c r="FJ16" s="48">
        <v>654324997.15000069</v>
      </c>
      <c r="FK16" s="48">
        <v>381931540.73999989</v>
      </c>
      <c r="FL16" s="48">
        <v>180359253.83999932</v>
      </c>
      <c r="FM16" s="48">
        <f ca="1">FM15+FM48-FM13-FL18</f>
        <v>100852487.86000025</v>
      </c>
      <c r="FN16" s="48">
        <f ca="1">FN15+FN48-FN13-FM18</f>
        <v>127024778.63999951</v>
      </c>
      <c r="FO16" s="48">
        <f ca="1">FO15+FO48-FO13-FN18</f>
        <v>-2248486938.3199997</v>
      </c>
      <c r="FP16" s="48">
        <f ca="1">FP15+FP48-FP13-FO18</f>
        <v>-3683034359.79</v>
      </c>
      <c r="FQ16" s="48">
        <v>3262830756.8799996</v>
      </c>
      <c r="FR16" s="48">
        <v>2582859971.96</v>
      </c>
      <c r="FS16" s="48">
        <v>1781080294.72</v>
      </c>
      <c r="FT16" s="48">
        <v>2158657494.6099997</v>
      </c>
      <c r="FU16" s="48">
        <v>3017453099.2699995</v>
      </c>
      <c r="FV16" s="48">
        <v>2095601588.7700005</v>
      </c>
      <c r="FW16" s="48">
        <v>68159397.570000291</v>
      </c>
      <c r="FX16" s="48">
        <v>579512494.89999974</v>
      </c>
      <c r="FY16" s="48">
        <v>323093126.85000002</v>
      </c>
      <c r="FZ16" s="48">
        <v>534200774.33000004</v>
      </c>
      <c r="GA16" s="48">
        <v>2092567002.5</v>
      </c>
      <c r="GB16" s="48">
        <v>54379043.029999845</v>
      </c>
      <c r="GC16" s="48">
        <v>123517061.50000012</v>
      </c>
      <c r="GD16" s="48">
        <v>221458709.60000002</v>
      </c>
      <c r="GE16" s="48">
        <v>456566134.14999998</v>
      </c>
      <c r="GF16" s="48">
        <v>1280958992.9299994</v>
      </c>
      <c r="GG16" s="48">
        <v>3647470303.5500002</v>
      </c>
      <c r="GH16" s="48">
        <v>1036278395.3899995</v>
      </c>
      <c r="GI16" s="48">
        <v>800894827.37</v>
      </c>
      <c r="GJ16" s="48">
        <v>376927819.38999999</v>
      </c>
      <c r="GK16" s="48">
        <v>2725741759.6100001</v>
      </c>
      <c r="GL16" s="48">
        <v>8749309417.2500019</v>
      </c>
      <c r="GM16" s="48">
        <v>319177480.04000199</v>
      </c>
      <c r="GN16" s="48">
        <v>266396196.03000009</v>
      </c>
      <c r="GO16" s="48">
        <v>3957001302.0699997</v>
      </c>
      <c r="GP16" s="48">
        <v>4395834040.04</v>
      </c>
      <c r="GQ16" s="48">
        <v>835153006.6899997</v>
      </c>
      <c r="GR16" s="48">
        <v>21219086.120000955</v>
      </c>
      <c r="GS16" s="48">
        <v>1499081482.7399988</v>
      </c>
      <c r="GT16" s="48">
        <v>56794296.269999616</v>
      </c>
      <c r="GU16" s="48">
        <v>116762960.37</v>
      </c>
      <c r="GV16" s="48">
        <v>8249687494.8099985</v>
      </c>
      <c r="GW16" s="48" t="e">
        <v>#NAME?</v>
      </c>
      <c r="GX16" s="48">
        <v>1550457188.0600004</v>
      </c>
      <c r="GY16" s="48">
        <v>141903499.07000029</v>
      </c>
      <c r="GZ16" s="48">
        <v>580056332.15999997</v>
      </c>
      <c r="HA16" s="48">
        <v>335544257.24000037</v>
      </c>
      <c r="HB16" s="48">
        <v>1214888024.6499987</v>
      </c>
      <c r="HC16" s="48">
        <v>621035796.24999917</v>
      </c>
      <c r="HD16" s="48">
        <v>198869543.60000002</v>
      </c>
      <c r="HE16" s="48">
        <v>452234723.57999957</v>
      </c>
      <c r="HF16" s="48">
        <v>5318496453.8199997</v>
      </c>
      <c r="HG16" s="48">
        <v>873591625.52999985</v>
      </c>
      <c r="HH16" s="48">
        <v>414137404.99999964</v>
      </c>
      <c r="HI16" s="48">
        <v>5456975868.5599995</v>
      </c>
      <c r="HJ16" s="48">
        <v>5566012377.8099995</v>
      </c>
      <c r="HK16" s="48">
        <v>4335182551.500001</v>
      </c>
      <c r="HL16" s="48">
        <v>4561560590.71</v>
      </c>
      <c r="HM16" s="48">
        <v>-1299561048.5600004</v>
      </c>
      <c r="HN16" s="48">
        <v>3235430946.1700001</v>
      </c>
      <c r="HO16" s="48">
        <v>2191898237.3699999</v>
      </c>
      <c r="HP16" s="48">
        <v>2324142981.8100004</v>
      </c>
      <c r="HQ16" s="48">
        <v>1007027499.4899989</v>
      </c>
      <c r="HR16" s="48">
        <v>1651118795.9099998</v>
      </c>
      <c r="HS16" s="48">
        <v>248636822.40999901</v>
      </c>
      <c r="HT16" s="48">
        <v>4783660956.1999998</v>
      </c>
      <c r="HU16" s="48">
        <v>1999571246.4000001</v>
      </c>
      <c r="HV16" s="48">
        <v>262922281.15000069</v>
      </c>
      <c r="HW16" s="48">
        <v>1232451246.1399994</v>
      </c>
      <c r="HX16" s="48">
        <v>4048996849.3899984</v>
      </c>
      <c r="HY16" s="48">
        <v>2884337763.3800001</v>
      </c>
      <c r="HZ16" s="48" t="e">
        <f ca="1">HZ15+HZ48-HZ13-HY18</f>
        <v>#NAME?</v>
      </c>
      <c r="IA16" s="48" t="e">
        <f ca="1">IA15+IA48-IA13-HZ18</f>
        <v>#NAME?</v>
      </c>
      <c r="IB16" s="48" t="e">
        <f ca="1">IB15+IB48-IB13-IA18</f>
        <v>#NAME?</v>
      </c>
      <c r="IC16" s="48">
        <v>559487232.31000006</v>
      </c>
      <c r="ID16" s="48">
        <v>645445538.27000058</v>
      </c>
      <c r="IE16" s="48">
        <v>826540409.34000027</v>
      </c>
      <c r="IF16" s="48">
        <v>187967593.89999974</v>
      </c>
      <c r="IG16" s="48">
        <v>3344650624.749999</v>
      </c>
      <c r="IH16" s="48">
        <v>2666615298.9899998</v>
      </c>
      <c r="II16" s="48">
        <v>270794803.30000031</v>
      </c>
      <c r="IJ16" s="48">
        <v>547642509.92000008</v>
      </c>
      <c r="IK16" s="48">
        <v>606548139.39000034</v>
      </c>
      <c r="IL16" s="48">
        <v>39814418.230000056</v>
      </c>
      <c r="IM16" s="48">
        <v>532193400.88000017</v>
      </c>
      <c r="IN16" s="48">
        <v>3812081860.7399998</v>
      </c>
      <c r="IO16" s="48">
        <v>2747897045.9900017</v>
      </c>
      <c r="IP16" s="48">
        <v>2615226548.1299996</v>
      </c>
      <c r="IQ16" s="48">
        <v>2527651191.6300001</v>
      </c>
      <c r="IR16" s="48">
        <v>1096872109.7399998</v>
      </c>
      <c r="IS16" s="48">
        <v>1003508234.1599998</v>
      </c>
      <c r="IT16" s="48">
        <v>164519710.39999965</v>
      </c>
      <c r="IU16" s="48">
        <v>1421942669.8799996</v>
      </c>
      <c r="IV16" s="48">
        <v>913198575.38999987</v>
      </c>
      <c r="IW16" s="48">
        <v>27604525.130000152</v>
      </c>
      <c r="IX16" s="48">
        <v>323964261.59000021</v>
      </c>
      <c r="IY16" s="48">
        <v>32018085.150000609</v>
      </c>
      <c r="IZ16" s="48">
        <v>1671983616.5</v>
      </c>
      <c r="JA16" s="48">
        <v>1288228986.46</v>
      </c>
      <c r="JB16" s="48">
        <v>598248642.71000004</v>
      </c>
      <c r="JC16" s="48">
        <v>1170261171.6600003</v>
      </c>
      <c r="JD16" s="48">
        <v>802700955.74000025</v>
      </c>
      <c r="JE16" s="48" t="e">
        <f ca="1">JE15+JE48-JE13-JD18</f>
        <v>#NAME?</v>
      </c>
      <c r="JF16" s="48">
        <v>147201787.71000007</v>
      </c>
      <c r="JG16" s="48" t="e">
        <f ca="1">JG15+JG48-JG13-JF18</f>
        <v>#NAME?</v>
      </c>
      <c r="JH16" s="48">
        <v>413656369.11999804</v>
      </c>
      <c r="JI16" s="48">
        <v>2151389929.0899997</v>
      </c>
      <c r="JJ16" s="48">
        <v>5470929592.8900003</v>
      </c>
      <c r="JK16" s="48">
        <v>3042256569.8899994</v>
      </c>
      <c r="JL16" s="48">
        <v>1443906299.5299997</v>
      </c>
      <c r="JM16" s="48">
        <v>56469303.699999847</v>
      </c>
      <c r="JN16" s="48">
        <v>8562925001.8100004</v>
      </c>
      <c r="JO16" s="48">
        <v>6184459777.3399992</v>
      </c>
      <c r="JP16" s="48">
        <v>840439129.52000046</v>
      </c>
      <c r="JQ16" s="48">
        <v>414595198.86000019</v>
      </c>
      <c r="JR16" s="48">
        <v>113182768.72999959</v>
      </c>
      <c r="JS16" s="48">
        <v>1875859483.8799996</v>
      </c>
      <c r="JT16" s="48">
        <v>2028568639.5000002</v>
      </c>
      <c r="JU16" s="48">
        <v>719428613.27000046</v>
      </c>
      <c r="JV16" s="48">
        <v>82021415.769999787</v>
      </c>
      <c r="JW16" s="48">
        <v>121437357.7599998</v>
      </c>
      <c r="JX16" s="48">
        <v>851895983.61000013</v>
      </c>
      <c r="JY16" s="48">
        <v>1212894701.27</v>
      </c>
      <c r="JZ16" s="48">
        <v>1182549610.6300001</v>
      </c>
      <c r="KA16" s="48">
        <v>588902707.91000009</v>
      </c>
      <c r="KB16" s="48">
        <v>312376966.36999947</v>
      </c>
      <c r="KC16" s="48">
        <v>2106735902.1800003</v>
      </c>
      <c r="KD16" s="48">
        <v>915003912.35000038</v>
      </c>
      <c r="KE16" s="48">
        <v>612550434.19999981</v>
      </c>
      <c r="KF16" s="48">
        <v>552855227.8499999</v>
      </c>
      <c r="KG16" s="48">
        <v>37872486.550000228</v>
      </c>
      <c r="KH16" s="48">
        <v>514713224.71999985</v>
      </c>
      <c r="KI16" s="48">
        <v>1260400783.6899996</v>
      </c>
      <c r="KJ16" s="48">
        <v>674121012.3499999</v>
      </c>
      <c r="KK16" s="48">
        <v>733850128.28000021</v>
      </c>
      <c r="KL16" s="48">
        <v>1000565509.7399998</v>
      </c>
      <c r="KM16" s="48">
        <v>89832166.710000083</v>
      </c>
      <c r="KN16" s="48">
        <v>195943161.3200002</v>
      </c>
      <c r="KO16" s="48">
        <v>52694749.470000066</v>
      </c>
      <c r="KP16" s="48">
        <v>321125475.56</v>
      </c>
      <c r="KQ16" s="48">
        <v>3154091286.7400002</v>
      </c>
      <c r="KR16" s="48">
        <v>1779701779.75</v>
      </c>
      <c r="KS16" s="48">
        <v>379744084.67999941</v>
      </c>
      <c r="KT16" s="48">
        <v>249669879.61000016</v>
      </c>
      <c r="KU16" s="48">
        <v>156096678.52000001</v>
      </c>
      <c r="KV16" s="48">
        <v>188855175.47999981</v>
      </c>
      <c r="KW16" s="48">
        <v>732810170.82999992</v>
      </c>
      <c r="KX16" s="48">
        <v>1719652322.5999997</v>
      </c>
      <c r="KY16" s="48">
        <v>1776376143.9699998</v>
      </c>
      <c r="KZ16" s="48">
        <v>9069119441.8600006</v>
      </c>
      <c r="LA16" s="48">
        <v>4941832751.9699993</v>
      </c>
      <c r="LB16" s="48">
        <v>1396708380.1099997</v>
      </c>
      <c r="LC16" s="48">
        <v>389062911.77999979</v>
      </c>
      <c r="LD16" s="48">
        <v>1199274312.6999998</v>
      </c>
      <c r="LE16" s="48">
        <v>311033207.90000063</v>
      </c>
      <c r="LF16" s="48">
        <v>116269564.75000004</v>
      </c>
      <c r="LG16" s="48">
        <v>365982378.63000017</v>
      </c>
      <c r="LH16" s="48">
        <v>3451595926.5499997</v>
      </c>
      <c r="LI16" s="48">
        <v>5153037043.250001</v>
      </c>
      <c r="LJ16" s="48">
        <v>6099821920.2799997</v>
      </c>
      <c r="LK16" s="48">
        <v>151184423.1300011</v>
      </c>
      <c r="LL16" s="48">
        <v>556234041.5600009</v>
      </c>
      <c r="LM16" s="48">
        <v>4331496993.5999985</v>
      </c>
      <c r="LN16" s="48">
        <v>1823386711.3899994</v>
      </c>
      <c r="LO16" s="48">
        <v>451156352.81000048</v>
      </c>
      <c r="LP16" s="48">
        <v>4625621085.1499996</v>
      </c>
      <c r="LQ16" s="48">
        <v>2362136202.7600002</v>
      </c>
      <c r="LR16" s="48">
        <v>1174847903.76</v>
      </c>
      <c r="LS16" s="48">
        <v>918792406.0199995</v>
      </c>
      <c r="LT16" s="48">
        <v>52060693.190000094</v>
      </c>
      <c r="LU16" s="48">
        <v>304810564.2100001</v>
      </c>
      <c r="LV16" s="48">
        <v>324061274.9600001</v>
      </c>
      <c r="LW16" s="48">
        <v>1159148561.1900001</v>
      </c>
      <c r="LX16" s="48">
        <v>1614552306.46</v>
      </c>
      <c r="LY16" s="48">
        <v>313363695.59999973</v>
      </c>
      <c r="LZ16" s="48">
        <v>453474839.94000012</v>
      </c>
      <c r="MA16" s="48">
        <v>7134274476.8100014</v>
      </c>
      <c r="MB16" s="48">
        <v>3916056706.1999993</v>
      </c>
      <c r="MC16" s="48">
        <v>3493908097.75</v>
      </c>
      <c r="MD16" s="48">
        <v>1403999294.2600002</v>
      </c>
      <c r="ME16" s="48">
        <v>1194600104.6900005</v>
      </c>
      <c r="MF16" s="48">
        <v>3142626193.2699995</v>
      </c>
      <c r="MG16" s="48">
        <v>1517127725.05</v>
      </c>
      <c r="MH16" s="48">
        <v>538049591.45000029</v>
      </c>
      <c r="MI16" s="48">
        <v>2611998112.8199997</v>
      </c>
      <c r="MJ16" s="48">
        <v>3868504090.1499996</v>
      </c>
      <c r="MK16" s="48">
        <v>2400449037.5299997</v>
      </c>
      <c r="ML16" s="48">
        <v>209568140.20000079</v>
      </c>
      <c r="MM16" s="48">
        <v>95365255.740000054</v>
      </c>
      <c r="MN16" s="48">
        <v>1030321048.8499999</v>
      </c>
      <c r="MO16" s="48">
        <v>2950057718.5999999</v>
      </c>
      <c r="MP16" s="48">
        <v>2253066528.1199999</v>
      </c>
      <c r="MQ16" s="48">
        <v>471347518.23000056</v>
      </c>
      <c r="MR16" s="48">
        <v>131475601.13000004</v>
      </c>
      <c r="MS16" s="48">
        <v>707341362.32000017</v>
      </c>
      <c r="MT16" s="48">
        <v>3455215405.6199999</v>
      </c>
      <c r="MU16" s="48">
        <v>2087003884.3799996</v>
      </c>
      <c r="MV16" s="48">
        <v>1824576030.4999995</v>
      </c>
      <c r="MW16" s="48">
        <v>771324800.36999989</v>
      </c>
      <c r="MX16" s="48">
        <v>308244817.97000033</v>
      </c>
      <c r="MY16" s="48">
        <v>938562640.34000015</v>
      </c>
      <c r="MZ16" s="48">
        <v>123137216.24000005</v>
      </c>
      <c r="NA16" s="48">
        <v>282232989.68999964</v>
      </c>
      <c r="NB16" s="48">
        <v>148964238.03999951</v>
      </c>
      <c r="NC16" s="48">
        <v>1807199504.0700002</v>
      </c>
      <c r="ND16" s="48">
        <v>1791544438.8400002</v>
      </c>
      <c r="NE16" s="48">
        <v>1253047624.3800001</v>
      </c>
      <c r="NF16" s="48">
        <v>2265585817.3499999</v>
      </c>
      <c r="NG16" s="48">
        <v>1552304801.1299996</v>
      </c>
      <c r="NH16" s="48">
        <v>2716175514.7499986</v>
      </c>
      <c r="NI16" s="48">
        <v>6250431674.460001</v>
      </c>
      <c r="NJ16" s="48">
        <v>4901971058.5900002</v>
      </c>
      <c r="NK16" s="48">
        <v>3517455872.7700009</v>
      </c>
      <c r="NL16" s="48">
        <v>2400056665.7199998</v>
      </c>
      <c r="NM16" s="48">
        <v>215106409.52000096</v>
      </c>
      <c r="NN16" s="48">
        <v>1400043116.9200001</v>
      </c>
      <c r="NO16" s="48">
        <v>921298179.65999985</v>
      </c>
      <c r="NP16" s="48">
        <v>1756413933.4800003</v>
      </c>
      <c r="NQ16" s="48">
        <v>409320049.61000013</v>
      </c>
      <c r="NR16" s="48">
        <v>1851143599.980001</v>
      </c>
      <c r="NS16" s="48">
        <v>723783086.93999982</v>
      </c>
      <c r="NT16" s="48">
        <v>178022850.70000008</v>
      </c>
      <c r="NU16" s="48">
        <v>932177264.38999891</v>
      </c>
      <c r="NV16" s="48">
        <v>300840171.41000032</v>
      </c>
      <c r="NW16" s="48">
        <v>2665613938.0800004</v>
      </c>
      <c r="NX16" s="48">
        <v>2414489521.849999</v>
      </c>
      <c r="NY16" s="48">
        <v>649798778.28999949</v>
      </c>
      <c r="NZ16" s="48">
        <v>80214619.309999958</v>
      </c>
      <c r="OA16" s="48">
        <v>18777725.559999961</v>
      </c>
      <c r="OB16" s="48">
        <v>216825935.00000015</v>
      </c>
      <c r="OC16" s="48">
        <v>1079066273.9300003</v>
      </c>
      <c r="OD16" s="48">
        <v>521886958.93999982</v>
      </c>
      <c r="OE16" s="48">
        <v>1537854475.0499997</v>
      </c>
      <c r="OF16" s="48">
        <v>391767580.44000006</v>
      </c>
      <c r="OG16" s="48">
        <v>191761252.96999982</v>
      </c>
      <c r="OH16" s="48">
        <v>862569261.73000002</v>
      </c>
      <c r="OI16" s="48">
        <v>437518353.51999998</v>
      </c>
      <c r="OJ16" s="48">
        <v>608095583.3499999</v>
      </c>
      <c r="OK16" s="48">
        <v>475684841.63999987</v>
      </c>
      <c r="OL16" s="48">
        <v>157732755.10000041</v>
      </c>
      <c r="OM16" s="48">
        <v>173989346.00000009</v>
      </c>
      <c r="ON16" s="48">
        <v>446601851.75999975</v>
      </c>
      <c r="OO16" s="48">
        <v>456733263.42999995</v>
      </c>
      <c r="OP16" s="48">
        <v>403473497.22000003</v>
      </c>
      <c r="OQ16" s="48">
        <v>628385463.88000011</v>
      </c>
      <c r="OR16" s="48">
        <v>776395458.94000006</v>
      </c>
      <c r="OS16" s="48">
        <v>1760589737.2500005</v>
      </c>
      <c r="OT16" s="48">
        <v>895458117.6500001</v>
      </c>
      <c r="OU16" s="48">
        <v>878959417.62000012</v>
      </c>
      <c r="OV16" s="48">
        <v>1250664977.6900005</v>
      </c>
      <c r="OW16" s="48">
        <v>6781428478.4700012</v>
      </c>
      <c r="OX16" s="48">
        <v>3709349951.9199986</v>
      </c>
      <c r="OY16" s="48">
        <v>2240695329.2800007</v>
      </c>
      <c r="OZ16" s="48">
        <v>4679400966.2200003</v>
      </c>
      <c r="PA16" s="48">
        <v>1537314026.98</v>
      </c>
      <c r="PB16" s="48">
        <v>494850157.4400003</v>
      </c>
      <c r="PC16" s="48">
        <v>866110879.38999891</v>
      </c>
      <c r="PD16" s="48">
        <v>2214207721.52</v>
      </c>
      <c r="PE16" s="48">
        <v>1253493304.8100002</v>
      </c>
      <c r="PF16" s="48">
        <v>495562551.86999989</v>
      </c>
      <c r="PG16" s="48">
        <v>1275806558.0500002</v>
      </c>
      <c r="PH16" s="48">
        <v>-732140725.14000082</v>
      </c>
      <c r="PI16" s="48">
        <v>2645783997.6499996</v>
      </c>
      <c r="PJ16" s="48">
        <v>3536618631.9500003</v>
      </c>
      <c r="PK16" s="48">
        <v>3427943114.7599998</v>
      </c>
      <c r="PL16" s="48">
        <v>49800576.650000118</v>
      </c>
      <c r="PM16" s="48">
        <v>2967290299.9999995</v>
      </c>
      <c r="PN16" s="48">
        <v>2314110501.0300002</v>
      </c>
      <c r="PO16" s="48" t="e">
        <f ca="1">PO15+PO48-PO13-PN18</f>
        <v>#NAME?</v>
      </c>
      <c r="PP16" s="48" t="e">
        <f ca="1">PP15+PP48-PP13-PO18</f>
        <v>#NAME?</v>
      </c>
      <c r="PQ16" s="48" t="e">
        <f t="shared" ref="PQ16:SA16" ca="1" si="5">PQ15+PQ48-PQ13-PP18</f>
        <v>#NAME?</v>
      </c>
      <c r="PR16" s="48" t="e">
        <f t="shared" ca="1" si="5"/>
        <v>#NAME?</v>
      </c>
      <c r="PS16" s="48" t="e">
        <f t="shared" ca="1" si="5"/>
        <v>#NAME?</v>
      </c>
      <c r="PT16" s="48" t="e">
        <f t="shared" ca="1" si="5"/>
        <v>#NAME?</v>
      </c>
      <c r="PU16" s="48" t="e">
        <f t="shared" ca="1" si="5"/>
        <v>#NAME?</v>
      </c>
      <c r="PV16" s="48" t="e">
        <f t="shared" ca="1" si="5"/>
        <v>#NAME?</v>
      </c>
      <c r="PW16" s="48" t="e">
        <f t="shared" ca="1" si="5"/>
        <v>#NAME?</v>
      </c>
      <c r="PX16" s="48" t="e">
        <f t="shared" ca="1" si="5"/>
        <v>#NAME?</v>
      </c>
      <c r="PY16" s="48" t="e">
        <f t="shared" ca="1" si="5"/>
        <v>#NAME?</v>
      </c>
      <c r="PZ16" s="48" t="e">
        <f t="shared" ca="1" si="5"/>
        <v>#NAME?</v>
      </c>
      <c r="QA16" s="48" t="e">
        <f t="shared" ca="1" si="5"/>
        <v>#NAME?</v>
      </c>
      <c r="QB16" s="48" t="e">
        <f t="shared" ca="1" si="5"/>
        <v>#NAME?</v>
      </c>
      <c r="QC16" s="48" t="e">
        <f t="shared" ca="1" si="5"/>
        <v>#NAME?</v>
      </c>
      <c r="QD16" s="48" t="e">
        <f t="shared" ca="1" si="5"/>
        <v>#NAME?</v>
      </c>
      <c r="QE16" s="48" t="e">
        <f t="shared" ca="1" si="5"/>
        <v>#NAME?</v>
      </c>
      <c r="QF16" s="48" t="e">
        <f t="shared" ca="1" si="5"/>
        <v>#NAME?</v>
      </c>
      <c r="QG16" s="48" t="e">
        <f t="shared" ca="1" si="5"/>
        <v>#NAME?</v>
      </c>
      <c r="QH16" s="48" t="e">
        <f t="shared" ca="1" si="5"/>
        <v>#NAME?</v>
      </c>
      <c r="QI16" s="48" t="e">
        <f t="shared" ca="1" si="5"/>
        <v>#NAME?</v>
      </c>
      <c r="QJ16" s="48" t="e">
        <f t="shared" ca="1" si="5"/>
        <v>#NAME?</v>
      </c>
      <c r="QK16" s="48" t="e">
        <f t="shared" ca="1" si="5"/>
        <v>#NAME?</v>
      </c>
      <c r="QL16" s="48" t="e">
        <f t="shared" ca="1" si="5"/>
        <v>#NAME?</v>
      </c>
      <c r="QM16" s="48" t="e">
        <f t="shared" ca="1" si="5"/>
        <v>#NAME?</v>
      </c>
      <c r="QN16" s="48" t="e">
        <f t="shared" ca="1" si="5"/>
        <v>#NAME?</v>
      </c>
      <c r="QO16" s="48" t="e">
        <f t="shared" ca="1" si="5"/>
        <v>#NAME?</v>
      </c>
      <c r="QP16" s="48" t="e">
        <f t="shared" ca="1" si="5"/>
        <v>#NAME?</v>
      </c>
      <c r="QQ16" s="48" t="e">
        <f t="shared" ca="1" si="5"/>
        <v>#NAME?</v>
      </c>
      <c r="QR16" s="48" t="e">
        <f t="shared" ca="1" si="5"/>
        <v>#NAME?</v>
      </c>
      <c r="QS16" s="48" t="e">
        <f t="shared" ca="1" si="5"/>
        <v>#NAME?</v>
      </c>
      <c r="QT16" s="48" t="e">
        <f t="shared" ca="1" si="5"/>
        <v>#NAME?</v>
      </c>
      <c r="QU16" s="48" t="e">
        <f t="shared" ca="1" si="5"/>
        <v>#NAME?</v>
      </c>
      <c r="QV16" s="48" t="e">
        <f t="shared" ca="1" si="5"/>
        <v>#NAME?</v>
      </c>
      <c r="QW16" s="48" t="e">
        <f t="shared" ca="1" si="5"/>
        <v>#NAME?</v>
      </c>
      <c r="QX16" s="48" t="e">
        <f t="shared" ca="1" si="5"/>
        <v>#NAME?</v>
      </c>
      <c r="QY16" s="48" t="e">
        <f t="shared" ca="1" si="5"/>
        <v>#NAME?</v>
      </c>
      <c r="QZ16" s="48" t="e">
        <f t="shared" ca="1" si="5"/>
        <v>#NAME?</v>
      </c>
      <c r="RA16" s="48" t="e">
        <f t="shared" ca="1" si="5"/>
        <v>#NAME?</v>
      </c>
      <c r="RB16" s="48" t="e">
        <f t="shared" ca="1" si="5"/>
        <v>#NAME?</v>
      </c>
      <c r="RC16" s="48" t="e">
        <f t="shared" ca="1" si="5"/>
        <v>#NAME?</v>
      </c>
      <c r="RD16" s="48" t="e">
        <f t="shared" ca="1" si="5"/>
        <v>#NAME?</v>
      </c>
      <c r="RE16" s="48" t="e">
        <f t="shared" ca="1" si="5"/>
        <v>#NAME?</v>
      </c>
      <c r="RF16" s="48" t="e">
        <f t="shared" ca="1" si="5"/>
        <v>#NAME?</v>
      </c>
      <c r="RG16" s="48" t="e">
        <f t="shared" ca="1" si="5"/>
        <v>#NAME?</v>
      </c>
      <c r="RH16" s="48" t="e">
        <f t="shared" ca="1" si="5"/>
        <v>#NAME?</v>
      </c>
      <c r="RI16" s="48" t="e">
        <f t="shared" ca="1" si="5"/>
        <v>#NAME?</v>
      </c>
      <c r="RJ16" s="48" t="e">
        <f t="shared" ca="1" si="5"/>
        <v>#NAME?</v>
      </c>
      <c r="RK16" s="48" t="e">
        <f t="shared" ca="1" si="5"/>
        <v>#NAME?</v>
      </c>
      <c r="RL16" s="48" t="e">
        <f t="shared" ca="1" si="5"/>
        <v>#NAME?</v>
      </c>
      <c r="RM16" s="48" t="e">
        <f t="shared" ca="1" si="5"/>
        <v>#NAME?</v>
      </c>
      <c r="RN16" s="48" t="e">
        <f t="shared" ca="1" si="5"/>
        <v>#NAME?</v>
      </c>
      <c r="RO16" s="48" t="e">
        <f t="shared" ca="1" si="5"/>
        <v>#NAME?</v>
      </c>
      <c r="RP16" s="48" t="e">
        <f t="shared" ca="1" si="5"/>
        <v>#NAME?</v>
      </c>
      <c r="RQ16" s="48" t="e">
        <f t="shared" ca="1" si="5"/>
        <v>#NAME?</v>
      </c>
      <c r="RR16" s="48" t="e">
        <f t="shared" ca="1" si="5"/>
        <v>#NAME?</v>
      </c>
      <c r="RS16" s="48" t="e">
        <f t="shared" ca="1" si="5"/>
        <v>#NAME?</v>
      </c>
      <c r="RT16" s="48" t="e">
        <f t="shared" ca="1" si="5"/>
        <v>#NAME?</v>
      </c>
      <c r="RU16" s="48" t="e">
        <f t="shared" ca="1" si="5"/>
        <v>#NAME?</v>
      </c>
      <c r="RV16" s="48" t="e">
        <f t="shared" ca="1" si="5"/>
        <v>#NAME?</v>
      </c>
      <c r="RW16" s="48" t="e">
        <f t="shared" ca="1" si="5"/>
        <v>#NAME?</v>
      </c>
      <c r="RX16" s="48" t="e">
        <f t="shared" ca="1" si="5"/>
        <v>#NAME?</v>
      </c>
      <c r="RY16" s="48" t="e">
        <f t="shared" ca="1" si="5"/>
        <v>#NAME?</v>
      </c>
      <c r="RZ16" s="48" t="e">
        <f t="shared" ca="1" si="5"/>
        <v>#NAME?</v>
      </c>
      <c r="SA16" s="48" t="e">
        <f t="shared" ca="1" si="5"/>
        <v>#NAME?</v>
      </c>
    </row>
    <row r="17" spans="1:495" s="54" customFormat="1" x14ac:dyDescent="0.2">
      <c r="A17" s="52" t="s">
        <v>1063</v>
      </c>
      <c r="B17" s="53">
        <v>488966.62</v>
      </c>
      <c r="C17" s="53">
        <v>488966.62</v>
      </c>
      <c r="D17" s="53">
        <v>491397.25</v>
      </c>
      <c r="E17" s="53">
        <v>491397.25</v>
      </c>
      <c r="F17" s="53">
        <v>491397.25</v>
      </c>
      <c r="G17" s="53">
        <v>491397.25</v>
      </c>
      <c r="H17" s="53">
        <v>491397.25</v>
      </c>
      <c r="I17" s="53">
        <v>491397.25</v>
      </c>
      <c r="J17" s="53">
        <v>491397.25</v>
      </c>
      <c r="K17" s="53">
        <v>491397.25</v>
      </c>
      <c r="L17" s="53">
        <v>491397.25</v>
      </c>
      <c r="M17" s="53">
        <v>491397.25</v>
      </c>
      <c r="N17" s="53">
        <v>491397.25</v>
      </c>
      <c r="O17" s="53">
        <v>491397.25</v>
      </c>
      <c r="P17" s="53">
        <v>491397.25</v>
      </c>
      <c r="Q17" s="53">
        <v>491397.25</v>
      </c>
      <c r="R17" s="53">
        <v>491397.25</v>
      </c>
      <c r="S17" s="53">
        <v>491397.25</v>
      </c>
      <c r="T17" s="53">
        <v>491397.25</v>
      </c>
      <c r="U17" s="53">
        <v>491397.25</v>
      </c>
      <c r="V17" s="53">
        <v>491397.25</v>
      </c>
      <c r="W17" s="53">
        <v>491397.25</v>
      </c>
      <c r="X17" s="53">
        <v>491397.25</v>
      </c>
      <c r="Y17" s="53">
        <v>491397.25</v>
      </c>
      <c r="Z17" s="53">
        <v>491397.25</v>
      </c>
      <c r="AA17" s="53">
        <v>491397.25</v>
      </c>
      <c r="AB17" s="53">
        <v>491397.25</v>
      </c>
      <c r="AC17" s="53">
        <v>491397.25</v>
      </c>
      <c r="AD17" s="53">
        <v>491397.25</v>
      </c>
      <c r="AE17" s="53">
        <v>491397.25</v>
      </c>
      <c r="AF17" s="53">
        <v>491397.25</v>
      </c>
      <c r="AG17" s="53">
        <v>491397.25</v>
      </c>
      <c r="AH17" s="53">
        <v>491397.25</v>
      </c>
      <c r="AI17" s="53">
        <v>491397.25</v>
      </c>
      <c r="AJ17" s="53">
        <v>491397.25</v>
      </c>
      <c r="AK17" s="53">
        <v>491397.25</v>
      </c>
      <c r="AL17" s="53">
        <v>491397.25</v>
      </c>
      <c r="AM17" s="53">
        <v>491397.25</v>
      </c>
      <c r="AN17" s="53">
        <v>491397.25</v>
      </c>
      <c r="AO17" s="53">
        <v>491397.25</v>
      </c>
      <c r="AP17" s="53">
        <v>491397.25</v>
      </c>
      <c r="AQ17" s="53">
        <v>491397.25</v>
      </c>
      <c r="AR17" s="53">
        <v>491397.25</v>
      </c>
      <c r="AS17" s="53">
        <v>491397.25</v>
      </c>
      <c r="AT17" s="53">
        <v>491397.25</v>
      </c>
      <c r="AU17" s="53">
        <v>491397.25</v>
      </c>
      <c r="AV17" s="53">
        <v>491397.25</v>
      </c>
      <c r="AW17" s="53">
        <v>491397.25</v>
      </c>
      <c r="AX17" s="53">
        <v>491397.25</v>
      </c>
      <c r="AY17" s="53">
        <v>491397.25</v>
      </c>
      <c r="AZ17" s="53">
        <v>491397.25</v>
      </c>
      <c r="BA17" s="53">
        <v>491397.25</v>
      </c>
      <c r="BB17" s="53">
        <v>491397.25</v>
      </c>
      <c r="BC17" s="53">
        <v>491397.25</v>
      </c>
      <c r="BD17" s="53">
        <v>491397.25</v>
      </c>
      <c r="BE17" s="53">
        <v>491397.25</v>
      </c>
      <c r="BF17" s="53">
        <v>491397.25</v>
      </c>
      <c r="BG17" s="53">
        <v>491397.25</v>
      </c>
      <c r="BH17" s="53">
        <v>491397.25</v>
      </c>
      <c r="BI17" s="53">
        <v>491397.25</v>
      </c>
      <c r="BJ17" s="53">
        <v>491397.25</v>
      </c>
      <c r="BK17" s="53">
        <v>491397.25</v>
      </c>
      <c r="BL17" s="53">
        <v>491397.25</v>
      </c>
      <c r="BM17" s="53">
        <v>491397.25</v>
      </c>
      <c r="BN17" s="53">
        <v>491397.25</v>
      </c>
      <c r="BO17" s="53">
        <v>491397.25</v>
      </c>
      <c r="BP17" s="53">
        <v>491397.25</v>
      </c>
      <c r="BQ17" s="53">
        <v>491397.25</v>
      </c>
      <c r="BR17" s="53">
        <v>491397.25</v>
      </c>
      <c r="BS17" s="53">
        <v>491397.25</v>
      </c>
      <c r="BT17" s="53">
        <v>491397.25</v>
      </c>
      <c r="BU17" s="53">
        <v>491397.25</v>
      </c>
      <c r="BV17" s="53">
        <v>491397.25</v>
      </c>
      <c r="BW17" s="53">
        <v>491397.25</v>
      </c>
      <c r="BX17" s="53">
        <v>491397.25</v>
      </c>
      <c r="BY17" s="53">
        <v>491397.25</v>
      </c>
      <c r="BZ17" s="53">
        <v>491397.25</v>
      </c>
      <c r="CA17" s="53">
        <v>491397.25</v>
      </c>
      <c r="CB17" s="53">
        <v>491397.25</v>
      </c>
      <c r="CC17" s="53">
        <v>491397.25</v>
      </c>
      <c r="CD17" s="53">
        <v>491397.25</v>
      </c>
      <c r="CE17" s="53">
        <v>491397.25</v>
      </c>
      <c r="CF17" s="53">
        <v>491397.25</v>
      </c>
      <c r="CG17" s="53">
        <v>491397.25</v>
      </c>
      <c r="CH17" s="53">
        <v>491397.25</v>
      </c>
      <c r="CI17" s="53">
        <v>491397.25</v>
      </c>
      <c r="CJ17" s="53">
        <v>491397.25</v>
      </c>
      <c r="CK17" s="53">
        <v>491397.25</v>
      </c>
      <c r="CL17" s="53">
        <v>491397.25</v>
      </c>
      <c r="CM17" s="53">
        <v>491397.25</v>
      </c>
      <c r="CN17" s="53">
        <v>491397.25</v>
      </c>
      <c r="CO17" s="53">
        <v>491397.25</v>
      </c>
      <c r="CP17" s="53">
        <v>491397.25</v>
      </c>
      <c r="CQ17" s="53">
        <v>491397.25</v>
      </c>
      <c r="CR17" s="53">
        <v>491397.25</v>
      </c>
      <c r="CS17" s="53">
        <v>491397.25</v>
      </c>
      <c r="CT17" s="53">
        <v>491397.25</v>
      </c>
      <c r="CU17" s="53">
        <v>491397.25</v>
      </c>
      <c r="CV17" s="53">
        <v>491397.25</v>
      </c>
      <c r="CW17" s="53">
        <v>491397.25</v>
      </c>
      <c r="CX17" s="53">
        <v>491397.25</v>
      </c>
      <c r="CY17" s="53">
        <v>491397.25</v>
      </c>
      <c r="CZ17" s="53">
        <v>491397.25</v>
      </c>
      <c r="DA17" s="53">
        <v>491397.25</v>
      </c>
      <c r="DB17" s="53">
        <v>491397.25</v>
      </c>
      <c r="DC17" s="53">
        <v>491397.25</v>
      </c>
      <c r="DD17" s="53">
        <v>491397.25</v>
      </c>
      <c r="DE17" s="53">
        <v>491397.25</v>
      </c>
      <c r="DF17" s="53">
        <v>491397.25</v>
      </c>
      <c r="DG17" s="53">
        <v>491397.25</v>
      </c>
      <c r="DH17" s="53">
        <v>491397.25</v>
      </c>
      <c r="DI17" s="53">
        <f ca="1">IF(DI$5&gt;TODAY(),DH19,[1]!SCBAM_GetSecDtl("SCBSFF","INVSUOBTsff",DH$5,"MarketVal"))</f>
        <v>491397.25</v>
      </c>
      <c r="DJ17" s="53">
        <f ca="1">IF(DJ$5&gt;TODAY(),DI19,[1]!SCBAM_GetSecDtl("SCBSFF","INVSUOBTsff",DI$5,"MarketVal"))</f>
        <v>491397.25</v>
      </c>
      <c r="DK17" s="53">
        <f ca="1">IF(DK$5&gt;TODAY(),DJ19,[1]!SCBAM_GetSecDtl("SCBSFF","INVSUOBTsff",DJ$5,"MarketVal"))</f>
        <v>491397.25</v>
      </c>
      <c r="DL17" s="53">
        <f ca="1">IF(DL$5&gt;TODAY(),DK19,[1]!SCBAM_GetSecDtl("SCBSFF","INVSUOBTsff",DK$5,"MarketVal"))</f>
        <v>491397.25</v>
      </c>
      <c r="DM17" s="53">
        <v>491397.25</v>
      </c>
      <c r="DN17" s="53">
        <v>491397.25</v>
      </c>
      <c r="DO17" s="53">
        <v>491397.25</v>
      </c>
      <c r="DP17" s="53">
        <v>491397.25</v>
      </c>
      <c r="DQ17" s="53">
        <v>491397.25</v>
      </c>
      <c r="DR17" s="53">
        <v>491397.25</v>
      </c>
      <c r="DS17" s="53">
        <v>491397.25</v>
      </c>
      <c r="DT17" s="53">
        <v>491397.25</v>
      </c>
      <c r="DU17" s="53">
        <v>491397.25</v>
      </c>
      <c r="DV17" s="53">
        <v>493734.68</v>
      </c>
      <c r="DW17" s="53">
        <v>493734.68</v>
      </c>
      <c r="DX17" s="53">
        <v>493734.68</v>
      </c>
      <c r="DY17" s="53">
        <v>493734.68</v>
      </c>
      <c r="DZ17" s="53">
        <v>493734.68</v>
      </c>
      <c r="EA17" s="53">
        <v>493734.68</v>
      </c>
      <c r="EB17" s="53">
        <v>493734.68</v>
      </c>
      <c r="EC17" s="53">
        <v>493734.68</v>
      </c>
      <c r="ED17" s="53">
        <v>493734.68</v>
      </c>
      <c r="EE17" s="53">
        <v>493734.68</v>
      </c>
      <c r="EF17" s="53">
        <v>493734.68</v>
      </c>
      <c r="EG17" s="53">
        <v>493734.68</v>
      </c>
      <c r="EH17" s="53">
        <v>493734.68</v>
      </c>
      <c r="EI17" s="53">
        <v>493734.68</v>
      </c>
      <c r="EJ17" s="53">
        <v>493734.68</v>
      </c>
      <c r="EK17" s="53">
        <v>493734.68</v>
      </c>
      <c r="EL17" s="53">
        <v>493734.68</v>
      </c>
      <c r="EM17" s="53">
        <v>493734.68</v>
      </c>
      <c r="EN17" s="53">
        <v>493734.68</v>
      </c>
      <c r="EO17" s="53">
        <v>493734.68</v>
      </c>
      <c r="EP17" s="53">
        <v>493734.68</v>
      </c>
      <c r="EQ17" s="53">
        <v>493734.68</v>
      </c>
      <c r="ER17" s="53">
        <v>493734.68</v>
      </c>
      <c r="ES17" s="53">
        <v>493734.68</v>
      </c>
      <c r="ET17" s="53">
        <v>493734.68</v>
      </c>
      <c r="EU17" s="53">
        <v>493734.68</v>
      </c>
      <c r="EV17" s="53">
        <v>493734.68</v>
      </c>
      <c r="EW17" s="53">
        <v>493534.68</v>
      </c>
      <c r="EX17" s="53">
        <v>493534.68</v>
      </c>
      <c r="EY17" s="53">
        <v>493534.68</v>
      </c>
      <c r="EZ17" s="53">
        <v>493534.68</v>
      </c>
      <c r="FA17" s="53">
        <v>493534.68</v>
      </c>
      <c r="FB17" s="53">
        <v>493534.68</v>
      </c>
      <c r="FC17" s="53">
        <v>493534.68</v>
      </c>
      <c r="FD17" s="53">
        <v>493534.68</v>
      </c>
      <c r="FE17" s="53">
        <v>493534.68</v>
      </c>
      <c r="FF17" s="53">
        <v>493534.68</v>
      </c>
      <c r="FG17" s="53">
        <v>493534.68</v>
      </c>
      <c r="FH17" s="53">
        <v>493534.68</v>
      </c>
      <c r="FI17" s="53">
        <v>493534.68</v>
      </c>
      <c r="FJ17" s="53">
        <v>493534.68</v>
      </c>
      <c r="FK17" s="53">
        <v>493534.68</v>
      </c>
      <c r="FL17" s="53">
        <v>493534.68</v>
      </c>
      <c r="FM17" s="53">
        <f ca="1">IF(FM$5&gt;TODAY(),FL19,[1]!SCBAM_GetSecDtl("SCBSFF","INVSUOBTsff",FL$5,"MarketVal"))</f>
        <v>493534.68</v>
      </c>
      <c r="FN17" s="53">
        <f ca="1">IF(FN$5&gt;TODAY(),FM19,[1]!SCBAM_GetSecDtl("SCBSFF","INVSUOBTsff",FM$5,"MarketVal"))</f>
        <v>493534.68</v>
      </c>
      <c r="FO17" s="53">
        <f ca="1">IF(FO$5&gt;TODAY(),FN19,[1]!SCBAM_GetSecDtl("SCBSFF","INVSUOBTsff",FN$5,"MarketVal"))</f>
        <v>493534.68</v>
      </c>
      <c r="FP17" s="53">
        <f ca="1">IF(FP$5&gt;TODAY(),FO19,[1]!SCBAM_GetSecDtl("SCBSFF","INVSUOBTsff",FO$5,"MarketVal"))</f>
        <v>493534.68</v>
      </c>
      <c r="FQ17" s="53">
        <v>493534.68</v>
      </c>
      <c r="FR17" s="53">
        <v>493534.68</v>
      </c>
      <c r="FS17" s="53">
        <v>493534.68</v>
      </c>
      <c r="FT17" s="53">
        <v>493534.68</v>
      </c>
      <c r="FU17" s="53">
        <v>493534.68</v>
      </c>
      <c r="FV17" s="53">
        <v>493534.68</v>
      </c>
      <c r="FW17" s="53">
        <v>493534.68</v>
      </c>
      <c r="FX17" s="53">
        <v>493534.68</v>
      </c>
      <c r="FY17" s="53">
        <v>493534.68</v>
      </c>
      <c r="FZ17" s="53">
        <v>493534.68</v>
      </c>
      <c r="GA17" s="53">
        <v>493534.68</v>
      </c>
      <c r="GB17" s="53">
        <v>493534.68</v>
      </c>
      <c r="GC17" s="53">
        <v>493534.68</v>
      </c>
      <c r="GD17" s="53">
        <v>493534.68</v>
      </c>
      <c r="GE17" s="53">
        <v>493534.68</v>
      </c>
      <c r="GF17" s="53">
        <v>493534.68</v>
      </c>
      <c r="GG17" s="53">
        <v>493534.68</v>
      </c>
      <c r="GH17" s="53">
        <v>493534.68</v>
      </c>
      <c r="GI17" s="53">
        <v>493534.68</v>
      </c>
      <c r="GJ17" s="53">
        <v>493534.68</v>
      </c>
      <c r="GK17" s="53">
        <v>493534.68</v>
      </c>
      <c r="GL17" s="53">
        <v>493534.68</v>
      </c>
      <c r="GM17" s="53">
        <v>493534.68</v>
      </c>
      <c r="GN17" s="53">
        <v>493534.68</v>
      </c>
      <c r="GO17" s="53">
        <v>493534.68</v>
      </c>
      <c r="GP17" s="53">
        <v>493534.68</v>
      </c>
      <c r="GQ17" s="53">
        <v>493534.68</v>
      </c>
      <c r="GR17" s="53">
        <v>493534.68</v>
      </c>
      <c r="GS17" s="53">
        <v>493534.68</v>
      </c>
      <c r="GT17" s="53">
        <v>493534.68</v>
      </c>
      <c r="GU17" s="53">
        <v>493534.68</v>
      </c>
      <c r="GV17" s="53">
        <v>493534.68</v>
      </c>
      <c r="GW17" s="53">
        <v>493534.68</v>
      </c>
      <c r="GX17" s="53">
        <v>493534.68</v>
      </c>
      <c r="GY17" s="53">
        <v>493534.68</v>
      </c>
      <c r="GZ17" s="53">
        <v>493534.68</v>
      </c>
      <c r="HA17" s="53">
        <v>493534.68</v>
      </c>
      <c r="HB17" s="53">
        <v>493534.68</v>
      </c>
      <c r="HC17" s="53">
        <v>493534.68</v>
      </c>
      <c r="HD17" s="53">
        <v>493534.68</v>
      </c>
      <c r="HE17" s="53">
        <v>493534.68</v>
      </c>
      <c r="HF17" s="53">
        <v>493534.68</v>
      </c>
      <c r="HG17" s="53">
        <v>493534.68</v>
      </c>
      <c r="HH17" s="53">
        <v>493534.68</v>
      </c>
      <c r="HI17" s="53">
        <v>493534.68</v>
      </c>
      <c r="HJ17" s="53">
        <v>493534.68</v>
      </c>
      <c r="HK17" s="53">
        <v>493534.68</v>
      </c>
      <c r="HL17" s="53">
        <v>493534.68</v>
      </c>
      <c r="HM17" s="53">
        <v>493534.68</v>
      </c>
      <c r="HN17" s="53">
        <v>493534.68</v>
      </c>
      <c r="HO17" s="53">
        <v>493534.68</v>
      </c>
      <c r="HP17" s="53">
        <v>493534.68</v>
      </c>
      <c r="HQ17" s="53">
        <v>493534.68</v>
      </c>
      <c r="HR17" s="53">
        <v>493534.68</v>
      </c>
      <c r="HS17" s="53">
        <v>493534.68</v>
      </c>
      <c r="HT17" s="53">
        <v>493534.68</v>
      </c>
      <c r="HU17" s="53">
        <v>493534.68</v>
      </c>
      <c r="HV17" s="53">
        <v>493534.68</v>
      </c>
      <c r="HW17" s="53">
        <v>493534.68</v>
      </c>
      <c r="HX17" s="53">
        <v>493534.68</v>
      </c>
      <c r="HY17" s="53">
        <v>493534.68</v>
      </c>
      <c r="HZ17" s="53" t="e">
        <f ca="1">IF(HZ$5&gt;TODAY(),HY19,SCBAM_GetSecDtl("SCBSFF","INVSUOBTsff",HY$5,"MarketVal"))</f>
        <v>#NAME?</v>
      </c>
      <c r="IA17" s="53" t="e">
        <f ca="1">IF(IA$5&gt;TODAY(),HZ19,SCBAM_GetSecDtl("SCBSFF","INVSUOBTsff",HZ$5,"MarketVal"))</f>
        <v>#NAME?</v>
      </c>
      <c r="IB17" s="53" t="e">
        <f ca="1">IF(IB$5&gt;TODAY(),IA19,SCBAM_GetSecDtl("SCBSFF","INVSUOBTsff",IA$5,"MarketVal"))</f>
        <v>#NAME?</v>
      </c>
      <c r="IC17" s="53">
        <v>493534.68</v>
      </c>
      <c r="ID17" s="53">
        <v>493534.68</v>
      </c>
      <c r="IE17" s="53">
        <v>493534.68</v>
      </c>
      <c r="IF17" s="53">
        <v>493534.68</v>
      </c>
      <c r="IG17" s="53">
        <v>493534.68</v>
      </c>
      <c r="IH17" s="53">
        <v>493534.68</v>
      </c>
      <c r="II17" s="53">
        <v>493534.68</v>
      </c>
      <c r="IJ17" s="53">
        <v>493534.68</v>
      </c>
      <c r="IK17" s="53">
        <v>493534.68</v>
      </c>
      <c r="IL17" s="53">
        <v>493534.68</v>
      </c>
      <c r="IM17" s="53">
        <v>493534.68</v>
      </c>
      <c r="IN17" s="53">
        <v>495774.04</v>
      </c>
      <c r="IO17" s="53">
        <v>495774.04</v>
      </c>
      <c r="IP17" s="53">
        <v>495774.04</v>
      </c>
      <c r="IQ17" s="53">
        <v>495774.04</v>
      </c>
      <c r="IR17" s="53">
        <v>495774.04</v>
      </c>
      <c r="IS17" s="53">
        <v>495774.04</v>
      </c>
      <c r="IT17" s="53">
        <v>495774.04</v>
      </c>
      <c r="IU17" s="53">
        <v>495774.04</v>
      </c>
      <c r="IV17" s="53">
        <v>495774.04</v>
      </c>
      <c r="IW17" s="53">
        <v>495774.04</v>
      </c>
      <c r="IX17" s="53">
        <v>495774.04</v>
      </c>
      <c r="IY17" s="53">
        <v>495774.04</v>
      </c>
      <c r="IZ17" s="53">
        <v>495774.04</v>
      </c>
      <c r="JA17" s="53">
        <v>495774.04</v>
      </c>
      <c r="JB17" s="53">
        <v>495774.04</v>
      </c>
      <c r="JC17" s="53">
        <v>495774.04</v>
      </c>
      <c r="JD17" s="53">
        <v>495774.04</v>
      </c>
      <c r="JE17" s="53" t="e">
        <f ca="1">IF(JE$5&gt;TODAY(),JD19,SCBAM_GetSecDtl("SCBSFF","INVSUOBTsff",JD$5,"MarketVal"))</f>
        <v>#NAME?</v>
      </c>
      <c r="JF17" s="53">
        <v>495774.04</v>
      </c>
      <c r="JG17" s="53" t="e">
        <f ca="1">IF(JG$5&gt;TODAY(),JF19,SCBAM_GetSecDtl("SCBSFF","INVSUOBTsff",JF$5,"MarketVal"))</f>
        <v>#NAME?</v>
      </c>
      <c r="JH17" s="53">
        <v>495774.04</v>
      </c>
      <c r="JI17" s="53">
        <v>495774.04</v>
      </c>
      <c r="JJ17" s="53">
        <v>495774.04</v>
      </c>
      <c r="JK17" s="53">
        <v>495774.04</v>
      </c>
      <c r="JL17" s="53">
        <v>495774.04</v>
      </c>
      <c r="JM17" s="53">
        <v>495774.04</v>
      </c>
      <c r="JN17" s="53">
        <v>495774.04</v>
      </c>
      <c r="JO17" s="53">
        <v>495774.04</v>
      </c>
      <c r="JP17" s="53">
        <v>495774.04</v>
      </c>
      <c r="JQ17" s="53">
        <v>495774.04</v>
      </c>
      <c r="JR17" s="53">
        <v>495774.04</v>
      </c>
      <c r="JS17" s="53">
        <v>495774.04</v>
      </c>
      <c r="JT17" s="53">
        <v>495774.04</v>
      </c>
      <c r="JU17" s="53">
        <v>495774.04</v>
      </c>
      <c r="JV17" s="53">
        <v>495774.04</v>
      </c>
      <c r="JW17" s="53">
        <v>495774.04</v>
      </c>
      <c r="JX17" s="53">
        <v>495774.04</v>
      </c>
      <c r="JY17" s="53">
        <v>495774.04</v>
      </c>
      <c r="JZ17" s="53">
        <v>495774.04</v>
      </c>
      <c r="KA17" s="53">
        <v>495774.04</v>
      </c>
      <c r="KB17" s="53">
        <v>495774.04</v>
      </c>
      <c r="KC17" s="53">
        <v>495774.04</v>
      </c>
      <c r="KD17" s="53">
        <v>495774.04</v>
      </c>
      <c r="KE17" s="53">
        <v>495774.04</v>
      </c>
      <c r="KF17" s="53">
        <v>495774.04</v>
      </c>
      <c r="KG17" s="53">
        <v>495774.04</v>
      </c>
      <c r="KH17" s="53">
        <v>495774.04</v>
      </c>
      <c r="KI17" s="53">
        <v>495774.04</v>
      </c>
      <c r="KJ17" s="53">
        <v>495774.04</v>
      </c>
      <c r="KK17" s="53">
        <v>495774.04</v>
      </c>
      <c r="KL17" s="53">
        <v>495774.04</v>
      </c>
      <c r="KM17" s="53">
        <v>495774.04</v>
      </c>
      <c r="KN17" s="53">
        <v>495774.04</v>
      </c>
      <c r="KO17" s="53">
        <v>495774.04</v>
      </c>
      <c r="KP17" s="53">
        <v>495774.04</v>
      </c>
      <c r="KQ17" s="53">
        <v>495774.04</v>
      </c>
      <c r="KR17" s="53">
        <v>495774.04</v>
      </c>
      <c r="KS17" s="53">
        <v>495774.04</v>
      </c>
      <c r="KT17" s="53">
        <v>495774.04</v>
      </c>
      <c r="KU17" s="53">
        <v>495774.04</v>
      </c>
      <c r="KV17" s="53">
        <v>495774.04</v>
      </c>
      <c r="KW17" s="53">
        <v>495774.04</v>
      </c>
      <c r="KX17" s="53">
        <v>495774.04</v>
      </c>
      <c r="KY17" s="53">
        <v>495774.04</v>
      </c>
      <c r="KZ17" s="53">
        <v>495774.04</v>
      </c>
      <c r="LA17" s="53">
        <v>495774.04</v>
      </c>
      <c r="LB17" s="53">
        <v>495774.04</v>
      </c>
      <c r="LC17" s="53">
        <v>495774.04</v>
      </c>
      <c r="LD17" s="53">
        <v>495774.04</v>
      </c>
      <c r="LE17" s="53">
        <v>495774.04</v>
      </c>
      <c r="LF17" s="53">
        <v>495774.04</v>
      </c>
      <c r="LG17" s="53">
        <v>495774.04</v>
      </c>
      <c r="LH17" s="53">
        <v>495774.04</v>
      </c>
      <c r="LI17" s="53">
        <v>495774.04</v>
      </c>
      <c r="LJ17" s="53">
        <v>495774.04</v>
      </c>
      <c r="LK17" s="53">
        <v>495774.04</v>
      </c>
      <c r="LL17" s="53">
        <v>495774.04</v>
      </c>
      <c r="LM17" s="53">
        <v>495774.04</v>
      </c>
      <c r="LN17" s="53">
        <v>495774.04</v>
      </c>
      <c r="LO17" s="53">
        <v>495774.04</v>
      </c>
      <c r="LP17" s="53">
        <v>495774.04</v>
      </c>
      <c r="LQ17" s="53">
        <v>495774.04</v>
      </c>
      <c r="LR17" s="53">
        <v>495774.04</v>
      </c>
      <c r="LS17" s="53">
        <v>495774.04</v>
      </c>
      <c r="LT17" s="53">
        <v>495774.04</v>
      </c>
      <c r="LU17" s="53">
        <v>495774.04</v>
      </c>
      <c r="LV17" s="53">
        <v>495774.04</v>
      </c>
      <c r="LW17" s="53">
        <v>495774.04</v>
      </c>
      <c r="LX17" s="53">
        <v>495774.04</v>
      </c>
      <c r="LY17" s="53">
        <v>495774.04</v>
      </c>
      <c r="LZ17" s="53">
        <v>495774.04</v>
      </c>
      <c r="MA17" s="53">
        <v>495774.04</v>
      </c>
      <c r="MB17" s="53">
        <v>495774.04</v>
      </c>
      <c r="MC17" s="53">
        <v>495774.04</v>
      </c>
      <c r="MD17" s="53">
        <v>495774.04</v>
      </c>
      <c r="ME17" s="53">
        <v>495774.04</v>
      </c>
      <c r="MF17" s="53">
        <v>495774.04</v>
      </c>
      <c r="MG17" s="53">
        <v>495774.04</v>
      </c>
      <c r="MH17" s="53">
        <v>495774.04</v>
      </c>
      <c r="MI17" s="53">
        <v>495774.04</v>
      </c>
      <c r="MJ17" s="53">
        <v>495774.04</v>
      </c>
      <c r="MK17" s="53">
        <v>495774.04</v>
      </c>
      <c r="ML17" s="53">
        <v>495774.04</v>
      </c>
      <c r="MM17" s="53">
        <v>495774.04</v>
      </c>
      <c r="MN17" s="53">
        <v>495774.04</v>
      </c>
      <c r="MO17" s="53">
        <v>495774.04</v>
      </c>
      <c r="MP17" s="53">
        <v>495774.04</v>
      </c>
      <c r="MQ17" s="53">
        <v>495774.04</v>
      </c>
      <c r="MR17" s="53">
        <v>495774.04</v>
      </c>
      <c r="MS17" s="53">
        <v>495774.04</v>
      </c>
      <c r="MT17" s="53">
        <v>495774.04</v>
      </c>
      <c r="MU17" s="53">
        <v>495774.04</v>
      </c>
      <c r="MV17" s="53">
        <v>495774.04</v>
      </c>
      <c r="MW17" s="53">
        <v>495774.04</v>
      </c>
      <c r="MX17" s="53">
        <v>495774.04</v>
      </c>
      <c r="MY17" s="53">
        <v>495774.04</v>
      </c>
      <c r="MZ17" s="53">
        <v>495774.04</v>
      </c>
      <c r="NA17" s="53">
        <v>495774.04</v>
      </c>
      <c r="NB17" s="53">
        <v>495774.04</v>
      </c>
      <c r="NC17" s="53">
        <v>495774.04</v>
      </c>
      <c r="ND17" s="53">
        <v>495774.04</v>
      </c>
      <c r="NE17" s="53">
        <v>495774.04</v>
      </c>
      <c r="NF17" s="53">
        <v>497966.31</v>
      </c>
      <c r="NG17" s="53">
        <v>497966.31</v>
      </c>
      <c r="NH17" s="53">
        <v>497966.31</v>
      </c>
      <c r="NI17" s="53">
        <v>497966.31</v>
      </c>
      <c r="NJ17" s="53">
        <v>497966.31</v>
      </c>
      <c r="NK17" s="53">
        <v>497966.31</v>
      </c>
      <c r="NL17" s="53">
        <v>497966.31</v>
      </c>
      <c r="NM17" s="53">
        <v>497966.31</v>
      </c>
      <c r="NN17" s="53">
        <v>497966.31</v>
      </c>
      <c r="NO17" s="53">
        <v>497966.31</v>
      </c>
      <c r="NP17" s="53">
        <v>497966.31</v>
      </c>
      <c r="NQ17" s="53">
        <v>497966.31</v>
      </c>
      <c r="NR17" s="53">
        <v>497966.31</v>
      </c>
      <c r="NS17" s="53">
        <v>497966.31</v>
      </c>
      <c r="NT17" s="53">
        <v>497966.31</v>
      </c>
      <c r="NU17" s="53">
        <v>497966.31</v>
      </c>
      <c r="NV17" s="53">
        <v>497966.31</v>
      </c>
      <c r="NW17" s="53">
        <v>497966.31</v>
      </c>
      <c r="NX17" s="53">
        <v>497966.31</v>
      </c>
      <c r="NY17" s="53">
        <v>497966.31</v>
      </c>
      <c r="NZ17" s="53">
        <v>497966.31</v>
      </c>
      <c r="OA17" s="53">
        <v>497966.31</v>
      </c>
      <c r="OB17" s="53">
        <v>497966.31</v>
      </c>
      <c r="OC17" s="53">
        <v>497966.31</v>
      </c>
      <c r="OD17" s="53">
        <v>497966.31</v>
      </c>
      <c r="OE17" s="53">
        <v>497966.31</v>
      </c>
      <c r="OF17" s="53">
        <v>497966.31</v>
      </c>
      <c r="OG17" s="53">
        <v>497966.31</v>
      </c>
      <c r="OH17" s="53">
        <v>497966.31</v>
      </c>
      <c r="OI17" s="53">
        <v>497966.31</v>
      </c>
      <c r="OJ17" s="53">
        <v>497966.31</v>
      </c>
      <c r="OK17" s="53">
        <v>497966.31</v>
      </c>
      <c r="OL17" s="53">
        <v>497966.31</v>
      </c>
      <c r="OM17" s="53">
        <v>497966.31</v>
      </c>
      <c r="ON17" s="53">
        <v>497966.31</v>
      </c>
      <c r="OO17" s="53">
        <v>497966.31</v>
      </c>
      <c r="OP17" s="53">
        <v>497966.31</v>
      </c>
      <c r="OQ17" s="53">
        <v>497966.31</v>
      </c>
      <c r="OR17" s="53">
        <v>497966.31</v>
      </c>
      <c r="OS17" s="53">
        <v>497966.31</v>
      </c>
      <c r="OT17" s="53">
        <v>497966.31</v>
      </c>
      <c r="OU17" s="53">
        <v>497966.31</v>
      </c>
      <c r="OV17" s="53">
        <v>497966.31</v>
      </c>
      <c r="OW17" s="53">
        <v>497966.31</v>
      </c>
      <c r="OX17" s="53">
        <v>497966.31</v>
      </c>
      <c r="OY17" s="53">
        <v>497966.31</v>
      </c>
      <c r="OZ17" s="53">
        <v>497966.31</v>
      </c>
      <c r="PA17" s="53">
        <v>497966.31</v>
      </c>
      <c r="PB17" s="53">
        <v>497966.31</v>
      </c>
      <c r="PC17" s="53">
        <v>497966.31</v>
      </c>
      <c r="PD17" s="53">
        <v>497966.31</v>
      </c>
      <c r="PE17" s="53">
        <v>497966.31</v>
      </c>
      <c r="PF17" s="53">
        <v>497966.31</v>
      </c>
      <c r="PG17" s="53">
        <v>497966.31</v>
      </c>
      <c r="PH17" s="53">
        <v>497966.31</v>
      </c>
      <c r="PI17" s="53">
        <v>497966.31</v>
      </c>
      <c r="PJ17" s="53">
        <v>497966.31</v>
      </c>
      <c r="PK17" s="53">
        <v>497966.31</v>
      </c>
      <c r="PL17" s="53">
        <v>497966.31</v>
      </c>
      <c r="PM17" s="53">
        <v>497966.31</v>
      </c>
      <c r="PN17" s="53">
        <v>497966.31</v>
      </c>
      <c r="PO17" s="53" t="e">
        <f ca="1">IF(PO$5&gt;TODAY(),PN19,SCBAM_GetSecDtl("SCBSFF","INVSUOBTsff",PN$5,"MarketVal"))</f>
        <v>#NAME?</v>
      </c>
      <c r="PP17" s="53" t="e">
        <f ca="1">IF(PP$5&gt;TODAY(),PO19,SCBAM_GetSecDtl("SCBSFF","INVSUOBTsff",PO$5,"MarketVal"))</f>
        <v>#NAME?</v>
      </c>
      <c r="PQ17" s="53" t="e">
        <f ca="1">IF(PQ$5&gt;TODAY(),PP19,SCBAM_GetSecDtl("SCBSFF","INVSUOBTsff",PP$5,"MarketVal"))</f>
        <v>#NAME?</v>
      </c>
      <c r="PR17" s="53" t="e">
        <f ca="1">IF(PR$5&gt;TODAY(),PQ19,SCBAM_GetSecDtl("SCBSFF","INVSUOBTsff",PQ$5,"MarketVal"))</f>
        <v>#NAME?</v>
      </c>
      <c r="PS17" s="53" t="e">
        <f ca="1">IF(PS$5&gt;TODAY(),PR19,SCBAM_GetSecDtl("SCBSFF","INVSUOBTsff",PR$5,"MarketVal"))</f>
        <v>#NAME?</v>
      </c>
      <c r="PT17" s="53" t="e">
        <f ca="1">IF(PT$5&gt;TODAY(),PS19,SCBAM_GetSecDtl("SCBSFF","INVSUOBTsff",PS$5,"MarketVal"))</f>
        <v>#NAME?</v>
      </c>
      <c r="PU17" s="53" t="e">
        <f ca="1">IF(PU$5&gt;TODAY(),PT19,SCBAM_GetSecDtl("SCBSFF","INVSUOBTsff",PT$5,"MarketVal"))</f>
        <v>#NAME?</v>
      </c>
      <c r="PV17" s="53" t="e">
        <f ca="1">IF(PV$5&gt;TODAY(),PU19,SCBAM_GetSecDtl("SCBSFF","INVSUOBTsff",PU$5,"MarketVal"))</f>
        <v>#NAME?</v>
      </c>
      <c r="PW17" s="53" t="e">
        <f ca="1">IF(PW$5&gt;TODAY(),PV19,SCBAM_GetSecDtl("SCBSFF","INVSUOBTsff",PV$5,"MarketVal"))</f>
        <v>#NAME?</v>
      </c>
      <c r="PX17" s="53" t="e">
        <f ca="1">IF(PX$5&gt;TODAY(),PW19,SCBAM_GetSecDtl("SCBSFF","INVSUOBTsff",PW$5,"MarketVal"))</f>
        <v>#NAME?</v>
      </c>
      <c r="PY17" s="53" t="e">
        <f ca="1">IF(PY$5&gt;TODAY(),PX19,SCBAM_GetSecDtl("SCBSFF","INVSUOBTsff",PX$5,"MarketVal"))</f>
        <v>#NAME?</v>
      </c>
      <c r="PZ17" s="53" t="e">
        <f ca="1">IF(PZ$5&gt;TODAY(),PY19,SCBAM_GetSecDtl("SCBSFF","INVSUOBTsff",PY$5,"MarketVal"))</f>
        <v>#NAME?</v>
      </c>
      <c r="QA17" s="53" t="e">
        <f ca="1">IF(QA$5&gt;TODAY(),PZ19,SCBAM_GetSecDtl("SCBSFF","INVSUOBTsff",PZ$5,"MarketVal"))</f>
        <v>#NAME?</v>
      </c>
      <c r="QB17" s="53" t="e">
        <f ca="1">IF(QB$5&gt;TODAY(),QA19,SCBAM_GetSecDtl("SCBSFF","INVSUOBTsff",QA$5,"MarketVal"))</f>
        <v>#NAME?</v>
      </c>
      <c r="QC17" s="53" t="e">
        <f ca="1">IF(QC$5&gt;TODAY(),QB19,SCBAM_GetSecDtl("SCBSFF","INVSUOBTsff",QB$5,"MarketVal"))</f>
        <v>#NAME?</v>
      </c>
      <c r="QD17" s="53" t="e">
        <f ca="1">IF(QD$5&gt;TODAY(),QC19,SCBAM_GetSecDtl("SCBSFF","INVSUOBTsff",QC$5,"MarketVal"))</f>
        <v>#NAME?</v>
      </c>
      <c r="QE17" s="53" t="e">
        <f ca="1">IF(QE$5&gt;TODAY(),QD19,SCBAM_GetSecDtl("SCBSFF","INVSUOBTsff",QD$5,"MarketVal"))</f>
        <v>#NAME?</v>
      </c>
      <c r="QF17" s="53" t="e">
        <f ca="1">IF(QF$5&gt;TODAY(),QE19,SCBAM_GetSecDtl("SCBSFF","INVSUOBTsff",QE$5,"MarketVal"))</f>
        <v>#NAME?</v>
      </c>
      <c r="QG17" s="53" t="e">
        <f ca="1">IF(QG$5&gt;TODAY(),QF19,SCBAM_GetSecDtl("SCBSFF","INVSUOBTsff",QF$5,"MarketVal"))</f>
        <v>#NAME?</v>
      </c>
      <c r="QH17" s="53" t="e">
        <f ca="1">IF(QH$5&gt;TODAY(),QG19,SCBAM_GetSecDtl("SCBSFF","INVSUOBTsff",QG$5,"MarketVal"))</f>
        <v>#NAME?</v>
      </c>
      <c r="QI17" s="53" t="e">
        <f ca="1">IF(QI$5&gt;TODAY(),QH19,SCBAM_GetSecDtl("SCBSFF","INVSUOBTsff",QH$5,"MarketVal"))</f>
        <v>#NAME?</v>
      </c>
      <c r="QJ17" s="53" t="e">
        <f ca="1">IF(QJ$5&gt;TODAY(),QI19,SCBAM_GetSecDtl("SCBSFF","INVSUOBTsff",QI$5,"MarketVal"))</f>
        <v>#NAME?</v>
      </c>
      <c r="QK17" s="53" t="e">
        <f ca="1">IF(QK$5&gt;TODAY(),QJ19,SCBAM_GetSecDtl("SCBSFF","INVSUOBTsff",QJ$5,"MarketVal"))</f>
        <v>#NAME?</v>
      </c>
      <c r="QL17" s="53" t="e">
        <f ca="1">IF(QL$5&gt;TODAY(),QK19,SCBAM_GetSecDtl("SCBSFF","INVSUOBTsff",QK$5,"MarketVal"))</f>
        <v>#NAME?</v>
      </c>
      <c r="QM17" s="53" t="e">
        <f ca="1">IF(QM$5&gt;TODAY(),QL19,SCBAM_GetSecDtl("SCBSFF","INVSUOBTsff",QL$5,"MarketVal"))</f>
        <v>#NAME?</v>
      </c>
      <c r="QN17" s="53" t="e">
        <f ca="1">IF(QN$5&gt;TODAY(),QM19,SCBAM_GetSecDtl("SCBSFF","INVSUOBTsff",QM$5,"MarketVal"))</f>
        <v>#NAME?</v>
      </c>
      <c r="QO17" s="53" t="e">
        <f ca="1">IF(QO$5&gt;TODAY(),QN19,SCBAM_GetSecDtl("SCBSFF","INVSUOBTsff",QN$5,"MarketVal"))</f>
        <v>#NAME?</v>
      </c>
      <c r="QP17" s="53" t="e">
        <f ca="1">IF(QP$5&gt;TODAY(),QO19,SCBAM_GetSecDtl("SCBSFF","INVSUOBTsff",QO$5,"MarketVal"))</f>
        <v>#NAME?</v>
      </c>
      <c r="QQ17" s="53" t="e">
        <f ca="1">IF(QQ$5&gt;TODAY(),QP19,SCBAM_GetSecDtl("SCBSFF","INVSUOBTsff",QP$5,"MarketVal"))</f>
        <v>#NAME?</v>
      </c>
      <c r="QR17" s="53" t="e">
        <f ca="1">IF(QR$5&gt;TODAY(),QQ19,SCBAM_GetSecDtl("SCBSFF","INVSUOBTsff",QQ$5,"MarketVal"))</f>
        <v>#NAME?</v>
      </c>
      <c r="QS17" s="53" t="e">
        <f ca="1">IF(QS$5&gt;TODAY(),QR19,SCBAM_GetSecDtl("SCBSFF","INVSUOBTsff",QR$5,"MarketVal"))</f>
        <v>#NAME?</v>
      </c>
      <c r="QT17" s="53" t="e">
        <f ca="1">IF(QT$5&gt;TODAY(),QS19,SCBAM_GetSecDtl("SCBSFF","INVSUOBTsff",QS$5,"MarketVal"))</f>
        <v>#NAME?</v>
      </c>
      <c r="QU17" s="53" t="e">
        <f ca="1">IF(QU$5&gt;TODAY(),QT19,SCBAM_GetSecDtl("SCBSFF","INVSUOBTsff",QT$5,"MarketVal"))</f>
        <v>#NAME?</v>
      </c>
      <c r="QV17" s="53" t="e">
        <f ca="1">IF(QV$5&gt;TODAY(),QU19,SCBAM_GetSecDtl("SCBSFF","INVSUOBTsff",QU$5,"MarketVal"))</f>
        <v>#NAME?</v>
      </c>
      <c r="QW17" s="53" t="e">
        <f ca="1">IF(QW$5&gt;TODAY(),QV19,SCBAM_GetSecDtl("SCBSFF","INVSUOBTsff",QV$5,"MarketVal"))</f>
        <v>#NAME?</v>
      </c>
      <c r="QX17" s="53" t="e">
        <f ca="1">IF(QX$5&gt;TODAY(),QW19,SCBAM_GetSecDtl("SCBSFF","INVSUOBTsff",QW$5,"MarketVal"))</f>
        <v>#NAME?</v>
      </c>
      <c r="QY17" s="53" t="e">
        <f ca="1">IF(QY$5&gt;TODAY(),QX19,SCBAM_GetSecDtl("SCBSFF","INVSUOBTsff",QX$5,"MarketVal"))</f>
        <v>#NAME?</v>
      </c>
      <c r="QZ17" s="53" t="e">
        <f ca="1">IF(QZ$5&gt;TODAY(),QY19,SCBAM_GetSecDtl("SCBSFF","INVSUOBTsff",QY$5,"MarketVal"))</f>
        <v>#NAME?</v>
      </c>
      <c r="RA17" s="53" t="e">
        <f ca="1">IF(RA$5&gt;TODAY(),QZ19,SCBAM_GetSecDtl("SCBSFF","INVSUOBTsff",QZ$5,"MarketVal"))</f>
        <v>#NAME?</v>
      </c>
      <c r="RB17" s="53" t="e">
        <f ca="1">IF(RB$5&gt;TODAY(),RA19,SCBAM_GetSecDtl("SCBSFF","INVSUOBTsff",RA$5,"MarketVal"))</f>
        <v>#NAME?</v>
      </c>
      <c r="RC17" s="53" t="e">
        <f ca="1">IF(RC$5&gt;TODAY(),RB19,SCBAM_GetSecDtl("SCBSFF","INVSUOBTsff",RB$5,"MarketVal"))</f>
        <v>#NAME?</v>
      </c>
      <c r="RD17" s="53" t="e">
        <f ca="1">IF(RD$5&gt;TODAY(),RC19,SCBAM_GetSecDtl("SCBSFF","INVSUOBTsff",RC$5,"MarketVal"))</f>
        <v>#NAME?</v>
      </c>
      <c r="RE17" s="53" t="e">
        <f ca="1">IF(RE$5&gt;TODAY(),RD19,SCBAM_GetSecDtl("SCBSFF","INVSUOBTsff",RD$5,"MarketVal"))</f>
        <v>#NAME?</v>
      </c>
      <c r="RF17" s="53" t="e">
        <f ca="1">IF(RF$5&gt;TODAY(),RE19,SCBAM_GetSecDtl("SCBSFF","INVSUOBTsff",RE$5,"MarketVal"))</f>
        <v>#NAME?</v>
      </c>
      <c r="RG17" s="53" t="e">
        <f ca="1">IF(RG$5&gt;TODAY(),RF19,SCBAM_GetSecDtl("SCBSFF","INVSUOBTsff",RF$5,"MarketVal"))</f>
        <v>#NAME?</v>
      </c>
      <c r="RH17" s="53" t="e">
        <f ca="1">IF(RH$5&gt;TODAY(),RG19,SCBAM_GetSecDtl("SCBSFF","INVSUOBTsff",RG$5,"MarketVal"))</f>
        <v>#NAME?</v>
      </c>
      <c r="RI17" s="53" t="e">
        <f ca="1">IF(RI$5&gt;TODAY(),RH19,SCBAM_GetSecDtl("SCBSFF","INVSUOBTsff",RH$5,"MarketVal"))</f>
        <v>#NAME?</v>
      </c>
      <c r="RJ17" s="53" t="e">
        <f ca="1">IF(RJ$5&gt;TODAY(),RI19,SCBAM_GetSecDtl("SCBSFF","INVSUOBTsff",RI$5,"MarketVal"))</f>
        <v>#NAME?</v>
      </c>
      <c r="RK17" s="53" t="e">
        <f ca="1">IF(RK$5&gt;TODAY(),RJ19,SCBAM_GetSecDtl("SCBSFF","INVSUOBTsff",RJ$5,"MarketVal"))</f>
        <v>#NAME?</v>
      </c>
      <c r="RL17" s="53" t="e">
        <f ca="1">IF(RL$5&gt;TODAY(),RK19,SCBAM_GetSecDtl("SCBSFF","INVSUOBTsff",RK$5,"MarketVal"))</f>
        <v>#NAME?</v>
      </c>
      <c r="RM17" s="53" t="e">
        <f ca="1">IF(RM$5&gt;TODAY(),RL19,SCBAM_GetSecDtl("SCBSFF","INVSUOBTsff",RL$5,"MarketVal"))</f>
        <v>#NAME?</v>
      </c>
      <c r="RN17" s="53" t="e">
        <f ca="1">IF(RN$5&gt;TODAY(),RM19,SCBAM_GetSecDtl("SCBSFF","INVSUOBTsff",RM$5,"MarketVal"))</f>
        <v>#NAME?</v>
      </c>
      <c r="RO17" s="53" t="e">
        <f ca="1">IF(RO$5&gt;TODAY(),RN19,SCBAM_GetSecDtl("SCBSFF","INVSUOBTsff",RN$5,"MarketVal"))</f>
        <v>#NAME?</v>
      </c>
      <c r="RP17" s="53" t="e">
        <f ca="1">IF(RP$5&gt;TODAY(),RO19,SCBAM_GetSecDtl("SCBSFF","INVSUOBTsff",RO$5,"MarketVal"))</f>
        <v>#NAME?</v>
      </c>
      <c r="RQ17" s="53" t="e">
        <f ca="1">IF(RQ$5&gt;TODAY(),RP19,SCBAM_GetSecDtl("SCBSFF","INVSUOBTsff",RP$5,"MarketVal"))</f>
        <v>#NAME?</v>
      </c>
      <c r="RR17" s="53" t="e">
        <f ca="1">IF(RR$5&gt;TODAY(),RQ19,SCBAM_GetSecDtl("SCBSFF","INVSUOBTsff",RQ$5,"MarketVal"))</f>
        <v>#NAME?</v>
      </c>
      <c r="RS17" s="53" t="e">
        <f ca="1">IF(RS$5&gt;TODAY(),RR19,SCBAM_GetSecDtl("SCBSFF","INVSUOBTsff",RR$5,"MarketVal"))</f>
        <v>#NAME?</v>
      </c>
      <c r="RT17" s="53" t="e">
        <f ca="1">IF(RT$5&gt;TODAY(),RS19,SCBAM_GetSecDtl("SCBSFF","INVSUOBTsff",RS$5,"MarketVal"))</f>
        <v>#NAME?</v>
      </c>
      <c r="RU17" s="53" t="e">
        <f ca="1">IF(RU$5&gt;TODAY(),RT19,SCBAM_GetSecDtl("SCBSFF","INVSUOBTsff",RT$5,"MarketVal"))</f>
        <v>#NAME?</v>
      </c>
      <c r="RV17" s="53" t="e">
        <f ca="1">IF(RV$5&gt;TODAY(),RU19,SCBAM_GetSecDtl("SCBSFF","INVSUOBTsff",RU$5,"MarketVal"))</f>
        <v>#NAME?</v>
      </c>
      <c r="RW17" s="53" t="e">
        <f ca="1">IF(RW$5&gt;TODAY(),RV19,SCBAM_GetSecDtl("SCBSFF","INVSUOBTsff",RV$5,"MarketVal"))</f>
        <v>#NAME?</v>
      </c>
      <c r="RX17" s="53" t="e">
        <f ca="1">IF(RX$5&gt;TODAY(),RW19,SCBAM_GetSecDtl("SCBSFF","INVSUOBTsff",RW$5,"MarketVal"))</f>
        <v>#NAME?</v>
      </c>
      <c r="RY17" s="53" t="e">
        <f ca="1">IF(RY$5&gt;TODAY(),RX19,SCBAM_GetSecDtl("SCBSFF","INVSUOBTsff",RX$5,"MarketVal"))</f>
        <v>#NAME?</v>
      </c>
      <c r="RZ17" s="53" t="e">
        <f ca="1">IF(RZ$5&gt;TODAY(),RY19,SCBAM_GetSecDtl("SCBSFF","INVSUOBTsff",RY$5,"MarketVal"))</f>
        <v>#NAME?</v>
      </c>
      <c r="SA17" s="53" t="e">
        <f ca="1">IF(SA$5&gt;TODAY(),RZ19,SCBAM_GetSecDtl("SCBSFF","INVSUOBTsff",RZ$5,"MarketVal"))</f>
        <v>#NAME?</v>
      </c>
    </row>
    <row r="18" spans="1:495" x14ac:dyDescent="0.2">
      <c r="A18" s="44" t="s">
        <v>1064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55"/>
      <c r="NK18" s="55"/>
      <c r="NL18" s="55"/>
      <c r="NM18" s="55"/>
      <c r="NN18" s="55"/>
      <c r="NO18" s="55"/>
      <c r="NP18" s="55"/>
      <c r="NQ18" s="55"/>
      <c r="NR18" s="55"/>
      <c r="NS18" s="55"/>
      <c r="NT18" s="55"/>
      <c r="NU18" s="55"/>
      <c r="NV18" s="55"/>
      <c r="NW18" s="55"/>
      <c r="NX18" s="55"/>
      <c r="NY18" s="55"/>
      <c r="NZ18" s="55"/>
      <c r="OA18" s="55"/>
      <c r="OB18" s="55"/>
      <c r="OC18" s="55"/>
      <c r="OD18" s="55"/>
      <c r="OE18" s="55"/>
      <c r="OF18" s="55"/>
      <c r="OG18" s="55"/>
      <c r="OH18" s="55"/>
      <c r="OI18" s="55"/>
      <c r="OJ18" s="55"/>
      <c r="OK18" s="55"/>
      <c r="OL18" s="55"/>
      <c r="OM18" s="55"/>
      <c r="ON18" s="55"/>
      <c r="OO18" s="55"/>
      <c r="OP18" s="55"/>
      <c r="OQ18" s="55"/>
      <c r="OR18" s="55"/>
      <c r="OS18" s="55"/>
      <c r="OT18" s="55"/>
      <c r="OU18" s="55"/>
      <c r="OV18" s="55"/>
      <c r="OW18" s="55"/>
      <c r="OX18" s="55"/>
      <c r="OY18" s="55"/>
      <c r="OZ18" s="55"/>
      <c r="PA18" s="55"/>
      <c r="PB18" s="55"/>
      <c r="PC18" s="55"/>
      <c r="PD18" s="55"/>
      <c r="PE18" s="55"/>
      <c r="PF18" s="55"/>
      <c r="PG18" s="55"/>
      <c r="PH18" s="55"/>
      <c r="PI18" s="55"/>
      <c r="PJ18" s="55"/>
      <c r="PK18" s="55"/>
      <c r="PL18" s="55"/>
      <c r="PM18" s="55"/>
      <c r="PN18" s="55"/>
      <c r="PO18" s="55"/>
      <c r="PP18" s="55"/>
      <c r="PQ18" s="56"/>
      <c r="PR18" s="56"/>
      <c r="PS18" s="56"/>
      <c r="PT18" s="56"/>
      <c r="PU18" s="56"/>
      <c r="PV18" s="55"/>
      <c r="PW18" s="55"/>
      <c r="PX18" s="55"/>
      <c r="PY18" s="55"/>
      <c r="PZ18" s="55"/>
      <c r="QA18" s="55"/>
      <c r="QB18" s="55"/>
      <c r="QC18" s="55"/>
      <c r="QD18" s="55"/>
      <c r="QE18" s="55"/>
      <c r="QF18" s="55"/>
      <c r="QG18" s="55"/>
      <c r="QH18" s="55"/>
      <c r="QI18" s="55"/>
      <c r="QJ18" s="55"/>
      <c r="QK18" s="55"/>
      <c r="QL18" s="55"/>
      <c r="QM18" s="55"/>
      <c r="QN18" s="55"/>
      <c r="QO18" s="55"/>
      <c r="QP18" s="55"/>
      <c r="QQ18" s="55"/>
      <c r="QR18" s="55"/>
      <c r="QS18" s="55"/>
      <c r="QT18" s="55"/>
      <c r="QU18" s="55"/>
      <c r="QV18" s="55"/>
      <c r="QW18" s="55"/>
      <c r="QX18" s="55"/>
      <c r="QY18" s="55"/>
      <c r="QZ18" s="55"/>
      <c r="RA18" s="55"/>
      <c r="RB18" s="55"/>
      <c r="RC18" s="55"/>
      <c r="RD18" s="55"/>
      <c r="RE18" s="55"/>
      <c r="RF18" s="55"/>
      <c r="RG18" s="55"/>
      <c r="RH18" s="55"/>
      <c r="RI18" s="55"/>
      <c r="RJ18" s="55"/>
      <c r="RK18" s="55"/>
      <c r="RL18" s="55"/>
      <c r="RM18" s="55"/>
      <c r="RN18" s="55"/>
      <c r="RO18" s="55"/>
      <c r="RP18" s="55"/>
      <c r="RQ18" s="55"/>
      <c r="RR18" s="55"/>
      <c r="RS18" s="55"/>
      <c r="RT18" s="55"/>
      <c r="RU18" s="55"/>
      <c r="RV18" s="55"/>
      <c r="RW18" s="55"/>
      <c r="RX18" s="55"/>
      <c r="RY18" s="55"/>
      <c r="RZ18" s="55"/>
      <c r="SA18" s="55"/>
    </row>
    <row r="19" spans="1:495" s="54" customFormat="1" x14ac:dyDescent="0.2">
      <c r="A19" s="52" t="s">
        <v>1065</v>
      </c>
      <c r="B19" s="53">
        <v>488966.62</v>
      </c>
      <c r="C19" s="53">
        <v>488966.62</v>
      </c>
      <c r="D19" s="53">
        <v>491397.25</v>
      </c>
      <c r="E19" s="53">
        <v>491397.25</v>
      </c>
      <c r="F19" s="53">
        <v>491397.25</v>
      </c>
      <c r="G19" s="53">
        <v>491397.25</v>
      </c>
      <c r="H19" s="53">
        <v>491397.25</v>
      </c>
      <c r="I19" s="53">
        <v>491397.25</v>
      </c>
      <c r="J19" s="53">
        <v>491397.25</v>
      </c>
      <c r="K19" s="53">
        <v>491397.25</v>
      </c>
      <c r="L19" s="53">
        <v>491397.25</v>
      </c>
      <c r="M19" s="53">
        <v>491397.25</v>
      </c>
      <c r="N19" s="53">
        <v>491397.25</v>
      </c>
      <c r="O19" s="53">
        <v>491397.25</v>
      </c>
      <c r="P19" s="53">
        <v>491397.25</v>
      </c>
      <c r="Q19" s="53">
        <v>491397.25</v>
      </c>
      <c r="R19" s="53">
        <v>491397.25</v>
      </c>
      <c r="S19" s="53">
        <v>491397.25</v>
      </c>
      <c r="T19" s="53">
        <v>491397.25</v>
      </c>
      <c r="U19" s="53">
        <v>491397.25</v>
      </c>
      <c r="V19" s="53">
        <v>491397.25</v>
      </c>
      <c r="W19" s="53">
        <v>491397.25</v>
      </c>
      <c r="X19" s="53">
        <v>491397.25</v>
      </c>
      <c r="Y19" s="53">
        <v>491397.25</v>
      </c>
      <c r="Z19" s="53">
        <v>491397.25</v>
      </c>
      <c r="AA19" s="53">
        <v>491397.25</v>
      </c>
      <c r="AB19" s="53">
        <v>491397.25</v>
      </c>
      <c r="AC19" s="53">
        <v>491397.25</v>
      </c>
      <c r="AD19" s="53">
        <v>491397.25</v>
      </c>
      <c r="AE19" s="53">
        <v>491397.25</v>
      </c>
      <c r="AF19" s="53">
        <v>491397.25</v>
      </c>
      <c r="AG19" s="53">
        <v>491397.25</v>
      </c>
      <c r="AH19" s="53">
        <v>491397.25</v>
      </c>
      <c r="AI19" s="53">
        <v>491397.25</v>
      </c>
      <c r="AJ19" s="53">
        <v>491397.25</v>
      </c>
      <c r="AK19" s="53">
        <v>491397.25</v>
      </c>
      <c r="AL19" s="53">
        <v>491397.25</v>
      </c>
      <c r="AM19" s="53">
        <v>491397.25</v>
      </c>
      <c r="AN19" s="53">
        <v>491397.25</v>
      </c>
      <c r="AO19" s="53">
        <v>491397.25</v>
      </c>
      <c r="AP19" s="53">
        <v>491397.25</v>
      </c>
      <c r="AQ19" s="53">
        <v>491397.25</v>
      </c>
      <c r="AR19" s="53">
        <v>491397.25</v>
      </c>
      <c r="AS19" s="53">
        <v>491397.25</v>
      </c>
      <c r="AT19" s="53">
        <v>491397.25</v>
      </c>
      <c r="AU19" s="53">
        <v>491397.25</v>
      </c>
      <c r="AV19" s="53">
        <v>491397.25</v>
      </c>
      <c r="AW19" s="53">
        <v>491397.25</v>
      </c>
      <c r="AX19" s="53">
        <v>491397.25</v>
      </c>
      <c r="AY19" s="53">
        <v>491397.25</v>
      </c>
      <c r="AZ19" s="53">
        <v>491397.25</v>
      </c>
      <c r="BA19" s="53">
        <v>491397.25</v>
      </c>
      <c r="BB19" s="53">
        <v>491397.25</v>
      </c>
      <c r="BC19" s="53">
        <v>491397.25</v>
      </c>
      <c r="BD19" s="53">
        <v>491397.25</v>
      </c>
      <c r="BE19" s="53">
        <v>491397.25</v>
      </c>
      <c r="BF19" s="53">
        <v>491397.25</v>
      </c>
      <c r="BG19" s="53">
        <v>491397.25</v>
      </c>
      <c r="BH19" s="53">
        <v>491397.25</v>
      </c>
      <c r="BI19" s="53">
        <v>491397.25</v>
      </c>
      <c r="BJ19" s="53">
        <v>491397.25</v>
      </c>
      <c r="BK19" s="53">
        <v>491397.25</v>
      </c>
      <c r="BL19" s="53">
        <v>491397.25</v>
      </c>
      <c r="BM19" s="53">
        <v>491397.25</v>
      </c>
      <c r="BN19" s="53">
        <v>491397.25</v>
      </c>
      <c r="BO19" s="53">
        <v>491397.25</v>
      </c>
      <c r="BP19" s="53">
        <v>491397.25</v>
      </c>
      <c r="BQ19" s="53">
        <v>491397.25</v>
      </c>
      <c r="BR19" s="53">
        <v>491397.25</v>
      </c>
      <c r="BS19" s="53">
        <v>491397.25</v>
      </c>
      <c r="BT19" s="53">
        <v>491397.25</v>
      </c>
      <c r="BU19" s="53">
        <v>491397.25</v>
      </c>
      <c r="BV19" s="53">
        <v>491397.25</v>
      </c>
      <c r="BW19" s="53">
        <v>491397.25</v>
      </c>
      <c r="BX19" s="53">
        <v>491397.25</v>
      </c>
      <c r="BY19" s="53">
        <v>491397.25</v>
      </c>
      <c r="BZ19" s="53">
        <v>491397.25</v>
      </c>
      <c r="CA19" s="53">
        <v>491397.25</v>
      </c>
      <c r="CB19" s="53">
        <v>491397.25</v>
      </c>
      <c r="CC19" s="53">
        <v>491397.25</v>
      </c>
      <c r="CD19" s="53">
        <v>491397.25</v>
      </c>
      <c r="CE19" s="53">
        <v>491397.25</v>
      </c>
      <c r="CF19" s="53">
        <v>491397.25</v>
      </c>
      <c r="CG19" s="53">
        <v>491397.25</v>
      </c>
      <c r="CH19" s="53">
        <v>491397.25</v>
      </c>
      <c r="CI19" s="53">
        <v>491397.25</v>
      </c>
      <c r="CJ19" s="53">
        <v>491397.25</v>
      </c>
      <c r="CK19" s="53">
        <v>491397.25</v>
      </c>
      <c r="CL19" s="53">
        <v>491397.25</v>
      </c>
      <c r="CM19" s="53">
        <v>491397.25</v>
      </c>
      <c r="CN19" s="53">
        <v>491397.25</v>
      </c>
      <c r="CO19" s="53">
        <v>491397.25</v>
      </c>
      <c r="CP19" s="53">
        <v>491397.25</v>
      </c>
      <c r="CQ19" s="53">
        <v>491397.25</v>
      </c>
      <c r="CR19" s="53">
        <v>491397.25</v>
      </c>
      <c r="CS19" s="53">
        <v>491397.25</v>
      </c>
      <c r="CT19" s="53">
        <v>491397.25</v>
      </c>
      <c r="CU19" s="53">
        <v>491397.25</v>
      </c>
      <c r="CV19" s="53">
        <v>491397.25</v>
      </c>
      <c r="CW19" s="53">
        <v>491397.25</v>
      </c>
      <c r="CX19" s="53">
        <v>491397.25</v>
      </c>
      <c r="CY19" s="53">
        <v>491397.25</v>
      </c>
      <c r="CZ19" s="53">
        <v>491397.25</v>
      </c>
      <c r="DA19" s="53">
        <v>491397.25</v>
      </c>
      <c r="DB19" s="53">
        <v>491397.25</v>
      </c>
      <c r="DC19" s="53">
        <v>491397.25</v>
      </c>
      <c r="DD19" s="53">
        <v>491397.25</v>
      </c>
      <c r="DE19" s="53">
        <v>491397.25</v>
      </c>
      <c r="DF19" s="53">
        <v>491397.25</v>
      </c>
      <c r="DG19" s="53">
        <v>491397.25</v>
      </c>
      <c r="DH19" s="53">
        <v>491397.25</v>
      </c>
      <c r="DI19" s="53">
        <f ca="1">DI17+DI18</f>
        <v>491397.25</v>
      </c>
      <c r="DJ19" s="53">
        <f ca="1">DJ17+DJ18</f>
        <v>491397.25</v>
      </c>
      <c r="DK19" s="53">
        <f ca="1">DK17+DK18</f>
        <v>491397.25</v>
      </c>
      <c r="DL19" s="53">
        <f ca="1">DL17+DL18</f>
        <v>491397.25</v>
      </c>
      <c r="DM19" s="53">
        <v>491397.25</v>
      </c>
      <c r="DN19" s="53">
        <v>491397.25</v>
      </c>
      <c r="DO19" s="53">
        <v>491397.25</v>
      </c>
      <c r="DP19" s="53">
        <v>491397.25</v>
      </c>
      <c r="DQ19" s="53">
        <v>491397.25</v>
      </c>
      <c r="DR19" s="53">
        <v>491397.25</v>
      </c>
      <c r="DS19" s="53">
        <v>491397.25</v>
      </c>
      <c r="DT19" s="53">
        <v>491397.25</v>
      </c>
      <c r="DU19" s="53">
        <v>491397.25</v>
      </c>
      <c r="DV19" s="53">
        <v>493734.68</v>
      </c>
      <c r="DW19" s="53">
        <v>493734.68</v>
      </c>
      <c r="DX19" s="53">
        <v>493734.68</v>
      </c>
      <c r="DY19" s="53">
        <v>493734.68</v>
      </c>
      <c r="DZ19" s="53">
        <v>493734.68</v>
      </c>
      <c r="EA19" s="53">
        <v>493734.68</v>
      </c>
      <c r="EB19" s="53">
        <v>493734.68</v>
      </c>
      <c r="EC19" s="53">
        <v>493734.68</v>
      </c>
      <c r="ED19" s="53">
        <v>493734.68</v>
      </c>
      <c r="EE19" s="53">
        <v>493734.68</v>
      </c>
      <c r="EF19" s="53">
        <v>493734.68</v>
      </c>
      <c r="EG19" s="53">
        <v>493734.68</v>
      </c>
      <c r="EH19" s="53">
        <v>493734.68</v>
      </c>
      <c r="EI19" s="53">
        <v>493734.68</v>
      </c>
      <c r="EJ19" s="53">
        <v>493734.68</v>
      </c>
      <c r="EK19" s="53">
        <v>493734.68</v>
      </c>
      <c r="EL19" s="53">
        <v>493734.68</v>
      </c>
      <c r="EM19" s="53">
        <v>493734.68</v>
      </c>
      <c r="EN19" s="53">
        <v>493734.68</v>
      </c>
      <c r="EO19" s="53">
        <v>493734.68</v>
      </c>
      <c r="EP19" s="53">
        <v>493734.68</v>
      </c>
      <c r="EQ19" s="53">
        <v>493734.68</v>
      </c>
      <c r="ER19" s="53">
        <v>493734.68</v>
      </c>
      <c r="ES19" s="53">
        <v>493734.68</v>
      </c>
      <c r="ET19" s="53">
        <v>493734.68</v>
      </c>
      <c r="EU19" s="53">
        <v>493734.68</v>
      </c>
      <c r="EV19" s="53">
        <v>493734.68</v>
      </c>
      <c r="EW19" s="53">
        <v>493534.68</v>
      </c>
      <c r="EX19" s="53">
        <v>493534.68</v>
      </c>
      <c r="EY19" s="53">
        <v>493534.68</v>
      </c>
      <c r="EZ19" s="53">
        <v>493534.68</v>
      </c>
      <c r="FA19" s="53">
        <v>493534.68</v>
      </c>
      <c r="FB19" s="53">
        <v>493534.68</v>
      </c>
      <c r="FC19" s="53">
        <v>493534.68</v>
      </c>
      <c r="FD19" s="53">
        <v>493534.68</v>
      </c>
      <c r="FE19" s="53">
        <v>493534.68</v>
      </c>
      <c r="FF19" s="53">
        <v>493534.68</v>
      </c>
      <c r="FG19" s="53">
        <v>493534.68</v>
      </c>
      <c r="FH19" s="53">
        <v>493534.68</v>
      </c>
      <c r="FI19" s="53">
        <v>493534.68</v>
      </c>
      <c r="FJ19" s="53">
        <v>493534.68</v>
      </c>
      <c r="FK19" s="53">
        <v>493534.68</v>
      </c>
      <c r="FL19" s="53">
        <v>493534.68</v>
      </c>
      <c r="FM19" s="53">
        <f ca="1">FM17+FM18</f>
        <v>493534.68</v>
      </c>
      <c r="FN19" s="53">
        <f ca="1">FN17+FN18</f>
        <v>493534.68</v>
      </c>
      <c r="FO19" s="53">
        <f ca="1">FO17+FO18</f>
        <v>493534.68</v>
      </c>
      <c r="FP19" s="53">
        <f ca="1">FP17+FP18</f>
        <v>493534.68</v>
      </c>
      <c r="FQ19" s="53">
        <v>493534.68</v>
      </c>
      <c r="FR19" s="53">
        <v>493534.68</v>
      </c>
      <c r="FS19" s="53">
        <v>493534.68</v>
      </c>
      <c r="FT19" s="53">
        <v>493534.68</v>
      </c>
      <c r="FU19" s="53">
        <v>493534.68</v>
      </c>
      <c r="FV19" s="53">
        <v>493534.68</v>
      </c>
      <c r="FW19" s="53">
        <v>493534.68</v>
      </c>
      <c r="FX19" s="53">
        <v>493534.68</v>
      </c>
      <c r="FY19" s="53">
        <v>493534.68</v>
      </c>
      <c r="FZ19" s="53">
        <v>493534.68</v>
      </c>
      <c r="GA19" s="53">
        <v>493534.68</v>
      </c>
      <c r="GB19" s="53">
        <v>493534.68</v>
      </c>
      <c r="GC19" s="53">
        <v>493534.68</v>
      </c>
      <c r="GD19" s="53">
        <v>493534.68</v>
      </c>
      <c r="GE19" s="53">
        <v>493534.68</v>
      </c>
      <c r="GF19" s="53">
        <v>493534.68</v>
      </c>
      <c r="GG19" s="53">
        <v>493534.68</v>
      </c>
      <c r="GH19" s="53">
        <v>493534.68</v>
      </c>
      <c r="GI19" s="53">
        <v>493534.68</v>
      </c>
      <c r="GJ19" s="53">
        <v>493534.68</v>
      </c>
      <c r="GK19" s="53">
        <v>493534.68</v>
      </c>
      <c r="GL19" s="53">
        <v>493534.68</v>
      </c>
      <c r="GM19" s="53">
        <v>493534.68</v>
      </c>
      <c r="GN19" s="53">
        <v>493534.68</v>
      </c>
      <c r="GO19" s="53">
        <v>493534.68</v>
      </c>
      <c r="GP19" s="53">
        <v>493534.68</v>
      </c>
      <c r="GQ19" s="53">
        <v>493534.68</v>
      </c>
      <c r="GR19" s="53">
        <v>493534.68</v>
      </c>
      <c r="GS19" s="53">
        <v>493534.68</v>
      </c>
      <c r="GT19" s="53">
        <v>493534.68</v>
      </c>
      <c r="GU19" s="53">
        <v>493534.68</v>
      </c>
      <c r="GV19" s="53">
        <v>493534.68</v>
      </c>
      <c r="GW19" s="53">
        <v>493534.68</v>
      </c>
      <c r="GX19" s="53">
        <v>493534.68</v>
      </c>
      <c r="GY19" s="53">
        <v>493534.68</v>
      </c>
      <c r="GZ19" s="53">
        <v>493534.68</v>
      </c>
      <c r="HA19" s="53">
        <v>493534.68</v>
      </c>
      <c r="HB19" s="53">
        <v>493534.68</v>
      </c>
      <c r="HC19" s="53">
        <v>493534.68</v>
      </c>
      <c r="HD19" s="53">
        <v>493534.68</v>
      </c>
      <c r="HE19" s="53">
        <v>493534.68</v>
      </c>
      <c r="HF19" s="53">
        <v>493534.68</v>
      </c>
      <c r="HG19" s="53">
        <v>493534.68</v>
      </c>
      <c r="HH19" s="53">
        <v>493534.68</v>
      </c>
      <c r="HI19" s="53">
        <v>493534.68</v>
      </c>
      <c r="HJ19" s="53">
        <v>493534.68</v>
      </c>
      <c r="HK19" s="53">
        <v>493534.68</v>
      </c>
      <c r="HL19" s="53">
        <v>493534.68</v>
      </c>
      <c r="HM19" s="53">
        <v>493534.68</v>
      </c>
      <c r="HN19" s="53">
        <v>493534.68</v>
      </c>
      <c r="HO19" s="53">
        <v>493534.68</v>
      </c>
      <c r="HP19" s="53">
        <v>493534.68</v>
      </c>
      <c r="HQ19" s="53">
        <v>493534.68</v>
      </c>
      <c r="HR19" s="53">
        <v>493534.68</v>
      </c>
      <c r="HS19" s="53">
        <v>493534.68</v>
      </c>
      <c r="HT19" s="53">
        <v>493534.68</v>
      </c>
      <c r="HU19" s="53">
        <v>493534.68</v>
      </c>
      <c r="HV19" s="53">
        <v>493534.68</v>
      </c>
      <c r="HW19" s="53">
        <v>493534.68</v>
      </c>
      <c r="HX19" s="53">
        <v>493534.68</v>
      </c>
      <c r="HY19" s="53">
        <v>493534.68</v>
      </c>
      <c r="HZ19" s="53" t="e">
        <f ca="1">HZ17+HZ18</f>
        <v>#NAME?</v>
      </c>
      <c r="IA19" s="53" t="e">
        <f ca="1">IA17+IA18</f>
        <v>#NAME?</v>
      </c>
      <c r="IB19" s="53" t="e">
        <f ca="1">IB17+IB18</f>
        <v>#NAME?</v>
      </c>
      <c r="IC19" s="53">
        <v>493534.68</v>
      </c>
      <c r="ID19" s="53">
        <v>493534.68</v>
      </c>
      <c r="IE19" s="53">
        <v>493534.68</v>
      </c>
      <c r="IF19" s="53">
        <v>493534.68</v>
      </c>
      <c r="IG19" s="53">
        <v>493534.68</v>
      </c>
      <c r="IH19" s="53">
        <v>493534.68</v>
      </c>
      <c r="II19" s="53">
        <v>493534.68</v>
      </c>
      <c r="IJ19" s="53">
        <v>493534.68</v>
      </c>
      <c r="IK19" s="53">
        <v>493534.68</v>
      </c>
      <c r="IL19" s="53">
        <v>493534.68</v>
      </c>
      <c r="IM19" s="53">
        <v>493534.68</v>
      </c>
      <c r="IN19" s="53">
        <v>495774.04</v>
      </c>
      <c r="IO19" s="53">
        <v>495774.04</v>
      </c>
      <c r="IP19" s="53">
        <v>495774.04</v>
      </c>
      <c r="IQ19" s="53">
        <v>495774.04</v>
      </c>
      <c r="IR19" s="53">
        <v>495774.04</v>
      </c>
      <c r="IS19" s="53">
        <v>495774.04</v>
      </c>
      <c r="IT19" s="53">
        <v>495774.04</v>
      </c>
      <c r="IU19" s="53">
        <v>495774.04</v>
      </c>
      <c r="IV19" s="53">
        <v>495774.04</v>
      </c>
      <c r="IW19" s="53">
        <v>495774.04</v>
      </c>
      <c r="IX19" s="53">
        <v>495774.04</v>
      </c>
      <c r="IY19" s="53">
        <v>495774.04</v>
      </c>
      <c r="IZ19" s="53">
        <v>495774.04</v>
      </c>
      <c r="JA19" s="53">
        <v>495774.04</v>
      </c>
      <c r="JB19" s="53">
        <v>495774.04</v>
      </c>
      <c r="JC19" s="53">
        <v>495774.04</v>
      </c>
      <c r="JD19" s="53">
        <v>495774.04</v>
      </c>
      <c r="JE19" s="53" t="e">
        <f ca="1">JE17+JE18</f>
        <v>#NAME?</v>
      </c>
      <c r="JF19" s="53">
        <v>495774.04</v>
      </c>
      <c r="JG19" s="53" t="e">
        <f ca="1">JG17+JG18</f>
        <v>#NAME?</v>
      </c>
      <c r="JH19" s="53">
        <v>495774.04</v>
      </c>
      <c r="JI19" s="53">
        <v>495774.04</v>
      </c>
      <c r="JJ19" s="53">
        <v>495774.04</v>
      </c>
      <c r="JK19" s="53">
        <v>495774.04</v>
      </c>
      <c r="JL19" s="53">
        <v>495774.04</v>
      </c>
      <c r="JM19" s="53">
        <v>495774.04</v>
      </c>
      <c r="JN19" s="53">
        <v>495774.04</v>
      </c>
      <c r="JO19" s="53">
        <v>495774.04</v>
      </c>
      <c r="JP19" s="53">
        <v>495774.04</v>
      </c>
      <c r="JQ19" s="53">
        <v>495774.04</v>
      </c>
      <c r="JR19" s="53">
        <v>495774.04</v>
      </c>
      <c r="JS19" s="53">
        <v>495774.04</v>
      </c>
      <c r="JT19" s="53">
        <v>495774.04</v>
      </c>
      <c r="JU19" s="53">
        <v>495774.04</v>
      </c>
      <c r="JV19" s="53">
        <v>495774.04</v>
      </c>
      <c r="JW19" s="53">
        <v>495774.04</v>
      </c>
      <c r="JX19" s="53">
        <v>495774.04</v>
      </c>
      <c r="JY19" s="53">
        <v>495774.04</v>
      </c>
      <c r="JZ19" s="53">
        <v>495774.04</v>
      </c>
      <c r="KA19" s="53">
        <v>495774.04</v>
      </c>
      <c r="KB19" s="53">
        <v>495774.04</v>
      </c>
      <c r="KC19" s="53">
        <v>495774.04</v>
      </c>
      <c r="KD19" s="53">
        <v>495774.04</v>
      </c>
      <c r="KE19" s="53">
        <v>495774.04</v>
      </c>
      <c r="KF19" s="53">
        <v>495774.04</v>
      </c>
      <c r="KG19" s="53">
        <v>495774.04</v>
      </c>
      <c r="KH19" s="53">
        <v>495774.04</v>
      </c>
      <c r="KI19" s="53">
        <v>495774.04</v>
      </c>
      <c r="KJ19" s="53">
        <v>495774.04</v>
      </c>
      <c r="KK19" s="53">
        <v>495774.04</v>
      </c>
      <c r="KL19" s="53">
        <v>495774.04</v>
      </c>
      <c r="KM19" s="53">
        <v>495774.04</v>
      </c>
      <c r="KN19" s="53">
        <v>495774.04</v>
      </c>
      <c r="KO19" s="53">
        <v>495774.04</v>
      </c>
      <c r="KP19" s="53">
        <v>495774.04</v>
      </c>
      <c r="KQ19" s="53">
        <v>495774.04</v>
      </c>
      <c r="KR19" s="53">
        <v>495774.04</v>
      </c>
      <c r="KS19" s="53">
        <v>495774.04</v>
      </c>
      <c r="KT19" s="53">
        <v>495774.04</v>
      </c>
      <c r="KU19" s="53">
        <v>495774.04</v>
      </c>
      <c r="KV19" s="53">
        <v>495774.04</v>
      </c>
      <c r="KW19" s="53">
        <v>495774.04</v>
      </c>
      <c r="KX19" s="53">
        <v>495774.04</v>
      </c>
      <c r="KY19" s="53">
        <v>495774.04</v>
      </c>
      <c r="KZ19" s="53">
        <v>495774.04</v>
      </c>
      <c r="LA19" s="53">
        <v>495774.04</v>
      </c>
      <c r="LB19" s="53">
        <v>495774.04</v>
      </c>
      <c r="LC19" s="53">
        <v>495774.04</v>
      </c>
      <c r="LD19" s="53">
        <v>495774.04</v>
      </c>
      <c r="LE19" s="53">
        <v>495774.04</v>
      </c>
      <c r="LF19" s="53">
        <v>495774.04</v>
      </c>
      <c r="LG19" s="53">
        <v>495774.04</v>
      </c>
      <c r="LH19" s="53">
        <v>495774.04</v>
      </c>
      <c r="LI19" s="53">
        <v>495774.04</v>
      </c>
      <c r="LJ19" s="53">
        <v>495774.04</v>
      </c>
      <c r="LK19" s="53">
        <v>495774.04</v>
      </c>
      <c r="LL19" s="53">
        <v>495774.04</v>
      </c>
      <c r="LM19" s="53">
        <v>495774.04</v>
      </c>
      <c r="LN19" s="53">
        <v>495774.04</v>
      </c>
      <c r="LO19" s="53">
        <v>495774.04</v>
      </c>
      <c r="LP19" s="53">
        <v>495774.04</v>
      </c>
      <c r="LQ19" s="53">
        <v>495774.04</v>
      </c>
      <c r="LR19" s="53">
        <v>495774.04</v>
      </c>
      <c r="LS19" s="53">
        <v>495774.04</v>
      </c>
      <c r="LT19" s="53">
        <v>495774.04</v>
      </c>
      <c r="LU19" s="53">
        <v>495774.04</v>
      </c>
      <c r="LV19" s="53">
        <v>495774.04</v>
      </c>
      <c r="LW19" s="53">
        <v>495774.04</v>
      </c>
      <c r="LX19" s="53">
        <v>495774.04</v>
      </c>
      <c r="LY19" s="53">
        <v>495774.04</v>
      </c>
      <c r="LZ19" s="53">
        <v>495774.04</v>
      </c>
      <c r="MA19" s="53">
        <v>495774.04</v>
      </c>
      <c r="MB19" s="53">
        <v>495774.04</v>
      </c>
      <c r="MC19" s="53">
        <v>495774.04</v>
      </c>
      <c r="MD19" s="53">
        <v>495774.04</v>
      </c>
      <c r="ME19" s="53">
        <v>495774.04</v>
      </c>
      <c r="MF19" s="53">
        <v>495774.04</v>
      </c>
      <c r="MG19" s="53">
        <v>495774.04</v>
      </c>
      <c r="MH19" s="53">
        <v>495774.04</v>
      </c>
      <c r="MI19" s="53">
        <v>495774.04</v>
      </c>
      <c r="MJ19" s="53">
        <v>495774.04</v>
      </c>
      <c r="MK19" s="53">
        <v>495774.04</v>
      </c>
      <c r="ML19" s="53">
        <v>495774.04</v>
      </c>
      <c r="MM19" s="53">
        <v>495774.04</v>
      </c>
      <c r="MN19" s="53">
        <v>495774.04</v>
      </c>
      <c r="MO19" s="53">
        <v>495774.04</v>
      </c>
      <c r="MP19" s="53">
        <v>495774.04</v>
      </c>
      <c r="MQ19" s="53">
        <v>495774.04</v>
      </c>
      <c r="MR19" s="53">
        <v>495774.04</v>
      </c>
      <c r="MS19" s="53">
        <v>495774.04</v>
      </c>
      <c r="MT19" s="53">
        <v>495774.04</v>
      </c>
      <c r="MU19" s="53">
        <v>495774.04</v>
      </c>
      <c r="MV19" s="53">
        <v>495774.04</v>
      </c>
      <c r="MW19" s="53">
        <v>495774.04</v>
      </c>
      <c r="MX19" s="53">
        <v>495774.04</v>
      </c>
      <c r="MY19" s="53">
        <v>495774.04</v>
      </c>
      <c r="MZ19" s="53">
        <v>495774.04</v>
      </c>
      <c r="NA19" s="53">
        <v>495774.04</v>
      </c>
      <c r="NB19" s="53">
        <v>495774.04</v>
      </c>
      <c r="NC19" s="53">
        <v>495774.04</v>
      </c>
      <c r="ND19" s="53">
        <v>495774.04</v>
      </c>
      <c r="NE19" s="53">
        <v>495774.04</v>
      </c>
      <c r="NF19" s="53">
        <v>497966.31</v>
      </c>
      <c r="NG19" s="53">
        <v>497966.31</v>
      </c>
      <c r="NH19" s="53">
        <v>497966.31</v>
      </c>
      <c r="NI19" s="53">
        <v>497966.31</v>
      </c>
      <c r="NJ19" s="53">
        <v>497966.31</v>
      </c>
      <c r="NK19" s="53">
        <v>497966.31</v>
      </c>
      <c r="NL19" s="53">
        <v>497966.31</v>
      </c>
      <c r="NM19" s="53">
        <v>497966.31</v>
      </c>
      <c r="NN19" s="53">
        <v>497966.31</v>
      </c>
      <c r="NO19" s="53">
        <v>497966.31</v>
      </c>
      <c r="NP19" s="53">
        <v>497966.31</v>
      </c>
      <c r="NQ19" s="53">
        <v>497966.31</v>
      </c>
      <c r="NR19" s="53">
        <v>497966.31</v>
      </c>
      <c r="NS19" s="53">
        <v>497966.31</v>
      </c>
      <c r="NT19" s="53">
        <v>497966.31</v>
      </c>
      <c r="NU19" s="53">
        <v>497966.31</v>
      </c>
      <c r="NV19" s="53">
        <v>497966.31</v>
      </c>
      <c r="NW19" s="53">
        <v>497966.31</v>
      </c>
      <c r="NX19" s="53">
        <v>497966.31</v>
      </c>
      <c r="NY19" s="53">
        <v>497966.31</v>
      </c>
      <c r="NZ19" s="53">
        <v>497966.31</v>
      </c>
      <c r="OA19" s="53">
        <v>497966.31</v>
      </c>
      <c r="OB19" s="53">
        <v>497966.31</v>
      </c>
      <c r="OC19" s="53">
        <v>497966.31</v>
      </c>
      <c r="OD19" s="53">
        <v>497966.31</v>
      </c>
      <c r="OE19" s="53">
        <v>497966.31</v>
      </c>
      <c r="OF19" s="53">
        <v>497966.31</v>
      </c>
      <c r="OG19" s="53">
        <v>497966.31</v>
      </c>
      <c r="OH19" s="53">
        <v>497966.31</v>
      </c>
      <c r="OI19" s="53">
        <v>497966.31</v>
      </c>
      <c r="OJ19" s="53">
        <v>497966.31</v>
      </c>
      <c r="OK19" s="53">
        <v>497966.31</v>
      </c>
      <c r="OL19" s="53">
        <v>497966.31</v>
      </c>
      <c r="OM19" s="53">
        <v>497966.31</v>
      </c>
      <c r="ON19" s="53">
        <v>497966.31</v>
      </c>
      <c r="OO19" s="53">
        <v>497966.31</v>
      </c>
      <c r="OP19" s="53">
        <v>497966.31</v>
      </c>
      <c r="OQ19" s="53">
        <v>497966.31</v>
      </c>
      <c r="OR19" s="53">
        <v>497966.31</v>
      </c>
      <c r="OS19" s="53">
        <v>497966.31</v>
      </c>
      <c r="OT19" s="53">
        <v>497966.31</v>
      </c>
      <c r="OU19" s="53">
        <v>497966.31</v>
      </c>
      <c r="OV19" s="53">
        <v>497966.31</v>
      </c>
      <c r="OW19" s="53">
        <v>497966.31</v>
      </c>
      <c r="OX19" s="53">
        <v>497966.31</v>
      </c>
      <c r="OY19" s="53">
        <v>497966.31</v>
      </c>
      <c r="OZ19" s="53">
        <v>497966.31</v>
      </c>
      <c r="PA19" s="53">
        <v>497966.31</v>
      </c>
      <c r="PB19" s="53">
        <v>497966.31</v>
      </c>
      <c r="PC19" s="53">
        <v>497966.31</v>
      </c>
      <c r="PD19" s="53">
        <v>497966.31</v>
      </c>
      <c r="PE19" s="53">
        <v>497966.31</v>
      </c>
      <c r="PF19" s="53">
        <v>497966.31</v>
      </c>
      <c r="PG19" s="53">
        <v>497966.31</v>
      </c>
      <c r="PH19" s="53">
        <v>497966.31</v>
      </c>
      <c r="PI19" s="53">
        <v>497966.31</v>
      </c>
      <c r="PJ19" s="53">
        <v>497966.31</v>
      </c>
      <c r="PK19" s="53">
        <v>497966.31</v>
      </c>
      <c r="PL19" s="53">
        <v>497966.31</v>
      </c>
      <c r="PM19" s="53">
        <v>497966.31</v>
      </c>
      <c r="PN19" s="53">
        <v>497966.31</v>
      </c>
      <c r="PO19" s="53" t="e">
        <f ca="1">PO17+PO18</f>
        <v>#NAME?</v>
      </c>
      <c r="PP19" s="53" t="e">
        <f ca="1">PP17+PP18</f>
        <v>#NAME?</v>
      </c>
      <c r="PQ19" s="53" t="e">
        <f t="shared" ref="PQ19:SA19" ca="1" si="6">PQ17+PQ18</f>
        <v>#NAME?</v>
      </c>
      <c r="PR19" s="53" t="e">
        <f t="shared" ca="1" si="6"/>
        <v>#NAME?</v>
      </c>
      <c r="PS19" s="53" t="e">
        <f t="shared" ca="1" si="6"/>
        <v>#NAME?</v>
      </c>
      <c r="PT19" s="53" t="e">
        <f t="shared" ca="1" si="6"/>
        <v>#NAME?</v>
      </c>
      <c r="PU19" s="53" t="e">
        <f t="shared" ca="1" si="6"/>
        <v>#NAME?</v>
      </c>
      <c r="PV19" s="53" t="e">
        <f t="shared" ca="1" si="6"/>
        <v>#NAME?</v>
      </c>
      <c r="PW19" s="53" t="e">
        <f t="shared" ca="1" si="6"/>
        <v>#NAME?</v>
      </c>
      <c r="PX19" s="53" t="e">
        <f t="shared" ca="1" si="6"/>
        <v>#NAME?</v>
      </c>
      <c r="PY19" s="53" t="e">
        <f t="shared" ca="1" si="6"/>
        <v>#NAME?</v>
      </c>
      <c r="PZ19" s="53" t="e">
        <f t="shared" ca="1" si="6"/>
        <v>#NAME?</v>
      </c>
      <c r="QA19" s="53" t="e">
        <f t="shared" ca="1" si="6"/>
        <v>#NAME?</v>
      </c>
      <c r="QB19" s="53" t="e">
        <f t="shared" ca="1" si="6"/>
        <v>#NAME?</v>
      </c>
      <c r="QC19" s="53" t="e">
        <f t="shared" ca="1" si="6"/>
        <v>#NAME?</v>
      </c>
      <c r="QD19" s="53" t="e">
        <f t="shared" ca="1" si="6"/>
        <v>#NAME?</v>
      </c>
      <c r="QE19" s="53" t="e">
        <f t="shared" ca="1" si="6"/>
        <v>#NAME?</v>
      </c>
      <c r="QF19" s="53" t="e">
        <f t="shared" ca="1" si="6"/>
        <v>#NAME?</v>
      </c>
      <c r="QG19" s="53" t="e">
        <f t="shared" ca="1" si="6"/>
        <v>#NAME?</v>
      </c>
      <c r="QH19" s="53" t="e">
        <f t="shared" ca="1" si="6"/>
        <v>#NAME?</v>
      </c>
      <c r="QI19" s="53" t="e">
        <f t="shared" ca="1" si="6"/>
        <v>#NAME?</v>
      </c>
      <c r="QJ19" s="53" t="e">
        <f t="shared" ca="1" si="6"/>
        <v>#NAME?</v>
      </c>
      <c r="QK19" s="53" t="e">
        <f t="shared" ca="1" si="6"/>
        <v>#NAME?</v>
      </c>
      <c r="QL19" s="53" t="e">
        <f t="shared" ca="1" si="6"/>
        <v>#NAME?</v>
      </c>
      <c r="QM19" s="53" t="e">
        <f t="shared" ca="1" si="6"/>
        <v>#NAME?</v>
      </c>
      <c r="QN19" s="53" t="e">
        <f t="shared" ca="1" si="6"/>
        <v>#NAME?</v>
      </c>
      <c r="QO19" s="53" t="e">
        <f t="shared" ca="1" si="6"/>
        <v>#NAME?</v>
      </c>
      <c r="QP19" s="53" t="e">
        <f t="shared" ca="1" si="6"/>
        <v>#NAME?</v>
      </c>
      <c r="QQ19" s="53" t="e">
        <f t="shared" ca="1" si="6"/>
        <v>#NAME?</v>
      </c>
      <c r="QR19" s="53" t="e">
        <f t="shared" ca="1" si="6"/>
        <v>#NAME?</v>
      </c>
      <c r="QS19" s="53" t="e">
        <f t="shared" ca="1" si="6"/>
        <v>#NAME?</v>
      </c>
      <c r="QT19" s="53" t="e">
        <f t="shared" ca="1" si="6"/>
        <v>#NAME?</v>
      </c>
      <c r="QU19" s="53" t="e">
        <f t="shared" ca="1" si="6"/>
        <v>#NAME?</v>
      </c>
      <c r="QV19" s="53" t="e">
        <f t="shared" ca="1" si="6"/>
        <v>#NAME?</v>
      </c>
      <c r="QW19" s="53" t="e">
        <f t="shared" ca="1" si="6"/>
        <v>#NAME?</v>
      </c>
      <c r="QX19" s="53" t="e">
        <f t="shared" ca="1" si="6"/>
        <v>#NAME?</v>
      </c>
      <c r="QY19" s="53" t="e">
        <f t="shared" ca="1" si="6"/>
        <v>#NAME?</v>
      </c>
      <c r="QZ19" s="53" t="e">
        <f t="shared" ca="1" si="6"/>
        <v>#NAME?</v>
      </c>
      <c r="RA19" s="53" t="e">
        <f t="shared" ca="1" si="6"/>
        <v>#NAME?</v>
      </c>
      <c r="RB19" s="53" t="e">
        <f t="shared" ca="1" si="6"/>
        <v>#NAME?</v>
      </c>
      <c r="RC19" s="53" t="e">
        <f t="shared" ca="1" si="6"/>
        <v>#NAME?</v>
      </c>
      <c r="RD19" s="53" t="e">
        <f t="shared" ca="1" si="6"/>
        <v>#NAME?</v>
      </c>
      <c r="RE19" s="53" t="e">
        <f t="shared" ca="1" si="6"/>
        <v>#NAME?</v>
      </c>
      <c r="RF19" s="53" t="e">
        <f t="shared" ca="1" si="6"/>
        <v>#NAME?</v>
      </c>
      <c r="RG19" s="53" t="e">
        <f t="shared" ca="1" si="6"/>
        <v>#NAME?</v>
      </c>
      <c r="RH19" s="53" t="e">
        <f t="shared" ca="1" si="6"/>
        <v>#NAME?</v>
      </c>
      <c r="RI19" s="53" t="e">
        <f t="shared" ca="1" si="6"/>
        <v>#NAME?</v>
      </c>
      <c r="RJ19" s="53" t="e">
        <f t="shared" ca="1" si="6"/>
        <v>#NAME?</v>
      </c>
      <c r="RK19" s="53" t="e">
        <f t="shared" ca="1" si="6"/>
        <v>#NAME?</v>
      </c>
      <c r="RL19" s="53" t="e">
        <f t="shared" ca="1" si="6"/>
        <v>#NAME?</v>
      </c>
      <c r="RM19" s="53" t="e">
        <f t="shared" ca="1" si="6"/>
        <v>#NAME?</v>
      </c>
      <c r="RN19" s="53" t="e">
        <f t="shared" ca="1" si="6"/>
        <v>#NAME?</v>
      </c>
      <c r="RO19" s="53" t="e">
        <f t="shared" ca="1" si="6"/>
        <v>#NAME?</v>
      </c>
      <c r="RP19" s="53" t="e">
        <f t="shared" ca="1" si="6"/>
        <v>#NAME?</v>
      </c>
      <c r="RQ19" s="53" t="e">
        <f t="shared" ca="1" si="6"/>
        <v>#NAME?</v>
      </c>
      <c r="RR19" s="53" t="e">
        <f t="shared" ca="1" si="6"/>
        <v>#NAME?</v>
      </c>
      <c r="RS19" s="53" t="e">
        <f t="shared" ca="1" si="6"/>
        <v>#NAME?</v>
      </c>
      <c r="RT19" s="53" t="e">
        <f t="shared" ca="1" si="6"/>
        <v>#NAME?</v>
      </c>
      <c r="RU19" s="53" t="e">
        <f t="shared" ca="1" si="6"/>
        <v>#NAME?</v>
      </c>
      <c r="RV19" s="53" t="e">
        <f t="shared" ca="1" si="6"/>
        <v>#NAME?</v>
      </c>
      <c r="RW19" s="53" t="e">
        <f t="shared" ca="1" si="6"/>
        <v>#NAME?</v>
      </c>
      <c r="RX19" s="53" t="e">
        <f t="shared" ca="1" si="6"/>
        <v>#NAME?</v>
      </c>
      <c r="RY19" s="53" t="e">
        <f t="shared" ca="1" si="6"/>
        <v>#NAME?</v>
      </c>
      <c r="RZ19" s="53" t="e">
        <f t="shared" ca="1" si="6"/>
        <v>#NAME?</v>
      </c>
      <c r="SA19" s="53" t="e">
        <f t="shared" ca="1" si="6"/>
        <v>#NAME?</v>
      </c>
    </row>
    <row r="20" spans="1:495" x14ac:dyDescent="0.2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  <c r="GK20" s="32"/>
      <c r="GL20" s="32"/>
      <c r="GM20" s="32"/>
      <c r="GN20" s="32"/>
      <c r="GO20" s="32"/>
      <c r="GP20" s="32"/>
      <c r="GQ20" s="32"/>
      <c r="GR20" s="32"/>
      <c r="GS20" s="32"/>
      <c r="GT20" s="32"/>
      <c r="GU20" s="32"/>
      <c r="GV20" s="32"/>
      <c r="GW20" s="32"/>
      <c r="GX20" s="32"/>
      <c r="GY20" s="32"/>
      <c r="GZ20" s="32"/>
      <c r="HA20" s="32"/>
      <c r="HB20" s="32"/>
      <c r="HC20" s="32"/>
      <c r="HD20" s="32"/>
      <c r="HE20" s="32"/>
      <c r="HF20" s="32"/>
      <c r="HG20" s="32"/>
      <c r="HH20" s="32"/>
      <c r="HI20" s="32"/>
      <c r="HJ20" s="32"/>
      <c r="HK20" s="32"/>
      <c r="HL20" s="32"/>
      <c r="HM20" s="32"/>
      <c r="HN20" s="32"/>
      <c r="HO20" s="32"/>
      <c r="HP20" s="32"/>
      <c r="HQ20" s="32"/>
      <c r="HR20" s="32"/>
      <c r="HS20" s="32"/>
      <c r="HT20" s="32"/>
      <c r="HU20" s="32"/>
      <c r="HV20" s="32"/>
      <c r="HW20" s="32"/>
      <c r="HX20" s="32"/>
      <c r="HY20" s="32"/>
      <c r="HZ20" s="32"/>
      <c r="IA20" s="32"/>
      <c r="IB20" s="32"/>
      <c r="IC20" s="32"/>
      <c r="ID20" s="32"/>
      <c r="IE20" s="32"/>
      <c r="IF20" s="32"/>
      <c r="IG20" s="32"/>
      <c r="IH20" s="32"/>
      <c r="II20" s="32"/>
      <c r="IJ20" s="32"/>
      <c r="IK20" s="32"/>
      <c r="IL20" s="32"/>
      <c r="IM20" s="32"/>
      <c r="IN20" s="32"/>
      <c r="IO20" s="32"/>
      <c r="IP20" s="32"/>
      <c r="IQ20" s="32"/>
      <c r="IR20" s="32"/>
      <c r="IS20" s="32"/>
      <c r="IT20" s="32"/>
      <c r="IU20" s="32"/>
      <c r="IV20" s="32"/>
      <c r="IW20" s="32"/>
      <c r="IX20" s="32"/>
      <c r="IY20" s="32"/>
      <c r="IZ20" s="32"/>
      <c r="JA20" s="32"/>
      <c r="JB20" s="32"/>
      <c r="JC20" s="32"/>
      <c r="JD20" s="32"/>
      <c r="JE20" s="32"/>
      <c r="JF20" s="32"/>
      <c r="JG20" s="32"/>
      <c r="JH20" s="32"/>
      <c r="JI20" s="32"/>
      <c r="JJ20" s="32"/>
      <c r="JK20" s="32"/>
      <c r="JL20" s="32"/>
      <c r="JM20" s="32"/>
      <c r="JN20" s="32"/>
      <c r="JO20" s="32"/>
      <c r="JP20" s="32"/>
      <c r="JQ20" s="32"/>
      <c r="JR20" s="32"/>
      <c r="JS20" s="32"/>
      <c r="JT20" s="32"/>
      <c r="JU20" s="32"/>
      <c r="JV20" s="32"/>
      <c r="JW20" s="32"/>
      <c r="JX20" s="32"/>
      <c r="JY20" s="32"/>
      <c r="JZ20" s="32"/>
      <c r="KA20" s="32"/>
      <c r="KB20" s="32"/>
      <c r="KC20" s="32"/>
      <c r="KD20" s="32"/>
      <c r="KE20" s="32"/>
      <c r="KF20" s="32"/>
      <c r="KG20" s="32"/>
      <c r="KH20" s="32"/>
      <c r="KI20" s="32"/>
      <c r="KJ20" s="32"/>
      <c r="KK20" s="32"/>
      <c r="KL20" s="32"/>
      <c r="KM20" s="32"/>
      <c r="KN20" s="32"/>
      <c r="KO20" s="32"/>
      <c r="KP20" s="32"/>
      <c r="KQ20" s="32"/>
      <c r="KR20" s="32"/>
      <c r="KS20" s="32"/>
      <c r="KT20" s="32"/>
      <c r="KU20" s="32"/>
      <c r="KV20" s="32"/>
      <c r="KW20" s="32"/>
      <c r="KX20" s="32"/>
      <c r="KY20" s="32"/>
      <c r="KZ20" s="32"/>
      <c r="LA20" s="32"/>
      <c r="LB20" s="32"/>
      <c r="LC20" s="32"/>
      <c r="LD20" s="32"/>
      <c r="LE20" s="32"/>
      <c r="LF20" s="32"/>
      <c r="LG20" s="32"/>
      <c r="LH20" s="32"/>
      <c r="LI20" s="32"/>
      <c r="LJ20" s="32"/>
      <c r="LK20" s="32"/>
      <c r="LL20" s="32"/>
      <c r="LM20" s="32"/>
      <c r="LN20" s="32"/>
      <c r="LO20" s="32"/>
      <c r="LP20" s="32"/>
      <c r="LQ20" s="32"/>
      <c r="LR20" s="32"/>
      <c r="LS20" s="32"/>
      <c r="LT20" s="32"/>
      <c r="LU20" s="32"/>
      <c r="LV20" s="32"/>
      <c r="LW20" s="32"/>
      <c r="LX20" s="32"/>
      <c r="LY20" s="32"/>
      <c r="LZ20" s="32"/>
      <c r="MA20" s="32"/>
      <c r="MB20" s="32"/>
      <c r="MC20" s="32"/>
      <c r="MD20" s="32"/>
      <c r="ME20" s="32"/>
      <c r="MF20" s="32"/>
      <c r="MG20" s="32"/>
      <c r="MH20" s="32"/>
      <c r="MI20" s="32"/>
      <c r="MJ20" s="32"/>
      <c r="MK20" s="32"/>
      <c r="ML20" s="32"/>
      <c r="MM20" s="32"/>
      <c r="MN20" s="32"/>
      <c r="MO20" s="32"/>
      <c r="MP20" s="32"/>
      <c r="MQ20" s="32"/>
      <c r="MR20" s="32"/>
      <c r="MS20" s="32"/>
      <c r="MT20" s="32"/>
      <c r="MU20" s="32"/>
      <c r="MV20" s="32"/>
      <c r="MW20" s="32"/>
      <c r="MX20" s="32"/>
      <c r="MY20" s="32"/>
      <c r="MZ20" s="32"/>
      <c r="NA20" s="32"/>
      <c r="NB20" s="32"/>
      <c r="NC20" s="32"/>
      <c r="ND20" s="32"/>
      <c r="NE20" s="32"/>
      <c r="NF20" s="32"/>
      <c r="NG20" s="32"/>
      <c r="NH20" s="32"/>
      <c r="NI20" s="32"/>
      <c r="NJ20" s="32"/>
      <c r="NK20" s="32"/>
      <c r="NL20" s="32"/>
      <c r="NM20" s="32"/>
      <c r="NN20" s="32"/>
      <c r="NO20" s="32"/>
      <c r="NP20" s="32"/>
      <c r="NQ20" s="32"/>
      <c r="NR20" s="32"/>
      <c r="NS20" s="32"/>
      <c r="NT20" s="32"/>
      <c r="NU20" s="32"/>
      <c r="NV20" s="32"/>
      <c r="NW20" s="32"/>
      <c r="NX20" s="32"/>
      <c r="NY20" s="32"/>
      <c r="NZ20" s="32"/>
      <c r="OA20" s="32"/>
      <c r="OB20" s="32"/>
      <c r="OC20" s="32"/>
      <c r="OD20" s="32"/>
      <c r="OE20" s="32"/>
      <c r="OF20" s="32"/>
      <c r="OG20" s="32"/>
      <c r="OH20" s="32"/>
      <c r="OI20" s="32"/>
      <c r="OJ20" s="32"/>
      <c r="OK20" s="32"/>
      <c r="OL20" s="32"/>
      <c r="OM20" s="32"/>
      <c r="ON20" s="32"/>
      <c r="OO20" s="32"/>
      <c r="OP20" s="32"/>
      <c r="OQ20" s="32"/>
      <c r="OR20" s="32"/>
      <c r="OS20" s="32"/>
      <c r="OT20" s="32"/>
      <c r="OU20" s="32"/>
      <c r="OV20" s="32"/>
      <c r="OW20" s="32"/>
      <c r="OX20" s="32"/>
      <c r="OY20" s="32"/>
      <c r="OZ20" s="32"/>
      <c r="PA20" s="32"/>
      <c r="PB20" s="32"/>
      <c r="PC20" s="32"/>
      <c r="PD20" s="32"/>
      <c r="PE20" s="32"/>
      <c r="PF20" s="32"/>
      <c r="PG20" s="32"/>
      <c r="PH20" s="32"/>
      <c r="PI20" s="32"/>
      <c r="PJ20" s="32"/>
      <c r="PK20" s="32"/>
      <c r="PL20" s="32"/>
      <c r="PM20" s="32"/>
      <c r="PN20" s="32"/>
      <c r="PO20" s="32"/>
      <c r="PP20" s="32"/>
      <c r="PQ20" s="32"/>
      <c r="PR20" s="32"/>
      <c r="PS20" s="32"/>
      <c r="PT20" s="32"/>
      <c r="PU20" s="32"/>
      <c r="PV20" s="32"/>
      <c r="PW20" s="32"/>
      <c r="PX20" s="32"/>
      <c r="PY20" s="32"/>
      <c r="PZ20" s="32"/>
      <c r="QA20" s="32"/>
      <c r="QB20" s="32"/>
      <c r="QC20" s="32"/>
      <c r="QD20" s="32"/>
      <c r="QE20" s="32"/>
      <c r="QF20" s="32"/>
      <c r="QG20" s="32"/>
      <c r="QH20" s="32"/>
      <c r="QI20" s="32"/>
      <c r="QJ20" s="32"/>
      <c r="QK20" s="32"/>
      <c r="QL20" s="32"/>
      <c r="QM20" s="32"/>
      <c r="QN20" s="32"/>
      <c r="QO20" s="32"/>
      <c r="QP20" s="32"/>
      <c r="QQ20" s="32"/>
      <c r="QR20" s="32"/>
      <c r="QS20" s="32"/>
      <c r="QT20" s="32"/>
      <c r="QU20" s="32"/>
      <c r="QV20" s="32"/>
      <c r="QW20" s="32"/>
      <c r="QX20" s="32"/>
      <c r="QY20" s="32"/>
      <c r="QZ20" s="32"/>
      <c r="RA20" s="32"/>
      <c r="RB20" s="32"/>
      <c r="RC20" s="32"/>
      <c r="RD20" s="32"/>
      <c r="RE20" s="32"/>
      <c r="RF20" s="32"/>
      <c r="RG20" s="32"/>
      <c r="RH20" s="32"/>
      <c r="RI20" s="32"/>
      <c r="RJ20" s="32"/>
      <c r="RK20" s="32"/>
      <c r="RL20" s="32"/>
      <c r="RM20" s="32"/>
      <c r="RN20" s="32"/>
      <c r="RO20" s="32"/>
      <c r="RP20" s="32"/>
      <c r="RQ20" s="32"/>
      <c r="RR20" s="32"/>
      <c r="RS20" s="32"/>
      <c r="RT20" s="32"/>
      <c r="RU20" s="32"/>
      <c r="RV20" s="32"/>
      <c r="RW20" s="32"/>
      <c r="RX20" s="32"/>
      <c r="RY20" s="32"/>
      <c r="RZ20" s="32"/>
      <c r="SA20" s="32"/>
    </row>
    <row r="21" spans="1:495" x14ac:dyDescent="0.2">
      <c r="A21" s="57" t="s">
        <v>1066</v>
      </c>
      <c r="B21" s="58">
        <v>2101652425.6500001</v>
      </c>
      <c r="C21" s="58">
        <v>2820087009.75</v>
      </c>
      <c r="D21" s="58">
        <v>3491151811.1500001</v>
      </c>
      <c r="E21" s="58">
        <v>8543511151.0299997</v>
      </c>
      <c r="F21" s="58">
        <v>17162261627.200001</v>
      </c>
      <c r="G21" s="58">
        <v>12618314252.059999</v>
      </c>
      <c r="H21" s="58">
        <v>2731309071.8899999</v>
      </c>
      <c r="I21" s="58">
        <v>105169700.40000001</v>
      </c>
      <c r="J21" s="58">
        <v>2752617081.6799998</v>
      </c>
      <c r="K21" s="58">
        <v>2008091598.8299999</v>
      </c>
      <c r="L21" s="58">
        <v>3062579157.9899998</v>
      </c>
      <c r="M21" s="58">
        <v>54674138.609999999</v>
      </c>
      <c r="N21" s="58">
        <v>141058317.83000001</v>
      </c>
      <c r="O21" s="58">
        <v>42815745.850000001</v>
      </c>
      <c r="P21" s="58">
        <v>7641313713.4200001</v>
      </c>
      <c r="Q21" s="58">
        <v>6768991255.5500002</v>
      </c>
      <c r="R21" s="58">
        <v>2421759122.4899998</v>
      </c>
      <c r="S21" s="58">
        <v>20704697.300000001</v>
      </c>
      <c r="T21" s="58">
        <v>70389839.760000005</v>
      </c>
      <c r="U21" s="58">
        <v>7898332466.1300001</v>
      </c>
      <c r="V21" s="58">
        <v>5378926373.9700003</v>
      </c>
      <c r="W21" s="58">
        <v>2116904259.9200001</v>
      </c>
      <c r="X21" s="58">
        <v>976149241.51999998</v>
      </c>
      <c r="Y21" s="58">
        <v>138009048.19</v>
      </c>
      <c r="Z21" s="58">
        <v>1268291838.1600001</v>
      </c>
      <c r="AA21" s="58">
        <v>4288847376.1500001</v>
      </c>
      <c r="AB21" s="58">
        <v>1366381996.1700001</v>
      </c>
      <c r="AC21" s="58">
        <v>1021726100.2</v>
      </c>
      <c r="AD21" s="58">
        <v>975548478.08000004</v>
      </c>
      <c r="AE21" s="58">
        <v>146093342.84999999</v>
      </c>
      <c r="AF21" s="58">
        <v>2772037776.4499998</v>
      </c>
      <c r="AG21" s="58">
        <v>102866660.95999999</v>
      </c>
      <c r="AH21" s="58">
        <v>35797069.799999997</v>
      </c>
      <c r="AI21" s="58">
        <v>771845933.88999999</v>
      </c>
      <c r="AJ21" s="58">
        <v>28847785.039999999</v>
      </c>
      <c r="AK21" s="58">
        <v>13626789.300000001</v>
      </c>
      <c r="AL21" s="58">
        <v>86306781.329999998</v>
      </c>
      <c r="AM21" s="58">
        <v>485365697.62</v>
      </c>
      <c r="AN21" s="58">
        <v>220386992.93000001</v>
      </c>
      <c r="AO21" s="58">
        <v>1469911522.02</v>
      </c>
      <c r="AP21" s="58">
        <v>75800752.909999996</v>
      </c>
      <c r="AQ21" s="58">
        <v>34538426.289999999</v>
      </c>
      <c r="AR21" s="58">
        <v>82660608.200000003</v>
      </c>
      <c r="AS21" s="58">
        <v>719289533.95000005</v>
      </c>
      <c r="AT21" s="58">
        <v>1221364990.1099999</v>
      </c>
      <c r="AU21" s="58">
        <v>1658976669.1300001</v>
      </c>
      <c r="AV21" s="58">
        <v>1727417959.1500001</v>
      </c>
      <c r="AW21" s="58">
        <v>53273282.039999999</v>
      </c>
      <c r="AX21" s="58">
        <v>2290842813.71</v>
      </c>
      <c r="AY21" s="58">
        <v>452868495.70999998</v>
      </c>
      <c r="AZ21" s="58">
        <v>1516088709.8299999</v>
      </c>
      <c r="BA21" s="58">
        <v>393910453.66000003</v>
      </c>
      <c r="BB21" s="58">
        <v>68263921.689999998</v>
      </c>
      <c r="BC21" s="58">
        <v>123413839.84999999</v>
      </c>
      <c r="BD21" s="58">
        <v>49068747.68</v>
      </c>
      <c r="BE21" s="58">
        <v>4569404548.5900002</v>
      </c>
      <c r="BF21" s="58">
        <v>3736303027.0900002</v>
      </c>
      <c r="BG21" s="58">
        <v>5372098573.1700001</v>
      </c>
      <c r="BH21" s="58">
        <v>20279198762.790001</v>
      </c>
      <c r="BI21" s="58">
        <v>11851928475.690001</v>
      </c>
      <c r="BJ21" s="58">
        <v>7700236753.2299995</v>
      </c>
      <c r="BK21" s="58">
        <v>2924679835.6100001</v>
      </c>
      <c r="BL21" s="58">
        <v>42235231.789999999</v>
      </c>
      <c r="BM21" s="58">
        <v>198242419.83000001</v>
      </c>
      <c r="BN21" s="58">
        <v>97582712.370000005</v>
      </c>
      <c r="BO21" s="58">
        <v>6021739490.1400003</v>
      </c>
      <c r="BP21" s="58">
        <v>2491987329.1599998</v>
      </c>
      <c r="BQ21" s="58">
        <v>1796343529.1700001</v>
      </c>
      <c r="BR21" s="58">
        <v>1132383139.53</v>
      </c>
      <c r="BS21" s="58">
        <v>20412639.77</v>
      </c>
      <c r="BT21" s="58">
        <v>93594301.810000002</v>
      </c>
      <c r="BU21" s="58">
        <v>1790925887.7</v>
      </c>
      <c r="BV21" s="58">
        <v>798111502.98000002</v>
      </c>
      <c r="BW21" s="58">
        <v>789577707.08000004</v>
      </c>
      <c r="BX21" s="58">
        <v>1593214531.6400001</v>
      </c>
      <c r="BY21" s="58">
        <v>25257113.34</v>
      </c>
      <c r="BZ21" s="58">
        <v>396193843.79000002</v>
      </c>
      <c r="CA21" s="58">
        <v>141738039.22</v>
      </c>
      <c r="CB21" s="58">
        <v>63414325.140000001</v>
      </c>
      <c r="CC21" s="58">
        <v>132246427.98999999</v>
      </c>
      <c r="CD21" s="58">
        <v>451949612.47000003</v>
      </c>
      <c r="CE21" s="58">
        <v>1064992175.8099999</v>
      </c>
      <c r="CF21" s="58">
        <v>49074155.200000003</v>
      </c>
      <c r="CG21" s="58">
        <v>158590233.78</v>
      </c>
      <c r="CH21" s="58">
        <v>3900052979.2800002</v>
      </c>
      <c r="CI21" s="58">
        <v>832625572.75999999</v>
      </c>
      <c r="CJ21" s="58">
        <v>142051793.68000001</v>
      </c>
      <c r="CK21" s="58">
        <v>1207227580.8199999</v>
      </c>
      <c r="CL21" s="58">
        <v>484326029.63</v>
      </c>
      <c r="CM21" s="58">
        <v>78497318.480000004</v>
      </c>
      <c r="CN21" s="58">
        <v>55203630.810000002</v>
      </c>
      <c r="CO21" s="58">
        <v>3275406217.9000001</v>
      </c>
      <c r="CP21" s="58">
        <v>128254668.81999999</v>
      </c>
      <c r="CQ21" s="58">
        <v>3213325454.2800002</v>
      </c>
      <c r="CR21" s="58">
        <v>2173450265.9000001</v>
      </c>
      <c r="CS21" s="58">
        <v>1127802400.55</v>
      </c>
      <c r="CT21" s="58">
        <v>443032392.51999998</v>
      </c>
      <c r="CU21" s="58">
        <v>100557590</v>
      </c>
      <c r="CV21" s="58">
        <v>3617612880.73</v>
      </c>
      <c r="CW21" s="58">
        <v>1778887347.1600001</v>
      </c>
      <c r="CX21" s="58">
        <v>1274728730.8800001</v>
      </c>
      <c r="CY21" s="58">
        <v>1880614187.8199999</v>
      </c>
      <c r="CZ21" s="58">
        <v>33687563.090000004</v>
      </c>
      <c r="DA21" s="58">
        <v>3587026095.0700002</v>
      </c>
      <c r="DB21" s="58">
        <v>1169634465.78</v>
      </c>
      <c r="DC21" s="58">
        <v>89553323.930000007</v>
      </c>
      <c r="DD21" s="58">
        <v>1393005532.27</v>
      </c>
      <c r="DE21" s="58">
        <v>2068665189.8</v>
      </c>
      <c r="DF21" s="58">
        <v>4693906622.0900002</v>
      </c>
      <c r="DG21" s="58">
        <v>3149008223.3600001</v>
      </c>
      <c r="DH21" s="58">
        <v>1576904615.6099999</v>
      </c>
      <c r="DI21" s="58">
        <f ca="1">IF(DI$5&lt;=TODAY(),DH50,DH48)</f>
        <v>786214542.62</v>
      </c>
      <c r="DJ21" s="58">
        <f ca="1">IF(DJ$5&lt;=TODAY(),DI50,DI48)</f>
        <v>80961080.909999996</v>
      </c>
      <c r="DK21" s="58">
        <f ca="1">IF(DK$5&lt;=TODAY(),DJ50,DJ48)</f>
        <v>1442194248.6700001</v>
      </c>
      <c r="DL21" s="58">
        <v>4227178407</v>
      </c>
      <c r="DM21" s="58">
        <v>58933307.630000003</v>
      </c>
      <c r="DN21" s="58">
        <v>1584215345.7</v>
      </c>
      <c r="DO21" s="58">
        <v>475283700.75</v>
      </c>
      <c r="DP21" s="58">
        <v>4763696566.3000002</v>
      </c>
      <c r="DQ21" s="58">
        <v>702340339.61000001</v>
      </c>
      <c r="DR21" s="58">
        <v>1614605818.8800001</v>
      </c>
      <c r="DS21" s="58">
        <v>867078873.44000006</v>
      </c>
      <c r="DT21" s="58">
        <v>53898086.460000001</v>
      </c>
      <c r="DU21" s="58">
        <v>2952840057.25</v>
      </c>
      <c r="DV21" s="58">
        <v>4631353179.1700001</v>
      </c>
      <c r="DW21" s="58">
        <v>343425293.99000001</v>
      </c>
      <c r="DX21" s="58">
        <v>67970160.730000004</v>
      </c>
      <c r="DY21" s="58">
        <v>247884534.28999999</v>
      </c>
      <c r="DZ21" s="58">
        <v>3513932749.5</v>
      </c>
      <c r="EA21" s="58">
        <v>2265427788.79</v>
      </c>
      <c r="EB21" s="58">
        <v>622893091.39999998</v>
      </c>
      <c r="EC21" s="58">
        <v>56471133.43</v>
      </c>
      <c r="ED21" s="58">
        <v>828623724.86000001</v>
      </c>
      <c r="EE21" s="58">
        <v>115176112.75</v>
      </c>
      <c r="EF21" s="58">
        <v>79078876.469999999</v>
      </c>
      <c r="EG21" s="58">
        <v>302102103.63999999</v>
      </c>
      <c r="EH21" s="58">
        <v>216183911.78999999</v>
      </c>
      <c r="EI21" s="58">
        <v>3521580549.5</v>
      </c>
      <c r="EJ21" s="58">
        <v>1965112400.79</v>
      </c>
      <c r="EK21" s="58">
        <v>464345631.92000002</v>
      </c>
      <c r="EL21" s="58">
        <v>40690938.649999999</v>
      </c>
      <c r="EM21" s="58">
        <v>82221292.510000005</v>
      </c>
      <c r="EN21" s="58">
        <v>2334352285.3400002</v>
      </c>
      <c r="EO21" s="58">
        <v>2772905416.9000001</v>
      </c>
      <c r="EP21" s="58">
        <v>1453166871.8800001</v>
      </c>
      <c r="EQ21" s="58">
        <v>55531625.689999998</v>
      </c>
      <c r="ER21" s="58">
        <v>2948297339.2399998</v>
      </c>
      <c r="ES21" s="58">
        <v>1609435999.25</v>
      </c>
      <c r="ET21" s="58">
        <v>34908211.170000002</v>
      </c>
      <c r="EU21" s="58">
        <v>331786482.44999999</v>
      </c>
      <c r="EV21" s="58">
        <v>196211881.69</v>
      </c>
      <c r="EW21" s="58">
        <v>907230184.67999995</v>
      </c>
      <c r="EX21" s="58">
        <v>1282826393.3599999</v>
      </c>
      <c r="EY21" s="58">
        <v>53221111.520000003</v>
      </c>
      <c r="EZ21" s="58">
        <v>254983041.08000001</v>
      </c>
      <c r="FA21" s="58">
        <v>1450983701.96</v>
      </c>
      <c r="FB21" s="58">
        <v>3335983891.6100001</v>
      </c>
      <c r="FC21" s="58">
        <v>1231332587.27</v>
      </c>
      <c r="FD21" s="58">
        <v>91514944.780000001</v>
      </c>
      <c r="FE21" s="58">
        <v>129544713.84</v>
      </c>
      <c r="FF21" s="58">
        <v>355242593.83999997</v>
      </c>
      <c r="FG21" s="58">
        <v>2430008886.0100002</v>
      </c>
      <c r="FH21" s="58">
        <v>1948120236.49</v>
      </c>
      <c r="FI21" s="58">
        <v>5844179.46</v>
      </c>
      <c r="FJ21" s="58">
        <v>219320625.93000001</v>
      </c>
      <c r="FK21" s="58">
        <v>652370248.87</v>
      </c>
      <c r="FL21" s="58">
        <v>354396952.72000003</v>
      </c>
      <c r="FM21" s="58">
        <f ca="1">IF(FM$5&lt;=TODAY(),FL50,FL48)</f>
        <v>212335909.13999999</v>
      </c>
      <c r="FN21" s="58">
        <f ca="1">IF(FN$5&lt;=TODAY(),FM50,FM48)</f>
        <v>101193815.13</v>
      </c>
      <c r="FO21" s="58">
        <f ca="1">IF(FO$5&lt;=TODAY(),FN50,FN48)</f>
        <v>202605405.52000001</v>
      </c>
      <c r="FP21" s="58">
        <f ca="1">IF(FP$5&lt;=TODAY(),FO50,FO48)</f>
        <v>-2289827734.48</v>
      </c>
      <c r="FQ21" s="58">
        <v>-2289827734.48</v>
      </c>
      <c r="FR21" s="58">
        <v>3263172265.5100002</v>
      </c>
      <c r="FS21" s="58">
        <v>106340554.28</v>
      </c>
      <c r="FT21" s="58">
        <v>1782671972.8800001</v>
      </c>
      <c r="FU21" s="58">
        <v>2162479685.3499999</v>
      </c>
      <c r="FV21" s="58">
        <v>3014339810.0300002</v>
      </c>
      <c r="FW21" s="58">
        <v>2102467625.2</v>
      </c>
      <c r="FX21" s="58">
        <v>68702339.980000004</v>
      </c>
      <c r="FY21" s="58">
        <v>579854652.58000004</v>
      </c>
      <c r="FZ21" s="58">
        <v>323435672.44999999</v>
      </c>
      <c r="GA21" s="58">
        <v>537799542.96000004</v>
      </c>
      <c r="GB21" s="58">
        <v>2093209536</v>
      </c>
      <c r="GC21" s="58">
        <v>55837834.850000001</v>
      </c>
      <c r="GD21" s="58">
        <v>123867081.02</v>
      </c>
      <c r="GE21" s="58">
        <v>221938140.55000001</v>
      </c>
      <c r="GF21" s="58">
        <v>850893118.48000002</v>
      </c>
      <c r="GG21" s="58">
        <v>1289470754.6700001</v>
      </c>
      <c r="GH21" s="58">
        <v>3667385326.1799998</v>
      </c>
      <c r="GI21" s="58">
        <v>1036028694.1799999</v>
      </c>
      <c r="GJ21" s="58">
        <v>802606694.39999998</v>
      </c>
      <c r="GK21" s="58">
        <v>361277647.82999998</v>
      </c>
      <c r="GL21" s="58">
        <v>2744354417.4299998</v>
      </c>
      <c r="GM21" s="58">
        <v>8749619448.3700008</v>
      </c>
      <c r="GN21" s="58">
        <v>319497136.5</v>
      </c>
      <c r="GO21" s="58">
        <v>267650061.91999999</v>
      </c>
      <c r="GP21" s="58">
        <v>4083827810.75</v>
      </c>
      <c r="GQ21" s="58">
        <v>4396653430.7799997</v>
      </c>
      <c r="GR21" s="58">
        <v>846918092.04999995</v>
      </c>
      <c r="GS21" s="58">
        <v>21561595.359999999</v>
      </c>
      <c r="GT21" s="58">
        <v>1545485827.3499999</v>
      </c>
      <c r="GU21" s="58">
        <v>57427824.450000003</v>
      </c>
      <c r="GV21" s="58">
        <v>116965818.94</v>
      </c>
      <c r="GW21" s="58">
        <v>8361103030.9799995</v>
      </c>
      <c r="GX21" s="58">
        <v>866780924.07000005</v>
      </c>
      <c r="GY21" s="58">
        <v>552193766.10000002</v>
      </c>
      <c r="GZ21" s="58">
        <v>151667313.44</v>
      </c>
      <c r="HA21" s="58">
        <v>597081845.89999998</v>
      </c>
      <c r="HB21" s="58">
        <v>340066596.29000002</v>
      </c>
      <c r="HC21" s="58">
        <v>56929533.280000001</v>
      </c>
      <c r="HD21" s="58">
        <v>621597308.92999995</v>
      </c>
      <c r="HE21" s="58">
        <v>200235666.25</v>
      </c>
      <c r="HF21" s="58">
        <v>452941232.20999998</v>
      </c>
      <c r="HG21" s="58">
        <v>5318663364.21</v>
      </c>
      <c r="HH21" s="58">
        <v>874133135.00999999</v>
      </c>
      <c r="HI21" s="58">
        <v>414478913.63</v>
      </c>
      <c r="HJ21" s="58">
        <v>5462347377.1899996</v>
      </c>
      <c r="HK21" s="58">
        <v>5555456874.8900003</v>
      </c>
      <c r="HL21" s="58">
        <v>4335524060.1300001</v>
      </c>
      <c r="HM21" s="58">
        <v>0</v>
      </c>
      <c r="HN21" s="58">
        <v>2192134401.3899999</v>
      </c>
      <c r="HO21" s="58">
        <v>3123253436.1100001</v>
      </c>
      <c r="HP21" s="58">
        <v>2248760102.1999998</v>
      </c>
      <c r="HQ21" s="58">
        <v>2376590433.7199998</v>
      </c>
      <c r="HR21" s="58">
        <v>1028862915.64</v>
      </c>
      <c r="HS21" s="58">
        <v>1651960305.54</v>
      </c>
      <c r="HT21" s="58">
        <v>252732358.38</v>
      </c>
      <c r="HU21" s="58">
        <v>4824918128.6700001</v>
      </c>
      <c r="HV21" s="58">
        <v>2014803175.78</v>
      </c>
      <c r="HW21" s="58">
        <v>265315398.09999999</v>
      </c>
      <c r="HX21" s="58">
        <v>1246881243.8699999</v>
      </c>
      <c r="HY21" s="58">
        <v>4051209205.6900001</v>
      </c>
      <c r="HZ21" s="58">
        <f ca="1">IF(HZ$5&lt;=TODAY(),HY50,HY48)</f>
        <v>2884643028.1300001</v>
      </c>
      <c r="IA21" s="58">
        <f ca="1">IF(IA$5&lt;=TODAY(),HZ50,HZ48)</f>
        <v>505081051.36000001</v>
      </c>
      <c r="IB21" s="58">
        <f ca="1">IF(IB$5&lt;=TODAY(),IA50,IA48)</f>
        <v>294411208.04000002</v>
      </c>
      <c r="IC21" s="58">
        <v>559828740.94000006</v>
      </c>
      <c r="ID21" s="58">
        <v>559828740.94000006</v>
      </c>
      <c r="IE21" s="58">
        <v>1295639991.5699999</v>
      </c>
      <c r="IF21" s="58">
        <v>830082579.50999999</v>
      </c>
      <c r="IG21" s="58">
        <v>188315223.16999999</v>
      </c>
      <c r="IH21" s="58">
        <v>3348147707.3800001</v>
      </c>
      <c r="II21" s="58">
        <v>2639322445.6399999</v>
      </c>
      <c r="IJ21" s="58">
        <v>300324051.76999998</v>
      </c>
      <c r="IK21" s="58">
        <v>512265964.74000001</v>
      </c>
      <c r="IL21" s="58">
        <v>627346220.00999999</v>
      </c>
      <c r="IM21" s="58">
        <v>40267435.939999998</v>
      </c>
      <c r="IN21" s="58">
        <v>533528237.24000001</v>
      </c>
      <c r="IO21" s="58">
        <v>3812480009.3800001</v>
      </c>
      <c r="IP21" s="58">
        <v>2748737847.5</v>
      </c>
      <c r="IQ21" s="58">
        <v>2616071049.29</v>
      </c>
      <c r="IR21" s="58">
        <v>2573028307.1199999</v>
      </c>
      <c r="IS21" s="58">
        <v>1097414260.5999999</v>
      </c>
      <c r="IT21" s="58">
        <v>1003850385.03</v>
      </c>
      <c r="IU21" s="58">
        <v>164846625.00999999</v>
      </c>
      <c r="IV21" s="58">
        <v>1340301974.22</v>
      </c>
      <c r="IW21" s="58">
        <v>928178215</v>
      </c>
      <c r="IX21" s="58">
        <v>27947740.550000001</v>
      </c>
      <c r="IY21" s="58">
        <v>324311336.25999999</v>
      </c>
      <c r="IZ21" s="58">
        <v>33369666.699999999</v>
      </c>
      <c r="JA21" s="58">
        <v>1664237750.4200001</v>
      </c>
      <c r="JB21" s="58">
        <v>1288779981.1600001</v>
      </c>
      <c r="JC21" s="58">
        <v>599435396.88</v>
      </c>
      <c r="JD21" s="58">
        <v>1172246235.0799999</v>
      </c>
      <c r="JE21" s="58">
        <f ca="1">IF(JE$5&lt;=TODAY(),JD50,JD48)</f>
        <v>803078836.40999997</v>
      </c>
      <c r="JF21" s="58">
        <v>246212543.91</v>
      </c>
      <c r="JG21" s="58">
        <f ca="1">IF(JG$5&lt;=TODAY(),JF50,JF48)</f>
        <v>270531071.50999999</v>
      </c>
      <c r="JH21" s="58">
        <v>981480078.23000002</v>
      </c>
      <c r="JI21" s="58">
        <v>497399807.5</v>
      </c>
      <c r="JJ21" s="58">
        <v>2068314223.4400001</v>
      </c>
      <c r="JK21" s="58">
        <v>5010379532.1099997</v>
      </c>
      <c r="JL21" s="58">
        <v>3047089595.77</v>
      </c>
      <c r="JM21" s="58">
        <v>1443740458.24</v>
      </c>
      <c r="JN21" s="58">
        <v>56907694.740000002</v>
      </c>
      <c r="JO21" s="58">
        <v>8563265956.3000002</v>
      </c>
      <c r="JP21" s="58">
        <v>6184763140.7799997</v>
      </c>
      <c r="JQ21" s="58">
        <v>860567400.55999994</v>
      </c>
      <c r="JR21" s="58">
        <v>414923512.08999997</v>
      </c>
      <c r="JS21" s="58">
        <v>113517083.23</v>
      </c>
      <c r="JT21" s="58">
        <v>1876196146.99</v>
      </c>
      <c r="JU21" s="58">
        <v>2028896824.52</v>
      </c>
      <c r="JV21" s="58">
        <v>719714485.89999998</v>
      </c>
      <c r="JW21" s="58">
        <v>82346474.890000001</v>
      </c>
      <c r="JX21" s="58">
        <v>121775445.15000001</v>
      </c>
      <c r="JY21" s="58">
        <v>852226380.5</v>
      </c>
      <c r="JZ21" s="58">
        <v>1213224313.1500001</v>
      </c>
      <c r="KA21" s="58">
        <v>1182846075.4100001</v>
      </c>
      <c r="KB21" s="58">
        <v>584834859.70000005</v>
      </c>
      <c r="KC21" s="58">
        <v>312600663.55000001</v>
      </c>
      <c r="KD21" s="58">
        <v>2107071076.3</v>
      </c>
      <c r="KE21" s="58">
        <v>915313691.24000001</v>
      </c>
      <c r="KF21" s="58">
        <v>612894464.58000004</v>
      </c>
      <c r="KG21" s="58">
        <v>553163180.78999996</v>
      </c>
      <c r="KH21" s="58">
        <v>38186862.82</v>
      </c>
      <c r="KI21" s="58">
        <v>515046969.89999998</v>
      </c>
      <c r="KJ21" s="58">
        <v>1334689777.0899999</v>
      </c>
      <c r="KK21" s="58">
        <v>674454973.80999994</v>
      </c>
      <c r="KL21" s="58">
        <v>734189406.21000004</v>
      </c>
      <c r="KM21" s="58">
        <v>1000902897.5</v>
      </c>
      <c r="KN21" s="58">
        <v>90163573.189999998</v>
      </c>
      <c r="KO21" s="58">
        <v>196231143.24000001</v>
      </c>
      <c r="KP21" s="58">
        <v>107030748</v>
      </c>
      <c r="KQ21" s="58">
        <v>321456699.60000002</v>
      </c>
      <c r="KR21" s="58">
        <v>3154374654.4099998</v>
      </c>
      <c r="KS21" s="58">
        <v>1779967313.48</v>
      </c>
      <c r="KT21" s="58">
        <v>380025994.93000001</v>
      </c>
      <c r="KU21" s="58">
        <v>250000979.65000001</v>
      </c>
      <c r="KV21" s="58">
        <v>156429211.08000001</v>
      </c>
      <c r="KW21" s="58">
        <v>51012182.189999998</v>
      </c>
      <c r="KX21" s="58">
        <v>733149403.46000004</v>
      </c>
      <c r="KY21" s="58">
        <v>1898117815.47</v>
      </c>
      <c r="KZ21" s="58">
        <v>1776713883.8399999</v>
      </c>
      <c r="LA21" s="58">
        <v>9069452630.2399998</v>
      </c>
      <c r="LB21" s="58">
        <v>4942145924.0200005</v>
      </c>
      <c r="LC21" s="58">
        <v>1396711119.8299999</v>
      </c>
      <c r="LD21" s="58">
        <v>389399798.31999999</v>
      </c>
      <c r="LE21" s="58">
        <v>1199695747.3900001</v>
      </c>
      <c r="LF21" s="58">
        <v>311061367.56999999</v>
      </c>
      <c r="LG21" s="58">
        <v>116580376.55</v>
      </c>
      <c r="LH21" s="58">
        <v>366158538.42000002</v>
      </c>
      <c r="LI21" s="58">
        <v>3451703566.6399999</v>
      </c>
      <c r="LJ21" s="58">
        <v>5195517833.1899996</v>
      </c>
      <c r="LK21" s="58">
        <v>6100118975.4700003</v>
      </c>
      <c r="LL21" s="58">
        <v>151638303.88999999</v>
      </c>
      <c r="LM21" s="58">
        <v>556562106.57000005</v>
      </c>
      <c r="LN21" s="58">
        <v>4331798811.6099997</v>
      </c>
      <c r="LO21" s="58">
        <v>1823704304.3499999</v>
      </c>
      <c r="LP21" s="58">
        <v>451239155.11000001</v>
      </c>
      <c r="LQ21" s="58">
        <v>4625929714.3800001</v>
      </c>
      <c r="LR21" s="58">
        <v>2362958527.3899999</v>
      </c>
      <c r="LS21" s="58">
        <v>1175182783.53</v>
      </c>
      <c r="LT21" s="58">
        <v>918935737.69000006</v>
      </c>
      <c r="LU21" s="58">
        <v>52398267.509999998</v>
      </c>
      <c r="LV21" s="58">
        <v>2204642403.9000001</v>
      </c>
      <c r="LW21" s="58">
        <v>324310741.55000001</v>
      </c>
      <c r="LX21" s="58">
        <v>1231075726.49</v>
      </c>
      <c r="LY21" s="58">
        <v>1614779001.8699999</v>
      </c>
      <c r="LZ21" s="58">
        <v>332133403.27999997</v>
      </c>
      <c r="MA21" s="58">
        <v>453813456.52999997</v>
      </c>
      <c r="MB21" s="58">
        <v>7134518810.5299997</v>
      </c>
      <c r="MC21" s="58">
        <v>3916378408.8299999</v>
      </c>
      <c r="MD21" s="58">
        <v>3494129903.3800001</v>
      </c>
      <c r="ME21" s="58">
        <v>1405434581.5899999</v>
      </c>
      <c r="MF21" s="58">
        <v>1194925764.21</v>
      </c>
      <c r="MG21" s="58">
        <v>3142950107.1799998</v>
      </c>
      <c r="MH21" s="58">
        <v>1517420157.3199999</v>
      </c>
      <c r="MI21" s="58">
        <v>511438163.38</v>
      </c>
      <c r="MJ21" s="58">
        <v>2612221944.1300001</v>
      </c>
      <c r="MK21" s="58">
        <v>3868795232.3800001</v>
      </c>
      <c r="ML21" s="58">
        <v>2400732826.0100002</v>
      </c>
      <c r="MM21" s="58">
        <v>210647589.00999999</v>
      </c>
      <c r="MN21" s="58">
        <v>95699458.189999998</v>
      </c>
      <c r="MO21" s="58">
        <v>1030655418.1</v>
      </c>
      <c r="MP21" s="58">
        <v>2948045444.71</v>
      </c>
      <c r="MQ21" s="58">
        <v>2253398604.29</v>
      </c>
      <c r="MR21" s="58">
        <v>471636608.47000003</v>
      </c>
      <c r="MS21" s="58">
        <v>131812977.91</v>
      </c>
      <c r="MT21" s="58">
        <v>707681107.27999997</v>
      </c>
      <c r="MU21" s="58">
        <v>3455551645.5999999</v>
      </c>
      <c r="MV21" s="58">
        <v>2087337086.4000001</v>
      </c>
      <c r="MW21" s="58">
        <v>1815736772.23</v>
      </c>
      <c r="MX21" s="58">
        <v>771661492.72000003</v>
      </c>
      <c r="MY21" s="58">
        <v>308575646.63999999</v>
      </c>
      <c r="MZ21" s="58">
        <v>938898301.83000004</v>
      </c>
      <c r="NA21" s="58">
        <v>484472306.69</v>
      </c>
      <c r="NB21" s="58">
        <v>282488532.95999998</v>
      </c>
      <c r="NC21" s="58">
        <v>149292965.88999999</v>
      </c>
      <c r="ND21" s="58">
        <v>1817849457.26</v>
      </c>
      <c r="NE21" s="58">
        <v>1791880256.03</v>
      </c>
      <c r="NF21" s="58">
        <v>1253378431.95</v>
      </c>
      <c r="NG21" s="58">
        <v>2265879363.9299998</v>
      </c>
      <c r="NH21" s="58">
        <v>1552643803.3499999</v>
      </c>
      <c r="NI21" s="58">
        <v>2716515819.7600002</v>
      </c>
      <c r="NJ21" s="58">
        <v>6250769570.7200003</v>
      </c>
      <c r="NK21" s="58">
        <v>4902287651.0799999</v>
      </c>
      <c r="NL21" s="58">
        <v>3517731038.9200001</v>
      </c>
      <c r="NM21" s="58">
        <v>2400391020.4899998</v>
      </c>
      <c r="NN21" s="58">
        <v>215441480.63999999</v>
      </c>
      <c r="NO21" s="58">
        <v>1400378482.6199999</v>
      </c>
      <c r="NP21" s="58">
        <v>921630609.09000003</v>
      </c>
      <c r="NQ21" s="58">
        <v>1755821585.8299999</v>
      </c>
      <c r="NR21" s="58">
        <v>409646174.08999997</v>
      </c>
      <c r="NS21" s="58">
        <v>1851466492.1199999</v>
      </c>
      <c r="NT21" s="58">
        <v>724112027.59000003</v>
      </c>
      <c r="NU21" s="58">
        <v>178358471.11000001</v>
      </c>
      <c r="NV21" s="58">
        <v>932468322.32000005</v>
      </c>
      <c r="NW21" s="58">
        <v>301164564.72000003</v>
      </c>
      <c r="NX21" s="58">
        <v>2665957344.2199998</v>
      </c>
      <c r="NY21" s="58">
        <v>2414811842.5100002</v>
      </c>
      <c r="NZ21" s="58">
        <v>649990851.03999996</v>
      </c>
      <c r="OA21" s="58">
        <v>81549639.930000007</v>
      </c>
      <c r="OB21" s="58">
        <v>19118352.98</v>
      </c>
      <c r="OC21" s="58">
        <v>217164925.86000001</v>
      </c>
      <c r="OD21" s="58">
        <v>1079387822.3900001</v>
      </c>
      <c r="OE21" s="58">
        <v>522226487.19999999</v>
      </c>
      <c r="OF21" s="58">
        <v>1688192336.0899999</v>
      </c>
      <c r="OG21" s="58">
        <v>392112204.06</v>
      </c>
      <c r="OH21" s="58">
        <v>192034998.56</v>
      </c>
      <c r="OI21" s="58">
        <v>862889600.21000004</v>
      </c>
      <c r="OJ21" s="58">
        <v>437887001.91000003</v>
      </c>
      <c r="OK21" s="58">
        <v>607201387.40999997</v>
      </c>
      <c r="OL21" s="58">
        <v>476021835.11000001</v>
      </c>
      <c r="OM21" s="58">
        <v>151131899.11000001</v>
      </c>
      <c r="ON21" s="58">
        <v>174318733.22</v>
      </c>
      <c r="OO21" s="58">
        <v>446941608.01999998</v>
      </c>
      <c r="OP21" s="58">
        <v>457069388.69</v>
      </c>
      <c r="OQ21" s="58">
        <v>403811499.93000001</v>
      </c>
      <c r="OR21" s="58">
        <v>628709499.54999995</v>
      </c>
      <c r="OS21" s="58">
        <v>776730611.76999998</v>
      </c>
      <c r="OT21" s="58">
        <v>1760931701.46</v>
      </c>
      <c r="OU21" s="58">
        <v>895794909.21000004</v>
      </c>
      <c r="OV21" s="58">
        <v>879286963.39999998</v>
      </c>
      <c r="OW21" s="58">
        <v>1250150177.5799999</v>
      </c>
      <c r="OX21" s="58">
        <v>6781719211.3299999</v>
      </c>
      <c r="OY21" s="58">
        <v>3709637866.6900001</v>
      </c>
      <c r="OZ21" s="58">
        <v>2240996296.4499998</v>
      </c>
      <c r="PA21" s="58">
        <v>4787386436.1400003</v>
      </c>
      <c r="PB21" s="58">
        <v>1537587831.8800001</v>
      </c>
      <c r="PC21" s="58">
        <v>449376247.27999997</v>
      </c>
      <c r="PD21" s="58">
        <v>925207300.30999994</v>
      </c>
      <c r="PE21" s="58">
        <v>2213891223.0100002</v>
      </c>
      <c r="PF21" s="58">
        <v>1253816555.71</v>
      </c>
      <c r="PG21" s="58">
        <v>495845396.00999999</v>
      </c>
      <c r="PH21" s="58">
        <v>1276143079.1300001</v>
      </c>
      <c r="PI21" s="58">
        <v>768181782.36000001</v>
      </c>
      <c r="PJ21" s="58">
        <v>2646033787.8699999</v>
      </c>
      <c r="PK21" s="58">
        <v>3541310555.3200002</v>
      </c>
      <c r="PL21" s="58">
        <v>3408020802.1700001</v>
      </c>
      <c r="PM21" s="58">
        <v>70382226.459999993</v>
      </c>
      <c r="PN21" s="58">
        <v>2967621404.1599998</v>
      </c>
      <c r="PO21" s="58">
        <f ca="1">IF(PO$5&lt;=TODAY(),PN50,PN48)</f>
        <v>2314343615.9699998</v>
      </c>
      <c r="PP21" s="58">
        <f ca="1">IF(PP$5&lt;=TODAY(),PO50,PO48)</f>
        <v>1851345299.5899999</v>
      </c>
      <c r="PQ21" s="58">
        <f t="shared" ref="PQ21:SA21" ca="1" si="7">IF(PQ$5&lt;=TODAY(),PP50,PP48)</f>
        <v>259640232.33000001</v>
      </c>
      <c r="PR21" s="58">
        <f t="shared" ca="1" si="7"/>
        <v>259640232.33000001</v>
      </c>
      <c r="PS21" s="58">
        <f t="shared" ca="1" si="7"/>
        <v>1218844332.3299999</v>
      </c>
      <c r="PT21" s="58">
        <f t="shared" ca="1" si="7"/>
        <v>173017720.14999998</v>
      </c>
      <c r="PU21" s="58">
        <f t="shared" ca="1" si="7"/>
        <v>173017720.14999998</v>
      </c>
      <c r="PV21" s="58">
        <f t="shared" ca="1" si="7"/>
        <v>3136017720.1500001</v>
      </c>
      <c r="PW21" s="58">
        <f t="shared" ca="1" si="7"/>
        <v>3136017720.1500001</v>
      </c>
      <c r="PX21" s="58">
        <f t="shared" ca="1" si="7"/>
        <v>7487017720.1499996</v>
      </c>
      <c r="PY21" s="58">
        <f t="shared" ca="1" si="7"/>
        <v>7487017720.1499996</v>
      </c>
      <c r="PZ21" s="58">
        <f t="shared" ca="1" si="7"/>
        <v>7487017720.1499996</v>
      </c>
      <c r="QA21" s="58">
        <f t="shared" ca="1" si="7"/>
        <v>7487017720.1499996</v>
      </c>
      <c r="QB21" s="58">
        <f t="shared" ca="1" si="7"/>
        <v>7487017720.1499996</v>
      </c>
      <c r="QC21" s="58">
        <f t="shared" ca="1" si="7"/>
        <v>7487017720.1499996</v>
      </c>
      <c r="QD21" s="58">
        <f t="shared" ca="1" si="7"/>
        <v>7487017720.1499996</v>
      </c>
      <c r="QE21" s="58">
        <f t="shared" ca="1" si="7"/>
        <v>7487017720.1499996</v>
      </c>
      <c r="QF21" s="58">
        <f t="shared" ca="1" si="7"/>
        <v>7487017720.1499996</v>
      </c>
      <c r="QG21" s="58">
        <f t="shared" ca="1" si="7"/>
        <v>7487017720.1499996</v>
      </c>
      <c r="QH21" s="58">
        <f t="shared" ca="1" si="7"/>
        <v>7487017720.1499996</v>
      </c>
      <c r="QI21" s="58">
        <f t="shared" ca="1" si="7"/>
        <v>7487017720.1499996</v>
      </c>
      <c r="QJ21" s="58">
        <f t="shared" ca="1" si="7"/>
        <v>7487017720.1499996</v>
      </c>
      <c r="QK21" s="58">
        <f t="shared" ca="1" si="7"/>
        <v>7487017720.1499996</v>
      </c>
      <c r="QL21" s="58">
        <f t="shared" ca="1" si="7"/>
        <v>7487017720.1499996</v>
      </c>
      <c r="QM21" s="58">
        <f t="shared" ca="1" si="7"/>
        <v>7487017720.1499996</v>
      </c>
      <c r="QN21" s="58">
        <f t="shared" ca="1" si="7"/>
        <v>7487017720.1499996</v>
      </c>
      <c r="QO21" s="58">
        <f t="shared" ca="1" si="7"/>
        <v>7487017720.1499996</v>
      </c>
      <c r="QP21" s="58">
        <f t="shared" ca="1" si="7"/>
        <v>7487017720.1499996</v>
      </c>
      <c r="QQ21" s="58">
        <f t="shared" ca="1" si="7"/>
        <v>7487017720.1499996</v>
      </c>
      <c r="QR21" s="58">
        <f t="shared" ca="1" si="7"/>
        <v>7487017720.1499996</v>
      </c>
      <c r="QS21" s="58">
        <f t="shared" ca="1" si="7"/>
        <v>7487017720.1499996</v>
      </c>
      <c r="QT21" s="58">
        <f t="shared" ca="1" si="7"/>
        <v>7487017720.1499996</v>
      </c>
      <c r="QU21" s="58">
        <f t="shared" ca="1" si="7"/>
        <v>7487017720.1499996</v>
      </c>
      <c r="QV21" s="58">
        <f t="shared" ca="1" si="7"/>
        <v>7487017720.1499996</v>
      </c>
      <c r="QW21" s="58">
        <f t="shared" ca="1" si="7"/>
        <v>7487017720.1499996</v>
      </c>
      <c r="QX21" s="58">
        <f t="shared" ca="1" si="7"/>
        <v>7487017720.1499996</v>
      </c>
      <c r="QY21" s="58">
        <f t="shared" ca="1" si="7"/>
        <v>7487017720.1499996</v>
      </c>
      <c r="QZ21" s="58">
        <f t="shared" ca="1" si="7"/>
        <v>7487017720.1499996</v>
      </c>
      <c r="RA21" s="58">
        <f t="shared" ca="1" si="7"/>
        <v>7487017720.1499996</v>
      </c>
      <c r="RB21" s="58">
        <f t="shared" ca="1" si="7"/>
        <v>7487017720.1499996</v>
      </c>
      <c r="RC21" s="58">
        <f t="shared" ca="1" si="7"/>
        <v>7487017720.1499996</v>
      </c>
      <c r="RD21" s="58">
        <f t="shared" ca="1" si="7"/>
        <v>7487017720.1499996</v>
      </c>
      <c r="RE21" s="58">
        <f t="shared" ca="1" si="7"/>
        <v>7487017720.1499996</v>
      </c>
      <c r="RF21" s="58">
        <f t="shared" ca="1" si="7"/>
        <v>7487017720.1499996</v>
      </c>
      <c r="RG21" s="58">
        <f t="shared" ca="1" si="7"/>
        <v>7487017720.1499996</v>
      </c>
      <c r="RH21" s="58">
        <f t="shared" ca="1" si="7"/>
        <v>7487017720.1499996</v>
      </c>
      <c r="RI21" s="58">
        <f t="shared" ca="1" si="7"/>
        <v>7487017720.1499996</v>
      </c>
      <c r="RJ21" s="58">
        <f t="shared" ca="1" si="7"/>
        <v>7487017720.1499996</v>
      </c>
      <c r="RK21" s="58">
        <f t="shared" ca="1" si="7"/>
        <v>7487017720.1499996</v>
      </c>
      <c r="RL21" s="58">
        <f t="shared" ca="1" si="7"/>
        <v>7487017720.1499996</v>
      </c>
      <c r="RM21" s="58">
        <f t="shared" ca="1" si="7"/>
        <v>7487017720.1499996</v>
      </c>
      <c r="RN21" s="58">
        <f t="shared" ca="1" si="7"/>
        <v>7487017720.1499996</v>
      </c>
      <c r="RO21" s="58">
        <f t="shared" ca="1" si="7"/>
        <v>7487017720.1499996</v>
      </c>
      <c r="RP21" s="58">
        <f t="shared" ca="1" si="7"/>
        <v>7487017720.1499996</v>
      </c>
      <c r="RQ21" s="58">
        <f t="shared" ca="1" si="7"/>
        <v>7487017720.1499996</v>
      </c>
      <c r="RR21" s="58">
        <f t="shared" ca="1" si="7"/>
        <v>7487017720.1499996</v>
      </c>
      <c r="RS21" s="58">
        <f t="shared" ca="1" si="7"/>
        <v>7487017720.1499996</v>
      </c>
      <c r="RT21" s="58">
        <f t="shared" ca="1" si="7"/>
        <v>7487017720.1499996</v>
      </c>
      <c r="RU21" s="58">
        <f t="shared" ca="1" si="7"/>
        <v>7487017720.1499996</v>
      </c>
      <c r="RV21" s="58">
        <f t="shared" ca="1" si="7"/>
        <v>7487017720.1499996</v>
      </c>
      <c r="RW21" s="58">
        <f t="shared" ca="1" si="7"/>
        <v>7487017720.1499996</v>
      </c>
      <c r="RX21" s="58">
        <f t="shared" ca="1" si="7"/>
        <v>7487017720.1499996</v>
      </c>
      <c r="RY21" s="58">
        <f t="shared" ca="1" si="7"/>
        <v>7487017720.1499996</v>
      </c>
      <c r="RZ21" s="58">
        <f t="shared" ca="1" si="7"/>
        <v>7487017720.1499996</v>
      </c>
      <c r="SA21" s="58">
        <f t="shared" ca="1" si="7"/>
        <v>7487017720.1499996</v>
      </c>
    </row>
    <row r="22" spans="1:495" x14ac:dyDescent="0.2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  <c r="DP22" s="59"/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59"/>
      <c r="EF22" s="59"/>
      <c r="EG22" s="59"/>
      <c r="EH22" s="59"/>
      <c r="EI22" s="59"/>
      <c r="EJ22" s="59"/>
      <c r="EK22" s="59"/>
      <c r="EL22" s="59"/>
      <c r="EM22" s="59"/>
      <c r="EN22" s="59"/>
      <c r="EO22" s="59"/>
      <c r="EP22" s="59"/>
      <c r="EQ22" s="59"/>
      <c r="ER22" s="59"/>
      <c r="ES22" s="59"/>
      <c r="ET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  <c r="GY22" s="59"/>
      <c r="GZ22" s="59"/>
      <c r="HA22" s="59"/>
      <c r="HB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59"/>
      <c r="HR22" s="59"/>
      <c r="HS22" s="59"/>
      <c r="HT22" s="59"/>
      <c r="HU22" s="59"/>
      <c r="HV22" s="59"/>
      <c r="HW22" s="59"/>
      <c r="HX22" s="59"/>
      <c r="HY22" s="59"/>
      <c r="HZ22" s="59"/>
      <c r="IA22" s="59"/>
      <c r="IB22" s="59"/>
      <c r="IC22" s="59"/>
      <c r="ID22" s="59"/>
      <c r="IE22" s="59"/>
      <c r="IF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59"/>
      <c r="IS22" s="59"/>
      <c r="IT22" s="59"/>
      <c r="IU22" s="59"/>
      <c r="IV22" s="59"/>
      <c r="IW22" s="59"/>
      <c r="IX22" s="59"/>
      <c r="IY22" s="59"/>
      <c r="IZ22" s="59"/>
      <c r="JA22" s="59"/>
      <c r="JB22" s="59"/>
      <c r="JC22" s="59"/>
      <c r="JD22" s="59"/>
      <c r="JE22" s="59"/>
      <c r="JF22" s="59"/>
      <c r="JG22" s="59"/>
      <c r="JH22" s="59"/>
      <c r="JI22" s="59"/>
      <c r="JJ22" s="59"/>
      <c r="JK22" s="59"/>
      <c r="JL22" s="59"/>
      <c r="JM22" s="59"/>
      <c r="JN22" s="59"/>
      <c r="JO22" s="59"/>
      <c r="JP22" s="59"/>
      <c r="JQ22" s="59"/>
      <c r="JR22" s="59"/>
      <c r="JS22" s="59"/>
      <c r="JT22" s="59"/>
      <c r="JU22" s="59"/>
      <c r="JV22" s="59"/>
      <c r="JW22" s="59"/>
      <c r="JX22" s="59"/>
      <c r="JY22" s="59"/>
      <c r="JZ22" s="59"/>
      <c r="KA22" s="59"/>
      <c r="KB22" s="59"/>
      <c r="KC22" s="59"/>
      <c r="KD22" s="59"/>
      <c r="KE22" s="59"/>
      <c r="KF22" s="59"/>
      <c r="KG22" s="59"/>
      <c r="KH22" s="59"/>
      <c r="KI22" s="59"/>
      <c r="KJ22" s="59"/>
      <c r="KK22" s="59"/>
      <c r="KL22" s="59"/>
      <c r="KM22" s="59"/>
      <c r="KN22" s="59"/>
      <c r="KO22" s="59"/>
      <c r="KP22" s="59"/>
      <c r="KQ22" s="59"/>
      <c r="KR22" s="59"/>
      <c r="KS22" s="59"/>
      <c r="KT22" s="59"/>
      <c r="KU22" s="59"/>
      <c r="KV22" s="59"/>
      <c r="KW22" s="59"/>
      <c r="KX22" s="59"/>
      <c r="KY22" s="59"/>
      <c r="KZ22" s="59"/>
      <c r="LA22" s="59"/>
      <c r="LB22" s="59"/>
      <c r="LC22" s="59"/>
      <c r="LD22" s="59"/>
      <c r="LE22" s="59"/>
      <c r="LF22" s="59"/>
      <c r="LG22" s="59"/>
      <c r="LH22" s="59"/>
      <c r="LI22" s="59"/>
      <c r="LJ22" s="59"/>
      <c r="LK22" s="59"/>
      <c r="LL22" s="59"/>
      <c r="LM22" s="59"/>
      <c r="LN22" s="59"/>
      <c r="LO22" s="59"/>
      <c r="LP22" s="59"/>
      <c r="LQ22" s="59"/>
      <c r="LR22" s="59"/>
      <c r="LS22" s="59"/>
      <c r="LT22" s="59"/>
      <c r="LU22" s="59"/>
      <c r="LV22" s="59"/>
      <c r="LW22" s="59"/>
      <c r="LX22" s="59"/>
      <c r="LY22" s="59"/>
      <c r="LZ22" s="59"/>
      <c r="MA22" s="59"/>
      <c r="MB22" s="59"/>
      <c r="MC22" s="59"/>
      <c r="MD22" s="59"/>
      <c r="ME22" s="59"/>
      <c r="MF22" s="59"/>
      <c r="MG22" s="59"/>
      <c r="MH22" s="59"/>
      <c r="MI22" s="59"/>
      <c r="MJ22" s="59"/>
      <c r="MK22" s="59"/>
      <c r="ML22" s="59"/>
      <c r="MM22" s="59"/>
      <c r="MN22" s="59"/>
      <c r="MO22" s="59"/>
      <c r="MP22" s="59"/>
      <c r="MQ22" s="59"/>
      <c r="MR22" s="59"/>
      <c r="MS22" s="59"/>
      <c r="MT22" s="59"/>
      <c r="MU22" s="59"/>
      <c r="MV22" s="59"/>
      <c r="MW22" s="59"/>
      <c r="MX22" s="59"/>
      <c r="MY22" s="59"/>
      <c r="MZ22" s="59"/>
      <c r="NA22" s="59"/>
      <c r="NB22" s="59"/>
      <c r="NC22" s="59"/>
      <c r="ND22" s="59"/>
      <c r="NE22" s="59"/>
      <c r="NF22" s="59"/>
      <c r="NG22" s="59"/>
      <c r="NH22" s="59"/>
      <c r="NI22" s="59"/>
      <c r="NJ22" s="59"/>
      <c r="NK22" s="59"/>
      <c r="NL22" s="59"/>
      <c r="NM22" s="59"/>
      <c r="NN22" s="59"/>
      <c r="NO22" s="59"/>
      <c r="NP22" s="59"/>
      <c r="NQ22" s="59"/>
      <c r="NR22" s="59"/>
      <c r="NS22" s="59"/>
      <c r="NT22" s="59"/>
      <c r="NU22" s="59"/>
      <c r="NV22" s="59"/>
      <c r="NW22" s="59"/>
      <c r="NX22" s="59"/>
      <c r="NY22" s="59"/>
      <c r="NZ22" s="59"/>
      <c r="OA22" s="59"/>
      <c r="OB22" s="59"/>
      <c r="OC22" s="59"/>
      <c r="OD22" s="59"/>
      <c r="OE22" s="59"/>
      <c r="OF22" s="59"/>
      <c r="OG22" s="59"/>
      <c r="OH22" s="59"/>
      <c r="OI22" s="59"/>
      <c r="OJ22" s="59"/>
      <c r="OK22" s="59"/>
      <c r="OL22" s="59"/>
      <c r="OM22" s="59"/>
      <c r="ON22" s="59"/>
      <c r="OO22" s="59"/>
      <c r="OP22" s="59"/>
      <c r="OQ22" s="59"/>
      <c r="OR22" s="59"/>
      <c r="OS22" s="59"/>
      <c r="OT22" s="59"/>
      <c r="OU22" s="59"/>
      <c r="OV22" s="59"/>
      <c r="OW22" s="59"/>
      <c r="OX22" s="59"/>
      <c r="OY22" s="59"/>
      <c r="OZ22" s="59"/>
      <c r="PA22" s="59"/>
      <c r="PB22" s="59"/>
      <c r="PC22" s="59"/>
      <c r="PD22" s="59"/>
      <c r="PE22" s="59"/>
      <c r="PF22" s="59"/>
      <c r="PG22" s="59"/>
      <c r="PH22" s="59"/>
      <c r="PI22" s="59"/>
      <c r="PJ22" s="59"/>
      <c r="PK22" s="59"/>
      <c r="PL22" s="59"/>
      <c r="PM22" s="59"/>
      <c r="PN22" s="59"/>
      <c r="PO22" s="59"/>
      <c r="PP22" s="59"/>
      <c r="PQ22" s="59"/>
      <c r="PR22" s="59"/>
      <c r="PS22" s="59"/>
      <c r="PT22" s="59"/>
      <c r="PU22" s="59"/>
      <c r="PV22" s="59"/>
      <c r="PW22" s="59"/>
      <c r="PX22" s="59"/>
      <c r="PY22" s="59"/>
      <c r="PZ22" s="59"/>
      <c r="QA22" s="59"/>
      <c r="QB22" s="59"/>
      <c r="QC22" s="59"/>
      <c r="QD22" s="59"/>
      <c r="QE22" s="59"/>
      <c r="QF22" s="59"/>
      <c r="QG22" s="59"/>
      <c r="QH22" s="59"/>
      <c r="QI22" s="59"/>
      <c r="QJ22" s="59"/>
      <c r="QK22" s="59"/>
      <c r="QL22" s="59"/>
      <c r="QM22" s="59"/>
      <c r="QN22" s="59"/>
      <c r="QO22" s="59"/>
      <c r="QP22" s="59"/>
      <c r="QQ22" s="59"/>
      <c r="QR22" s="59"/>
      <c r="QS22" s="59"/>
      <c r="QT22" s="59"/>
      <c r="QU22" s="59"/>
      <c r="QV22" s="59"/>
      <c r="QW22" s="59"/>
      <c r="QX22" s="59"/>
      <c r="QY22" s="59"/>
      <c r="QZ22" s="59"/>
      <c r="RA22" s="59"/>
      <c r="RB22" s="59"/>
      <c r="RC22" s="59"/>
      <c r="RD22" s="59"/>
      <c r="RE22" s="59"/>
      <c r="RF22" s="59"/>
      <c r="RG22" s="59"/>
      <c r="RH22" s="59"/>
      <c r="RI22" s="59"/>
      <c r="RJ22" s="59"/>
      <c r="RK22" s="59"/>
      <c r="RL22" s="59"/>
      <c r="RM22" s="59"/>
      <c r="RN22" s="59"/>
      <c r="RO22" s="59"/>
      <c r="RP22" s="59"/>
      <c r="RQ22" s="59"/>
      <c r="RR22" s="59"/>
      <c r="RS22" s="59"/>
      <c r="RT22" s="59"/>
      <c r="RU22" s="59"/>
      <c r="RV22" s="59"/>
      <c r="RW22" s="59"/>
      <c r="RX22" s="59"/>
      <c r="RY22" s="59"/>
      <c r="RZ22" s="59"/>
      <c r="SA22" s="59"/>
    </row>
    <row r="23" spans="1:495" x14ac:dyDescent="0.2">
      <c r="A23" s="60" t="s">
        <v>1067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1"/>
      <c r="CR23" s="61"/>
      <c r="CS23" s="61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1"/>
      <c r="DH23" s="61"/>
      <c r="DI23" s="61"/>
      <c r="DJ23" s="61"/>
      <c r="DK23" s="61"/>
      <c r="DL23" s="61"/>
      <c r="DM23" s="61"/>
      <c r="DN23" s="61"/>
      <c r="DO23" s="61"/>
      <c r="DP23" s="61"/>
      <c r="DQ23" s="61"/>
      <c r="DR23" s="61"/>
      <c r="DS23" s="61"/>
      <c r="DT23" s="61"/>
      <c r="DU23" s="61"/>
      <c r="DV23" s="61"/>
      <c r="DW23" s="61"/>
      <c r="DX23" s="61"/>
      <c r="DY23" s="61"/>
      <c r="DZ23" s="61"/>
      <c r="EA23" s="61"/>
      <c r="EB23" s="61"/>
      <c r="EC23" s="61"/>
      <c r="ED23" s="61"/>
      <c r="EE23" s="61"/>
      <c r="EF23" s="61"/>
      <c r="EG23" s="61"/>
      <c r="EH23" s="61"/>
      <c r="EI23" s="61"/>
      <c r="EJ23" s="61"/>
      <c r="EK23" s="61"/>
      <c r="EL23" s="61"/>
      <c r="EM23" s="61"/>
      <c r="EN23" s="61"/>
      <c r="EO23" s="61"/>
      <c r="EP23" s="61"/>
      <c r="EQ23" s="61"/>
      <c r="ER23" s="61"/>
      <c r="ES23" s="61"/>
      <c r="ET23" s="61"/>
      <c r="EU23" s="61"/>
      <c r="EV23" s="61"/>
      <c r="EW23" s="61"/>
      <c r="EX23" s="61"/>
      <c r="EY23" s="61"/>
      <c r="EZ23" s="61"/>
      <c r="FA23" s="61"/>
      <c r="FB23" s="61"/>
      <c r="FC23" s="61"/>
      <c r="FD23" s="61"/>
      <c r="FE23" s="61"/>
      <c r="FF23" s="61"/>
      <c r="FG23" s="61"/>
      <c r="FH23" s="61"/>
      <c r="FI23" s="61"/>
      <c r="FJ23" s="61"/>
      <c r="FK23" s="61"/>
      <c r="FL23" s="61"/>
      <c r="FM23" s="61"/>
      <c r="FN23" s="61"/>
      <c r="FO23" s="61"/>
      <c r="FP23" s="61"/>
      <c r="FQ23" s="61"/>
      <c r="FR23" s="61"/>
      <c r="FS23" s="61"/>
      <c r="FT23" s="61"/>
      <c r="FU23" s="61"/>
      <c r="FV23" s="61"/>
      <c r="FW23" s="61"/>
      <c r="FX23" s="61"/>
      <c r="FY23" s="61"/>
      <c r="FZ23" s="61"/>
      <c r="GA23" s="61"/>
      <c r="GB23" s="61"/>
      <c r="GC23" s="61"/>
      <c r="GD23" s="61"/>
      <c r="GE23" s="61"/>
      <c r="GF23" s="61"/>
      <c r="GG23" s="61"/>
      <c r="GH23" s="61"/>
      <c r="GI23" s="61"/>
      <c r="GJ23" s="61"/>
      <c r="GK23" s="61"/>
      <c r="GL23" s="61"/>
      <c r="GM23" s="61"/>
      <c r="GN23" s="61"/>
      <c r="GO23" s="61"/>
      <c r="GP23" s="61"/>
      <c r="GQ23" s="61"/>
      <c r="GR23" s="61"/>
      <c r="GS23" s="61"/>
      <c r="GT23" s="61"/>
      <c r="GU23" s="61"/>
      <c r="GV23" s="61"/>
      <c r="GW23" s="61"/>
      <c r="GX23" s="61"/>
      <c r="GY23" s="61"/>
      <c r="GZ23" s="61"/>
      <c r="HA23" s="61"/>
      <c r="HB23" s="61"/>
      <c r="HC23" s="61"/>
      <c r="HD23" s="61"/>
      <c r="HE23" s="61"/>
      <c r="HF23" s="61"/>
      <c r="HG23" s="61"/>
      <c r="HH23" s="61"/>
      <c r="HI23" s="61"/>
      <c r="HJ23" s="61"/>
      <c r="HK23" s="61"/>
      <c r="HL23" s="61"/>
      <c r="HM23" s="61"/>
      <c r="HN23" s="61"/>
      <c r="HO23" s="61"/>
      <c r="HP23" s="61"/>
      <c r="HQ23" s="61"/>
      <c r="HR23" s="61"/>
      <c r="HS23" s="61"/>
      <c r="HT23" s="61"/>
      <c r="HU23" s="61"/>
      <c r="HV23" s="61"/>
      <c r="HW23" s="61"/>
      <c r="HX23" s="61"/>
      <c r="HY23" s="61"/>
      <c r="HZ23" s="61"/>
      <c r="IA23" s="61"/>
      <c r="IB23" s="61"/>
      <c r="IC23" s="61"/>
      <c r="ID23" s="61"/>
      <c r="IE23" s="61"/>
      <c r="IF23" s="61"/>
      <c r="IG23" s="61"/>
      <c r="IH23" s="61"/>
      <c r="II23" s="61"/>
      <c r="IJ23" s="61"/>
      <c r="IK23" s="61"/>
      <c r="IL23" s="61"/>
      <c r="IM23" s="61"/>
      <c r="IN23" s="61"/>
      <c r="IO23" s="61"/>
      <c r="IP23" s="61"/>
      <c r="IQ23" s="61"/>
      <c r="IR23" s="61"/>
      <c r="IS23" s="61"/>
      <c r="IT23" s="61"/>
      <c r="IU23" s="61"/>
      <c r="IV23" s="61"/>
      <c r="IW23" s="61"/>
      <c r="IX23" s="61"/>
      <c r="IY23" s="61"/>
      <c r="IZ23" s="61"/>
      <c r="JA23" s="61"/>
      <c r="JB23" s="61"/>
      <c r="JC23" s="61"/>
      <c r="JD23" s="61"/>
      <c r="JE23" s="61"/>
      <c r="JF23" s="61"/>
      <c r="JG23" s="61"/>
      <c r="JH23" s="61"/>
      <c r="JI23" s="61"/>
      <c r="JJ23" s="61"/>
      <c r="JK23" s="61"/>
      <c r="JL23" s="61"/>
      <c r="JM23" s="61"/>
      <c r="JN23" s="61"/>
      <c r="JO23" s="61"/>
      <c r="JP23" s="61"/>
      <c r="JQ23" s="61"/>
      <c r="JR23" s="61"/>
      <c r="JS23" s="61"/>
      <c r="JT23" s="61"/>
      <c r="JU23" s="61"/>
      <c r="JV23" s="61"/>
      <c r="JW23" s="61"/>
      <c r="JX23" s="61"/>
      <c r="JY23" s="61"/>
      <c r="JZ23" s="61"/>
      <c r="KA23" s="61"/>
      <c r="KB23" s="61"/>
      <c r="KC23" s="61"/>
      <c r="KD23" s="61"/>
      <c r="KE23" s="61"/>
      <c r="KF23" s="61"/>
      <c r="KG23" s="61"/>
      <c r="KH23" s="61"/>
      <c r="KI23" s="61"/>
      <c r="KJ23" s="61"/>
      <c r="KK23" s="61"/>
      <c r="KL23" s="61"/>
      <c r="KM23" s="61"/>
      <c r="KN23" s="61"/>
      <c r="KO23" s="61"/>
      <c r="KP23" s="61"/>
      <c r="KQ23" s="61"/>
      <c r="KR23" s="61"/>
      <c r="KS23" s="61"/>
      <c r="KT23" s="61"/>
      <c r="KU23" s="61"/>
      <c r="KV23" s="61"/>
      <c r="KW23" s="61"/>
      <c r="KX23" s="61"/>
      <c r="KY23" s="61"/>
      <c r="KZ23" s="61"/>
      <c r="LA23" s="61"/>
      <c r="LB23" s="61"/>
      <c r="LC23" s="61"/>
      <c r="LD23" s="61"/>
      <c r="LE23" s="61"/>
      <c r="LF23" s="61"/>
      <c r="LG23" s="61"/>
      <c r="LH23" s="61"/>
      <c r="LI23" s="61"/>
      <c r="LJ23" s="61"/>
      <c r="LK23" s="61"/>
      <c r="LL23" s="61"/>
      <c r="LM23" s="61"/>
      <c r="LN23" s="61"/>
      <c r="LO23" s="61"/>
      <c r="LP23" s="61"/>
      <c r="LQ23" s="61"/>
      <c r="LR23" s="61"/>
      <c r="LS23" s="61"/>
      <c r="LT23" s="61"/>
      <c r="LU23" s="61"/>
      <c r="LV23" s="61"/>
      <c r="LW23" s="61"/>
      <c r="LX23" s="61"/>
      <c r="LY23" s="61"/>
      <c r="LZ23" s="61"/>
      <c r="MA23" s="61"/>
      <c r="MB23" s="61"/>
      <c r="MC23" s="61"/>
      <c r="MD23" s="61"/>
      <c r="ME23" s="61"/>
      <c r="MF23" s="61"/>
      <c r="MG23" s="61"/>
      <c r="MH23" s="61"/>
      <c r="MI23" s="61"/>
      <c r="MJ23" s="61"/>
      <c r="MK23" s="61"/>
      <c r="ML23" s="61"/>
      <c r="MM23" s="61"/>
      <c r="MN23" s="61"/>
      <c r="MO23" s="61"/>
      <c r="MP23" s="61"/>
      <c r="MQ23" s="61"/>
      <c r="MR23" s="61"/>
      <c r="MS23" s="61"/>
      <c r="MT23" s="61"/>
      <c r="MU23" s="61"/>
      <c r="MV23" s="61"/>
      <c r="MW23" s="61"/>
      <c r="MX23" s="61"/>
      <c r="MY23" s="61"/>
      <c r="MZ23" s="61"/>
      <c r="NA23" s="61"/>
      <c r="NB23" s="61"/>
      <c r="NC23" s="61"/>
      <c r="ND23" s="61"/>
      <c r="NE23" s="61"/>
      <c r="NF23" s="61"/>
      <c r="NG23" s="61"/>
      <c r="NH23" s="61"/>
      <c r="NI23" s="61"/>
      <c r="NJ23" s="61"/>
      <c r="NK23" s="61"/>
      <c r="NL23" s="61"/>
      <c r="NM23" s="61"/>
      <c r="NN23" s="61"/>
      <c r="NO23" s="61"/>
      <c r="NP23" s="61"/>
      <c r="NQ23" s="61"/>
      <c r="NR23" s="61"/>
      <c r="NS23" s="61"/>
      <c r="NT23" s="61"/>
      <c r="NU23" s="61"/>
      <c r="NV23" s="61"/>
      <c r="NW23" s="61"/>
      <c r="NX23" s="61"/>
      <c r="NY23" s="61"/>
      <c r="NZ23" s="61"/>
      <c r="OA23" s="61"/>
      <c r="OB23" s="61"/>
      <c r="OC23" s="61"/>
      <c r="OD23" s="61"/>
      <c r="OE23" s="61"/>
      <c r="OF23" s="61"/>
      <c r="OG23" s="61"/>
      <c r="OH23" s="61"/>
      <c r="OI23" s="61"/>
      <c r="OJ23" s="61"/>
      <c r="OK23" s="61"/>
      <c r="OL23" s="61"/>
      <c r="OM23" s="61"/>
      <c r="ON23" s="61"/>
      <c r="OO23" s="61"/>
      <c r="OP23" s="61"/>
      <c r="OQ23" s="61"/>
      <c r="OR23" s="61"/>
      <c r="OS23" s="61"/>
      <c r="OT23" s="61"/>
      <c r="OU23" s="61"/>
      <c r="OV23" s="61"/>
      <c r="OW23" s="61"/>
      <c r="OX23" s="61"/>
      <c r="OY23" s="61"/>
      <c r="OZ23" s="61"/>
      <c r="PA23" s="61"/>
      <c r="PB23" s="61"/>
      <c r="PC23" s="61"/>
      <c r="PD23" s="61"/>
      <c r="PE23" s="61"/>
      <c r="PF23" s="61"/>
      <c r="PG23" s="61"/>
      <c r="PH23" s="61"/>
      <c r="PI23" s="61"/>
      <c r="PJ23" s="61"/>
      <c r="PK23" s="61"/>
      <c r="PL23" s="61"/>
      <c r="PM23" s="61"/>
      <c r="PN23" s="61"/>
      <c r="PO23" s="61"/>
      <c r="PP23" s="61"/>
      <c r="PQ23" s="61"/>
      <c r="PR23" s="61"/>
      <c r="PS23" s="61"/>
      <c r="PT23" s="61"/>
      <c r="PU23" s="61"/>
      <c r="PV23" s="61"/>
      <c r="PW23" s="61"/>
      <c r="PX23" s="61"/>
      <c r="PY23" s="61"/>
      <c r="PZ23" s="61"/>
      <c r="QA23" s="61"/>
      <c r="QB23" s="61"/>
      <c r="QC23" s="61"/>
      <c r="QD23" s="61"/>
      <c r="QE23" s="61"/>
      <c r="QF23" s="61"/>
      <c r="QG23" s="61"/>
      <c r="QH23" s="61"/>
      <c r="QI23" s="61"/>
      <c r="QJ23" s="61"/>
      <c r="QK23" s="61"/>
      <c r="QL23" s="61"/>
      <c r="QM23" s="61"/>
      <c r="QN23" s="61"/>
      <c r="QO23" s="61"/>
      <c r="QP23" s="61"/>
      <c r="QQ23" s="61"/>
      <c r="QR23" s="61"/>
      <c r="QS23" s="61"/>
      <c r="QT23" s="61"/>
      <c r="QU23" s="61"/>
      <c r="QV23" s="61"/>
      <c r="QW23" s="61"/>
      <c r="QX23" s="61"/>
      <c r="QY23" s="61"/>
      <c r="QZ23" s="61"/>
      <c r="RA23" s="61"/>
      <c r="RB23" s="61"/>
      <c r="RC23" s="61"/>
      <c r="RD23" s="61"/>
      <c r="RE23" s="61"/>
      <c r="RF23" s="61"/>
      <c r="RG23" s="61"/>
      <c r="RH23" s="61"/>
      <c r="RI23" s="61"/>
      <c r="RJ23" s="61"/>
      <c r="RK23" s="61"/>
      <c r="RL23" s="61"/>
      <c r="RM23" s="61"/>
      <c r="RN23" s="61"/>
      <c r="RO23" s="61"/>
      <c r="RP23" s="61"/>
      <c r="RQ23" s="61"/>
      <c r="RR23" s="61"/>
      <c r="RS23" s="61"/>
      <c r="RT23" s="61"/>
      <c r="RU23" s="61"/>
      <c r="RV23" s="61"/>
      <c r="RW23" s="61"/>
      <c r="RX23" s="61"/>
      <c r="RY23" s="61"/>
      <c r="RZ23" s="61"/>
      <c r="SA23" s="61"/>
    </row>
    <row r="24" spans="1:495" x14ac:dyDescent="0.2">
      <c r="A24" s="62" t="s">
        <v>1068</v>
      </c>
      <c r="B24" s="63">
        <v>532692323.92999995</v>
      </c>
      <c r="C24" s="63">
        <v>1069517201.0999999</v>
      </c>
      <c r="D24" s="63">
        <v>486819412.12000006</v>
      </c>
      <c r="E24" s="63">
        <v>18686477149.98</v>
      </c>
      <c r="F24" s="63">
        <v>404959859.63</v>
      </c>
      <c r="G24" s="63">
        <v>605675371.47000003</v>
      </c>
      <c r="H24" s="63">
        <v>379956891.59999996</v>
      </c>
      <c r="I24" s="63">
        <v>541596930.4799999</v>
      </c>
      <c r="J24" s="63">
        <v>7666949256.7399998</v>
      </c>
      <c r="K24" s="63">
        <v>539068436.13</v>
      </c>
      <c r="L24" s="63">
        <v>443084655.98999995</v>
      </c>
      <c r="M24" s="63">
        <v>478774626.70999998</v>
      </c>
      <c r="N24" s="63">
        <v>478260914.83000004</v>
      </c>
      <c r="O24" s="63">
        <v>10938260302.700001</v>
      </c>
      <c r="P24" s="63">
        <v>455655446.45999998</v>
      </c>
      <c r="Q24" s="63">
        <v>323961918.52999997</v>
      </c>
      <c r="R24" s="63">
        <v>283694015.52999997</v>
      </c>
      <c r="S24" s="63">
        <v>416080414.19999999</v>
      </c>
      <c r="T24" s="63">
        <v>13514196281.99</v>
      </c>
      <c r="U24" s="63">
        <v>567923545.85000002</v>
      </c>
      <c r="V24" s="63">
        <v>458102907.95999998</v>
      </c>
      <c r="W24" s="63">
        <v>470633013.94999999</v>
      </c>
      <c r="X24" s="63">
        <v>452872930.70999998</v>
      </c>
      <c r="Y24" s="63">
        <v>2399454436.77</v>
      </c>
      <c r="Z24" s="63">
        <v>1325752269.75</v>
      </c>
      <c r="AA24" s="63">
        <v>385253103.34000003</v>
      </c>
      <c r="AB24" s="63">
        <v>286489869.31999999</v>
      </c>
      <c r="AC24" s="63">
        <v>365377851.69999999</v>
      </c>
      <c r="AD24" s="63">
        <v>4255522862.0599995</v>
      </c>
      <c r="AE24" s="63">
        <v>488982458.64999998</v>
      </c>
      <c r="AF24" s="63">
        <v>1258250994.28</v>
      </c>
      <c r="AG24" s="63">
        <v>295604246.31999999</v>
      </c>
      <c r="AH24" s="63">
        <v>5429591763.0500002</v>
      </c>
      <c r="AI24" s="63">
        <v>469374095.98000002</v>
      </c>
      <c r="AJ24" s="63">
        <v>447712774.32000005</v>
      </c>
      <c r="AK24" s="63">
        <v>319220873.94</v>
      </c>
      <c r="AL24" s="63">
        <v>190679503.59999999</v>
      </c>
      <c r="AM24" s="63">
        <v>7453411295.25</v>
      </c>
      <c r="AN24" s="63">
        <v>561765929.33999991</v>
      </c>
      <c r="AO24" s="63">
        <v>366127649.84000003</v>
      </c>
      <c r="AP24" s="63">
        <v>401894717.36000001</v>
      </c>
      <c r="AQ24" s="63">
        <v>424401517.91999996</v>
      </c>
      <c r="AR24" s="63">
        <v>8235757021</v>
      </c>
      <c r="AS24" s="63">
        <v>241889901.51999998</v>
      </c>
      <c r="AT24" s="63">
        <v>326368742.13</v>
      </c>
      <c r="AU24" s="63">
        <v>4120269137.8600001</v>
      </c>
      <c r="AV24" s="63">
        <v>366286660.36000001</v>
      </c>
      <c r="AW24" s="63">
        <v>12819692372.51</v>
      </c>
      <c r="AX24" s="63">
        <v>421489549.76999998</v>
      </c>
      <c r="AY24" s="63">
        <v>317771488.17000002</v>
      </c>
      <c r="AZ24" s="63">
        <v>250784417.50999999</v>
      </c>
      <c r="BA24" s="63">
        <v>276741904.13</v>
      </c>
      <c r="BB24" s="63">
        <v>351709010.72999996</v>
      </c>
      <c r="BC24" s="63">
        <v>270706872.17000002</v>
      </c>
      <c r="BD24" s="63">
        <v>2995085275.5900002</v>
      </c>
      <c r="BE24" s="63">
        <v>280906813.92000002</v>
      </c>
      <c r="BF24" s="63">
        <v>25903732059.360001</v>
      </c>
      <c r="BG24" s="63">
        <v>23438977773.119999</v>
      </c>
      <c r="BH24" s="63">
        <v>490385573.80000001</v>
      </c>
      <c r="BI24" s="63">
        <v>402451386.75</v>
      </c>
      <c r="BJ24" s="63">
        <v>401069998.08999997</v>
      </c>
      <c r="BK24" s="63">
        <v>578436199.21000004</v>
      </c>
      <c r="BL24" s="63">
        <v>8299054280.4700003</v>
      </c>
      <c r="BM24" s="63">
        <v>429009671.75999999</v>
      </c>
      <c r="BN24" s="63">
        <v>1499192640.4100001</v>
      </c>
      <c r="BO24" s="63">
        <v>365578395.83999997</v>
      </c>
      <c r="BP24" s="63">
        <v>9112974414.2799988</v>
      </c>
      <c r="BQ24" s="63">
        <v>977882647.98000002</v>
      </c>
      <c r="BR24" s="63">
        <v>435886849.66999996</v>
      </c>
      <c r="BS24" s="63">
        <v>410813870.88999999</v>
      </c>
      <c r="BT24" s="63">
        <v>538596285.88</v>
      </c>
      <c r="BU24" s="63">
        <v>254491409.67000002</v>
      </c>
      <c r="BV24" s="63">
        <v>270115066.10000002</v>
      </c>
      <c r="BW24" s="63">
        <v>2340014316.1500001</v>
      </c>
      <c r="BX24" s="63">
        <v>4598235711.0299997</v>
      </c>
      <c r="BY24" s="63">
        <v>208955636.44</v>
      </c>
      <c r="BZ24" s="63">
        <v>265933781.70999998</v>
      </c>
      <c r="CA24" s="63">
        <v>181159566.99000001</v>
      </c>
      <c r="CB24" s="63">
        <v>338595154.19</v>
      </c>
      <c r="CC24" s="63">
        <v>8252167170.2600002</v>
      </c>
      <c r="CD24" s="63">
        <v>655355921.28999996</v>
      </c>
      <c r="CE24" s="63">
        <v>314171293.56</v>
      </c>
      <c r="CF24" s="63">
        <v>217001796.16999999</v>
      </c>
      <c r="CG24" s="63">
        <v>5269355467.6199999</v>
      </c>
      <c r="CH24" s="63">
        <v>225403185.83000001</v>
      </c>
      <c r="CI24" s="63">
        <v>448075086.38</v>
      </c>
      <c r="CJ24" s="63">
        <v>286544888.20999998</v>
      </c>
      <c r="CK24" s="63">
        <v>5325470204.5699997</v>
      </c>
      <c r="CL24" s="63">
        <v>264211787.25</v>
      </c>
      <c r="CM24" s="63">
        <v>221394173.07999998</v>
      </c>
      <c r="CN24" s="63">
        <v>206914460.38</v>
      </c>
      <c r="CO24" s="63">
        <v>247011189.78</v>
      </c>
      <c r="CP24" s="63">
        <v>7117539333.0700006</v>
      </c>
      <c r="CQ24" s="63">
        <v>270364260.42000002</v>
      </c>
      <c r="CR24" s="63">
        <v>296722100.72000003</v>
      </c>
      <c r="CS24" s="63">
        <v>201027013.88</v>
      </c>
      <c r="CT24" s="63">
        <v>337037098.18000001</v>
      </c>
      <c r="CU24" s="63">
        <v>8800753225.5699997</v>
      </c>
      <c r="CV24" s="63">
        <v>246860182.34</v>
      </c>
      <c r="CW24" s="63">
        <v>338223850.44</v>
      </c>
      <c r="CX24" s="63">
        <v>1068262525.9499999</v>
      </c>
      <c r="CY24" s="63">
        <v>512357061.00999999</v>
      </c>
      <c r="CZ24" s="63">
        <v>6029199026.6700001</v>
      </c>
      <c r="DA24" s="63">
        <v>280811035.80000001</v>
      </c>
      <c r="DB24" s="63">
        <v>326267260.28999996</v>
      </c>
      <c r="DC24" s="63">
        <v>229856822.31</v>
      </c>
      <c r="DD24" s="63">
        <v>204117767.90000001</v>
      </c>
      <c r="DE24" s="63">
        <v>7615399943.1999998</v>
      </c>
      <c r="DF24" s="63">
        <v>272157516.77999997</v>
      </c>
      <c r="DG24" s="63">
        <v>254367341.76000002</v>
      </c>
      <c r="DH24" s="63">
        <v>334636030.57999998</v>
      </c>
      <c r="DI24" s="63">
        <v>183167719.94999999</v>
      </c>
      <c r="DJ24" s="63">
        <v>5164657650.2600002</v>
      </c>
      <c r="DK24" s="61"/>
      <c r="DL24" s="61">
        <v>340211665.82999998</v>
      </c>
      <c r="DM24" s="61">
        <v>202869324.38</v>
      </c>
      <c r="DN24" s="61">
        <v>184473254.90000001</v>
      </c>
      <c r="DO24" s="63">
        <v>8052853226.3100004</v>
      </c>
      <c r="DP24" s="63">
        <v>354748708.37</v>
      </c>
      <c r="DQ24" s="63">
        <v>308306956.25999999</v>
      </c>
      <c r="DR24" s="63">
        <v>163060277.88999999</v>
      </c>
      <c r="DS24" s="63">
        <v>372384456.94</v>
      </c>
      <c r="DT24" s="63">
        <v>4808563302.9099998</v>
      </c>
      <c r="DU24" s="63">
        <v>462531752.17999995</v>
      </c>
      <c r="DV24" s="63">
        <v>362707641.83999997</v>
      </c>
      <c r="DW24" s="63">
        <v>257043055.64000005</v>
      </c>
      <c r="DX24" s="63">
        <v>1039357205.3199999</v>
      </c>
      <c r="DY24" s="63">
        <v>10056438234.07</v>
      </c>
      <c r="DZ24" s="63">
        <v>318395705.04000002</v>
      </c>
      <c r="EA24" s="63">
        <v>218589117.71000001</v>
      </c>
      <c r="EB24" s="63">
        <v>198238516.47999999</v>
      </c>
      <c r="EC24" s="63">
        <v>2487426052.02</v>
      </c>
      <c r="ED24" s="63">
        <v>211123185.61000001</v>
      </c>
      <c r="EE24" s="63">
        <v>210378014.31</v>
      </c>
      <c r="EF24" s="63">
        <v>192381863.02000001</v>
      </c>
      <c r="EG24" s="63">
        <v>220153573.75999999</v>
      </c>
      <c r="EH24" s="63">
        <v>5969198055.9099998</v>
      </c>
      <c r="EI24" s="63">
        <v>266158967.61000001</v>
      </c>
      <c r="EJ24" s="63">
        <v>231496911.06999999</v>
      </c>
      <c r="EK24" s="63">
        <v>149153121.72999999</v>
      </c>
      <c r="EL24" s="63">
        <v>118556344.59</v>
      </c>
      <c r="EM24" s="63">
        <v>7137886884.7700005</v>
      </c>
      <c r="EN24" s="63">
        <v>558250376.12</v>
      </c>
      <c r="EO24" s="63">
        <v>295440724.75</v>
      </c>
      <c r="EP24" s="63">
        <v>186653243.66</v>
      </c>
      <c r="EQ24" s="63">
        <v>5568337073.6899996</v>
      </c>
      <c r="ER24" s="63">
        <v>136512494.41999999</v>
      </c>
      <c r="ES24" s="63">
        <v>201701921.12</v>
      </c>
      <c r="ET24" s="63">
        <v>127704753.02</v>
      </c>
      <c r="EU24" s="63">
        <v>296831578.76000005</v>
      </c>
      <c r="EV24" s="63">
        <v>2234577231.3800001</v>
      </c>
      <c r="EW24" s="63">
        <v>190215383.75999999</v>
      </c>
      <c r="EX24" s="63">
        <v>255272302.24000001</v>
      </c>
      <c r="EY24" s="63">
        <v>186247562.38999999</v>
      </c>
      <c r="EZ24" s="63">
        <v>3152152582.29</v>
      </c>
      <c r="FA24" s="63">
        <v>357909904.16000003</v>
      </c>
      <c r="FB24" s="63">
        <v>113861906.99000001</v>
      </c>
      <c r="FC24" s="63">
        <v>1092418492.1000001</v>
      </c>
      <c r="FD24" s="63">
        <v>335877466.48000002</v>
      </c>
      <c r="FE24" s="63">
        <v>4483216874.9700003</v>
      </c>
      <c r="FF24" s="63">
        <v>140795037.81</v>
      </c>
      <c r="FG24" s="63">
        <v>186302946.03</v>
      </c>
      <c r="FH24" s="63">
        <v>149884845.61000001</v>
      </c>
      <c r="FI24" s="63">
        <v>520985377.82999998</v>
      </c>
      <c r="FJ24" s="63">
        <v>3983614306.25</v>
      </c>
      <c r="FK24" s="63">
        <v>221057343.81</v>
      </c>
      <c r="FL24" s="63">
        <v>244914995.81000003</v>
      </c>
      <c r="FM24" s="63">
        <v>389624291.41999996</v>
      </c>
      <c r="FN24" s="63">
        <v>201667009.5</v>
      </c>
      <c r="FO24" s="64">
        <f>VLOOKUP($A$4,'[2]Cash intraday'!$AA:$AF,2,FALSE)</f>
        <v>125907900.81</v>
      </c>
      <c r="FP24" s="61">
        <v>279186660.81999999</v>
      </c>
      <c r="FQ24" s="61">
        <v>282845966.18000001</v>
      </c>
      <c r="FR24" s="61">
        <v>236927611.01999998</v>
      </c>
      <c r="FS24" s="63">
        <v>285671346.89999998</v>
      </c>
      <c r="FT24" s="63">
        <v>3183011666.0700002</v>
      </c>
      <c r="FU24" s="63">
        <v>208058266.99000001</v>
      </c>
      <c r="FV24" s="63">
        <v>252477143.81</v>
      </c>
      <c r="FW24" s="63">
        <v>173237737.99000001</v>
      </c>
      <c r="FX24" s="63">
        <v>3114045155.25</v>
      </c>
      <c r="FY24" s="63">
        <v>339841488.20999998</v>
      </c>
      <c r="FZ24" s="63">
        <v>284496262.30000001</v>
      </c>
      <c r="GA24" s="63">
        <v>167851663.42000002</v>
      </c>
      <c r="GB24" s="63">
        <v>187609718.06</v>
      </c>
      <c r="GC24" s="63">
        <v>174377848.13999999</v>
      </c>
      <c r="GD24" s="63">
        <v>2494800891.5999999</v>
      </c>
      <c r="GE24" s="63">
        <v>307805417.70999998</v>
      </c>
      <c r="GF24" s="63">
        <v>191054951.33000001</v>
      </c>
      <c r="GG24" s="63">
        <v>285948463.66000003</v>
      </c>
      <c r="GH24" s="63">
        <v>151644118.41</v>
      </c>
      <c r="GI24" s="63">
        <v>140608789.16</v>
      </c>
      <c r="GJ24" s="63">
        <v>330879210.72000003</v>
      </c>
      <c r="GK24" s="63">
        <v>194720795.88</v>
      </c>
      <c r="GL24" s="63">
        <v>9978747431.3400002</v>
      </c>
      <c r="GM24" s="63">
        <v>221842300.03</v>
      </c>
      <c r="GN24" s="63">
        <v>209065101.19</v>
      </c>
      <c r="GO24" s="63">
        <v>480561193.81</v>
      </c>
      <c r="GP24" s="63">
        <v>158435036.87</v>
      </c>
      <c r="GQ24" s="63">
        <v>876985805.76999998</v>
      </c>
      <c r="GR24" s="63">
        <v>4603098753.3900003</v>
      </c>
      <c r="GS24" s="63">
        <v>219624279.89000002</v>
      </c>
      <c r="GT24" s="63">
        <v>154165860.19999999</v>
      </c>
      <c r="GU24" s="63">
        <v>232028364.32999998</v>
      </c>
      <c r="GV24" s="63">
        <v>7625448181.3599997</v>
      </c>
      <c r="GW24" s="63">
        <v>242612406.16</v>
      </c>
      <c r="GX24" s="63">
        <v>158787579.88999999</v>
      </c>
      <c r="GY24" s="63">
        <v>213972750.52000001</v>
      </c>
      <c r="GZ24" s="63">
        <v>4916740519.6700001</v>
      </c>
      <c r="HA24" s="63">
        <v>163029646.63999999</v>
      </c>
      <c r="HB24" s="63">
        <v>129773947.2</v>
      </c>
      <c r="HC24" s="63">
        <v>157180017.91000003</v>
      </c>
      <c r="HD24" s="63">
        <v>190988465.34</v>
      </c>
      <c r="HE24" s="63">
        <v>3805676904.3499999</v>
      </c>
      <c r="HF24" s="63">
        <v>134847504.81999999</v>
      </c>
      <c r="HG24" s="63">
        <v>141615850.42000002</v>
      </c>
      <c r="HH24" s="63">
        <v>108563031.56</v>
      </c>
      <c r="HI24" s="63">
        <v>6793052146.6400003</v>
      </c>
      <c r="HJ24" s="63">
        <v>3928457046.3699999</v>
      </c>
      <c r="HK24" s="63">
        <v>361212277.35000002</v>
      </c>
      <c r="HL24" s="63">
        <v>202163705.71000001</v>
      </c>
      <c r="HM24" s="63">
        <v>304966439.88999999</v>
      </c>
      <c r="HN24" s="63">
        <v>5053913320.1800003</v>
      </c>
      <c r="HO24" s="63">
        <v>279814284.18000001</v>
      </c>
      <c r="HP24" s="63">
        <v>156763135.02000001</v>
      </c>
      <c r="HQ24" s="63">
        <v>146912677.26000002</v>
      </c>
      <c r="HR24" s="63">
        <v>169623704.90000001</v>
      </c>
      <c r="HS24" s="63">
        <v>210336722.77000001</v>
      </c>
      <c r="HT24" s="63">
        <v>8012956490.2399998</v>
      </c>
      <c r="HU24" s="63">
        <v>300379818.48000002</v>
      </c>
      <c r="HV24" s="63">
        <v>257870077.42000002</v>
      </c>
      <c r="HW24" s="63">
        <v>294139067.25</v>
      </c>
      <c r="HX24" s="63">
        <v>7093897498.9399996</v>
      </c>
      <c r="HY24" s="63">
        <v>456602112.77999997</v>
      </c>
      <c r="HZ24" s="63">
        <v>165494962.25999999</v>
      </c>
      <c r="IA24" s="63">
        <v>124317508.38</v>
      </c>
      <c r="IB24" s="64">
        <f>VLOOKUP($A$4,'[2]Cash intraday'!$AA:$AF,2,FALSE)</f>
        <v>125907900.81</v>
      </c>
      <c r="IC24" s="61"/>
      <c r="ID24" s="61">
        <v>209051089.69</v>
      </c>
      <c r="IE24" s="63">
        <v>233686340.37</v>
      </c>
      <c r="IF24" s="63">
        <v>179972701.49000001</v>
      </c>
      <c r="IG24" s="63">
        <v>8919139915.2299995</v>
      </c>
      <c r="IH24" s="63">
        <v>311852047.41000003</v>
      </c>
      <c r="II24" s="63">
        <v>271371700.50999999</v>
      </c>
      <c r="IJ24" s="63">
        <v>564179407.90999997</v>
      </c>
      <c r="IK24" s="63">
        <v>743817067.49000001</v>
      </c>
      <c r="IL24" s="63">
        <v>330043958.97000003</v>
      </c>
      <c r="IM24" s="63">
        <v>418345721.94999999</v>
      </c>
      <c r="IN24" s="63">
        <v>433650621.63999999</v>
      </c>
      <c r="IO24" s="63">
        <v>4676590358.5200005</v>
      </c>
      <c r="IP24" s="63">
        <v>190661604.93000001</v>
      </c>
      <c r="IQ24" s="63">
        <v>275504796.62</v>
      </c>
      <c r="IR24" s="63">
        <v>285734466.64999998</v>
      </c>
      <c r="IS24" s="63">
        <v>199854852.53999999</v>
      </c>
      <c r="IT24" s="63">
        <v>2983359432.4099998</v>
      </c>
      <c r="IU24" s="63">
        <v>222619642.22</v>
      </c>
      <c r="IV24" s="63">
        <v>287613224.81</v>
      </c>
      <c r="IW24" s="63">
        <v>222958803.99000001</v>
      </c>
      <c r="IX24" s="63">
        <v>169492448.93000001</v>
      </c>
      <c r="IY24" s="63">
        <v>4642077475.9800005</v>
      </c>
      <c r="IZ24" s="63">
        <v>183488569.80000001</v>
      </c>
      <c r="JA24" s="63">
        <v>167092209.13</v>
      </c>
      <c r="JB24" s="63">
        <v>137889406.46000001</v>
      </c>
      <c r="JC24" s="63">
        <v>220154844.53</v>
      </c>
      <c r="JD24" s="63">
        <v>1861397270.3099999</v>
      </c>
      <c r="JE24" s="63">
        <v>260945475.88</v>
      </c>
      <c r="JF24" s="63">
        <v>219235021.97</v>
      </c>
      <c r="JG24" s="63">
        <v>398113142.77999997</v>
      </c>
      <c r="JH24" s="63">
        <v>180010360.88999999</v>
      </c>
      <c r="JI24" s="64">
        <v>2314547517.52</v>
      </c>
      <c r="JJ24" s="63"/>
      <c r="JK24" s="63">
        <v>223783352.63</v>
      </c>
      <c r="JL24" s="63">
        <v>273108258.06</v>
      </c>
      <c r="JM24" s="63">
        <v>129729411.17</v>
      </c>
      <c r="JN24" s="63">
        <v>10915012937.82</v>
      </c>
      <c r="JO24" s="63">
        <v>177840217.22</v>
      </c>
      <c r="JP24" s="63">
        <v>232175155.66</v>
      </c>
      <c r="JQ24" s="63">
        <v>204329220.91999999</v>
      </c>
      <c r="JR24" s="63">
        <v>173839492.40000001</v>
      </c>
      <c r="JS24" s="63">
        <v>4353008793.0600004</v>
      </c>
      <c r="JT24" s="63">
        <v>163863662.22999999</v>
      </c>
      <c r="JU24" s="63">
        <v>194239010.58000001</v>
      </c>
      <c r="JV24" s="63">
        <v>185481253.31999999</v>
      </c>
      <c r="JW24" s="63">
        <v>243132059.81</v>
      </c>
      <c r="JX24" s="63">
        <v>2626766860.3600001</v>
      </c>
      <c r="JY24" s="63">
        <v>96195005.390000001</v>
      </c>
      <c r="JZ24" s="63">
        <v>152963457.27000001</v>
      </c>
      <c r="KA24" s="63">
        <v>144173989.53</v>
      </c>
      <c r="KB24" s="63">
        <v>144393009.80000001</v>
      </c>
      <c r="KC24" s="63">
        <v>2696632320.9000001</v>
      </c>
      <c r="KD24" s="63">
        <v>192341232.44</v>
      </c>
      <c r="KE24" s="63">
        <v>204779915.28</v>
      </c>
      <c r="KF24" s="63">
        <v>163359104.66</v>
      </c>
      <c r="KG24" s="63">
        <v>1729848785.48</v>
      </c>
      <c r="KH24" s="63">
        <v>176637656.34999999</v>
      </c>
      <c r="KI24" s="63">
        <v>269020385.80000001</v>
      </c>
      <c r="KJ24" s="63">
        <v>127399827.37</v>
      </c>
      <c r="KK24" s="63">
        <v>264403019.38999999</v>
      </c>
      <c r="KL24" s="63">
        <v>5315306891.8800001</v>
      </c>
      <c r="KM24" s="63">
        <v>113373567.70999999</v>
      </c>
      <c r="KN24" s="63">
        <v>167233701.59999999</v>
      </c>
      <c r="KO24" s="63">
        <v>150013167.86000001</v>
      </c>
      <c r="KP24" s="63">
        <v>278998982.92000002</v>
      </c>
      <c r="KQ24" s="63">
        <v>5433781673.6300001</v>
      </c>
      <c r="KR24" s="63">
        <v>149107843.44999999</v>
      </c>
      <c r="KS24" s="63">
        <v>133223861.25</v>
      </c>
      <c r="KT24" s="63">
        <v>139089584.77000001</v>
      </c>
      <c r="KU24" s="63">
        <v>161736527.63</v>
      </c>
      <c r="KV24" s="63">
        <v>416323375.91000003</v>
      </c>
      <c r="KW24" s="63">
        <v>215459110.09</v>
      </c>
      <c r="KX24" s="63">
        <v>158777681.52000001</v>
      </c>
      <c r="KY24" s="63">
        <v>106964488.28</v>
      </c>
      <c r="KZ24" s="63">
        <v>11972196139.799999</v>
      </c>
      <c r="LA24" s="63">
        <v>254125284.11000001</v>
      </c>
      <c r="LB24" s="63">
        <v>205642442.03</v>
      </c>
      <c r="LC24" s="63">
        <v>140827385.72</v>
      </c>
      <c r="LD24" s="63">
        <v>299561655.81999999</v>
      </c>
      <c r="LE24" s="63">
        <v>310990558.63</v>
      </c>
      <c r="LF24" s="63">
        <v>130970214.06999999</v>
      </c>
      <c r="LG24" s="63">
        <v>154143904.58000001</v>
      </c>
      <c r="LH24" s="63">
        <v>3666257639.1199999</v>
      </c>
      <c r="LI24" s="63">
        <v>113144559.47</v>
      </c>
      <c r="LJ24" s="63">
        <v>197234997.31</v>
      </c>
      <c r="LK24" s="63">
        <v>147157575.88999999</v>
      </c>
      <c r="LL24" s="63">
        <v>240375752.08000001</v>
      </c>
      <c r="LM24" s="63">
        <v>9438355301.9400005</v>
      </c>
      <c r="LN24" s="63">
        <v>199466713.55000001</v>
      </c>
      <c r="LO24" s="63">
        <v>318910637.33999997</v>
      </c>
      <c r="LP24" s="63">
        <v>5467751704.4099998</v>
      </c>
      <c r="LQ24" s="63">
        <v>186448637.91</v>
      </c>
      <c r="LR24" s="63">
        <v>302208568.35000002</v>
      </c>
      <c r="LS24" s="63">
        <v>198997262.87</v>
      </c>
      <c r="LT24" s="63">
        <v>156785807.38999999</v>
      </c>
      <c r="LU24" s="63">
        <v>6100867528.96</v>
      </c>
      <c r="LV24" s="63">
        <v>172723350.34</v>
      </c>
      <c r="LW24" s="63">
        <v>310249792.27999997</v>
      </c>
      <c r="LX24" s="63">
        <v>189327312.46000001</v>
      </c>
      <c r="LY24" s="63">
        <v>239731776.59999999</v>
      </c>
      <c r="LZ24" s="63">
        <v>100383821.25</v>
      </c>
      <c r="MA24" s="63">
        <v>10389694802.17</v>
      </c>
      <c r="MB24" s="63">
        <v>273882156.72000003</v>
      </c>
      <c r="MC24" s="63">
        <v>132765637.36</v>
      </c>
      <c r="MD24" s="63">
        <v>184348459.16999999</v>
      </c>
      <c r="ME24" s="63">
        <v>161962022.13999999</v>
      </c>
      <c r="MF24" s="63">
        <v>3678287234.4200001</v>
      </c>
      <c r="MG24" s="63">
        <v>406640108.12</v>
      </c>
      <c r="MH24" s="63">
        <v>156230219.88999999</v>
      </c>
      <c r="MI24" s="63">
        <v>3423601145.3600001</v>
      </c>
      <c r="MJ24" s="63">
        <v>2685266604.1500001</v>
      </c>
      <c r="MK24" s="63">
        <v>170632201.66999999</v>
      </c>
      <c r="ML24" s="63">
        <v>281492128.07999998</v>
      </c>
      <c r="MM24" s="63">
        <v>214226437.93000001</v>
      </c>
      <c r="MN24" s="63">
        <v>160680023.84999999</v>
      </c>
      <c r="MO24" s="63">
        <v>3147081645.5900002</v>
      </c>
      <c r="MP24" s="63">
        <v>367341849.57999998</v>
      </c>
      <c r="MQ24" s="63">
        <v>102128847.04000001</v>
      </c>
      <c r="MR24" s="63">
        <v>127508840.25</v>
      </c>
      <c r="MS24" s="63">
        <v>153982500.66</v>
      </c>
      <c r="MT24" s="63">
        <v>6736541516.6700001</v>
      </c>
      <c r="MU24" s="63">
        <v>206366592.66</v>
      </c>
      <c r="MV24" s="63">
        <v>146172795.25</v>
      </c>
      <c r="MW24" s="63">
        <v>1611000405.1099999</v>
      </c>
      <c r="MX24" s="63">
        <v>192436794.13</v>
      </c>
      <c r="MY24" s="63">
        <v>3994325439.5700002</v>
      </c>
      <c r="MZ24" s="63">
        <v>194699023.22999999</v>
      </c>
      <c r="NA24" s="63">
        <v>193434566.22</v>
      </c>
      <c r="NB24" s="63">
        <v>157858232.72</v>
      </c>
      <c r="NC24" s="63">
        <v>2114969329.0699999</v>
      </c>
      <c r="ND24" s="63">
        <v>1389310904.1600001</v>
      </c>
      <c r="NE24" s="63">
        <v>224452903.66</v>
      </c>
      <c r="NF24" s="63">
        <v>271617700.31</v>
      </c>
      <c r="NG24" s="63">
        <v>190267597.00999999</v>
      </c>
      <c r="NH24" s="63">
        <v>160443307.06</v>
      </c>
      <c r="NI24" s="63">
        <v>5281160996.3900003</v>
      </c>
      <c r="NJ24" s="63">
        <v>116094508.2</v>
      </c>
      <c r="NK24" s="63">
        <v>151897923.06</v>
      </c>
      <c r="NL24" s="63">
        <v>113031057.63</v>
      </c>
      <c r="NM24" s="63">
        <v>253924747.24000001</v>
      </c>
      <c r="NN24" s="63">
        <v>1327667319.4300001</v>
      </c>
      <c r="NO24" s="63">
        <v>274949965.63</v>
      </c>
      <c r="NP24" s="63">
        <v>164751465.43000001</v>
      </c>
      <c r="NQ24" s="63">
        <v>150818905.97</v>
      </c>
      <c r="NR24" s="63">
        <v>1635665505.3900001</v>
      </c>
      <c r="NS24" s="63">
        <v>127619171.16</v>
      </c>
      <c r="NT24" s="63">
        <v>201613784.81</v>
      </c>
      <c r="NU24" s="63">
        <v>112648726.98</v>
      </c>
      <c r="NV24" s="63">
        <v>178353926.37</v>
      </c>
      <c r="NW24" s="63">
        <v>2064253016.1300001</v>
      </c>
      <c r="NX24" s="63">
        <v>999256405.38</v>
      </c>
      <c r="NY24" s="63">
        <v>603054202.25999999</v>
      </c>
      <c r="NZ24" s="63">
        <v>402953303.63</v>
      </c>
      <c r="OA24" s="63">
        <v>173516674.72</v>
      </c>
      <c r="OB24" s="63">
        <v>218982493.30000001</v>
      </c>
      <c r="OC24" s="63">
        <v>136491682.5</v>
      </c>
      <c r="OD24" s="63">
        <v>129791003.31999999</v>
      </c>
      <c r="OE24" s="63">
        <v>3094562988.73</v>
      </c>
      <c r="OF24" s="63">
        <v>164223927.75999999</v>
      </c>
      <c r="OG24" s="63">
        <v>95888660.959999993</v>
      </c>
      <c r="OH24" s="63">
        <v>1322207001.6800001</v>
      </c>
      <c r="OI24" s="63">
        <v>164226984.19</v>
      </c>
      <c r="OJ24" s="63">
        <v>845922777.37</v>
      </c>
      <c r="OK24" s="63">
        <v>169308830.19999999</v>
      </c>
      <c r="OL24" s="63">
        <v>147140120.71000001</v>
      </c>
      <c r="OM24" s="63">
        <v>136002780.56999999</v>
      </c>
      <c r="ON24" s="63">
        <v>168315008.86000001</v>
      </c>
      <c r="OO24" s="63">
        <v>626126672.96000004</v>
      </c>
      <c r="OP24" s="63">
        <v>214696752.77000001</v>
      </c>
      <c r="OQ24" s="63">
        <v>119368245.36</v>
      </c>
      <c r="OR24" s="63">
        <v>133094380.52</v>
      </c>
      <c r="OS24" s="63">
        <v>121141465.68000001</v>
      </c>
      <c r="OT24" s="63">
        <v>852530497.13</v>
      </c>
      <c r="OU24" s="63">
        <v>148662798.38</v>
      </c>
      <c r="OV24" s="63">
        <v>268400795.88</v>
      </c>
      <c r="OW24" s="63">
        <v>6328632045.9200001</v>
      </c>
      <c r="OX24" s="63">
        <v>123234122.81999999</v>
      </c>
      <c r="OY24" s="63">
        <v>1066657005.99</v>
      </c>
      <c r="OZ24" s="63">
        <v>87751756.370000005</v>
      </c>
      <c r="PA24" s="63">
        <v>331902096.63</v>
      </c>
      <c r="PB24" s="63">
        <v>78982560.150000006</v>
      </c>
      <c r="PC24" s="63">
        <v>1438794339.1099999</v>
      </c>
      <c r="PD24" s="63">
        <v>1841362950.01</v>
      </c>
      <c r="PE24" s="63">
        <v>90762405.510000005</v>
      </c>
      <c r="PF24" s="63">
        <v>233276165.87</v>
      </c>
      <c r="PG24" s="63">
        <v>184582105.25999999</v>
      </c>
      <c r="PH24" s="63">
        <v>258158762.31</v>
      </c>
      <c r="PI24" s="63">
        <v>3835263368.0799999</v>
      </c>
      <c r="PJ24" s="63">
        <v>1331506325.1800001</v>
      </c>
      <c r="PK24" s="63">
        <v>192842888.30000001</v>
      </c>
      <c r="PL24" s="63">
        <v>124613721.26000001</v>
      </c>
      <c r="PM24" s="63">
        <v>83792555.790000007</v>
      </c>
      <c r="PN24" s="63">
        <v>141151380.52000001</v>
      </c>
      <c r="PO24" s="63">
        <v>246974765.25999999</v>
      </c>
      <c r="PP24" s="63">
        <v>109151059.47</v>
      </c>
      <c r="PQ24" s="64">
        <f>VLOOKUP($A$4,'[2]Cash intraday'!$AA:$AF,2,FALSE)</f>
        <v>125907900.81</v>
      </c>
      <c r="PR24" s="61"/>
      <c r="PS24" s="61"/>
      <c r="PT24" s="61"/>
      <c r="PU24" s="61"/>
      <c r="PV24" s="61"/>
      <c r="PW24" s="61"/>
      <c r="PX24" s="61"/>
      <c r="PY24" s="61"/>
      <c r="PZ24" s="61"/>
      <c r="QA24" s="61"/>
      <c r="QB24" s="61"/>
      <c r="QC24" s="61"/>
      <c r="QD24" s="61"/>
      <c r="QE24" s="61"/>
      <c r="QF24" s="61"/>
      <c r="QG24" s="61"/>
      <c r="QH24" s="61"/>
      <c r="QI24" s="61"/>
      <c r="QJ24" s="61"/>
      <c r="QK24" s="61"/>
      <c r="QL24" s="61"/>
      <c r="QM24" s="61"/>
      <c r="QN24" s="61"/>
      <c r="QO24" s="61"/>
      <c r="QP24" s="61"/>
      <c r="QQ24" s="61"/>
      <c r="QR24" s="61"/>
      <c r="QS24" s="61"/>
      <c r="QT24" s="61"/>
      <c r="QU24" s="61"/>
      <c r="QV24" s="61"/>
      <c r="QW24" s="61"/>
      <c r="QX24" s="61"/>
      <c r="QY24" s="61"/>
      <c r="QZ24" s="61"/>
      <c r="RA24" s="61"/>
      <c r="RB24" s="61"/>
      <c r="RC24" s="61"/>
      <c r="RD24" s="61"/>
      <c r="RE24" s="61"/>
      <c r="RF24" s="61"/>
      <c r="RG24" s="61"/>
      <c r="RH24" s="61"/>
      <c r="RI24" s="61"/>
      <c r="RJ24" s="61"/>
      <c r="RK24" s="61"/>
      <c r="RL24" s="61"/>
      <c r="RM24" s="61"/>
      <c r="RN24" s="61"/>
      <c r="RO24" s="61"/>
      <c r="RP24" s="61"/>
      <c r="RQ24" s="61"/>
      <c r="RR24" s="61"/>
      <c r="RS24" s="61"/>
      <c r="RT24" s="61"/>
      <c r="RU24" s="61"/>
      <c r="RV24" s="61"/>
      <c r="RW24" s="61"/>
      <c r="RX24" s="61"/>
      <c r="RY24" s="61"/>
      <c r="RZ24" s="61"/>
      <c r="SA24" s="61"/>
    </row>
    <row r="25" spans="1:495" x14ac:dyDescent="0.2">
      <c r="A25" s="62" t="s">
        <v>1069</v>
      </c>
      <c r="B25" s="63">
        <v>93633256.379999995</v>
      </c>
      <c r="C25" s="63">
        <v>26583452.5</v>
      </c>
      <c r="D25" s="63">
        <v>69645359.709999993</v>
      </c>
      <c r="E25" s="63">
        <v>62488470.630000003</v>
      </c>
      <c r="F25" s="63">
        <v>60087350</v>
      </c>
      <c r="G25" s="63">
        <v>27891780</v>
      </c>
      <c r="H25" s="63">
        <v>219150978.69</v>
      </c>
      <c r="I25" s="63">
        <v>73455805.079999998</v>
      </c>
      <c r="J25" s="63">
        <v>169668104.19999999</v>
      </c>
      <c r="K25" s="63">
        <v>127197530.65000001</v>
      </c>
      <c r="L25" s="63">
        <v>209953576.55000001</v>
      </c>
      <c r="M25" s="63">
        <v>93304942.810000002</v>
      </c>
      <c r="N25" s="63">
        <v>85222582.739999995</v>
      </c>
      <c r="O25" s="63">
        <v>69268357.5</v>
      </c>
      <c r="P25" s="63">
        <v>21973450</v>
      </c>
      <c r="Q25" s="63">
        <v>64511000</v>
      </c>
      <c r="R25" s="63">
        <v>70712827.219999999</v>
      </c>
      <c r="S25" s="63">
        <v>36504318.490000002</v>
      </c>
      <c r="T25" s="63">
        <v>48520740.240000002</v>
      </c>
      <c r="U25" s="63">
        <v>136800000</v>
      </c>
      <c r="V25" s="63">
        <v>95424342.680000007</v>
      </c>
      <c r="W25" s="63">
        <v>118492134.20999999</v>
      </c>
      <c r="X25" s="63">
        <v>42320000</v>
      </c>
      <c r="Y25" s="63">
        <v>49760475.609999999</v>
      </c>
      <c r="Z25" s="63">
        <v>37155638.079999998</v>
      </c>
      <c r="AA25" s="63">
        <v>49609601.270000003</v>
      </c>
      <c r="AB25" s="63">
        <v>35704899</v>
      </c>
      <c r="AC25" s="63">
        <v>70730000</v>
      </c>
      <c r="AD25" s="63">
        <v>41085372.799999997</v>
      </c>
      <c r="AE25" s="63">
        <v>18222980</v>
      </c>
      <c r="AF25" s="63">
        <v>10400428</v>
      </c>
      <c r="AG25" s="63">
        <v>77956096.230000004</v>
      </c>
      <c r="AH25" s="63">
        <v>279509062.5</v>
      </c>
      <c r="AI25" s="63">
        <v>24501000</v>
      </c>
      <c r="AJ25" s="63">
        <v>67856287.409999996</v>
      </c>
      <c r="AK25" s="63">
        <v>60309000</v>
      </c>
      <c r="AL25" s="63">
        <v>55169613</v>
      </c>
      <c r="AM25" s="63">
        <v>72101600</v>
      </c>
      <c r="AN25" s="63">
        <v>86302668.189999998</v>
      </c>
      <c r="AO25" s="63">
        <v>357402759.10000002</v>
      </c>
      <c r="AP25" s="63">
        <v>57054000</v>
      </c>
      <c r="AQ25" s="63">
        <v>20044384.039999999</v>
      </c>
      <c r="AR25" s="63">
        <v>126565052.06</v>
      </c>
      <c r="AS25" s="63">
        <v>84853473.180000007</v>
      </c>
      <c r="AT25" s="63">
        <v>53546698.280000001</v>
      </c>
      <c r="AU25" s="63">
        <v>56984693</v>
      </c>
      <c r="AV25" s="63">
        <v>38413113.009999998</v>
      </c>
      <c r="AW25" s="63">
        <v>13376730</v>
      </c>
      <c r="AX25" s="63">
        <v>34302970.280000001</v>
      </c>
      <c r="AY25" s="63">
        <v>16300000</v>
      </c>
      <c r="AZ25" s="63">
        <v>12443837.970000001</v>
      </c>
      <c r="BA25" s="63">
        <v>24539331.75</v>
      </c>
      <c r="BB25" s="63">
        <v>90552951.980000004</v>
      </c>
      <c r="BC25" s="63">
        <v>50033933.960000001</v>
      </c>
      <c r="BD25" s="63">
        <v>57538989.140000001</v>
      </c>
      <c r="BE25" s="63">
        <v>79375989</v>
      </c>
      <c r="BF25" s="63">
        <v>50150000</v>
      </c>
      <c r="BG25" s="63">
        <v>15129972</v>
      </c>
      <c r="BH25" s="63">
        <v>5448625</v>
      </c>
      <c r="BI25" s="63">
        <v>32137157</v>
      </c>
      <c r="BJ25" s="63">
        <v>30160111</v>
      </c>
      <c r="BK25" s="63">
        <v>24729674</v>
      </c>
      <c r="BL25" s="63">
        <v>28815530</v>
      </c>
      <c r="BM25" s="63">
        <v>49980660</v>
      </c>
      <c r="BN25" s="63">
        <v>108243391.59</v>
      </c>
      <c r="BO25" s="63">
        <v>45200000</v>
      </c>
      <c r="BP25" s="63">
        <v>210109906.84999999</v>
      </c>
      <c r="BQ25" s="63">
        <v>97499250</v>
      </c>
      <c r="BR25" s="63">
        <v>53702233.659999996</v>
      </c>
      <c r="BS25" s="63">
        <v>113255394.42</v>
      </c>
      <c r="BT25" s="63">
        <v>70243361.019999996</v>
      </c>
      <c r="BU25" s="63">
        <v>14546400</v>
      </c>
      <c r="BV25" s="63">
        <v>106311814.19</v>
      </c>
      <c r="BW25" s="63">
        <v>41850000</v>
      </c>
      <c r="BX25" s="63">
        <v>72387093</v>
      </c>
      <c r="BY25" s="63">
        <v>62977000</v>
      </c>
      <c r="BZ25" s="63">
        <v>70025278.290000007</v>
      </c>
      <c r="CA25" s="63">
        <v>34249766.600000001</v>
      </c>
      <c r="CB25" s="63">
        <v>5645650</v>
      </c>
      <c r="CC25" s="63">
        <v>23964291.699999999</v>
      </c>
      <c r="CD25" s="63">
        <v>43200000</v>
      </c>
      <c r="CE25" s="63">
        <v>9049881.1500000004</v>
      </c>
      <c r="CF25" s="63">
        <v>154489199.59999999</v>
      </c>
      <c r="CG25" s="63">
        <v>71319085.959999993</v>
      </c>
      <c r="CH25" s="63">
        <v>7528032</v>
      </c>
      <c r="CI25" s="63">
        <v>18430123.539999999</v>
      </c>
      <c r="CJ25" s="63">
        <v>131707750</v>
      </c>
      <c r="CK25" s="63">
        <v>36400000</v>
      </c>
      <c r="CL25" s="63">
        <v>33008743.620000001</v>
      </c>
      <c r="CM25" s="63">
        <v>16948523.68</v>
      </c>
      <c r="CN25" s="63">
        <v>63226791</v>
      </c>
      <c r="CO25" s="63">
        <v>13142790.1</v>
      </c>
      <c r="CP25" s="63">
        <v>11429813.189999999</v>
      </c>
      <c r="CQ25" s="63">
        <v>61757045</v>
      </c>
      <c r="CR25" s="63">
        <v>30101584.280000001</v>
      </c>
      <c r="CS25" s="63">
        <v>96326500</v>
      </c>
      <c r="CT25" s="63">
        <v>23961048.5</v>
      </c>
      <c r="CU25" s="63">
        <v>32935210</v>
      </c>
      <c r="CV25" s="63">
        <v>7541213</v>
      </c>
      <c r="CW25" s="63">
        <v>16639920</v>
      </c>
      <c r="CX25" s="63">
        <v>11873886.119999999</v>
      </c>
      <c r="CY25" s="63">
        <v>14080283.02</v>
      </c>
      <c r="CZ25" s="63">
        <v>33409128.690000001</v>
      </c>
      <c r="DA25" s="63">
        <v>34736886.880000003</v>
      </c>
      <c r="DB25" s="63">
        <v>51693327.840000004</v>
      </c>
      <c r="DC25" s="63">
        <v>32142500</v>
      </c>
      <c r="DD25" s="63">
        <v>10012633.560000001</v>
      </c>
      <c r="DE25" s="63">
        <v>40000</v>
      </c>
      <c r="DF25" s="63">
        <v>22200000</v>
      </c>
      <c r="DG25" s="63">
        <v>38965309.590000004</v>
      </c>
      <c r="DH25" s="63">
        <v>20500000</v>
      </c>
      <c r="DI25" s="63">
        <v>16727614.720000001</v>
      </c>
      <c r="DJ25" s="63">
        <v>15676392.359999999</v>
      </c>
      <c r="DK25" s="61"/>
      <c r="DL25" s="61">
        <v>11344641.83</v>
      </c>
      <c r="DM25" s="61">
        <v>21614535</v>
      </c>
      <c r="DN25" s="61">
        <v>7047168.2999999998</v>
      </c>
      <c r="DO25" s="63">
        <v>24023000</v>
      </c>
      <c r="DP25" s="63">
        <v>7550000</v>
      </c>
      <c r="DQ25" s="63">
        <v>14935104.550000001</v>
      </c>
      <c r="DR25" s="63">
        <v>12199575</v>
      </c>
      <c r="DS25" s="63">
        <v>5300000</v>
      </c>
      <c r="DT25" s="63">
        <v>10361658.6</v>
      </c>
      <c r="DU25" s="63">
        <v>10361658.6</v>
      </c>
      <c r="DV25" s="63">
        <v>33500000</v>
      </c>
      <c r="DW25" s="63">
        <v>46905328.329999998</v>
      </c>
      <c r="DX25" s="63">
        <v>-652810664.25</v>
      </c>
      <c r="DY25" s="63">
        <v>-652810664.25</v>
      </c>
      <c r="DZ25" s="63">
        <v>14637157</v>
      </c>
      <c r="EA25" s="63">
        <v>19730000</v>
      </c>
      <c r="EB25" s="63">
        <v>20735069.18</v>
      </c>
      <c r="EC25" s="63">
        <v>122100000</v>
      </c>
      <c r="ED25" s="63">
        <v>33500000</v>
      </c>
      <c r="EE25" s="63">
        <v>48931742.469999999</v>
      </c>
      <c r="EF25" s="63">
        <v>2854910</v>
      </c>
      <c r="EG25" s="63">
        <v>2854910</v>
      </c>
      <c r="EH25" s="63">
        <v>2854910</v>
      </c>
      <c r="EI25" s="63">
        <v>2700000</v>
      </c>
      <c r="EJ25" s="63">
        <v>61000000</v>
      </c>
      <c r="EK25" s="63">
        <v>12627350</v>
      </c>
      <c r="EL25" s="63">
        <v>8800000</v>
      </c>
      <c r="EM25" s="63">
        <v>39000000</v>
      </c>
      <c r="EN25" s="63">
        <v>12604000</v>
      </c>
      <c r="EO25" s="63">
        <v>12604000</v>
      </c>
      <c r="EP25" s="63">
        <v>9271940.0399999991</v>
      </c>
      <c r="EQ25" s="63">
        <v>14453842.93</v>
      </c>
      <c r="ER25" s="63">
        <v>55640000</v>
      </c>
      <c r="ES25" s="63">
        <v>45639657.899999999</v>
      </c>
      <c r="ET25" s="63">
        <v>3732633.56</v>
      </c>
      <c r="EU25" s="63">
        <v>49113941.210000001</v>
      </c>
      <c r="EV25" s="63">
        <v>6216650</v>
      </c>
      <c r="EW25" s="63">
        <v>31470000</v>
      </c>
      <c r="EX25" s="63">
        <v>1940000</v>
      </c>
      <c r="EY25" s="63">
        <v>4005000</v>
      </c>
      <c r="EZ25" s="63">
        <v>21701644.449999999</v>
      </c>
      <c r="FA25" s="63">
        <v>41017500</v>
      </c>
      <c r="FB25" s="63">
        <v>16049400.41</v>
      </c>
      <c r="FC25" s="63">
        <v>18705690.550000001</v>
      </c>
      <c r="FD25" s="63">
        <v>16075000</v>
      </c>
      <c r="FE25" s="63">
        <v>21000000</v>
      </c>
      <c r="FF25" s="63">
        <v>17964677.219999999</v>
      </c>
      <c r="FG25" s="63">
        <v>17250000</v>
      </c>
      <c r="FH25" s="63">
        <v>30836000</v>
      </c>
      <c r="FI25" s="63">
        <v>7498064.2599999998</v>
      </c>
      <c r="FJ25" s="63">
        <v>11500000</v>
      </c>
      <c r="FK25" s="63">
        <v>86357433.560000002</v>
      </c>
      <c r="FL25" s="63">
        <v>29956763.23</v>
      </c>
      <c r="FM25" s="63">
        <v>72540.039999999994</v>
      </c>
      <c r="FN25" s="63">
        <v>14022950</v>
      </c>
      <c r="FO25" s="64">
        <f>VLOOKUP($A$4,'[2]Cash intraday'!$AA:$AF,3,FALSE)</f>
        <v>199541000</v>
      </c>
      <c r="FP25" s="61">
        <v>7636700.8600000003</v>
      </c>
      <c r="FQ25" s="61">
        <v>10409190</v>
      </c>
      <c r="FR25" s="61">
        <v>48229202</v>
      </c>
      <c r="FS25" s="63">
        <v>28580880</v>
      </c>
      <c r="FT25" s="63">
        <v>1100000</v>
      </c>
      <c r="FU25" s="63">
        <v>28000000</v>
      </c>
      <c r="FV25" s="63">
        <v>5000000</v>
      </c>
      <c r="FW25" s="63">
        <v>32017211.879999999</v>
      </c>
      <c r="FX25" s="63">
        <v>3344600</v>
      </c>
      <c r="FY25" s="63">
        <v>2199500</v>
      </c>
      <c r="FZ25" s="63">
        <v>3978750</v>
      </c>
      <c r="GA25" s="63">
        <v>32953103.600000001</v>
      </c>
      <c r="GB25" s="63">
        <v>13676770.210000001</v>
      </c>
      <c r="GC25" s="63">
        <v>0</v>
      </c>
      <c r="GD25" s="63">
        <v>11907376.779999999</v>
      </c>
      <c r="GE25" s="63">
        <v>76790000</v>
      </c>
      <c r="GF25" s="63">
        <v>4087624.07</v>
      </c>
      <c r="GG25" s="63">
        <v>6061658.0199999996</v>
      </c>
      <c r="GH25" s="63">
        <v>29200000</v>
      </c>
      <c r="GI25" s="63">
        <v>8308040</v>
      </c>
      <c r="GJ25" s="63">
        <v>12066250</v>
      </c>
      <c r="GK25" s="63">
        <v>25000000</v>
      </c>
      <c r="GL25" s="63">
        <v>16250925.25</v>
      </c>
      <c r="GM25" s="63">
        <v>12100000</v>
      </c>
      <c r="GN25" s="63">
        <v>2420833.34</v>
      </c>
      <c r="GO25" s="63">
        <v>13478112.32</v>
      </c>
      <c r="GP25" s="63">
        <v>33906158.5</v>
      </c>
      <c r="GQ25" s="63">
        <v>21856638</v>
      </c>
      <c r="GR25" s="63">
        <v>2500000</v>
      </c>
      <c r="GS25" s="63">
        <v>4426666.67</v>
      </c>
      <c r="GT25" s="63">
        <v>2000000</v>
      </c>
      <c r="GU25" s="63">
        <v>41200000</v>
      </c>
      <c r="GV25" s="63">
        <v>7000000</v>
      </c>
      <c r="GW25" s="63">
        <v>6670000</v>
      </c>
      <c r="GX25" s="63">
        <v>42730000</v>
      </c>
      <c r="GY25" s="63">
        <v>36039600</v>
      </c>
      <c r="GZ25" s="63">
        <v>21651141.629999999</v>
      </c>
      <c r="HA25" s="63">
        <v>67308556</v>
      </c>
      <c r="HB25" s="63">
        <v>1300000</v>
      </c>
      <c r="HC25" s="63">
        <v>127363498.33</v>
      </c>
      <c r="HD25" s="63">
        <v>14619625.289999999</v>
      </c>
      <c r="HE25" s="63">
        <v>34989783</v>
      </c>
      <c r="HF25" s="63">
        <v>61573290</v>
      </c>
      <c r="HG25" s="63">
        <v>64886679.170000002</v>
      </c>
      <c r="HH25" s="63">
        <v>57018000</v>
      </c>
      <c r="HI25" s="63">
        <v>16185999</v>
      </c>
      <c r="HJ25" s="63">
        <v>54250000</v>
      </c>
      <c r="HK25" s="63">
        <v>28740000</v>
      </c>
      <c r="HL25" s="63">
        <v>552787.53</v>
      </c>
      <c r="HM25" s="63">
        <v>16700000</v>
      </c>
      <c r="HN25" s="63">
        <v>11427386.23</v>
      </c>
      <c r="HO25" s="63">
        <v>36550000</v>
      </c>
      <c r="HP25" s="63">
        <v>52100000</v>
      </c>
      <c r="HQ25" s="63">
        <v>9059722.3499999996</v>
      </c>
      <c r="HR25" s="63">
        <v>8324200</v>
      </c>
      <c r="HS25" s="63">
        <v>900000</v>
      </c>
      <c r="HT25" s="63">
        <v>24490000</v>
      </c>
      <c r="HU25" s="63">
        <v>83540476.030000001</v>
      </c>
      <c r="HV25" s="63">
        <v>85709442</v>
      </c>
      <c r="HW25" s="63">
        <v>4623967.5</v>
      </c>
      <c r="HX25" s="63">
        <v>9051467.1300000008</v>
      </c>
      <c r="HY25" s="63">
        <v>58910000</v>
      </c>
      <c r="HZ25" s="63">
        <v>36633820</v>
      </c>
      <c r="IA25" s="63">
        <v>17741467.129999999</v>
      </c>
      <c r="IB25" s="64">
        <f>VLOOKUP($A$4,'[2]Cash intraday'!$AA:$AF,3,FALSE)</f>
        <v>199541000</v>
      </c>
      <c r="IC25" s="61"/>
      <c r="ID25" s="61"/>
      <c r="IE25" s="63"/>
      <c r="IF25" s="63">
        <v>28095740.59</v>
      </c>
      <c r="IG25" s="63">
        <v>34500000</v>
      </c>
      <c r="IH25" s="63">
        <v>2800000</v>
      </c>
      <c r="II25" s="63">
        <v>58099628.68</v>
      </c>
      <c r="IJ25" s="63">
        <v>8188632.0199999996</v>
      </c>
      <c r="IK25" s="63">
        <v>2600000</v>
      </c>
      <c r="IL25" s="63">
        <v>449500000</v>
      </c>
      <c r="IM25" s="63">
        <v>30265517.829999998</v>
      </c>
      <c r="IN25" s="63">
        <v>914708.18</v>
      </c>
      <c r="IO25" s="63">
        <v>14500000</v>
      </c>
      <c r="IP25" s="63">
        <v>34062180</v>
      </c>
      <c r="IQ25" s="63">
        <v>20900000</v>
      </c>
      <c r="IR25" s="63">
        <v>40640000</v>
      </c>
      <c r="IS25" s="63">
        <v>25243600</v>
      </c>
      <c r="IT25" s="63">
        <v>22222110.920000002</v>
      </c>
      <c r="IU25" s="63">
        <v>29000000</v>
      </c>
      <c r="IV25" s="63">
        <v>20266165.039999999</v>
      </c>
      <c r="IW25" s="63">
        <v>6156500</v>
      </c>
      <c r="IX25" s="63">
        <v>97040000</v>
      </c>
      <c r="IY25" s="63">
        <v>5735133.0800000001</v>
      </c>
      <c r="IZ25" s="63">
        <v>57210200</v>
      </c>
      <c r="JA25" s="63">
        <v>13053506</v>
      </c>
      <c r="JB25" s="63">
        <v>36300000</v>
      </c>
      <c r="JC25" s="63">
        <v>23500000</v>
      </c>
      <c r="JD25" s="63">
        <v>18913500</v>
      </c>
      <c r="JE25" s="63">
        <v>5951632</v>
      </c>
      <c r="JF25" s="63">
        <v>0</v>
      </c>
      <c r="JG25" s="63">
        <v>5758700</v>
      </c>
      <c r="JH25" s="63">
        <v>0</v>
      </c>
      <c r="JI25" s="64">
        <v>3000000</v>
      </c>
      <c r="JJ25" s="63"/>
      <c r="JK25" s="63">
        <v>12650000</v>
      </c>
      <c r="JL25" s="63">
        <v>17716250</v>
      </c>
      <c r="JM25" s="63">
        <v>6075913.2800000003</v>
      </c>
      <c r="JN25" s="63">
        <v>11100000</v>
      </c>
      <c r="JO25" s="63">
        <v>27231049</v>
      </c>
      <c r="JP25" s="63">
        <v>10340000</v>
      </c>
      <c r="JQ25" s="63">
        <v>11000000</v>
      </c>
      <c r="JR25" s="63">
        <v>12200000</v>
      </c>
      <c r="JS25" s="63">
        <v>6100000</v>
      </c>
      <c r="JT25" s="63">
        <v>500000</v>
      </c>
      <c r="JU25" s="63">
        <v>34235000</v>
      </c>
      <c r="JV25" s="63">
        <v>20500000</v>
      </c>
      <c r="JW25" s="63">
        <v>949556.86</v>
      </c>
      <c r="JX25" s="63">
        <v>118100000</v>
      </c>
      <c r="JY25" s="63">
        <v>3000000</v>
      </c>
      <c r="JZ25" s="63">
        <v>45025000</v>
      </c>
      <c r="KA25" s="63">
        <v>22835000</v>
      </c>
      <c r="KB25" s="63">
        <v>4700000</v>
      </c>
      <c r="KC25" s="63">
        <v>5000000</v>
      </c>
      <c r="KD25" s="63">
        <v>41400000</v>
      </c>
      <c r="KE25" s="63">
        <v>13349631</v>
      </c>
      <c r="KF25" s="63">
        <v>6884657</v>
      </c>
      <c r="KG25" s="63">
        <v>20000000</v>
      </c>
      <c r="KH25" s="63">
        <v>0</v>
      </c>
      <c r="KI25" s="63">
        <v>2040000</v>
      </c>
      <c r="KJ25" s="63">
        <v>10800000</v>
      </c>
      <c r="KK25" s="63">
        <v>79488000</v>
      </c>
      <c r="KL25" s="63">
        <v>18048517.149999999</v>
      </c>
      <c r="KM25" s="63">
        <v>25300000</v>
      </c>
      <c r="KN25" s="63">
        <v>7541528.6699999999</v>
      </c>
      <c r="KO25" s="63">
        <v>25281955.120000001</v>
      </c>
      <c r="KP25" s="63">
        <v>1000000</v>
      </c>
      <c r="KQ25" s="63">
        <v>3600000</v>
      </c>
      <c r="KR25" s="63">
        <v>160000</v>
      </c>
      <c r="KS25" s="63">
        <v>4400000</v>
      </c>
      <c r="KT25" s="63">
        <v>0</v>
      </c>
      <c r="KU25" s="63">
        <v>9885000</v>
      </c>
      <c r="KV25" s="63">
        <v>2025000</v>
      </c>
      <c r="KW25" s="63">
        <v>78000000</v>
      </c>
      <c r="KX25" s="63">
        <v>10120000</v>
      </c>
      <c r="KY25" s="63">
        <v>11799050</v>
      </c>
      <c r="KZ25" s="63">
        <v>12500000</v>
      </c>
      <c r="LA25" s="63">
        <v>17466735</v>
      </c>
      <c r="LB25" s="63">
        <v>5116028.55</v>
      </c>
      <c r="LC25" s="63">
        <v>4230000</v>
      </c>
      <c r="LD25" s="63">
        <v>18669500</v>
      </c>
      <c r="LE25" s="63">
        <v>3000000</v>
      </c>
      <c r="LF25" s="63">
        <v>5577715.96</v>
      </c>
      <c r="LG25" s="63">
        <v>285000</v>
      </c>
      <c r="LH25" s="63">
        <v>14250000</v>
      </c>
      <c r="LI25" s="63">
        <v>18829500</v>
      </c>
      <c r="LJ25" s="63">
        <v>2457455</v>
      </c>
      <c r="LK25" s="63">
        <v>12040000</v>
      </c>
      <c r="LL25" s="63">
        <v>15700000</v>
      </c>
      <c r="LM25" s="63">
        <v>1215000</v>
      </c>
      <c r="LN25" s="63">
        <v>18370000</v>
      </c>
      <c r="LO25" s="63">
        <v>11870000</v>
      </c>
      <c r="LP25" s="63">
        <v>15280000</v>
      </c>
      <c r="LQ25" s="63">
        <v>10100000</v>
      </c>
      <c r="LR25" s="63">
        <v>2000000</v>
      </c>
      <c r="LS25" s="63">
        <v>0</v>
      </c>
      <c r="LT25" s="63">
        <v>0</v>
      </c>
      <c r="LU25" s="63">
        <v>29050000</v>
      </c>
      <c r="LV25" s="63">
        <v>9500000</v>
      </c>
      <c r="LW25" s="63">
        <v>6461957.0700000003</v>
      </c>
      <c r="LX25" s="63">
        <v>2000000</v>
      </c>
      <c r="LY25" s="63">
        <v>17960215.760000002</v>
      </c>
      <c r="LZ25" s="63">
        <v>3200000</v>
      </c>
      <c r="MA25" s="63">
        <v>3000000</v>
      </c>
      <c r="MB25" s="63">
        <v>23636000</v>
      </c>
      <c r="MC25" s="63">
        <v>16335000</v>
      </c>
      <c r="MD25" s="63">
        <v>6174105.8799999999</v>
      </c>
      <c r="ME25" s="63">
        <v>8010000</v>
      </c>
      <c r="MF25" s="63">
        <v>236953370</v>
      </c>
      <c r="MG25" s="63">
        <v>2500000</v>
      </c>
      <c r="MH25" s="63">
        <v>1700000</v>
      </c>
      <c r="MI25" s="63">
        <v>14000000</v>
      </c>
      <c r="MJ25" s="63">
        <v>27738100</v>
      </c>
      <c r="MK25" s="63">
        <v>16000000</v>
      </c>
      <c r="ML25" s="63">
        <v>42600000</v>
      </c>
      <c r="MM25" s="63">
        <v>6300000</v>
      </c>
      <c r="MN25" s="63">
        <v>60750</v>
      </c>
      <c r="MO25" s="63">
        <v>2500000</v>
      </c>
      <c r="MP25" s="63">
        <v>51100385.5</v>
      </c>
      <c r="MQ25" s="63">
        <v>10368841.85</v>
      </c>
      <c r="MR25" s="63">
        <v>0</v>
      </c>
      <c r="MS25" s="63">
        <v>11000000</v>
      </c>
      <c r="MT25" s="63">
        <v>25000000</v>
      </c>
      <c r="MU25" s="63">
        <v>11529896.189999999</v>
      </c>
      <c r="MV25" s="63">
        <v>46839000</v>
      </c>
      <c r="MW25" s="63">
        <v>8805000</v>
      </c>
      <c r="MX25" s="63">
        <v>1400000</v>
      </c>
      <c r="MY25" s="63">
        <v>21412004.48</v>
      </c>
      <c r="MZ25" s="63">
        <v>12953500</v>
      </c>
      <c r="NA25" s="63">
        <v>18500000</v>
      </c>
      <c r="NB25" s="63">
        <v>16500000</v>
      </c>
      <c r="NC25" s="63">
        <v>20000</v>
      </c>
      <c r="ND25" s="63">
        <v>5600000</v>
      </c>
      <c r="NE25" s="63">
        <v>0</v>
      </c>
      <c r="NF25" s="63">
        <v>2140000</v>
      </c>
      <c r="NG25" s="63">
        <v>10000000</v>
      </c>
      <c r="NH25" s="63">
        <v>1000000</v>
      </c>
      <c r="NI25" s="63">
        <v>21500000</v>
      </c>
      <c r="NJ25" s="63">
        <v>11400000</v>
      </c>
      <c r="NK25" s="63">
        <v>10978000</v>
      </c>
      <c r="NL25" s="63">
        <v>23556518.199999999</v>
      </c>
      <c r="NM25" s="63">
        <v>3287000</v>
      </c>
      <c r="NN25" s="63">
        <v>4700000</v>
      </c>
      <c r="NO25" s="63">
        <v>15700000</v>
      </c>
      <c r="NP25" s="63">
        <v>69100000</v>
      </c>
      <c r="NQ25" s="63">
        <v>0</v>
      </c>
      <c r="NR25" s="63">
        <v>4000000</v>
      </c>
      <c r="NS25" s="63">
        <v>70609144.25</v>
      </c>
      <c r="NT25" s="63">
        <v>10220000</v>
      </c>
      <c r="NU25" s="63">
        <v>36302300</v>
      </c>
      <c r="NV25" s="63">
        <v>28000000</v>
      </c>
      <c r="NW25" s="63">
        <v>12000000</v>
      </c>
      <c r="NX25" s="63">
        <v>36314000</v>
      </c>
      <c r="NY25" s="63">
        <v>5085000</v>
      </c>
      <c r="NZ25" s="63">
        <v>5244200</v>
      </c>
      <c r="OA25" s="63">
        <v>465547500</v>
      </c>
      <c r="OB25" s="63">
        <v>2773427.4</v>
      </c>
      <c r="OC25" s="63">
        <v>17495700</v>
      </c>
      <c r="OD25" s="63">
        <v>12600000</v>
      </c>
      <c r="OE25" s="63">
        <v>0</v>
      </c>
      <c r="OF25" s="63">
        <v>16000000</v>
      </c>
      <c r="OG25" s="63">
        <v>19372000</v>
      </c>
      <c r="OH25" s="63">
        <v>52000000</v>
      </c>
      <c r="OI25" s="63">
        <v>26760000</v>
      </c>
      <c r="OJ25" s="63">
        <v>4400000</v>
      </c>
      <c r="OK25" s="63">
        <v>15250000</v>
      </c>
      <c r="OL25" s="63">
        <v>9428000</v>
      </c>
      <c r="OM25" s="63">
        <v>101500000</v>
      </c>
      <c r="ON25" s="63">
        <v>13897820.5</v>
      </c>
      <c r="OO25" s="63">
        <v>1028440</v>
      </c>
      <c r="OP25" s="63">
        <v>4000000</v>
      </c>
      <c r="OQ25" s="63">
        <v>1000000</v>
      </c>
      <c r="OR25" s="63">
        <v>49100000</v>
      </c>
      <c r="OS25" s="63">
        <v>1400000</v>
      </c>
      <c r="OT25" s="63">
        <v>6000000</v>
      </c>
      <c r="OU25" s="63">
        <v>4391564.79</v>
      </c>
      <c r="OV25" s="63">
        <v>72030000</v>
      </c>
      <c r="OW25" s="63">
        <v>0</v>
      </c>
      <c r="OX25" s="63">
        <v>16960000</v>
      </c>
      <c r="OY25" s="63">
        <v>246499052.16999999</v>
      </c>
      <c r="OZ25" s="63">
        <v>0</v>
      </c>
      <c r="PA25" s="63">
        <v>0</v>
      </c>
      <c r="PB25" s="63">
        <v>29600000</v>
      </c>
      <c r="PC25" s="63">
        <v>0</v>
      </c>
      <c r="PD25" s="63">
        <v>2000000</v>
      </c>
      <c r="PE25" s="63">
        <v>2500000</v>
      </c>
      <c r="PF25" s="63">
        <v>19980269.890000001</v>
      </c>
      <c r="PG25" s="63">
        <v>74815000</v>
      </c>
      <c r="PH25" s="63">
        <v>7000000</v>
      </c>
      <c r="PI25" s="63">
        <v>0</v>
      </c>
      <c r="PJ25" s="63">
        <v>0</v>
      </c>
      <c r="PK25" s="63">
        <v>3367820.5</v>
      </c>
      <c r="PL25" s="63">
        <v>13130000</v>
      </c>
      <c r="PM25" s="63">
        <v>5200000</v>
      </c>
      <c r="PN25" s="63">
        <v>3400000</v>
      </c>
      <c r="PO25" s="63">
        <v>6736000</v>
      </c>
      <c r="PP25" s="63">
        <v>6000000</v>
      </c>
      <c r="PQ25" s="64">
        <f>VLOOKUP($A$4,'[2]Cash intraday'!$AA:$AF,3,FALSE)</f>
        <v>199541000</v>
      </c>
      <c r="PR25" s="61"/>
      <c r="PS25" s="61"/>
      <c r="PT25" s="61"/>
      <c r="PU25" s="61"/>
      <c r="PV25" s="61"/>
      <c r="PW25" s="61"/>
      <c r="PX25" s="61"/>
      <c r="PY25" s="61"/>
      <c r="PZ25" s="61"/>
      <c r="QA25" s="61"/>
      <c r="QB25" s="61"/>
      <c r="QC25" s="61"/>
      <c r="QD25" s="61"/>
      <c r="QE25" s="61"/>
      <c r="QF25" s="61"/>
      <c r="QG25" s="61"/>
      <c r="QH25" s="61"/>
      <c r="QI25" s="61"/>
      <c r="QJ25" s="61"/>
      <c r="QK25" s="61"/>
      <c r="QL25" s="61"/>
      <c r="QM25" s="61"/>
      <c r="QN25" s="61"/>
      <c r="QO25" s="61"/>
      <c r="QP25" s="61"/>
      <c r="QQ25" s="61"/>
      <c r="QR25" s="61"/>
      <c r="QS25" s="61"/>
      <c r="QT25" s="61"/>
      <c r="QU25" s="61"/>
      <c r="QV25" s="61"/>
      <c r="QW25" s="61"/>
      <c r="QX25" s="61"/>
      <c r="QY25" s="61"/>
      <c r="QZ25" s="61"/>
      <c r="RA25" s="61"/>
      <c r="RB25" s="61"/>
      <c r="RC25" s="61"/>
      <c r="RD25" s="61"/>
      <c r="RE25" s="61"/>
      <c r="RF25" s="61"/>
      <c r="RG25" s="61"/>
      <c r="RH25" s="61"/>
      <c r="RI25" s="61"/>
      <c r="RJ25" s="61"/>
      <c r="RK25" s="61"/>
      <c r="RL25" s="61"/>
      <c r="RM25" s="61"/>
      <c r="RN25" s="61"/>
      <c r="RO25" s="61"/>
      <c r="RP25" s="61"/>
      <c r="RQ25" s="61"/>
      <c r="RR25" s="61"/>
      <c r="RS25" s="61"/>
      <c r="RT25" s="61"/>
      <c r="RU25" s="61"/>
      <c r="RV25" s="61"/>
      <c r="RW25" s="61"/>
      <c r="RX25" s="61"/>
      <c r="RY25" s="61"/>
      <c r="RZ25" s="61"/>
      <c r="SA25" s="61"/>
    </row>
    <row r="26" spans="1:495" x14ac:dyDescent="0.2">
      <c r="A26" s="62" t="s">
        <v>1070</v>
      </c>
      <c r="B26" s="63">
        <v>116255941.06</v>
      </c>
      <c r="C26" s="63">
        <v>47776605.020000003</v>
      </c>
      <c r="D26" s="63">
        <v>45990889.140000001</v>
      </c>
      <c r="E26" s="63">
        <v>185607612.94999999</v>
      </c>
      <c r="F26" s="63">
        <v>119023748.81999999</v>
      </c>
      <c r="G26" s="63">
        <v>87451783.219999999</v>
      </c>
      <c r="H26" s="63">
        <v>97807487.849999994</v>
      </c>
      <c r="I26" s="63">
        <v>107233887.17</v>
      </c>
      <c r="J26" s="63">
        <v>112579142.25</v>
      </c>
      <c r="K26" s="63">
        <v>226940245.97</v>
      </c>
      <c r="L26" s="65">
        <v>53939764.140000001</v>
      </c>
      <c r="M26" s="63">
        <v>122707801.48</v>
      </c>
      <c r="N26" s="63">
        <v>50611362.659999996</v>
      </c>
      <c r="O26" s="63">
        <v>78118441.5</v>
      </c>
      <c r="P26" s="63">
        <v>220214680.61000001</v>
      </c>
      <c r="Q26" s="63">
        <v>97909610.640000001</v>
      </c>
      <c r="R26" s="63">
        <v>145703632.43000001</v>
      </c>
      <c r="S26" s="63">
        <v>202905320.71000001</v>
      </c>
      <c r="T26" s="63">
        <v>213803209.75</v>
      </c>
      <c r="U26" s="63">
        <v>106604247.88</v>
      </c>
      <c r="V26" s="63">
        <v>91038872.959999993</v>
      </c>
      <c r="W26" s="63">
        <v>90062262.400000006</v>
      </c>
      <c r="X26" s="63">
        <v>198001794.97999999</v>
      </c>
      <c r="Y26" s="63">
        <v>69302072.760000005</v>
      </c>
      <c r="Z26" s="63">
        <v>36449484.890000001</v>
      </c>
      <c r="AA26" s="63">
        <v>23286517.34</v>
      </c>
      <c r="AB26" s="63">
        <v>24075364.82</v>
      </c>
      <c r="AC26" s="63">
        <v>62774024.619999997</v>
      </c>
      <c r="AD26" s="63">
        <v>53093524.109999999</v>
      </c>
      <c r="AE26" s="63">
        <v>49856865.829999998</v>
      </c>
      <c r="AF26" s="63">
        <v>32215232.129999999</v>
      </c>
      <c r="AG26" s="63">
        <v>62637566.350000001</v>
      </c>
      <c r="AH26" s="63">
        <v>214395274.66999999</v>
      </c>
      <c r="AI26" s="63">
        <v>39123057.780000001</v>
      </c>
      <c r="AJ26" s="63">
        <v>17766557.510000002</v>
      </c>
      <c r="AK26" s="63">
        <v>98807815.989999995</v>
      </c>
      <c r="AL26" s="63">
        <v>29130703.390000001</v>
      </c>
      <c r="AM26" s="63">
        <v>75370405.790000007</v>
      </c>
      <c r="AN26" s="63">
        <v>59273525.07</v>
      </c>
      <c r="AO26" s="63">
        <v>96775395.25</v>
      </c>
      <c r="AP26" s="63">
        <v>31989359.25</v>
      </c>
      <c r="AQ26" s="63">
        <v>55764627.310000002</v>
      </c>
      <c r="AR26" s="63">
        <v>59056464.270000003</v>
      </c>
      <c r="AS26" s="63">
        <v>51562751.100000001</v>
      </c>
      <c r="AT26" s="63">
        <v>86523379.769999996</v>
      </c>
      <c r="AU26" s="63">
        <v>208324411.69</v>
      </c>
      <c r="AV26" s="63">
        <v>22110454.890000001</v>
      </c>
      <c r="AW26" s="63">
        <v>72966695.819999993</v>
      </c>
      <c r="AX26" s="63">
        <v>45987029.049999997</v>
      </c>
      <c r="AY26" s="63">
        <v>30879541.75</v>
      </c>
      <c r="AZ26" s="63">
        <v>67105909.030000001</v>
      </c>
      <c r="BA26" s="63">
        <v>111519476.95</v>
      </c>
      <c r="BB26" s="63">
        <v>39647023.350000001</v>
      </c>
      <c r="BC26" s="63">
        <v>164738913.25</v>
      </c>
      <c r="BD26" s="63">
        <v>61873634.780000001</v>
      </c>
      <c r="BE26" s="63">
        <v>79970191.670000002</v>
      </c>
      <c r="BF26" s="63">
        <v>2172557037.7199998</v>
      </c>
      <c r="BG26" s="63">
        <v>47297727.740000002</v>
      </c>
      <c r="BH26" s="63">
        <v>72448735.109999999</v>
      </c>
      <c r="BI26" s="63">
        <v>31557818.449999999</v>
      </c>
      <c r="BJ26" s="63">
        <v>102662487.7</v>
      </c>
      <c r="BK26" s="63">
        <v>21465028.460000001</v>
      </c>
      <c r="BL26" s="63">
        <v>23064230.850000001</v>
      </c>
      <c r="BM26" s="63">
        <v>11996478.41</v>
      </c>
      <c r="BN26" s="63">
        <v>54988898.359999999</v>
      </c>
      <c r="BO26" s="63">
        <v>37451840.93</v>
      </c>
      <c r="BP26" s="63">
        <v>50741750.539999999</v>
      </c>
      <c r="BQ26" s="63">
        <v>18189429.059999999</v>
      </c>
      <c r="BR26" s="63">
        <v>14854366.289999999</v>
      </c>
      <c r="BS26" s="63">
        <v>18994070.129999999</v>
      </c>
      <c r="BT26" s="63">
        <v>32006063.539999999</v>
      </c>
      <c r="BU26" s="63">
        <v>89416473.549999997</v>
      </c>
      <c r="BV26" s="63">
        <v>78956695.819999993</v>
      </c>
      <c r="BW26" s="63">
        <v>37180687.140000001</v>
      </c>
      <c r="BX26" s="63">
        <v>129303373.64</v>
      </c>
      <c r="BY26" s="63">
        <v>26234006.75</v>
      </c>
      <c r="BZ26" s="63">
        <v>23707300.23</v>
      </c>
      <c r="CA26" s="63">
        <v>68527450.780000001</v>
      </c>
      <c r="CB26" s="63">
        <v>12579197.66</v>
      </c>
      <c r="CC26" s="63">
        <v>39414675.32</v>
      </c>
      <c r="CD26" s="63">
        <v>13062229.939999999</v>
      </c>
      <c r="CE26" s="63">
        <v>24239254.870000001</v>
      </c>
      <c r="CF26" s="63">
        <v>13716827.51</v>
      </c>
      <c r="CG26" s="63">
        <v>26371865.77</v>
      </c>
      <c r="CH26" s="63">
        <v>19440366.079999998</v>
      </c>
      <c r="CI26" s="63">
        <v>63259180.5</v>
      </c>
      <c r="CJ26" s="63">
        <v>42003916.829999998</v>
      </c>
      <c r="CK26" s="63">
        <v>42664921.329999998</v>
      </c>
      <c r="CL26" s="63">
        <v>57735995.359999999</v>
      </c>
      <c r="CM26" s="63">
        <v>48537765.25</v>
      </c>
      <c r="CN26" s="63">
        <v>27753492.57</v>
      </c>
      <c r="CO26" s="63">
        <v>70242679</v>
      </c>
      <c r="CP26" s="63">
        <v>68351059.129999995</v>
      </c>
      <c r="CQ26" s="63">
        <v>119350866.72</v>
      </c>
      <c r="CR26" s="63">
        <v>35565867.100000001</v>
      </c>
      <c r="CS26" s="63">
        <v>11522697.029999999</v>
      </c>
      <c r="CT26" s="63">
        <v>29090650.370000001</v>
      </c>
      <c r="CU26" s="63">
        <v>64840949.799999997</v>
      </c>
      <c r="CV26" s="63">
        <v>50995711.719999999</v>
      </c>
      <c r="CW26" s="63">
        <v>58740989.609999999</v>
      </c>
      <c r="CX26" s="63">
        <v>100553968.06999999</v>
      </c>
      <c r="CY26" s="63">
        <v>46919845.43</v>
      </c>
      <c r="CZ26" s="63">
        <v>17271562.109999999</v>
      </c>
      <c r="DA26" s="63">
        <v>36902977.880000003</v>
      </c>
      <c r="DB26" s="63">
        <v>5718012.1799999997</v>
      </c>
      <c r="DC26" s="63">
        <v>55576582.710000001</v>
      </c>
      <c r="DD26" s="63">
        <v>26438300.239999998</v>
      </c>
      <c r="DE26" s="63">
        <v>30403202.68</v>
      </c>
      <c r="DF26" s="63">
        <v>58621180.200000003</v>
      </c>
      <c r="DG26" s="63">
        <v>131488001.55</v>
      </c>
      <c r="DH26" s="63">
        <v>21911616.07</v>
      </c>
      <c r="DI26" s="63">
        <v>14505128.41</v>
      </c>
      <c r="DJ26" s="63">
        <v>42261745.140000001</v>
      </c>
      <c r="DK26" s="61"/>
      <c r="DL26" s="61">
        <v>40806868.810000002</v>
      </c>
      <c r="DM26" s="61">
        <v>114187836.36</v>
      </c>
      <c r="DN26" s="61">
        <v>18774037.829999998</v>
      </c>
      <c r="DO26" s="63">
        <v>721784859.39999998</v>
      </c>
      <c r="DP26" s="63">
        <v>19893327.59</v>
      </c>
      <c r="DQ26" s="63">
        <v>21693517.010000002</v>
      </c>
      <c r="DR26" s="63">
        <v>117123595.75</v>
      </c>
      <c r="DS26" s="63">
        <v>52263118.390000001</v>
      </c>
      <c r="DT26" s="63">
        <v>47687262.450000003</v>
      </c>
      <c r="DU26" s="63">
        <v>97282244.319999993</v>
      </c>
      <c r="DV26" s="63">
        <v>130055084.56999999</v>
      </c>
      <c r="DW26" s="63">
        <v>6637942.0099999998</v>
      </c>
      <c r="DX26" s="63">
        <v>58347779.729999997</v>
      </c>
      <c r="DY26" s="63">
        <v>24307429.949999999</v>
      </c>
      <c r="DZ26" s="63">
        <v>87329558.469999999</v>
      </c>
      <c r="EA26" s="63">
        <v>40539610.780000001</v>
      </c>
      <c r="EB26" s="63">
        <v>75604088.799999997</v>
      </c>
      <c r="EC26" s="63">
        <v>152877785.53999999</v>
      </c>
      <c r="ED26" s="63">
        <v>48730767.640000001</v>
      </c>
      <c r="EE26" s="63">
        <v>203250902.80000001</v>
      </c>
      <c r="EF26" s="63">
        <v>27520439.940000001</v>
      </c>
      <c r="EG26" s="63">
        <v>24821695.399999999</v>
      </c>
      <c r="EH26" s="63">
        <v>20617353.41</v>
      </c>
      <c r="EI26" s="63">
        <v>233683426.19999999</v>
      </c>
      <c r="EJ26" s="63">
        <v>66612602.82</v>
      </c>
      <c r="EK26" s="63">
        <v>37964464.350000001</v>
      </c>
      <c r="EL26" s="63">
        <v>16828117.100000001</v>
      </c>
      <c r="EM26" s="63">
        <v>67719840.810000002</v>
      </c>
      <c r="EN26" s="63">
        <v>55913982.240000002</v>
      </c>
      <c r="EO26" s="63">
        <v>67701646.640000001</v>
      </c>
      <c r="EP26" s="63">
        <v>37939320.869999997</v>
      </c>
      <c r="EQ26" s="63">
        <v>45423866.810000002</v>
      </c>
      <c r="ER26" s="63">
        <v>102455148.56</v>
      </c>
      <c r="ES26" s="63">
        <v>88175979.709999993</v>
      </c>
      <c r="ET26" s="63">
        <v>16118375.84</v>
      </c>
      <c r="EU26" s="63">
        <v>21116460.100000001</v>
      </c>
      <c r="EV26" s="63">
        <v>21518064.219999999</v>
      </c>
      <c r="EW26" s="63">
        <v>47765531.57</v>
      </c>
      <c r="EX26" s="63">
        <v>7152520.3399999999</v>
      </c>
      <c r="EY26" s="63">
        <v>199414899.44999999</v>
      </c>
      <c r="EZ26" s="63">
        <v>25378775.850000001</v>
      </c>
      <c r="FA26" s="63">
        <v>45514359.789999999</v>
      </c>
      <c r="FB26" s="63">
        <v>69813299.109999999</v>
      </c>
      <c r="FC26" s="63">
        <v>52781648.079999998</v>
      </c>
      <c r="FD26" s="63">
        <v>19138071.239999998</v>
      </c>
      <c r="FE26" s="63">
        <v>11371420.880000001</v>
      </c>
      <c r="FF26" s="63">
        <v>28087688</v>
      </c>
      <c r="FG26" s="63">
        <v>48728401.409999996</v>
      </c>
      <c r="FH26" s="63">
        <v>440676086.70999998</v>
      </c>
      <c r="FI26" s="63">
        <v>268100800.87</v>
      </c>
      <c r="FJ26" s="63">
        <v>213903632.50999999</v>
      </c>
      <c r="FK26" s="63">
        <v>165437151.78</v>
      </c>
      <c r="FL26" s="63">
        <v>111334668.83</v>
      </c>
      <c r="FM26" s="63">
        <v>78979008.040000007</v>
      </c>
      <c r="FN26" s="63">
        <v>75239118.25</v>
      </c>
      <c r="FO26" s="64">
        <f>VLOOKUP($A$4,'[2]Cash intraday'!$AA:$AF,4,FALSE)</f>
        <v>73892568.890000001</v>
      </c>
      <c r="FP26" s="61">
        <v>40382240.780000001</v>
      </c>
      <c r="FQ26" s="61">
        <v>41518966.359999999</v>
      </c>
      <c r="FR26" s="61">
        <v>61146936.950000003</v>
      </c>
      <c r="FS26" s="63">
        <v>28700813.100000001</v>
      </c>
      <c r="FT26" s="63">
        <v>46367990.969999999</v>
      </c>
      <c r="FU26" s="63">
        <v>47916671.369999997</v>
      </c>
      <c r="FV26" s="63">
        <v>51435845.539999999</v>
      </c>
      <c r="FW26" s="63">
        <v>107482872.25</v>
      </c>
      <c r="FX26" s="63">
        <v>81226562.939999998</v>
      </c>
      <c r="FY26" s="63">
        <v>86408199.129999995</v>
      </c>
      <c r="FZ26" s="63">
        <v>750560071.46000004</v>
      </c>
      <c r="GA26" s="63">
        <v>48020132.270000003</v>
      </c>
      <c r="GB26" s="63">
        <v>46927142.539999999</v>
      </c>
      <c r="GC26" s="63">
        <v>37721108.359999999</v>
      </c>
      <c r="GD26" s="63">
        <v>47697243.149999999</v>
      </c>
      <c r="GE26" s="63">
        <v>24489696.800000001</v>
      </c>
      <c r="GF26" s="63">
        <v>37537284.840000004</v>
      </c>
      <c r="GG26" s="63">
        <v>29286148.699999999</v>
      </c>
      <c r="GH26" s="63">
        <v>78803705.370000005</v>
      </c>
      <c r="GI26" s="63">
        <v>29877254.18</v>
      </c>
      <c r="GJ26" s="63">
        <v>56749026.07</v>
      </c>
      <c r="GK26" s="63">
        <v>33338818.16</v>
      </c>
      <c r="GL26" s="63">
        <v>69950908.25</v>
      </c>
      <c r="GM26" s="63">
        <v>19209587.649999999</v>
      </c>
      <c r="GN26" s="63">
        <v>54807845.18</v>
      </c>
      <c r="GO26" s="63">
        <v>238791805.00999999</v>
      </c>
      <c r="GP26" s="63">
        <v>73090804.590000004</v>
      </c>
      <c r="GQ26" s="63">
        <v>42788539.68</v>
      </c>
      <c r="GR26" s="63">
        <v>62519308.600000001</v>
      </c>
      <c r="GS26" s="63">
        <v>73663328.680000007</v>
      </c>
      <c r="GT26" s="63">
        <v>122350870.36</v>
      </c>
      <c r="GU26" s="63">
        <v>162820921.22999999</v>
      </c>
      <c r="GV26" s="63">
        <v>105670511.61</v>
      </c>
      <c r="GW26" s="63">
        <v>80283240.870000005</v>
      </c>
      <c r="GX26" s="63">
        <v>39279426.670000002</v>
      </c>
      <c r="GY26" s="63">
        <v>55472931.140000001</v>
      </c>
      <c r="GZ26" s="63">
        <v>299689743.24000001</v>
      </c>
      <c r="HA26" s="63">
        <v>254421288.36000001</v>
      </c>
      <c r="HB26" s="63">
        <v>201160473.53999999</v>
      </c>
      <c r="HC26" s="63">
        <v>74651704.819999993</v>
      </c>
      <c r="HD26" s="63">
        <v>82919185.939999998</v>
      </c>
      <c r="HE26" s="63">
        <v>85270783.329999998</v>
      </c>
      <c r="HF26" s="63">
        <v>39688081.619999997</v>
      </c>
      <c r="HG26" s="63">
        <v>49406666.969999999</v>
      </c>
      <c r="HH26" s="63">
        <v>159997901.91999999</v>
      </c>
      <c r="HI26" s="63">
        <v>78724184.890000001</v>
      </c>
      <c r="HJ26" s="63">
        <v>78799135.409999996</v>
      </c>
      <c r="HK26" s="63">
        <v>68980623.079999998</v>
      </c>
      <c r="HL26" s="63">
        <v>23661545.969999999</v>
      </c>
      <c r="HM26" s="63">
        <v>52840729.479999997</v>
      </c>
      <c r="HN26" s="63">
        <v>169652001.06</v>
      </c>
      <c r="HO26" s="63">
        <v>38078413.420000002</v>
      </c>
      <c r="HP26" s="63">
        <v>49462661.380000003</v>
      </c>
      <c r="HQ26" s="63">
        <v>49095654.770000003</v>
      </c>
      <c r="HR26" s="63">
        <v>730652135.92999995</v>
      </c>
      <c r="HS26" s="63">
        <v>99165475.480000004</v>
      </c>
      <c r="HT26" s="63">
        <v>120777265.93000001</v>
      </c>
      <c r="HU26" s="63">
        <v>111018684.16</v>
      </c>
      <c r="HV26" s="63">
        <v>74046788.790000007</v>
      </c>
      <c r="HW26" s="63">
        <v>58376323.780000001</v>
      </c>
      <c r="HX26" s="63">
        <v>28655732.859999999</v>
      </c>
      <c r="HY26" s="63">
        <v>67461848.709999993</v>
      </c>
      <c r="HZ26" s="63">
        <v>65763189.060000002</v>
      </c>
      <c r="IA26" s="63">
        <v>132249375.02</v>
      </c>
      <c r="IB26" s="64">
        <f>VLOOKUP($A$4,'[2]Cash intraday'!$AA:$AF,4,FALSE)</f>
        <v>73892568.890000001</v>
      </c>
      <c r="IC26" s="61"/>
      <c r="ID26" s="61">
        <v>62204037.909999996</v>
      </c>
      <c r="IE26" s="63">
        <v>19934040.440000001</v>
      </c>
      <c r="IF26" s="63">
        <v>113084405.31999999</v>
      </c>
      <c r="IG26" s="63">
        <v>55932961.969999999</v>
      </c>
      <c r="IH26" s="63">
        <v>346072408.38</v>
      </c>
      <c r="II26" s="63">
        <v>21510442.09</v>
      </c>
      <c r="IJ26" s="63">
        <v>25945624.760000002</v>
      </c>
      <c r="IK26" s="63">
        <v>49128404.469999999</v>
      </c>
      <c r="IL26" s="63">
        <v>188492046.41</v>
      </c>
      <c r="IM26" s="63">
        <v>64567785.409999996</v>
      </c>
      <c r="IN26" s="63">
        <v>70627737.890000001</v>
      </c>
      <c r="IO26" s="63">
        <v>77050585.599999994</v>
      </c>
      <c r="IP26" s="63">
        <v>139294830.25999999</v>
      </c>
      <c r="IQ26" s="63">
        <v>118378860.2</v>
      </c>
      <c r="IR26" s="63">
        <v>279219799.97000003</v>
      </c>
      <c r="IS26" s="63">
        <v>138983178.52000001</v>
      </c>
      <c r="IT26" s="63">
        <v>131423356.78</v>
      </c>
      <c r="IU26" s="63">
        <v>110877040.23</v>
      </c>
      <c r="IV26" s="63">
        <v>44493691.880000003</v>
      </c>
      <c r="IW26" s="63">
        <v>885990594.85000002</v>
      </c>
      <c r="IX26" s="63">
        <v>141051702.77000001</v>
      </c>
      <c r="IY26" s="63">
        <v>238174384.47</v>
      </c>
      <c r="IZ26" s="63">
        <v>230182046.18000001</v>
      </c>
      <c r="JA26" s="63">
        <v>74711526.799999997</v>
      </c>
      <c r="JB26" s="63">
        <v>130553320.88</v>
      </c>
      <c r="JC26" s="63">
        <v>181809340.31</v>
      </c>
      <c r="JD26" s="63">
        <v>93284846.659999996</v>
      </c>
      <c r="JE26" s="63">
        <v>138512773.05000001</v>
      </c>
      <c r="JF26" s="63">
        <v>122987133.09</v>
      </c>
      <c r="JG26" s="63">
        <v>50923272.039999999</v>
      </c>
      <c r="JH26" s="63">
        <v>134399780.43000001</v>
      </c>
      <c r="JI26" s="64">
        <v>93852723.939999998</v>
      </c>
      <c r="JJ26" s="63"/>
      <c r="JK26" s="63">
        <v>75137757.620000005</v>
      </c>
      <c r="JL26" s="63">
        <v>101418299.81999999</v>
      </c>
      <c r="JM26" s="63">
        <v>78313226.140000001</v>
      </c>
      <c r="JN26" s="63">
        <v>170071650.12</v>
      </c>
      <c r="JO26" s="63">
        <v>62752421.039999999</v>
      </c>
      <c r="JP26" s="63">
        <v>66922717.509999998</v>
      </c>
      <c r="JQ26" s="63">
        <v>156353328.25</v>
      </c>
      <c r="JR26" s="63">
        <v>40525122.960000001</v>
      </c>
      <c r="JS26" s="63">
        <v>21313200.07</v>
      </c>
      <c r="JT26" s="63">
        <v>1561413.47</v>
      </c>
      <c r="JU26" s="63">
        <v>28359480.25</v>
      </c>
      <c r="JV26" s="63">
        <v>17089198.84</v>
      </c>
      <c r="JW26" s="63">
        <v>34092689.329999998</v>
      </c>
      <c r="JX26" s="63">
        <v>77830327.730000004</v>
      </c>
      <c r="JY26" s="63">
        <v>25312870.199999999</v>
      </c>
      <c r="JZ26" s="63">
        <v>23957556.079999998</v>
      </c>
      <c r="KA26" s="63">
        <v>16000030.119999999</v>
      </c>
      <c r="KB26" s="63">
        <v>77891931.590000004</v>
      </c>
      <c r="KC26" s="63">
        <v>108821538.89</v>
      </c>
      <c r="KD26" s="63">
        <v>34746002.460000001</v>
      </c>
      <c r="KE26" s="63">
        <v>33038080.48</v>
      </c>
      <c r="KF26" s="63">
        <v>149126103.63</v>
      </c>
      <c r="KG26" s="63">
        <v>37615747.950000003</v>
      </c>
      <c r="KH26" s="63">
        <v>26924545.59</v>
      </c>
      <c r="KI26" s="63">
        <v>27920056.34</v>
      </c>
      <c r="KJ26" s="63">
        <v>32809943.329999998</v>
      </c>
      <c r="KK26" s="63">
        <v>26349795.699999999</v>
      </c>
      <c r="KL26" s="63">
        <v>66085876.759999998</v>
      </c>
      <c r="KM26" s="63">
        <v>210223046.03999999</v>
      </c>
      <c r="KN26" s="63">
        <v>85118187.780000001</v>
      </c>
      <c r="KO26" s="63">
        <v>38162426.07</v>
      </c>
      <c r="KP26" s="63">
        <v>37750483.68</v>
      </c>
      <c r="KQ26" s="63">
        <v>181127521.16</v>
      </c>
      <c r="KR26" s="63">
        <v>121619494.42</v>
      </c>
      <c r="KS26" s="63">
        <v>35494197.859999999</v>
      </c>
      <c r="KT26" s="63">
        <v>54640927.640000001</v>
      </c>
      <c r="KU26" s="63">
        <v>43566529.289999999</v>
      </c>
      <c r="KV26" s="63">
        <v>10554636.810000001</v>
      </c>
      <c r="KW26" s="63">
        <v>2584091.14</v>
      </c>
      <c r="KX26" s="63">
        <v>14645988.52</v>
      </c>
      <c r="KY26" s="63">
        <v>32691262.41</v>
      </c>
      <c r="KZ26" s="63">
        <v>94163756.390000001</v>
      </c>
      <c r="LA26" s="63">
        <v>23365511.690000001</v>
      </c>
      <c r="LB26" s="63">
        <v>79507395.739999995</v>
      </c>
      <c r="LC26" s="63">
        <v>64204776.590000004</v>
      </c>
      <c r="LD26" s="63">
        <v>28753731.239999998</v>
      </c>
      <c r="LE26" s="63">
        <v>21725596.399999999</v>
      </c>
      <c r="LF26" s="63">
        <v>37667628.359999999</v>
      </c>
      <c r="LG26" s="63">
        <v>15966663.060000001</v>
      </c>
      <c r="LH26" s="63">
        <v>41902794.140000001</v>
      </c>
      <c r="LI26" s="63">
        <v>106950794.04000001</v>
      </c>
      <c r="LJ26" s="63">
        <v>61860972.939999998</v>
      </c>
      <c r="LK26" s="63">
        <v>142097352.43000001</v>
      </c>
      <c r="LL26" s="63">
        <v>61414868.439999998</v>
      </c>
      <c r="LM26" s="63">
        <v>86456537.459999993</v>
      </c>
      <c r="LN26" s="63">
        <v>36261680.659999996</v>
      </c>
      <c r="LO26" s="63">
        <v>17160002.82</v>
      </c>
      <c r="LP26" s="63">
        <v>49741316.57</v>
      </c>
      <c r="LQ26" s="63">
        <v>30188652.59</v>
      </c>
      <c r="LR26" s="63">
        <v>112701245.65000001</v>
      </c>
      <c r="LS26" s="63">
        <v>14036298.460000001</v>
      </c>
      <c r="LT26" s="63">
        <v>34651489.939999998</v>
      </c>
      <c r="LU26" s="63">
        <v>45672607.689999998</v>
      </c>
      <c r="LV26" s="63">
        <v>45298581.119999997</v>
      </c>
      <c r="LW26" s="63">
        <v>35209040.380000003</v>
      </c>
      <c r="LX26" s="63">
        <v>15663587.869999999</v>
      </c>
      <c r="LY26" s="63">
        <v>85068671.049999997</v>
      </c>
      <c r="LZ26" s="63">
        <v>28499901.32</v>
      </c>
      <c r="MA26" s="63">
        <v>51706769.740000002</v>
      </c>
      <c r="MB26" s="63">
        <v>33660522.299999997</v>
      </c>
      <c r="MC26" s="63">
        <v>30292728.23</v>
      </c>
      <c r="MD26" s="63">
        <v>81802196.790000007</v>
      </c>
      <c r="ME26" s="63">
        <v>83801938.25</v>
      </c>
      <c r="MF26" s="63">
        <v>222164713.69</v>
      </c>
      <c r="MG26" s="63">
        <v>43105384.600000001</v>
      </c>
      <c r="MH26" s="63">
        <v>91652969.230000004</v>
      </c>
      <c r="MI26" s="63">
        <v>18309762.68</v>
      </c>
      <c r="MJ26" s="63">
        <v>45116566.93</v>
      </c>
      <c r="MK26" s="63">
        <v>29845381.219999999</v>
      </c>
      <c r="ML26" s="63">
        <v>55690059.880000003</v>
      </c>
      <c r="MM26" s="63">
        <v>54046636.719999999</v>
      </c>
      <c r="MN26" s="63">
        <v>89898936.579999998</v>
      </c>
      <c r="MO26" s="63">
        <v>91662511.769999996</v>
      </c>
      <c r="MP26" s="63">
        <v>67050427.740000002</v>
      </c>
      <c r="MQ26" s="63">
        <v>64864344.060000002</v>
      </c>
      <c r="MR26" s="63">
        <v>102388277.59</v>
      </c>
      <c r="MS26" s="63">
        <v>80023940.560000002</v>
      </c>
      <c r="MT26" s="63">
        <v>114100545.06</v>
      </c>
      <c r="MU26" s="63">
        <v>45658420.210000001</v>
      </c>
      <c r="MV26" s="63">
        <v>27313273.239999998</v>
      </c>
      <c r="MW26" s="63">
        <v>55260784.32</v>
      </c>
      <c r="MX26" s="63">
        <v>30897743.280000001</v>
      </c>
      <c r="MY26" s="63">
        <v>51523565.149999999</v>
      </c>
      <c r="MZ26" s="63">
        <v>178137831.80000001</v>
      </c>
      <c r="NA26" s="63">
        <v>56564139.189999998</v>
      </c>
      <c r="NB26" s="63">
        <v>34003050.979999997</v>
      </c>
      <c r="NC26" s="63">
        <v>41862387.560000002</v>
      </c>
      <c r="ND26" s="63">
        <v>57469196.340000004</v>
      </c>
      <c r="NE26" s="63">
        <v>37042168.32</v>
      </c>
      <c r="NF26" s="63">
        <v>45274851.020000003</v>
      </c>
      <c r="NG26" s="63">
        <v>3400871.17</v>
      </c>
      <c r="NH26" s="63">
        <v>61260373.380000003</v>
      </c>
      <c r="NI26" s="63">
        <v>19335640.850000001</v>
      </c>
      <c r="NJ26" s="63">
        <v>22805949.989999998</v>
      </c>
      <c r="NK26" s="63">
        <v>10297268.279999999</v>
      </c>
      <c r="NL26" s="63">
        <v>15334208.199999999</v>
      </c>
      <c r="NM26" s="63">
        <v>15108402.91</v>
      </c>
      <c r="NN26" s="63">
        <v>32859301</v>
      </c>
      <c r="NO26" s="63">
        <v>30447246.219999999</v>
      </c>
      <c r="NP26" s="63">
        <v>20310400.140000001</v>
      </c>
      <c r="NQ26" s="63">
        <v>26095129.75</v>
      </c>
      <c r="NR26" s="63">
        <v>35217289.890000001</v>
      </c>
      <c r="NS26" s="63">
        <v>33183971.199999999</v>
      </c>
      <c r="NT26" s="63">
        <v>49406015.130000003</v>
      </c>
      <c r="NU26" s="63">
        <v>91566321.849999994</v>
      </c>
      <c r="NV26" s="63">
        <v>100586120.48</v>
      </c>
      <c r="NW26" s="63">
        <v>82491149.340000004</v>
      </c>
      <c r="NX26" s="63">
        <v>41887953.280000001</v>
      </c>
      <c r="NY26" s="63">
        <v>42763243.740000002</v>
      </c>
      <c r="NZ26" s="63">
        <v>21036736.239999998</v>
      </c>
      <c r="OA26" s="63">
        <v>78096630.890000001</v>
      </c>
      <c r="OB26" s="63">
        <v>29910572.559999999</v>
      </c>
      <c r="OC26" s="63">
        <v>46917537.780000001</v>
      </c>
      <c r="OD26" s="63">
        <v>86807327.200000003</v>
      </c>
      <c r="OE26" s="63">
        <v>50021777.200000003</v>
      </c>
      <c r="OF26" s="63">
        <v>74805385.859999999</v>
      </c>
      <c r="OG26" s="63">
        <v>97597803.569999993</v>
      </c>
      <c r="OH26" s="63">
        <v>10562538.439999999</v>
      </c>
      <c r="OI26" s="63">
        <v>38877640.200000003</v>
      </c>
      <c r="OJ26" s="63">
        <v>41322579.759999998</v>
      </c>
      <c r="OK26" s="63">
        <v>32160535.969999999</v>
      </c>
      <c r="OL26" s="63">
        <v>101420254.70999999</v>
      </c>
      <c r="OM26" s="63">
        <v>29998253.039999999</v>
      </c>
      <c r="ON26" s="63">
        <v>65327803.369999997</v>
      </c>
      <c r="OO26" s="63">
        <v>27495641.530000001</v>
      </c>
      <c r="OP26" s="63">
        <v>62448444.759999998</v>
      </c>
      <c r="OQ26" s="63">
        <v>26074850.550000001</v>
      </c>
      <c r="OR26" s="63">
        <v>92665352.810000002</v>
      </c>
      <c r="OS26" s="63">
        <v>105906826.22</v>
      </c>
      <c r="OT26" s="63">
        <v>49871938.659999996</v>
      </c>
      <c r="OU26" s="63">
        <v>50057512.079999998</v>
      </c>
      <c r="OV26" s="63">
        <v>28065656.050000001</v>
      </c>
      <c r="OW26" s="63">
        <v>43815825.810000002</v>
      </c>
      <c r="OX26" s="63">
        <v>24246673.07</v>
      </c>
      <c r="OY26" s="63">
        <v>28063348.210000001</v>
      </c>
      <c r="OZ26" s="63">
        <v>14554444.779999999</v>
      </c>
      <c r="PA26" s="63">
        <v>15812622.640000001</v>
      </c>
      <c r="PB26" s="63">
        <v>57987592.979999997</v>
      </c>
      <c r="PC26" s="63">
        <v>7314822.6200000001</v>
      </c>
      <c r="PD26" s="63">
        <v>33795210.950000003</v>
      </c>
      <c r="PE26" s="63">
        <v>196445108.49000001</v>
      </c>
      <c r="PF26" s="63">
        <v>153632146.53</v>
      </c>
      <c r="PG26" s="63">
        <v>50828175.659999996</v>
      </c>
      <c r="PH26" s="63">
        <v>178270399.83000001</v>
      </c>
      <c r="PI26" s="63">
        <v>165866374.78</v>
      </c>
      <c r="PJ26" s="63">
        <v>90558291.989999995</v>
      </c>
      <c r="PK26" s="63">
        <v>462025860.33999997</v>
      </c>
      <c r="PL26" s="63">
        <v>117575828.09999999</v>
      </c>
      <c r="PM26" s="63">
        <v>23788542.91</v>
      </c>
      <c r="PN26" s="63">
        <v>32447188.530000001</v>
      </c>
      <c r="PO26" s="63">
        <v>18586220.48</v>
      </c>
      <c r="PP26" s="63">
        <v>42699845.560000002</v>
      </c>
      <c r="PQ26" s="64">
        <f>VLOOKUP($A$4,'[2]Cash intraday'!$AA:$AF,4,FALSE)</f>
        <v>73892568.890000001</v>
      </c>
      <c r="PR26" s="61"/>
      <c r="PS26" s="61"/>
      <c r="PT26" s="61"/>
      <c r="PU26" s="61"/>
      <c r="PV26" s="61"/>
      <c r="PW26" s="61"/>
      <c r="PX26" s="61"/>
      <c r="PY26" s="61"/>
      <c r="PZ26" s="61"/>
      <c r="QA26" s="61"/>
      <c r="QB26" s="61"/>
      <c r="QC26" s="61"/>
      <c r="QD26" s="61"/>
      <c r="QE26" s="61"/>
      <c r="QF26" s="61"/>
      <c r="QG26" s="61"/>
      <c r="QH26" s="61"/>
      <c r="QI26" s="61"/>
      <c r="QJ26" s="61"/>
      <c r="QK26" s="61"/>
      <c r="QL26" s="61"/>
      <c r="QM26" s="61"/>
      <c r="QN26" s="61"/>
      <c r="QO26" s="61"/>
      <c r="QP26" s="61"/>
      <c r="QQ26" s="61"/>
      <c r="QR26" s="61"/>
      <c r="QS26" s="61"/>
      <c r="QT26" s="61"/>
      <c r="QU26" s="61"/>
      <c r="QV26" s="61"/>
      <c r="QW26" s="61"/>
      <c r="QX26" s="61"/>
      <c r="QY26" s="61"/>
      <c r="QZ26" s="61"/>
      <c r="RA26" s="61"/>
      <c r="RB26" s="61"/>
      <c r="RC26" s="61"/>
      <c r="RD26" s="61"/>
      <c r="RE26" s="61"/>
      <c r="RF26" s="61"/>
      <c r="RG26" s="61"/>
      <c r="RH26" s="61"/>
      <c r="RI26" s="61"/>
      <c r="RJ26" s="61"/>
      <c r="RK26" s="61"/>
      <c r="RL26" s="61"/>
      <c r="RM26" s="61"/>
      <c r="RN26" s="61"/>
      <c r="RO26" s="61"/>
      <c r="RP26" s="61"/>
      <c r="RQ26" s="61"/>
      <c r="RR26" s="61"/>
      <c r="RS26" s="61"/>
      <c r="RT26" s="61"/>
      <c r="RU26" s="61"/>
      <c r="RV26" s="61"/>
      <c r="RW26" s="61"/>
      <c r="RX26" s="61"/>
      <c r="RY26" s="61"/>
      <c r="RZ26" s="61"/>
      <c r="SA26" s="61"/>
    </row>
    <row r="27" spans="1:495" x14ac:dyDescent="0.2">
      <c r="A27" s="62" t="s">
        <v>1071</v>
      </c>
      <c r="B27" s="63">
        <v>0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3">
        <v>0</v>
      </c>
      <c r="AC27" s="63">
        <v>0</v>
      </c>
      <c r="AD27" s="63">
        <v>0</v>
      </c>
      <c r="AE27" s="63">
        <v>0</v>
      </c>
      <c r="AF27" s="63">
        <v>0</v>
      </c>
      <c r="AG27" s="63">
        <v>0</v>
      </c>
      <c r="AH27" s="63">
        <v>0</v>
      </c>
      <c r="AI27" s="63">
        <v>0</v>
      </c>
      <c r="AJ27" s="63">
        <v>0</v>
      </c>
      <c r="AK27" s="63">
        <v>0</v>
      </c>
      <c r="AL27" s="63">
        <v>0</v>
      </c>
      <c r="AM27" s="63">
        <v>0</v>
      </c>
      <c r="AN27" s="63">
        <v>0</v>
      </c>
      <c r="AO27" s="63">
        <v>0</v>
      </c>
      <c r="AP27" s="63">
        <v>0</v>
      </c>
      <c r="AQ27" s="63">
        <v>0</v>
      </c>
      <c r="AR27" s="63">
        <v>0</v>
      </c>
      <c r="AS27" s="63">
        <v>0</v>
      </c>
      <c r="AT27" s="63">
        <v>0</v>
      </c>
      <c r="AU27" s="63">
        <v>0</v>
      </c>
      <c r="AV27" s="63">
        <v>0</v>
      </c>
      <c r="AW27" s="63">
        <v>0</v>
      </c>
      <c r="AX27" s="63">
        <v>0</v>
      </c>
      <c r="AY27" s="63">
        <v>0</v>
      </c>
      <c r="AZ27" s="63">
        <v>0</v>
      </c>
      <c r="BA27" s="63">
        <v>0</v>
      </c>
      <c r="BB27" s="63">
        <v>0</v>
      </c>
      <c r="BC27" s="63">
        <v>0</v>
      </c>
      <c r="BD27" s="63">
        <v>0</v>
      </c>
      <c r="BE27" s="63">
        <v>0</v>
      </c>
      <c r="BF27" s="63">
        <v>0</v>
      </c>
      <c r="BG27" s="63">
        <v>0</v>
      </c>
      <c r="BH27" s="63">
        <v>0</v>
      </c>
      <c r="BI27" s="63">
        <v>0</v>
      </c>
      <c r="BJ27" s="63">
        <v>0</v>
      </c>
      <c r="BK27" s="63">
        <v>0</v>
      </c>
      <c r="BL27" s="63">
        <v>0</v>
      </c>
      <c r="BM27" s="63">
        <v>0</v>
      </c>
      <c r="BN27" s="63">
        <v>0</v>
      </c>
      <c r="BO27" s="63">
        <v>0</v>
      </c>
      <c r="BP27" s="63">
        <v>0</v>
      </c>
      <c r="BQ27" s="63">
        <v>0</v>
      </c>
      <c r="BR27" s="63">
        <v>0</v>
      </c>
      <c r="BS27" s="63">
        <v>0</v>
      </c>
      <c r="BT27" s="63">
        <v>0</v>
      </c>
      <c r="BU27" s="63">
        <v>0</v>
      </c>
      <c r="BV27" s="63">
        <v>0</v>
      </c>
      <c r="BW27" s="63">
        <v>0</v>
      </c>
      <c r="BX27" s="63">
        <v>0</v>
      </c>
      <c r="BY27" s="63">
        <v>0</v>
      </c>
      <c r="BZ27" s="63">
        <v>0</v>
      </c>
      <c r="CA27" s="63">
        <v>0</v>
      </c>
      <c r="CB27" s="63">
        <v>0</v>
      </c>
      <c r="CC27" s="63">
        <v>0</v>
      </c>
      <c r="CD27" s="63">
        <v>0</v>
      </c>
      <c r="CE27" s="63">
        <v>0</v>
      </c>
      <c r="CF27" s="63">
        <v>0</v>
      </c>
      <c r="CG27" s="63">
        <v>0</v>
      </c>
      <c r="CH27" s="63">
        <v>0</v>
      </c>
      <c r="CI27" s="63">
        <v>0</v>
      </c>
      <c r="CJ27" s="63">
        <v>0</v>
      </c>
      <c r="CK27" s="63">
        <v>0</v>
      </c>
      <c r="CL27" s="63">
        <v>0</v>
      </c>
      <c r="CM27" s="63">
        <v>0</v>
      </c>
      <c r="CN27" s="63">
        <v>0</v>
      </c>
      <c r="CO27" s="63">
        <v>0</v>
      </c>
      <c r="CP27" s="63">
        <v>0</v>
      </c>
      <c r="CQ27" s="63">
        <v>0</v>
      </c>
      <c r="CR27" s="63">
        <v>0</v>
      </c>
      <c r="CS27" s="63">
        <v>0</v>
      </c>
      <c r="CT27" s="63">
        <v>0</v>
      </c>
      <c r="CU27" s="63">
        <v>0</v>
      </c>
      <c r="CV27" s="63">
        <v>0</v>
      </c>
      <c r="CW27" s="63">
        <v>0</v>
      </c>
      <c r="CX27" s="63">
        <v>0</v>
      </c>
      <c r="CY27" s="63">
        <v>0</v>
      </c>
      <c r="CZ27" s="63">
        <v>0</v>
      </c>
      <c r="DA27" s="63">
        <v>0</v>
      </c>
      <c r="DB27" s="63">
        <v>0</v>
      </c>
      <c r="DC27" s="63">
        <v>0</v>
      </c>
      <c r="DD27" s="63">
        <v>0</v>
      </c>
      <c r="DE27" s="63">
        <v>0</v>
      </c>
      <c r="DF27" s="63">
        <v>0</v>
      </c>
      <c r="DG27" s="63">
        <v>0</v>
      </c>
      <c r="DH27" s="63">
        <v>0</v>
      </c>
      <c r="DI27" s="63">
        <v>0</v>
      </c>
      <c r="DJ27" s="63">
        <v>0</v>
      </c>
      <c r="DK27" s="61"/>
      <c r="DL27" s="61">
        <v>0</v>
      </c>
      <c r="DM27" s="61">
        <v>0</v>
      </c>
      <c r="DN27" s="61">
        <v>0</v>
      </c>
      <c r="DO27" s="63">
        <v>0</v>
      </c>
      <c r="DP27" s="63">
        <v>0</v>
      </c>
      <c r="DQ27" s="63">
        <v>0</v>
      </c>
      <c r="DR27" s="63">
        <v>0</v>
      </c>
      <c r="DS27" s="63">
        <v>0</v>
      </c>
      <c r="DT27" s="63">
        <v>0</v>
      </c>
      <c r="DU27" s="63">
        <v>0</v>
      </c>
      <c r="DV27" s="63">
        <v>0</v>
      </c>
      <c r="DW27" s="63">
        <v>0</v>
      </c>
      <c r="DX27" s="63">
        <v>0</v>
      </c>
      <c r="DY27" s="63">
        <v>0</v>
      </c>
      <c r="DZ27" s="63">
        <v>0</v>
      </c>
      <c r="EA27" s="63">
        <v>0</v>
      </c>
      <c r="EB27" s="63">
        <v>0</v>
      </c>
      <c r="EC27" s="63">
        <v>0</v>
      </c>
      <c r="ED27" s="63">
        <v>0</v>
      </c>
      <c r="EE27" s="63">
        <v>0</v>
      </c>
      <c r="EF27" s="63">
        <v>0</v>
      </c>
      <c r="EG27" s="63">
        <v>0</v>
      </c>
      <c r="EH27" s="63">
        <v>0</v>
      </c>
      <c r="EI27" s="63">
        <v>0</v>
      </c>
      <c r="EJ27" s="63">
        <v>0</v>
      </c>
      <c r="EK27" s="63">
        <v>0</v>
      </c>
      <c r="EL27" s="63">
        <v>0</v>
      </c>
      <c r="EM27" s="63">
        <v>0</v>
      </c>
      <c r="EN27" s="63">
        <v>0</v>
      </c>
      <c r="EO27" s="63">
        <v>0</v>
      </c>
      <c r="EP27" s="63">
        <v>0</v>
      </c>
      <c r="EQ27" s="63">
        <v>0</v>
      </c>
      <c r="ER27" s="63">
        <v>0</v>
      </c>
      <c r="ES27" s="63">
        <v>0</v>
      </c>
      <c r="ET27" s="63">
        <v>0</v>
      </c>
      <c r="EU27" s="63">
        <v>0</v>
      </c>
      <c r="EV27" s="63">
        <v>0</v>
      </c>
      <c r="EW27" s="63">
        <v>0</v>
      </c>
      <c r="EX27" s="63">
        <v>0</v>
      </c>
      <c r="EY27" s="63">
        <v>0</v>
      </c>
      <c r="EZ27" s="63">
        <v>0</v>
      </c>
      <c r="FA27" s="63">
        <v>0</v>
      </c>
      <c r="FB27" s="63">
        <v>0</v>
      </c>
      <c r="FC27" s="63">
        <v>0</v>
      </c>
      <c r="FD27" s="63">
        <v>0</v>
      </c>
      <c r="FE27" s="63">
        <v>0</v>
      </c>
      <c r="FF27" s="63">
        <v>0</v>
      </c>
      <c r="FG27" s="63">
        <v>0</v>
      </c>
      <c r="FH27" s="63">
        <v>0</v>
      </c>
      <c r="FI27" s="63">
        <v>0</v>
      </c>
      <c r="FJ27" s="63">
        <v>0</v>
      </c>
      <c r="FK27" s="63">
        <v>0</v>
      </c>
      <c r="FL27" s="63">
        <v>0</v>
      </c>
      <c r="FM27" s="63">
        <v>0</v>
      </c>
      <c r="FN27" s="63">
        <v>0</v>
      </c>
      <c r="FO27" s="64">
        <v>0</v>
      </c>
      <c r="FP27" s="61"/>
      <c r="FQ27" s="61"/>
      <c r="FR27" s="61"/>
      <c r="FS27" s="63"/>
      <c r="FT27" s="63">
        <v>0</v>
      </c>
      <c r="FU27" s="63">
        <v>0</v>
      </c>
      <c r="FV27" s="63">
        <v>0</v>
      </c>
      <c r="FW27" s="63">
        <v>0</v>
      </c>
      <c r="FX27" s="63">
        <v>0</v>
      </c>
      <c r="FY27" s="63">
        <v>0</v>
      </c>
      <c r="FZ27" s="63">
        <v>0</v>
      </c>
      <c r="GA27" s="63">
        <v>0</v>
      </c>
      <c r="GB27" s="63">
        <v>0</v>
      </c>
      <c r="GC27" s="63">
        <v>0</v>
      </c>
      <c r="GD27" s="63">
        <v>0</v>
      </c>
      <c r="GE27" s="63">
        <v>0</v>
      </c>
      <c r="GF27" s="63">
        <v>0</v>
      </c>
      <c r="GG27" s="63">
        <v>0</v>
      </c>
      <c r="GH27" s="63">
        <v>0</v>
      </c>
      <c r="GI27" s="63">
        <v>0</v>
      </c>
      <c r="GJ27" s="63">
        <v>0</v>
      </c>
      <c r="GK27" s="63">
        <v>0</v>
      </c>
      <c r="GL27" s="63">
        <v>0</v>
      </c>
      <c r="GM27" s="63">
        <v>0</v>
      </c>
      <c r="GN27" s="63">
        <v>0</v>
      </c>
      <c r="GO27" s="63">
        <v>0</v>
      </c>
      <c r="GP27" s="63">
        <v>0</v>
      </c>
      <c r="GQ27" s="63">
        <v>0</v>
      </c>
      <c r="GR27" s="63">
        <v>0</v>
      </c>
      <c r="GS27" s="63">
        <v>0</v>
      </c>
      <c r="GT27" s="63">
        <v>0</v>
      </c>
      <c r="GU27" s="63">
        <v>0</v>
      </c>
      <c r="GV27" s="63">
        <v>0</v>
      </c>
      <c r="GW27" s="63">
        <v>0</v>
      </c>
      <c r="GX27" s="63">
        <v>0</v>
      </c>
      <c r="GY27" s="63">
        <v>0</v>
      </c>
      <c r="GZ27" s="63">
        <v>0</v>
      </c>
      <c r="HA27" s="63">
        <v>0</v>
      </c>
      <c r="HB27" s="63">
        <v>0</v>
      </c>
      <c r="HC27" s="63">
        <v>0</v>
      </c>
      <c r="HD27" s="63">
        <v>0</v>
      </c>
      <c r="HE27" s="63">
        <v>0</v>
      </c>
      <c r="HF27" s="63">
        <v>0</v>
      </c>
      <c r="HG27" s="63">
        <v>0</v>
      </c>
      <c r="HH27" s="63">
        <v>0</v>
      </c>
      <c r="HI27" s="63">
        <v>0</v>
      </c>
      <c r="HJ27" s="63">
        <v>0</v>
      </c>
      <c r="HK27" s="63">
        <v>0</v>
      </c>
      <c r="HL27" s="63">
        <v>0</v>
      </c>
      <c r="HM27" s="63">
        <v>0</v>
      </c>
      <c r="HN27" s="63">
        <v>0</v>
      </c>
      <c r="HO27" s="63">
        <v>0</v>
      </c>
      <c r="HP27" s="63">
        <v>0</v>
      </c>
      <c r="HQ27" s="63">
        <v>0</v>
      </c>
      <c r="HR27" s="63">
        <v>0</v>
      </c>
      <c r="HS27" s="63">
        <v>0</v>
      </c>
      <c r="HT27" s="63">
        <v>0</v>
      </c>
      <c r="HU27" s="63">
        <v>0</v>
      </c>
      <c r="HV27" s="63">
        <v>0</v>
      </c>
      <c r="HW27" s="63">
        <v>0</v>
      </c>
      <c r="HX27" s="63">
        <v>0</v>
      </c>
      <c r="HY27" s="63">
        <v>0</v>
      </c>
      <c r="HZ27" s="63">
        <v>0</v>
      </c>
      <c r="IA27" s="63">
        <v>0</v>
      </c>
      <c r="IB27" s="64">
        <v>0</v>
      </c>
      <c r="IC27" s="61"/>
      <c r="ID27" s="61"/>
      <c r="IE27" s="63"/>
      <c r="IF27" s="63">
        <v>0</v>
      </c>
      <c r="IG27" s="63">
        <v>0</v>
      </c>
      <c r="IH27" s="63">
        <v>0</v>
      </c>
      <c r="II27" s="63">
        <v>0</v>
      </c>
      <c r="IJ27" s="63">
        <v>0</v>
      </c>
      <c r="IK27" s="63">
        <v>0</v>
      </c>
      <c r="IL27" s="63">
        <v>0</v>
      </c>
      <c r="IM27" s="63">
        <v>0</v>
      </c>
      <c r="IN27" s="63">
        <v>0</v>
      </c>
      <c r="IO27" s="63">
        <v>0</v>
      </c>
      <c r="IP27" s="63">
        <v>0</v>
      </c>
      <c r="IQ27" s="63">
        <v>0</v>
      </c>
      <c r="IR27" s="63">
        <v>0</v>
      </c>
      <c r="IS27" s="63">
        <v>0</v>
      </c>
      <c r="IT27" s="63">
        <v>0</v>
      </c>
      <c r="IU27" s="63">
        <v>0</v>
      </c>
      <c r="IV27" s="63">
        <v>0</v>
      </c>
      <c r="IW27" s="63">
        <v>0</v>
      </c>
      <c r="IX27" s="63">
        <v>0</v>
      </c>
      <c r="IY27" s="63">
        <v>0</v>
      </c>
      <c r="IZ27" s="63">
        <v>0</v>
      </c>
      <c r="JA27" s="63">
        <v>0</v>
      </c>
      <c r="JB27" s="63">
        <v>0</v>
      </c>
      <c r="JC27" s="63">
        <v>0</v>
      </c>
      <c r="JD27" s="63">
        <v>0</v>
      </c>
      <c r="JE27" s="63">
        <v>0</v>
      </c>
      <c r="JF27" s="63">
        <v>0</v>
      </c>
      <c r="JG27" s="63">
        <v>0</v>
      </c>
      <c r="JH27" s="63"/>
      <c r="JI27" s="64">
        <v>0</v>
      </c>
      <c r="JJ27" s="63"/>
      <c r="JK27" s="63">
        <v>0</v>
      </c>
      <c r="JL27" s="63">
        <v>0</v>
      </c>
      <c r="JM27" s="63">
        <v>0</v>
      </c>
      <c r="JN27" s="63">
        <v>0</v>
      </c>
      <c r="JO27" s="63">
        <v>0</v>
      </c>
      <c r="JP27" s="63">
        <v>0</v>
      </c>
      <c r="JQ27" s="63">
        <v>0</v>
      </c>
      <c r="JR27" s="63">
        <v>0</v>
      </c>
      <c r="JS27" s="63">
        <v>0</v>
      </c>
      <c r="JT27" s="63">
        <v>0</v>
      </c>
      <c r="JU27" s="63">
        <v>0</v>
      </c>
      <c r="JV27" s="63">
        <v>0</v>
      </c>
      <c r="JW27" s="63">
        <v>0</v>
      </c>
      <c r="JX27" s="63">
        <v>0</v>
      </c>
      <c r="JY27" s="63">
        <v>0</v>
      </c>
      <c r="JZ27" s="63">
        <v>0</v>
      </c>
      <c r="KA27" s="63">
        <v>0</v>
      </c>
      <c r="KB27" s="63">
        <v>0</v>
      </c>
      <c r="KC27" s="63">
        <v>0</v>
      </c>
      <c r="KD27" s="63">
        <v>0</v>
      </c>
      <c r="KE27" s="63">
        <v>0</v>
      </c>
      <c r="KF27" s="63">
        <v>0</v>
      </c>
      <c r="KG27" s="63">
        <v>0</v>
      </c>
      <c r="KH27" s="63">
        <v>0</v>
      </c>
      <c r="KI27" s="63">
        <v>0</v>
      </c>
      <c r="KJ27" s="63">
        <v>0</v>
      </c>
      <c r="KK27" s="63">
        <v>0</v>
      </c>
      <c r="KL27" s="63">
        <v>0</v>
      </c>
      <c r="KM27" s="63">
        <v>0</v>
      </c>
      <c r="KN27" s="63">
        <v>0</v>
      </c>
      <c r="KO27" s="63">
        <v>0</v>
      </c>
      <c r="KP27" s="63">
        <v>0</v>
      </c>
      <c r="KQ27" s="63">
        <v>0</v>
      </c>
      <c r="KR27" s="63">
        <v>0</v>
      </c>
      <c r="KS27" s="63">
        <v>0</v>
      </c>
      <c r="KT27" s="63">
        <v>0</v>
      </c>
      <c r="KU27" s="63">
        <v>0</v>
      </c>
      <c r="KV27" s="63">
        <v>0</v>
      </c>
      <c r="KW27" s="63">
        <v>0</v>
      </c>
      <c r="KX27" s="63">
        <v>0</v>
      </c>
      <c r="KY27" s="63">
        <v>0</v>
      </c>
      <c r="KZ27" s="63">
        <v>0</v>
      </c>
      <c r="LA27" s="63">
        <v>0</v>
      </c>
      <c r="LB27" s="63">
        <v>0</v>
      </c>
      <c r="LC27" s="63">
        <v>0</v>
      </c>
      <c r="LD27" s="63">
        <v>0</v>
      </c>
      <c r="LE27" s="63">
        <v>0</v>
      </c>
      <c r="LF27" s="63">
        <v>0</v>
      </c>
      <c r="LG27" s="63">
        <v>0</v>
      </c>
      <c r="LH27" s="63">
        <v>0</v>
      </c>
      <c r="LI27" s="63">
        <v>0</v>
      </c>
      <c r="LJ27" s="63">
        <v>0</v>
      </c>
      <c r="LK27" s="63">
        <v>0</v>
      </c>
      <c r="LL27" s="63">
        <v>0</v>
      </c>
      <c r="LM27" s="63">
        <v>0</v>
      </c>
      <c r="LN27" s="63">
        <v>0</v>
      </c>
      <c r="LO27" s="63">
        <v>0</v>
      </c>
      <c r="LP27" s="63">
        <v>0</v>
      </c>
      <c r="LQ27" s="63">
        <v>0</v>
      </c>
      <c r="LR27" s="63">
        <v>0</v>
      </c>
      <c r="LS27" s="63">
        <v>0</v>
      </c>
      <c r="LT27" s="63">
        <v>0</v>
      </c>
      <c r="LU27" s="63">
        <v>0</v>
      </c>
      <c r="LV27" s="63">
        <v>0</v>
      </c>
      <c r="LW27" s="63">
        <v>0</v>
      </c>
      <c r="LX27" s="63">
        <v>0</v>
      </c>
      <c r="LY27" s="63">
        <v>0</v>
      </c>
      <c r="LZ27" s="63">
        <v>0</v>
      </c>
      <c r="MA27" s="63">
        <v>0</v>
      </c>
      <c r="MB27" s="63">
        <v>0</v>
      </c>
      <c r="MC27" s="63">
        <v>0</v>
      </c>
      <c r="MD27" s="63">
        <v>0</v>
      </c>
      <c r="ME27" s="63">
        <v>0</v>
      </c>
      <c r="MF27" s="63">
        <v>0</v>
      </c>
      <c r="MG27" s="63">
        <v>0</v>
      </c>
      <c r="MH27" s="63">
        <v>0</v>
      </c>
      <c r="MI27" s="63">
        <v>0</v>
      </c>
      <c r="MJ27" s="63">
        <v>0</v>
      </c>
      <c r="MK27" s="63">
        <v>0</v>
      </c>
      <c r="ML27" s="63">
        <v>0</v>
      </c>
      <c r="MM27" s="63">
        <v>0</v>
      </c>
      <c r="MN27" s="63">
        <v>0</v>
      </c>
      <c r="MO27" s="63">
        <v>0</v>
      </c>
      <c r="MP27" s="63">
        <v>0</v>
      </c>
      <c r="MQ27" s="63">
        <v>0</v>
      </c>
      <c r="MR27" s="63">
        <v>0</v>
      </c>
      <c r="MS27" s="63">
        <v>0</v>
      </c>
      <c r="MT27" s="63">
        <v>0</v>
      </c>
      <c r="MU27" s="63">
        <v>0</v>
      </c>
      <c r="MV27" s="63">
        <v>0</v>
      </c>
      <c r="MW27" s="63">
        <v>0</v>
      </c>
      <c r="MX27" s="63">
        <v>0</v>
      </c>
      <c r="MY27" s="63">
        <v>0</v>
      </c>
      <c r="MZ27" s="63">
        <v>0</v>
      </c>
      <c r="NA27" s="63">
        <v>0</v>
      </c>
      <c r="NB27" s="63">
        <v>0</v>
      </c>
      <c r="NC27" s="63">
        <v>0</v>
      </c>
      <c r="ND27" s="63">
        <v>0</v>
      </c>
      <c r="NE27" s="63">
        <v>0</v>
      </c>
      <c r="NF27" s="63">
        <v>0</v>
      </c>
      <c r="NG27" s="63">
        <v>0</v>
      </c>
      <c r="NH27" s="63">
        <v>0</v>
      </c>
      <c r="NI27" s="63">
        <v>0</v>
      </c>
      <c r="NJ27" s="63">
        <v>0</v>
      </c>
      <c r="NK27" s="63">
        <v>0</v>
      </c>
      <c r="NL27" s="63">
        <v>0</v>
      </c>
      <c r="NM27" s="63">
        <v>0</v>
      </c>
      <c r="NN27" s="63">
        <v>0</v>
      </c>
      <c r="NO27" s="63">
        <v>0</v>
      </c>
      <c r="NP27" s="63">
        <v>0</v>
      </c>
      <c r="NQ27" s="63">
        <v>0</v>
      </c>
      <c r="NR27" s="63">
        <v>0</v>
      </c>
      <c r="NS27" s="63">
        <v>0</v>
      </c>
      <c r="NT27" s="63">
        <v>0</v>
      </c>
      <c r="NU27" s="63">
        <v>0</v>
      </c>
      <c r="NV27" s="63">
        <v>0</v>
      </c>
      <c r="NW27" s="63">
        <v>0</v>
      </c>
      <c r="NX27" s="63">
        <v>0</v>
      </c>
      <c r="NY27" s="63">
        <v>0</v>
      </c>
      <c r="NZ27" s="63">
        <v>0</v>
      </c>
      <c r="OA27" s="63">
        <v>0</v>
      </c>
      <c r="OB27" s="63">
        <v>0</v>
      </c>
      <c r="OC27" s="63">
        <v>0</v>
      </c>
      <c r="OD27" s="63">
        <v>0</v>
      </c>
      <c r="OE27" s="63">
        <v>0</v>
      </c>
      <c r="OF27" s="63">
        <v>0</v>
      </c>
      <c r="OG27" s="63">
        <v>0</v>
      </c>
      <c r="OH27" s="63">
        <v>0</v>
      </c>
      <c r="OI27" s="63">
        <v>0</v>
      </c>
      <c r="OJ27" s="63">
        <v>0</v>
      </c>
      <c r="OK27" s="63">
        <v>0</v>
      </c>
      <c r="OL27" s="63">
        <v>0</v>
      </c>
      <c r="OM27" s="63">
        <v>0</v>
      </c>
      <c r="ON27" s="63">
        <v>0</v>
      </c>
      <c r="OO27" s="63">
        <v>0</v>
      </c>
      <c r="OP27" s="63">
        <v>0</v>
      </c>
      <c r="OQ27" s="63">
        <v>0</v>
      </c>
      <c r="OR27" s="63">
        <v>0</v>
      </c>
      <c r="OS27" s="63">
        <v>0</v>
      </c>
      <c r="OT27" s="63">
        <v>0</v>
      </c>
      <c r="OU27" s="63">
        <v>0</v>
      </c>
      <c r="OV27" s="63">
        <v>0</v>
      </c>
      <c r="OW27" s="63">
        <v>0</v>
      </c>
      <c r="OX27" s="63">
        <v>0</v>
      </c>
      <c r="OY27" s="63">
        <v>0</v>
      </c>
      <c r="OZ27" s="63">
        <v>0</v>
      </c>
      <c r="PA27" s="63">
        <v>0</v>
      </c>
      <c r="PB27" s="63">
        <v>0</v>
      </c>
      <c r="PC27" s="63">
        <v>0</v>
      </c>
      <c r="PD27" s="63">
        <v>0</v>
      </c>
      <c r="PE27" s="63">
        <v>0</v>
      </c>
      <c r="PF27" s="63">
        <v>0</v>
      </c>
      <c r="PG27" s="63">
        <v>0</v>
      </c>
      <c r="PH27" s="63">
        <v>0</v>
      </c>
      <c r="PI27" s="63">
        <v>0</v>
      </c>
      <c r="PJ27" s="63">
        <v>0</v>
      </c>
      <c r="PK27" s="63">
        <v>0</v>
      </c>
      <c r="PL27" s="63">
        <v>0</v>
      </c>
      <c r="PM27" s="63">
        <v>0</v>
      </c>
      <c r="PN27" s="63">
        <v>0</v>
      </c>
      <c r="PO27" s="63">
        <v>0</v>
      </c>
      <c r="PP27" s="63">
        <v>0</v>
      </c>
      <c r="PQ27" s="64">
        <v>0</v>
      </c>
      <c r="PR27" s="61"/>
      <c r="PS27" s="61"/>
      <c r="PT27" s="61"/>
      <c r="PU27" s="61"/>
      <c r="PV27" s="61"/>
      <c r="PW27" s="61"/>
      <c r="PX27" s="61"/>
      <c r="PY27" s="61"/>
      <c r="PZ27" s="61"/>
      <c r="QA27" s="61"/>
      <c r="QB27" s="61"/>
      <c r="QC27" s="61"/>
      <c r="QD27" s="61"/>
      <c r="QE27" s="61"/>
      <c r="QF27" s="61"/>
      <c r="QG27" s="61"/>
      <c r="QH27" s="61"/>
      <c r="QI27" s="61"/>
      <c r="QJ27" s="61"/>
      <c r="QK27" s="61"/>
      <c r="QL27" s="61"/>
      <c r="QM27" s="61"/>
      <c r="QN27" s="61"/>
      <c r="QO27" s="61"/>
      <c r="QP27" s="61"/>
      <c r="QQ27" s="61"/>
      <c r="QR27" s="61"/>
      <c r="QS27" s="61"/>
      <c r="QT27" s="61"/>
      <c r="QU27" s="61"/>
      <c r="QV27" s="61"/>
      <c r="QW27" s="61"/>
      <c r="QX27" s="61"/>
      <c r="QY27" s="61"/>
      <c r="QZ27" s="61"/>
      <c r="RA27" s="61"/>
      <c r="RB27" s="61"/>
      <c r="RC27" s="61"/>
      <c r="RD27" s="61"/>
      <c r="RE27" s="61"/>
      <c r="RF27" s="61"/>
      <c r="RG27" s="61"/>
      <c r="RH27" s="61"/>
      <c r="RI27" s="61"/>
      <c r="RJ27" s="61"/>
      <c r="RK27" s="61"/>
      <c r="RL27" s="61"/>
      <c r="RM27" s="61"/>
      <c r="RN27" s="61"/>
      <c r="RO27" s="61"/>
      <c r="RP27" s="61"/>
      <c r="RQ27" s="61"/>
      <c r="RR27" s="61"/>
      <c r="RS27" s="61"/>
      <c r="RT27" s="61"/>
      <c r="RU27" s="61"/>
      <c r="RV27" s="61"/>
      <c r="RW27" s="61"/>
      <c r="RX27" s="61"/>
      <c r="RY27" s="61"/>
      <c r="RZ27" s="61"/>
      <c r="SA27" s="61"/>
    </row>
    <row r="28" spans="1:495" x14ac:dyDescent="0.2">
      <c r="A28" s="66" t="s">
        <v>1072</v>
      </c>
      <c r="B28" s="61">
        <v>755466081.79999995</v>
      </c>
      <c r="C28" s="61">
        <v>5275000000</v>
      </c>
      <c r="D28" s="61">
        <v>5738000000</v>
      </c>
      <c r="E28" s="61">
        <v>2643000000</v>
      </c>
      <c r="F28" s="61">
        <v>0</v>
      </c>
      <c r="G28" s="61">
        <v>6573000000</v>
      </c>
      <c r="H28" s="61">
        <v>349277540.69999999</v>
      </c>
      <c r="I28" s="61">
        <v>10413000000</v>
      </c>
      <c r="J28" s="61">
        <v>0</v>
      </c>
      <c r="K28" s="61">
        <v>118630118.25</v>
      </c>
      <c r="L28" s="61">
        <v>12231987681.299999</v>
      </c>
      <c r="M28" s="61">
        <v>3332154706.5500002</v>
      </c>
      <c r="N28" s="61">
        <v>5140000000</v>
      </c>
      <c r="O28" s="61">
        <v>3461969368.9499998</v>
      </c>
      <c r="P28" s="61">
        <v>0</v>
      </c>
      <c r="Q28" s="61">
        <v>3511000000</v>
      </c>
      <c r="R28" s="61">
        <v>4011386377.6100001</v>
      </c>
      <c r="S28" s="61">
        <v>5493157652.6499996</v>
      </c>
      <c r="T28" s="61">
        <v>0</v>
      </c>
      <c r="U28" s="61">
        <v>0</v>
      </c>
      <c r="V28" s="61">
        <v>5705000000</v>
      </c>
      <c r="W28" s="61">
        <v>765000000</v>
      </c>
      <c r="X28" s="61">
        <v>5101094460</v>
      </c>
      <c r="Y28" s="61">
        <v>1861972629.9300001</v>
      </c>
      <c r="Z28" s="61">
        <v>0</v>
      </c>
      <c r="AA28" s="61">
        <v>2977000000</v>
      </c>
      <c r="AB28" s="61">
        <v>3735000000</v>
      </c>
      <c r="AC28" s="61">
        <v>1152000000</v>
      </c>
      <c r="AD28" s="61">
        <v>0</v>
      </c>
      <c r="AE28" s="61">
        <v>4500000000</v>
      </c>
      <c r="AF28" s="61">
        <v>3000000000</v>
      </c>
      <c r="AG28" s="61">
        <v>4304000000</v>
      </c>
      <c r="AH28" s="61">
        <v>0</v>
      </c>
      <c r="AI28" s="61">
        <v>629810540.10000002</v>
      </c>
      <c r="AJ28" s="61">
        <v>3580890805.6300001</v>
      </c>
      <c r="AK28" s="61">
        <v>3817613712</v>
      </c>
      <c r="AL28" s="61">
        <v>3689576860</v>
      </c>
      <c r="AM28" s="61">
        <v>0</v>
      </c>
      <c r="AN28" s="61">
        <v>0</v>
      </c>
      <c r="AO28" s="61">
        <v>5434718058.8000002</v>
      </c>
      <c r="AP28" s="61">
        <v>6498568355</v>
      </c>
      <c r="AQ28" s="61">
        <v>4988505528</v>
      </c>
      <c r="AR28" s="61">
        <v>362822315.13</v>
      </c>
      <c r="AS28" s="61">
        <v>1922713185.46</v>
      </c>
      <c r="AT28" s="61">
        <v>6696126857</v>
      </c>
      <c r="AU28" s="61">
        <v>1865000000</v>
      </c>
      <c r="AV28" s="61">
        <v>3406000000</v>
      </c>
      <c r="AW28" s="61">
        <v>0</v>
      </c>
      <c r="AX28" s="61">
        <v>0</v>
      </c>
      <c r="AY28" s="61">
        <v>7791884424</v>
      </c>
      <c r="AZ28" s="61">
        <v>4000000000</v>
      </c>
      <c r="BA28" s="61">
        <v>5052586064.2399998</v>
      </c>
      <c r="BB28" s="61">
        <v>3888641106</v>
      </c>
      <c r="BC28" s="61">
        <v>349958868</v>
      </c>
      <c r="BD28" s="61">
        <v>4116000000</v>
      </c>
      <c r="BE28" s="61">
        <v>3281817384.8400002</v>
      </c>
      <c r="BF28" s="61">
        <v>2841000000</v>
      </c>
      <c r="BG28" s="61">
        <v>0</v>
      </c>
      <c r="BH28" s="61">
        <v>0</v>
      </c>
      <c r="BI28" s="61">
        <v>7254257341</v>
      </c>
      <c r="BJ28" s="61">
        <v>3550000000</v>
      </c>
      <c r="BK28" s="61">
        <v>3069000000</v>
      </c>
      <c r="BL28" s="61">
        <v>1772508253.47</v>
      </c>
      <c r="BM28" s="61">
        <v>2273909642</v>
      </c>
      <c r="BN28" s="61">
        <v>10200000000</v>
      </c>
      <c r="BO28" s="61">
        <v>7280000000</v>
      </c>
      <c r="BP28" s="61">
        <v>4603189202</v>
      </c>
      <c r="BQ28" s="61">
        <v>2018547621.5999999</v>
      </c>
      <c r="BR28" s="61">
        <v>4795795117</v>
      </c>
      <c r="BS28" s="61">
        <v>7707613990.1499996</v>
      </c>
      <c r="BT28" s="61">
        <v>2738000000</v>
      </c>
      <c r="BU28" s="61">
        <v>2177554627.25</v>
      </c>
      <c r="BV28" s="61">
        <v>10659200000</v>
      </c>
      <c r="BW28" s="61">
        <v>3004000000</v>
      </c>
      <c r="BX28" s="61">
        <v>1004447947.7</v>
      </c>
      <c r="BY28" s="61">
        <v>2011763651.7</v>
      </c>
      <c r="BZ28" s="61">
        <v>4694696821</v>
      </c>
      <c r="CA28" s="61">
        <v>3675522301.5500002</v>
      </c>
      <c r="CB28" s="61">
        <v>5357972993.8299999</v>
      </c>
      <c r="CC28" s="61">
        <v>9295513.9600000009</v>
      </c>
      <c r="CD28" s="61">
        <v>2407122133.1500001</v>
      </c>
      <c r="CE28" s="61">
        <v>6123179882.8000002</v>
      </c>
      <c r="CF28" s="61">
        <v>5140612599.3999996</v>
      </c>
      <c r="CG28" s="61">
        <v>1509118097.2</v>
      </c>
      <c r="CH28" s="61">
        <v>0</v>
      </c>
      <c r="CI28" s="61">
        <v>3798963871.6100001</v>
      </c>
      <c r="CJ28" s="61">
        <v>9188700000</v>
      </c>
      <c r="CK28" s="61">
        <v>84960662</v>
      </c>
      <c r="CL28" s="61">
        <v>469811700.19999999</v>
      </c>
      <c r="CM28" s="61">
        <v>5004865105.1599998</v>
      </c>
      <c r="CN28" s="61">
        <v>10206997314.799999</v>
      </c>
      <c r="CO28" s="61">
        <v>1089313783.5</v>
      </c>
      <c r="CP28" s="61">
        <v>0</v>
      </c>
      <c r="CQ28" s="61">
        <v>0</v>
      </c>
      <c r="CR28" s="61">
        <v>4279000000</v>
      </c>
      <c r="CS28" s="61">
        <v>7580000000</v>
      </c>
      <c r="CT28" s="61">
        <v>402971288.25</v>
      </c>
      <c r="CU28" s="61">
        <v>0</v>
      </c>
      <c r="CV28" s="61">
        <v>583501714.98000002</v>
      </c>
      <c r="CW28" s="61">
        <v>5208717340</v>
      </c>
      <c r="CX28" s="61">
        <v>4177000000</v>
      </c>
      <c r="CY28" s="61">
        <v>2989872056</v>
      </c>
      <c r="CZ28" s="61">
        <v>154972507.65000001</v>
      </c>
      <c r="DA28" s="61">
        <v>0</v>
      </c>
      <c r="DB28" s="61">
        <v>4544147851.1999998</v>
      </c>
      <c r="DC28" s="61">
        <v>5172000000</v>
      </c>
      <c r="DD28" s="61">
        <v>2789000000</v>
      </c>
      <c r="DE28" s="61">
        <v>0</v>
      </c>
      <c r="DF28" s="61">
        <v>0</v>
      </c>
      <c r="DG28" s="61">
        <v>4100000000</v>
      </c>
      <c r="DH28" s="61">
        <v>1976000000</v>
      </c>
      <c r="DI28" s="61">
        <v>3888729790</v>
      </c>
      <c r="DJ28" s="61">
        <v>1018000000</v>
      </c>
      <c r="DK28" s="61">
        <f>600000000+SUMIFS([2]Main!$AH$1:$AH$502,[2]Main!$Q$1:$Q$502,"=SCBSFF",[2]Main!$S$1:$S$502,"="&amp;[2]SCBSFF!DK$5,[2]Main!$AI$1:$AI$502,"=Bahtnet",[2]Main!$T$1:$T$502,"=S")</f>
        <v>600000000</v>
      </c>
      <c r="DL28" s="61">
        <v>655000000</v>
      </c>
      <c r="DM28" s="61">
        <v>4581000000</v>
      </c>
      <c r="DN28" s="61">
        <v>3560992727.1999998</v>
      </c>
      <c r="DO28" s="61">
        <v>0</v>
      </c>
      <c r="DP28" s="61">
        <v>1199638324</v>
      </c>
      <c r="DQ28" s="61">
        <v>3000000000</v>
      </c>
      <c r="DR28" s="61">
        <v>2382000000</v>
      </c>
      <c r="DS28" s="61">
        <v>3552696626.1999998</v>
      </c>
      <c r="DT28" s="61">
        <v>0</v>
      </c>
      <c r="DU28" s="61">
        <v>0</v>
      </c>
      <c r="DV28" s="61">
        <v>3464857868.0999999</v>
      </c>
      <c r="DW28" s="61">
        <v>2299055717.1999998</v>
      </c>
      <c r="DX28" s="61">
        <v>3034000000</v>
      </c>
      <c r="DY28" s="61">
        <v>0</v>
      </c>
      <c r="DZ28" s="61">
        <v>2958000000</v>
      </c>
      <c r="EA28" s="61">
        <v>3322709766.3000002</v>
      </c>
      <c r="EB28" s="61">
        <v>4755188836.9499998</v>
      </c>
      <c r="EC28" s="61">
        <v>51979265</v>
      </c>
      <c r="ED28" s="61">
        <v>209910674.80000001</v>
      </c>
      <c r="EE28" s="61">
        <v>5311612425.7600002</v>
      </c>
      <c r="EF28" s="61">
        <v>1124725140</v>
      </c>
      <c r="EG28" s="61">
        <v>6828000000</v>
      </c>
      <c r="EH28" s="61">
        <v>1332000000</v>
      </c>
      <c r="EI28" s="61">
        <v>0</v>
      </c>
      <c r="EJ28" s="61">
        <v>3000000000</v>
      </c>
      <c r="EK28" s="61">
        <v>3249854978.02</v>
      </c>
      <c r="EL28" s="61">
        <v>1768409934.8</v>
      </c>
      <c r="EM28" s="61">
        <v>698397175</v>
      </c>
      <c r="EN28" s="61">
        <v>6477905291.6000004</v>
      </c>
      <c r="EO28" s="61">
        <v>50000000</v>
      </c>
      <c r="EP28" s="61">
        <v>3838953914.9000001</v>
      </c>
      <c r="EQ28" s="61">
        <v>79838507.200000003</v>
      </c>
      <c r="ER28" s="61">
        <v>0</v>
      </c>
      <c r="ES28" s="61">
        <v>4353758537.6000004</v>
      </c>
      <c r="ET28" s="61">
        <v>1100481157.8</v>
      </c>
      <c r="EU28" s="61">
        <v>3004693567.9499998</v>
      </c>
      <c r="EV28" s="61">
        <v>0</v>
      </c>
      <c r="EW28" s="61">
        <v>6087920236</v>
      </c>
      <c r="EX28" s="61">
        <v>2425147390.75</v>
      </c>
      <c r="EY28" s="61">
        <v>4242931837</v>
      </c>
      <c r="EZ28" s="61">
        <v>0</v>
      </c>
      <c r="FA28" s="61">
        <v>533921727.92000002</v>
      </c>
      <c r="FB28" s="61">
        <v>3359684745.5999999</v>
      </c>
      <c r="FC28" s="61">
        <v>314499172.05000001</v>
      </c>
      <c r="FD28" s="61">
        <v>3413973999.5999999</v>
      </c>
      <c r="FE28" s="61">
        <v>0</v>
      </c>
      <c r="FF28" s="61">
        <v>0</v>
      </c>
      <c r="FG28" s="61">
        <v>6000000000</v>
      </c>
      <c r="FH28" s="61">
        <v>939828765.08000004</v>
      </c>
      <c r="FI28" s="61">
        <v>2119367312</v>
      </c>
      <c r="FJ28" s="61">
        <v>199931914</v>
      </c>
      <c r="FK28" s="61">
        <v>0</v>
      </c>
      <c r="FL28" s="61">
        <v>5060000000</v>
      </c>
      <c r="FM28" s="61">
        <v>2354205681.9200001</v>
      </c>
      <c r="FN28" s="61">
        <v>6094880020</v>
      </c>
      <c r="FO28" s="61">
        <f>0+SUMIFS([2]Main!$AH$1:$AH$502,[2]Main!$Q$1:$Q$502,"=SCBSFF",[2]Main!$S$1:$S$502,"="&amp;[2]SCBSFF!FO$5,[2]Main!$AI$1:$AI$502,"=Bahtnet",[2]Main!$T$1:$T$502,"=S")</f>
        <v>0</v>
      </c>
      <c r="FP28" s="61">
        <f>0+SUMIFS([2]Main!$AH$1:$AH$502,[2]Main!$Q$1:$Q$502,"=SCBSFF",[2]Main!$S$1:$S$502,"="&amp;[2]SCBSFF!FP$5,[2]Main!$AI$1:$AI$502,"=Bahtnet",[2]Main!$T$1:$T$502,"=S")</f>
        <v>0</v>
      </c>
      <c r="FQ28" s="61">
        <v>5552999999.9899998</v>
      </c>
      <c r="FR28" s="61">
        <v>1477443111.5999999</v>
      </c>
      <c r="FS28" s="61">
        <v>3177000000</v>
      </c>
      <c r="FT28" s="61">
        <v>0</v>
      </c>
      <c r="FU28" s="61">
        <v>0</v>
      </c>
      <c r="FV28" s="61">
        <v>6000000000</v>
      </c>
      <c r="FW28" s="61">
        <v>0</v>
      </c>
      <c r="FX28" s="61">
        <v>2111000000</v>
      </c>
      <c r="FY28" s="61">
        <v>289502690.60000002</v>
      </c>
      <c r="FZ28" s="61">
        <v>0</v>
      </c>
      <c r="GA28" s="61">
        <v>5500000000</v>
      </c>
      <c r="GB28" s="61">
        <v>149793531</v>
      </c>
      <c r="GC28" s="61">
        <v>4524000000</v>
      </c>
      <c r="GD28" s="61">
        <v>0</v>
      </c>
      <c r="GE28" s="61">
        <v>0</v>
      </c>
      <c r="GF28" s="61">
        <v>6000000000</v>
      </c>
      <c r="GG28" s="61">
        <v>3487000000</v>
      </c>
      <c r="GH28" s="61">
        <v>2249000000</v>
      </c>
      <c r="GI28" s="61">
        <v>0</v>
      </c>
      <c r="GJ28" s="61">
        <v>0</v>
      </c>
      <c r="GK28" s="61">
        <v>4089974376.0999999</v>
      </c>
      <c r="GL28" s="61">
        <v>2800000000</v>
      </c>
      <c r="GM28" s="61">
        <v>134100000</v>
      </c>
      <c r="GN28" s="61">
        <v>1138487509.4000001</v>
      </c>
      <c r="GO28" s="61">
        <v>3754000000</v>
      </c>
      <c r="GP28" s="61">
        <v>2900000000</v>
      </c>
      <c r="GQ28" s="61">
        <v>1388800000</v>
      </c>
      <c r="GR28" s="61">
        <v>863200937.34000003</v>
      </c>
      <c r="GS28" s="61">
        <v>500000000</v>
      </c>
      <c r="GT28" s="61">
        <v>4642983732.3299999</v>
      </c>
      <c r="GU28" s="61">
        <v>2610622996.3800001</v>
      </c>
      <c r="GV28" s="61">
        <v>0</v>
      </c>
      <c r="GW28" s="61">
        <v>3318000000</v>
      </c>
      <c r="GX28" s="61">
        <v>438613575.69999999</v>
      </c>
      <c r="GY28" s="61">
        <v>3480000000</v>
      </c>
      <c r="GZ28" s="61">
        <v>0</v>
      </c>
      <c r="HA28" s="61">
        <v>1298385440</v>
      </c>
      <c r="HB28" s="61">
        <v>7019585061.6999998</v>
      </c>
      <c r="HC28" s="61">
        <v>3222400000</v>
      </c>
      <c r="HD28" s="61">
        <v>2016000000</v>
      </c>
      <c r="HE28" s="61">
        <v>0</v>
      </c>
      <c r="HF28" s="61">
        <v>5983598400</v>
      </c>
      <c r="HG28" s="61">
        <v>7219597133.8000002</v>
      </c>
      <c r="HH28" s="61">
        <v>1671000000</v>
      </c>
      <c r="HI28" s="61">
        <v>1855000000</v>
      </c>
      <c r="HJ28" s="61">
        <v>0</v>
      </c>
      <c r="HK28" s="61">
        <v>0</v>
      </c>
      <c r="HL28" s="61">
        <v>0</v>
      </c>
      <c r="HM28" s="61">
        <v>2207000000</v>
      </c>
      <c r="HN28" s="61">
        <v>3487000000</v>
      </c>
      <c r="HO28" s="61">
        <v>0</v>
      </c>
      <c r="HP28" s="61">
        <v>0</v>
      </c>
      <c r="HQ28" s="61">
        <v>5000000000</v>
      </c>
      <c r="HR28" s="61">
        <v>1600000000</v>
      </c>
      <c r="HS28" s="61">
        <v>3001584500</v>
      </c>
      <c r="HT28" s="61">
        <v>0</v>
      </c>
      <c r="HU28" s="61">
        <v>0</v>
      </c>
      <c r="HV28" s="61">
        <v>5313482305</v>
      </c>
      <c r="HW28" s="61">
        <v>2918000000</v>
      </c>
      <c r="HX28" s="61">
        <v>29960624.399999999</v>
      </c>
      <c r="HY28" s="61">
        <v>3604347148</v>
      </c>
      <c r="HZ28" s="61">
        <v>3050724438.0999999</v>
      </c>
      <c r="IA28" s="61">
        <v>3941000000</v>
      </c>
      <c r="IB28" s="61">
        <f>0+SUMIFS([2]Main!$AH$1:$AH$502,[2]Main!$Q$1:$Q$502,"=SCBSFF",[2]Main!$S$1:$S$502,"="&amp;[2]SCBSFF!IB$5,[2]Main!$AI$1:$AI$502,"=Bahtnet",[2]Main!$T$1:$T$502,"=S")</f>
        <v>0</v>
      </c>
      <c r="IC28" s="61">
        <v>0</v>
      </c>
      <c r="ID28" s="61">
        <v>54948288.450000003</v>
      </c>
      <c r="IE28" s="61">
        <v>1470600000</v>
      </c>
      <c r="IF28" s="61">
        <v>3317204160</v>
      </c>
      <c r="IG28" s="61">
        <v>0</v>
      </c>
      <c r="IH28" s="61">
        <v>0</v>
      </c>
      <c r="II28" s="61">
        <v>4000000000</v>
      </c>
      <c r="IJ28" s="61">
        <v>638980528.73000002</v>
      </c>
      <c r="IK28" s="61">
        <v>2626000000</v>
      </c>
      <c r="IL28" s="61">
        <v>2376612627.1999998</v>
      </c>
      <c r="IM28" s="61">
        <v>2100000000</v>
      </c>
      <c r="IN28" s="61">
        <v>5623000000</v>
      </c>
      <c r="IO28" s="61">
        <v>0</v>
      </c>
      <c r="IP28" s="61">
        <v>0</v>
      </c>
      <c r="IQ28" s="61">
        <v>2742000000</v>
      </c>
      <c r="IR28" s="61">
        <v>0</v>
      </c>
      <c r="IS28" s="61">
        <v>5339177920</v>
      </c>
      <c r="IT28" s="61">
        <v>0</v>
      </c>
      <c r="IU28" s="61">
        <v>0</v>
      </c>
      <c r="IV28" s="61">
        <v>2100000000</v>
      </c>
      <c r="IW28" s="61">
        <v>119945211</v>
      </c>
      <c r="IX28" s="61">
        <v>4134957530.75</v>
      </c>
      <c r="IY28" s="61">
        <v>0</v>
      </c>
      <c r="IZ28" s="61">
        <v>0</v>
      </c>
      <c r="JA28" s="61">
        <v>2930000000</v>
      </c>
      <c r="JB28" s="61">
        <v>0</v>
      </c>
      <c r="JC28" s="61">
        <v>4157225070</v>
      </c>
      <c r="JD28" s="61">
        <v>474813130.25</v>
      </c>
      <c r="JE28" s="61">
        <v>0</v>
      </c>
      <c r="JF28" s="61">
        <v>1465000000</v>
      </c>
      <c r="JG28" s="61">
        <v>3500000000</v>
      </c>
      <c r="JH28" s="61">
        <v>4504999999.9799995</v>
      </c>
      <c r="JI28" s="61">
        <v>0</v>
      </c>
      <c r="JJ28" s="61">
        <v>0</v>
      </c>
      <c r="JK28" s="61">
        <v>1000000000</v>
      </c>
      <c r="JL28" s="61">
        <v>3000000000</v>
      </c>
      <c r="JM28" s="61">
        <v>3611000000</v>
      </c>
      <c r="JN28" s="61">
        <v>0</v>
      </c>
      <c r="JO28" s="61">
        <v>0</v>
      </c>
      <c r="JP28" s="61">
        <v>0</v>
      </c>
      <c r="JQ28" s="61">
        <v>3000000000</v>
      </c>
      <c r="JR28" s="61">
        <v>4407340170</v>
      </c>
      <c r="JS28" s="61">
        <v>0</v>
      </c>
      <c r="JT28" s="61">
        <v>0</v>
      </c>
      <c r="JU28" s="61">
        <v>2876000000</v>
      </c>
      <c r="JV28" s="61">
        <v>279874056</v>
      </c>
      <c r="JW28" s="61">
        <v>3730000000</v>
      </c>
      <c r="JX28" s="61">
        <v>40000000</v>
      </c>
      <c r="JY28" s="61">
        <v>0</v>
      </c>
      <c r="JZ28" s="61">
        <v>3901000000</v>
      </c>
      <c r="KA28" s="61">
        <v>0</v>
      </c>
      <c r="KB28" s="61">
        <v>3219000000</v>
      </c>
      <c r="KC28" s="61">
        <v>0</v>
      </c>
      <c r="KD28" s="61">
        <v>2064000000</v>
      </c>
      <c r="KE28" s="61">
        <v>1000000000</v>
      </c>
      <c r="KF28" s="61">
        <v>3545994076.3499999</v>
      </c>
      <c r="KG28" s="61">
        <v>3470361262.1599998</v>
      </c>
      <c r="KH28" s="61">
        <v>0</v>
      </c>
      <c r="KI28" s="61">
        <v>2000000000</v>
      </c>
      <c r="KJ28" s="61">
        <v>2500000000</v>
      </c>
      <c r="KK28" s="61">
        <v>2192000000</v>
      </c>
      <c r="KL28" s="61">
        <v>0</v>
      </c>
      <c r="KM28" s="61">
        <v>0</v>
      </c>
      <c r="KN28" s="61">
        <v>2499773185.8200002</v>
      </c>
      <c r="KO28" s="61">
        <v>1769716970.5</v>
      </c>
      <c r="KP28" s="61">
        <v>2002000000</v>
      </c>
      <c r="KQ28" s="61">
        <v>27973030.960000001</v>
      </c>
      <c r="KR28" s="61">
        <v>149837764.5</v>
      </c>
      <c r="KS28" s="61">
        <v>4508943419.6599998</v>
      </c>
      <c r="KT28" s="61">
        <v>800000000</v>
      </c>
      <c r="KU28" s="61">
        <v>2487276195</v>
      </c>
      <c r="KV28" s="61">
        <v>489296961.30000001</v>
      </c>
      <c r="KW28" s="61">
        <v>0</v>
      </c>
      <c r="KX28" s="61">
        <v>1906000000</v>
      </c>
      <c r="KY28" s="61">
        <v>500000000</v>
      </c>
      <c r="KZ28" s="61">
        <v>1918000000</v>
      </c>
      <c r="LA28" s="61">
        <v>0</v>
      </c>
      <c r="LB28" s="61">
        <v>3739000000</v>
      </c>
      <c r="LC28" s="61">
        <v>1000000000</v>
      </c>
      <c r="LD28" s="61">
        <v>2315000000</v>
      </c>
      <c r="LE28" s="61">
        <v>2598336792</v>
      </c>
      <c r="LF28" s="61">
        <v>334783384.47000003</v>
      </c>
      <c r="LG28" s="61">
        <v>3619719086.3000002</v>
      </c>
      <c r="LH28" s="61">
        <v>0</v>
      </c>
      <c r="LI28" s="61">
        <v>0</v>
      </c>
      <c r="LJ28" s="61">
        <v>3000000000</v>
      </c>
      <c r="LK28" s="61">
        <v>199861466</v>
      </c>
      <c r="LL28" s="61">
        <v>4095243605.25</v>
      </c>
      <c r="LM28" s="61">
        <v>0</v>
      </c>
      <c r="LN28" s="61">
        <v>0</v>
      </c>
      <c r="LO28" s="61">
        <v>2973000000</v>
      </c>
      <c r="LP28" s="61">
        <v>2816000000</v>
      </c>
      <c r="LQ28" s="61">
        <v>0</v>
      </c>
      <c r="LR28" s="61">
        <v>0</v>
      </c>
      <c r="LS28" s="61">
        <v>2000000000</v>
      </c>
      <c r="LT28" s="61">
        <v>39992176.799999997</v>
      </c>
      <c r="LU28" s="61">
        <v>6370000000</v>
      </c>
      <c r="LV28" s="61">
        <v>0</v>
      </c>
      <c r="LW28" s="61">
        <v>839290855.20000005</v>
      </c>
      <c r="LX28" s="61">
        <v>2958734831</v>
      </c>
      <c r="LY28" s="61">
        <v>0</v>
      </c>
      <c r="LZ28" s="61">
        <v>3753000000</v>
      </c>
      <c r="MA28" s="61">
        <v>0</v>
      </c>
      <c r="MB28" s="61">
        <v>0</v>
      </c>
      <c r="MC28" s="61">
        <v>6094920448.8999996</v>
      </c>
      <c r="MD28" s="61">
        <v>0</v>
      </c>
      <c r="ME28" s="61">
        <v>4066000000</v>
      </c>
      <c r="MF28" s="61">
        <v>0</v>
      </c>
      <c r="MG28" s="61">
        <v>0</v>
      </c>
      <c r="MH28" s="61">
        <v>2699620481</v>
      </c>
      <c r="MI28" s="61">
        <v>6656000000</v>
      </c>
      <c r="MJ28" s="61">
        <v>0</v>
      </c>
      <c r="MK28" s="61">
        <v>499861955</v>
      </c>
      <c r="ML28" s="61">
        <v>2979466337.4000001</v>
      </c>
      <c r="MM28" s="61">
        <v>1469479329</v>
      </c>
      <c r="MN28" s="61">
        <v>3170000000</v>
      </c>
      <c r="MO28" s="61">
        <v>0</v>
      </c>
      <c r="MP28" s="61">
        <v>0</v>
      </c>
      <c r="MQ28" s="61">
        <v>4164319910</v>
      </c>
      <c r="MR28" s="61">
        <v>0</v>
      </c>
      <c r="MS28" s="61">
        <v>1482000000</v>
      </c>
      <c r="MT28" s="61">
        <v>0</v>
      </c>
      <c r="MU28" s="61">
        <v>0</v>
      </c>
      <c r="MV28" s="61">
        <v>2101000000</v>
      </c>
      <c r="MW28" s="61">
        <v>0</v>
      </c>
      <c r="MX28" s="61">
        <v>2482000000</v>
      </c>
      <c r="MY28" s="61">
        <v>0</v>
      </c>
      <c r="MZ28" s="61">
        <v>0</v>
      </c>
      <c r="NA28" s="61">
        <v>3119911593.5999999</v>
      </c>
      <c r="NB28" s="61">
        <v>1918714431.0799999</v>
      </c>
      <c r="NC28" s="61">
        <v>4357000000</v>
      </c>
      <c r="ND28" s="61">
        <v>0</v>
      </c>
      <c r="NE28" s="61">
        <v>0</v>
      </c>
      <c r="NF28" s="61">
        <v>2547000000</v>
      </c>
      <c r="NG28" s="61">
        <v>0</v>
      </c>
      <c r="NH28" s="61">
        <v>5390000000</v>
      </c>
      <c r="NI28" s="61">
        <v>0</v>
      </c>
      <c r="NJ28" s="61">
        <v>0</v>
      </c>
      <c r="NK28" s="61">
        <v>2699954957.8000002</v>
      </c>
      <c r="NL28" s="61">
        <v>0</v>
      </c>
      <c r="NM28" s="61">
        <v>3104756730.8000002</v>
      </c>
      <c r="NN28" s="61">
        <v>0</v>
      </c>
      <c r="NO28" s="61">
        <v>0</v>
      </c>
      <c r="NP28" s="61">
        <v>2000000000</v>
      </c>
      <c r="NQ28" s="61">
        <v>0</v>
      </c>
      <c r="NR28" s="61">
        <v>2648000000</v>
      </c>
      <c r="NS28" s="61">
        <v>0</v>
      </c>
      <c r="NT28" s="61">
        <v>0</v>
      </c>
      <c r="NU28" s="61">
        <v>2000000000</v>
      </c>
      <c r="NV28" s="61">
        <v>2500000000</v>
      </c>
      <c r="NW28" s="61">
        <v>5733000000</v>
      </c>
      <c r="NX28" s="61">
        <v>0</v>
      </c>
      <c r="NY28" s="61">
        <v>0</v>
      </c>
      <c r="NZ28" s="61">
        <v>3098000000</v>
      </c>
      <c r="OA28" s="61">
        <v>199960720</v>
      </c>
      <c r="OB28" s="61">
        <v>0</v>
      </c>
      <c r="OC28" s="61">
        <v>3000000000</v>
      </c>
      <c r="OD28" s="61">
        <v>999407625</v>
      </c>
      <c r="OE28" s="61">
        <v>2525000000</v>
      </c>
      <c r="OF28" s="61">
        <v>0</v>
      </c>
      <c r="OG28" s="61">
        <v>2507943304</v>
      </c>
      <c r="OH28" s="61">
        <v>0</v>
      </c>
      <c r="OI28" s="61">
        <v>3317000000</v>
      </c>
      <c r="OJ28" s="61">
        <v>0</v>
      </c>
      <c r="OK28" s="61">
        <v>0</v>
      </c>
      <c r="OL28" s="61">
        <v>2398722374</v>
      </c>
      <c r="OM28" s="61">
        <v>199768488</v>
      </c>
      <c r="ON28" s="61">
        <v>4427000000</v>
      </c>
      <c r="OO28" s="61">
        <v>0</v>
      </c>
      <c r="OP28" s="61">
        <v>0</v>
      </c>
      <c r="OQ28" s="61">
        <v>1500000000</v>
      </c>
      <c r="OR28" s="61">
        <v>1199582247</v>
      </c>
      <c r="OS28" s="61">
        <v>4125000000</v>
      </c>
      <c r="OT28" s="61">
        <v>0</v>
      </c>
      <c r="OU28" s="61">
        <v>169983652.80000001</v>
      </c>
      <c r="OV28" s="61">
        <v>1000000000</v>
      </c>
      <c r="OW28" s="61">
        <v>0</v>
      </c>
      <c r="OX28" s="61">
        <v>2380000000</v>
      </c>
      <c r="OY28" s="61">
        <v>0</v>
      </c>
      <c r="OZ28" s="61">
        <v>0</v>
      </c>
      <c r="PA28" s="61">
        <v>2415000000</v>
      </c>
      <c r="PB28" s="61">
        <v>0</v>
      </c>
      <c r="PC28" s="61">
        <v>3930000000</v>
      </c>
      <c r="PD28" s="61">
        <v>0</v>
      </c>
      <c r="PE28" s="61">
        <v>0</v>
      </c>
      <c r="PF28" s="61">
        <v>1061000000</v>
      </c>
      <c r="PG28" s="61">
        <v>999748010</v>
      </c>
      <c r="PH28" s="61">
        <v>3216000000</v>
      </c>
      <c r="PI28" s="61">
        <v>0</v>
      </c>
      <c r="PJ28" s="61">
        <v>0</v>
      </c>
      <c r="PK28" s="61">
        <v>3500000000</v>
      </c>
      <c r="PL28" s="61">
        <v>0</v>
      </c>
      <c r="PM28" s="61">
        <v>3811913236.5</v>
      </c>
      <c r="PN28" s="61">
        <v>0</v>
      </c>
      <c r="PO28" s="61">
        <v>0</v>
      </c>
      <c r="PP28" s="61">
        <v>0</v>
      </c>
      <c r="PQ28" s="61">
        <f>0+SUMIFS([2]Main!$AH$1:$AH$502,[2]Main!$Q$1:$Q$502,"=SCBSFF",[2]Main!$S$1:$S$502,"="&amp;[2]SCBSFF!PQ$5,[2]Main!$AI$1:$AI$502,"=Bahtnet",[2]Main!$T$1:$T$502,"=S")</f>
        <v>499668715</v>
      </c>
      <c r="PR28" s="61">
        <f>2952000000+SUMIFS([2]Main!$AH$1:$AH$502,[2]Main!$Q$1:$Q$502,"=SCBSFF",[2]Main!$S$1:$S$502,"="&amp;[2]SCBSFF!PR$5,[2]Main!$AI$1:$AI$502,"=Bahtnet",[2]Main!$T$1:$T$502,"=S")</f>
        <v>2952000000</v>
      </c>
      <c r="PS28" s="61">
        <f>0+SUMIFS([2]Main!$AH$1:$AH$502,[2]Main!$Q$1:$Q$502,"=SCBSFF",[2]Main!$S$1:$S$502,"="&amp;[2]SCBSFF!PS$5,[2]Main!$AI$1:$AI$502,"=Bahtnet",[2]Main!$T$1:$T$502,"=S")</f>
        <v>0</v>
      </c>
      <c r="PT28" s="61">
        <f>0+SUMIFS([2]Main!$AH$1:$AH$502,[2]Main!$Q$1:$Q$502,"=SCBSFF",[2]Main!$S$1:$S$502,"="&amp;[2]SCBSFF!PT$5,[2]Main!$AI$1:$AI$502,"=Bahtnet",[2]Main!$T$1:$T$502,"=S")</f>
        <v>0</v>
      </c>
      <c r="PU28" s="61">
        <f>2963000000+SUMIFS([2]Main!$AH$1:$AH$502,[2]Main!$Q$1:$Q$502,"=SCBSFF",[2]Main!$S$1:$S$502,"="&amp;[2]SCBSFF!PU$5,[2]Main!$AI$1:$AI$502,"=Bahtnet",[2]Main!$T$1:$T$502,"=S")</f>
        <v>2963000000</v>
      </c>
      <c r="PV28" s="61">
        <f>0+SUMIFS([2]Main!$AH$1:$AH$502,[2]Main!$Q$1:$Q$502,"=SCBSFF",[2]Main!$S$1:$S$502,"="&amp;[2]SCBSFF!PV$5,[2]Main!$AI$1:$AI$502,"=Bahtnet",[2]Main!$T$1:$T$502,"=S")</f>
        <v>0</v>
      </c>
      <c r="PW28" s="61">
        <f>4351000000+SUMIFS([2]Main!$AH$1:$AH$502,[2]Main!$Q$1:$Q$502,"=SCBSFF",[2]Main!$S$1:$S$502,"="&amp;[2]SCBSFF!PW$5,[2]Main!$AI$1:$AI$502,"=Bahtnet",[2]Main!$T$1:$T$502,"=S")</f>
        <v>4351000000</v>
      </c>
      <c r="PX28" s="61">
        <f>0+SUMIFS([2]Main!$AH$1:$AH$502,[2]Main!$Q$1:$Q$502,"=SCBSFF",[2]Main!$S$1:$S$502,"="&amp;[2]SCBSFF!PX$5,[2]Main!$AI$1:$AI$502,"=Bahtnet",[2]Main!$T$1:$T$502,"=S")</f>
        <v>0</v>
      </c>
      <c r="PY28" s="61"/>
      <c r="PZ28" s="61"/>
      <c r="QA28" s="61"/>
      <c r="QB28" s="61"/>
      <c r="QC28" s="61"/>
      <c r="QD28" s="61"/>
      <c r="QE28" s="61"/>
      <c r="QF28" s="61"/>
      <c r="QG28" s="61"/>
      <c r="QH28" s="61"/>
      <c r="QI28" s="61"/>
      <c r="QJ28" s="61"/>
      <c r="QK28" s="61"/>
      <c r="QL28" s="61"/>
      <c r="QM28" s="61"/>
      <c r="QN28" s="61"/>
      <c r="QO28" s="61"/>
      <c r="QP28" s="61"/>
      <c r="QQ28" s="61"/>
      <c r="QR28" s="61"/>
      <c r="QS28" s="61"/>
      <c r="QT28" s="61"/>
      <c r="QU28" s="61"/>
      <c r="QV28" s="61"/>
      <c r="QW28" s="61"/>
      <c r="QX28" s="61"/>
      <c r="QY28" s="61"/>
      <c r="QZ28" s="61"/>
      <c r="RA28" s="61"/>
      <c r="RB28" s="61"/>
      <c r="RC28" s="61"/>
      <c r="RD28" s="61"/>
      <c r="RE28" s="61"/>
      <c r="RF28" s="61"/>
      <c r="RG28" s="61"/>
      <c r="RH28" s="61"/>
      <c r="RI28" s="61"/>
      <c r="RJ28" s="61"/>
      <c r="RK28" s="61"/>
      <c r="RL28" s="61"/>
      <c r="RM28" s="61"/>
      <c r="RN28" s="61"/>
      <c r="RO28" s="61"/>
      <c r="RP28" s="61"/>
      <c r="RQ28" s="61"/>
      <c r="RR28" s="61"/>
      <c r="RS28" s="61"/>
      <c r="RT28" s="61"/>
      <c r="RU28" s="61"/>
      <c r="RV28" s="61"/>
      <c r="RW28" s="61"/>
      <c r="RX28" s="61"/>
      <c r="RY28" s="61"/>
      <c r="RZ28" s="61"/>
      <c r="SA28" s="61"/>
    </row>
    <row r="29" spans="1:495" x14ac:dyDescent="0.2">
      <c r="A29" s="66" t="s">
        <v>1073</v>
      </c>
      <c r="B29" s="61">
        <v>0</v>
      </c>
      <c r="C29" s="61">
        <v>0</v>
      </c>
      <c r="D29" s="61">
        <v>0</v>
      </c>
      <c r="E29" s="61">
        <v>0</v>
      </c>
      <c r="F29" s="61">
        <v>0</v>
      </c>
      <c r="G29" s="61">
        <v>0</v>
      </c>
      <c r="H29" s="61">
        <v>0</v>
      </c>
      <c r="I29" s="61">
        <v>0</v>
      </c>
      <c r="J29" s="61">
        <v>0</v>
      </c>
      <c r="K29" s="61">
        <v>0</v>
      </c>
      <c r="L29" s="61">
        <v>0</v>
      </c>
      <c r="M29" s="61">
        <v>0</v>
      </c>
      <c r="N29" s="61">
        <v>0</v>
      </c>
      <c r="O29" s="61">
        <v>218000000</v>
      </c>
      <c r="P29" s="61">
        <v>50000000</v>
      </c>
      <c r="Q29" s="61">
        <v>0</v>
      </c>
      <c r="R29" s="61">
        <v>0</v>
      </c>
      <c r="S29" s="61">
        <v>0</v>
      </c>
      <c r="T29" s="61">
        <v>0</v>
      </c>
      <c r="U29" s="61">
        <v>1500000000</v>
      </c>
      <c r="V29" s="61">
        <v>0</v>
      </c>
      <c r="W29" s="61">
        <v>0</v>
      </c>
      <c r="X29" s="61">
        <v>0</v>
      </c>
      <c r="Y29" s="61">
        <v>0</v>
      </c>
      <c r="Z29" s="61">
        <v>85000000</v>
      </c>
      <c r="AA29" s="61">
        <v>0</v>
      </c>
      <c r="AB29" s="61">
        <v>0</v>
      </c>
      <c r="AC29" s="61">
        <v>1750000000</v>
      </c>
      <c r="AD29" s="61">
        <v>0</v>
      </c>
      <c r="AE29" s="61">
        <v>900000000</v>
      </c>
      <c r="AF29" s="61">
        <v>0</v>
      </c>
      <c r="AG29" s="61">
        <v>0</v>
      </c>
      <c r="AH29" s="61">
        <v>0</v>
      </c>
      <c r="AI29" s="61">
        <v>0</v>
      </c>
      <c r="AJ29" s="61">
        <v>0</v>
      </c>
      <c r="AK29" s="61">
        <v>0</v>
      </c>
      <c r="AL29" s="61">
        <v>0</v>
      </c>
      <c r="AM29" s="61">
        <v>0</v>
      </c>
      <c r="AN29" s="61">
        <v>0</v>
      </c>
      <c r="AO29" s="61">
        <v>0</v>
      </c>
      <c r="AP29" s="61">
        <v>0</v>
      </c>
      <c r="AQ29" s="61">
        <v>0</v>
      </c>
      <c r="AR29" s="61">
        <v>0</v>
      </c>
      <c r="AS29" s="61">
        <v>0</v>
      </c>
      <c r="AT29" s="61">
        <v>0</v>
      </c>
      <c r="AU29" s="61">
        <v>0</v>
      </c>
      <c r="AV29" s="61">
        <v>0</v>
      </c>
      <c r="AW29" s="61">
        <v>0</v>
      </c>
      <c r="AX29" s="61">
        <v>0</v>
      </c>
      <c r="AY29" s="61">
        <v>1170000000</v>
      </c>
      <c r="AZ29" s="61">
        <v>0</v>
      </c>
      <c r="BA29" s="61">
        <v>2050000000</v>
      </c>
      <c r="BB29" s="61">
        <v>0</v>
      </c>
      <c r="BC29" s="61">
        <v>0</v>
      </c>
      <c r="BD29" s="61">
        <v>1000000000</v>
      </c>
      <c r="BE29" s="61">
        <v>0</v>
      </c>
      <c r="BF29" s="61">
        <v>0</v>
      </c>
      <c r="BG29" s="61">
        <v>0</v>
      </c>
      <c r="BH29" s="61">
        <v>1000000000</v>
      </c>
      <c r="BI29" s="61">
        <v>7477080000</v>
      </c>
      <c r="BJ29" s="61">
        <v>0</v>
      </c>
      <c r="BK29" s="61">
        <v>0</v>
      </c>
      <c r="BL29" s="61">
        <v>0</v>
      </c>
      <c r="BM29" s="61">
        <v>0</v>
      </c>
      <c r="BN29" s="61">
        <v>575000000</v>
      </c>
      <c r="BO29" s="61">
        <v>0</v>
      </c>
      <c r="BP29" s="61">
        <v>0</v>
      </c>
      <c r="BQ29" s="61">
        <v>0</v>
      </c>
      <c r="BR29" s="61">
        <v>215600000</v>
      </c>
      <c r="BS29" s="61">
        <v>0</v>
      </c>
      <c r="BT29" s="61">
        <v>0</v>
      </c>
      <c r="BU29" s="61">
        <v>0</v>
      </c>
      <c r="BV29" s="61">
        <v>0</v>
      </c>
      <c r="BW29" s="61">
        <v>0</v>
      </c>
      <c r="BX29" s="61">
        <v>0</v>
      </c>
      <c r="BY29" s="61">
        <v>2700000000</v>
      </c>
      <c r="BZ29" s="61">
        <v>0</v>
      </c>
      <c r="CA29" s="61">
        <v>0</v>
      </c>
      <c r="CB29" s="61">
        <v>0</v>
      </c>
      <c r="CC29" s="61">
        <v>2500000000</v>
      </c>
      <c r="CD29" s="61">
        <v>0</v>
      </c>
      <c r="CE29" s="61">
        <v>0</v>
      </c>
      <c r="CF29" s="61">
        <v>0</v>
      </c>
      <c r="CG29" s="61">
        <v>0</v>
      </c>
      <c r="CH29" s="61">
        <v>0</v>
      </c>
      <c r="CI29" s="61">
        <v>0</v>
      </c>
      <c r="CJ29" s="61">
        <v>0</v>
      </c>
      <c r="CK29" s="61">
        <v>0</v>
      </c>
      <c r="CL29" s="61">
        <v>400000000.00000006</v>
      </c>
      <c r="CM29" s="61">
        <v>0</v>
      </c>
      <c r="CN29" s="61">
        <v>0</v>
      </c>
      <c r="CO29" s="61">
        <v>0</v>
      </c>
      <c r="CP29" s="61">
        <v>0</v>
      </c>
      <c r="CQ29" s="61">
        <v>610000000</v>
      </c>
      <c r="CR29" s="61">
        <v>0</v>
      </c>
      <c r="CS29" s="61">
        <v>0</v>
      </c>
      <c r="CT29" s="61">
        <v>0</v>
      </c>
      <c r="CU29" s="61">
        <v>0</v>
      </c>
      <c r="CV29" s="61">
        <v>390000000</v>
      </c>
      <c r="CW29" s="61">
        <v>300000000</v>
      </c>
      <c r="CX29" s="61">
        <v>0</v>
      </c>
      <c r="CY29" s="61">
        <v>0</v>
      </c>
      <c r="CZ29" s="61">
        <v>0</v>
      </c>
      <c r="DA29" s="61">
        <v>0</v>
      </c>
      <c r="DB29" s="61">
        <v>0</v>
      </c>
      <c r="DC29" s="61">
        <v>0</v>
      </c>
      <c r="DD29" s="61">
        <v>0</v>
      </c>
      <c r="DE29" s="61">
        <v>0</v>
      </c>
      <c r="DF29" s="61">
        <v>0</v>
      </c>
      <c r="DG29" s="61">
        <v>0</v>
      </c>
      <c r="DH29" s="61">
        <v>0</v>
      </c>
      <c r="DI29" s="61">
        <v>0</v>
      </c>
      <c r="DJ29" s="61">
        <v>0</v>
      </c>
      <c r="DK29" s="61">
        <f>0+SUMIFS([2]Main!$AH$1:$AH$502,[2]Main!$Q$1:$Q$502,"=SCBSFF",[2]Main!$S$1:$S$502,"="&amp;[2]SCBSFF!DK$5,[2]Main!$AI$1:$AI$502,"=Cheque",[2]Main!$T$1:$T$502,"=S")</f>
        <v>0</v>
      </c>
      <c r="DL29" s="61">
        <v>0</v>
      </c>
      <c r="DM29" s="61">
        <v>0</v>
      </c>
      <c r="DN29" s="61">
        <v>0</v>
      </c>
      <c r="DO29" s="61">
        <v>0</v>
      </c>
      <c r="DP29" s="61">
        <v>0</v>
      </c>
      <c r="DQ29" s="61">
        <v>0</v>
      </c>
      <c r="DR29" s="61">
        <v>0</v>
      </c>
      <c r="DS29" s="61">
        <v>500000000</v>
      </c>
      <c r="DT29" s="61">
        <v>0</v>
      </c>
      <c r="DU29" s="61">
        <v>0</v>
      </c>
      <c r="DV29" s="61">
        <v>0</v>
      </c>
      <c r="DW29" s="61">
        <v>0</v>
      </c>
      <c r="DX29" s="61">
        <v>0</v>
      </c>
      <c r="DY29" s="61">
        <v>0</v>
      </c>
      <c r="DZ29" s="61">
        <v>0</v>
      </c>
      <c r="EA29" s="61">
        <v>0</v>
      </c>
      <c r="EB29" s="61">
        <v>0</v>
      </c>
      <c r="EC29" s="61">
        <v>0</v>
      </c>
      <c r="ED29" s="61">
        <v>0</v>
      </c>
      <c r="EE29" s="61">
        <v>0</v>
      </c>
      <c r="EF29" s="61">
        <v>0</v>
      </c>
      <c r="EG29" s="61">
        <v>0</v>
      </c>
      <c r="EH29" s="61">
        <v>0</v>
      </c>
      <c r="EI29" s="61">
        <v>0</v>
      </c>
      <c r="EJ29" s="61">
        <v>0</v>
      </c>
      <c r="EK29" s="61">
        <v>2500000000.0000005</v>
      </c>
      <c r="EL29" s="61">
        <v>0</v>
      </c>
      <c r="EM29" s="61">
        <v>0</v>
      </c>
      <c r="EN29" s="61">
        <v>0</v>
      </c>
      <c r="EO29" s="61">
        <v>0</v>
      </c>
      <c r="EP29" s="61">
        <v>0</v>
      </c>
      <c r="EQ29" s="61">
        <v>0</v>
      </c>
      <c r="ER29" s="61">
        <v>2000000000</v>
      </c>
      <c r="ES29" s="61">
        <v>17000000</v>
      </c>
      <c r="ET29" s="61">
        <v>0</v>
      </c>
      <c r="EU29" s="61">
        <v>0</v>
      </c>
      <c r="EV29" s="61">
        <v>0</v>
      </c>
      <c r="EW29" s="61">
        <v>700000000</v>
      </c>
      <c r="EX29" s="61">
        <v>0</v>
      </c>
      <c r="EY29" s="61">
        <v>0</v>
      </c>
      <c r="EZ29" s="61">
        <v>0</v>
      </c>
      <c r="FA29" s="61">
        <v>1900000000</v>
      </c>
      <c r="FB29" s="61">
        <v>0</v>
      </c>
      <c r="FC29" s="61">
        <v>28000000</v>
      </c>
      <c r="FD29" s="61">
        <v>0</v>
      </c>
      <c r="FE29" s="61">
        <v>0</v>
      </c>
      <c r="FF29" s="61">
        <v>0</v>
      </c>
      <c r="FG29" s="61">
        <v>140000000</v>
      </c>
      <c r="FH29" s="61">
        <v>0</v>
      </c>
      <c r="FI29" s="61">
        <v>0</v>
      </c>
      <c r="FJ29" s="61">
        <v>0</v>
      </c>
      <c r="FK29" s="61">
        <v>0</v>
      </c>
      <c r="FL29" s="61">
        <v>0</v>
      </c>
      <c r="FM29" s="61">
        <v>0</v>
      </c>
      <c r="FN29" s="61">
        <v>0</v>
      </c>
      <c r="FO29" s="61">
        <f>0+SUMIFS([2]Main!$AH$1:$AH$502,[2]Main!$Q$1:$Q$502,"=SCBSFF",[2]Main!$S$1:$S$502,"="&amp;[2]SCBSFF!FO$5,[2]Main!$AI$1:$AI$502,"=Cheque",[2]Main!$T$1:$T$502,"=S")</f>
        <v>0</v>
      </c>
      <c r="FP29" s="61">
        <f>0+SUMIFS([2]Main!$AH$1:$AH$502,[2]Main!$Q$1:$Q$502,"=SCBSFF",[2]Main!$S$1:$S$502,"="&amp;[2]SCBSFF!FP$5,[2]Main!$AI$1:$AI$502,"=Cheque",[2]Main!$T$1:$T$502,"=S")</f>
        <v>0</v>
      </c>
      <c r="FQ29" s="61">
        <v>0</v>
      </c>
      <c r="FR29" s="61">
        <v>0</v>
      </c>
      <c r="FS29" s="61">
        <v>0</v>
      </c>
      <c r="FT29" s="61">
        <v>0</v>
      </c>
      <c r="FU29" s="61">
        <v>1736000000</v>
      </c>
      <c r="FV29" s="61">
        <v>500000000</v>
      </c>
      <c r="FW29" s="61">
        <v>0</v>
      </c>
      <c r="FX29" s="61">
        <v>55000000</v>
      </c>
      <c r="FY29" s="61">
        <v>0</v>
      </c>
      <c r="FZ29" s="61">
        <v>0</v>
      </c>
      <c r="GA29" s="61">
        <v>0</v>
      </c>
      <c r="GB29" s="61">
        <v>0</v>
      </c>
      <c r="GC29" s="61">
        <v>0</v>
      </c>
      <c r="GD29" s="61">
        <v>0</v>
      </c>
      <c r="GE29" s="61">
        <v>0</v>
      </c>
      <c r="GF29" s="61">
        <v>0</v>
      </c>
      <c r="GG29" s="61">
        <v>0</v>
      </c>
      <c r="GH29" s="61">
        <v>0</v>
      </c>
      <c r="GI29" s="61">
        <v>444000000</v>
      </c>
      <c r="GJ29" s="61">
        <v>1000000000</v>
      </c>
      <c r="GK29" s="61">
        <v>0</v>
      </c>
      <c r="GL29" s="61">
        <v>0</v>
      </c>
      <c r="GM29" s="61">
        <v>0</v>
      </c>
      <c r="GN29" s="61">
        <v>0</v>
      </c>
      <c r="GO29" s="61">
        <v>0</v>
      </c>
      <c r="GP29" s="61">
        <v>300000000</v>
      </c>
      <c r="GQ29" s="61">
        <v>0</v>
      </c>
      <c r="GR29" s="61">
        <v>0</v>
      </c>
      <c r="GS29" s="61">
        <v>900000000</v>
      </c>
      <c r="GT29" s="61">
        <v>0</v>
      </c>
      <c r="GU29" s="61">
        <v>860235572.19999981</v>
      </c>
      <c r="GV29" s="61">
        <v>0</v>
      </c>
      <c r="GW29" s="61">
        <v>0</v>
      </c>
      <c r="GX29" s="61">
        <v>0</v>
      </c>
      <c r="GY29" s="61">
        <v>0</v>
      </c>
      <c r="GZ29" s="61">
        <v>0</v>
      </c>
      <c r="HA29" s="61">
        <v>0</v>
      </c>
      <c r="HB29" s="61">
        <v>0</v>
      </c>
      <c r="HC29" s="61">
        <v>0</v>
      </c>
      <c r="HD29" s="61">
        <v>0</v>
      </c>
      <c r="HE29" s="61">
        <v>0</v>
      </c>
      <c r="HF29" s="61">
        <v>0</v>
      </c>
      <c r="HG29" s="61">
        <v>3000000</v>
      </c>
      <c r="HH29" s="61">
        <v>0</v>
      </c>
      <c r="HI29" s="61">
        <v>0</v>
      </c>
      <c r="HJ29" s="61">
        <v>0</v>
      </c>
      <c r="HK29" s="61">
        <v>0</v>
      </c>
      <c r="HL29" s="61">
        <v>0</v>
      </c>
      <c r="HM29" s="61">
        <v>0</v>
      </c>
      <c r="HN29" s="61">
        <v>0</v>
      </c>
      <c r="HO29" s="61">
        <v>1000000000</v>
      </c>
      <c r="HP29" s="61">
        <v>0</v>
      </c>
      <c r="HQ29" s="61">
        <v>1020000000</v>
      </c>
      <c r="HR29" s="61">
        <v>0</v>
      </c>
      <c r="HS29" s="61">
        <v>0</v>
      </c>
      <c r="HT29" s="61">
        <v>0</v>
      </c>
      <c r="HU29" s="61">
        <v>0</v>
      </c>
      <c r="HV29" s="61">
        <v>0</v>
      </c>
      <c r="HW29" s="61">
        <v>0</v>
      </c>
      <c r="HX29" s="61">
        <v>0</v>
      </c>
      <c r="HY29" s="61">
        <v>0</v>
      </c>
      <c r="HZ29" s="61">
        <v>0</v>
      </c>
      <c r="IA29" s="61">
        <v>0</v>
      </c>
      <c r="IB29" s="61">
        <f>975000000+SUMIFS([2]Main!$AH$1:$AH$502,[2]Main!$Q$1:$Q$502,"=SCBSFF",[2]Main!$S$1:$S$502,"="&amp;[2]SCBSFF!IB$5,[2]Main!$AI$1:$AI$502,"=Cheque",[2]Main!$T$1:$T$502,"=S")</f>
        <v>975000000</v>
      </c>
      <c r="IC29" s="61">
        <v>0</v>
      </c>
      <c r="ID29" s="61">
        <v>5000000000</v>
      </c>
      <c r="IE29" s="61">
        <v>700000000</v>
      </c>
      <c r="IF29" s="61">
        <v>0</v>
      </c>
      <c r="IG29" s="61">
        <v>0</v>
      </c>
      <c r="IH29" s="61">
        <v>0</v>
      </c>
      <c r="II29" s="61">
        <v>0</v>
      </c>
      <c r="IJ29" s="61">
        <v>0</v>
      </c>
      <c r="IK29" s="61">
        <v>0</v>
      </c>
      <c r="IL29" s="61">
        <v>0</v>
      </c>
      <c r="IM29" s="61">
        <v>0</v>
      </c>
      <c r="IN29" s="61">
        <v>0</v>
      </c>
      <c r="IO29" s="61">
        <v>0</v>
      </c>
      <c r="IP29" s="61">
        <v>0</v>
      </c>
      <c r="IQ29" s="61">
        <v>0</v>
      </c>
      <c r="IR29" s="61">
        <v>0</v>
      </c>
      <c r="IS29" s="61">
        <v>0</v>
      </c>
      <c r="IT29" s="61">
        <v>0</v>
      </c>
      <c r="IU29" s="61">
        <v>0</v>
      </c>
      <c r="IV29" s="61">
        <v>700000000</v>
      </c>
      <c r="IW29" s="61">
        <v>0</v>
      </c>
      <c r="IX29" s="61">
        <v>0</v>
      </c>
      <c r="IY29" s="61">
        <v>0</v>
      </c>
      <c r="IZ29" s="61">
        <v>0</v>
      </c>
      <c r="JA29" s="61">
        <v>0</v>
      </c>
      <c r="JB29" s="61">
        <v>0</v>
      </c>
      <c r="JC29" s="61">
        <v>0</v>
      </c>
      <c r="JD29" s="61">
        <v>0</v>
      </c>
      <c r="JE29" s="61">
        <v>0</v>
      </c>
      <c r="JF29" s="61">
        <v>0</v>
      </c>
      <c r="JG29" s="61">
        <v>0</v>
      </c>
      <c r="JH29" s="61">
        <v>0</v>
      </c>
      <c r="JI29" s="61">
        <v>0</v>
      </c>
      <c r="JJ29" s="61">
        <v>0</v>
      </c>
      <c r="JK29" s="61">
        <v>0</v>
      </c>
      <c r="JL29" s="61">
        <v>0</v>
      </c>
      <c r="JM29" s="61">
        <v>0</v>
      </c>
      <c r="JN29" s="61">
        <v>0</v>
      </c>
      <c r="JO29" s="61">
        <v>0</v>
      </c>
      <c r="JP29" s="61">
        <v>1942815000</v>
      </c>
      <c r="JQ29" s="61">
        <v>0</v>
      </c>
      <c r="JR29" s="61">
        <v>0</v>
      </c>
      <c r="JS29" s="61">
        <v>0</v>
      </c>
      <c r="JT29" s="61">
        <v>0</v>
      </c>
      <c r="JU29" s="61">
        <v>0</v>
      </c>
      <c r="JV29" s="61">
        <v>0</v>
      </c>
      <c r="JW29" s="61">
        <v>0</v>
      </c>
      <c r="JX29" s="61">
        <v>0</v>
      </c>
      <c r="JY29" s="61">
        <v>230000000</v>
      </c>
      <c r="JZ29" s="61">
        <v>0</v>
      </c>
      <c r="KA29" s="61">
        <v>0</v>
      </c>
      <c r="KB29" s="61">
        <v>0</v>
      </c>
      <c r="KC29" s="61">
        <v>0</v>
      </c>
      <c r="KD29" s="61">
        <v>0</v>
      </c>
      <c r="KE29" s="61">
        <v>0</v>
      </c>
      <c r="KF29" s="61">
        <v>0</v>
      </c>
      <c r="KG29" s="61">
        <v>0</v>
      </c>
      <c r="KH29" s="61">
        <v>0</v>
      </c>
      <c r="KI29" s="61">
        <v>0</v>
      </c>
      <c r="KJ29" s="61">
        <v>0</v>
      </c>
      <c r="KK29" s="61">
        <v>0</v>
      </c>
      <c r="KL29" s="61">
        <v>0</v>
      </c>
      <c r="KM29" s="61">
        <v>900000000</v>
      </c>
      <c r="KN29" s="61">
        <v>0</v>
      </c>
      <c r="KO29" s="61">
        <v>0</v>
      </c>
      <c r="KP29" s="61">
        <v>0</v>
      </c>
      <c r="KQ29" s="61">
        <v>0</v>
      </c>
      <c r="KR29" s="61">
        <v>0</v>
      </c>
      <c r="KS29" s="61">
        <v>0</v>
      </c>
      <c r="KT29" s="61">
        <v>0</v>
      </c>
      <c r="KU29" s="61">
        <v>0</v>
      </c>
      <c r="KV29" s="61">
        <v>0</v>
      </c>
      <c r="KW29" s="61">
        <v>1500000000</v>
      </c>
      <c r="KX29" s="61">
        <v>0</v>
      </c>
      <c r="KY29" s="61">
        <v>0</v>
      </c>
      <c r="KZ29" s="61">
        <v>0</v>
      </c>
      <c r="LA29" s="61">
        <v>0</v>
      </c>
      <c r="LB29" s="61">
        <v>0</v>
      </c>
      <c r="LC29" s="61">
        <v>0</v>
      </c>
      <c r="LD29" s="61">
        <v>0</v>
      </c>
      <c r="LE29" s="61">
        <v>0</v>
      </c>
      <c r="LF29" s="61">
        <v>0</v>
      </c>
      <c r="LG29" s="61">
        <v>0</v>
      </c>
      <c r="LH29" s="61">
        <v>0</v>
      </c>
      <c r="LI29" s="61">
        <v>2000000000</v>
      </c>
      <c r="LJ29" s="61">
        <v>1650000000</v>
      </c>
      <c r="LK29" s="61">
        <v>0</v>
      </c>
      <c r="LL29" s="61">
        <v>0</v>
      </c>
      <c r="LM29" s="61">
        <v>0</v>
      </c>
      <c r="LN29" s="61">
        <v>0</v>
      </c>
      <c r="LO29" s="61">
        <v>0</v>
      </c>
      <c r="LP29" s="61">
        <v>0</v>
      </c>
      <c r="LQ29" s="61">
        <v>0</v>
      </c>
      <c r="LR29" s="61">
        <v>0</v>
      </c>
      <c r="LS29" s="61">
        <v>0</v>
      </c>
      <c r="LT29" s="61">
        <v>0</v>
      </c>
      <c r="LU29" s="61">
        <v>0</v>
      </c>
      <c r="LV29" s="61">
        <v>0</v>
      </c>
      <c r="LW29" s="61">
        <v>0</v>
      </c>
      <c r="LX29" s="61">
        <v>0</v>
      </c>
      <c r="LY29" s="61">
        <v>0</v>
      </c>
      <c r="LZ29" s="61">
        <v>0</v>
      </c>
      <c r="MA29" s="61">
        <v>0</v>
      </c>
      <c r="MB29" s="61">
        <v>0</v>
      </c>
      <c r="MC29" s="61">
        <v>0</v>
      </c>
      <c r="MD29" s="61">
        <v>0</v>
      </c>
      <c r="ME29" s="61">
        <v>0</v>
      </c>
      <c r="MF29" s="61">
        <v>0</v>
      </c>
      <c r="MG29" s="61">
        <v>0</v>
      </c>
      <c r="MH29" s="61">
        <v>0</v>
      </c>
      <c r="MI29" s="61">
        <v>0</v>
      </c>
      <c r="MJ29" s="61">
        <v>0</v>
      </c>
      <c r="MK29" s="61">
        <v>0</v>
      </c>
      <c r="ML29" s="61">
        <v>0</v>
      </c>
      <c r="MM29" s="61">
        <v>0</v>
      </c>
      <c r="MN29" s="61">
        <v>0</v>
      </c>
      <c r="MO29" s="61">
        <v>0</v>
      </c>
      <c r="MP29" s="61">
        <v>0</v>
      </c>
      <c r="MQ29" s="61">
        <v>0</v>
      </c>
      <c r="MR29" s="61">
        <v>0</v>
      </c>
      <c r="MS29" s="61">
        <v>0</v>
      </c>
      <c r="MT29" s="61">
        <v>0</v>
      </c>
      <c r="MU29" s="61">
        <v>0</v>
      </c>
      <c r="MV29" s="61">
        <v>0</v>
      </c>
      <c r="MW29" s="61">
        <v>0</v>
      </c>
      <c r="MX29" s="61">
        <v>0</v>
      </c>
      <c r="MY29" s="61">
        <v>0</v>
      </c>
      <c r="MZ29" s="61">
        <v>0</v>
      </c>
      <c r="NA29" s="61">
        <v>0</v>
      </c>
      <c r="NB29" s="61">
        <v>0</v>
      </c>
      <c r="NC29" s="61">
        <v>0</v>
      </c>
      <c r="ND29" s="61">
        <v>0</v>
      </c>
      <c r="NE29" s="61">
        <v>0</v>
      </c>
      <c r="NF29" s="61">
        <v>2000000000</v>
      </c>
      <c r="NG29" s="61">
        <v>0</v>
      </c>
      <c r="NH29" s="61">
        <v>0</v>
      </c>
      <c r="NI29" s="61">
        <v>0</v>
      </c>
      <c r="NJ29" s="61">
        <v>0</v>
      </c>
      <c r="NK29" s="61">
        <v>0</v>
      </c>
      <c r="NL29" s="61">
        <v>0</v>
      </c>
      <c r="NM29" s="61">
        <v>0</v>
      </c>
      <c r="NN29" s="61">
        <v>0</v>
      </c>
      <c r="NO29" s="61">
        <v>0</v>
      </c>
      <c r="NP29" s="61">
        <v>0</v>
      </c>
      <c r="NQ29" s="61">
        <v>0</v>
      </c>
      <c r="NR29" s="61">
        <v>0</v>
      </c>
      <c r="NS29" s="61">
        <v>0</v>
      </c>
      <c r="NT29" s="61">
        <v>0</v>
      </c>
      <c r="NU29" s="61">
        <v>0</v>
      </c>
      <c r="NV29" s="61">
        <v>0</v>
      </c>
      <c r="NW29" s="61">
        <v>0</v>
      </c>
      <c r="NX29" s="61">
        <v>2500000000</v>
      </c>
      <c r="NY29" s="61">
        <v>1550000000</v>
      </c>
      <c r="NZ29" s="61">
        <v>0</v>
      </c>
      <c r="OA29" s="61">
        <v>0</v>
      </c>
      <c r="OB29" s="61">
        <v>1000000000</v>
      </c>
      <c r="OC29" s="61">
        <v>465000000</v>
      </c>
      <c r="OD29" s="61">
        <v>0</v>
      </c>
      <c r="OE29" s="61">
        <v>500000000</v>
      </c>
      <c r="OF29" s="61">
        <v>0</v>
      </c>
      <c r="OG29" s="61">
        <v>0</v>
      </c>
      <c r="OH29" s="61">
        <v>0</v>
      </c>
      <c r="OI29" s="61">
        <v>0</v>
      </c>
      <c r="OJ29" s="61">
        <v>0</v>
      </c>
      <c r="OK29" s="61">
        <v>1300000000</v>
      </c>
      <c r="OL29" s="61">
        <v>0</v>
      </c>
      <c r="OM29" s="61">
        <v>0</v>
      </c>
      <c r="ON29" s="61">
        <v>0</v>
      </c>
      <c r="OO29" s="61">
        <v>0</v>
      </c>
      <c r="OP29" s="61">
        <v>0</v>
      </c>
      <c r="OQ29" s="61">
        <v>0</v>
      </c>
      <c r="OR29" s="61">
        <v>100000000</v>
      </c>
      <c r="OS29" s="61">
        <v>0</v>
      </c>
      <c r="OT29" s="61">
        <v>0</v>
      </c>
      <c r="OU29" s="61">
        <v>0</v>
      </c>
      <c r="OV29" s="61">
        <v>1000000000</v>
      </c>
      <c r="OW29" s="61">
        <v>0</v>
      </c>
      <c r="OX29" s="61">
        <v>0</v>
      </c>
      <c r="OY29" s="61">
        <v>0</v>
      </c>
      <c r="OZ29" s="61">
        <v>0</v>
      </c>
      <c r="PA29" s="61">
        <v>0</v>
      </c>
      <c r="PB29" s="61">
        <v>0</v>
      </c>
      <c r="PC29" s="61">
        <v>0</v>
      </c>
      <c r="PD29" s="61">
        <v>0</v>
      </c>
      <c r="PE29" s="61">
        <v>0</v>
      </c>
      <c r="PF29" s="61">
        <v>0</v>
      </c>
      <c r="PG29" s="61">
        <v>0</v>
      </c>
      <c r="PH29" s="61">
        <v>1000000000</v>
      </c>
      <c r="PI29" s="61">
        <v>0</v>
      </c>
      <c r="PJ29" s="61">
        <v>0</v>
      </c>
      <c r="PK29" s="61">
        <v>0</v>
      </c>
      <c r="PL29" s="61">
        <v>0</v>
      </c>
      <c r="PM29" s="61">
        <v>250000000</v>
      </c>
      <c r="PN29" s="61">
        <v>0</v>
      </c>
      <c r="PO29" s="61">
        <v>0</v>
      </c>
      <c r="PP29" s="61">
        <v>0</v>
      </c>
      <c r="PQ29" s="61">
        <f>0+SUMIFS([2]Main!$AH$1:$AH$502,[2]Main!$Q$1:$Q$502,"=SCBSFF",[2]Main!$S$1:$S$502,"="&amp;[2]SCBSFF!PQ$5,[2]Main!$AI$1:$AI$502,"=Cheque",[2]Main!$T$1:$T$502,"=S")</f>
        <v>0</v>
      </c>
      <c r="PR29" s="61">
        <f>0+SUMIFS([2]Main!$AH$1:$AH$502,[2]Main!$Q$1:$Q$502,"=SCBSFF",[2]Main!$S$1:$S$502,"="&amp;[2]SCBSFF!PR$5,[2]Main!$AI$1:$AI$502,"=Cheque",[2]Main!$T$1:$T$502,"=S")</f>
        <v>0</v>
      </c>
      <c r="PS29" s="61">
        <f>0+SUMIFS([2]Main!$AH$1:$AH$502,[2]Main!$Q$1:$Q$502,"=SCBSFF",[2]Main!$S$1:$S$502,"="&amp;[2]SCBSFF!PS$5,[2]Main!$AI$1:$AI$502,"=Cheque",[2]Main!$T$1:$T$502,"=S")</f>
        <v>0</v>
      </c>
      <c r="PT29" s="61">
        <f>0+SUMIFS([2]Main!$AH$1:$AH$502,[2]Main!$Q$1:$Q$502,"=SCBSFF",[2]Main!$S$1:$S$502,"="&amp;[2]SCBSFF!PT$5,[2]Main!$AI$1:$AI$502,"=Cheque",[2]Main!$T$1:$T$502,"=S")</f>
        <v>0</v>
      </c>
      <c r="PU29" s="61">
        <f>0+SUMIFS([2]Main!$AH$1:$AH$502,[2]Main!$Q$1:$Q$502,"=SCBSFF",[2]Main!$S$1:$S$502,"="&amp;[2]SCBSFF!PU$5,[2]Main!$AI$1:$AI$502,"=Cheque",[2]Main!$T$1:$T$502,"=S")</f>
        <v>0</v>
      </c>
      <c r="PV29" s="61">
        <f>0+SUMIFS([2]Main!$AH$1:$AH$502,[2]Main!$Q$1:$Q$502,"=SCBSFF",[2]Main!$S$1:$S$502,"="&amp;[2]SCBSFF!PV$5,[2]Main!$AI$1:$AI$502,"=Cheque",[2]Main!$T$1:$T$502,"=S")</f>
        <v>0</v>
      </c>
      <c r="PW29" s="61">
        <f>0+SUMIFS([2]Main!$AH$1:$AH$502,[2]Main!$Q$1:$Q$502,"=SCBSFF",[2]Main!$S$1:$S$502,"="&amp;[2]SCBSFF!PW$5,[2]Main!$AI$1:$AI$502,"=Cheque",[2]Main!$T$1:$T$502,"=S")</f>
        <v>0</v>
      </c>
      <c r="PX29" s="61">
        <f>0+SUMIFS([2]Main!$AH$1:$AH$502,[2]Main!$Q$1:$Q$502,"=SCBSFF",[2]Main!$S$1:$S$502,"="&amp;[2]SCBSFF!PX$5,[2]Main!$AI$1:$AI$502,"=Cheque",[2]Main!$T$1:$T$502,"=S")</f>
        <v>0</v>
      </c>
      <c r="PY29" s="61"/>
      <c r="PZ29" s="61"/>
      <c r="QA29" s="61"/>
      <c r="QB29" s="61"/>
      <c r="QC29" s="61"/>
      <c r="QD29" s="61"/>
      <c r="QE29" s="61"/>
      <c r="QF29" s="61"/>
      <c r="QG29" s="61"/>
      <c r="QH29" s="61"/>
      <c r="QI29" s="61"/>
      <c r="QJ29" s="61"/>
      <c r="QK29" s="61"/>
      <c r="QL29" s="61"/>
      <c r="QM29" s="61"/>
      <c r="QN29" s="61"/>
      <c r="QO29" s="61"/>
      <c r="QP29" s="61"/>
      <c r="QQ29" s="61"/>
      <c r="QR29" s="61"/>
      <c r="QS29" s="61"/>
      <c r="QT29" s="61"/>
      <c r="QU29" s="61"/>
      <c r="QV29" s="61"/>
      <c r="QW29" s="61"/>
      <c r="QX29" s="61"/>
      <c r="QY29" s="61"/>
      <c r="QZ29" s="61"/>
      <c r="RA29" s="61"/>
      <c r="RB29" s="61"/>
      <c r="RC29" s="61"/>
      <c r="RD29" s="61"/>
      <c r="RE29" s="61"/>
      <c r="RF29" s="61"/>
      <c r="RG29" s="61"/>
      <c r="RH29" s="61"/>
      <c r="RI29" s="61"/>
      <c r="RJ29" s="61"/>
      <c r="RK29" s="61"/>
      <c r="RL29" s="61"/>
      <c r="RM29" s="61"/>
      <c r="RN29" s="61"/>
      <c r="RO29" s="61"/>
      <c r="RP29" s="61"/>
      <c r="RQ29" s="61"/>
      <c r="RR29" s="61"/>
      <c r="RS29" s="61"/>
      <c r="RT29" s="61"/>
      <c r="RU29" s="61"/>
      <c r="RV29" s="61"/>
      <c r="RW29" s="61"/>
      <c r="RX29" s="61"/>
      <c r="RY29" s="61"/>
      <c r="RZ29" s="61"/>
      <c r="SA29" s="61"/>
    </row>
    <row r="30" spans="1:495" x14ac:dyDescent="0.2">
      <c r="A30" s="66" t="s">
        <v>1074</v>
      </c>
      <c r="B30" s="61">
        <v>0</v>
      </c>
      <c r="C30" s="61">
        <v>0</v>
      </c>
      <c r="D30" s="61">
        <v>0</v>
      </c>
      <c r="E30" s="61">
        <v>0</v>
      </c>
      <c r="F30" s="61">
        <v>0</v>
      </c>
      <c r="G30" s="61">
        <v>0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0</v>
      </c>
      <c r="N30" s="61">
        <v>0</v>
      </c>
      <c r="O30" s="61">
        <v>0</v>
      </c>
      <c r="P30" s="61">
        <v>0</v>
      </c>
      <c r="Q30" s="61">
        <v>0</v>
      </c>
      <c r="R30" s="61">
        <v>0</v>
      </c>
      <c r="S30" s="61">
        <v>0</v>
      </c>
      <c r="T30" s="61">
        <v>0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0</v>
      </c>
      <c r="AD30" s="61">
        <v>0</v>
      </c>
      <c r="AE30" s="61">
        <v>0</v>
      </c>
      <c r="AF30" s="61">
        <v>0</v>
      </c>
      <c r="AG30" s="61">
        <v>0</v>
      </c>
      <c r="AH30" s="61">
        <v>0</v>
      </c>
      <c r="AI30" s="61">
        <v>0</v>
      </c>
      <c r="AJ30" s="61">
        <v>0</v>
      </c>
      <c r="AK30" s="61">
        <v>0</v>
      </c>
      <c r="AL30" s="61">
        <v>0</v>
      </c>
      <c r="AM30" s="61">
        <v>0</v>
      </c>
      <c r="AN30" s="61">
        <v>0</v>
      </c>
      <c r="AO30" s="61">
        <v>0</v>
      </c>
      <c r="AP30" s="61">
        <v>0</v>
      </c>
      <c r="AQ30" s="61">
        <v>0</v>
      </c>
      <c r="AR30" s="61">
        <v>0</v>
      </c>
      <c r="AS30" s="61">
        <v>0</v>
      </c>
      <c r="AT30" s="61">
        <v>0</v>
      </c>
      <c r="AU30" s="61">
        <v>0</v>
      </c>
      <c r="AV30" s="61">
        <v>0</v>
      </c>
      <c r="AW30" s="61">
        <v>0</v>
      </c>
      <c r="AX30" s="61">
        <v>0</v>
      </c>
      <c r="AY30" s="61">
        <v>0</v>
      </c>
      <c r="AZ30" s="61">
        <v>0</v>
      </c>
      <c r="BA30" s="61">
        <v>0</v>
      </c>
      <c r="BB30" s="61">
        <v>0</v>
      </c>
      <c r="BC30" s="61">
        <v>0</v>
      </c>
      <c r="BD30" s="61">
        <v>0</v>
      </c>
      <c r="BE30" s="61">
        <v>0</v>
      </c>
      <c r="BF30" s="61">
        <v>0</v>
      </c>
      <c r="BG30" s="61">
        <v>0</v>
      </c>
      <c r="BH30" s="61">
        <v>0</v>
      </c>
      <c r="BI30" s="61">
        <v>0</v>
      </c>
      <c r="BJ30" s="61">
        <v>0</v>
      </c>
      <c r="BK30" s="61">
        <v>0</v>
      </c>
      <c r="BL30" s="61">
        <v>0</v>
      </c>
      <c r="BM30" s="61">
        <v>0</v>
      </c>
      <c r="BN30" s="61">
        <v>0</v>
      </c>
      <c r="BO30" s="61">
        <v>0</v>
      </c>
      <c r="BP30" s="61">
        <v>0</v>
      </c>
      <c r="BQ30" s="61">
        <v>0</v>
      </c>
      <c r="BR30" s="61">
        <v>0</v>
      </c>
      <c r="BS30" s="61">
        <v>0</v>
      </c>
      <c r="BT30" s="61">
        <v>0</v>
      </c>
      <c r="BU30" s="61">
        <v>0</v>
      </c>
      <c r="BV30" s="61">
        <v>0</v>
      </c>
      <c r="BW30" s="61">
        <v>0</v>
      </c>
      <c r="BX30" s="61">
        <v>0</v>
      </c>
      <c r="BY30" s="61">
        <v>0</v>
      </c>
      <c r="BZ30" s="61">
        <v>0</v>
      </c>
      <c r="CA30" s="61">
        <v>0</v>
      </c>
      <c r="CB30" s="61">
        <v>0</v>
      </c>
      <c r="CC30" s="61">
        <v>0</v>
      </c>
      <c r="CD30" s="61">
        <v>0</v>
      </c>
      <c r="CE30" s="61">
        <v>0</v>
      </c>
      <c r="CF30" s="61">
        <v>0</v>
      </c>
      <c r="CG30" s="61">
        <v>0</v>
      </c>
      <c r="CH30" s="61">
        <v>0</v>
      </c>
      <c r="CI30" s="61">
        <v>0</v>
      </c>
      <c r="CJ30" s="61">
        <v>0</v>
      </c>
      <c r="CK30" s="61">
        <v>0</v>
      </c>
      <c r="CL30" s="61">
        <v>0</v>
      </c>
      <c r="CM30" s="61">
        <v>0</v>
      </c>
      <c r="CN30" s="61">
        <v>0</v>
      </c>
      <c r="CO30" s="61">
        <v>0</v>
      </c>
      <c r="CP30" s="61">
        <v>0</v>
      </c>
      <c r="CQ30" s="61">
        <v>0</v>
      </c>
      <c r="CR30" s="61">
        <v>0</v>
      </c>
      <c r="CS30" s="61">
        <v>0</v>
      </c>
      <c r="CT30" s="61">
        <v>0</v>
      </c>
      <c r="CU30" s="61">
        <v>0</v>
      </c>
      <c r="CV30" s="61">
        <v>0</v>
      </c>
      <c r="CW30" s="61">
        <v>0</v>
      </c>
      <c r="CX30" s="61">
        <v>0</v>
      </c>
      <c r="CY30" s="61">
        <v>0</v>
      </c>
      <c r="CZ30" s="61">
        <v>0</v>
      </c>
      <c r="DA30" s="61">
        <v>0</v>
      </c>
      <c r="DB30" s="61">
        <v>0</v>
      </c>
      <c r="DC30" s="61">
        <v>0</v>
      </c>
      <c r="DD30" s="61">
        <v>0</v>
      </c>
      <c r="DE30" s="61">
        <v>0</v>
      </c>
      <c r="DF30" s="61">
        <v>0</v>
      </c>
      <c r="DG30" s="61">
        <v>0</v>
      </c>
      <c r="DH30" s="61">
        <v>0</v>
      </c>
      <c r="DI30" s="61">
        <v>0</v>
      </c>
      <c r="DJ30" s="61">
        <f>IF(DJ12&lt;0,-DJ12,0) + IF(DJ15&lt;0,-DJ15,0) + IF(DJ18&lt;0,-DJ18,0) + 0</f>
        <v>0</v>
      </c>
      <c r="DK30" s="61">
        <f>IF(DK12&lt;0,-DK12,0) + IF(DK15&lt;0,-DK15,0) + IF(DK18&lt;0,-DK18,0) +3548479317.34</f>
        <v>3548479317.3400002</v>
      </c>
      <c r="DL30" s="61">
        <v>0</v>
      </c>
      <c r="DM30" s="61">
        <v>0</v>
      </c>
      <c r="DN30" s="61">
        <v>0</v>
      </c>
      <c r="DO30" s="61">
        <v>0</v>
      </c>
      <c r="DP30" s="61">
        <v>0</v>
      </c>
      <c r="DQ30" s="61">
        <v>0</v>
      </c>
      <c r="DR30" s="61">
        <v>0</v>
      </c>
      <c r="DS30" s="61">
        <v>0</v>
      </c>
      <c r="DT30" s="61">
        <v>0</v>
      </c>
      <c r="DU30" s="61">
        <v>0</v>
      </c>
      <c r="DV30" s="61">
        <v>0</v>
      </c>
      <c r="DW30" s="61">
        <v>0</v>
      </c>
      <c r="DX30" s="61">
        <v>0</v>
      </c>
      <c r="DY30" s="61">
        <v>0</v>
      </c>
      <c r="DZ30" s="61">
        <v>0</v>
      </c>
      <c r="EA30" s="61">
        <v>0</v>
      </c>
      <c r="EB30" s="61">
        <v>0</v>
      </c>
      <c r="EC30" s="61">
        <v>0</v>
      </c>
      <c r="ED30" s="61">
        <v>0</v>
      </c>
      <c r="EE30" s="61">
        <v>0</v>
      </c>
      <c r="EF30" s="61">
        <v>0</v>
      </c>
      <c r="EG30" s="61">
        <v>0</v>
      </c>
      <c r="EH30" s="61">
        <v>100</v>
      </c>
      <c r="EI30" s="61">
        <v>0</v>
      </c>
      <c r="EJ30" s="61">
        <v>0</v>
      </c>
      <c r="EK30" s="61">
        <v>0</v>
      </c>
      <c r="EL30" s="61">
        <v>0</v>
      </c>
      <c r="EM30" s="61">
        <v>0</v>
      </c>
      <c r="EN30" s="61">
        <v>1000032876.71</v>
      </c>
      <c r="EO30" s="61">
        <v>0</v>
      </c>
      <c r="EP30" s="61">
        <v>0</v>
      </c>
      <c r="EQ30" s="61">
        <v>0</v>
      </c>
      <c r="ER30" s="61">
        <v>0</v>
      </c>
      <c r="ES30" s="61">
        <v>0</v>
      </c>
      <c r="ET30" s="61">
        <v>0</v>
      </c>
      <c r="EU30" s="61">
        <v>0</v>
      </c>
      <c r="EV30" s="61">
        <v>200</v>
      </c>
      <c r="EW30" s="61">
        <v>0</v>
      </c>
      <c r="EX30" s="61">
        <v>0</v>
      </c>
      <c r="EY30" s="61">
        <v>0</v>
      </c>
      <c r="EZ30" s="61">
        <v>0</v>
      </c>
      <c r="FA30" s="61">
        <v>0</v>
      </c>
      <c r="FB30" s="61">
        <v>0</v>
      </c>
      <c r="FC30" s="61">
        <v>0</v>
      </c>
      <c r="FD30" s="61">
        <v>0</v>
      </c>
      <c r="FE30" s="61">
        <v>0</v>
      </c>
      <c r="FF30" s="61">
        <v>0</v>
      </c>
      <c r="FG30" s="61">
        <v>0</v>
      </c>
      <c r="FH30" s="61">
        <v>0</v>
      </c>
      <c r="FI30" s="61">
        <v>0</v>
      </c>
      <c r="FJ30" s="61">
        <v>0</v>
      </c>
      <c r="FK30" s="61">
        <v>0</v>
      </c>
      <c r="FL30" s="61">
        <v>0</v>
      </c>
      <c r="FM30" s="61">
        <v>0</v>
      </c>
      <c r="FN30" s="61">
        <f>IF(FN12&lt;0,-FN12,0) + IF(FN15&lt;0,-FN15,0) + IF(FN18&lt;0,-FN18,0) + 0</f>
        <v>0</v>
      </c>
      <c r="FO30" s="61">
        <f>IF(FO12&lt;0,-FO12,0) + IF(FO15&lt;0,-FO15,0) + IF(FO18&lt;0,-FO18,0) + 0</f>
        <v>0</v>
      </c>
      <c r="FP30" s="61">
        <v>0</v>
      </c>
      <c r="FQ30" s="61">
        <v>0</v>
      </c>
      <c r="FR30" s="61">
        <v>0</v>
      </c>
      <c r="FS30" s="61">
        <v>0</v>
      </c>
      <c r="FT30" s="61">
        <v>0</v>
      </c>
      <c r="FU30" s="61">
        <v>0</v>
      </c>
      <c r="FV30" s="61">
        <v>0</v>
      </c>
      <c r="FW30" s="61">
        <v>0</v>
      </c>
      <c r="FX30" s="61">
        <v>0</v>
      </c>
      <c r="FY30" s="61">
        <v>0</v>
      </c>
      <c r="FZ30" s="61">
        <v>0</v>
      </c>
      <c r="GA30" s="61">
        <v>0</v>
      </c>
      <c r="GB30" s="61">
        <v>0</v>
      </c>
      <c r="GC30" s="61">
        <v>0</v>
      </c>
      <c r="GD30" s="61">
        <v>0</v>
      </c>
      <c r="GE30" s="61">
        <v>1000096164.38</v>
      </c>
      <c r="GF30" s="61">
        <v>0</v>
      </c>
      <c r="GG30" s="61">
        <v>0</v>
      </c>
      <c r="GH30" s="61">
        <v>0</v>
      </c>
      <c r="GI30" s="61">
        <v>0</v>
      </c>
      <c r="GJ30" s="61">
        <v>0</v>
      </c>
      <c r="GK30" s="61">
        <v>0</v>
      </c>
      <c r="GL30" s="61">
        <v>0</v>
      </c>
      <c r="GM30" s="61">
        <v>0</v>
      </c>
      <c r="GN30" s="61">
        <v>0</v>
      </c>
      <c r="GO30" s="61">
        <v>0</v>
      </c>
      <c r="GP30" s="61">
        <v>0</v>
      </c>
      <c r="GQ30" s="61">
        <v>0</v>
      </c>
      <c r="GR30" s="61">
        <v>0</v>
      </c>
      <c r="GS30" s="61">
        <v>0</v>
      </c>
      <c r="GT30" s="61">
        <v>0</v>
      </c>
      <c r="GU30" s="61">
        <v>0</v>
      </c>
      <c r="GV30" s="61">
        <v>0</v>
      </c>
      <c r="GW30" s="61">
        <v>0</v>
      </c>
      <c r="GX30" s="61">
        <v>1000032876.71</v>
      </c>
      <c r="GY30" s="61">
        <v>0</v>
      </c>
      <c r="GZ30" s="61">
        <v>0</v>
      </c>
      <c r="HA30" s="61">
        <v>0</v>
      </c>
      <c r="HB30" s="61">
        <v>0</v>
      </c>
      <c r="HC30" s="61">
        <v>0</v>
      </c>
      <c r="HD30" s="61">
        <v>0</v>
      </c>
      <c r="HE30" s="61">
        <v>0</v>
      </c>
      <c r="HF30" s="61">
        <v>0</v>
      </c>
      <c r="HG30" s="61">
        <v>0</v>
      </c>
      <c r="HH30" s="61">
        <v>0</v>
      </c>
      <c r="HI30" s="61">
        <v>0</v>
      </c>
      <c r="HJ30" s="61">
        <v>0</v>
      </c>
      <c r="HK30" s="61">
        <v>0</v>
      </c>
      <c r="HL30" s="61">
        <v>0</v>
      </c>
      <c r="HM30" s="61">
        <v>0</v>
      </c>
      <c r="HN30" s="61">
        <v>0</v>
      </c>
      <c r="HO30" s="61">
        <v>0</v>
      </c>
      <c r="HP30" s="61">
        <v>0</v>
      </c>
      <c r="HQ30" s="61">
        <v>0</v>
      </c>
      <c r="HR30" s="61">
        <v>0</v>
      </c>
      <c r="HS30" s="61">
        <v>0</v>
      </c>
      <c r="HT30" s="61">
        <v>0</v>
      </c>
      <c r="HU30" s="61">
        <v>0</v>
      </c>
      <c r="HV30" s="61">
        <v>0</v>
      </c>
      <c r="HW30" s="61">
        <v>0</v>
      </c>
      <c r="HX30" s="61">
        <v>0</v>
      </c>
      <c r="HY30" s="61">
        <v>0</v>
      </c>
      <c r="HZ30" s="61">
        <v>0</v>
      </c>
      <c r="IA30" s="61">
        <f>IF(IA12&lt;0,-IA12,0) + IF(IA15&lt;0,-IA15,0) + IF(IA18&lt;0,-IA18,0) + 0</f>
        <v>0</v>
      </c>
      <c r="IB30" s="61">
        <f>IF(IB12&lt;0,-IB12,0) + IF(IB15&lt;0,-IB15,0) + IF(IB18&lt;0,-IB18,0) + 0</f>
        <v>0</v>
      </c>
      <c r="IC30" s="61">
        <v>0</v>
      </c>
      <c r="ID30" s="61">
        <v>0</v>
      </c>
      <c r="IE30" s="61">
        <v>0</v>
      </c>
      <c r="IF30" s="61">
        <v>0</v>
      </c>
      <c r="IG30" s="61">
        <v>0</v>
      </c>
      <c r="IH30" s="61">
        <v>0</v>
      </c>
      <c r="II30" s="61">
        <v>0</v>
      </c>
      <c r="IJ30" s="61">
        <v>0</v>
      </c>
      <c r="IK30" s="61">
        <v>0</v>
      </c>
      <c r="IL30" s="61">
        <v>0</v>
      </c>
      <c r="IM30" s="61">
        <v>0</v>
      </c>
      <c r="IN30" s="61">
        <v>0</v>
      </c>
      <c r="IO30" s="61">
        <v>0</v>
      </c>
      <c r="IP30" s="61">
        <v>0</v>
      </c>
      <c r="IQ30" s="61">
        <v>0</v>
      </c>
      <c r="IR30" s="61">
        <v>0</v>
      </c>
      <c r="IS30" s="61">
        <v>0</v>
      </c>
      <c r="IT30" s="61">
        <v>0</v>
      </c>
      <c r="IU30" s="61">
        <v>0</v>
      </c>
      <c r="IV30" s="61">
        <v>0</v>
      </c>
      <c r="IW30" s="61">
        <v>0</v>
      </c>
      <c r="IX30" s="61">
        <v>0</v>
      </c>
      <c r="IY30" s="61">
        <v>0</v>
      </c>
      <c r="IZ30" s="61">
        <v>0</v>
      </c>
      <c r="JA30" s="61">
        <v>0</v>
      </c>
      <c r="JB30" s="61">
        <v>0</v>
      </c>
      <c r="JC30" s="61">
        <v>0</v>
      </c>
      <c r="JD30" s="61">
        <v>0</v>
      </c>
      <c r="JE30" s="61">
        <v>0</v>
      </c>
      <c r="JF30" s="61">
        <v>0</v>
      </c>
      <c r="JG30" s="61">
        <v>0</v>
      </c>
      <c r="JH30" s="61">
        <v>0</v>
      </c>
      <c r="JI30" s="61">
        <v>0</v>
      </c>
      <c r="JJ30" s="61">
        <v>0</v>
      </c>
      <c r="JK30" s="61">
        <v>0</v>
      </c>
      <c r="JL30" s="61">
        <v>0</v>
      </c>
      <c r="JM30" s="61">
        <v>0</v>
      </c>
      <c r="JN30" s="61">
        <v>0</v>
      </c>
      <c r="JO30" s="61">
        <v>0</v>
      </c>
      <c r="JP30" s="61">
        <v>0</v>
      </c>
      <c r="JQ30" s="61">
        <v>0</v>
      </c>
      <c r="JR30" s="61">
        <v>0</v>
      </c>
      <c r="JS30" s="61">
        <v>0</v>
      </c>
      <c r="JT30" s="61">
        <v>0</v>
      </c>
      <c r="JU30" s="61">
        <v>0</v>
      </c>
      <c r="JV30" s="61">
        <v>0</v>
      </c>
      <c r="JW30" s="61">
        <v>0</v>
      </c>
      <c r="JX30" s="61">
        <v>0</v>
      </c>
      <c r="JY30" s="61">
        <v>0</v>
      </c>
      <c r="JZ30" s="61">
        <v>0</v>
      </c>
      <c r="KA30" s="61">
        <v>0</v>
      </c>
      <c r="KB30" s="61">
        <v>0</v>
      </c>
      <c r="KC30" s="61">
        <v>0</v>
      </c>
      <c r="KD30" s="61">
        <v>0</v>
      </c>
      <c r="KE30" s="61">
        <v>0</v>
      </c>
      <c r="KF30" s="61">
        <v>0</v>
      </c>
      <c r="KG30" s="61">
        <v>0</v>
      </c>
      <c r="KH30" s="61">
        <v>0</v>
      </c>
      <c r="KI30" s="61">
        <v>0</v>
      </c>
      <c r="KJ30" s="61">
        <v>0</v>
      </c>
      <c r="KK30" s="61">
        <v>0</v>
      </c>
      <c r="KL30" s="61">
        <v>0</v>
      </c>
      <c r="KM30" s="61">
        <v>0</v>
      </c>
      <c r="KN30" s="61">
        <v>0</v>
      </c>
      <c r="KO30" s="61">
        <v>0</v>
      </c>
      <c r="KP30" s="61">
        <v>0</v>
      </c>
      <c r="KQ30" s="61">
        <v>0</v>
      </c>
      <c r="KR30" s="61">
        <v>0</v>
      </c>
      <c r="KS30" s="61">
        <v>0</v>
      </c>
      <c r="KT30" s="61">
        <v>0</v>
      </c>
      <c r="KU30" s="61">
        <v>0</v>
      </c>
      <c r="KV30" s="61">
        <v>0</v>
      </c>
      <c r="KW30" s="61">
        <v>0</v>
      </c>
      <c r="KX30" s="61">
        <v>0</v>
      </c>
      <c r="KY30" s="61">
        <v>0</v>
      </c>
      <c r="KZ30" s="61">
        <v>0</v>
      </c>
      <c r="LA30" s="61">
        <v>0</v>
      </c>
      <c r="LB30" s="61">
        <v>0</v>
      </c>
      <c r="LC30" s="61">
        <v>0</v>
      </c>
      <c r="LD30" s="61">
        <v>0</v>
      </c>
      <c r="LE30" s="61">
        <v>0</v>
      </c>
      <c r="LF30" s="61">
        <v>0</v>
      </c>
      <c r="LG30" s="61">
        <v>0</v>
      </c>
      <c r="LH30" s="61">
        <v>0</v>
      </c>
      <c r="LI30" s="61">
        <v>0</v>
      </c>
      <c r="LJ30" s="61">
        <v>0</v>
      </c>
      <c r="LK30" s="61">
        <v>0</v>
      </c>
      <c r="LL30" s="61">
        <v>0</v>
      </c>
      <c r="LM30" s="61">
        <v>0</v>
      </c>
      <c r="LN30" s="61">
        <v>0</v>
      </c>
      <c r="LO30" s="61">
        <v>0</v>
      </c>
      <c r="LP30" s="61">
        <v>0</v>
      </c>
      <c r="LQ30" s="61">
        <v>0</v>
      </c>
      <c r="LR30" s="61">
        <v>0</v>
      </c>
      <c r="LS30" s="61">
        <v>0</v>
      </c>
      <c r="LT30" s="61">
        <v>0</v>
      </c>
      <c r="LU30" s="61">
        <v>0</v>
      </c>
      <c r="LV30" s="61">
        <v>0</v>
      </c>
      <c r="LW30" s="61">
        <v>0</v>
      </c>
      <c r="LX30" s="61">
        <v>0</v>
      </c>
      <c r="LY30" s="61">
        <v>0</v>
      </c>
      <c r="LZ30" s="61">
        <v>0</v>
      </c>
      <c r="MA30" s="61">
        <v>0</v>
      </c>
      <c r="MB30" s="61">
        <v>0</v>
      </c>
      <c r="MC30" s="61">
        <v>0</v>
      </c>
      <c r="MD30" s="61">
        <v>0</v>
      </c>
      <c r="ME30" s="61">
        <v>0</v>
      </c>
      <c r="MF30" s="61">
        <v>0</v>
      </c>
      <c r="MG30" s="61">
        <v>0</v>
      </c>
      <c r="MH30" s="61">
        <v>0</v>
      </c>
      <c r="MI30" s="61">
        <v>0</v>
      </c>
      <c r="MJ30" s="61">
        <v>0</v>
      </c>
      <c r="MK30" s="61">
        <v>0</v>
      </c>
      <c r="ML30" s="61">
        <v>0</v>
      </c>
      <c r="MM30" s="61">
        <v>0</v>
      </c>
      <c r="MN30" s="61">
        <v>0</v>
      </c>
      <c r="MO30" s="61">
        <v>0</v>
      </c>
      <c r="MP30" s="61">
        <v>0</v>
      </c>
      <c r="MQ30" s="61">
        <v>0</v>
      </c>
      <c r="MR30" s="61">
        <v>0</v>
      </c>
      <c r="MS30" s="61">
        <v>0</v>
      </c>
      <c r="MT30" s="61">
        <v>0</v>
      </c>
      <c r="MU30" s="61">
        <v>0</v>
      </c>
      <c r="MV30" s="61">
        <v>0</v>
      </c>
      <c r="MW30" s="61">
        <v>0</v>
      </c>
      <c r="MX30" s="61">
        <v>0</v>
      </c>
      <c r="MY30" s="61">
        <v>0</v>
      </c>
      <c r="MZ30" s="61">
        <v>0</v>
      </c>
      <c r="NA30" s="61">
        <v>0</v>
      </c>
      <c r="NB30" s="61">
        <v>0</v>
      </c>
      <c r="NC30" s="61">
        <v>0</v>
      </c>
      <c r="ND30" s="61">
        <v>0</v>
      </c>
      <c r="NE30" s="61">
        <v>0</v>
      </c>
      <c r="NF30" s="61">
        <v>0</v>
      </c>
      <c r="NG30" s="61">
        <v>0</v>
      </c>
      <c r="NH30" s="61">
        <v>0</v>
      </c>
      <c r="NI30" s="61">
        <v>0</v>
      </c>
      <c r="NJ30" s="61">
        <v>0</v>
      </c>
      <c r="NK30" s="61">
        <v>0</v>
      </c>
      <c r="NL30" s="61">
        <v>0</v>
      </c>
      <c r="NM30" s="61">
        <v>0</v>
      </c>
      <c r="NN30" s="61">
        <v>0</v>
      </c>
      <c r="NO30" s="61">
        <v>0</v>
      </c>
      <c r="NP30" s="61">
        <v>0</v>
      </c>
      <c r="NQ30" s="61">
        <v>0</v>
      </c>
      <c r="NR30" s="61">
        <v>0</v>
      </c>
      <c r="NS30" s="61">
        <v>0</v>
      </c>
      <c r="NT30" s="61">
        <v>0</v>
      </c>
      <c r="NU30" s="61">
        <v>0</v>
      </c>
      <c r="NV30" s="61">
        <v>0</v>
      </c>
      <c r="NW30" s="61">
        <v>0</v>
      </c>
      <c r="NX30" s="61">
        <v>0</v>
      </c>
      <c r="NY30" s="61">
        <v>0</v>
      </c>
      <c r="NZ30" s="61">
        <v>0</v>
      </c>
      <c r="OA30" s="61">
        <v>0</v>
      </c>
      <c r="OB30" s="61">
        <v>0</v>
      </c>
      <c r="OC30" s="61">
        <v>0</v>
      </c>
      <c r="OD30" s="61">
        <v>0</v>
      </c>
      <c r="OE30" s="61">
        <v>0</v>
      </c>
      <c r="OF30" s="61">
        <v>0</v>
      </c>
      <c r="OG30" s="61">
        <v>0</v>
      </c>
      <c r="OH30" s="61">
        <v>0</v>
      </c>
      <c r="OI30" s="61">
        <v>0</v>
      </c>
      <c r="OJ30" s="61">
        <v>0</v>
      </c>
      <c r="OK30" s="61">
        <v>0</v>
      </c>
      <c r="OL30" s="61">
        <v>0</v>
      </c>
      <c r="OM30" s="61">
        <v>0</v>
      </c>
      <c r="ON30" s="61">
        <v>0</v>
      </c>
      <c r="OO30" s="61">
        <v>0</v>
      </c>
      <c r="OP30" s="61">
        <v>0</v>
      </c>
      <c r="OQ30" s="61">
        <v>0</v>
      </c>
      <c r="OR30" s="61">
        <v>0</v>
      </c>
      <c r="OS30" s="61">
        <v>0</v>
      </c>
      <c r="OT30" s="61">
        <v>0</v>
      </c>
      <c r="OU30" s="61">
        <v>0</v>
      </c>
      <c r="OV30" s="61">
        <v>0</v>
      </c>
      <c r="OW30" s="61">
        <v>0</v>
      </c>
      <c r="OX30" s="61">
        <v>0</v>
      </c>
      <c r="OY30" s="61">
        <v>0</v>
      </c>
      <c r="OZ30" s="61">
        <v>0</v>
      </c>
      <c r="PA30" s="61">
        <v>0</v>
      </c>
      <c r="PB30" s="61">
        <v>0</v>
      </c>
      <c r="PC30" s="61">
        <v>0</v>
      </c>
      <c r="PD30" s="61">
        <v>0</v>
      </c>
      <c r="PE30" s="61">
        <v>0</v>
      </c>
      <c r="PF30" s="61">
        <v>0</v>
      </c>
      <c r="PG30" s="61">
        <v>0</v>
      </c>
      <c r="PH30" s="61">
        <v>0</v>
      </c>
      <c r="PI30" s="61">
        <v>0</v>
      </c>
      <c r="PJ30" s="61">
        <v>0</v>
      </c>
      <c r="PK30" s="61">
        <v>0</v>
      </c>
      <c r="PL30" s="61">
        <v>0</v>
      </c>
      <c r="PM30" s="61">
        <v>0</v>
      </c>
      <c r="PN30" s="61">
        <v>0</v>
      </c>
      <c r="PO30" s="61">
        <v>0</v>
      </c>
      <c r="PP30" s="61">
        <f>IF(PP12&lt;0,-PP12,0) + IF(PP15&lt;0,-PP15,0) + IF(PP18&lt;0,-PP18,0) + 0</f>
        <v>0</v>
      </c>
      <c r="PQ30" s="61">
        <f>IF(PQ12&lt;0,-PQ12,0) + IF(PQ15&lt;0,-PQ15,0) + IF(PQ18&lt;0,-PQ18,0) + 0</f>
        <v>0</v>
      </c>
      <c r="PR30" s="61">
        <v>0</v>
      </c>
      <c r="PS30" s="61">
        <v>0</v>
      </c>
      <c r="PT30" s="61">
        <v>0</v>
      </c>
      <c r="PU30" s="61">
        <v>0</v>
      </c>
      <c r="PV30" s="61">
        <v>0</v>
      </c>
      <c r="PW30" s="61">
        <v>0</v>
      </c>
      <c r="PX30" s="61">
        <v>0</v>
      </c>
      <c r="PY30" s="61"/>
      <c r="PZ30" s="61"/>
      <c r="QA30" s="61"/>
      <c r="QB30" s="61"/>
      <c r="QC30" s="61"/>
      <c r="QD30" s="61"/>
      <c r="QE30" s="61"/>
      <c r="QF30" s="61"/>
      <c r="QG30" s="61"/>
      <c r="QH30" s="61"/>
      <c r="QI30" s="61"/>
      <c r="QJ30" s="61"/>
      <c r="QK30" s="61"/>
      <c r="QL30" s="61"/>
      <c r="QM30" s="61"/>
      <c r="QN30" s="61"/>
      <c r="QO30" s="61"/>
      <c r="QP30" s="61"/>
      <c r="QQ30" s="61"/>
      <c r="QR30" s="61"/>
      <c r="QS30" s="61"/>
      <c r="QT30" s="61"/>
      <c r="QU30" s="61"/>
      <c r="QV30" s="61"/>
      <c r="QW30" s="61"/>
      <c r="QX30" s="61"/>
      <c r="QY30" s="61"/>
      <c r="QZ30" s="61"/>
      <c r="RA30" s="61"/>
      <c r="RB30" s="61"/>
      <c r="RC30" s="61"/>
      <c r="RD30" s="61"/>
      <c r="RE30" s="61"/>
      <c r="RF30" s="61"/>
      <c r="RG30" s="61"/>
      <c r="RH30" s="61"/>
      <c r="RI30" s="61"/>
      <c r="RJ30" s="61"/>
      <c r="RK30" s="61"/>
      <c r="RL30" s="61"/>
      <c r="RM30" s="61"/>
      <c r="RN30" s="61"/>
      <c r="RO30" s="61"/>
      <c r="RP30" s="61"/>
      <c r="RQ30" s="61"/>
      <c r="RR30" s="61"/>
      <c r="RS30" s="61"/>
      <c r="RT30" s="61"/>
      <c r="RU30" s="61"/>
      <c r="RV30" s="61"/>
      <c r="RW30" s="61"/>
      <c r="RX30" s="61"/>
      <c r="RY30" s="61"/>
      <c r="RZ30" s="61"/>
      <c r="SA30" s="61"/>
    </row>
    <row r="31" spans="1:495" ht="14.25" x14ac:dyDescent="0.2">
      <c r="A31" s="66" t="s">
        <v>1075</v>
      </c>
      <c r="B31" s="61">
        <v>0</v>
      </c>
      <c r="C31" s="61">
        <v>0</v>
      </c>
      <c r="D31" s="61">
        <v>0</v>
      </c>
      <c r="E31" s="61">
        <v>0</v>
      </c>
      <c r="F31" s="61">
        <v>0</v>
      </c>
      <c r="G31" s="61">
        <v>0</v>
      </c>
      <c r="H31" s="61">
        <v>0</v>
      </c>
      <c r="I31" s="61">
        <v>0</v>
      </c>
      <c r="J31" s="61">
        <v>0</v>
      </c>
      <c r="K31" s="61">
        <v>3000000000</v>
      </c>
      <c r="L31" s="61">
        <v>0</v>
      </c>
      <c r="M31" s="61">
        <v>0</v>
      </c>
      <c r="N31" s="61">
        <v>0</v>
      </c>
      <c r="O31" s="61">
        <v>0</v>
      </c>
      <c r="P31" s="61">
        <v>1500000000</v>
      </c>
      <c r="Q31" s="61">
        <v>2000000000</v>
      </c>
      <c r="R31" s="61">
        <v>0</v>
      </c>
      <c r="S31" s="61">
        <v>0</v>
      </c>
      <c r="T31" s="61">
        <v>0</v>
      </c>
      <c r="U31" s="61">
        <v>0</v>
      </c>
      <c r="V31" s="61">
        <v>0</v>
      </c>
      <c r="W31" s="61">
        <v>3000000000</v>
      </c>
      <c r="X31" s="61">
        <v>1300000000</v>
      </c>
      <c r="Y31" s="61">
        <v>0</v>
      </c>
      <c r="Z31" s="61">
        <v>3000000000</v>
      </c>
      <c r="AA31" s="61">
        <v>0</v>
      </c>
      <c r="AB31" s="61">
        <v>0</v>
      </c>
      <c r="AC31" s="61">
        <v>0</v>
      </c>
      <c r="AD31" s="61">
        <v>0</v>
      </c>
      <c r="AE31" s="61">
        <v>0</v>
      </c>
      <c r="AF31" s="61">
        <v>0</v>
      </c>
      <c r="AG31" s="61">
        <v>0</v>
      </c>
      <c r="AH31" s="61">
        <v>0</v>
      </c>
      <c r="AI31" s="61">
        <v>0</v>
      </c>
      <c r="AJ31" s="61">
        <v>0</v>
      </c>
      <c r="AK31" s="61">
        <v>1418732980.3603799</v>
      </c>
      <c r="AL31" s="61">
        <v>2200000000</v>
      </c>
      <c r="AM31" s="61">
        <v>0</v>
      </c>
      <c r="AN31" s="61">
        <v>3495300000</v>
      </c>
      <c r="AO31" s="61">
        <v>170000000</v>
      </c>
      <c r="AP31" s="61">
        <v>0</v>
      </c>
      <c r="AQ31" s="61">
        <v>0</v>
      </c>
      <c r="AR31" s="61">
        <v>0</v>
      </c>
      <c r="AS31" s="61">
        <v>1500000000</v>
      </c>
      <c r="AT31" s="61">
        <v>2000000000</v>
      </c>
      <c r="AU31" s="61">
        <v>0</v>
      </c>
      <c r="AV31" s="61">
        <v>0</v>
      </c>
      <c r="AW31" s="61">
        <v>0</v>
      </c>
      <c r="AX31" s="61">
        <v>1500000000</v>
      </c>
      <c r="AY31" s="61">
        <v>0</v>
      </c>
      <c r="AZ31" s="61">
        <v>0</v>
      </c>
      <c r="BA31" s="61">
        <v>0</v>
      </c>
      <c r="BB31" s="61">
        <v>0</v>
      </c>
      <c r="BC31" s="61">
        <v>0</v>
      </c>
      <c r="BD31" s="61">
        <v>0</v>
      </c>
      <c r="BE31" s="61">
        <v>0</v>
      </c>
      <c r="BF31" s="61">
        <v>0</v>
      </c>
      <c r="BG31" s="61">
        <v>0</v>
      </c>
      <c r="BH31" s="61">
        <v>0</v>
      </c>
      <c r="BI31" s="61">
        <v>3442800000</v>
      </c>
      <c r="BJ31" s="61">
        <v>0</v>
      </c>
      <c r="BK31" s="61">
        <v>0</v>
      </c>
      <c r="BL31" s="61">
        <v>0</v>
      </c>
      <c r="BM31" s="61">
        <v>0</v>
      </c>
      <c r="BN31" s="61">
        <v>0</v>
      </c>
      <c r="BO31" s="61">
        <v>0</v>
      </c>
      <c r="BP31" s="61">
        <v>0</v>
      </c>
      <c r="BQ31" s="61">
        <v>200000000</v>
      </c>
      <c r="BR31" s="61">
        <v>250000000</v>
      </c>
      <c r="BS31" s="61">
        <v>0</v>
      </c>
      <c r="BT31" s="61">
        <v>0</v>
      </c>
      <c r="BU31" s="61">
        <v>0</v>
      </c>
      <c r="BV31" s="61">
        <v>0</v>
      </c>
      <c r="BW31" s="61">
        <v>0</v>
      </c>
      <c r="BX31" s="61">
        <v>2000000000</v>
      </c>
      <c r="BY31" s="61">
        <v>0</v>
      </c>
      <c r="BZ31" s="61">
        <v>0</v>
      </c>
      <c r="CA31" s="61">
        <v>0</v>
      </c>
      <c r="CB31" s="61">
        <v>0</v>
      </c>
      <c r="CC31" s="61">
        <v>0</v>
      </c>
      <c r="CD31" s="61">
        <v>0</v>
      </c>
      <c r="CE31" s="61">
        <v>0</v>
      </c>
      <c r="CF31" s="61">
        <v>0</v>
      </c>
      <c r="CG31" s="61">
        <v>0</v>
      </c>
      <c r="CH31" s="20">
        <v>2421849374</v>
      </c>
      <c r="CI31" s="61">
        <v>0</v>
      </c>
      <c r="CJ31" s="61">
        <v>0</v>
      </c>
      <c r="CK31" s="61">
        <v>0</v>
      </c>
      <c r="CL31" s="61">
        <v>0</v>
      </c>
      <c r="CM31" s="61">
        <v>0</v>
      </c>
      <c r="CN31" s="61">
        <v>0</v>
      </c>
      <c r="CO31" s="61">
        <v>0</v>
      </c>
      <c r="CP31" s="61">
        <v>0</v>
      </c>
      <c r="CQ31" s="61">
        <v>0</v>
      </c>
      <c r="CR31" s="61">
        <v>0</v>
      </c>
      <c r="CS31" s="61">
        <v>0</v>
      </c>
      <c r="CT31" s="61">
        <v>0</v>
      </c>
      <c r="CU31" s="61">
        <v>0</v>
      </c>
      <c r="CV31" s="61">
        <v>0</v>
      </c>
      <c r="CW31" s="61">
        <v>0</v>
      </c>
      <c r="CX31" s="61">
        <v>0</v>
      </c>
      <c r="CY31" s="61">
        <v>0</v>
      </c>
      <c r="CZ31" s="61">
        <v>0</v>
      </c>
      <c r="DA31" s="61">
        <v>2500000000</v>
      </c>
      <c r="DB31" s="61">
        <v>0</v>
      </c>
      <c r="DC31" s="61">
        <v>0</v>
      </c>
      <c r="DD31" s="61">
        <v>0</v>
      </c>
      <c r="DE31" s="61">
        <v>0</v>
      </c>
      <c r="DF31" s="61">
        <v>0</v>
      </c>
      <c r="DG31" s="61">
        <v>0</v>
      </c>
      <c r="DH31" s="61">
        <v>0</v>
      </c>
      <c r="DI31" s="61">
        <v>0</v>
      </c>
      <c r="DJ31" s="61">
        <v>0</v>
      </c>
      <c r="DK31" s="61">
        <v>0</v>
      </c>
      <c r="DL31" s="61">
        <v>0</v>
      </c>
      <c r="DM31" s="61">
        <v>0</v>
      </c>
      <c r="DN31" s="61">
        <v>0</v>
      </c>
      <c r="DO31" s="61">
        <v>0</v>
      </c>
      <c r="DP31" s="61">
        <v>0</v>
      </c>
      <c r="DQ31" s="61">
        <v>3396500000</v>
      </c>
      <c r="DR31" s="61">
        <v>0</v>
      </c>
      <c r="DS31" s="61">
        <v>0</v>
      </c>
      <c r="DT31" s="61">
        <v>0</v>
      </c>
      <c r="DU31" s="61">
        <v>3482400000</v>
      </c>
      <c r="DV31" s="61">
        <v>0</v>
      </c>
      <c r="DW31" s="61">
        <v>0</v>
      </c>
      <c r="DX31" s="61">
        <v>0</v>
      </c>
      <c r="DY31" s="61">
        <v>0</v>
      </c>
      <c r="DZ31" s="61">
        <v>3408400000</v>
      </c>
      <c r="EA31" s="61">
        <v>0</v>
      </c>
      <c r="EB31" s="61">
        <v>500000000</v>
      </c>
      <c r="EC31" s="61">
        <v>0</v>
      </c>
      <c r="ED31" s="61">
        <v>0</v>
      </c>
      <c r="EE31" s="61">
        <v>0</v>
      </c>
      <c r="EF31" s="61">
        <v>0</v>
      </c>
      <c r="EG31" s="61">
        <v>0</v>
      </c>
      <c r="EH31" s="61">
        <v>0</v>
      </c>
      <c r="EI31" s="61">
        <v>0</v>
      </c>
      <c r="EJ31" s="61">
        <v>0</v>
      </c>
      <c r="EK31" s="61">
        <v>0</v>
      </c>
      <c r="EL31" s="61">
        <v>0</v>
      </c>
      <c r="EM31" s="61">
        <v>0</v>
      </c>
      <c r="EN31" s="61">
        <v>0</v>
      </c>
      <c r="EO31" s="61">
        <v>2100000000</v>
      </c>
      <c r="EP31" s="61">
        <v>0</v>
      </c>
      <c r="EQ31" s="61">
        <v>0</v>
      </c>
      <c r="ER31" s="61">
        <v>0</v>
      </c>
      <c r="ES31" s="61">
        <v>900000000</v>
      </c>
      <c r="ET31" s="61">
        <v>0</v>
      </c>
      <c r="EU31" s="61">
        <v>0</v>
      </c>
      <c r="EV31" s="61">
        <v>0</v>
      </c>
      <c r="EW31" s="61">
        <v>0</v>
      </c>
      <c r="EX31" s="61">
        <v>0</v>
      </c>
      <c r="EY31" s="61">
        <v>0</v>
      </c>
      <c r="EZ31" s="61">
        <v>0</v>
      </c>
      <c r="FA31" s="61">
        <v>0</v>
      </c>
      <c r="FB31" s="61">
        <v>0</v>
      </c>
      <c r="FC31" s="61">
        <v>0</v>
      </c>
      <c r="FD31" s="61">
        <v>0</v>
      </c>
      <c r="FE31" s="61">
        <v>0</v>
      </c>
      <c r="FF31" s="61">
        <v>3330300000</v>
      </c>
      <c r="FG31" s="61">
        <v>0</v>
      </c>
      <c r="FH31" s="61">
        <v>0</v>
      </c>
      <c r="FI31" s="61">
        <v>0</v>
      </c>
      <c r="FJ31" s="61">
        <v>0</v>
      </c>
      <c r="FK31" s="61">
        <v>500000000</v>
      </c>
      <c r="FL31" s="61">
        <v>0</v>
      </c>
      <c r="FM31" s="61">
        <v>0</v>
      </c>
      <c r="FN31" s="61">
        <v>0</v>
      </c>
      <c r="FO31" s="61">
        <v>0</v>
      </c>
      <c r="FP31" s="61">
        <v>0</v>
      </c>
      <c r="FQ31" s="61">
        <v>0</v>
      </c>
      <c r="FR31" s="61">
        <v>0</v>
      </c>
      <c r="FS31" s="61">
        <v>0</v>
      </c>
      <c r="FT31" s="61">
        <v>0</v>
      </c>
      <c r="FU31" s="61">
        <v>0</v>
      </c>
      <c r="FV31" s="61">
        <v>0</v>
      </c>
      <c r="FW31" s="61">
        <v>0</v>
      </c>
      <c r="FX31" s="61">
        <v>0</v>
      </c>
      <c r="FY31" s="61">
        <v>0</v>
      </c>
      <c r="FZ31" s="61">
        <v>0</v>
      </c>
      <c r="GA31" s="61">
        <v>0</v>
      </c>
      <c r="GB31" s="61">
        <v>0</v>
      </c>
      <c r="GC31" s="61">
        <v>0</v>
      </c>
      <c r="GD31" s="61">
        <v>0</v>
      </c>
      <c r="GE31" s="61">
        <v>0</v>
      </c>
      <c r="GF31" s="61">
        <v>0</v>
      </c>
      <c r="GG31" s="61">
        <v>0</v>
      </c>
      <c r="GH31" s="61">
        <v>0</v>
      </c>
      <c r="GI31" s="61">
        <v>0</v>
      </c>
      <c r="GJ31" s="61">
        <v>0</v>
      </c>
      <c r="GK31" s="61">
        <v>0</v>
      </c>
      <c r="GL31" s="61">
        <v>0</v>
      </c>
      <c r="GM31" s="61">
        <v>0</v>
      </c>
      <c r="GN31" s="61">
        <v>0</v>
      </c>
      <c r="GO31" s="61">
        <v>4324475000</v>
      </c>
      <c r="GP31" s="61">
        <v>0</v>
      </c>
      <c r="GQ31" s="61">
        <v>0</v>
      </c>
      <c r="GR31" s="61">
        <v>0</v>
      </c>
      <c r="GS31" s="61">
        <v>3316800000</v>
      </c>
      <c r="GT31" s="61">
        <v>0</v>
      </c>
      <c r="GU31" s="61">
        <v>0</v>
      </c>
      <c r="GV31" s="61">
        <v>3328900000</v>
      </c>
      <c r="GW31" s="61">
        <v>0</v>
      </c>
      <c r="GX31" s="61">
        <v>0</v>
      </c>
      <c r="GY31" s="61">
        <v>0</v>
      </c>
      <c r="GZ31" s="61">
        <v>0</v>
      </c>
      <c r="HA31" s="61">
        <v>0</v>
      </c>
      <c r="HB31" s="61">
        <v>0</v>
      </c>
      <c r="HC31" s="61">
        <v>0</v>
      </c>
      <c r="HD31" s="61">
        <v>0</v>
      </c>
      <c r="HE31" s="61">
        <v>0</v>
      </c>
      <c r="HF31" s="61">
        <v>0</v>
      </c>
      <c r="HG31" s="61">
        <v>0</v>
      </c>
      <c r="HH31" s="61">
        <v>0</v>
      </c>
      <c r="HI31" s="61">
        <v>0</v>
      </c>
      <c r="HJ31" s="61">
        <v>0</v>
      </c>
      <c r="HK31" s="61">
        <v>0</v>
      </c>
      <c r="HL31" s="61">
        <v>0</v>
      </c>
      <c r="HM31" s="61">
        <v>0</v>
      </c>
      <c r="HN31" s="61">
        <v>0</v>
      </c>
      <c r="HO31" s="61">
        <v>0</v>
      </c>
      <c r="HP31" s="61">
        <v>980490000</v>
      </c>
      <c r="HQ31" s="61">
        <v>0</v>
      </c>
      <c r="HR31" s="61">
        <v>0</v>
      </c>
      <c r="HS31" s="61">
        <v>0</v>
      </c>
      <c r="HT31" s="61">
        <v>979890000</v>
      </c>
      <c r="HU31" s="61">
        <v>652120000</v>
      </c>
      <c r="HV31" s="61">
        <v>0</v>
      </c>
      <c r="HW31" s="61">
        <v>0</v>
      </c>
      <c r="HX31" s="61">
        <v>0</v>
      </c>
      <c r="HY31" s="61">
        <v>0</v>
      </c>
      <c r="HZ31" s="61">
        <v>0</v>
      </c>
      <c r="IA31" s="61">
        <v>0</v>
      </c>
      <c r="IB31" s="61">
        <v>0</v>
      </c>
      <c r="IC31" s="61">
        <v>0</v>
      </c>
      <c r="ID31" s="61">
        <v>0</v>
      </c>
      <c r="IE31" s="61">
        <v>0</v>
      </c>
      <c r="IF31" s="61">
        <v>0</v>
      </c>
      <c r="IG31" s="61">
        <v>0</v>
      </c>
      <c r="IH31" s="61">
        <v>0</v>
      </c>
      <c r="II31" s="61">
        <v>0</v>
      </c>
      <c r="IJ31" s="61">
        <v>2295440000</v>
      </c>
      <c r="IK31" s="61">
        <v>0</v>
      </c>
      <c r="IL31" s="61">
        <v>0</v>
      </c>
      <c r="IM31" s="61">
        <v>2000000000</v>
      </c>
      <c r="IN31" s="61">
        <v>0</v>
      </c>
      <c r="IO31" s="61">
        <v>0</v>
      </c>
      <c r="IP31" s="61">
        <v>1000000000</v>
      </c>
      <c r="IQ31" s="61">
        <v>1289800000</v>
      </c>
      <c r="IR31" s="61">
        <v>0</v>
      </c>
      <c r="IS31" s="61">
        <v>0</v>
      </c>
      <c r="IT31" s="61">
        <v>0</v>
      </c>
      <c r="IU31" s="61">
        <v>2000000000</v>
      </c>
      <c r="IV31" s="61">
        <v>0</v>
      </c>
      <c r="IW31" s="61">
        <v>0</v>
      </c>
      <c r="IX31" s="61">
        <v>0</v>
      </c>
      <c r="IY31" s="61">
        <v>0</v>
      </c>
      <c r="IZ31" s="61">
        <v>5127032000</v>
      </c>
      <c r="JA31" s="61">
        <v>0</v>
      </c>
      <c r="JB31" s="61">
        <v>1150000000</v>
      </c>
      <c r="JC31" s="61">
        <v>0</v>
      </c>
      <c r="JD31" s="61">
        <v>0</v>
      </c>
      <c r="JE31" s="61">
        <v>0</v>
      </c>
      <c r="JF31" s="61">
        <v>0</v>
      </c>
      <c r="JG31" s="61">
        <v>0</v>
      </c>
      <c r="JH31" s="61">
        <v>0</v>
      </c>
      <c r="JI31" s="61">
        <v>0</v>
      </c>
      <c r="JJ31" s="61">
        <v>3526839000</v>
      </c>
      <c r="JK31" s="61">
        <v>0</v>
      </c>
      <c r="JL31" s="61">
        <v>0</v>
      </c>
      <c r="JM31" s="61">
        <v>0</v>
      </c>
      <c r="JN31" s="61">
        <v>0</v>
      </c>
      <c r="JO31" s="61">
        <v>0</v>
      </c>
      <c r="JP31" s="61">
        <v>0</v>
      </c>
      <c r="JQ31" s="61">
        <v>0</v>
      </c>
      <c r="JR31" s="61">
        <v>0</v>
      </c>
      <c r="JS31" s="61">
        <v>0</v>
      </c>
      <c r="JT31" s="61">
        <v>1000000000</v>
      </c>
      <c r="JU31" s="61">
        <v>0</v>
      </c>
      <c r="JV31" s="61">
        <v>0</v>
      </c>
      <c r="JW31" s="61">
        <v>0</v>
      </c>
      <c r="JX31" s="61">
        <v>0</v>
      </c>
      <c r="JY31" s="61">
        <v>1000000000</v>
      </c>
      <c r="JZ31" s="61">
        <v>0</v>
      </c>
      <c r="KA31" s="61">
        <v>0</v>
      </c>
      <c r="KB31" s="61">
        <v>0</v>
      </c>
      <c r="KC31" s="61">
        <v>1500000000</v>
      </c>
      <c r="KD31" s="61">
        <v>0</v>
      </c>
      <c r="KE31" s="61">
        <v>0</v>
      </c>
      <c r="KF31" s="61">
        <v>0</v>
      </c>
      <c r="KG31" s="61">
        <v>0</v>
      </c>
      <c r="KH31" s="61">
        <v>1500000000</v>
      </c>
      <c r="KI31" s="61">
        <v>1347018000</v>
      </c>
      <c r="KJ31" s="61">
        <v>0</v>
      </c>
      <c r="KK31" s="61">
        <v>0</v>
      </c>
      <c r="KL31" s="61">
        <v>0</v>
      </c>
      <c r="KM31" s="61">
        <v>0</v>
      </c>
      <c r="KN31" s="61">
        <v>1500000000</v>
      </c>
      <c r="KO31" s="61">
        <v>0</v>
      </c>
      <c r="KP31" s="61">
        <v>0</v>
      </c>
      <c r="KQ31" s="61">
        <v>0</v>
      </c>
      <c r="KR31" s="61">
        <v>0</v>
      </c>
      <c r="KS31" s="61">
        <v>0</v>
      </c>
      <c r="KT31" s="61">
        <v>0</v>
      </c>
      <c r="KU31" s="61">
        <v>0</v>
      </c>
      <c r="KV31" s="61">
        <v>0</v>
      </c>
      <c r="KW31" s="61">
        <v>0</v>
      </c>
      <c r="KX31" s="61">
        <v>0</v>
      </c>
      <c r="KY31" s="61">
        <v>0</v>
      </c>
      <c r="KZ31" s="61">
        <v>0</v>
      </c>
      <c r="LA31" s="61">
        <v>900000000</v>
      </c>
      <c r="LB31" s="61">
        <v>200000000</v>
      </c>
      <c r="LC31" s="61">
        <v>500000000</v>
      </c>
      <c r="LD31" s="61">
        <v>900000000</v>
      </c>
      <c r="LE31" s="61">
        <v>0</v>
      </c>
      <c r="LF31" s="61">
        <v>0</v>
      </c>
      <c r="LG31" s="61">
        <v>0</v>
      </c>
      <c r="LH31" s="61">
        <v>0</v>
      </c>
      <c r="LI31" s="61">
        <v>4189950000</v>
      </c>
      <c r="LJ31" s="61">
        <v>0</v>
      </c>
      <c r="LK31" s="61">
        <v>0</v>
      </c>
      <c r="LL31" s="61">
        <v>0</v>
      </c>
      <c r="LM31" s="61">
        <v>0</v>
      </c>
      <c r="LN31" s="61">
        <v>0</v>
      </c>
      <c r="LO31" s="61">
        <v>0</v>
      </c>
      <c r="LP31" s="61">
        <v>0</v>
      </c>
      <c r="LQ31" s="61">
        <v>0</v>
      </c>
      <c r="LR31" s="61">
        <v>0</v>
      </c>
      <c r="LS31" s="61">
        <v>2000000000</v>
      </c>
      <c r="LT31" s="61">
        <v>0</v>
      </c>
      <c r="LU31" s="61">
        <v>0</v>
      </c>
      <c r="LV31" s="61">
        <v>0</v>
      </c>
      <c r="LW31" s="61">
        <v>811760000</v>
      </c>
      <c r="LX31" s="61">
        <v>0</v>
      </c>
      <c r="LY31" s="61">
        <v>203480000</v>
      </c>
      <c r="LZ31" s="61">
        <v>0</v>
      </c>
      <c r="MA31" s="61">
        <v>0</v>
      </c>
      <c r="MB31" s="61">
        <v>0</v>
      </c>
      <c r="MC31" s="61">
        <v>0</v>
      </c>
      <c r="MD31" s="61">
        <v>0</v>
      </c>
      <c r="ME31" s="61">
        <v>0</v>
      </c>
      <c r="MF31" s="61">
        <v>0</v>
      </c>
      <c r="MG31" s="61">
        <v>0</v>
      </c>
      <c r="MH31" s="61">
        <v>0</v>
      </c>
      <c r="MI31" s="61">
        <v>0</v>
      </c>
      <c r="MJ31" s="61">
        <v>0</v>
      </c>
      <c r="MK31" s="61">
        <v>0</v>
      </c>
      <c r="ML31" s="61">
        <v>0</v>
      </c>
      <c r="MM31" s="61">
        <v>0</v>
      </c>
      <c r="MN31" s="61">
        <v>0</v>
      </c>
      <c r="MO31" s="61">
        <v>0</v>
      </c>
      <c r="MP31" s="61">
        <v>0</v>
      </c>
      <c r="MQ31" s="61">
        <v>0</v>
      </c>
      <c r="MR31" s="61">
        <v>0</v>
      </c>
      <c r="MS31" s="61">
        <v>0</v>
      </c>
      <c r="MT31" s="61">
        <v>0</v>
      </c>
      <c r="MU31" s="61">
        <v>0</v>
      </c>
      <c r="MV31" s="61">
        <v>1632550000</v>
      </c>
      <c r="MW31" s="61">
        <v>0</v>
      </c>
      <c r="MX31" s="61">
        <v>0</v>
      </c>
      <c r="MY31" s="61">
        <v>0</v>
      </c>
      <c r="MZ31" s="61">
        <v>0</v>
      </c>
      <c r="NA31" s="61">
        <v>0</v>
      </c>
      <c r="NB31" s="61">
        <v>0</v>
      </c>
      <c r="NC31" s="61">
        <v>0</v>
      </c>
      <c r="ND31" s="61">
        <v>0</v>
      </c>
      <c r="NE31" s="61">
        <v>0</v>
      </c>
      <c r="NF31" s="61">
        <v>0</v>
      </c>
      <c r="NG31" s="61">
        <v>0</v>
      </c>
      <c r="NH31" s="61">
        <v>0</v>
      </c>
      <c r="NI31" s="61">
        <v>0</v>
      </c>
      <c r="NJ31" s="61">
        <v>0</v>
      </c>
      <c r="NK31" s="61">
        <v>0</v>
      </c>
      <c r="NL31" s="61">
        <v>0</v>
      </c>
      <c r="NM31" s="61">
        <v>0</v>
      </c>
      <c r="NN31" s="61">
        <v>500000000</v>
      </c>
      <c r="NO31" s="61">
        <v>200000000</v>
      </c>
      <c r="NP31" s="61">
        <v>0</v>
      </c>
      <c r="NQ31" s="61">
        <v>0</v>
      </c>
      <c r="NR31" s="61">
        <v>0</v>
      </c>
      <c r="NS31" s="61">
        <v>0</v>
      </c>
      <c r="NT31" s="61">
        <v>0</v>
      </c>
      <c r="NU31" s="61">
        <v>2500000000</v>
      </c>
      <c r="NV31" s="61">
        <v>0</v>
      </c>
      <c r="NW31" s="61">
        <v>0</v>
      </c>
      <c r="NX31" s="61">
        <v>0</v>
      </c>
      <c r="NY31" s="61">
        <v>0</v>
      </c>
      <c r="NZ31" s="61">
        <v>0</v>
      </c>
      <c r="OA31" s="61">
        <v>0</v>
      </c>
      <c r="OB31" s="61">
        <v>0</v>
      </c>
      <c r="OC31" s="61">
        <v>0</v>
      </c>
      <c r="OD31" s="61">
        <v>0</v>
      </c>
      <c r="OE31" s="61">
        <v>0</v>
      </c>
      <c r="OF31" s="61">
        <v>0</v>
      </c>
      <c r="OG31" s="61">
        <v>0</v>
      </c>
      <c r="OH31" s="61">
        <v>0</v>
      </c>
      <c r="OI31" s="61">
        <v>0</v>
      </c>
      <c r="OJ31" s="61">
        <v>0</v>
      </c>
      <c r="OK31" s="61">
        <v>0</v>
      </c>
      <c r="OL31" s="61">
        <v>0</v>
      </c>
      <c r="OM31" s="61">
        <v>0</v>
      </c>
      <c r="ON31" s="61">
        <v>0</v>
      </c>
      <c r="OO31" s="61">
        <v>0</v>
      </c>
      <c r="OP31" s="61">
        <v>0</v>
      </c>
      <c r="OQ31" s="61">
        <v>0</v>
      </c>
      <c r="OR31" s="61">
        <v>0</v>
      </c>
      <c r="OS31" s="61">
        <v>0</v>
      </c>
      <c r="OT31" s="61">
        <v>0</v>
      </c>
      <c r="OU31" s="61">
        <v>0</v>
      </c>
      <c r="OV31" s="61">
        <v>0</v>
      </c>
      <c r="OW31" s="61">
        <v>0</v>
      </c>
      <c r="OX31" s="61">
        <v>0</v>
      </c>
      <c r="OY31" s="61">
        <v>0</v>
      </c>
      <c r="OZ31" s="61">
        <v>3817490000</v>
      </c>
      <c r="PA31" s="61">
        <v>0</v>
      </c>
      <c r="PB31" s="61">
        <v>0</v>
      </c>
      <c r="PC31" s="61">
        <v>3040784000</v>
      </c>
      <c r="PD31" s="61">
        <v>0</v>
      </c>
      <c r="PE31" s="61">
        <v>0</v>
      </c>
      <c r="PF31" s="61">
        <v>0</v>
      </c>
      <c r="PG31" s="61">
        <v>0</v>
      </c>
      <c r="PH31" s="61">
        <v>0</v>
      </c>
      <c r="PI31" s="61">
        <v>0</v>
      </c>
      <c r="PJ31" s="61">
        <v>1145277000</v>
      </c>
      <c r="PK31" s="61">
        <v>0</v>
      </c>
      <c r="PL31" s="61">
        <v>0</v>
      </c>
      <c r="PM31" s="61">
        <v>0</v>
      </c>
      <c r="PN31" s="61">
        <v>0</v>
      </c>
      <c r="PO31" s="61">
        <v>0</v>
      </c>
      <c r="PP31" s="61">
        <v>0</v>
      </c>
      <c r="PQ31" s="61">
        <v>0</v>
      </c>
      <c r="PR31" s="61">
        <v>0</v>
      </c>
      <c r="PS31" s="61">
        <v>0</v>
      </c>
      <c r="PT31" s="61">
        <v>0</v>
      </c>
      <c r="PU31" s="61">
        <v>0</v>
      </c>
      <c r="PV31" s="61">
        <v>0</v>
      </c>
      <c r="PW31" s="61">
        <v>0</v>
      </c>
      <c r="PX31" s="61">
        <v>0</v>
      </c>
      <c r="PY31" s="61"/>
      <c r="PZ31" s="61"/>
      <c r="QA31" s="61"/>
      <c r="QB31" s="61"/>
      <c r="QC31" s="61"/>
      <c r="QD31" s="61"/>
      <c r="QE31" s="61"/>
      <c r="QF31" s="61"/>
      <c r="QG31" s="61"/>
      <c r="QH31" s="61"/>
      <c r="QI31" s="61"/>
      <c r="QJ31" s="61"/>
      <c r="QK31" s="61"/>
      <c r="QL31" s="61"/>
      <c r="QM31" s="61"/>
      <c r="QN31" s="61"/>
      <c r="QO31" s="61"/>
      <c r="QP31" s="61"/>
      <c r="QQ31" s="61"/>
      <c r="QR31" s="61"/>
      <c r="QS31" s="61"/>
      <c r="QT31" s="61"/>
      <c r="QU31" s="61"/>
      <c r="QV31" s="61"/>
      <c r="QW31" s="61"/>
      <c r="QX31" s="61"/>
      <c r="QY31" s="61"/>
      <c r="QZ31" s="61"/>
      <c r="RA31" s="61"/>
      <c r="RB31" s="61"/>
      <c r="RC31" s="61"/>
      <c r="RD31" s="61"/>
      <c r="RE31" s="61"/>
      <c r="RF31" s="61"/>
      <c r="RG31" s="61"/>
      <c r="RH31" s="61"/>
      <c r="RI31" s="61"/>
      <c r="RJ31" s="61"/>
      <c r="RK31" s="61"/>
      <c r="RL31" s="61"/>
      <c r="RM31" s="61"/>
      <c r="RN31" s="61"/>
      <c r="RO31" s="61"/>
      <c r="RP31" s="61"/>
      <c r="RQ31" s="61"/>
      <c r="RR31" s="61"/>
      <c r="RS31" s="61"/>
      <c r="RT31" s="61"/>
      <c r="RU31" s="61"/>
      <c r="RV31" s="61"/>
      <c r="RW31" s="61"/>
      <c r="RX31" s="61"/>
      <c r="RY31" s="61"/>
      <c r="RZ31" s="61"/>
      <c r="SA31" s="61"/>
    </row>
    <row r="32" spans="1:495" x14ac:dyDescent="0.2">
      <c r="A32" s="66" t="s">
        <v>1076</v>
      </c>
      <c r="B32" s="61">
        <v>4031956.27</v>
      </c>
      <c r="C32" s="61">
        <v>39132.47</v>
      </c>
      <c r="D32" s="61">
        <v>0</v>
      </c>
      <c r="E32" s="61">
        <v>108188.91</v>
      </c>
      <c r="F32" s="61">
        <v>0</v>
      </c>
      <c r="G32" s="61">
        <v>0</v>
      </c>
      <c r="H32" s="61">
        <v>133693.15</v>
      </c>
      <c r="I32" s="61">
        <v>0</v>
      </c>
      <c r="J32" s="61">
        <v>13655.64</v>
      </c>
      <c r="K32" s="61">
        <v>824447.52</v>
      </c>
      <c r="L32" s="61">
        <v>0</v>
      </c>
      <c r="M32" s="61">
        <v>14214441.09</v>
      </c>
      <c r="N32" s="61">
        <v>39163.71</v>
      </c>
      <c r="O32" s="61">
        <v>50432421.82</v>
      </c>
      <c r="P32" s="61">
        <v>224264.57</v>
      </c>
      <c r="Q32" s="61">
        <v>73973.16</v>
      </c>
      <c r="R32" s="61">
        <v>18909.39</v>
      </c>
      <c r="S32" s="61">
        <v>1142.1500000000001</v>
      </c>
      <c r="T32" s="61">
        <v>127090.47</v>
      </c>
      <c r="U32" s="61">
        <v>800</v>
      </c>
      <c r="V32" s="61">
        <v>0</v>
      </c>
      <c r="W32" s="61">
        <v>0</v>
      </c>
      <c r="X32" s="61">
        <v>0</v>
      </c>
      <c r="Y32" s="61">
        <v>0</v>
      </c>
      <c r="Z32" s="61">
        <v>767377.91</v>
      </c>
      <c r="AA32" s="61">
        <v>8822.06</v>
      </c>
      <c r="AB32" s="61">
        <v>0</v>
      </c>
      <c r="AC32" s="61">
        <v>0</v>
      </c>
      <c r="AD32" s="61">
        <v>12284.7</v>
      </c>
      <c r="AE32" s="61">
        <v>0</v>
      </c>
      <c r="AF32" s="61">
        <v>0</v>
      </c>
      <c r="AG32" s="61">
        <v>0</v>
      </c>
      <c r="AH32" s="61">
        <v>0</v>
      </c>
      <c r="AI32" s="61">
        <v>47348.31</v>
      </c>
      <c r="AJ32" s="61">
        <v>0</v>
      </c>
      <c r="AK32" s="61">
        <v>0</v>
      </c>
      <c r="AL32" s="61">
        <v>10711250</v>
      </c>
      <c r="AM32" s="61">
        <v>33034.83</v>
      </c>
      <c r="AN32" s="61">
        <v>0</v>
      </c>
      <c r="AO32" s="61">
        <v>152170.99</v>
      </c>
      <c r="AP32" s="61">
        <v>110458.42</v>
      </c>
      <c r="AQ32" s="61">
        <v>9524.34</v>
      </c>
      <c r="AR32" s="61">
        <v>6349.77</v>
      </c>
      <c r="AS32" s="61">
        <v>457193.51</v>
      </c>
      <c r="AT32" s="61">
        <v>0</v>
      </c>
      <c r="AU32" s="61">
        <v>0</v>
      </c>
      <c r="AV32" s="61">
        <v>0</v>
      </c>
      <c r="AW32" s="61">
        <v>30660.89</v>
      </c>
      <c r="AX32" s="61">
        <v>0</v>
      </c>
      <c r="AY32" s="61">
        <v>0</v>
      </c>
      <c r="AZ32" s="61">
        <v>0</v>
      </c>
      <c r="BA32" s="61">
        <v>0</v>
      </c>
      <c r="BB32" s="61">
        <v>0</v>
      </c>
      <c r="BC32" s="61">
        <v>16264767.390000001</v>
      </c>
      <c r="BD32" s="61">
        <v>244009.72</v>
      </c>
      <c r="BE32" s="61">
        <v>0</v>
      </c>
      <c r="BF32" s="61">
        <v>0</v>
      </c>
      <c r="BG32" s="61">
        <v>0</v>
      </c>
      <c r="BH32" s="61">
        <v>0</v>
      </c>
      <c r="BI32" s="61">
        <v>0</v>
      </c>
      <c r="BJ32" s="61">
        <v>0</v>
      </c>
      <c r="BK32" s="61">
        <v>0</v>
      </c>
      <c r="BL32" s="61">
        <v>0</v>
      </c>
      <c r="BM32" s="61">
        <v>182843.59</v>
      </c>
      <c r="BN32" s="61">
        <v>4735479.45</v>
      </c>
      <c r="BO32" s="61">
        <v>0</v>
      </c>
      <c r="BP32" s="61">
        <v>7841089.5199999996</v>
      </c>
      <c r="BQ32" s="61">
        <v>278914.52</v>
      </c>
      <c r="BR32" s="61">
        <v>2287300.6800000002</v>
      </c>
      <c r="BS32" s="61">
        <v>108029.18</v>
      </c>
      <c r="BT32" s="61">
        <v>3332.89</v>
      </c>
      <c r="BU32" s="61">
        <v>0</v>
      </c>
      <c r="BV32" s="61">
        <v>5047.04</v>
      </c>
      <c r="BW32" s="61">
        <v>0</v>
      </c>
      <c r="BX32" s="61">
        <v>77567.38</v>
      </c>
      <c r="BY32" s="61">
        <v>46298133</v>
      </c>
      <c r="BZ32" s="61">
        <v>0</v>
      </c>
      <c r="CA32" s="61">
        <v>94764.38</v>
      </c>
      <c r="CB32" s="61">
        <v>344.9</v>
      </c>
      <c r="CC32" s="61">
        <v>42398216.759999998</v>
      </c>
      <c r="CD32" s="61">
        <v>144988.66</v>
      </c>
      <c r="CE32" s="61">
        <v>18177.12</v>
      </c>
      <c r="CF32" s="61">
        <v>403042.26</v>
      </c>
      <c r="CG32" s="61">
        <v>233147.5</v>
      </c>
      <c r="CH32" s="61">
        <v>0</v>
      </c>
      <c r="CI32" s="61">
        <v>122228.33</v>
      </c>
      <c r="CJ32" s="61">
        <v>0</v>
      </c>
      <c r="CK32" s="61">
        <v>330241.53000000003</v>
      </c>
      <c r="CL32" s="61">
        <v>164138.1</v>
      </c>
      <c r="CM32" s="61">
        <v>0</v>
      </c>
      <c r="CN32" s="61">
        <v>0</v>
      </c>
      <c r="CO32" s="61">
        <v>0</v>
      </c>
      <c r="CP32" s="61">
        <v>46487.49</v>
      </c>
      <c r="CQ32" s="61">
        <v>160668.49</v>
      </c>
      <c r="CR32" s="61">
        <v>0</v>
      </c>
      <c r="CS32" s="61">
        <v>0</v>
      </c>
      <c r="CT32" s="61">
        <v>0</v>
      </c>
      <c r="CU32" s="61">
        <v>0</v>
      </c>
      <c r="CV32" s="61">
        <v>139882.29</v>
      </c>
      <c r="CW32" s="61">
        <v>0</v>
      </c>
      <c r="CX32" s="61">
        <v>0</v>
      </c>
      <c r="CY32" s="61">
        <v>0</v>
      </c>
      <c r="CZ32" s="61">
        <v>89962.23</v>
      </c>
      <c r="DA32" s="61">
        <v>0</v>
      </c>
      <c r="DB32" s="61">
        <v>0</v>
      </c>
      <c r="DC32" s="61">
        <v>18773.7</v>
      </c>
      <c r="DD32" s="61">
        <v>0</v>
      </c>
      <c r="DE32" s="61">
        <v>0</v>
      </c>
      <c r="DF32" s="61">
        <v>0</v>
      </c>
      <c r="DG32" s="61">
        <v>38624.300000000003</v>
      </c>
      <c r="DH32" s="61">
        <v>8776.75</v>
      </c>
      <c r="DI32" s="61">
        <v>8750956.5</v>
      </c>
      <c r="DJ32" s="61">
        <v>16497178.08</v>
      </c>
      <c r="DK32" s="61">
        <v>0</v>
      </c>
      <c r="DL32" s="61">
        <v>101433.83</v>
      </c>
      <c r="DM32" s="61">
        <v>3277.64</v>
      </c>
      <c r="DN32" s="61">
        <v>0</v>
      </c>
      <c r="DO32" s="61">
        <v>20593.240000000002</v>
      </c>
      <c r="DP32" s="61">
        <v>81997.710000000006</v>
      </c>
      <c r="DQ32" s="61">
        <v>0</v>
      </c>
      <c r="DR32" s="61">
        <v>0</v>
      </c>
      <c r="DS32" s="61">
        <v>0</v>
      </c>
      <c r="DT32" s="61">
        <v>28810</v>
      </c>
      <c r="DU32" s="61">
        <v>0</v>
      </c>
      <c r="DV32" s="61">
        <v>0</v>
      </c>
      <c r="DW32" s="61">
        <v>3231.27</v>
      </c>
      <c r="DX32" s="61">
        <v>335089.99</v>
      </c>
      <c r="DY32" s="61">
        <v>251325.67</v>
      </c>
      <c r="DZ32" s="61">
        <v>0</v>
      </c>
      <c r="EA32" s="61">
        <v>0</v>
      </c>
      <c r="EB32" s="61">
        <v>0</v>
      </c>
      <c r="EC32" s="61">
        <v>0</v>
      </c>
      <c r="ED32" s="61">
        <v>12809.39</v>
      </c>
      <c r="EE32" s="61">
        <v>0</v>
      </c>
      <c r="EF32" s="61">
        <v>0</v>
      </c>
      <c r="EG32" s="61">
        <v>0</v>
      </c>
      <c r="EH32" s="61">
        <v>17734727.18</v>
      </c>
      <c r="EI32" s="61">
        <v>0</v>
      </c>
      <c r="EJ32" s="61">
        <v>0</v>
      </c>
      <c r="EK32" s="61">
        <v>41902739.729999997</v>
      </c>
      <c r="EL32" s="61">
        <v>166707.47</v>
      </c>
      <c r="EM32" s="61">
        <v>225320.07</v>
      </c>
      <c r="EN32" s="61">
        <v>61330.1</v>
      </c>
      <c r="EO32" s="61">
        <v>6732.21</v>
      </c>
      <c r="EP32" s="61">
        <v>161384.18</v>
      </c>
      <c r="EQ32" s="61">
        <v>107591.92</v>
      </c>
      <c r="ER32" s="61">
        <v>34077808.219999999</v>
      </c>
      <c r="ES32" s="61">
        <v>163684.38</v>
      </c>
      <c r="ET32" s="61">
        <v>0</v>
      </c>
      <c r="EU32" s="61">
        <v>0</v>
      </c>
      <c r="EV32" s="61">
        <v>883.08</v>
      </c>
      <c r="EW32" s="61">
        <v>34176.14</v>
      </c>
      <c r="EX32" s="61">
        <v>0</v>
      </c>
      <c r="EY32" s="61">
        <v>972.42</v>
      </c>
      <c r="EZ32" s="61">
        <v>648.29</v>
      </c>
      <c r="FA32" s="61">
        <v>32412502.039999999</v>
      </c>
      <c r="FB32" s="61">
        <v>0</v>
      </c>
      <c r="FC32" s="61">
        <v>631764.38</v>
      </c>
      <c r="FD32" s="61">
        <v>7202700</v>
      </c>
      <c r="FE32" s="61">
        <v>0</v>
      </c>
      <c r="FF32" s="61">
        <v>9015287.6699999999</v>
      </c>
      <c r="FG32" s="61">
        <v>0</v>
      </c>
      <c r="FH32" s="61">
        <v>9200.52</v>
      </c>
      <c r="FI32" s="61">
        <v>0</v>
      </c>
      <c r="FJ32" s="61">
        <v>32097.66</v>
      </c>
      <c r="FK32" s="61">
        <v>110141.36</v>
      </c>
      <c r="FL32" s="61">
        <v>172444.07</v>
      </c>
      <c r="FM32" s="61">
        <v>0</v>
      </c>
      <c r="FN32" s="61">
        <v>0</v>
      </c>
      <c r="FO32" s="61">
        <v>0</v>
      </c>
      <c r="FP32" s="61">
        <v>0</v>
      </c>
      <c r="FQ32" s="61">
        <v>0</v>
      </c>
      <c r="FR32" s="61">
        <v>16061.63</v>
      </c>
      <c r="FS32" s="61">
        <v>0</v>
      </c>
      <c r="FT32" s="61">
        <v>22472.400000000001</v>
      </c>
      <c r="FU32" s="61">
        <v>16452623.359999999</v>
      </c>
      <c r="FV32" s="61">
        <v>0</v>
      </c>
      <c r="FW32" s="61">
        <v>0</v>
      </c>
      <c r="FX32" s="61">
        <v>637698.63</v>
      </c>
      <c r="FY32" s="61">
        <v>0</v>
      </c>
      <c r="FZ32" s="61">
        <v>0</v>
      </c>
      <c r="GA32" s="61">
        <v>0</v>
      </c>
      <c r="GB32" s="61">
        <v>0</v>
      </c>
      <c r="GC32" s="61">
        <v>0</v>
      </c>
      <c r="GD32" s="61">
        <v>8069.94</v>
      </c>
      <c r="GE32" s="61">
        <v>4056778.69</v>
      </c>
      <c r="GF32" s="61">
        <v>0</v>
      </c>
      <c r="GG32" s="61">
        <v>0</v>
      </c>
      <c r="GH32" s="61">
        <v>102229.38</v>
      </c>
      <c r="GI32" s="61">
        <v>7899799.71</v>
      </c>
      <c r="GJ32" s="61">
        <v>0</v>
      </c>
      <c r="GK32" s="61">
        <v>36083.51</v>
      </c>
      <c r="GL32" s="61">
        <v>47551.57</v>
      </c>
      <c r="GM32" s="61">
        <v>38042.42</v>
      </c>
      <c r="GN32" s="61">
        <v>104187.99</v>
      </c>
      <c r="GO32" s="61">
        <v>0</v>
      </c>
      <c r="GP32" s="61">
        <v>0</v>
      </c>
      <c r="GQ32" s="61">
        <v>0</v>
      </c>
      <c r="GR32" s="61">
        <v>0</v>
      </c>
      <c r="GS32" s="61">
        <v>150727.25</v>
      </c>
      <c r="GT32" s="61">
        <v>228852.23</v>
      </c>
      <c r="GU32" s="61">
        <v>188340.86</v>
      </c>
      <c r="GV32" s="61">
        <v>8770.92</v>
      </c>
      <c r="GW32" s="61">
        <v>0</v>
      </c>
      <c r="GX32" s="61">
        <v>0</v>
      </c>
      <c r="GY32" s="61">
        <v>0</v>
      </c>
      <c r="GZ32" s="61">
        <v>41074.53</v>
      </c>
      <c r="HA32" s="61">
        <v>72505.25</v>
      </c>
      <c r="HB32" s="61">
        <v>0</v>
      </c>
      <c r="HC32" s="61">
        <v>1158500000</v>
      </c>
      <c r="HD32" s="61">
        <v>0</v>
      </c>
      <c r="HE32" s="61">
        <v>0</v>
      </c>
      <c r="HF32" s="61">
        <v>376011.27</v>
      </c>
      <c r="HG32" s="61">
        <v>48848.22</v>
      </c>
      <c r="HH32" s="61">
        <v>0</v>
      </c>
      <c r="HI32" s="61">
        <v>0</v>
      </c>
      <c r="HJ32" s="61">
        <v>0</v>
      </c>
      <c r="HK32" s="61">
        <v>0</v>
      </c>
      <c r="HL32" s="61">
        <v>0</v>
      </c>
      <c r="HM32" s="61">
        <v>0</v>
      </c>
      <c r="HN32" s="61">
        <v>0</v>
      </c>
      <c r="HO32" s="61">
        <v>147684.66</v>
      </c>
      <c r="HP32" s="61">
        <v>16420.419999999998</v>
      </c>
      <c r="HQ32" s="61">
        <v>4633102.9000000004</v>
      </c>
      <c r="HR32" s="61">
        <v>0</v>
      </c>
      <c r="HS32" s="61">
        <v>30028.94</v>
      </c>
      <c r="HT32" s="61">
        <v>20019.650000000001</v>
      </c>
      <c r="HU32" s="61">
        <v>0</v>
      </c>
      <c r="HV32" s="61">
        <v>48391.68</v>
      </c>
      <c r="HW32" s="61">
        <v>0</v>
      </c>
      <c r="HX32" s="61">
        <v>0</v>
      </c>
      <c r="HY32" s="61">
        <v>38335.15</v>
      </c>
      <c r="HZ32" s="61">
        <v>7041.73</v>
      </c>
      <c r="IA32" s="61">
        <v>0</v>
      </c>
      <c r="IB32" s="61">
        <v>8799041.0999999996</v>
      </c>
      <c r="IC32" s="61">
        <v>0</v>
      </c>
      <c r="ID32" s="61">
        <v>31275.200000000001</v>
      </c>
      <c r="IE32" s="61">
        <v>0</v>
      </c>
      <c r="IF32" s="61">
        <v>0</v>
      </c>
      <c r="IG32" s="61">
        <v>0</v>
      </c>
      <c r="IH32" s="61">
        <v>0</v>
      </c>
      <c r="II32" s="61">
        <v>0</v>
      </c>
      <c r="IJ32" s="61">
        <v>0</v>
      </c>
      <c r="IK32" s="61">
        <v>68071.820000000007</v>
      </c>
      <c r="IL32" s="61">
        <v>0</v>
      </c>
      <c r="IM32" s="61">
        <v>7819.63</v>
      </c>
      <c r="IN32" s="61">
        <v>0</v>
      </c>
      <c r="IO32" s="61">
        <v>4183.01</v>
      </c>
      <c r="IP32" s="61">
        <v>0</v>
      </c>
      <c r="IQ32" s="61">
        <v>0</v>
      </c>
      <c r="IR32" s="61">
        <v>0</v>
      </c>
      <c r="IS32" s="61">
        <v>0</v>
      </c>
      <c r="IT32" s="61">
        <v>20312.18</v>
      </c>
      <c r="IU32" s="61">
        <v>0</v>
      </c>
      <c r="IV32" s="61">
        <v>821.71</v>
      </c>
      <c r="IW32" s="61">
        <v>0</v>
      </c>
      <c r="IX32" s="61">
        <v>0</v>
      </c>
      <c r="IY32" s="61">
        <v>0</v>
      </c>
      <c r="IZ32" s="61">
        <v>0</v>
      </c>
      <c r="JA32" s="61">
        <v>0</v>
      </c>
      <c r="JB32" s="61">
        <v>0</v>
      </c>
      <c r="JC32" s="61">
        <v>0</v>
      </c>
      <c r="JD32" s="61">
        <v>62318.11</v>
      </c>
      <c r="JE32" s="61">
        <v>62809.61</v>
      </c>
      <c r="JF32" s="61">
        <v>0</v>
      </c>
      <c r="JG32" s="61">
        <v>0</v>
      </c>
      <c r="JH32" s="61">
        <v>0</v>
      </c>
      <c r="JI32" s="61">
        <v>12976.24</v>
      </c>
      <c r="JJ32" s="61">
        <v>0</v>
      </c>
      <c r="JK32" s="61">
        <v>14891.38</v>
      </c>
      <c r="JL32" s="61">
        <v>0</v>
      </c>
      <c r="JM32" s="61">
        <v>0</v>
      </c>
      <c r="JN32" s="61">
        <v>0</v>
      </c>
      <c r="JO32" s="61">
        <v>0</v>
      </c>
      <c r="JP32" s="61">
        <v>0</v>
      </c>
      <c r="JQ32" s="61">
        <v>0</v>
      </c>
      <c r="JR32" s="61">
        <v>0</v>
      </c>
      <c r="JS32" s="61">
        <v>0</v>
      </c>
      <c r="JT32" s="61">
        <v>0</v>
      </c>
      <c r="JU32" s="61">
        <v>0</v>
      </c>
      <c r="JV32" s="61">
        <v>6377.87</v>
      </c>
      <c r="JW32" s="61">
        <v>0</v>
      </c>
      <c r="JX32" s="61">
        <v>301452.75</v>
      </c>
      <c r="JY32" s="61">
        <v>3397194.52</v>
      </c>
      <c r="JZ32" s="61">
        <v>0</v>
      </c>
      <c r="KA32" s="61">
        <v>0</v>
      </c>
      <c r="KB32" s="61">
        <v>116440.65</v>
      </c>
      <c r="KC32" s="61">
        <v>0</v>
      </c>
      <c r="KD32" s="61">
        <v>1040.82</v>
      </c>
      <c r="KE32" s="61">
        <v>0</v>
      </c>
      <c r="KF32" s="61">
        <v>28202.48</v>
      </c>
      <c r="KG32" s="61">
        <v>25088.69</v>
      </c>
      <c r="KH32" s="61">
        <v>0</v>
      </c>
      <c r="KI32" s="61">
        <v>14196.16</v>
      </c>
      <c r="KJ32" s="61">
        <v>0</v>
      </c>
      <c r="KK32" s="61">
        <v>0</v>
      </c>
      <c r="KL32" s="61">
        <v>0</v>
      </c>
      <c r="KM32" s="61">
        <v>0</v>
      </c>
      <c r="KN32" s="61">
        <v>0</v>
      </c>
      <c r="KO32" s="61">
        <v>0</v>
      </c>
      <c r="KP32" s="61">
        <v>0</v>
      </c>
      <c r="KQ32" s="61">
        <v>0</v>
      </c>
      <c r="KR32" s="61">
        <v>59272.28</v>
      </c>
      <c r="KS32" s="61">
        <v>0</v>
      </c>
      <c r="KT32" s="61">
        <v>0</v>
      </c>
      <c r="KU32" s="61">
        <v>0</v>
      </c>
      <c r="KV32" s="61">
        <v>29472.28</v>
      </c>
      <c r="KW32" s="61">
        <v>26034246.579999998</v>
      </c>
      <c r="KX32" s="61">
        <v>2771.28</v>
      </c>
      <c r="KY32" s="61">
        <v>0</v>
      </c>
      <c r="KZ32" s="61">
        <v>3937.04</v>
      </c>
      <c r="LA32" s="61">
        <v>0</v>
      </c>
      <c r="LB32" s="61">
        <v>0</v>
      </c>
      <c r="LC32" s="61">
        <v>0</v>
      </c>
      <c r="LD32" s="61">
        <v>217576.95999999999</v>
      </c>
      <c r="LE32" s="61">
        <v>302811.01</v>
      </c>
      <c r="LF32" s="61">
        <v>0</v>
      </c>
      <c r="LG32" s="61">
        <v>162642.81</v>
      </c>
      <c r="LH32" s="61">
        <v>230530.21</v>
      </c>
      <c r="LI32" s="61">
        <v>34904109.590000004</v>
      </c>
      <c r="LJ32" s="61">
        <v>28571788.039999999</v>
      </c>
      <c r="LK32" s="61">
        <v>47499.15</v>
      </c>
      <c r="LL32" s="61">
        <v>0</v>
      </c>
      <c r="LM32" s="61">
        <v>33338.46</v>
      </c>
      <c r="LN32" s="61">
        <v>0</v>
      </c>
      <c r="LO32" s="61">
        <v>0</v>
      </c>
      <c r="LP32" s="61">
        <v>0</v>
      </c>
      <c r="LQ32" s="61">
        <v>0</v>
      </c>
      <c r="LR32" s="61">
        <v>0</v>
      </c>
      <c r="LS32" s="61">
        <v>161278.48000000001</v>
      </c>
      <c r="LT32" s="61">
        <v>0</v>
      </c>
      <c r="LU32" s="61">
        <v>0</v>
      </c>
      <c r="LV32" s="61">
        <v>88557.22</v>
      </c>
      <c r="LW32" s="61">
        <v>263335.74</v>
      </c>
      <c r="LX32" s="61">
        <v>40405.360000000001</v>
      </c>
      <c r="LY32" s="61">
        <v>0</v>
      </c>
      <c r="LZ32" s="61">
        <v>0</v>
      </c>
      <c r="MA32" s="61">
        <v>82723.62</v>
      </c>
      <c r="MB32" s="61">
        <v>362.09</v>
      </c>
      <c r="MC32" s="61">
        <v>0</v>
      </c>
      <c r="MD32" s="61">
        <v>0</v>
      </c>
      <c r="ME32" s="61">
        <v>6447.66</v>
      </c>
      <c r="MF32" s="61">
        <v>4298.66</v>
      </c>
      <c r="MG32" s="61">
        <v>12051.24</v>
      </c>
      <c r="MH32" s="61">
        <v>1850164.57</v>
      </c>
      <c r="MI32" s="61">
        <v>48593.93</v>
      </c>
      <c r="MJ32" s="61">
        <v>32396.83</v>
      </c>
      <c r="MK32" s="61">
        <v>34498.18</v>
      </c>
      <c r="ML32" s="61">
        <v>0</v>
      </c>
      <c r="MM32" s="61">
        <v>0</v>
      </c>
      <c r="MN32" s="61">
        <v>0</v>
      </c>
      <c r="MO32" s="61">
        <v>0</v>
      </c>
      <c r="MP32" s="61">
        <v>0</v>
      </c>
      <c r="MQ32" s="61">
        <v>0</v>
      </c>
      <c r="MR32" s="61">
        <v>0</v>
      </c>
      <c r="MS32" s="61">
        <v>0</v>
      </c>
      <c r="MT32" s="61">
        <v>0</v>
      </c>
      <c r="MU32" s="61">
        <v>0</v>
      </c>
      <c r="MV32" s="61">
        <v>0</v>
      </c>
      <c r="MW32" s="61">
        <v>0</v>
      </c>
      <c r="MX32" s="61">
        <v>0</v>
      </c>
      <c r="MY32" s="61">
        <v>0</v>
      </c>
      <c r="MZ32" s="61">
        <v>3420796.44</v>
      </c>
      <c r="NA32" s="61">
        <v>11607.93</v>
      </c>
      <c r="NB32" s="61">
        <v>0</v>
      </c>
      <c r="NC32" s="61">
        <v>0</v>
      </c>
      <c r="ND32" s="61">
        <v>0</v>
      </c>
      <c r="NE32" s="61">
        <v>3310.48</v>
      </c>
      <c r="NF32" s="61">
        <v>9383561.6400000006</v>
      </c>
      <c r="NG32" s="61">
        <v>0</v>
      </c>
      <c r="NH32" s="61">
        <v>0</v>
      </c>
      <c r="NI32" s="61">
        <v>0</v>
      </c>
      <c r="NJ32" s="61">
        <v>0</v>
      </c>
      <c r="NK32" s="61">
        <v>16545.48</v>
      </c>
      <c r="NL32" s="61">
        <v>0</v>
      </c>
      <c r="NM32" s="61">
        <v>0</v>
      </c>
      <c r="NN32" s="61">
        <v>0</v>
      </c>
      <c r="NO32" s="61">
        <v>0</v>
      </c>
      <c r="NP32" s="61">
        <v>0</v>
      </c>
      <c r="NQ32" s="61">
        <v>20305.189999999999</v>
      </c>
      <c r="NR32" s="61">
        <v>0</v>
      </c>
      <c r="NS32" s="61">
        <v>0</v>
      </c>
      <c r="NT32" s="61">
        <v>0</v>
      </c>
      <c r="NU32" s="61">
        <v>0</v>
      </c>
      <c r="NV32" s="61">
        <v>0</v>
      </c>
      <c r="NW32" s="61">
        <v>0</v>
      </c>
      <c r="NX32" s="61">
        <v>42500000</v>
      </c>
      <c r="NY32" s="61">
        <v>26277808.219999999</v>
      </c>
      <c r="NZ32" s="61">
        <v>0</v>
      </c>
      <c r="OA32" s="61">
        <v>0</v>
      </c>
      <c r="OB32" s="61">
        <v>17093150.68</v>
      </c>
      <c r="OC32" s="61">
        <v>0</v>
      </c>
      <c r="OD32" s="61">
        <v>0</v>
      </c>
      <c r="OE32" s="61">
        <v>0</v>
      </c>
      <c r="OF32" s="61">
        <v>0</v>
      </c>
      <c r="OG32" s="61">
        <v>41657.730000000003</v>
      </c>
      <c r="OH32" s="61">
        <v>0</v>
      </c>
      <c r="OI32" s="61">
        <v>0</v>
      </c>
      <c r="OJ32" s="61">
        <v>0</v>
      </c>
      <c r="OK32" s="61">
        <v>21797260.27</v>
      </c>
      <c r="OL32" s="61">
        <v>0</v>
      </c>
      <c r="OM32" s="61">
        <v>5162.4399999999996</v>
      </c>
      <c r="ON32" s="61">
        <v>0</v>
      </c>
      <c r="OO32" s="61">
        <v>0</v>
      </c>
      <c r="OP32" s="61">
        <v>0</v>
      </c>
      <c r="OQ32" s="61">
        <v>0</v>
      </c>
      <c r="OR32" s="61">
        <v>3297561.64</v>
      </c>
      <c r="OS32" s="61">
        <v>0</v>
      </c>
      <c r="OT32" s="61">
        <v>0</v>
      </c>
      <c r="OU32" s="61">
        <v>11097.65</v>
      </c>
      <c r="OV32" s="61">
        <v>28711.55</v>
      </c>
      <c r="OW32" s="61">
        <v>47953.18</v>
      </c>
      <c r="OX32" s="61">
        <v>38061.56</v>
      </c>
      <c r="OY32" s="61">
        <v>31292</v>
      </c>
      <c r="OZ32" s="61">
        <v>0</v>
      </c>
      <c r="PA32" s="61">
        <v>0</v>
      </c>
      <c r="PB32" s="61">
        <v>0</v>
      </c>
      <c r="PC32" s="61">
        <v>0</v>
      </c>
      <c r="PD32" s="61">
        <v>0</v>
      </c>
      <c r="PE32" s="61">
        <v>0</v>
      </c>
      <c r="PF32" s="61">
        <v>0</v>
      </c>
      <c r="PG32" s="61">
        <v>0</v>
      </c>
      <c r="PH32" s="61">
        <v>11613.75</v>
      </c>
      <c r="PI32" s="61">
        <v>85439.97</v>
      </c>
      <c r="PJ32" s="61">
        <v>0</v>
      </c>
      <c r="PK32" s="61">
        <v>0</v>
      </c>
      <c r="PL32" s="61">
        <v>0</v>
      </c>
      <c r="PM32" s="61">
        <v>0</v>
      </c>
      <c r="PN32" s="61">
        <v>0</v>
      </c>
      <c r="PO32" s="61">
        <v>0</v>
      </c>
      <c r="PP32" s="61">
        <v>0</v>
      </c>
      <c r="PQ32" s="61">
        <v>0</v>
      </c>
      <c r="PR32" s="61">
        <v>0</v>
      </c>
      <c r="PS32" s="61">
        <v>0</v>
      </c>
      <c r="PT32" s="61">
        <v>0</v>
      </c>
      <c r="PU32" s="61">
        <v>0</v>
      </c>
      <c r="PV32" s="61">
        <v>0</v>
      </c>
      <c r="PW32" s="61">
        <v>0</v>
      </c>
      <c r="PX32" s="61">
        <v>0</v>
      </c>
      <c r="PY32" s="61"/>
      <c r="PZ32" s="61"/>
      <c r="QA32" s="61"/>
      <c r="QB32" s="61"/>
      <c r="QC32" s="61"/>
      <c r="QD32" s="61"/>
      <c r="QE32" s="61"/>
      <c r="QF32" s="61"/>
      <c r="QG32" s="61"/>
      <c r="QH32" s="61"/>
      <c r="QI32" s="61"/>
      <c r="QJ32" s="61"/>
      <c r="QK32" s="61"/>
      <c r="QL32" s="61"/>
      <c r="QM32" s="61"/>
      <c r="QN32" s="61"/>
      <c r="QO32" s="61"/>
      <c r="QP32" s="61"/>
      <c r="QQ32" s="61"/>
      <c r="QR32" s="61"/>
      <c r="QS32" s="61"/>
      <c r="QT32" s="61"/>
      <c r="QU32" s="61"/>
      <c r="QV32" s="61"/>
      <c r="QW32" s="61"/>
      <c r="QX32" s="61"/>
      <c r="QY32" s="61"/>
      <c r="QZ32" s="61"/>
      <c r="RA32" s="61"/>
      <c r="RB32" s="61"/>
      <c r="RC32" s="61"/>
      <c r="RD32" s="61"/>
      <c r="RE32" s="61"/>
      <c r="RF32" s="61"/>
      <c r="RG32" s="61"/>
      <c r="RH32" s="61"/>
      <c r="RI32" s="61"/>
      <c r="RJ32" s="61"/>
      <c r="RK32" s="61"/>
      <c r="RL32" s="61"/>
      <c r="RM32" s="61"/>
      <c r="RN32" s="61"/>
      <c r="RO32" s="61"/>
      <c r="RP32" s="61"/>
      <c r="RQ32" s="61"/>
      <c r="RR32" s="61"/>
      <c r="RS32" s="61"/>
      <c r="RT32" s="61"/>
      <c r="RU32" s="61"/>
      <c r="RV32" s="61"/>
      <c r="RW32" s="61"/>
      <c r="RX32" s="61"/>
      <c r="RY32" s="61"/>
      <c r="RZ32" s="61"/>
      <c r="SA32" s="61"/>
    </row>
    <row r="33" spans="1:495" x14ac:dyDescent="0.2">
      <c r="A33" s="66" t="s">
        <v>1077</v>
      </c>
      <c r="B33" s="61">
        <v>0</v>
      </c>
      <c r="C33" s="61">
        <v>0</v>
      </c>
      <c r="D33" s="61">
        <v>0</v>
      </c>
      <c r="E33" s="61">
        <v>0</v>
      </c>
      <c r="F33" s="61">
        <v>0</v>
      </c>
      <c r="G33" s="61">
        <v>0</v>
      </c>
      <c r="H33" s="61">
        <v>0</v>
      </c>
      <c r="I33" s="61">
        <v>0</v>
      </c>
      <c r="J33" s="61">
        <v>0</v>
      </c>
      <c r="K33" s="61">
        <v>55052700.43</v>
      </c>
      <c r="L33" s="61">
        <v>0</v>
      </c>
      <c r="M33" s="61">
        <v>0</v>
      </c>
      <c r="N33" s="61">
        <v>0</v>
      </c>
      <c r="O33" s="61">
        <v>0</v>
      </c>
      <c r="P33" s="61">
        <v>4940551.3099999996</v>
      </c>
      <c r="Q33" s="61">
        <v>6046665.1699999999</v>
      </c>
      <c r="R33" s="61">
        <v>0</v>
      </c>
      <c r="S33" s="61">
        <v>0</v>
      </c>
      <c r="T33" s="61">
        <v>0</v>
      </c>
      <c r="U33" s="61">
        <v>0</v>
      </c>
      <c r="V33" s="61">
        <v>0</v>
      </c>
      <c r="W33" s="61">
        <v>12861369.859999999</v>
      </c>
      <c r="X33" s="61">
        <v>5457150.6799999997</v>
      </c>
      <c r="Y33" s="61">
        <v>0</v>
      </c>
      <c r="Z33" s="61">
        <v>51653492.020000003</v>
      </c>
      <c r="AA33" s="61">
        <v>0</v>
      </c>
      <c r="AB33" s="61">
        <v>0</v>
      </c>
      <c r="AC33" s="61">
        <v>0</v>
      </c>
      <c r="AD33" s="61">
        <v>0</v>
      </c>
      <c r="AE33" s="61">
        <v>0</v>
      </c>
      <c r="AF33" s="61">
        <v>0</v>
      </c>
      <c r="AG33" s="61">
        <v>0</v>
      </c>
      <c r="AH33" s="61">
        <v>0</v>
      </c>
      <c r="AI33" s="61">
        <v>0</v>
      </c>
      <c r="AJ33" s="61">
        <v>0</v>
      </c>
      <c r="AK33" s="61">
        <v>0</v>
      </c>
      <c r="AL33" s="61">
        <v>38515274.350000001</v>
      </c>
      <c r="AM33" s="61">
        <v>0</v>
      </c>
      <c r="AN33" s="61">
        <v>13393795.26</v>
      </c>
      <c r="AO33" s="61">
        <v>2968163.23</v>
      </c>
      <c r="AP33" s="61">
        <v>0</v>
      </c>
      <c r="AQ33" s="61">
        <v>0</v>
      </c>
      <c r="AR33" s="61">
        <v>0</v>
      </c>
      <c r="AS33" s="61">
        <v>7788496.5199999996</v>
      </c>
      <c r="AT33" s="61">
        <v>34921401.299999997</v>
      </c>
      <c r="AU33" s="61">
        <v>0</v>
      </c>
      <c r="AV33" s="61">
        <v>0</v>
      </c>
      <c r="AW33" s="61">
        <v>0</v>
      </c>
      <c r="AX33" s="61">
        <v>8263154.0599999996</v>
      </c>
      <c r="AY33" s="61">
        <v>0</v>
      </c>
      <c r="AZ33" s="61">
        <v>0</v>
      </c>
      <c r="BA33" s="61">
        <v>0</v>
      </c>
      <c r="BB33" s="61">
        <v>0</v>
      </c>
      <c r="BC33" s="61">
        <v>0</v>
      </c>
      <c r="BD33" s="61">
        <v>0</v>
      </c>
      <c r="BE33" s="61">
        <v>0</v>
      </c>
      <c r="BF33" s="61">
        <v>0</v>
      </c>
      <c r="BG33" s="61">
        <v>0</v>
      </c>
      <c r="BH33" s="61">
        <v>0</v>
      </c>
      <c r="BI33" s="61">
        <v>17376576.93</v>
      </c>
      <c r="BJ33" s="61">
        <v>0</v>
      </c>
      <c r="BK33" s="61">
        <v>0</v>
      </c>
      <c r="BL33" s="61">
        <v>0</v>
      </c>
      <c r="BM33" s="61">
        <v>0</v>
      </c>
      <c r="BN33" s="61">
        <v>0</v>
      </c>
      <c r="BO33" s="61">
        <v>0</v>
      </c>
      <c r="BP33" s="61">
        <v>0</v>
      </c>
      <c r="BQ33" s="61">
        <v>3512156.6</v>
      </c>
      <c r="BR33" s="61">
        <v>4366321.4000000004</v>
      </c>
      <c r="BS33" s="61">
        <v>0</v>
      </c>
      <c r="BT33" s="61">
        <v>0</v>
      </c>
      <c r="BU33" s="61">
        <v>0</v>
      </c>
      <c r="BV33" s="61">
        <v>0</v>
      </c>
      <c r="BW33" s="61">
        <v>0</v>
      </c>
      <c r="BX33" s="61">
        <v>34933191.109999999</v>
      </c>
      <c r="BY33" s="61">
        <v>0</v>
      </c>
      <c r="BZ33" s="61">
        <v>0</v>
      </c>
      <c r="CA33" s="61">
        <v>0</v>
      </c>
      <c r="CB33" s="61">
        <v>0</v>
      </c>
      <c r="CC33" s="61">
        <v>0</v>
      </c>
      <c r="CD33" s="61">
        <v>0</v>
      </c>
      <c r="CE33" s="61">
        <v>0</v>
      </c>
      <c r="CF33" s="61">
        <v>0</v>
      </c>
      <c r="CG33" s="61">
        <v>0</v>
      </c>
      <c r="CH33" s="61">
        <v>0</v>
      </c>
      <c r="CI33" s="61">
        <v>0</v>
      </c>
      <c r="CJ33" s="61">
        <v>0</v>
      </c>
      <c r="CK33" s="61">
        <v>0</v>
      </c>
      <c r="CL33" s="61">
        <v>0</v>
      </c>
      <c r="CM33" s="61">
        <v>0</v>
      </c>
      <c r="CN33" s="61">
        <v>0</v>
      </c>
      <c r="CO33" s="61">
        <v>0</v>
      </c>
      <c r="CP33" s="61">
        <v>0</v>
      </c>
      <c r="CQ33" s="61">
        <v>0</v>
      </c>
      <c r="CR33" s="61">
        <v>0</v>
      </c>
      <c r="CS33" s="61">
        <v>0</v>
      </c>
      <c r="CT33" s="61">
        <v>0</v>
      </c>
      <c r="CU33" s="61">
        <v>0</v>
      </c>
      <c r="CV33" s="61">
        <v>0</v>
      </c>
      <c r="CW33" s="61">
        <v>0</v>
      </c>
      <c r="CX33" s="61">
        <v>0</v>
      </c>
      <c r="CY33" s="61">
        <v>0</v>
      </c>
      <c r="CZ33" s="61">
        <v>0</v>
      </c>
      <c r="DA33" s="61">
        <v>41786986.299999997</v>
      </c>
      <c r="DB33" s="61">
        <v>0</v>
      </c>
      <c r="DC33" s="61">
        <v>0</v>
      </c>
      <c r="DD33" s="61">
        <v>0</v>
      </c>
      <c r="DE33" s="61">
        <v>0</v>
      </c>
      <c r="DF33" s="61">
        <v>0</v>
      </c>
      <c r="DG33" s="61">
        <v>0</v>
      </c>
      <c r="DH33" s="61">
        <v>0</v>
      </c>
      <c r="DI33" s="61">
        <v>0</v>
      </c>
      <c r="DJ33" s="61">
        <v>0</v>
      </c>
      <c r="DK33" s="61">
        <v>0</v>
      </c>
      <c r="DL33" s="61">
        <v>0</v>
      </c>
      <c r="DM33" s="61">
        <v>0</v>
      </c>
      <c r="DN33" s="61">
        <v>0</v>
      </c>
      <c r="DO33" s="61">
        <v>0</v>
      </c>
      <c r="DP33" s="61">
        <v>0</v>
      </c>
      <c r="DQ33" s="61">
        <v>16319710.390000001</v>
      </c>
      <c r="DR33" s="61">
        <v>0</v>
      </c>
      <c r="DS33" s="61">
        <v>0</v>
      </c>
      <c r="DT33" s="61">
        <v>0</v>
      </c>
      <c r="DU33" s="61">
        <v>10134261.050000001</v>
      </c>
      <c r="DV33" s="61">
        <v>0</v>
      </c>
      <c r="DW33" s="61">
        <v>0</v>
      </c>
      <c r="DX33" s="61">
        <v>0</v>
      </c>
      <c r="DY33" s="61">
        <v>0</v>
      </c>
      <c r="DZ33" s="61">
        <v>15380405</v>
      </c>
      <c r="EA33" s="61">
        <v>0</v>
      </c>
      <c r="EB33" s="61">
        <v>8489056.0700000003</v>
      </c>
      <c r="EC33" s="61">
        <v>0</v>
      </c>
      <c r="ED33" s="61">
        <v>0</v>
      </c>
      <c r="EE33" s="61">
        <v>0</v>
      </c>
      <c r="EF33" s="61">
        <v>0</v>
      </c>
      <c r="EG33" s="61">
        <v>0</v>
      </c>
      <c r="EH33" s="61">
        <v>0</v>
      </c>
      <c r="EI33" s="61">
        <v>0</v>
      </c>
      <c r="EJ33" s="61">
        <v>0</v>
      </c>
      <c r="EK33" s="61">
        <v>0</v>
      </c>
      <c r="EL33" s="61">
        <v>0</v>
      </c>
      <c r="EM33" s="61">
        <v>0</v>
      </c>
      <c r="EN33" s="61">
        <v>0</v>
      </c>
      <c r="EO33" s="61">
        <v>35295534.25</v>
      </c>
      <c r="EP33" s="61">
        <v>0</v>
      </c>
      <c r="EQ33" s="61">
        <v>0</v>
      </c>
      <c r="ER33" s="61">
        <v>0</v>
      </c>
      <c r="ES33" s="61">
        <v>15300000</v>
      </c>
      <c r="ET33" s="61">
        <v>0</v>
      </c>
      <c r="EU33" s="61">
        <v>0</v>
      </c>
      <c r="EV33" s="61">
        <v>0</v>
      </c>
      <c r="EW33" s="61">
        <v>0</v>
      </c>
      <c r="EX33" s="61">
        <v>0</v>
      </c>
      <c r="EY33" s="61">
        <v>0</v>
      </c>
      <c r="EZ33" s="61">
        <v>0</v>
      </c>
      <c r="FA33" s="61">
        <v>0</v>
      </c>
      <c r="FB33" s="61">
        <v>0</v>
      </c>
      <c r="FC33" s="61">
        <v>0</v>
      </c>
      <c r="FD33" s="61">
        <v>0</v>
      </c>
      <c r="FE33" s="61">
        <v>0</v>
      </c>
      <c r="FF33" s="61">
        <v>28922730.34</v>
      </c>
      <c r="FG33" s="61">
        <v>0</v>
      </c>
      <c r="FH33" s="61">
        <v>0</v>
      </c>
      <c r="FI33" s="61">
        <v>0</v>
      </c>
      <c r="FJ33" s="61">
        <v>0</v>
      </c>
      <c r="FK33" s="61">
        <v>4076712.33</v>
      </c>
      <c r="FL33" s="61">
        <v>0</v>
      </c>
      <c r="FM33" s="61">
        <v>0</v>
      </c>
      <c r="FN33" s="61">
        <v>0</v>
      </c>
      <c r="FO33" s="61">
        <v>0</v>
      </c>
      <c r="FP33" s="61">
        <v>0</v>
      </c>
      <c r="FQ33" s="61">
        <v>0</v>
      </c>
      <c r="FR33" s="61">
        <v>0</v>
      </c>
      <c r="FS33" s="61">
        <v>0</v>
      </c>
      <c r="FT33" s="61">
        <v>0</v>
      </c>
      <c r="FU33" s="61">
        <v>0</v>
      </c>
      <c r="FV33" s="61">
        <v>0</v>
      </c>
      <c r="FW33" s="61">
        <v>0</v>
      </c>
      <c r="FX33" s="61">
        <v>0</v>
      </c>
      <c r="FY33" s="61">
        <v>0</v>
      </c>
      <c r="FZ33" s="61">
        <v>0</v>
      </c>
      <c r="GA33" s="61">
        <v>0</v>
      </c>
      <c r="GB33" s="61">
        <v>0</v>
      </c>
      <c r="GC33" s="61">
        <v>0</v>
      </c>
      <c r="GD33" s="61">
        <v>0</v>
      </c>
      <c r="GE33" s="61">
        <v>0</v>
      </c>
      <c r="GF33" s="61">
        <v>0</v>
      </c>
      <c r="GG33" s="61">
        <v>0</v>
      </c>
      <c r="GH33" s="61">
        <v>0</v>
      </c>
      <c r="GI33" s="61">
        <v>0</v>
      </c>
      <c r="GJ33" s="61">
        <v>0</v>
      </c>
      <c r="GK33" s="61">
        <v>0</v>
      </c>
      <c r="GL33" s="61">
        <v>0</v>
      </c>
      <c r="GM33" s="61">
        <v>0</v>
      </c>
      <c r="GN33" s="61">
        <v>0</v>
      </c>
      <c r="GO33" s="61">
        <v>38228683.659999996</v>
      </c>
      <c r="GP33" s="61">
        <v>0</v>
      </c>
      <c r="GQ33" s="61">
        <v>0</v>
      </c>
      <c r="GR33" s="61">
        <v>0</v>
      </c>
      <c r="GS33" s="61">
        <v>16630066.699999999</v>
      </c>
      <c r="GT33" s="61">
        <v>0</v>
      </c>
      <c r="GU33" s="61">
        <v>0</v>
      </c>
      <c r="GV33" s="61">
        <v>33358351.969999999</v>
      </c>
      <c r="GW33" s="61">
        <v>0</v>
      </c>
      <c r="GX33" s="61">
        <v>0</v>
      </c>
      <c r="GY33" s="61">
        <v>0</v>
      </c>
      <c r="GZ33" s="61">
        <v>0</v>
      </c>
      <c r="HA33" s="61">
        <v>0</v>
      </c>
      <c r="HB33" s="61">
        <v>0</v>
      </c>
      <c r="HC33" s="61">
        <v>0</v>
      </c>
      <c r="HD33" s="61">
        <v>0</v>
      </c>
      <c r="HE33" s="61">
        <v>0</v>
      </c>
      <c r="HF33" s="61">
        <v>0</v>
      </c>
      <c r="HG33" s="61">
        <v>0</v>
      </c>
      <c r="HH33" s="61">
        <v>0</v>
      </c>
      <c r="HI33" s="61">
        <v>0</v>
      </c>
      <c r="HJ33" s="61">
        <v>0</v>
      </c>
      <c r="HK33" s="61">
        <v>0</v>
      </c>
      <c r="HL33" s="61">
        <v>0</v>
      </c>
      <c r="HM33" s="61">
        <v>0</v>
      </c>
      <c r="HN33" s="61">
        <v>0</v>
      </c>
      <c r="HO33" s="61">
        <v>0</v>
      </c>
      <c r="HP33" s="61">
        <v>9573395.1999999993</v>
      </c>
      <c r="HQ33" s="61">
        <v>0</v>
      </c>
      <c r="HR33" s="61">
        <v>0</v>
      </c>
      <c r="HS33" s="61">
        <v>0</v>
      </c>
      <c r="HT33" s="61">
        <v>9412387.6199999992</v>
      </c>
      <c r="HU33" s="61">
        <v>3355700.62</v>
      </c>
      <c r="HV33" s="61">
        <v>0</v>
      </c>
      <c r="HW33" s="61">
        <v>0</v>
      </c>
      <c r="HX33" s="61">
        <v>0</v>
      </c>
      <c r="HY33" s="61">
        <v>0</v>
      </c>
      <c r="HZ33" s="61">
        <v>0</v>
      </c>
      <c r="IA33" s="61">
        <v>0</v>
      </c>
      <c r="IB33" s="61">
        <v>0</v>
      </c>
      <c r="IC33" s="61">
        <v>0</v>
      </c>
      <c r="ID33" s="61">
        <v>0</v>
      </c>
      <c r="IE33" s="61">
        <v>0</v>
      </c>
      <c r="IF33" s="61">
        <v>0</v>
      </c>
      <c r="IG33" s="61">
        <v>0</v>
      </c>
      <c r="IH33" s="61">
        <v>0</v>
      </c>
      <c r="II33" s="61">
        <v>0</v>
      </c>
      <c r="IJ33" s="61">
        <v>23464497.600000001</v>
      </c>
      <c r="IK33" s="61">
        <v>0</v>
      </c>
      <c r="IL33" s="61">
        <v>0</v>
      </c>
      <c r="IM33" s="61">
        <v>2328767.12</v>
      </c>
      <c r="IN33" s="61">
        <v>0</v>
      </c>
      <c r="IO33" s="61">
        <v>0</v>
      </c>
      <c r="IP33" s="61">
        <v>1061643.8400000001</v>
      </c>
      <c r="IQ33" s="61">
        <v>6739205</v>
      </c>
      <c r="IR33" s="61">
        <v>0</v>
      </c>
      <c r="IS33" s="61">
        <v>0</v>
      </c>
      <c r="IT33" s="61">
        <v>0</v>
      </c>
      <c r="IU33" s="61">
        <v>1164383.56</v>
      </c>
      <c r="IV33" s="61">
        <v>0</v>
      </c>
      <c r="IW33" s="61">
        <v>0</v>
      </c>
      <c r="IX33" s="61">
        <v>0</v>
      </c>
      <c r="IY33" s="61">
        <v>0</v>
      </c>
      <c r="IZ33" s="61">
        <v>1652000.3</v>
      </c>
      <c r="JA33" s="61">
        <v>0</v>
      </c>
      <c r="JB33" s="61">
        <v>1064931.51</v>
      </c>
      <c r="JC33" s="61">
        <v>0</v>
      </c>
      <c r="JD33" s="61">
        <v>0</v>
      </c>
      <c r="JE33" s="61">
        <v>0</v>
      </c>
      <c r="JF33" s="61">
        <v>0</v>
      </c>
      <c r="JG33" s="61">
        <v>0</v>
      </c>
      <c r="JH33" s="61">
        <v>0</v>
      </c>
      <c r="JI33" s="61">
        <v>0</v>
      </c>
      <c r="JJ33" s="61">
        <v>4604.4799999999996</v>
      </c>
      <c r="JK33" s="61">
        <v>0</v>
      </c>
      <c r="JL33" s="61">
        <v>0</v>
      </c>
      <c r="JM33" s="61">
        <v>0</v>
      </c>
      <c r="JN33" s="61">
        <v>0</v>
      </c>
      <c r="JO33" s="61">
        <v>0</v>
      </c>
      <c r="JP33" s="61">
        <v>0</v>
      </c>
      <c r="JQ33" s="61">
        <v>0</v>
      </c>
      <c r="JR33" s="61">
        <v>0</v>
      </c>
      <c r="JS33" s="61">
        <v>0</v>
      </c>
      <c r="JT33" s="61">
        <v>2424657.5299999998</v>
      </c>
      <c r="JU33" s="61">
        <v>0</v>
      </c>
      <c r="JV33" s="61">
        <v>0</v>
      </c>
      <c r="JW33" s="61">
        <v>0</v>
      </c>
      <c r="JX33" s="61">
        <v>0</v>
      </c>
      <c r="JY33" s="61">
        <v>2712328.77</v>
      </c>
      <c r="JZ33" s="61">
        <v>0</v>
      </c>
      <c r="KA33" s="61">
        <v>0</v>
      </c>
      <c r="KB33" s="61">
        <v>0</v>
      </c>
      <c r="KC33" s="61">
        <v>4500000</v>
      </c>
      <c r="KD33" s="61">
        <v>0</v>
      </c>
      <c r="KE33" s="61">
        <v>0</v>
      </c>
      <c r="KF33" s="61">
        <v>0</v>
      </c>
      <c r="KG33" s="61">
        <v>0</v>
      </c>
      <c r="KH33" s="61">
        <v>4931506.8499999996</v>
      </c>
      <c r="KI33" s="61">
        <v>13395345.630000001</v>
      </c>
      <c r="KJ33" s="61">
        <v>0</v>
      </c>
      <c r="KK33" s="61">
        <v>0</v>
      </c>
      <c r="KL33" s="61">
        <v>0</v>
      </c>
      <c r="KM33" s="61">
        <v>0</v>
      </c>
      <c r="KN33" s="61">
        <v>5178082.2</v>
      </c>
      <c r="KO33" s="61">
        <v>0</v>
      </c>
      <c r="KP33" s="61">
        <v>0</v>
      </c>
      <c r="KQ33" s="61">
        <v>0</v>
      </c>
      <c r="KR33" s="61">
        <v>0</v>
      </c>
      <c r="KS33" s="61">
        <v>0</v>
      </c>
      <c r="KT33" s="61">
        <v>0</v>
      </c>
      <c r="KU33" s="61">
        <v>0</v>
      </c>
      <c r="KV33" s="61">
        <v>0</v>
      </c>
      <c r="KW33" s="61">
        <v>0</v>
      </c>
      <c r="KX33" s="61">
        <v>0</v>
      </c>
      <c r="KY33" s="61">
        <v>0</v>
      </c>
      <c r="KZ33" s="61">
        <v>0</v>
      </c>
      <c r="LA33" s="61">
        <v>15836301.369999999</v>
      </c>
      <c r="LB33" s="61">
        <v>3500000</v>
      </c>
      <c r="LC33" s="61">
        <v>8750000</v>
      </c>
      <c r="LD33" s="61">
        <v>15750000</v>
      </c>
      <c r="LE33" s="61">
        <v>0</v>
      </c>
      <c r="LF33" s="61">
        <v>0</v>
      </c>
      <c r="LG33" s="61">
        <v>0</v>
      </c>
      <c r="LH33" s="61">
        <v>0</v>
      </c>
      <c r="LI33" s="61">
        <v>47748783.109999999</v>
      </c>
      <c r="LJ33" s="61">
        <v>0</v>
      </c>
      <c r="LK33" s="61">
        <v>0</v>
      </c>
      <c r="LL33" s="61">
        <v>0</v>
      </c>
      <c r="LM33" s="61">
        <v>0</v>
      </c>
      <c r="LN33" s="61">
        <v>0</v>
      </c>
      <c r="LO33" s="61">
        <v>0</v>
      </c>
      <c r="LP33" s="61">
        <v>0</v>
      </c>
      <c r="LQ33" s="61">
        <v>0</v>
      </c>
      <c r="LR33" s="61">
        <v>0</v>
      </c>
      <c r="LS33" s="61">
        <v>43284931.5</v>
      </c>
      <c r="LT33" s="61">
        <v>0</v>
      </c>
      <c r="LU33" s="61">
        <v>0</v>
      </c>
      <c r="LV33" s="61">
        <v>0</v>
      </c>
      <c r="LW33" s="61">
        <v>12845824.01</v>
      </c>
      <c r="LX33" s="61">
        <v>0</v>
      </c>
      <c r="LY33" s="61">
        <v>3246760.33</v>
      </c>
      <c r="LZ33" s="61">
        <v>0</v>
      </c>
      <c r="MA33" s="61">
        <v>0</v>
      </c>
      <c r="MB33" s="61">
        <v>0</v>
      </c>
      <c r="MC33" s="61">
        <v>0</v>
      </c>
      <c r="MD33" s="61">
        <v>0</v>
      </c>
      <c r="ME33" s="61">
        <v>0</v>
      </c>
      <c r="MF33" s="61">
        <v>0</v>
      </c>
      <c r="MG33" s="61">
        <v>0</v>
      </c>
      <c r="MH33" s="61">
        <v>0</v>
      </c>
      <c r="MI33" s="61">
        <v>0</v>
      </c>
      <c r="MJ33" s="61">
        <v>0</v>
      </c>
      <c r="MK33" s="61">
        <v>0</v>
      </c>
      <c r="ML33" s="61">
        <v>0</v>
      </c>
      <c r="MM33" s="61">
        <v>0</v>
      </c>
      <c r="MN33" s="61">
        <v>0</v>
      </c>
      <c r="MO33" s="61">
        <v>0</v>
      </c>
      <c r="MP33" s="61">
        <v>0</v>
      </c>
      <c r="MQ33" s="61">
        <v>0</v>
      </c>
      <c r="MR33" s="61">
        <v>0</v>
      </c>
      <c r="MS33" s="61">
        <v>0</v>
      </c>
      <c r="MT33" s="61">
        <v>0</v>
      </c>
      <c r="MU33" s="61">
        <v>0</v>
      </c>
      <c r="MV33" s="61">
        <v>21508846.25</v>
      </c>
      <c r="MW33" s="61">
        <v>0</v>
      </c>
      <c r="MX33" s="61">
        <v>0</v>
      </c>
      <c r="MY33" s="61">
        <v>0</v>
      </c>
      <c r="MZ33" s="61">
        <v>0</v>
      </c>
      <c r="NA33" s="61">
        <v>0</v>
      </c>
      <c r="NB33" s="61">
        <v>0</v>
      </c>
      <c r="NC33" s="61">
        <v>0</v>
      </c>
      <c r="ND33" s="61">
        <v>0</v>
      </c>
      <c r="NE33" s="61">
        <v>0</v>
      </c>
      <c r="NF33" s="61">
        <v>0</v>
      </c>
      <c r="NG33" s="61">
        <v>0</v>
      </c>
      <c r="NH33" s="61">
        <v>0</v>
      </c>
      <c r="NI33" s="61">
        <v>0</v>
      </c>
      <c r="NJ33" s="61">
        <v>0</v>
      </c>
      <c r="NK33" s="61">
        <v>0</v>
      </c>
      <c r="NL33" s="61">
        <v>0</v>
      </c>
      <c r="NM33" s="61">
        <v>0</v>
      </c>
      <c r="NN33" s="61">
        <v>8250000</v>
      </c>
      <c r="NO33" s="61">
        <v>3318082.19</v>
      </c>
      <c r="NP33" s="61">
        <v>0</v>
      </c>
      <c r="NQ33" s="61">
        <v>0</v>
      </c>
      <c r="NR33" s="61">
        <v>0</v>
      </c>
      <c r="NS33" s="61">
        <v>0</v>
      </c>
      <c r="NT33" s="61">
        <v>0</v>
      </c>
      <c r="NU33" s="61">
        <v>2849315.07</v>
      </c>
      <c r="NV33" s="61">
        <v>0</v>
      </c>
      <c r="NW33" s="61">
        <v>0</v>
      </c>
      <c r="NX33" s="61">
        <v>0</v>
      </c>
      <c r="NY33" s="61">
        <v>0</v>
      </c>
      <c r="NZ33" s="61">
        <v>0</v>
      </c>
      <c r="OA33" s="61">
        <v>0</v>
      </c>
      <c r="OB33" s="61">
        <v>0</v>
      </c>
      <c r="OC33" s="61">
        <v>0</v>
      </c>
      <c r="OD33" s="61">
        <v>0</v>
      </c>
      <c r="OE33" s="61">
        <v>0</v>
      </c>
      <c r="OF33" s="61">
        <v>0</v>
      </c>
      <c r="OG33" s="61">
        <v>0</v>
      </c>
      <c r="OH33" s="61">
        <v>0</v>
      </c>
      <c r="OI33" s="61">
        <v>0</v>
      </c>
      <c r="OJ33" s="61">
        <v>0</v>
      </c>
      <c r="OK33" s="61">
        <v>0</v>
      </c>
      <c r="OL33" s="61">
        <v>0</v>
      </c>
      <c r="OM33" s="61">
        <v>0</v>
      </c>
      <c r="ON33" s="61">
        <v>0</v>
      </c>
      <c r="OO33" s="61">
        <v>0</v>
      </c>
      <c r="OP33" s="61">
        <v>0</v>
      </c>
      <c r="OQ33" s="61">
        <v>0</v>
      </c>
      <c r="OR33" s="61">
        <v>0</v>
      </c>
      <c r="OS33" s="61">
        <v>0</v>
      </c>
      <c r="OT33" s="61">
        <v>0</v>
      </c>
      <c r="OU33" s="61">
        <v>0</v>
      </c>
      <c r="OV33" s="61">
        <v>0</v>
      </c>
      <c r="OW33" s="61">
        <v>0</v>
      </c>
      <c r="OX33" s="61">
        <v>0</v>
      </c>
      <c r="OY33" s="61">
        <v>0</v>
      </c>
      <c r="OZ33" s="61">
        <v>196176.23</v>
      </c>
      <c r="PA33" s="61">
        <v>0</v>
      </c>
      <c r="PB33" s="61">
        <v>0</v>
      </c>
      <c r="PC33" s="61">
        <v>115085.31</v>
      </c>
      <c r="PD33" s="61">
        <v>0</v>
      </c>
      <c r="PE33" s="61">
        <v>0</v>
      </c>
      <c r="PF33" s="61">
        <v>0</v>
      </c>
      <c r="PG33" s="61">
        <v>0</v>
      </c>
      <c r="PH33" s="61">
        <v>0</v>
      </c>
      <c r="PI33" s="61">
        <v>0</v>
      </c>
      <c r="PJ33" s="61">
        <v>89236.17</v>
      </c>
      <c r="PK33" s="61">
        <v>0</v>
      </c>
      <c r="PL33" s="61">
        <v>0</v>
      </c>
      <c r="PM33" s="61">
        <v>0</v>
      </c>
      <c r="PN33" s="61">
        <v>0</v>
      </c>
      <c r="PO33" s="61">
        <v>0</v>
      </c>
      <c r="PP33" s="61">
        <v>0</v>
      </c>
      <c r="PQ33" s="61">
        <v>0</v>
      </c>
      <c r="PR33" s="61">
        <v>0</v>
      </c>
      <c r="PS33" s="61">
        <v>0</v>
      </c>
      <c r="PT33" s="61">
        <v>0</v>
      </c>
      <c r="PU33" s="61">
        <v>0</v>
      </c>
      <c r="PV33" s="61">
        <v>0</v>
      </c>
      <c r="PW33" s="61">
        <v>0</v>
      </c>
      <c r="PX33" s="61">
        <v>0</v>
      </c>
      <c r="PY33" s="61"/>
      <c r="PZ33" s="61"/>
      <c r="QA33" s="61"/>
      <c r="QB33" s="61"/>
      <c r="QC33" s="61"/>
      <c r="QD33" s="61"/>
      <c r="QE33" s="61"/>
      <c r="QF33" s="61"/>
      <c r="QG33" s="61"/>
      <c r="QH33" s="61"/>
      <c r="QI33" s="61"/>
      <c r="QJ33" s="61"/>
      <c r="QK33" s="61"/>
      <c r="QL33" s="61"/>
      <c r="QM33" s="61"/>
      <c r="QN33" s="61"/>
      <c r="QO33" s="61"/>
      <c r="QP33" s="61"/>
      <c r="QQ33" s="61"/>
      <c r="QR33" s="61"/>
      <c r="QS33" s="61"/>
      <c r="QT33" s="61"/>
      <c r="QU33" s="61"/>
      <c r="QV33" s="61"/>
      <c r="QW33" s="61"/>
      <c r="QX33" s="61"/>
      <c r="QY33" s="61"/>
      <c r="QZ33" s="61"/>
      <c r="RA33" s="61"/>
      <c r="RB33" s="61"/>
      <c r="RC33" s="61"/>
      <c r="RD33" s="61"/>
      <c r="RE33" s="61"/>
      <c r="RF33" s="61"/>
      <c r="RG33" s="61"/>
      <c r="RH33" s="61"/>
      <c r="RI33" s="61"/>
      <c r="RJ33" s="61"/>
      <c r="RK33" s="61"/>
      <c r="RL33" s="61"/>
      <c r="RM33" s="61"/>
      <c r="RN33" s="61"/>
      <c r="RO33" s="61"/>
      <c r="RP33" s="61"/>
      <c r="RQ33" s="61"/>
      <c r="RR33" s="61"/>
      <c r="RS33" s="61"/>
      <c r="RT33" s="61"/>
      <c r="RU33" s="61"/>
      <c r="RV33" s="61"/>
      <c r="RW33" s="61"/>
      <c r="RX33" s="61"/>
      <c r="RY33" s="61"/>
      <c r="RZ33" s="61"/>
      <c r="SA33" s="61"/>
    </row>
    <row r="34" spans="1:495" x14ac:dyDescent="0.2">
      <c r="A34" s="67" t="s">
        <v>1078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>
        <v>59979220.799999997</v>
      </c>
      <c r="AK34" s="68"/>
      <c r="AL34" s="68"/>
      <c r="AM34" s="68"/>
      <c r="AN34" s="68"/>
      <c r="AO34" s="68"/>
      <c r="AP34" s="68"/>
      <c r="AQ34" s="68">
        <v>2990699790</v>
      </c>
      <c r="AR34" s="68"/>
      <c r="AS34" s="68"/>
      <c r="AT34" s="68"/>
      <c r="AU34" s="68"/>
      <c r="AV34" s="68"/>
      <c r="AW34" s="68"/>
      <c r="AX34" s="68"/>
      <c r="AY34" s="68"/>
      <c r="AZ34" s="68"/>
      <c r="BA34" s="68">
        <v>522544885.39999998</v>
      </c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>
        <v>-710000000</v>
      </c>
      <c r="BQ34" s="68">
        <v>-710000000</v>
      </c>
      <c r="BR34" s="68"/>
      <c r="BS34" s="68"/>
      <c r="BT34" s="68"/>
      <c r="BU34" s="68"/>
      <c r="BV34" s="68"/>
      <c r="BW34" s="68"/>
      <c r="BX34" s="68"/>
      <c r="BY34" s="68"/>
      <c r="BZ34" s="68"/>
      <c r="CA34" s="68">
        <v>875522301.54999995</v>
      </c>
      <c r="CB34" s="68"/>
      <c r="CC34" s="68"/>
      <c r="CD34" s="68"/>
      <c r="CE34" s="68"/>
      <c r="CF34" s="68"/>
      <c r="CG34" s="68"/>
      <c r="CH34" s="68"/>
      <c r="CI34" s="68">
        <v>2691537814</v>
      </c>
      <c r="CJ34" s="68"/>
      <c r="CK34" s="68"/>
      <c r="CL34" s="68"/>
      <c r="CM34" s="68"/>
      <c r="CN34" s="68"/>
      <c r="CO34" s="68"/>
      <c r="CP34" s="68"/>
      <c r="CQ34" s="68"/>
      <c r="CR34" s="68"/>
      <c r="CS34" s="68"/>
      <c r="CT34" s="68"/>
      <c r="CU34" s="68"/>
      <c r="CV34" s="68"/>
      <c r="CW34" s="68">
        <v>-5000000</v>
      </c>
      <c r="CX34" s="68"/>
      <c r="CY34" s="68"/>
      <c r="CZ34" s="68"/>
      <c r="DA34" s="68"/>
      <c r="DB34" s="68"/>
      <c r="DC34" s="68"/>
      <c r="DD34" s="68"/>
      <c r="DE34" s="68"/>
      <c r="DF34" s="68"/>
      <c r="DG34" s="68"/>
      <c r="DH34" s="68"/>
      <c r="DI34" s="68"/>
      <c r="DJ34" s="68"/>
      <c r="DK34" s="68"/>
      <c r="DL34" s="68"/>
      <c r="DM34" s="68"/>
      <c r="DN34" s="68"/>
      <c r="DO34" s="68"/>
      <c r="DP34" s="68"/>
      <c r="DQ34" s="68"/>
      <c r="DR34" s="68"/>
      <c r="DS34" s="68"/>
      <c r="DT34" s="68"/>
      <c r="DU34" s="68"/>
      <c r="DV34" s="68"/>
      <c r="DW34" s="68"/>
      <c r="DX34" s="68"/>
      <c r="DY34" s="68"/>
      <c r="DZ34" s="68"/>
      <c r="EA34" s="68"/>
      <c r="EB34" s="68"/>
      <c r="EC34" s="68"/>
      <c r="ED34" s="68"/>
      <c r="EE34" s="68"/>
      <c r="EF34" s="68"/>
      <c r="EG34" s="68"/>
      <c r="EH34" s="68"/>
      <c r="EI34" s="68"/>
      <c r="EJ34" s="68"/>
      <c r="EK34" s="68"/>
      <c r="EL34" s="68"/>
      <c r="EM34" s="68"/>
      <c r="EN34" s="68"/>
      <c r="EO34" s="68"/>
      <c r="EP34" s="68"/>
      <c r="EQ34" s="68"/>
      <c r="ER34" s="68"/>
      <c r="ES34" s="68"/>
      <c r="ET34" s="68"/>
      <c r="EU34" s="68"/>
      <c r="EV34" s="68"/>
      <c r="EW34" s="68"/>
      <c r="EX34" s="68">
        <v>400000000</v>
      </c>
      <c r="EY34" s="68"/>
      <c r="EZ34" s="68"/>
      <c r="FA34" s="68"/>
      <c r="FB34" s="68"/>
      <c r="FC34" s="68"/>
      <c r="FD34" s="68"/>
      <c r="FE34" s="68"/>
      <c r="FF34" s="68"/>
      <c r="FG34" s="68"/>
      <c r="FH34" s="68"/>
      <c r="FI34" s="68"/>
      <c r="FJ34" s="68"/>
      <c r="FK34" s="68"/>
      <c r="FL34" s="68"/>
      <c r="FM34" s="68"/>
      <c r="FN34" s="68"/>
      <c r="FO34" s="68"/>
      <c r="FP34" s="68"/>
      <c r="FQ34" s="68"/>
      <c r="FR34" s="68"/>
      <c r="FS34" s="68"/>
      <c r="FT34" s="68"/>
      <c r="FU34" s="68"/>
      <c r="FV34" s="68"/>
      <c r="FW34" s="68"/>
      <c r="FX34" s="68"/>
      <c r="FY34" s="68"/>
      <c r="FZ34" s="68"/>
      <c r="GA34" s="68"/>
      <c r="GB34" s="68"/>
      <c r="GC34" s="68"/>
      <c r="GD34" s="68"/>
      <c r="GE34" s="68"/>
      <c r="GF34" s="68"/>
      <c r="GG34" s="68"/>
      <c r="GH34" s="68"/>
      <c r="GI34" s="68"/>
      <c r="GJ34" s="68"/>
      <c r="GK34" s="68"/>
      <c r="GL34" s="68"/>
      <c r="GM34" s="68"/>
      <c r="GN34" s="68"/>
      <c r="GO34" s="68"/>
      <c r="GP34" s="68"/>
      <c r="GQ34" s="68"/>
      <c r="GR34" s="68"/>
      <c r="GS34" s="68"/>
      <c r="GT34" s="68"/>
      <c r="GU34" s="68"/>
      <c r="GV34" s="68"/>
      <c r="GW34" s="68"/>
      <c r="GX34" s="68">
        <v>1000000000</v>
      </c>
      <c r="GY34" s="68"/>
      <c r="GZ34" s="68"/>
      <c r="HA34" s="68"/>
      <c r="HB34" s="68"/>
      <c r="HC34" s="68"/>
      <c r="HD34" s="68"/>
      <c r="HE34" s="68"/>
      <c r="HF34" s="68"/>
      <c r="HG34" s="68"/>
      <c r="HH34" s="68"/>
      <c r="HI34" s="68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68">
        <v>11296029.150000572</v>
      </c>
      <c r="JA34" s="68"/>
      <c r="JB34" s="68"/>
      <c r="JC34" s="68"/>
      <c r="JD34" s="68"/>
      <c r="JE34" s="68"/>
      <c r="JF34" s="68"/>
      <c r="JG34" s="68"/>
      <c r="JH34" s="68"/>
      <c r="JI34" s="68"/>
      <c r="JJ34" s="68"/>
      <c r="JK34" s="68"/>
      <c r="JL34" s="68"/>
      <c r="JM34" s="68"/>
      <c r="JN34" s="68"/>
      <c r="JO34" s="68"/>
      <c r="JP34" s="68"/>
      <c r="JQ34" s="68"/>
      <c r="JR34" s="68"/>
      <c r="JS34" s="68"/>
      <c r="JT34" s="68"/>
      <c r="JU34" s="68"/>
      <c r="JV34" s="68"/>
      <c r="JW34" s="68"/>
      <c r="JX34" s="68"/>
      <c r="JY34" s="68"/>
      <c r="JZ34" s="68"/>
      <c r="KA34" s="68"/>
      <c r="KB34" s="68"/>
      <c r="KC34" s="68"/>
      <c r="KD34" s="68"/>
      <c r="KE34" s="68"/>
      <c r="KF34" s="68"/>
      <c r="KG34" s="68"/>
      <c r="KH34" s="68"/>
      <c r="KI34" s="68"/>
      <c r="KJ34" s="68"/>
      <c r="KK34" s="68"/>
      <c r="KL34" s="68"/>
      <c r="KM34" s="68"/>
      <c r="KN34" s="68"/>
      <c r="KO34" s="68"/>
      <c r="KP34" s="68"/>
      <c r="KQ34" s="68"/>
      <c r="KR34" s="68"/>
      <c r="KS34" s="68"/>
      <c r="KT34" s="68"/>
      <c r="KU34" s="68"/>
      <c r="KV34" s="68">
        <v>160000000</v>
      </c>
      <c r="KW34" s="68"/>
      <c r="KX34" s="68"/>
      <c r="KY34" s="68"/>
      <c r="KZ34" s="68"/>
      <c r="LA34" s="68"/>
      <c r="LB34" s="68"/>
      <c r="LC34" s="68"/>
      <c r="LD34" s="68"/>
      <c r="LE34" s="68"/>
      <c r="LF34" s="68"/>
      <c r="LG34" s="68"/>
      <c r="LH34" s="68"/>
      <c r="LI34" s="68"/>
      <c r="LJ34" s="68"/>
      <c r="LK34" s="68"/>
      <c r="LL34" s="68"/>
      <c r="LM34" s="68"/>
      <c r="LN34" s="68"/>
      <c r="LO34" s="68"/>
      <c r="LP34" s="68"/>
      <c r="LQ34" s="68"/>
      <c r="LR34" s="68"/>
      <c r="LS34" s="68"/>
      <c r="LT34" s="68"/>
      <c r="LU34" s="68"/>
      <c r="LV34" s="68"/>
      <c r="LW34" s="68"/>
      <c r="LX34" s="68"/>
      <c r="LY34" s="68"/>
      <c r="LZ34" s="68"/>
      <c r="MA34" s="68"/>
      <c r="MB34" s="68"/>
      <c r="MC34" s="68"/>
      <c r="MD34" s="68"/>
      <c r="ME34" s="68"/>
      <c r="MF34" s="68"/>
      <c r="MG34" s="68"/>
      <c r="MH34" s="68"/>
      <c r="MI34" s="68"/>
      <c r="MJ34" s="68"/>
      <c r="MK34" s="68"/>
      <c r="ML34" s="68">
        <v>151000000</v>
      </c>
      <c r="MM34" s="68"/>
      <c r="MN34" s="68"/>
      <c r="MO34" s="68"/>
      <c r="MP34" s="68"/>
      <c r="MQ34" s="68"/>
      <c r="MR34" s="68"/>
      <c r="MS34" s="68"/>
      <c r="MT34" s="68"/>
      <c r="MU34" s="68"/>
      <c r="MV34" s="68"/>
      <c r="MW34" s="68"/>
      <c r="MX34" s="68"/>
      <c r="MY34" s="68"/>
      <c r="MZ34" s="68"/>
      <c r="NA34" s="68"/>
      <c r="NB34" s="68"/>
      <c r="NC34" s="68"/>
      <c r="ND34" s="68"/>
      <c r="NE34" s="68"/>
      <c r="NF34" s="68"/>
      <c r="NG34" s="68"/>
      <c r="NH34" s="68"/>
      <c r="NI34" s="68"/>
      <c r="NJ34" s="68"/>
      <c r="NK34" s="68"/>
      <c r="NL34" s="68"/>
      <c r="NM34" s="68"/>
      <c r="NN34" s="68"/>
      <c r="NO34" s="68"/>
      <c r="NP34" s="68"/>
      <c r="NQ34" s="68"/>
      <c r="NR34" s="68"/>
      <c r="NS34" s="68"/>
      <c r="NT34" s="68"/>
      <c r="NU34" s="68"/>
      <c r="NV34" s="68"/>
      <c r="NW34" s="68"/>
      <c r="NX34" s="68"/>
      <c r="NY34" s="68"/>
      <c r="NZ34" s="68"/>
      <c r="OA34" s="68"/>
      <c r="OB34" s="68"/>
      <c r="OC34" s="68"/>
      <c r="OD34" s="68"/>
      <c r="OE34" s="68"/>
      <c r="OF34" s="68"/>
      <c r="OG34" s="68"/>
      <c r="OH34" s="68"/>
      <c r="OI34" s="68"/>
      <c r="OJ34" s="68"/>
      <c r="OK34" s="68"/>
      <c r="OL34" s="68"/>
      <c r="OM34" s="68"/>
      <c r="ON34" s="68"/>
      <c r="OO34" s="68"/>
      <c r="OP34" s="68"/>
      <c r="OQ34" s="68"/>
      <c r="OR34" s="68"/>
      <c r="OS34" s="68"/>
      <c r="OT34" s="68"/>
      <c r="OU34" s="68"/>
      <c r="OV34" s="68"/>
      <c r="OW34" s="68"/>
      <c r="OX34" s="68"/>
      <c r="OY34" s="68"/>
      <c r="OZ34" s="68"/>
      <c r="PA34" s="68"/>
      <c r="PB34" s="68"/>
      <c r="PC34" s="68"/>
      <c r="PD34" s="68">
        <v>0</v>
      </c>
      <c r="PE34" s="68"/>
      <c r="PF34" s="68"/>
      <c r="PG34" s="68"/>
      <c r="PH34" s="68"/>
      <c r="PI34" s="68"/>
      <c r="PJ34" s="68"/>
      <c r="PK34" s="68"/>
      <c r="PL34" s="68"/>
      <c r="PM34" s="68"/>
      <c r="PN34" s="68"/>
      <c r="PO34" s="68"/>
      <c r="PP34" s="68"/>
      <c r="PQ34" s="68"/>
      <c r="PR34" s="68"/>
      <c r="PS34" s="68"/>
      <c r="PT34" s="68"/>
      <c r="PU34" s="68"/>
      <c r="PV34" s="68"/>
      <c r="PW34" s="68"/>
      <c r="PX34" s="68"/>
      <c r="PY34" s="68"/>
      <c r="PZ34" s="68"/>
      <c r="QA34" s="68"/>
      <c r="QB34" s="68"/>
      <c r="QC34" s="68"/>
      <c r="QD34" s="68"/>
      <c r="QE34" s="68"/>
      <c r="QF34" s="68"/>
      <c r="QG34" s="68"/>
      <c r="QH34" s="68"/>
      <c r="QI34" s="68"/>
      <c r="QJ34" s="68"/>
      <c r="QK34" s="68"/>
      <c r="QL34" s="68"/>
      <c r="QM34" s="68"/>
      <c r="QN34" s="68"/>
      <c r="QO34" s="68"/>
      <c r="QP34" s="68"/>
      <c r="QQ34" s="68"/>
      <c r="QR34" s="68"/>
      <c r="QS34" s="68"/>
      <c r="QT34" s="68"/>
      <c r="QU34" s="68"/>
      <c r="QV34" s="68"/>
      <c r="QW34" s="68"/>
      <c r="QX34" s="68"/>
      <c r="QY34" s="68"/>
      <c r="QZ34" s="68"/>
      <c r="RA34" s="68"/>
      <c r="RB34" s="68"/>
      <c r="RC34" s="68"/>
      <c r="RD34" s="68"/>
      <c r="RE34" s="68"/>
      <c r="RF34" s="68"/>
      <c r="RG34" s="68"/>
      <c r="RH34" s="68"/>
      <c r="RI34" s="68"/>
      <c r="RJ34" s="68"/>
      <c r="RK34" s="68"/>
      <c r="RL34" s="68"/>
      <c r="RM34" s="68"/>
      <c r="RN34" s="68"/>
      <c r="RO34" s="68"/>
      <c r="RP34" s="68"/>
      <c r="RQ34" s="68"/>
      <c r="RR34" s="68"/>
      <c r="RS34" s="68"/>
      <c r="RT34" s="68"/>
      <c r="RU34" s="68"/>
      <c r="RV34" s="68"/>
      <c r="RW34" s="68"/>
      <c r="RX34" s="68"/>
      <c r="RY34" s="68"/>
      <c r="RZ34" s="68"/>
      <c r="SA34" s="68"/>
    </row>
    <row r="35" spans="1:495" x14ac:dyDescent="0.2">
      <c r="A35" s="69" t="s">
        <v>1079</v>
      </c>
      <c r="B35" s="70">
        <v>1502079559.4399998</v>
      </c>
      <c r="C35" s="70">
        <v>6418916391.0900002</v>
      </c>
      <c r="D35" s="70">
        <v>6340455660.9700003</v>
      </c>
      <c r="E35" s="70">
        <v>21577681422.470001</v>
      </c>
      <c r="F35" s="70">
        <v>584070958.45000005</v>
      </c>
      <c r="G35" s="70">
        <v>7294018934.6900005</v>
      </c>
      <c r="H35" s="70">
        <v>1046326591.9899999</v>
      </c>
      <c r="I35" s="70">
        <v>11135286622.73</v>
      </c>
      <c r="J35" s="70">
        <v>7949210158.8299999</v>
      </c>
      <c r="K35" s="70">
        <v>4067713478.9499998</v>
      </c>
      <c r="L35" s="70">
        <v>12938965677.98</v>
      </c>
      <c r="M35" s="70">
        <v>4041156518.6400003</v>
      </c>
      <c r="N35" s="70">
        <v>5754134023.9399996</v>
      </c>
      <c r="O35" s="70">
        <v>14816048892.470001</v>
      </c>
      <c r="P35" s="70">
        <v>2253008392.9499998</v>
      </c>
      <c r="Q35" s="70">
        <v>6003503167.5</v>
      </c>
      <c r="R35" s="70">
        <v>4511515762.1800003</v>
      </c>
      <c r="S35" s="70">
        <v>6148648848.1999989</v>
      </c>
      <c r="T35" s="70">
        <v>13776647322.449999</v>
      </c>
      <c r="U35" s="70">
        <v>2311328593.73</v>
      </c>
      <c r="V35" s="70">
        <v>6349566123.6000004</v>
      </c>
      <c r="W35" s="70">
        <v>4457048780.4199991</v>
      </c>
      <c r="X35" s="70">
        <v>7099746336.3699999</v>
      </c>
      <c r="Y35" s="70">
        <v>4380489615.0700006</v>
      </c>
      <c r="Z35" s="70">
        <v>4536778262.6500006</v>
      </c>
      <c r="AA35" s="70">
        <v>3435158044.0099998</v>
      </c>
      <c r="AB35" s="70">
        <v>4081270133.1399999</v>
      </c>
      <c r="AC35" s="70">
        <v>3400881876.3199997</v>
      </c>
      <c r="AD35" s="70">
        <v>4349714043.6699991</v>
      </c>
      <c r="AE35" s="70">
        <v>5957062304.4799995</v>
      </c>
      <c r="AF35" s="70">
        <v>4300866654.4099998</v>
      </c>
      <c r="AG35" s="70">
        <v>4740197908.8999996</v>
      </c>
      <c r="AH35" s="70">
        <v>5923496100.2200003</v>
      </c>
      <c r="AI35" s="70">
        <v>1162856042.1700001</v>
      </c>
      <c r="AJ35" s="70">
        <v>4174205645.6700001</v>
      </c>
      <c r="AK35" s="70">
        <v>5714684382.2903805</v>
      </c>
      <c r="AL35" s="70">
        <v>6213783204.3400002</v>
      </c>
      <c r="AM35" s="70">
        <v>7600916335.8699999</v>
      </c>
      <c r="AN35" s="70">
        <v>4216035917.8600001</v>
      </c>
      <c r="AO35" s="70">
        <v>6428144197.2099991</v>
      </c>
      <c r="AP35" s="70">
        <v>6989616890.0299997</v>
      </c>
      <c r="AQ35" s="70">
        <v>8479425371.6100006</v>
      </c>
      <c r="AR35" s="70">
        <v>8784207202.2300014</v>
      </c>
      <c r="AS35" s="70">
        <v>3809265001.2900004</v>
      </c>
      <c r="AT35" s="70">
        <v>9197487078.4799995</v>
      </c>
      <c r="AU35" s="70">
        <v>6250578242.5500002</v>
      </c>
      <c r="AV35" s="70">
        <v>3832810228.2600002</v>
      </c>
      <c r="AW35" s="70">
        <v>12906066459.219999</v>
      </c>
      <c r="AX35" s="70">
        <v>2010042703.1599998</v>
      </c>
      <c r="AY35" s="70">
        <v>9326835453.9200001</v>
      </c>
      <c r="AZ35" s="70">
        <v>4330334164.5100002</v>
      </c>
      <c r="BA35" s="70">
        <v>8037931662.4699993</v>
      </c>
      <c r="BB35" s="70">
        <v>4370550092.0600004</v>
      </c>
      <c r="BC35" s="70">
        <v>851703354.76999998</v>
      </c>
      <c r="BD35" s="70">
        <v>8230741909.2300005</v>
      </c>
      <c r="BE35" s="70">
        <v>3722070379.4300003</v>
      </c>
      <c r="BF35" s="70">
        <v>30967439097.080002</v>
      </c>
      <c r="BG35" s="70">
        <v>23501405472.860001</v>
      </c>
      <c r="BH35" s="70">
        <v>1568282933.9099998</v>
      </c>
      <c r="BI35" s="70">
        <v>18657660280.130001</v>
      </c>
      <c r="BJ35" s="70">
        <v>4083892596.79</v>
      </c>
      <c r="BK35" s="70">
        <v>3693630901.6700001</v>
      </c>
      <c r="BL35" s="70">
        <v>10123442294.790001</v>
      </c>
      <c r="BM35" s="70">
        <v>2765079295.7600002</v>
      </c>
      <c r="BN35" s="70">
        <v>12442160409.810001</v>
      </c>
      <c r="BO35" s="70">
        <v>7728230236.7700005</v>
      </c>
      <c r="BP35" s="70">
        <v>13274856363.190001</v>
      </c>
      <c r="BQ35" s="70">
        <v>2605910019.7599998</v>
      </c>
      <c r="BR35" s="70">
        <v>5772492188.6999998</v>
      </c>
      <c r="BS35" s="70">
        <v>8250785354.7700005</v>
      </c>
      <c r="BT35" s="70">
        <v>3378849043.3299999</v>
      </c>
      <c r="BU35" s="70">
        <v>2536008910.4700003</v>
      </c>
      <c r="BV35" s="70">
        <v>11114588623.150002</v>
      </c>
      <c r="BW35" s="70">
        <v>5423045003.29</v>
      </c>
      <c r="BX35" s="70">
        <v>7839384883.8599997</v>
      </c>
      <c r="BY35" s="70">
        <v>5056228427.8899994</v>
      </c>
      <c r="BZ35" s="70">
        <v>5054363181.2299995</v>
      </c>
      <c r="CA35" s="70">
        <v>4835076151.8500004</v>
      </c>
      <c r="CB35" s="70">
        <v>5714793340.5799999</v>
      </c>
      <c r="CC35" s="70">
        <v>10867239868</v>
      </c>
      <c r="CD35" s="70">
        <v>3118885273.04</v>
      </c>
      <c r="CE35" s="70">
        <v>6470658489.5</v>
      </c>
      <c r="CF35" s="70">
        <v>5526223464.9399996</v>
      </c>
      <c r="CG35" s="70">
        <v>6876397664.0500002</v>
      </c>
      <c r="CH35" s="70">
        <v>2674220957.9099998</v>
      </c>
      <c r="CI35" s="70">
        <v>7020388304.3599997</v>
      </c>
      <c r="CJ35" s="70">
        <v>9648956555.0400009</v>
      </c>
      <c r="CK35" s="70">
        <v>5489826029.4299994</v>
      </c>
      <c r="CL35" s="70">
        <v>1224932364.53</v>
      </c>
      <c r="CM35" s="70">
        <v>5291745567.1700001</v>
      </c>
      <c r="CN35" s="70">
        <v>10504892058.75</v>
      </c>
      <c r="CO35" s="70">
        <v>1419710442.3800001</v>
      </c>
      <c r="CP35" s="70">
        <v>7197366692.8800001</v>
      </c>
      <c r="CQ35" s="70">
        <v>1061632840.63</v>
      </c>
      <c r="CR35" s="70">
        <v>4641389552.1000004</v>
      </c>
      <c r="CS35" s="70">
        <v>7888876210.9099998</v>
      </c>
      <c r="CT35" s="70">
        <v>793060085.29999995</v>
      </c>
      <c r="CU35" s="70">
        <v>8898529385.3699989</v>
      </c>
      <c r="CV35" s="70">
        <v>1279038704.3299999</v>
      </c>
      <c r="CW35" s="70">
        <v>5917322100.0500002</v>
      </c>
      <c r="CX35" s="70">
        <v>5357690380.1399994</v>
      </c>
      <c r="CY35" s="70">
        <v>3563229245.46</v>
      </c>
      <c r="CZ35" s="70">
        <v>6234942187.3499985</v>
      </c>
      <c r="DA35" s="70">
        <v>2894237886.8600001</v>
      </c>
      <c r="DB35" s="70">
        <v>4927826451.5100002</v>
      </c>
      <c r="DC35" s="70">
        <v>5489594678.7200003</v>
      </c>
      <c r="DD35" s="70">
        <v>3029568701.6999998</v>
      </c>
      <c r="DE35" s="70">
        <v>7645843145.8800001</v>
      </c>
      <c r="DF35" s="70">
        <v>352978696.97999996</v>
      </c>
      <c r="DG35" s="70">
        <v>4524859277.1999998</v>
      </c>
      <c r="DH35" s="70">
        <v>2353056423.4000001</v>
      </c>
      <c r="DI35" s="70">
        <f>SUM(DI24:DI34)</f>
        <v>4111881209.5799999</v>
      </c>
      <c r="DJ35" s="70">
        <f>SUM(DJ24:DJ34)</f>
        <v>6257092965.8400002</v>
      </c>
      <c r="DK35" s="70">
        <f>SUM(DK24:DK34)</f>
        <v>4148479317.3400002</v>
      </c>
      <c r="DL35" s="70">
        <f>SUM(DL24:DL34)</f>
        <v>1047464610.3000001</v>
      </c>
      <c r="DM35" s="70">
        <f>SUM(DM24:DM34)</f>
        <v>4919674973.3800001</v>
      </c>
      <c r="DN35" s="70">
        <v>3771287188.23</v>
      </c>
      <c r="DO35" s="70">
        <v>8798681678.9500008</v>
      </c>
      <c r="DP35" s="70">
        <v>1581912357.6700001</v>
      </c>
      <c r="DQ35" s="70">
        <v>6757755288.21</v>
      </c>
      <c r="DR35" s="70">
        <v>2674383448.6399999</v>
      </c>
      <c r="DS35" s="70">
        <v>4482644201.5299997</v>
      </c>
      <c r="DT35" s="70">
        <v>4866641033.96</v>
      </c>
      <c r="DU35" s="70">
        <v>4062709916.1500001</v>
      </c>
      <c r="DV35" s="70">
        <v>3991120594.5099998</v>
      </c>
      <c r="DW35" s="70">
        <v>2609645274.4499998</v>
      </c>
      <c r="DX35" s="70">
        <v>3479229410.79</v>
      </c>
      <c r="DY35" s="70">
        <v>9428186325.4400005</v>
      </c>
      <c r="DZ35" s="70">
        <v>6802142825.5100002</v>
      </c>
      <c r="EA35" s="70">
        <v>3601568494.79</v>
      </c>
      <c r="EB35" s="70">
        <v>5558255567.4799995</v>
      </c>
      <c r="EC35" s="70">
        <v>2814383102.5599999</v>
      </c>
      <c r="ED35" s="70">
        <v>503277437.44</v>
      </c>
      <c r="EE35" s="70">
        <v>5774173085.3400002</v>
      </c>
      <c r="EF35" s="70">
        <v>1347482352.96</v>
      </c>
      <c r="EG35" s="70">
        <v>7075830179.1599998</v>
      </c>
      <c r="EH35" s="70">
        <v>7342405146.5</v>
      </c>
      <c r="EI35" s="70">
        <v>502542393.81</v>
      </c>
      <c r="EJ35" s="70">
        <v>3359109513.8899999</v>
      </c>
      <c r="EK35" s="70">
        <v>5991502653.8299999</v>
      </c>
      <c r="EL35" s="70">
        <v>1912761103.96</v>
      </c>
      <c r="EM35" s="70">
        <v>7943229220.6500006</v>
      </c>
      <c r="EN35" s="70">
        <v>8104767856.7700005</v>
      </c>
      <c r="EO35" s="70">
        <v>2561048637.8499999</v>
      </c>
      <c r="EP35" s="70">
        <v>4072979803.6500001</v>
      </c>
      <c r="EQ35" s="70">
        <v>5708160882.5500002</v>
      </c>
      <c r="ER35" s="70">
        <v>2328685451.1999998</v>
      </c>
      <c r="ES35" s="70">
        <v>5621739780.71</v>
      </c>
      <c r="ET35" s="70">
        <v>1248036920.22</v>
      </c>
      <c r="EU35" s="70">
        <v>3371755548.02</v>
      </c>
      <c r="EV35" s="70">
        <v>2262313028.6799998</v>
      </c>
      <c r="EW35" s="70">
        <v>7057405327.4700003</v>
      </c>
      <c r="EX35" s="70">
        <v>3089512213.3299999</v>
      </c>
      <c r="EY35" s="70">
        <v>4632600271.2600002</v>
      </c>
      <c r="EZ35" s="70">
        <v>3199233650.8799996</v>
      </c>
      <c r="FA35" s="70">
        <v>2910775993.9099998</v>
      </c>
      <c r="FB35" s="70">
        <v>3559409352.1099997</v>
      </c>
      <c r="FC35" s="70">
        <v>1507036767.1600001</v>
      </c>
      <c r="FD35" s="70">
        <v>3792267237.3199997</v>
      </c>
      <c r="FE35" s="70">
        <v>4515588295.8500004</v>
      </c>
      <c r="FF35" s="70">
        <v>3555085421.0400004</v>
      </c>
      <c r="FG35" s="70">
        <v>6392281347.4399996</v>
      </c>
      <c r="FH35" s="70">
        <v>1561234897.9200001</v>
      </c>
      <c r="FI35" s="70">
        <v>2915951554.96</v>
      </c>
      <c r="FJ35" s="70">
        <v>4408981950.4200001</v>
      </c>
      <c r="FK35" s="70">
        <v>977038782.84000003</v>
      </c>
      <c r="FL35" s="70">
        <v>5446378871.9399996</v>
      </c>
      <c r="FM35" s="70">
        <f>SUM(FM24:FM34)</f>
        <v>2822881521.4200001</v>
      </c>
      <c r="FN35" s="70">
        <f>SUM(FN24:FN34)</f>
        <v>6385809097.75</v>
      </c>
      <c r="FO35" s="70">
        <f>SUM(FO24:FO34)</f>
        <v>399341469.69999999</v>
      </c>
      <c r="FP35" s="70">
        <f>SUM(FP24:FP34)</f>
        <v>327205602.46000004</v>
      </c>
      <c r="FQ35" s="70">
        <v>5552999999.9899998</v>
      </c>
      <c r="FR35" s="70">
        <v>1823762923.2</v>
      </c>
      <c r="FS35" s="70">
        <v>3519953040</v>
      </c>
      <c r="FT35" s="70">
        <v>3230502129.4400001</v>
      </c>
      <c r="FU35" s="70">
        <v>2036427561.72</v>
      </c>
      <c r="FV35" s="70">
        <v>6808912989.3500004</v>
      </c>
      <c r="FW35" s="70">
        <v>312737822.12</v>
      </c>
      <c r="FX35" s="70">
        <v>5365254016.8200006</v>
      </c>
      <c r="FY35" s="70">
        <v>717951877.94000006</v>
      </c>
      <c r="FZ35" s="70">
        <v>1039035083.76</v>
      </c>
      <c r="GA35" s="70">
        <v>5748824899.29</v>
      </c>
      <c r="GB35" s="70">
        <v>398007161.81</v>
      </c>
      <c r="GC35" s="70">
        <v>4736098956.5</v>
      </c>
      <c r="GD35" s="70">
        <v>2554413581.4700003</v>
      </c>
      <c r="GE35" s="70">
        <v>1413238057.5799999</v>
      </c>
      <c r="GF35" s="70">
        <v>6232679860.2399998</v>
      </c>
      <c r="GG35" s="70">
        <v>3808296270.3800001</v>
      </c>
      <c r="GH35" s="70">
        <v>2508750053.1600003</v>
      </c>
      <c r="GI35" s="70">
        <v>630693883.05000007</v>
      </c>
      <c r="GJ35" s="70">
        <v>1399694486.79</v>
      </c>
      <c r="GK35" s="70">
        <v>4343070073.6500006</v>
      </c>
      <c r="GL35" s="70">
        <v>12864996816.41</v>
      </c>
      <c r="GM35" s="70">
        <v>387289930.10000002</v>
      </c>
      <c r="GN35" s="70">
        <v>1404885477.1000001</v>
      </c>
      <c r="GO35" s="70">
        <v>8849534794.7999992</v>
      </c>
      <c r="GP35" s="70">
        <v>3465431999.96</v>
      </c>
      <c r="GQ35" s="70">
        <v>2330430983.4499998</v>
      </c>
      <c r="GR35" s="70">
        <v>5531318999.3300009</v>
      </c>
      <c r="GS35" s="70">
        <v>5031295069.1899996</v>
      </c>
      <c r="GT35" s="70">
        <v>4921729315.1199999</v>
      </c>
      <c r="GU35" s="70">
        <v>3907096195</v>
      </c>
      <c r="GV35" s="70">
        <v>11100385815.859999</v>
      </c>
      <c r="GW35" s="70">
        <v>3647565647.0299997</v>
      </c>
      <c r="GX35" s="70">
        <v>2679443458.9700003</v>
      </c>
      <c r="GY35" s="70">
        <v>3785485281.6599998</v>
      </c>
      <c r="GZ35" s="70">
        <v>5238122479.0699997</v>
      </c>
      <c r="HA35" s="70">
        <v>1783217436.25</v>
      </c>
      <c r="HB35" s="70">
        <v>7351819482.4399996</v>
      </c>
      <c r="HC35" s="70">
        <v>4740095221.0599995</v>
      </c>
      <c r="HD35" s="70">
        <v>2304527276.5700002</v>
      </c>
      <c r="HE35" s="70">
        <v>3925937470.6799998</v>
      </c>
      <c r="HF35" s="70">
        <v>6220083287.71</v>
      </c>
      <c r="HG35" s="70">
        <v>7478555178.5800009</v>
      </c>
      <c r="HH35" s="70">
        <v>1996578933.48</v>
      </c>
      <c r="HI35" s="70">
        <v>8742962330.5300007</v>
      </c>
      <c r="HJ35" s="70">
        <v>4061506181.7799997</v>
      </c>
      <c r="HK35" s="70">
        <v>458932900.43000001</v>
      </c>
      <c r="HL35" s="70">
        <v>226378039.21000001</v>
      </c>
      <c r="HM35" s="70">
        <v>2581507169.3699999</v>
      </c>
      <c r="HN35" s="70">
        <v>8721992707.4700012</v>
      </c>
      <c r="HO35" s="70">
        <v>1354590382.26</v>
      </c>
      <c r="HP35" s="70">
        <v>1248405612.0200002</v>
      </c>
      <c r="HQ35" s="70">
        <v>6229701157.2799997</v>
      </c>
      <c r="HR35" s="70">
        <v>2508600040.8299999</v>
      </c>
      <c r="HS35" s="70">
        <v>3312016727.1900001</v>
      </c>
      <c r="HT35" s="70">
        <v>9147546163.4400005</v>
      </c>
      <c r="HU35" s="70">
        <v>1150414679.29</v>
      </c>
      <c r="HV35" s="70">
        <v>5731157004.8900003</v>
      </c>
      <c r="HW35" s="70">
        <v>3275139358.5299997</v>
      </c>
      <c r="HX35" s="70">
        <v>7161565323.329999</v>
      </c>
      <c r="HY35" s="70">
        <v>4187359444.6399999</v>
      </c>
      <c r="HZ35" s="70">
        <f>SUM(HZ24:HZ34)</f>
        <v>3318623451.1500001</v>
      </c>
      <c r="IA35" s="70">
        <f>SUM(IA24:IA34)</f>
        <v>4215308350.5299997</v>
      </c>
      <c r="IB35" s="70">
        <f>SUM(IB24:IB34)</f>
        <v>1383140510.8</v>
      </c>
      <c r="IC35" s="70">
        <v>0</v>
      </c>
      <c r="ID35" s="70">
        <v>5326234691.25</v>
      </c>
      <c r="IE35" s="70">
        <v>2424220380.8099999</v>
      </c>
      <c r="IF35" s="70">
        <v>3638357007.4000001</v>
      </c>
      <c r="IG35" s="70">
        <v>9009572877.1999989</v>
      </c>
      <c r="IH35" s="70">
        <v>660724455.78999996</v>
      </c>
      <c r="II35" s="70">
        <v>4350981771.2799997</v>
      </c>
      <c r="IJ35" s="70">
        <v>3556198691.02</v>
      </c>
      <c r="IK35" s="70">
        <v>3421613543.7800002</v>
      </c>
      <c r="IL35" s="70">
        <v>3344648632.5799999</v>
      </c>
      <c r="IM35" s="70">
        <v>4615515611.9400005</v>
      </c>
      <c r="IN35" s="70">
        <v>6128193067.71</v>
      </c>
      <c r="IO35" s="70">
        <v>4768145127.1300011</v>
      </c>
      <c r="IP35" s="70">
        <v>1365080259.03</v>
      </c>
      <c r="IQ35" s="70">
        <v>4453322861.8199997</v>
      </c>
      <c r="IR35" s="70">
        <v>605594266.62</v>
      </c>
      <c r="IS35" s="70">
        <v>5703259551.0600004</v>
      </c>
      <c r="IT35" s="70">
        <v>3137025212.29</v>
      </c>
      <c r="IU35" s="70">
        <v>2363661066.0099998</v>
      </c>
      <c r="IV35" s="70">
        <v>3152373903.4400001</v>
      </c>
      <c r="IW35" s="70">
        <v>1235051109.8400002</v>
      </c>
      <c r="IX35" s="70">
        <v>4542541682.4499998</v>
      </c>
      <c r="IY35" s="70">
        <v>4885986993.5300007</v>
      </c>
      <c r="IZ35" s="70">
        <v>5610860845.4300003</v>
      </c>
      <c r="JA35" s="70">
        <v>3184857241.9299998</v>
      </c>
      <c r="JB35" s="70">
        <v>1455807658.8500001</v>
      </c>
      <c r="JC35" s="70">
        <v>4582689254.8400002</v>
      </c>
      <c r="JD35" s="70">
        <v>2448471065.3300004</v>
      </c>
      <c r="JE35" s="70">
        <f>SUM(JE24:JE34)</f>
        <v>405472690.54000002</v>
      </c>
      <c r="JF35" s="70">
        <v>1807222155.0599999</v>
      </c>
      <c r="JG35" s="70">
        <f>SUM(JG24:JG34)</f>
        <v>3954795114.8200002</v>
      </c>
      <c r="JH35" s="70">
        <v>4819410141.2999992</v>
      </c>
      <c r="JI35" s="70">
        <v>2411413217.6999998</v>
      </c>
      <c r="JJ35" s="70">
        <v>3526843604.48</v>
      </c>
      <c r="JK35" s="70">
        <v>1311586001.6300001</v>
      </c>
      <c r="JL35" s="70">
        <v>3392242807.8800001</v>
      </c>
      <c r="JM35" s="70">
        <v>3825118550.5900002</v>
      </c>
      <c r="JN35" s="70">
        <v>11096184587.940001</v>
      </c>
      <c r="JO35" s="70">
        <v>267823687.25999999</v>
      </c>
      <c r="JP35" s="70">
        <v>2252252873.1700001</v>
      </c>
      <c r="JQ35" s="70">
        <v>3371682549.1700001</v>
      </c>
      <c r="JR35" s="70">
        <v>4633904785.3599997</v>
      </c>
      <c r="JS35" s="70">
        <v>4380421993.1300001</v>
      </c>
      <c r="JT35" s="70">
        <v>1168349733.23</v>
      </c>
      <c r="JU35" s="70">
        <v>3132833490.8299999</v>
      </c>
      <c r="JV35" s="70">
        <v>502950886.02999997</v>
      </c>
      <c r="JW35" s="70">
        <v>4008174306</v>
      </c>
      <c r="JX35" s="70">
        <v>2862998640.8400002</v>
      </c>
      <c r="JY35" s="70">
        <v>1360617398.8800001</v>
      </c>
      <c r="JZ35" s="70">
        <v>4122946013.3499999</v>
      </c>
      <c r="KA35" s="70">
        <v>183009019.65000001</v>
      </c>
      <c r="KB35" s="70">
        <v>3446101382.04</v>
      </c>
      <c r="KC35" s="70">
        <v>4314953859.79</v>
      </c>
      <c r="KD35" s="70">
        <v>2332488275.7200003</v>
      </c>
      <c r="KE35" s="70">
        <v>1251167626.76</v>
      </c>
      <c r="KF35" s="70">
        <v>3865392144.1199999</v>
      </c>
      <c r="KG35" s="70">
        <v>5257850884.2799997</v>
      </c>
      <c r="KH35" s="70">
        <v>1708493708.79</v>
      </c>
      <c r="KI35" s="70">
        <v>3659407983.9299998</v>
      </c>
      <c r="KJ35" s="70">
        <v>2671009770.6999998</v>
      </c>
      <c r="KK35" s="70">
        <v>2562240815.0900002</v>
      </c>
      <c r="KL35" s="70">
        <v>5399441285.79</v>
      </c>
      <c r="KM35" s="70">
        <v>1248896613.75</v>
      </c>
      <c r="KN35" s="70">
        <v>4264844686.0700002</v>
      </c>
      <c r="KO35" s="70">
        <v>1983174519.55</v>
      </c>
      <c r="KP35" s="70">
        <v>2319749466.5999999</v>
      </c>
      <c r="KQ35" s="70">
        <v>5646482225.75</v>
      </c>
      <c r="KR35" s="70">
        <v>420784374.64999998</v>
      </c>
      <c r="KS35" s="70">
        <v>4682061478.7699995</v>
      </c>
      <c r="KT35" s="70">
        <v>993730512.41000009</v>
      </c>
      <c r="KU35" s="70">
        <v>2702464251.9200001</v>
      </c>
      <c r="KV35" s="70">
        <v>1078229446.3</v>
      </c>
      <c r="KW35" s="70">
        <v>1822077447.8099999</v>
      </c>
      <c r="KX35" s="70">
        <v>2089546441.3199999</v>
      </c>
      <c r="KY35" s="70">
        <v>651454800.69000006</v>
      </c>
      <c r="KZ35" s="70">
        <v>13996863833.23</v>
      </c>
      <c r="LA35" s="70">
        <v>1210793832.1699998</v>
      </c>
      <c r="LB35" s="70">
        <v>4232765866.3200002</v>
      </c>
      <c r="LC35" s="70">
        <v>1718012162.3099999</v>
      </c>
      <c r="LD35" s="70">
        <v>3577952464.02</v>
      </c>
      <c r="LE35" s="70">
        <v>2934355758.04</v>
      </c>
      <c r="LF35" s="70">
        <v>508998942.86000001</v>
      </c>
      <c r="LG35" s="70">
        <v>3790277296.75</v>
      </c>
      <c r="LH35" s="70">
        <v>3722640963.4699998</v>
      </c>
      <c r="LI35" s="70">
        <v>6511527746.21</v>
      </c>
      <c r="LJ35" s="70">
        <v>4940125213.29</v>
      </c>
      <c r="LK35" s="70">
        <v>501203893.46999997</v>
      </c>
      <c r="LL35" s="70">
        <v>4412734225.7700005</v>
      </c>
      <c r="LM35" s="70">
        <v>9526060177.8599987</v>
      </c>
      <c r="LN35" s="70">
        <v>254098394.21000001</v>
      </c>
      <c r="LO35" s="70">
        <v>3320940640.1599998</v>
      </c>
      <c r="LP35" s="70">
        <v>8348773020.9799995</v>
      </c>
      <c r="LQ35" s="70">
        <v>226737290.5</v>
      </c>
      <c r="LR35" s="70">
        <v>416909814</v>
      </c>
      <c r="LS35" s="70">
        <v>4256479771.3099999</v>
      </c>
      <c r="LT35" s="70">
        <v>231429474.13</v>
      </c>
      <c r="LU35" s="70">
        <v>12545590136.65</v>
      </c>
      <c r="LV35" s="70">
        <v>227610488.68000001</v>
      </c>
      <c r="LW35" s="70">
        <v>2016080804.6800001</v>
      </c>
      <c r="LX35" s="70">
        <v>3165766136.6900001</v>
      </c>
      <c r="LY35" s="70">
        <v>549487423.74000001</v>
      </c>
      <c r="LZ35" s="70">
        <v>3885083722.5700002</v>
      </c>
      <c r="MA35" s="70">
        <v>10444484295.530001</v>
      </c>
      <c r="MB35" s="70">
        <v>331179041.11000001</v>
      </c>
      <c r="MC35" s="70">
        <v>6274313814.4899998</v>
      </c>
      <c r="MD35" s="70">
        <v>272324761.83999997</v>
      </c>
      <c r="ME35" s="70">
        <v>4319780408.0500002</v>
      </c>
      <c r="MF35" s="70">
        <v>4137409616.77</v>
      </c>
      <c r="MG35" s="70">
        <v>452257543.96000004</v>
      </c>
      <c r="MH35" s="70">
        <v>2951053834.6900001</v>
      </c>
      <c r="MI35" s="70">
        <v>10111959501.970001</v>
      </c>
      <c r="MJ35" s="70">
        <v>2758153667.9099998</v>
      </c>
      <c r="MK35" s="70">
        <v>716374036.06999993</v>
      </c>
      <c r="ML35" s="70">
        <v>3510248525.3600001</v>
      </c>
      <c r="MM35" s="70">
        <v>1744052403.6500001</v>
      </c>
      <c r="MN35" s="70">
        <v>3420639710.4299998</v>
      </c>
      <c r="MO35" s="70">
        <v>3241244157.3600001</v>
      </c>
      <c r="MP35" s="70">
        <v>485492662.81999999</v>
      </c>
      <c r="MQ35" s="70">
        <v>4341681942.9499998</v>
      </c>
      <c r="MR35" s="70">
        <v>229897117.84</v>
      </c>
      <c r="MS35" s="70">
        <v>1727006441.22</v>
      </c>
      <c r="MT35" s="70">
        <v>6875642061.7300005</v>
      </c>
      <c r="MU35" s="70">
        <v>263554909.06</v>
      </c>
      <c r="MV35" s="70">
        <v>3975383914.7399998</v>
      </c>
      <c r="MW35" s="70">
        <v>1675066189.4299998</v>
      </c>
      <c r="MX35" s="70">
        <v>2706734537.4099998</v>
      </c>
      <c r="MY35" s="70">
        <v>4067261009.2000003</v>
      </c>
      <c r="MZ35" s="70">
        <v>389211151.46999997</v>
      </c>
      <c r="NA35" s="70">
        <v>3388421906.9399996</v>
      </c>
      <c r="NB35" s="70">
        <v>2127075714.78</v>
      </c>
      <c r="NC35" s="70">
        <v>6513851716.6300001</v>
      </c>
      <c r="ND35" s="70">
        <v>1452380100.5</v>
      </c>
      <c r="NE35" s="70">
        <v>261498382.45999998</v>
      </c>
      <c r="NF35" s="70">
        <v>4875416112.9700003</v>
      </c>
      <c r="NG35" s="70">
        <v>203668468.17999998</v>
      </c>
      <c r="NH35" s="70">
        <v>5612703680.4399996</v>
      </c>
      <c r="NI35" s="70">
        <v>5321996637.2400007</v>
      </c>
      <c r="NJ35" s="70">
        <v>150300458.19</v>
      </c>
      <c r="NK35" s="70">
        <v>2873144694.6200004</v>
      </c>
      <c r="NL35" s="70">
        <v>151921784.02999997</v>
      </c>
      <c r="NM35" s="70">
        <v>3377076880.9500003</v>
      </c>
      <c r="NN35" s="70">
        <v>1873476620.4300001</v>
      </c>
      <c r="NO35" s="70">
        <v>524415294.04000002</v>
      </c>
      <c r="NP35" s="70">
        <v>2254161865.5700002</v>
      </c>
      <c r="NQ35" s="70">
        <v>176934340.91</v>
      </c>
      <c r="NR35" s="70">
        <v>4322882795.2800007</v>
      </c>
      <c r="NS35" s="70">
        <v>231412286.60999998</v>
      </c>
      <c r="NT35" s="70">
        <v>261239799.94</v>
      </c>
      <c r="NU35" s="70">
        <v>4743366663.8999996</v>
      </c>
      <c r="NV35" s="70">
        <v>2806940046.8499999</v>
      </c>
      <c r="NW35" s="70">
        <v>7891744165.4700003</v>
      </c>
      <c r="NX35" s="70">
        <v>3619958358.6599998</v>
      </c>
      <c r="NY35" s="70">
        <v>2227180254.2199998</v>
      </c>
      <c r="NZ35" s="70">
        <v>3527234239.8699999</v>
      </c>
      <c r="OA35" s="70">
        <v>917121525.61000001</v>
      </c>
      <c r="OB35" s="70">
        <v>1268759643.9400001</v>
      </c>
      <c r="OC35" s="70">
        <v>3665904920.2800002</v>
      </c>
      <c r="OD35" s="70">
        <v>1228605955.52</v>
      </c>
      <c r="OE35" s="70">
        <v>6169584765.9300003</v>
      </c>
      <c r="OF35" s="70">
        <v>255029313.62</v>
      </c>
      <c r="OG35" s="70">
        <v>2720843426.2599998</v>
      </c>
      <c r="OH35" s="70">
        <v>1384769540.1200001</v>
      </c>
      <c r="OI35" s="70">
        <v>3546864624.3899999</v>
      </c>
      <c r="OJ35" s="70">
        <v>891645357.13</v>
      </c>
      <c r="OK35" s="70">
        <v>1538516626.4400001</v>
      </c>
      <c r="OL35" s="70">
        <v>2656710749.4200001</v>
      </c>
      <c r="OM35" s="70">
        <v>467274684.05000001</v>
      </c>
      <c r="ON35" s="70">
        <v>4674540632.7299995</v>
      </c>
      <c r="OO35" s="70">
        <v>654650754.49000001</v>
      </c>
      <c r="OP35" s="70">
        <v>281145197.53000003</v>
      </c>
      <c r="OQ35" s="70">
        <v>1646443095.9100001</v>
      </c>
      <c r="OR35" s="70">
        <v>1577739541.97</v>
      </c>
      <c r="OS35" s="70">
        <v>4353448291.8999996</v>
      </c>
      <c r="OT35" s="70">
        <v>908402435.78999996</v>
      </c>
      <c r="OU35" s="70">
        <v>373106625.69999999</v>
      </c>
      <c r="OV35" s="70">
        <v>2368525163.4800005</v>
      </c>
      <c r="OW35" s="70">
        <v>6372495824.9100008</v>
      </c>
      <c r="OX35" s="70">
        <v>2544478857.4499998</v>
      </c>
      <c r="OY35" s="70">
        <v>1341250698.3700001</v>
      </c>
      <c r="OZ35" s="70">
        <v>3919992377.3800001</v>
      </c>
      <c r="PA35" s="70">
        <v>2762714719.27</v>
      </c>
      <c r="PB35" s="70">
        <v>166570153.13</v>
      </c>
      <c r="PC35" s="70">
        <v>8417008247.04</v>
      </c>
      <c r="PD35" s="70">
        <v>1877158160.96</v>
      </c>
      <c r="PE35" s="70">
        <v>289707514</v>
      </c>
      <c r="PF35" s="70">
        <v>1467888582.29</v>
      </c>
      <c r="PG35" s="70">
        <v>1309973290.9200001</v>
      </c>
      <c r="PH35" s="70">
        <v>4659440775.8899994</v>
      </c>
      <c r="PI35" s="70">
        <v>4001215182.8299999</v>
      </c>
      <c r="PJ35" s="70">
        <v>2567430853.3400002</v>
      </c>
      <c r="PK35" s="70">
        <v>4158236569.1399999</v>
      </c>
      <c r="PL35" s="70">
        <v>255319549.35999998</v>
      </c>
      <c r="PM35" s="70">
        <v>4174694335.1999998</v>
      </c>
      <c r="PN35" s="70">
        <v>176998569.05000001</v>
      </c>
      <c r="PO35" s="70">
        <f>SUM(PO24:PO34)</f>
        <v>272296985.74000001</v>
      </c>
      <c r="PP35" s="70">
        <f>SUM(PP24:PP34)</f>
        <v>157850905.03</v>
      </c>
      <c r="PQ35" s="70">
        <f t="shared" ref="PQ35:SA35" si="8">SUM(PQ24:PQ34)</f>
        <v>899010184.70000005</v>
      </c>
      <c r="PR35" s="70">
        <f t="shared" si="8"/>
        <v>2952000000</v>
      </c>
      <c r="PS35" s="70">
        <f t="shared" si="8"/>
        <v>0</v>
      </c>
      <c r="PT35" s="70">
        <f t="shared" si="8"/>
        <v>0</v>
      </c>
      <c r="PU35" s="70">
        <f t="shared" si="8"/>
        <v>2963000000</v>
      </c>
      <c r="PV35" s="70">
        <f t="shared" si="8"/>
        <v>0</v>
      </c>
      <c r="PW35" s="70">
        <f t="shared" si="8"/>
        <v>4351000000</v>
      </c>
      <c r="PX35" s="70">
        <f t="shared" si="8"/>
        <v>0</v>
      </c>
      <c r="PY35" s="70">
        <f t="shared" si="8"/>
        <v>0</v>
      </c>
      <c r="PZ35" s="70">
        <f t="shared" si="8"/>
        <v>0</v>
      </c>
      <c r="QA35" s="70">
        <f t="shared" si="8"/>
        <v>0</v>
      </c>
      <c r="QB35" s="70">
        <f t="shared" si="8"/>
        <v>0</v>
      </c>
      <c r="QC35" s="70">
        <f t="shared" si="8"/>
        <v>0</v>
      </c>
      <c r="QD35" s="70">
        <f t="shared" si="8"/>
        <v>0</v>
      </c>
      <c r="QE35" s="70">
        <f t="shared" si="8"/>
        <v>0</v>
      </c>
      <c r="QF35" s="70">
        <f t="shared" si="8"/>
        <v>0</v>
      </c>
      <c r="QG35" s="70">
        <f t="shared" si="8"/>
        <v>0</v>
      </c>
      <c r="QH35" s="70">
        <f t="shared" si="8"/>
        <v>0</v>
      </c>
      <c r="QI35" s="70">
        <f t="shared" si="8"/>
        <v>0</v>
      </c>
      <c r="QJ35" s="70">
        <f t="shared" si="8"/>
        <v>0</v>
      </c>
      <c r="QK35" s="70">
        <f t="shared" si="8"/>
        <v>0</v>
      </c>
      <c r="QL35" s="70">
        <f t="shared" si="8"/>
        <v>0</v>
      </c>
      <c r="QM35" s="70">
        <f t="shared" si="8"/>
        <v>0</v>
      </c>
      <c r="QN35" s="70">
        <f t="shared" si="8"/>
        <v>0</v>
      </c>
      <c r="QO35" s="70">
        <f t="shared" si="8"/>
        <v>0</v>
      </c>
      <c r="QP35" s="70">
        <f t="shared" si="8"/>
        <v>0</v>
      </c>
      <c r="QQ35" s="70">
        <f t="shared" si="8"/>
        <v>0</v>
      </c>
      <c r="QR35" s="70">
        <f t="shared" si="8"/>
        <v>0</v>
      </c>
      <c r="QS35" s="70">
        <f t="shared" si="8"/>
        <v>0</v>
      </c>
      <c r="QT35" s="70">
        <f t="shared" si="8"/>
        <v>0</v>
      </c>
      <c r="QU35" s="70">
        <f t="shared" si="8"/>
        <v>0</v>
      </c>
      <c r="QV35" s="70">
        <f t="shared" si="8"/>
        <v>0</v>
      </c>
      <c r="QW35" s="70">
        <f t="shared" si="8"/>
        <v>0</v>
      </c>
      <c r="QX35" s="70">
        <f t="shared" si="8"/>
        <v>0</v>
      </c>
      <c r="QY35" s="70">
        <f t="shared" si="8"/>
        <v>0</v>
      </c>
      <c r="QZ35" s="70">
        <f t="shared" si="8"/>
        <v>0</v>
      </c>
      <c r="RA35" s="70">
        <f t="shared" si="8"/>
        <v>0</v>
      </c>
      <c r="RB35" s="70">
        <f t="shared" si="8"/>
        <v>0</v>
      </c>
      <c r="RC35" s="70">
        <f t="shared" si="8"/>
        <v>0</v>
      </c>
      <c r="RD35" s="70">
        <f t="shared" si="8"/>
        <v>0</v>
      </c>
      <c r="RE35" s="70">
        <f t="shared" si="8"/>
        <v>0</v>
      </c>
      <c r="RF35" s="70">
        <f t="shared" si="8"/>
        <v>0</v>
      </c>
      <c r="RG35" s="70">
        <f t="shared" si="8"/>
        <v>0</v>
      </c>
      <c r="RH35" s="70">
        <f t="shared" si="8"/>
        <v>0</v>
      </c>
      <c r="RI35" s="70">
        <f t="shared" si="8"/>
        <v>0</v>
      </c>
      <c r="RJ35" s="70">
        <f t="shared" si="8"/>
        <v>0</v>
      </c>
      <c r="RK35" s="70">
        <f t="shared" si="8"/>
        <v>0</v>
      </c>
      <c r="RL35" s="70">
        <f t="shared" si="8"/>
        <v>0</v>
      </c>
      <c r="RM35" s="70">
        <f t="shared" si="8"/>
        <v>0</v>
      </c>
      <c r="RN35" s="70">
        <f t="shared" si="8"/>
        <v>0</v>
      </c>
      <c r="RO35" s="70">
        <f t="shared" si="8"/>
        <v>0</v>
      </c>
      <c r="RP35" s="70">
        <f t="shared" si="8"/>
        <v>0</v>
      </c>
      <c r="RQ35" s="70">
        <f t="shared" si="8"/>
        <v>0</v>
      </c>
      <c r="RR35" s="70">
        <f t="shared" si="8"/>
        <v>0</v>
      </c>
      <c r="RS35" s="70">
        <f t="shared" si="8"/>
        <v>0</v>
      </c>
      <c r="RT35" s="70">
        <f t="shared" si="8"/>
        <v>0</v>
      </c>
      <c r="RU35" s="70">
        <f t="shared" si="8"/>
        <v>0</v>
      </c>
      <c r="RV35" s="70">
        <f t="shared" si="8"/>
        <v>0</v>
      </c>
      <c r="RW35" s="70">
        <f t="shared" si="8"/>
        <v>0</v>
      </c>
      <c r="RX35" s="70">
        <f t="shared" si="8"/>
        <v>0</v>
      </c>
      <c r="RY35" s="70">
        <f t="shared" si="8"/>
        <v>0</v>
      </c>
      <c r="RZ35" s="70">
        <f t="shared" si="8"/>
        <v>0</v>
      </c>
      <c r="SA35" s="70">
        <f t="shared" si="8"/>
        <v>0</v>
      </c>
    </row>
    <row r="36" spans="1:495" x14ac:dyDescent="0.2">
      <c r="A36" s="71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  <c r="BQ36" s="68"/>
      <c r="BR36" s="68"/>
      <c r="BS36" s="68"/>
      <c r="BT36" s="68"/>
      <c r="BU36" s="68"/>
      <c r="BV36" s="68"/>
      <c r="BW36" s="68"/>
      <c r="BX36" s="68"/>
      <c r="BY36" s="68"/>
      <c r="BZ36" s="68"/>
      <c r="CA36" s="68"/>
      <c r="CB36" s="68"/>
      <c r="CC36" s="68"/>
      <c r="CD36" s="68"/>
      <c r="CE36" s="68"/>
      <c r="CF36" s="68"/>
      <c r="CG36" s="68"/>
      <c r="CH36" s="68"/>
      <c r="CI36" s="68"/>
      <c r="CJ36" s="68"/>
      <c r="CK36" s="68"/>
      <c r="CL36" s="68"/>
      <c r="CM36" s="68"/>
      <c r="CN36" s="68"/>
      <c r="CO36" s="68"/>
      <c r="CP36" s="68"/>
      <c r="CQ36" s="68"/>
      <c r="CR36" s="68"/>
      <c r="CS36" s="68"/>
      <c r="CT36" s="68"/>
      <c r="CU36" s="68"/>
      <c r="CV36" s="68"/>
      <c r="CW36" s="68"/>
      <c r="CX36" s="68"/>
      <c r="CY36" s="68"/>
      <c r="CZ36" s="68"/>
      <c r="DA36" s="68"/>
      <c r="DB36" s="68"/>
      <c r="DC36" s="68"/>
      <c r="DD36" s="68"/>
      <c r="DE36" s="68"/>
      <c r="DF36" s="68"/>
      <c r="DG36" s="68"/>
      <c r="DH36" s="68"/>
      <c r="DI36" s="68"/>
      <c r="DJ36" s="68"/>
      <c r="DK36" s="68"/>
      <c r="DL36" s="68"/>
      <c r="DM36" s="68"/>
      <c r="DN36" s="68"/>
      <c r="DO36" s="68"/>
      <c r="DP36" s="68"/>
      <c r="DQ36" s="68"/>
      <c r="DR36" s="68"/>
      <c r="DS36" s="68"/>
      <c r="DT36" s="68"/>
      <c r="DU36" s="68"/>
      <c r="DV36" s="68"/>
      <c r="DW36" s="68"/>
      <c r="DX36" s="68"/>
      <c r="DY36" s="68"/>
      <c r="DZ36" s="68"/>
      <c r="EA36" s="68"/>
      <c r="EB36" s="68"/>
      <c r="EC36" s="68"/>
      <c r="ED36" s="68"/>
      <c r="EE36" s="68"/>
      <c r="EF36" s="68"/>
      <c r="EG36" s="68"/>
      <c r="EH36" s="68"/>
      <c r="EI36" s="68"/>
      <c r="EJ36" s="68"/>
      <c r="EK36" s="68"/>
      <c r="EL36" s="68"/>
      <c r="EM36" s="68"/>
      <c r="EN36" s="68"/>
      <c r="EO36" s="68"/>
      <c r="EP36" s="68"/>
      <c r="EQ36" s="68"/>
      <c r="ER36" s="68"/>
      <c r="ES36" s="68"/>
      <c r="ET36" s="68"/>
      <c r="EU36" s="68"/>
      <c r="EV36" s="68"/>
      <c r="EW36" s="68"/>
      <c r="EX36" s="68"/>
      <c r="EY36" s="68"/>
      <c r="EZ36" s="68"/>
      <c r="FA36" s="68"/>
      <c r="FB36" s="68"/>
      <c r="FC36" s="68"/>
      <c r="FD36" s="68"/>
      <c r="FE36" s="68"/>
      <c r="FF36" s="68"/>
      <c r="FG36" s="68"/>
      <c r="FH36" s="68"/>
      <c r="FI36" s="68"/>
      <c r="FJ36" s="68"/>
      <c r="FK36" s="68"/>
      <c r="FL36" s="68"/>
      <c r="FM36" s="68"/>
      <c r="FN36" s="68"/>
      <c r="FO36" s="68"/>
      <c r="FP36" s="68"/>
      <c r="FQ36" s="68"/>
      <c r="FR36" s="68"/>
      <c r="FS36" s="68"/>
      <c r="FT36" s="68"/>
      <c r="FU36" s="68"/>
      <c r="FV36" s="68"/>
      <c r="FW36" s="68"/>
      <c r="FX36" s="68"/>
      <c r="FY36" s="68"/>
      <c r="FZ36" s="68"/>
      <c r="GA36" s="68"/>
      <c r="GB36" s="68"/>
      <c r="GC36" s="68"/>
      <c r="GD36" s="68"/>
      <c r="GE36" s="68"/>
      <c r="GF36" s="68"/>
      <c r="GG36" s="68"/>
      <c r="GH36" s="68"/>
      <c r="GI36" s="68"/>
      <c r="GJ36" s="68"/>
      <c r="GK36" s="68"/>
      <c r="GL36" s="68"/>
      <c r="GM36" s="68"/>
      <c r="GN36" s="68"/>
      <c r="GO36" s="68"/>
      <c r="GP36" s="68"/>
      <c r="GQ36" s="68"/>
      <c r="GR36" s="68"/>
      <c r="GS36" s="68"/>
      <c r="GT36" s="68"/>
      <c r="GU36" s="68"/>
      <c r="GV36" s="68"/>
      <c r="GW36" s="68"/>
      <c r="GX36" s="68"/>
      <c r="GY36" s="68"/>
      <c r="GZ36" s="68"/>
      <c r="HA36" s="68"/>
      <c r="HB36" s="68"/>
      <c r="HC36" s="68"/>
      <c r="HD36" s="68"/>
      <c r="HE36" s="68"/>
      <c r="HF36" s="68"/>
      <c r="HG36" s="68"/>
      <c r="HH36" s="68"/>
      <c r="HI36" s="68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68"/>
      <c r="JA36" s="68"/>
      <c r="JB36" s="68"/>
      <c r="JC36" s="68"/>
      <c r="JD36" s="68"/>
      <c r="JE36" s="68"/>
      <c r="JF36" s="68"/>
      <c r="JG36" s="68"/>
      <c r="JH36" s="68"/>
      <c r="JI36" s="68"/>
      <c r="JJ36" s="68"/>
      <c r="JK36" s="68"/>
      <c r="JL36" s="68"/>
      <c r="JM36" s="68"/>
      <c r="JN36" s="68"/>
      <c r="JO36" s="68"/>
      <c r="JP36" s="68"/>
      <c r="JQ36" s="68"/>
      <c r="JR36" s="68"/>
      <c r="JS36" s="68"/>
      <c r="JT36" s="68"/>
      <c r="JU36" s="68"/>
      <c r="JV36" s="68"/>
      <c r="JW36" s="68"/>
      <c r="JX36" s="68"/>
      <c r="JY36" s="68"/>
      <c r="JZ36" s="68"/>
      <c r="KA36" s="68"/>
      <c r="KB36" s="68"/>
      <c r="KC36" s="68"/>
      <c r="KD36" s="68"/>
      <c r="KE36" s="68"/>
      <c r="KF36" s="68"/>
      <c r="KG36" s="68"/>
      <c r="KH36" s="68"/>
      <c r="KI36" s="68"/>
      <c r="KJ36" s="68"/>
      <c r="KK36" s="68"/>
      <c r="KL36" s="68"/>
      <c r="KM36" s="68"/>
      <c r="KN36" s="68"/>
      <c r="KO36" s="68"/>
      <c r="KP36" s="68"/>
      <c r="KQ36" s="68"/>
      <c r="KR36" s="68"/>
      <c r="KS36" s="68"/>
      <c r="KT36" s="68"/>
      <c r="KU36" s="68"/>
      <c r="KV36" s="68"/>
      <c r="KW36" s="68"/>
      <c r="KX36" s="68"/>
      <c r="KY36" s="68"/>
      <c r="KZ36" s="68"/>
      <c r="LA36" s="68"/>
      <c r="LB36" s="68"/>
      <c r="LC36" s="68"/>
      <c r="LD36" s="68"/>
      <c r="LE36" s="68"/>
      <c r="LF36" s="68"/>
      <c r="LG36" s="68"/>
      <c r="LH36" s="68"/>
      <c r="LI36" s="68"/>
      <c r="LJ36" s="68"/>
      <c r="LK36" s="68"/>
      <c r="LL36" s="68"/>
      <c r="LM36" s="68"/>
      <c r="LN36" s="68"/>
      <c r="LO36" s="68"/>
      <c r="LP36" s="68"/>
      <c r="LQ36" s="68"/>
      <c r="LR36" s="68"/>
      <c r="LS36" s="68"/>
      <c r="LT36" s="68"/>
      <c r="LU36" s="68"/>
      <c r="LV36" s="68"/>
      <c r="LW36" s="68"/>
      <c r="LX36" s="68"/>
      <c r="LY36" s="68"/>
      <c r="LZ36" s="68"/>
      <c r="MA36" s="68"/>
      <c r="MB36" s="68"/>
      <c r="MC36" s="68"/>
      <c r="MD36" s="68"/>
      <c r="ME36" s="68"/>
      <c r="MF36" s="68"/>
      <c r="MG36" s="68"/>
      <c r="MH36" s="68"/>
      <c r="MI36" s="68"/>
      <c r="MJ36" s="68"/>
      <c r="MK36" s="68"/>
      <c r="ML36" s="68"/>
      <c r="MM36" s="68"/>
      <c r="MN36" s="68"/>
      <c r="MO36" s="68"/>
      <c r="MP36" s="68"/>
      <c r="MQ36" s="68"/>
      <c r="MR36" s="68"/>
      <c r="MS36" s="68"/>
      <c r="MT36" s="68"/>
      <c r="MU36" s="68"/>
      <c r="MV36" s="68"/>
      <c r="MW36" s="68"/>
      <c r="MX36" s="68"/>
      <c r="MY36" s="68"/>
      <c r="MZ36" s="68"/>
      <c r="NA36" s="68"/>
      <c r="NB36" s="68"/>
      <c r="NC36" s="68"/>
      <c r="ND36" s="68"/>
      <c r="NE36" s="68"/>
      <c r="NF36" s="68"/>
      <c r="NG36" s="68"/>
      <c r="NH36" s="68"/>
      <c r="NI36" s="68"/>
      <c r="NJ36" s="68"/>
      <c r="NK36" s="68"/>
      <c r="NL36" s="68"/>
      <c r="NM36" s="68"/>
      <c r="NN36" s="68"/>
      <c r="NO36" s="68"/>
      <c r="NP36" s="68"/>
      <c r="NQ36" s="68"/>
      <c r="NR36" s="68"/>
      <c r="NS36" s="68"/>
      <c r="NT36" s="68"/>
      <c r="NU36" s="68"/>
      <c r="NV36" s="68"/>
      <c r="NW36" s="68"/>
      <c r="NX36" s="68"/>
      <c r="NY36" s="68"/>
      <c r="NZ36" s="68"/>
      <c r="OA36" s="68"/>
      <c r="OB36" s="68"/>
      <c r="OC36" s="68"/>
      <c r="OD36" s="68"/>
      <c r="OE36" s="68"/>
      <c r="OF36" s="68"/>
      <c r="OG36" s="68"/>
      <c r="OH36" s="68"/>
      <c r="OI36" s="68"/>
      <c r="OJ36" s="68"/>
      <c r="OK36" s="68"/>
      <c r="OL36" s="68"/>
      <c r="OM36" s="68"/>
      <c r="ON36" s="68"/>
      <c r="OO36" s="68"/>
      <c r="OP36" s="68"/>
      <c r="OQ36" s="68"/>
      <c r="OR36" s="68"/>
      <c r="OS36" s="68"/>
      <c r="OT36" s="68"/>
      <c r="OU36" s="68"/>
      <c r="OV36" s="68"/>
      <c r="OW36" s="68"/>
      <c r="OX36" s="68"/>
      <c r="OY36" s="68"/>
      <c r="OZ36" s="68"/>
      <c r="PA36" s="68"/>
      <c r="PB36" s="68"/>
      <c r="PC36" s="68"/>
      <c r="PD36" s="68"/>
      <c r="PE36" s="68"/>
      <c r="PF36" s="68"/>
      <c r="PG36" s="68"/>
      <c r="PH36" s="68"/>
      <c r="PI36" s="68"/>
      <c r="PJ36" s="68"/>
      <c r="PK36" s="68"/>
      <c r="PL36" s="68"/>
      <c r="PM36" s="68"/>
      <c r="PN36" s="68"/>
      <c r="PO36" s="68"/>
      <c r="PP36" s="68"/>
      <c r="PQ36" s="68"/>
      <c r="PR36" s="68"/>
      <c r="PS36" s="68"/>
      <c r="PT36" s="68"/>
      <c r="PU36" s="68"/>
      <c r="PV36" s="68"/>
      <c r="PW36" s="68"/>
      <c r="PX36" s="68"/>
      <c r="PY36" s="68"/>
      <c r="PZ36" s="68"/>
      <c r="QA36" s="68"/>
      <c r="QB36" s="68"/>
      <c r="QC36" s="68"/>
      <c r="QD36" s="68"/>
      <c r="QE36" s="68"/>
      <c r="QF36" s="68"/>
      <c r="QG36" s="68"/>
      <c r="QH36" s="68"/>
      <c r="QI36" s="68"/>
      <c r="QJ36" s="68"/>
      <c r="QK36" s="68"/>
      <c r="QL36" s="68"/>
      <c r="QM36" s="68"/>
      <c r="QN36" s="68"/>
      <c r="QO36" s="68"/>
      <c r="QP36" s="68"/>
      <c r="QQ36" s="68"/>
      <c r="QR36" s="68"/>
      <c r="QS36" s="68"/>
      <c r="QT36" s="68"/>
      <c r="QU36" s="68"/>
      <c r="QV36" s="68"/>
      <c r="QW36" s="68"/>
      <c r="QX36" s="68"/>
      <c r="QY36" s="68"/>
      <c r="QZ36" s="68"/>
      <c r="RA36" s="68"/>
      <c r="RB36" s="68"/>
      <c r="RC36" s="68"/>
      <c r="RD36" s="68"/>
      <c r="RE36" s="68"/>
      <c r="RF36" s="68"/>
      <c r="RG36" s="68"/>
      <c r="RH36" s="68"/>
      <c r="RI36" s="68"/>
      <c r="RJ36" s="68"/>
      <c r="RK36" s="68"/>
      <c r="RL36" s="68"/>
      <c r="RM36" s="68"/>
      <c r="RN36" s="68"/>
      <c r="RO36" s="68"/>
      <c r="RP36" s="68"/>
      <c r="RQ36" s="68"/>
      <c r="RR36" s="68"/>
      <c r="RS36" s="68"/>
      <c r="RT36" s="68"/>
      <c r="RU36" s="68"/>
      <c r="RV36" s="68"/>
      <c r="RW36" s="68"/>
      <c r="RX36" s="68"/>
      <c r="RY36" s="68"/>
      <c r="RZ36" s="68"/>
      <c r="SA36" s="68"/>
    </row>
    <row r="37" spans="1:495" x14ac:dyDescent="0.2">
      <c r="A37" s="60" t="s">
        <v>1080</v>
      </c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  <c r="EA37" s="61"/>
      <c r="EB37" s="61"/>
      <c r="EC37" s="61"/>
      <c r="ED37" s="61"/>
      <c r="EE37" s="61"/>
      <c r="EF37" s="61"/>
      <c r="EG37" s="61"/>
      <c r="EH37" s="61"/>
      <c r="EI37" s="61"/>
      <c r="EJ37" s="61"/>
      <c r="EK37" s="61"/>
      <c r="EL37" s="61"/>
      <c r="EM37" s="61"/>
      <c r="EN37" s="61"/>
      <c r="EO37" s="61"/>
      <c r="EP37" s="61"/>
      <c r="EQ37" s="61"/>
      <c r="ER37" s="61"/>
      <c r="ES37" s="61"/>
      <c r="ET37" s="61"/>
      <c r="EU37" s="61"/>
      <c r="EV37" s="61"/>
      <c r="EW37" s="61"/>
      <c r="EX37" s="61"/>
      <c r="EY37" s="61"/>
      <c r="EZ37" s="61"/>
      <c r="FA37" s="61"/>
      <c r="FB37" s="61"/>
      <c r="FC37" s="61"/>
      <c r="FD37" s="61"/>
      <c r="FE37" s="61"/>
      <c r="FF37" s="61"/>
      <c r="FG37" s="61"/>
      <c r="FH37" s="61"/>
      <c r="FI37" s="61"/>
      <c r="FJ37" s="61"/>
      <c r="FK37" s="61"/>
      <c r="FL37" s="61"/>
      <c r="FM37" s="61"/>
      <c r="FN37" s="61"/>
      <c r="FO37" s="61"/>
      <c r="FP37" s="61"/>
      <c r="FQ37" s="61"/>
      <c r="FR37" s="61"/>
      <c r="FS37" s="61"/>
      <c r="FT37" s="61"/>
      <c r="FU37" s="61"/>
      <c r="FV37" s="61"/>
      <c r="FW37" s="61"/>
      <c r="FX37" s="61"/>
      <c r="FY37" s="61"/>
      <c r="FZ37" s="61"/>
      <c r="GA37" s="61"/>
      <c r="GB37" s="61"/>
      <c r="GC37" s="61"/>
      <c r="GD37" s="61"/>
      <c r="GE37" s="61"/>
      <c r="GF37" s="61"/>
      <c r="GG37" s="61"/>
      <c r="GH37" s="61"/>
      <c r="GI37" s="61"/>
      <c r="GJ37" s="61"/>
      <c r="GK37" s="61"/>
      <c r="GL37" s="61"/>
      <c r="GM37" s="61"/>
      <c r="GN37" s="61"/>
      <c r="GO37" s="61"/>
      <c r="GP37" s="61"/>
      <c r="GQ37" s="61"/>
      <c r="GR37" s="61"/>
      <c r="GS37" s="61"/>
      <c r="GT37" s="61"/>
      <c r="GU37" s="61"/>
      <c r="GV37" s="61"/>
      <c r="GW37" s="61"/>
      <c r="GX37" s="61"/>
      <c r="GY37" s="61"/>
      <c r="GZ37" s="61"/>
      <c r="HA37" s="61"/>
      <c r="HB37" s="61"/>
      <c r="HC37" s="61"/>
      <c r="HD37" s="61"/>
      <c r="HE37" s="61"/>
      <c r="HF37" s="61"/>
      <c r="HG37" s="61"/>
      <c r="HH37" s="61"/>
      <c r="HI37" s="61"/>
      <c r="HJ37" s="61"/>
      <c r="HK37" s="61"/>
      <c r="HL37" s="61"/>
      <c r="HM37" s="61"/>
      <c r="HN37" s="61"/>
      <c r="HO37" s="61"/>
      <c r="HP37" s="61"/>
      <c r="HQ37" s="61"/>
      <c r="HR37" s="61"/>
      <c r="HS37" s="61"/>
      <c r="HT37" s="61"/>
      <c r="HU37" s="61"/>
      <c r="HV37" s="61"/>
      <c r="HW37" s="61"/>
      <c r="HX37" s="61"/>
      <c r="HY37" s="61"/>
      <c r="HZ37" s="61"/>
      <c r="IA37" s="61"/>
      <c r="IB37" s="61"/>
      <c r="IC37" s="61"/>
      <c r="ID37" s="61"/>
      <c r="IE37" s="61"/>
      <c r="IF37" s="61"/>
      <c r="IG37" s="61"/>
      <c r="IH37" s="61"/>
      <c r="II37" s="61"/>
      <c r="IJ37" s="61"/>
      <c r="IK37" s="61"/>
      <c r="IL37" s="61"/>
      <c r="IM37" s="61" t="s">
        <v>292</v>
      </c>
      <c r="IN37" s="61"/>
      <c r="IO37" s="61"/>
      <c r="IP37" s="61"/>
      <c r="IQ37" s="61"/>
      <c r="IR37" s="61"/>
      <c r="IS37" s="61"/>
      <c r="IT37" s="61"/>
      <c r="IU37" s="61"/>
      <c r="IV37" s="61"/>
      <c r="IW37" s="61"/>
      <c r="IX37" s="61"/>
      <c r="IY37" s="61"/>
      <c r="IZ37" s="61"/>
      <c r="JA37" s="61"/>
      <c r="JB37" s="61"/>
      <c r="JC37" s="61"/>
      <c r="JD37" s="61"/>
      <c r="JE37" s="61"/>
      <c r="JF37" s="61"/>
      <c r="JG37" s="61"/>
      <c r="JH37" s="61"/>
      <c r="JI37" s="61"/>
      <c r="JJ37" s="61"/>
      <c r="JK37" s="61"/>
      <c r="JL37" s="61"/>
      <c r="JM37" s="61"/>
      <c r="JN37" s="61"/>
      <c r="JO37" s="61"/>
      <c r="JP37" s="61"/>
      <c r="JQ37" s="61"/>
      <c r="JR37" s="61"/>
      <c r="JS37" s="61"/>
      <c r="JT37" s="61"/>
      <c r="JU37" s="61"/>
      <c r="JV37" s="61"/>
      <c r="JW37" s="61"/>
      <c r="JX37" s="61"/>
      <c r="JY37" s="61"/>
      <c r="JZ37" s="61"/>
      <c r="KA37" s="61"/>
      <c r="KB37" s="61"/>
      <c r="KC37" s="61"/>
      <c r="KD37" s="61"/>
      <c r="KE37" s="61"/>
      <c r="KF37" s="61"/>
      <c r="KG37" s="61"/>
      <c r="KH37" s="61"/>
      <c r="KI37" s="61"/>
      <c r="KJ37" s="61"/>
      <c r="KK37" s="61"/>
      <c r="KL37" s="61"/>
      <c r="KM37" s="61"/>
      <c r="KN37" s="61"/>
      <c r="KO37" s="61"/>
      <c r="KP37" s="61"/>
      <c r="KQ37" s="61"/>
      <c r="KR37" s="61"/>
      <c r="KS37" s="61"/>
      <c r="KT37" s="61"/>
      <c r="KU37" s="61"/>
      <c r="KV37" s="61"/>
      <c r="KW37" s="61"/>
      <c r="KX37" s="61"/>
      <c r="KY37" s="61"/>
      <c r="KZ37" s="61"/>
      <c r="LA37" s="61"/>
      <c r="LB37" s="61"/>
      <c r="LC37" s="61"/>
      <c r="LD37" s="61"/>
      <c r="LE37" s="61"/>
      <c r="LF37" s="61"/>
      <c r="LG37" s="61"/>
      <c r="LH37" s="61"/>
      <c r="LI37" s="61"/>
      <c r="LJ37" s="61"/>
      <c r="LK37" s="61"/>
      <c r="LL37" s="61"/>
      <c r="LM37" s="61"/>
      <c r="LN37" s="61"/>
      <c r="LO37" s="61"/>
      <c r="LP37" s="61"/>
      <c r="LQ37" s="61"/>
      <c r="LR37" s="61"/>
      <c r="LS37" s="61"/>
      <c r="LT37" s="61"/>
      <c r="LU37" s="61"/>
      <c r="LV37" s="61"/>
      <c r="LW37" s="61"/>
      <c r="LX37" s="61"/>
      <c r="LY37" s="61"/>
      <c r="LZ37" s="61"/>
      <c r="MA37" s="61"/>
      <c r="MB37" s="61"/>
      <c r="MC37" s="61"/>
      <c r="MD37" s="61"/>
      <c r="ME37" s="61"/>
      <c r="MF37" s="61"/>
      <c r="MG37" s="61"/>
      <c r="MH37" s="61"/>
      <c r="MI37" s="61"/>
      <c r="MJ37" s="61"/>
      <c r="MK37" s="61"/>
      <c r="ML37" s="61"/>
      <c r="MM37" s="61"/>
      <c r="MN37" s="61"/>
      <c r="MO37" s="61"/>
      <c r="MP37" s="61"/>
      <c r="MQ37" s="61"/>
      <c r="MR37" s="61"/>
      <c r="MS37" s="61"/>
      <c r="MT37" s="61"/>
      <c r="MU37" s="61"/>
      <c r="MV37" s="61"/>
      <c r="MW37" s="61"/>
      <c r="MX37" s="61"/>
      <c r="MY37" s="61"/>
      <c r="MZ37" s="61"/>
      <c r="NA37" s="61"/>
      <c r="NB37" s="61"/>
      <c r="NC37" s="61"/>
      <c r="ND37" s="61"/>
      <c r="NE37" s="61"/>
      <c r="NF37" s="61"/>
      <c r="NG37" s="61"/>
      <c r="NH37" s="61"/>
      <c r="NI37" s="61"/>
      <c r="NJ37" s="61"/>
      <c r="NK37" s="61"/>
      <c r="NL37" s="61"/>
      <c r="NM37" s="61"/>
      <c r="NN37" s="61"/>
      <c r="NO37" s="61"/>
      <c r="NP37" s="61"/>
      <c r="NQ37" s="61"/>
      <c r="NR37" s="61"/>
      <c r="NS37" s="61"/>
      <c r="NT37" s="61"/>
      <c r="NU37" s="61"/>
      <c r="NV37" s="61"/>
      <c r="NW37" s="61"/>
      <c r="NX37" s="61"/>
      <c r="NY37" s="61"/>
      <c r="NZ37" s="61"/>
      <c r="OA37" s="61"/>
      <c r="OB37" s="61"/>
      <c r="OC37" s="61"/>
      <c r="OD37" s="61"/>
      <c r="OE37" s="61"/>
      <c r="OF37" s="61"/>
      <c r="OG37" s="61"/>
      <c r="OH37" s="61"/>
      <c r="OI37" s="61"/>
      <c r="OJ37" s="61"/>
      <c r="OK37" s="61"/>
      <c r="OL37" s="61"/>
      <c r="OM37" s="61"/>
      <c r="ON37" s="61"/>
      <c r="OO37" s="61"/>
      <c r="OP37" s="61"/>
      <c r="OQ37" s="61"/>
      <c r="OR37" s="61"/>
      <c r="OS37" s="61"/>
      <c r="OT37" s="61"/>
      <c r="OU37" s="61"/>
      <c r="OV37" s="61"/>
      <c r="OW37" s="61"/>
      <c r="OX37" s="61"/>
      <c r="OY37" s="61"/>
      <c r="OZ37" s="61"/>
      <c r="PA37" s="61"/>
      <c r="PB37" s="61"/>
      <c r="PC37" s="61"/>
      <c r="PD37" s="61"/>
      <c r="PE37" s="61"/>
      <c r="PF37" s="61"/>
      <c r="PG37" s="61"/>
      <c r="PH37" s="61"/>
      <c r="PI37" s="61"/>
      <c r="PJ37" s="61"/>
      <c r="PK37" s="61"/>
      <c r="PL37" s="61"/>
      <c r="PM37" s="61"/>
      <c r="PN37" s="61"/>
      <c r="PO37" s="61"/>
      <c r="PP37" s="61"/>
      <c r="PQ37" s="61"/>
      <c r="PR37" s="61"/>
      <c r="PS37" s="61"/>
      <c r="PT37" s="61"/>
      <c r="PU37" s="61"/>
      <c r="PV37" s="61"/>
      <c r="PW37" s="61"/>
      <c r="PX37" s="61"/>
      <c r="PY37" s="61"/>
      <c r="PZ37" s="61"/>
      <c r="QA37" s="61"/>
      <c r="QB37" s="61"/>
      <c r="QC37" s="61"/>
      <c r="QD37" s="61"/>
      <c r="QE37" s="61"/>
      <c r="QF37" s="61"/>
      <c r="QG37" s="61"/>
      <c r="QH37" s="61"/>
      <c r="QI37" s="61"/>
      <c r="QJ37" s="61"/>
      <c r="QK37" s="61"/>
      <c r="QL37" s="61"/>
      <c r="QM37" s="61"/>
      <c r="QN37" s="61"/>
      <c r="QO37" s="61"/>
      <c r="QP37" s="61"/>
      <c r="QQ37" s="61"/>
      <c r="QR37" s="61"/>
      <c r="QS37" s="61"/>
      <c r="QT37" s="61"/>
      <c r="QU37" s="61"/>
      <c r="QV37" s="61"/>
      <c r="QW37" s="61"/>
      <c r="QX37" s="61"/>
      <c r="QY37" s="61"/>
      <c r="QZ37" s="61"/>
      <c r="RA37" s="61"/>
      <c r="RB37" s="61"/>
      <c r="RC37" s="61"/>
      <c r="RD37" s="61"/>
      <c r="RE37" s="61"/>
      <c r="RF37" s="61"/>
      <c r="RG37" s="61"/>
      <c r="RH37" s="61"/>
      <c r="RI37" s="61"/>
      <c r="RJ37" s="61"/>
      <c r="RK37" s="61"/>
      <c r="RL37" s="61"/>
      <c r="RM37" s="61"/>
      <c r="RN37" s="61"/>
      <c r="RO37" s="61"/>
      <c r="RP37" s="61"/>
      <c r="RQ37" s="61"/>
      <c r="RR37" s="61"/>
      <c r="RS37" s="61"/>
      <c r="RT37" s="61"/>
      <c r="RU37" s="61"/>
      <c r="RV37" s="61"/>
      <c r="RW37" s="61"/>
      <c r="RX37" s="61"/>
      <c r="RY37" s="61"/>
      <c r="RZ37" s="61"/>
      <c r="SA37" s="61"/>
    </row>
    <row r="38" spans="1:495" x14ac:dyDescent="0.2">
      <c r="A38" s="62" t="s">
        <v>1081</v>
      </c>
      <c r="B38" s="63">
        <v>552146095.25</v>
      </c>
      <c r="C38" s="63">
        <v>74743534.939999998</v>
      </c>
      <c r="D38" s="63">
        <v>795151926.64999998</v>
      </c>
      <c r="E38" s="63">
        <v>666772748.01999998</v>
      </c>
      <c r="F38" s="63">
        <v>1202440413.5699999</v>
      </c>
      <c r="G38" s="63">
        <v>1737610064.9400001</v>
      </c>
      <c r="H38" s="63">
        <v>928272148.62</v>
      </c>
      <c r="I38" s="63">
        <v>627253255.55999994</v>
      </c>
      <c r="J38" s="63">
        <v>577725283.01999998</v>
      </c>
      <c r="K38" s="63">
        <v>1020808391.09</v>
      </c>
      <c r="L38" s="63">
        <v>813378108.99000001</v>
      </c>
      <c r="M38" s="63">
        <v>552050198.75</v>
      </c>
      <c r="N38" s="63">
        <v>605913660.65999997</v>
      </c>
      <c r="O38" s="63">
        <v>498378268.41000003</v>
      </c>
      <c r="P38" s="63">
        <v>1030534189</v>
      </c>
      <c r="Q38" s="63">
        <v>1487129062.26</v>
      </c>
      <c r="R38" s="63">
        <v>810847832.26999998</v>
      </c>
      <c r="S38" s="63">
        <v>618289515.33000004</v>
      </c>
      <c r="T38" s="63">
        <v>658897573.75999999</v>
      </c>
      <c r="U38" s="63">
        <v>1262336087.4400001</v>
      </c>
      <c r="V38" s="63">
        <v>1368729766.0699999</v>
      </c>
      <c r="W38" s="63">
        <v>746719725.86000001</v>
      </c>
      <c r="X38" s="63">
        <v>543065743.50999999</v>
      </c>
      <c r="Y38" s="63">
        <v>878529415.03999996</v>
      </c>
      <c r="Z38" s="63">
        <v>588643244.78999996</v>
      </c>
      <c r="AA38" s="63">
        <v>1003282946.02</v>
      </c>
      <c r="AB38" s="63">
        <v>526829596.70999998</v>
      </c>
      <c r="AC38" s="63">
        <v>437116820.16000003</v>
      </c>
      <c r="AD38" s="63">
        <v>538594007.96000004</v>
      </c>
      <c r="AE38" s="63">
        <v>402855667.74000001</v>
      </c>
      <c r="AF38" s="63">
        <v>812972158.07000005</v>
      </c>
      <c r="AG38" s="63">
        <v>615834971.37</v>
      </c>
      <c r="AH38" s="63">
        <v>681735734.32000005</v>
      </c>
      <c r="AI38" s="63">
        <v>606008022.87</v>
      </c>
      <c r="AJ38" s="63">
        <v>873177557.11000001</v>
      </c>
      <c r="AK38" s="63">
        <v>587170084</v>
      </c>
      <c r="AL38" s="63">
        <v>859525967.99000001</v>
      </c>
      <c r="AM38" s="63">
        <v>819402808.14999998</v>
      </c>
      <c r="AN38" s="63">
        <v>921810391.30999994</v>
      </c>
      <c r="AO38" s="63">
        <v>4313953772.7799997</v>
      </c>
      <c r="AP38" s="63">
        <v>2033500605.5799999</v>
      </c>
      <c r="AQ38" s="63">
        <v>432515977.06</v>
      </c>
      <c r="AR38" s="63">
        <v>483809199.08999997</v>
      </c>
      <c r="AS38" s="63">
        <v>762410290.13999999</v>
      </c>
      <c r="AT38" s="63">
        <v>892635393.35000002</v>
      </c>
      <c r="AU38" s="63">
        <v>1014478849.97</v>
      </c>
      <c r="AV38" s="63">
        <v>830397279.82000005</v>
      </c>
      <c r="AW38" s="63">
        <v>736983618.17999995</v>
      </c>
      <c r="AX38" s="63">
        <v>1050098103.02</v>
      </c>
      <c r="AY38" s="63">
        <v>1258221987.01</v>
      </c>
      <c r="AZ38" s="63">
        <v>553576966.05999994</v>
      </c>
      <c r="BA38" s="63">
        <v>684642080.70000005</v>
      </c>
      <c r="BB38" s="63">
        <v>469213974.13999999</v>
      </c>
      <c r="BC38" s="63">
        <v>401981408.48000002</v>
      </c>
      <c r="BD38" s="63">
        <v>878951435.13999999</v>
      </c>
      <c r="BE38" s="63">
        <v>684009566.80999994</v>
      </c>
      <c r="BF38" s="63">
        <v>516966868.70999998</v>
      </c>
      <c r="BG38" s="63">
        <v>1711276465.8099999</v>
      </c>
      <c r="BH38" s="63">
        <v>2224409051.3400002</v>
      </c>
      <c r="BI38" s="63">
        <v>5620014047.1800003</v>
      </c>
      <c r="BJ38" s="63">
        <v>1643529925.79</v>
      </c>
      <c r="BK38" s="63">
        <v>892587037.21000004</v>
      </c>
      <c r="BL38" s="63">
        <v>933540434.02999997</v>
      </c>
      <c r="BM38" s="63">
        <v>589167542.55999994</v>
      </c>
      <c r="BN38" s="63">
        <v>1550339571.9000001</v>
      </c>
      <c r="BO38" s="63">
        <v>1400348356.98</v>
      </c>
      <c r="BP38" s="63">
        <v>581043672.86000001</v>
      </c>
      <c r="BQ38" s="63">
        <v>973427139.51999998</v>
      </c>
      <c r="BR38" s="63">
        <v>1329158949.6800001</v>
      </c>
      <c r="BS38" s="63">
        <v>463003459.87</v>
      </c>
      <c r="BT38" s="63">
        <v>171245727.19</v>
      </c>
      <c r="BU38" s="63">
        <v>666102422.47000003</v>
      </c>
      <c r="BV38" s="63">
        <v>548511567.83000004</v>
      </c>
      <c r="BW38" s="63">
        <v>456099118.87</v>
      </c>
      <c r="BX38" s="63">
        <v>1043294138</v>
      </c>
      <c r="BY38" s="63">
        <v>549662374.40999997</v>
      </c>
      <c r="BZ38" s="63">
        <v>1171143821.6600001</v>
      </c>
      <c r="CA38" s="63">
        <v>748642507.37</v>
      </c>
      <c r="CB38" s="63">
        <v>567748774.97000003</v>
      </c>
      <c r="CC38" s="63">
        <v>723991123.16999996</v>
      </c>
      <c r="CD38" s="63">
        <v>729567357.92999995</v>
      </c>
      <c r="CE38" s="63">
        <v>1288022982.96</v>
      </c>
      <c r="CF38" s="63">
        <v>633160998.35000002</v>
      </c>
      <c r="CG38" s="63">
        <v>401865644.97000003</v>
      </c>
      <c r="CH38" s="63">
        <v>619390775.14999998</v>
      </c>
      <c r="CI38" s="63">
        <v>1167035573.76</v>
      </c>
      <c r="CJ38" s="63">
        <v>569579926.66999996</v>
      </c>
      <c r="CK38" s="63">
        <v>693967328.25999999</v>
      </c>
      <c r="CL38" s="63">
        <v>462101953.98000002</v>
      </c>
      <c r="CM38" s="63">
        <v>810454865.38</v>
      </c>
      <c r="CN38" s="63">
        <v>421782904.67000002</v>
      </c>
      <c r="CO38" s="63">
        <v>474289803.29000002</v>
      </c>
      <c r="CP38" s="63">
        <v>504683731.35000002</v>
      </c>
      <c r="CQ38" s="63">
        <v>560887588.88</v>
      </c>
      <c r="CR38" s="63">
        <v>1002638368.2</v>
      </c>
      <c r="CS38" s="63">
        <v>552135701.49000001</v>
      </c>
      <c r="CT38" s="63">
        <v>354644808.36000001</v>
      </c>
      <c r="CU38" s="63">
        <v>559744657.49000001</v>
      </c>
      <c r="CV38" s="63">
        <v>726481881.87</v>
      </c>
      <c r="CW38" s="63">
        <v>986351509.42999995</v>
      </c>
      <c r="CX38" s="63">
        <v>520375040.41000003</v>
      </c>
      <c r="CY38" s="63">
        <v>639634891.33000004</v>
      </c>
      <c r="CZ38" s="63">
        <v>490089241.43000001</v>
      </c>
      <c r="DA38" s="63">
        <v>491738327.62</v>
      </c>
      <c r="DB38" s="63">
        <v>838345916.87</v>
      </c>
      <c r="DC38" s="63">
        <v>425927400.49000001</v>
      </c>
      <c r="DD38" s="63">
        <v>422460550.79000002</v>
      </c>
      <c r="DE38" s="63">
        <v>402020290.32999998</v>
      </c>
      <c r="DF38" s="63">
        <v>638069539.76999998</v>
      </c>
      <c r="DG38" s="63">
        <v>821783882.89999998</v>
      </c>
      <c r="DH38" s="63">
        <v>579388104.22000003</v>
      </c>
      <c r="DI38" s="63">
        <v>491031996.31</v>
      </c>
      <c r="DJ38" s="63">
        <v>567292805.65999997</v>
      </c>
      <c r="DK38" s="61"/>
      <c r="DL38" s="61">
        <v>715646748.61000001</v>
      </c>
      <c r="DM38" s="61">
        <v>500489347.01999998</v>
      </c>
      <c r="DN38" s="61">
        <v>420402578.35000002</v>
      </c>
      <c r="DO38" s="63">
        <v>364867849</v>
      </c>
      <c r="DP38" s="63">
        <v>944276067.41999996</v>
      </c>
      <c r="DQ38" s="63">
        <v>1052188216.12</v>
      </c>
      <c r="DR38" s="63">
        <v>575710857.08000004</v>
      </c>
      <c r="DS38" s="63">
        <v>500552588.06</v>
      </c>
      <c r="DT38" s="63">
        <v>592151306.77999997</v>
      </c>
      <c r="DU38" s="63">
        <v>468437506.37</v>
      </c>
      <c r="DV38" s="72">
        <v>1005402756.33</v>
      </c>
      <c r="DW38" s="63">
        <v>652817080.94000006</v>
      </c>
      <c r="DX38" s="63">
        <v>299671683.08999997</v>
      </c>
      <c r="DY38" s="63">
        <v>354714057.25</v>
      </c>
      <c r="DZ38" s="63">
        <v>631099437.13999999</v>
      </c>
      <c r="EA38" s="63">
        <v>1056629100.09</v>
      </c>
      <c r="EB38" s="63">
        <v>432812898.80000001</v>
      </c>
      <c r="EC38" s="63">
        <v>365042608.63</v>
      </c>
      <c r="ED38" s="63">
        <v>307577204.26999998</v>
      </c>
      <c r="EE38" s="63">
        <v>843086572.52999997</v>
      </c>
      <c r="EF38" s="63">
        <v>328996755.14999998</v>
      </c>
      <c r="EG38" s="63">
        <v>413478928.56</v>
      </c>
      <c r="EH38" s="63">
        <v>318771621.13</v>
      </c>
      <c r="EI38" s="63">
        <v>508073072.80000001</v>
      </c>
      <c r="EJ38" s="63">
        <v>955374197.08000004</v>
      </c>
      <c r="EK38" s="63">
        <v>383315440.24000001</v>
      </c>
      <c r="EL38" s="63">
        <v>478984302.72000003</v>
      </c>
      <c r="EM38" s="63">
        <v>346803597.56999999</v>
      </c>
      <c r="EN38" s="63">
        <v>1130111172.5699999</v>
      </c>
      <c r="EO38" s="63">
        <v>780975762.35000002</v>
      </c>
      <c r="EP38" s="63">
        <v>463688147.19999999</v>
      </c>
      <c r="EQ38" s="63">
        <v>708036832.72000003</v>
      </c>
      <c r="ER38" s="63">
        <v>517177539.44</v>
      </c>
      <c r="ES38" s="63">
        <v>712164888.94000006</v>
      </c>
      <c r="ET38" s="63">
        <v>344552386.39999998</v>
      </c>
      <c r="EU38" s="63">
        <v>360366255.61000001</v>
      </c>
      <c r="EV38" s="63">
        <v>455476565.75999999</v>
      </c>
      <c r="EW38" s="63">
        <v>376214097.14999998</v>
      </c>
      <c r="EX38" s="63">
        <v>928316913.29999995</v>
      </c>
      <c r="EY38" s="63">
        <v>412845796.67000002</v>
      </c>
      <c r="EZ38" s="63">
        <v>329929985.00999999</v>
      </c>
      <c r="FA38" s="63">
        <v>426555680.10000002</v>
      </c>
      <c r="FB38" s="63">
        <v>658197024.01999998</v>
      </c>
      <c r="FC38" s="63">
        <v>424950734.80000001</v>
      </c>
      <c r="FD38" s="63">
        <v>595320574.23000002</v>
      </c>
      <c r="FE38" s="63">
        <v>367900518.06</v>
      </c>
      <c r="FF38" s="63">
        <v>574213715.11000001</v>
      </c>
      <c r="FG38" s="63">
        <v>1021820359.25</v>
      </c>
      <c r="FH38" s="63">
        <v>640186110.16999996</v>
      </c>
      <c r="FI38" s="63">
        <v>465145149.11000001</v>
      </c>
      <c r="FJ38" s="63">
        <v>237674619.78999999</v>
      </c>
      <c r="FK38" s="63">
        <v>493175059.98000002</v>
      </c>
      <c r="FL38" s="63">
        <v>870155672.07000005</v>
      </c>
      <c r="FM38" s="63">
        <v>276297794.18000001</v>
      </c>
      <c r="FN38" s="63">
        <v>445077494.31</v>
      </c>
      <c r="FO38" s="64">
        <f>-VLOOKUP($A$4,'[2]Cash intraday'!$AA:$AF,5,FALSE)</f>
        <v>140353275.84</v>
      </c>
      <c r="FP38" s="61">
        <v>509570083.58999997</v>
      </c>
      <c r="FQ38" s="61">
        <v>610562654.08000004</v>
      </c>
      <c r="FR38" s="61">
        <v>313514321.50999999</v>
      </c>
      <c r="FS38" s="63">
        <v>278689076.88</v>
      </c>
      <c r="FT38" s="63">
        <v>288765653.44999999</v>
      </c>
      <c r="FU38" s="63">
        <v>392888473.18000001</v>
      </c>
      <c r="FV38" s="63">
        <v>603464425.09000003</v>
      </c>
      <c r="FW38" s="63">
        <v>413173235.31999999</v>
      </c>
      <c r="FX38" s="63">
        <v>607747546.32000005</v>
      </c>
      <c r="FY38" s="63">
        <v>607064040.99000001</v>
      </c>
      <c r="FZ38" s="63">
        <v>382005058.11000001</v>
      </c>
      <c r="GA38" s="63">
        <v>844592040.29999995</v>
      </c>
      <c r="GB38" s="63">
        <v>434229482.45999998</v>
      </c>
      <c r="GC38" s="63">
        <v>314917032.18000001</v>
      </c>
      <c r="GD38" s="63">
        <v>355795647.12</v>
      </c>
      <c r="GE38" s="63">
        <v>411736785.75999999</v>
      </c>
      <c r="GF38" s="63">
        <v>789506105.50999999</v>
      </c>
      <c r="GG38" s="63">
        <v>457666025.86000001</v>
      </c>
      <c r="GH38" s="63">
        <v>332415184.47000003</v>
      </c>
      <c r="GI38" s="63">
        <v>456629524.50999999</v>
      </c>
      <c r="GJ38" s="63">
        <v>174091185.31999999</v>
      </c>
      <c r="GK38" s="63">
        <v>535167723.44</v>
      </c>
      <c r="GL38" s="63">
        <v>213244525.34</v>
      </c>
      <c r="GM38" s="63">
        <v>1426937467.98</v>
      </c>
      <c r="GN38" s="63">
        <v>431394797.29000002</v>
      </c>
      <c r="GO38" s="63">
        <v>907131557.27999997</v>
      </c>
      <c r="GP38" s="63">
        <v>429451536.63999999</v>
      </c>
      <c r="GQ38" s="63">
        <v>514730744.00999999</v>
      </c>
      <c r="GR38" s="63">
        <v>433067116.81999999</v>
      </c>
      <c r="GS38" s="63">
        <v>445369288.55000001</v>
      </c>
      <c r="GT38" s="63">
        <v>942716376.97000003</v>
      </c>
      <c r="GU38" s="63">
        <v>328071439.99000001</v>
      </c>
      <c r="GV38" s="63">
        <v>367610698.10000002</v>
      </c>
      <c r="GW38" s="63">
        <v>1340170083.9200001</v>
      </c>
      <c r="GX38" s="63">
        <v>621948268.04999995</v>
      </c>
      <c r="GY38" s="63">
        <v>411902275.48000002</v>
      </c>
      <c r="GZ38" s="63">
        <v>551267707.39999998</v>
      </c>
      <c r="HA38" s="63">
        <v>609815262.60000002</v>
      </c>
      <c r="HB38" s="63">
        <v>638417003.49000001</v>
      </c>
      <c r="HC38" s="63">
        <v>370402760.64999998</v>
      </c>
      <c r="HD38" s="63">
        <v>260727355.80000001</v>
      </c>
      <c r="HE38" s="63">
        <v>352028937.51999998</v>
      </c>
      <c r="HF38" s="63">
        <v>410809034</v>
      </c>
      <c r="HG38" s="63">
        <v>669102808.21000004</v>
      </c>
      <c r="HH38" s="63">
        <v>527611590.49000001</v>
      </c>
      <c r="HI38" s="63">
        <v>319382848.20999998</v>
      </c>
      <c r="HJ38" s="63">
        <v>1095321396.45</v>
      </c>
      <c r="HK38" s="63">
        <v>509321637.29000002</v>
      </c>
      <c r="HL38" s="63">
        <v>0</v>
      </c>
      <c r="HM38" s="63">
        <v>795700409.03999996</v>
      </c>
      <c r="HN38" s="63">
        <v>541939272.11000001</v>
      </c>
      <c r="HO38" s="63">
        <v>1369497928.4400001</v>
      </c>
      <c r="HP38" s="63">
        <v>362267748.17000002</v>
      </c>
      <c r="HQ38" s="63">
        <v>949616923.60000002</v>
      </c>
      <c r="HR38" s="63">
        <v>575843719.36000001</v>
      </c>
      <c r="HS38" s="63">
        <v>424322556.75</v>
      </c>
      <c r="HT38" s="63">
        <v>344394511.56999999</v>
      </c>
      <c r="HU38" s="63">
        <v>411497781.39999998</v>
      </c>
      <c r="HV38" s="63">
        <v>805397425.35000002</v>
      </c>
      <c r="HW38" s="63">
        <v>767296393.00999999</v>
      </c>
      <c r="HX38" s="63">
        <v>404504346.76999998</v>
      </c>
      <c r="HY38" s="63">
        <v>477838341.04000002</v>
      </c>
      <c r="HZ38" s="63">
        <v>1402451960.3099999</v>
      </c>
      <c r="IA38" s="63">
        <v>667252986.26999998</v>
      </c>
      <c r="IB38" s="64">
        <f>-VLOOKUP($A$4,'[2]Cash intraday'!$AA:$AF,5,FALSE)</f>
        <v>140353275.84</v>
      </c>
      <c r="IC38" s="61"/>
      <c r="ID38" s="61">
        <v>803622372.22000003</v>
      </c>
      <c r="IE38" s="63">
        <v>604619078.76999998</v>
      </c>
      <c r="IF38" s="63">
        <v>416613430.22000003</v>
      </c>
      <c r="IG38" s="63">
        <v>504221464.20999998</v>
      </c>
      <c r="IH38" s="63">
        <v>567811306.44000006</v>
      </c>
      <c r="II38" s="63">
        <v>1131559397.1600001</v>
      </c>
      <c r="IJ38" s="63">
        <v>771622313.07000005</v>
      </c>
      <c r="IK38" s="63">
        <v>457490977.31999999</v>
      </c>
      <c r="IL38" s="63">
        <v>405221402.33999997</v>
      </c>
      <c r="IM38" s="63">
        <v>90876537.840000004</v>
      </c>
      <c r="IN38" s="63">
        <v>413717516.44</v>
      </c>
      <c r="IO38" s="63">
        <v>610291246.82000005</v>
      </c>
      <c r="IP38" s="63">
        <v>557129643.15999997</v>
      </c>
      <c r="IQ38" s="63">
        <v>1029325497.46</v>
      </c>
      <c r="IR38" s="63">
        <v>379956270.19999999</v>
      </c>
      <c r="IS38" s="63">
        <v>403498625.81999999</v>
      </c>
      <c r="IT38" s="63">
        <v>430949904.58999997</v>
      </c>
      <c r="IU38" s="63">
        <v>365674970.76999998</v>
      </c>
      <c r="IV38" s="63">
        <v>794336252.20000005</v>
      </c>
      <c r="IW38" s="63">
        <v>557683094.88</v>
      </c>
      <c r="IX38" s="63">
        <v>463496786.31999999</v>
      </c>
      <c r="IY38" s="63">
        <v>471189148.55000001</v>
      </c>
      <c r="IZ38" s="63">
        <v>570127316.05999994</v>
      </c>
      <c r="JA38" s="63">
        <v>1010019722.61</v>
      </c>
      <c r="JB38" s="63">
        <v>499357499.76999998</v>
      </c>
      <c r="JC38" s="63">
        <v>432564603.42000002</v>
      </c>
      <c r="JD38" s="63">
        <v>710202991.60000002</v>
      </c>
      <c r="JE38" s="63">
        <v>360908311.16000003</v>
      </c>
      <c r="JF38" s="63">
        <v>631220960.23000002</v>
      </c>
      <c r="JG38" s="63">
        <v>457611895.73000002</v>
      </c>
      <c r="JH38" s="63">
        <v>297873334.73000002</v>
      </c>
      <c r="JI38" s="64">
        <v>274999224.79000002</v>
      </c>
      <c r="JJ38" s="63"/>
      <c r="JK38" s="63">
        <v>370933128.88</v>
      </c>
      <c r="JL38" s="63">
        <v>580243387.08000004</v>
      </c>
      <c r="JM38" s="63">
        <v>421226684.13999999</v>
      </c>
      <c r="JN38" s="63">
        <v>357867154.57999998</v>
      </c>
      <c r="JO38" s="63">
        <v>822408318.29999995</v>
      </c>
      <c r="JP38" s="63">
        <v>1339117296.77</v>
      </c>
      <c r="JQ38" s="63">
        <v>523587850.88999999</v>
      </c>
      <c r="JR38" s="63">
        <v>333672386.87</v>
      </c>
      <c r="JS38" s="63">
        <v>194649048.13999999</v>
      </c>
      <c r="JT38" s="63">
        <v>245449679.12</v>
      </c>
      <c r="JU38" s="63">
        <v>712123709.92999995</v>
      </c>
      <c r="JV38" s="63">
        <v>481497754.35000002</v>
      </c>
      <c r="JW38" s="63">
        <v>409152284.98000002</v>
      </c>
      <c r="JX38" s="63">
        <v>361180620.31</v>
      </c>
      <c r="JY38" s="63">
        <v>367909691.68000001</v>
      </c>
      <c r="JZ38" s="63">
        <v>574648048.33000004</v>
      </c>
      <c r="KA38" s="63">
        <v>404877642.04000002</v>
      </c>
      <c r="KB38" s="63">
        <v>330257906.02999997</v>
      </c>
      <c r="KC38" s="63">
        <v>205354830.13</v>
      </c>
      <c r="KD38" s="63">
        <v>640495228.28999996</v>
      </c>
      <c r="KE38" s="63">
        <v>435365179.56</v>
      </c>
      <c r="KF38" s="63">
        <v>575877631.24000001</v>
      </c>
      <c r="KG38" s="63">
        <v>515510753.05000001</v>
      </c>
      <c r="KH38" s="63">
        <v>238800578.5</v>
      </c>
      <c r="KI38" s="63">
        <v>542817610.37</v>
      </c>
      <c r="KJ38" s="63">
        <v>416451515.88</v>
      </c>
      <c r="KK38" s="63">
        <v>231648559.25999999</v>
      </c>
      <c r="KL38" s="63">
        <v>303534012.26999998</v>
      </c>
      <c r="KM38" s="63">
        <v>357174125.36000001</v>
      </c>
      <c r="KN38" s="63">
        <v>982602366.25</v>
      </c>
      <c r="KO38" s="63">
        <v>336018294.94999999</v>
      </c>
      <c r="KP38" s="63">
        <v>346355546.70999998</v>
      </c>
      <c r="KQ38" s="63">
        <v>289234733.56999999</v>
      </c>
      <c r="KR38" s="63">
        <v>668856309.89999998</v>
      </c>
      <c r="KS38" s="63">
        <v>867078869.84000003</v>
      </c>
      <c r="KT38" s="63">
        <v>402484836.50999999</v>
      </c>
      <c r="KU38" s="63">
        <v>331704906.27999997</v>
      </c>
      <c r="KV38" s="63">
        <v>512042895.94999999</v>
      </c>
      <c r="KW38" s="73">
        <v>226062025.25999999</v>
      </c>
      <c r="KX38" s="63">
        <v>341289352.93000001</v>
      </c>
      <c r="KY38" s="63">
        <v>286942411.25</v>
      </c>
      <c r="KZ38" s="63">
        <v>580206089.80999994</v>
      </c>
      <c r="LA38" s="63">
        <v>869250664.5</v>
      </c>
      <c r="LB38" s="63">
        <v>1242346854.8599999</v>
      </c>
      <c r="LC38" s="63">
        <v>280356895.57999998</v>
      </c>
      <c r="LD38" s="63">
        <v>272338711.92000002</v>
      </c>
      <c r="LE38" s="63">
        <v>52608739.409999996</v>
      </c>
      <c r="LF38" s="63">
        <v>491680045.23000002</v>
      </c>
      <c r="LG38" s="63">
        <v>265302177.49000001</v>
      </c>
      <c r="LH38" s="63">
        <v>301309901.13999999</v>
      </c>
      <c r="LI38" s="63">
        <v>365704386.66000003</v>
      </c>
      <c r="LJ38" s="63">
        <v>918252688.02999997</v>
      </c>
      <c r="LK38" s="63">
        <v>426910205.83999997</v>
      </c>
      <c r="LL38" s="63">
        <v>508932106.44999999</v>
      </c>
      <c r="LM38" s="63">
        <v>388801298.74000001</v>
      </c>
      <c r="LN38" s="63">
        <v>507232540.25</v>
      </c>
      <c r="LO38" s="63">
        <v>577514279.95000005</v>
      </c>
      <c r="LP38" s="63">
        <v>745999844.37</v>
      </c>
      <c r="LQ38" s="63">
        <v>780927809.09000003</v>
      </c>
      <c r="LR38" s="63">
        <v>371026402.57999998</v>
      </c>
      <c r="LS38" s="63">
        <v>676032419.82000005</v>
      </c>
      <c r="LT38" s="63">
        <v>400122544.16000003</v>
      </c>
      <c r="LU38" s="63">
        <v>677544127.02999997</v>
      </c>
      <c r="LV38" s="63">
        <v>884267311.66999996</v>
      </c>
      <c r="LW38" s="63">
        <v>274498527.13</v>
      </c>
      <c r="LX38" s="63">
        <v>581100221.38</v>
      </c>
      <c r="LY38" s="63">
        <v>303243395.82999998</v>
      </c>
      <c r="LZ38" s="63">
        <v>241100616.91999999</v>
      </c>
      <c r="MA38" s="63">
        <v>378563103.44</v>
      </c>
      <c r="MB38" s="63">
        <v>625581142.53999996</v>
      </c>
      <c r="MC38" s="63">
        <v>1039604112.9299999</v>
      </c>
      <c r="MD38" s="63">
        <v>591770864.53999996</v>
      </c>
      <c r="ME38" s="63">
        <v>548395660.61000001</v>
      </c>
      <c r="MF38" s="63">
        <v>473099518.64999998</v>
      </c>
      <c r="MG38" s="63">
        <v>834472959.38</v>
      </c>
      <c r="MH38" s="63">
        <v>557392991.67999995</v>
      </c>
      <c r="MI38" s="63">
        <v>721850015.32000005</v>
      </c>
      <c r="MJ38" s="63">
        <v>622699302.11000001</v>
      </c>
      <c r="MK38" s="63">
        <v>682301533.32000005</v>
      </c>
      <c r="ML38" s="63">
        <v>638165041.25</v>
      </c>
      <c r="MM38" s="63">
        <v>322798997.38999999</v>
      </c>
      <c r="MN38" s="63">
        <v>238033199.27000001</v>
      </c>
      <c r="MO38" s="63">
        <v>189535200.44999999</v>
      </c>
      <c r="MP38" s="63">
        <v>324419385.49000001</v>
      </c>
      <c r="MQ38" s="63">
        <v>409683777.32999998</v>
      </c>
      <c r="MR38" s="63">
        <v>259292708.53</v>
      </c>
      <c r="MS38" s="63">
        <v>178384524.97999999</v>
      </c>
      <c r="MT38" s="63">
        <v>253966169.52000001</v>
      </c>
      <c r="MU38" s="63">
        <v>582211764.08000004</v>
      </c>
      <c r="MV38" s="63">
        <v>781980614.51999998</v>
      </c>
      <c r="MW38" s="63">
        <v>657140810.25</v>
      </c>
      <c r="MX38" s="63">
        <v>377476924</v>
      </c>
      <c r="MY38" s="63">
        <v>319092714.56</v>
      </c>
      <c r="MZ38" s="63">
        <v>443008439.55000001</v>
      </c>
      <c r="NA38" s="63">
        <v>509007026.17000002</v>
      </c>
      <c r="NB38" s="63">
        <v>358987362.61000001</v>
      </c>
      <c r="NC38" s="63">
        <v>290396664.17000002</v>
      </c>
      <c r="ND38" s="63">
        <v>505318873.70999998</v>
      </c>
      <c r="NE38" s="63">
        <v>203541817.41</v>
      </c>
      <c r="NF38" s="63">
        <v>458503474.75</v>
      </c>
      <c r="NG38" s="63">
        <v>279199486.36000001</v>
      </c>
      <c r="NH38" s="63">
        <v>241737158.87</v>
      </c>
      <c r="NI38" s="63">
        <v>315557440.81999999</v>
      </c>
      <c r="NJ38" s="63">
        <v>413551612.68000001</v>
      </c>
      <c r="NK38" s="63">
        <v>827796125.5</v>
      </c>
      <c r="NL38" s="63">
        <v>451070470.97000003</v>
      </c>
      <c r="NM38" s="63">
        <v>286223284.72000003</v>
      </c>
      <c r="NN38" s="63">
        <v>395223183</v>
      </c>
      <c r="NO38" s="63">
        <v>423684342.62</v>
      </c>
      <c r="NP38" s="63">
        <v>408659735.22000003</v>
      </c>
      <c r="NQ38" s="63">
        <v>460808493.06999999</v>
      </c>
      <c r="NR38" s="63">
        <v>280400033</v>
      </c>
      <c r="NS38" s="63">
        <v>353026271.31999999</v>
      </c>
      <c r="NT38" s="63">
        <v>372924105.52999997</v>
      </c>
      <c r="NU38" s="63">
        <v>531172431.42000002</v>
      </c>
      <c r="NV38" s="63">
        <v>293940154.38999999</v>
      </c>
      <c r="NW38" s="63">
        <v>305999991.92000002</v>
      </c>
      <c r="NX38" s="63">
        <v>357205443.25999999</v>
      </c>
      <c r="NY38" s="63">
        <v>499800437.98000002</v>
      </c>
      <c r="NZ38" s="63">
        <v>285697319.54000002</v>
      </c>
      <c r="OA38" s="63">
        <v>277907354.79000002</v>
      </c>
      <c r="OB38" s="63">
        <v>131393818.83</v>
      </c>
      <c r="OC38" s="63">
        <v>227005710.63</v>
      </c>
      <c r="OD38" s="63">
        <v>344489259.60000002</v>
      </c>
      <c r="OE38" s="63">
        <v>113700826.33</v>
      </c>
      <c r="OF38" s="63">
        <v>487187366.61000001</v>
      </c>
      <c r="OG38" s="63">
        <v>204364736.09999999</v>
      </c>
      <c r="OH38" s="63">
        <v>550804895.71000004</v>
      </c>
      <c r="OI38" s="63">
        <v>259999671.13</v>
      </c>
      <c r="OJ38" s="63">
        <v>355769539.06999999</v>
      </c>
      <c r="OK38" s="63">
        <v>189013522.84999999</v>
      </c>
      <c r="OL38" s="63">
        <v>578160796.01999998</v>
      </c>
      <c r="OM38" s="63">
        <v>256197495.61000001</v>
      </c>
      <c r="ON38" s="63">
        <v>211227684.43000001</v>
      </c>
      <c r="OO38" s="63">
        <v>158459755.72</v>
      </c>
      <c r="OP38" s="63">
        <v>110789877.40000001</v>
      </c>
      <c r="OQ38" s="63">
        <v>310512005.69999999</v>
      </c>
      <c r="OR38" s="63">
        <v>190851811.59999999</v>
      </c>
      <c r="OS38" s="63">
        <v>181296821.25999999</v>
      </c>
      <c r="OT38" s="63">
        <v>189291952.28</v>
      </c>
      <c r="OU38" s="63">
        <v>143656104.56999999</v>
      </c>
      <c r="OV38" s="63">
        <v>232257896.18000001</v>
      </c>
      <c r="OW38" s="63">
        <v>206906638.94</v>
      </c>
      <c r="OX38" s="63">
        <v>541738974.08000004</v>
      </c>
      <c r="OY38" s="63">
        <v>490913212.58999997</v>
      </c>
      <c r="OZ38" s="63">
        <v>179060235.06</v>
      </c>
      <c r="PA38" s="63">
        <v>392854819.67000002</v>
      </c>
      <c r="PB38" s="63">
        <v>252669987.77000001</v>
      </c>
      <c r="PC38" s="63">
        <v>243489311.5</v>
      </c>
      <c r="PD38" s="63">
        <v>254651656.94</v>
      </c>
      <c r="PE38" s="63">
        <v>514089738.19999999</v>
      </c>
      <c r="PF38" s="63">
        <v>371823044.88999999</v>
      </c>
      <c r="PG38" s="63">
        <v>346445566.31999999</v>
      </c>
      <c r="PH38" s="63">
        <v>441169648.41000003</v>
      </c>
      <c r="PI38" s="63">
        <v>224165852.28999999</v>
      </c>
      <c r="PJ38" s="63">
        <v>358328751.26999998</v>
      </c>
      <c r="PK38" s="63">
        <v>581412229.03999996</v>
      </c>
      <c r="PL38" s="63">
        <v>376151377.62</v>
      </c>
      <c r="PM38" s="63">
        <v>857121969.97000003</v>
      </c>
      <c r="PN38" s="63">
        <v>353599328.19999999</v>
      </c>
      <c r="PO38" s="63">
        <v>149278349.44</v>
      </c>
      <c r="PP38" s="63">
        <v>331578103.72000003</v>
      </c>
      <c r="PQ38" s="64">
        <f>-VLOOKUP($A$4,'[2]Cash intraday'!$AA:$AF,5,FALSE)</f>
        <v>140353275.84</v>
      </c>
      <c r="PR38" s="61"/>
      <c r="PS38" s="61"/>
      <c r="PT38" s="61"/>
      <c r="PU38" s="61"/>
      <c r="PV38" s="61"/>
      <c r="PW38" s="61"/>
      <c r="PX38" s="61"/>
      <c r="PY38" s="61"/>
      <c r="PZ38" s="61"/>
      <c r="QA38" s="61"/>
      <c r="QB38" s="61"/>
      <c r="QC38" s="61"/>
      <c r="QD38" s="61"/>
      <c r="QE38" s="61"/>
      <c r="QF38" s="61"/>
      <c r="QG38" s="61"/>
      <c r="QH38" s="61"/>
      <c r="QI38" s="61"/>
      <c r="QJ38" s="61"/>
      <c r="QK38" s="61"/>
      <c r="QL38" s="61"/>
      <c r="QM38" s="61"/>
      <c r="QN38" s="61"/>
      <c r="QO38" s="61"/>
      <c r="QP38" s="61"/>
      <c r="QQ38" s="61"/>
      <c r="QR38" s="61"/>
      <c r="QS38" s="61"/>
      <c r="QT38" s="61"/>
      <c r="QU38" s="61"/>
      <c r="QV38" s="61"/>
      <c r="QW38" s="61"/>
      <c r="QX38" s="61"/>
      <c r="QY38" s="61"/>
      <c r="QZ38" s="61"/>
      <c r="RA38" s="61"/>
      <c r="RB38" s="61"/>
      <c r="RC38" s="61"/>
      <c r="RD38" s="61"/>
      <c r="RE38" s="61"/>
      <c r="RF38" s="61"/>
      <c r="RG38" s="61"/>
      <c r="RH38" s="61"/>
      <c r="RI38" s="61"/>
      <c r="RJ38" s="61"/>
      <c r="RK38" s="61"/>
      <c r="RL38" s="61"/>
      <c r="RM38" s="61"/>
      <c r="RN38" s="61"/>
      <c r="RO38" s="61"/>
      <c r="RP38" s="61"/>
      <c r="RQ38" s="61"/>
      <c r="RR38" s="61"/>
      <c r="RS38" s="61"/>
      <c r="RT38" s="61"/>
      <c r="RU38" s="61"/>
      <c r="RV38" s="61"/>
      <c r="RW38" s="61"/>
      <c r="RX38" s="61"/>
      <c r="RY38" s="61"/>
      <c r="RZ38" s="61"/>
      <c r="SA38" s="61"/>
    </row>
    <row r="39" spans="1:495" x14ac:dyDescent="0.2">
      <c r="A39" s="62" t="s">
        <v>1082</v>
      </c>
      <c r="B39" s="63">
        <v>209271647.37</v>
      </c>
      <c r="C39" s="63">
        <v>91556935.450000003</v>
      </c>
      <c r="D39" s="63">
        <v>103994833.65000001</v>
      </c>
      <c r="E39" s="63">
        <v>389795752.63</v>
      </c>
      <c r="F39" s="63">
        <v>2270469087.2199998</v>
      </c>
      <c r="G39" s="63">
        <v>6085062050.79</v>
      </c>
      <c r="H39" s="63">
        <v>1130409058.23</v>
      </c>
      <c r="I39" s="63">
        <v>1472980285.45</v>
      </c>
      <c r="J39" s="63">
        <v>844428202.40999997</v>
      </c>
      <c r="K39" s="63">
        <v>1870882870.3299999</v>
      </c>
      <c r="L39" s="63">
        <v>5758509181.3299999</v>
      </c>
      <c r="M39" s="63">
        <v>859310299.66999996</v>
      </c>
      <c r="N39" s="63">
        <v>643926978.69000006</v>
      </c>
      <c r="O39" s="63">
        <v>612913483.91999996</v>
      </c>
      <c r="P39" s="63">
        <v>1706857331.49</v>
      </c>
      <c r="Q39" s="63">
        <v>4991466843.8500004</v>
      </c>
      <c r="R39" s="63">
        <v>2721047967.3400002</v>
      </c>
      <c r="S39" s="63">
        <v>1389389087.4000001</v>
      </c>
      <c r="T39" s="63">
        <v>805409384.38999999</v>
      </c>
      <c r="U39" s="63">
        <v>2180366506.5100002</v>
      </c>
      <c r="V39" s="63">
        <v>6269972640.1000004</v>
      </c>
      <c r="W39" s="63">
        <v>863505575.75999999</v>
      </c>
      <c r="X39" s="63">
        <v>859432568.88999999</v>
      </c>
      <c r="Y39" s="63">
        <v>905819536.74000001</v>
      </c>
      <c r="Z39" s="63">
        <v>924899083.46000004</v>
      </c>
      <c r="AA39" s="63">
        <v>2535464321.6599998</v>
      </c>
      <c r="AB39" s="63">
        <v>496280830.82999998</v>
      </c>
      <c r="AC39" s="63">
        <v>683418980.59000003</v>
      </c>
      <c r="AD39" s="63">
        <v>689005415.29999995</v>
      </c>
      <c r="AE39" s="63">
        <v>1035582599.64</v>
      </c>
      <c r="AF39" s="63">
        <v>2805470402.9000001</v>
      </c>
      <c r="AG39" s="63">
        <v>998040304.82000005</v>
      </c>
      <c r="AH39" s="63">
        <v>569187668.41999996</v>
      </c>
      <c r="AI39" s="63">
        <v>1291864935.25</v>
      </c>
      <c r="AJ39" s="63">
        <v>3264203772.5799999</v>
      </c>
      <c r="AK39" s="63">
        <v>961317430.25</v>
      </c>
      <c r="AL39" s="63">
        <v>712651573.80999994</v>
      </c>
      <c r="AM39" s="63">
        <v>617702956.14999998</v>
      </c>
      <c r="AN39" s="63">
        <v>1663148257.8800001</v>
      </c>
      <c r="AO39" s="63">
        <v>3473023622.5100002</v>
      </c>
      <c r="AP39" s="63">
        <v>946571491.14999998</v>
      </c>
      <c r="AQ39" s="63">
        <v>841550151.25</v>
      </c>
      <c r="AR39" s="63">
        <v>484621419.51999998</v>
      </c>
      <c r="AS39" s="63">
        <v>1459629953.98</v>
      </c>
      <c r="AT39" s="63">
        <v>4729934784.4899998</v>
      </c>
      <c r="AU39" s="63">
        <v>769207133.13999999</v>
      </c>
      <c r="AV39" s="63">
        <v>1163221233.8599999</v>
      </c>
      <c r="AW39" s="63">
        <v>702279931.25</v>
      </c>
      <c r="AX39" s="63">
        <v>2398072284.1199999</v>
      </c>
      <c r="AY39" s="63">
        <v>5506202325.9099998</v>
      </c>
      <c r="AZ39" s="63">
        <v>901526175.97000003</v>
      </c>
      <c r="BA39" s="63">
        <v>629532586.19000006</v>
      </c>
      <c r="BB39" s="63">
        <v>691694868.67999995</v>
      </c>
      <c r="BC39" s="63">
        <v>523788882.85000002</v>
      </c>
      <c r="BD39" s="63">
        <v>1760946855.78</v>
      </c>
      <c r="BE39" s="63">
        <v>1260415129.1099999</v>
      </c>
      <c r="BF39" s="63">
        <v>446205519.32999998</v>
      </c>
      <c r="BG39" s="63">
        <v>4463505340.9799995</v>
      </c>
      <c r="BH39" s="63">
        <v>7771144169.6700001</v>
      </c>
      <c r="BI39" s="63">
        <v>14079170053.23</v>
      </c>
      <c r="BJ39" s="63">
        <v>1463346928.3099999</v>
      </c>
      <c r="BK39" s="63">
        <v>852961090.47000003</v>
      </c>
      <c r="BL39" s="63">
        <v>980928904.70000005</v>
      </c>
      <c r="BM39" s="63">
        <v>2214557935.5900002</v>
      </c>
      <c r="BN39" s="63">
        <v>2799051500.6199999</v>
      </c>
      <c r="BO39" s="63">
        <v>1123185020.1199999</v>
      </c>
      <c r="BP39" s="63">
        <v>1445378951.9100001</v>
      </c>
      <c r="BQ39" s="63">
        <v>2520970624.1300001</v>
      </c>
      <c r="BR39" s="63">
        <v>5055263674.2299995</v>
      </c>
      <c r="BS39" s="63">
        <v>717399375.57000005</v>
      </c>
      <c r="BT39" s="63">
        <v>397858369.76999998</v>
      </c>
      <c r="BU39" s="63">
        <v>229793983.49000001</v>
      </c>
      <c r="BV39" s="63">
        <v>837206712.91999996</v>
      </c>
      <c r="BW39" s="63">
        <v>654057681.95000005</v>
      </c>
      <c r="BX39" s="63">
        <v>1082733611.73</v>
      </c>
      <c r="BY39" s="63">
        <v>1636916118.6099999</v>
      </c>
      <c r="BZ39" s="63">
        <v>4137675164.21</v>
      </c>
      <c r="CA39" s="63">
        <v>791681753.04999995</v>
      </c>
      <c r="CB39" s="63">
        <v>836013358.07000005</v>
      </c>
      <c r="CC39" s="63">
        <v>513552243.56</v>
      </c>
      <c r="CD39" s="63">
        <v>1776130363.1099999</v>
      </c>
      <c r="CE39" s="63">
        <v>3308425235.04</v>
      </c>
      <c r="CF39" s="63">
        <v>626681763.48000002</v>
      </c>
      <c r="CG39" s="63">
        <v>572732645.17999995</v>
      </c>
      <c r="CH39" s="63">
        <v>1270791237.8199999</v>
      </c>
      <c r="CI39" s="63">
        <v>2869262033.9499998</v>
      </c>
      <c r="CJ39" s="63">
        <v>446365256.89999998</v>
      </c>
      <c r="CK39" s="63">
        <v>800686118.35000002</v>
      </c>
      <c r="CL39" s="63">
        <v>1168543035.3800001</v>
      </c>
      <c r="CM39" s="63">
        <v>3908834687.6100001</v>
      </c>
      <c r="CN39" s="63">
        <v>693608745.26999998</v>
      </c>
      <c r="CO39" s="63">
        <v>468193501.80000001</v>
      </c>
      <c r="CP39" s="63">
        <v>466522309.44999999</v>
      </c>
      <c r="CQ39" s="63">
        <v>1540620440.26</v>
      </c>
      <c r="CR39" s="63">
        <v>3807727684.5100002</v>
      </c>
      <c r="CS39" s="63">
        <v>763542723.15999997</v>
      </c>
      <c r="CT39" s="63">
        <v>770685442.20000005</v>
      </c>
      <c r="CU39" s="63">
        <v>486013185.20999998</v>
      </c>
      <c r="CV39" s="63">
        <v>2382710644.48</v>
      </c>
      <c r="CW39" s="63">
        <v>4129311875.5</v>
      </c>
      <c r="CX39" s="63">
        <v>588956025.89999998</v>
      </c>
      <c r="CY39" s="63">
        <v>1456700281.8399999</v>
      </c>
      <c r="CZ39" s="63">
        <v>677647039.34000003</v>
      </c>
      <c r="DA39" s="63">
        <v>1317825271.1199999</v>
      </c>
      <c r="DB39" s="63">
        <v>3649298780.23</v>
      </c>
      <c r="DC39" s="63">
        <v>768138907.91999996</v>
      </c>
      <c r="DD39" s="63">
        <v>464023189.35000002</v>
      </c>
      <c r="DE39" s="63">
        <v>523235673.70999998</v>
      </c>
      <c r="DF39" s="63">
        <v>1259804555.9400001</v>
      </c>
      <c r="DG39" s="63">
        <v>4063826716.6999998</v>
      </c>
      <c r="DH39" s="63">
        <v>565253515.41999996</v>
      </c>
      <c r="DI39" s="63">
        <v>569944308.77999997</v>
      </c>
      <c r="DJ39" s="63">
        <v>429180717.04000002</v>
      </c>
      <c r="DK39" s="61"/>
      <c r="DL39" s="61">
        <v>2231711740.25</v>
      </c>
      <c r="DM39" s="61">
        <v>459662139.52999997</v>
      </c>
      <c r="DN39" s="61">
        <v>615812266.92999995</v>
      </c>
      <c r="DO39" s="63">
        <v>445648016.12</v>
      </c>
      <c r="DP39" s="63">
        <v>1916864899.8399999</v>
      </c>
      <c r="DQ39" s="63">
        <v>3329548982.2600002</v>
      </c>
      <c r="DR39" s="63">
        <v>687154032.77999997</v>
      </c>
      <c r="DS39" s="63">
        <v>584333679.90999997</v>
      </c>
      <c r="DT39" s="63">
        <v>441219375.38999999</v>
      </c>
      <c r="DU39" s="63">
        <v>1506093369.52</v>
      </c>
      <c r="DV39" s="72">
        <v>2529417502.3499999</v>
      </c>
      <c r="DW39" s="63">
        <v>477829098.31</v>
      </c>
      <c r="DX39" s="63">
        <v>373710116.01999998</v>
      </c>
      <c r="DY39" s="63">
        <v>219110957.81999999</v>
      </c>
      <c r="DZ39" s="63">
        <v>1920770957.24</v>
      </c>
      <c r="EA39" s="63">
        <v>4187474402.4299998</v>
      </c>
      <c r="EB39" s="63">
        <v>883370178.75</v>
      </c>
      <c r="EC39" s="63">
        <v>719560317.29999995</v>
      </c>
      <c r="ED39" s="63">
        <v>909135035.88999999</v>
      </c>
      <c r="EE39" s="63">
        <v>1768540844.3399999</v>
      </c>
      <c r="EF39" s="63">
        <v>795462370.63999999</v>
      </c>
      <c r="EG39" s="63">
        <v>382069801.63</v>
      </c>
      <c r="EH39" s="63">
        <v>355213328.88</v>
      </c>
      <c r="EI39" s="63">
        <v>1251762208.72</v>
      </c>
      <c r="EJ39" s="63">
        <v>2405147145.6799998</v>
      </c>
      <c r="EK39" s="63">
        <v>576475032.75999999</v>
      </c>
      <c r="EL39" s="63">
        <v>396273856.83999997</v>
      </c>
      <c r="EM39" s="63">
        <v>348252675.83999997</v>
      </c>
      <c r="EN39" s="63">
        <v>2650262959.3600001</v>
      </c>
      <c r="EO39" s="63">
        <v>593856563.30999994</v>
      </c>
      <c r="EP39" s="63">
        <v>494364111.02999997</v>
      </c>
      <c r="EQ39" s="63">
        <v>470984406.32999998</v>
      </c>
      <c r="ER39" s="63">
        <v>1187691949.1700001</v>
      </c>
      <c r="ES39" s="63">
        <v>2790727252.5999999</v>
      </c>
      <c r="ET39" s="63">
        <v>606075100.11000001</v>
      </c>
      <c r="EU39" s="63">
        <v>467166184.36000001</v>
      </c>
      <c r="EV39" s="63">
        <v>594871523.94000006</v>
      </c>
      <c r="EW39" s="63">
        <v>757569008.10000002</v>
      </c>
      <c r="EX39" s="63">
        <v>1394411055.99</v>
      </c>
      <c r="EY39" s="63">
        <v>374267608.94</v>
      </c>
      <c r="EZ39" s="63">
        <v>435975638.41000003</v>
      </c>
      <c r="FA39" s="63">
        <v>589180176.19000006</v>
      </c>
      <c r="FB39" s="63">
        <v>1008328087.1</v>
      </c>
      <c r="FC39" s="63">
        <v>222812111.09</v>
      </c>
      <c r="FD39" s="63">
        <v>367278184.74000001</v>
      </c>
      <c r="FE39" s="63">
        <v>230520772.99000001</v>
      </c>
      <c r="FF39" s="63">
        <v>1065990958.72</v>
      </c>
      <c r="FG39" s="63">
        <v>1626485878</v>
      </c>
      <c r="FH39" s="63">
        <v>569804315.50999999</v>
      </c>
      <c r="FI39" s="63">
        <v>671549667.48000002</v>
      </c>
      <c r="FJ39" s="63">
        <v>444955444.77999997</v>
      </c>
      <c r="FK39" s="63">
        <v>753960922.36000001</v>
      </c>
      <c r="FL39" s="63">
        <v>1570963386.3399999</v>
      </c>
      <c r="FM39" s="63">
        <v>340476206.51999998</v>
      </c>
      <c r="FN39" s="63">
        <v>349776521.99000001</v>
      </c>
      <c r="FO39" s="64">
        <f>-VLOOKUP($A$4,'[2]Cash intraday'!$AA:$AF,6,FALSE)</f>
        <v>217305889.06999999</v>
      </c>
      <c r="FP39" s="61">
        <v>1210500635.55</v>
      </c>
      <c r="FQ39" s="61">
        <v>1440315868.3800001</v>
      </c>
      <c r="FR39" s="61">
        <v>563199781.37</v>
      </c>
      <c r="FS39" s="63">
        <v>287000588.56</v>
      </c>
      <c r="FT39" s="63">
        <v>254614571.05000001</v>
      </c>
      <c r="FU39" s="63">
        <v>722370491.54999995</v>
      </c>
      <c r="FV39" s="63">
        <v>934915735.03999996</v>
      </c>
      <c r="FW39" s="63">
        <v>467172089.73000002</v>
      </c>
      <c r="FX39" s="63">
        <v>356322174.19</v>
      </c>
      <c r="FY39" s="63">
        <v>367307854.05000001</v>
      </c>
      <c r="FZ39" s="63">
        <v>445923415.13999999</v>
      </c>
      <c r="GA39" s="63">
        <v>850204210.82000005</v>
      </c>
      <c r="GB39" s="63">
        <v>502868253.69</v>
      </c>
      <c r="GC39" s="63">
        <v>365060848.25999999</v>
      </c>
      <c r="GD39" s="63">
        <v>342451646.31999999</v>
      </c>
      <c r="GE39" s="63">
        <v>646656997.99000001</v>
      </c>
      <c r="GF39" s="63">
        <v>382659416.08999997</v>
      </c>
      <c r="GG39" s="63">
        <v>293990502.00999999</v>
      </c>
      <c r="GH39" s="63">
        <v>321212603.54000002</v>
      </c>
      <c r="GI39" s="63">
        <v>339412446.24000001</v>
      </c>
      <c r="GJ39" s="63">
        <v>312233293.44999999</v>
      </c>
      <c r="GK39" s="63">
        <v>536899973.95000005</v>
      </c>
      <c r="GL39" s="63">
        <v>491339962.14999998</v>
      </c>
      <c r="GM39" s="63">
        <v>1504780143.26</v>
      </c>
      <c r="GN39" s="63">
        <v>1026250111.65</v>
      </c>
      <c r="GO39" s="63">
        <v>2092493566</v>
      </c>
      <c r="GP39" s="63">
        <v>523752280.66000003</v>
      </c>
      <c r="GQ39" s="63">
        <v>740918451.57000005</v>
      </c>
      <c r="GR39" s="63">
        <v>814096939.79999995</v>
      </c>
      <c r="GS39" s="63">
        <v>1108904250.1800001</v>
      </c>
      <c r="GT39" s="63">
        <v>1419778685.5999999</v>
      </c>
      <c r="GU39" s="63">
        <v>560440689.53999996</v>
      </c>
      <c r="GV39" s="63">
        <v>383306593.17000002</v>
      </c>
      <c r="GW39" s="63">
        <v>1792107050.1099999</v>
      </c>
      <c r="GX39" s="63">
        <v>1068547592.7</v>
      </c>
      <c r="GY39" s="63">
        <v>728826061.37</v>
      </c>
      <c r="GZ39" s="63">
        <v>784124244.27999997</v>
      </c>
      <c r="HA39" s="63">
        <v>1432653995.8299999</v>
      </c>
      <c r="HB39" s="63">
        <v>3469330343.6500001</v>
      </c>
      <c r="HC39" s="63">
        <v>383638809.50999999</v>
      </c>
      <c r="HD39" s="63">
        <v>471333424.82999998</v>
      </c>
      <c r="HE39" s="63">
        <v>1326654187.2</v>
      </c>
      <c r="HF39" s="63">
        <v>943377523.47000003</v>
      </c>
      <c r="HG39" s="63">
        <v>1891524135.9300001</v>
      </c>
      <c r="HH39" s="63">
        <v>429227421.87</v>
      </c>
      <c r="HI39" s="63">
        <v>390368488.75999999</v>
      </c>
      <c r="HJ39" s="63">
        <v>905447985.64999998</v>
      </c>
      <c r="HK39" s="63">
        <v>1169544077.9000001</v>
      </c>
      <c r="HL39" s="63">
        <v>0</v>
      </c>
      <c r="HM39" s="63">
        <v>716351396.13</v>
      </c>
      <c r="HN39" s="63">
        <v>406179879.31999999</v>
      </c>
      <c r="HO39" s="63">
        <v>916106143.92999995</v>
      </c>
      <c r="HP39" s="63">
        <v>810413475.61000001</v>
      </c>
      <c r="HQ39" s="63">
        <v>1573135164.76</v>
      </c>
      <c r="HR39" s="63">
        <v>464732215.70999998</v>
      </c>
      <c r="HS39" s="63">
        <v>1128764832.53</v>
      </c>
      <c r="HT39" s="63">
        <v>562798605.91999996</v>
      </c>
      <c r="HU39" s="63">
        <v>3254092551.4299998</v>
      </c>
      <c r="HV39" s="63">
        <v>2678967970.54</v>
      </c>
      <c r="HW39" s="63">
        <v>538741626.17999995</v>
      </c>
      <c r="HX39" s="63">
        <v>394944619.19999999</v>
      </c>
      <c r="HY39" s="63">
        <v>1178313361.28</v>
      </c>
      <c r="HZ39" s="63">
        <v>3296135845.8800001</v>
      </c>
      <c r="IA39" s="63">
        <v>415067583.56999999</v>
      </c>
      <c r="IB39" s="64">
        <f>-VLOOKUP($A$4,'[2]Cash intraday'!$AA:$AF,6,FALSE)</f>
        <v>217305889.06999999</v>
      </c>
      <c r="IC39" s="61"/>
      <c r="ID39" s="61">
        <v>1488076139.4300001</v>
      </c>
      <c r="IE39" s="63">
        <v>295055051.63999999</v>
      </c>
      <c r="IF39" s="63">
        <v>371562482.20999998</v>
      </c>
      <c r="IG39" s="63">
        <v>308464807.57999998</v>
      </c>
      <c r="IH39" s="63">
        <v>774104049.11000001</v>
      </c>
      <c r="II39" s="63">
        <v>977178372.33000004</v>
      </c>
      <c r="IJ39" s="63">
        <v>542515249.09000003</v>
      </c>
      <c r="IK39" s="63">
        <v>370897204.66000003</v>
      </c>
      <c r="IL39" s="63">
        <v>376616881.31</v>
      </c>
      <c r="IM39" s="63">
        <v>434375874.39999998</v>
      </c>
      <c r="IN39" s="63">
        <v>227347113.75999999</v>
      </c>
      <c r="IO39" s="63">
        <v>446210123.29000002</v>
      </c>
      <c r="IP39" s="63">
        <v>939179826.32000005</v>
      </c>
      <c r="IQ39" s="63">
        <v>1243492346.8</v>
      </c>
      <c r="IR39" s="63">
        <v>496958318.81</v>
      </c>
      <c r="IS39" s="63">
        <v>401077102.98000002</v>
      </c>
      <c r="IT39" s="63">
        <v>540533677.21000004</v>
      </c>
      <c r="IU39" s="63">
        <v>740547899.65999997</v>
      </c>
      <c r="IV39" s="63">
        <v>1055457035.5599999</v>
      </c>
      <c r="IW39" s="63">
        <v>810513633.17999995</v>
      </c>
      <c r="IX39" s="63">
        <v>601147656.51999998</v>
      </c>
      <c r="IY39" s="63">
        <v>1265509486.8800001</v>
      </c>
      <c r="IZ39" s="63">
        <v>1166677428.8599999</v>
      </c>
      <c r="JA39" s="63">
        <v>2550504132.5700002</v>
      </c>
      <c r="JB39" s="63">
        <v>647044136.82000005</v>
      </c>
      <c r="JC39" s="63">
        <v>587822996.26999998</v>
      </c>
      <c r="JD39" s="63">
        <v>490884642.56</v>
      </c>
      <c r="JE39" s="63">
        <v>601390027.34000003</v>
      </c>
      <c r="JF39" s="63">
        <v>1274669800.3199999</v>
      </c>
      <c r="JG39" s="63">
        <v>665941424.14999998</v>
      </c>
      <c r="JH39" s="63">
        <v>733858286.37</v>
      </c>
      <c r="JI39" s="64">
        <v>482081720.61000001</v>
      </c>
      <c r="JJ39" s="63"/>
      <c r="JK39" s="63">
        <v>1741927168.54</v>
      </c>
      <c r="JL39" s="63">
        <v>510667061.60000002</v>
      </c>
      <c r="JM39" s="63">
        <v>257879975.62</v>
      </c>
      <c r="JN39" s="63">
        <v>237588655.58000001</v>
      </c>
      <c r="JO39" s="63">
        <v>1823879397.21</v>
      </c>
      <c r="JP39" s="63">
        <v>2357758405.9699998</v>
      </c>
      <c r="JQ39" s="63">
        <v>765952288.58000004</v>
      </c>
      <c r="JR39" s="63">
        <v>613115561.86000001</v>
      </c>
      <c r="JS39" s="63">
        <v>423088393.63</v>
      </c>
      <c r="JT39" s="63">
        <v>770185410.88999999</v>
      </c>
      <c r="JU39" s="63">
        <v>1730713242.6900001</v>
      </c>
      <c r="JV39" s="63">
        <v>658804051.10000002</v>
      </c>
      <c r="JW39" s="63">
        <v>598970411.34000003</v>
      </c>
      <c r="JX39" s="63">
        <v>557479668.82000005</v>
      </c>
      <c r="JY39" s="63">
        <v>571762908.72000003</v>
      </c>
      <c r="JZ39" s="63">
        <v>1179777905.8699999</v>
      </c>
      <c r="KA39" s="63">
        <v>371732594.39999998</v>
      </c>
      <c r="KB39" s="63">
        <v>395833784.62</v>
      </c>
      <c r="KC39" s="63">
        <v>320200000.31999999</v>
      </c>
      <c r="KD39" s="63">
        <v>884505970.28999996</v>
      </c>
      <c r="KE39" s="63">
        <v>616607039.11000001</v>
      </c>
      <c r="KF39" s="63">
        <v>295286562.51999998</v>
      </c>
      <c r="KG39" s="63">
        <v>365932354.74000001</v>
      </c>
      <c r="KH39" s="63">
        <v>556303057.49000001</v>
      </c>
      <c r="KI39" s="63">
        <v>621589553.50999999</v>
      </c>
      <c r="KJ39" s="63">
        <v>413008037.35000002</v>
      </c>
      <c r="KK39" s="63">
        <v>243350875.63</v>
      </c>
      <c r="KL39" s="63">
        <v>290214589.27999997</v>
      </c>
      <c r="KM39" s="63">
        <v>810993898.47000003</v>
      </c>
      <c r="KN39" s="63">
        <v>1176907245.98</v>
      </c>
      <c r="KO39" s="63">
        <v>597850467.63999999</v>
      </c>
      <c r="KP39" s="63">
        <v>761605494.34000003</v>
      </c>
      <c r="KQ39" s="73">
        <v>529528674.32999998</v>
      </c>
      <c r="KR39" s="63">
        <v>1126258788.7</v>
      </c>
      <c r="KS39" s="63">
        <v>1716252592.02</v>
      </c>
      <c r="KT39" s="63">
        <v>482347284.19999999</v>
      </c>
      <c r="KU39" s="63">
        <v>553384517.46000004</v>
      </c>
      <c r="KV39" s="63">
        <v>333418435.24000001</v>
      </c>
      <c r="KW39" s="63">
        <v>414849818.19999999</v>
      </c>
      <c r="KX39" s="63">
        <v>561540484.53999996</v>
      </c>
      <c r="KY39" s="63">
        <v>333137752.27999997</v>
      </c>
      <c r="KZ39" s="63">
        <v>292645076.44</v>
      </c>
      <c r="LA39" s="63">
        <v>1925778891.76</v>
      </c>
      <c r="LB39" s="63">
        <v>3501709431.1100001</v>
      </c>
      <c r="LC39" s="63">
        <v>463561324.06999999</v>
      </c>
      <c r="LD39" s="63">
        <v>500820514.61000001</v>
      </c>
      <c r="LE39" s="63">
        <v>818361559.65999997</v>
      </c>
      <c r="LF39" s="63">
        <v>211768549.74000001</v>
      </c>
      <c r="LG39" s="63">
        <v>283463949.93000001</v>
      </c>
      <c r="LH39" s="63">
        <v>335551523.49000001</v>
      </c>
      <c r="LI39" s="63">
        <v>669752340.13</v>
      </c>
      <c r="LJ39" s="63">
        <v>1118078700.51</v>
      </c>
      <c r="LK39" s="63">
        <v>838758736.79999995</v>
      </c>
      <c r="LL39" s="63">
        <v>369274174.55000001</v>
      </c>
      <c r="LM39" s="63">
        <v>414169580.37</v>
      </c>
      <c r="LN39" s="63">
        <v>1756390298.47</v>
      </c>
      <c r="LO39" s="63">
        <v>3116044071.04</v>
      </c>
      <c r="LP39" s="63">
        <v>628898234.97000003</v>
      </c>
      <c r="LQ39" s="63">
        <v>710577931.53999996</v>
      </c>
      <c r="LR39" s="63">
        <v>1231761249.6199999</v>
      </c>
      <c r="LS39" s="63">
        <v>1248980014.5</v>
      </c>
      <c r="LT39" s="63">
        <v>697839823.75999999</v>
      </c>
      <c r="LU39" s="63">
        <v>580796365.03999996</v>
      </c>
      <c r="LV39" s="63">
        <v>1223582155.24</v>
      </c>
      <c r="LW39" s="63">
        <v>906402307.20000005</v>
      </c>
      <c r="LX39" s="63">
        <v>2200847184.6300001</v>
      </c>
      <c r="LY39" s="63">
        <v>547787973.47000003</v>
      </c>
      <c r="LZ39" s="63">
        <v>362501293.94</v>
      </c>
      <c r="MA39" s="63">
        <v>385118021.10000002</v>
      </c>
      <c r="MB39" s="63">
        <v>1754661066.79</v>
      </c>
      <c r="MC39" s="63">
        <v>2722935553.9899998</v>
      </c>
      <c r="MD39" s="63">
        <v>624624771.30999994</v>
      </c>
      <c r="ME39" s="63">
        <v>673333783.89999998</v>
      </c>
      <c r="MF39" s="63">
        <v>719761568.35000002</v>
      </c>
      <c r="MG39" s="63">
        <v>1184271264.7</v>
      </c>
      <c r="MH39" s="63">
        <v>3306877662.3299999</v>
      </c>
      <c r="MI39" s="63">
        <v>511542113.06999999</v>
      </c>
      <c r="MJ39" s="63">
        <v>868962430.57000005</v>
      </c>
      <c r="MK39" s="63">
        <v>1056284457.89</v>
      </c>
      <c r="ML39" s="63">
        <v>3463851929.21</v>
      </c>
      <c r="MM39" s="63">
        <v>534814779.63999999</v>
      </c>
      <c r="MN39" s="63">
        <v>554307835.72000003</v>
      </c>
      <c r="MO39" s="63">
        <v>529921134.02999997</v>
      </c>
      <c r="MP39" s="63">
        <v>855710043.21000004</v>
      </c>
      <c r="MQ39" s="63">
        <v>2248349278.6199999</v>
      </c>
      <c r="MR39" s="63">
        <v>310423265.94</v>
      </c>
      <c r="MS39" s="63">
        <v>323600435.13999999</v>
      </c>
      <c r="MT39" s="63">
        <v>383610223.16000003</v>
      </c>
      <c r="MU39" s="63">
        <v>1049548755.49</v>
      </c>
      <c r="MV39" s="63">
        <v>2409238216.3299999</v>
      </c>
      <c r="MW39" s="63">
        <v>562547935.33000004</v>
      </c>
      <c r="MX39" s="63">
        <v>768452623.75</v>
      </c>
      <c r="MY39" s="63">
        <v>617839150.23000002</v>
      </c>
      <c r="MZ39" s="63">
        <v>761621646.79999995</v>
      </c>
      <c r="NA39" s="63">
        <v>1581986375.21</v>
      </c>
      <c r="NB39" s="63">
        <v>401895736.61000001</v>
      </c>
      <c r="NC39" s="63">
        <v>505286642.44</v>
      </c>
      <c r="ND39" s="63">
        <v>624480107.35000002</v>
      </c>
      <c r="NE39" s="63">
        <v>596446406.22000003</v>
      </c>
      <c r="NF39" s="63">
        <v>1067663241.58</v>
      </c>
      <c r="NG39" s="63">
        <v>348098387.67000002</v>
      </c>
      <c r="NH39" s="63">
        <v>219702014.69</v>
      </c>
      <c r="NI39" s="63">
        <v>190836165.72</v>
      </c>
      <c r="NJ39" s="63">
        <v>1085204567.1600001</v>
      </c>
      <c r="NK39" s="63">
        <v>1430734184.24</v>
      </c>
      <c r="NL39" s="63">
        <v>322211979.38999999</v>
      </c>
      <c r="NM39" s="63">
        <v>455062342.25999999</v>
      </c>
      <c r="NN39" s="63">
        <v>293309010.67000002</v>
      </c>
      <c r="NO39" s="63">
        <v>579468463.89999998</v>
      </c>
      <c r="NP39" s="63">
        <v>1010376015.48</v>
      </c>
      <c r="NQ39" s="63">
        <v>863432257.55999994</v>
      </c>
      <c r="NR39" s="63">
        <v>607466402.88999999</v>
      </c>
      <c r="NS39" s="63">
        <v>392990692</v>
      </c>
      <c r="NT39" s="63">
        <v>434062080.81999999</v>
      </c>
      <c r="NU39" s="63">
        <v>1551102348.5699999</v>
      </c>
      <c r="NV39" s="63">
        <v>632033826.30999994</v>
      </c>
      <c r="NW39" s="63">
        <v>1044453603.77</v>
      </c>
      <c r="NX39" s="63">
        <v>1210936683.53</v>
      </c>
      <c r="NY39" s="63">
        <v>2538964197.8800001</v>
      </c>
      <c r="NZ39" s="63">
        <v>322260944.85000002</v>
      </c>
      <c r="OA39" s="63">
        <v>401643294.70999998</v>
      </c>
      <c r="OB39" s="63">
        <v>287540447.32999998</v>
      </c>
      <c r="OC39" s="63">
        <v>1016103378.59</v>
      </c>
      <c r="OD39" s="63">
        <v>244486748.88999999</v>
      </c>
      <c r="OE39" s="63">
        <v>253989597.69</v>
      </c>
      <c r="OF39" s="63">
        <v>961916954.17999995</v>
      </c>
      <c r="OG39" s="63">
        <v>1217152326.74</v>
      </c>
      <c r="OH39" s="63">
        <v>163087590.75999999</v>
      </c>
      <c r="OI39" s="63">
        <v>520542466.89999998</v>
      </c>
      <c r="OJ39" s="63">
        <v>365324446.13999999</v>
      </c>
      <c r="OK39" s="63">
        <v>481288808.88</v>
      </c>
      <c r="OL39" s="63">
        <v>1396947650.25</v>
      </c>
      <c r="OM39" s="63">
        <v>187876951.06999999</v>
      </c>
      <c r="ON39" s="63">
        <v>203434961.09999999</v>
      </c>
      <c r="OO39" s="63">
        <v>336123704.88</v>
      </c>
      <c r="OP39" s="63">
        <v>223608421.12</v>
      </c>
      <c r="OQ39" s="63">
        <v>611236902.48000002</v>
      </c>
      <c r="OR39" s="63">
        <v>241715180.5</v>
      </c>
      <c r="OS39" s="63">
        <v>197218610.53999999</v>
      </c>
      <c r="OT39" s="63">
        <v>125259332.23999999</v>
      </c>
      <c r="OU39" s="63">
        <v>245943222.24000001</v>
      </c>
      <c r="OV39" s="63">
        <v>747992272.95000005</v>
      </c>
      <c r="OW39" s="63">
        <v>257985370.75999999</v>
      </c>
      <c r="OX39" s="63">
        <v>1086344693.53</v>
      </c>
      <c r="OY39" s="63">
        <v>724515296.05999994</v>
      </c>
      <c r="OZ39" s="63">
        <v>774238131.75</v>
      </c>
      <c r="PA39" s="63">
        <v>2120998936.04</v>
      </c>
      <c r="PB39" s="63">
        <v>470426788.62</v>
      </c>
      <c r="PC39" s="63">
        <v>315313190.31</v>
      </c>
      <c r="PD39" s="63">
        <v>333163292.32999998</v>
      </c>
      <c r="PE39" s="63">
        <v>735672903.51999998</v>
      </c>
      <c r="PF39" s="63">
        <v>1853976750.76</v>
      </c>
      <c r="PG39" s="63">
        <v>183223772.08000001</v>
      </c>
      <c r="PH39" s="63">
        <v>157400623.94999999</v>
      </c>
      <c r="PI39" s="63">
        <v>301447895.60000002</v>
      </c>
      <c r="PJ39" s="63">
        <v>766594829.17999995</v>
      </c>
      <c r="PK39" s="63">
        <v>1883712060.1900001</v>
      </c>
      <c r="PL39" s="63">
        <v>564892195.07000005</v>
      </c>
      <c r="PM39" s="63">
        <v>420321501.20999998</v>
      </c>
      <c r="PN39" s="63">
        <v>476567353.5</v>
      </c>
      <c r="PO39" s="63">
        <v>585508800.97000003</v>
      </c>
      <c r="PP39" s="63">
        <v>1198642932.6300001</v>
      </c>
      <c r="PQ39" s="64">
        <f>-VLOOKUP($A$4,'[2]Cash intraday'!$AA:$AF,6,FALSE)</f>
        <v>217305889.06999999</v>
      </c>
      <c r="PR39" s="61"/>
      <c r="PS39" s="61"/>
      <c r="PT39" s="61"/>
      <c r="PU39" s="61"/>
      <c r="PV39" s="61"/>
      <c r="PW39" s="61"/>
      <c r="PX39" s="61"/>
      <c r="PY39" s="61"/>
      <c r="PZ39" s="61"/>
      <c r="QA39" s="61"/>
      <c r="QB39" s="61"/>
      <c r="QC39" s="61"/>
      <c r="QD39" s="61"/>
      <c r="QE39" s="61"/>
      <c r="QF39" s="61"/>
      <c r="QG39" s="61"/>
      <c r="QH39" s="61"/>
      <c r="QI39" s="61"/>
      <c r="QJ39" s="61"/>
      <c r="QK39" s="61"/>
      <c r="QL39" s="61"/>
      <c r="QM39" s="61"/>
      <c r="QN39" s="61"/>
      <c r="QO39" s="61"/>
      <c r="QP39" s="61"/>
      <c r="QQ39" s="61"/>
      <c r="QR39" s="61"/>
      <c r="QS39" s="61"/>
      <c r="QT39" s="61"/>
      <c r="QU39" s="61"/>
      <c r="QV39" s="61"/>
      <c r="QW39" s="61"/>
      <c r="QX39" s="61"/>
      <c r="QY39" s="61"/>
      <c r="QZ39" s="61"/>
      <c r="RA39" s="61"/>
      <c r="RB39" s="61"/>
      <c r="RC39" s="61"/>
      <c r="RD39" s="61"/>
      <c r="RE39" s="61"/>
      <c r="RF39" s="61"/>
      <c r="RG39" s="61"/>
      <c r="RH39" s="61"/>
      <c r="RI39" s="61"/>
      <c r="RJ39" s="61"/>
      <c r="RK39" s="61"/>
      <c r="RL39" s="61"/>
      <c r="RM39" s="61"/>
      <c r="RN39" s="61"/>
      <c r="RO39" s="61"/>
      <c r="RP39" s="61"/>
      <c r="RQ39" s="61"/>
      <c r="RR39" s="61"/>
      <c r="RS39" s="61"/>
      <c r="RT39" s="61"/>
      <c r="RU39" s="61"/>
      <c r="RV39" s="61"/>
      <c r="RW39" s="61"/>
      <c r="RX39" s="61"/>
      <c r="RY39" s="61"/>
      <c r="RZ39" s="61"/>
      <c r="SA39" s="61"/>
    </row>
    <row r="40" spans="1:495" x14ac:dyDescent="0.2">
      <c r="A40" s="66" t="s">
        <v>1083</v>
      </c>
      <c r="B40" s="61">
        <v>21932639.739999998</v>
      </c>
      <c r="C40" s="61">
        <v>5581806591.4099998</v>
      </c>
      <c r="D40" s="61">
        <v>388949563.89999998</v>
      </c>
      <c r="E40" s="61">
        <v>11902254257.01</v>
      </c>
      <c r="F40" s="61">
        <v>1650001127.8399999</v>
      </c>
      <c r="G40" s="61">
        <v>9267966891.75</v>
      </c>
      <c r="H40" s="61">
        <v>1613651063.48</v>
      </c>
      <c r="I40" s="61">
        <v>6387605727.3500004</v>
      </c>
      <c r="J40" s="61">
        <v>7271568500.6099997</v>
      </c>
      <c r="K40" s="61">
        <v>0</v>
      </c>
      <c r="L40" s="61">
        <v>9495693487.9899998</v>
      </c>
      <c r="M40" s="61">
        <v>2543411841</v>
      </c>
      <c r="N40" s="61">
        <v>4602496793.25</v>
      </c>
      <c r="O40" s="61">
        <v>6106229297.8100004</v>
      </c>
      <c r="P40" s="61">
        <v>387887477.01999998</v>
      </c>
      <c r="Q40" s="61">
        <v>3872065452.0999999</v>
      </c>
      <c r="R40" s="61">
        <v>3380707372.6999998</v>
      </c>
      <c r="S40" s="61">
        <v>4091278937.6599998</v>
      </c>
      <c r="T40" s="61">
        <v>4473810462.0100002</v>
      </c>
      <c r="U40" s="61">
        <v>1643930024.47</v>
      </c>
      <c r="V40" s="61">
        <v>1979464582.1099999</v>
      </c>
      <c r="W40" s="61">
        <v>3998034580</v>
      </c>
      <c r="X40" s="61">
        <v>6535388220.8599997</v>
      </c>
      <c r="Y40" s="61">
        <v>1465857873.5</v>
      </c>
      <c r="Z40" s="61">
        <v>0</v>
      </c>
      <c r="AA40" s="61">
        <v>2726680231.1599998</v>
      </c>
      <c r="AB40" s="61">
        <v>3402815601.96</v>
      </c>
      <c r="AC40" s="61">
        <v>2089641528.74</v>
      </c>
      <c r="AD40" s="61">
        <v>3951557473.79</v>
      </c>
      <c r="AE40" s="61">
        <v>4945339964.8900003</v>
      </c>
      <c r="AF40" s="61">
        <v>3351595209.0500002</v>
      </c>
      <c r="AG40" s="61">
        <v>3193392229.4699998</v>
      </c>
      <c r="AH40" s="61">
        <v>3936523838.29</v>
      </c>
      <c r="AI40" s="61">
        <v>0</v>
      </c>
      <c r="AJ40" s="61">
        <v>0</v>
      </c>
      <c r="AK40" s="61">
        <v>3998030680</v>
      </c>
      <c r="AL40" s="61">
        <v>4242546596.25</v>
      </c>
      <c r="AM40" s="61">
        <v>2942752137.52</v>
      </c>
      <c r="AN40" s="61">
        <v>428396371.25999999</v>
      </c>
      <c r="AO40" s="61">
        <v>35125250.579999998</v>
      </c>
      <c r="AP40" s="61">
        <v>4050696661.5</v>
      </c>
      <c r="AQ40" s="61">
        <v>3666527747.0500002</v>
      </c>
      <c r="AR40" s="61">
        <v>7179141314.7200003</v>
      </c>
      <c r="AS40" s="61">
        <v>1082032635.75</v>
      </c>
      <c r="AT40" s="61">
        <v>1059435571.2</v>
      </c>
      <c r="AU40" s="61">
        <v>4398450219.4200001</v>
      </c>
      <c r="AV40" s="61">
        <v>3513336391.6900001</v>
      </c>
      <c r="AW40" s="61">
        <v>9229202717.2299995</v>
      </c>
      <c r="AX40" s="61">
        <v>399846636</v>
      </c>
      <c r="AY40" s="61">
        <v>1499190930</v>
      </c>
      <c r="AZ40" s="61">
        <v>3997409280</v>
      </c>
      <c r="BA40" s="61">
        <v>2996858720</v>
      </c>
      <c r="BB40" s="61">
        <v>3154491331.1399999</v>
      </c>
      <c r="BC40" s="61">
        <v>0</v>
      </c>
      <c r="BD40" s="61">
        <v>1070461486.99</v>
      </c>
      <c r="BE40" s="61">
        <v>2610747205.0100002</v>
      </c>
      <c r="BF40" s="61">
        <v>26641971162.959999</v>
      </c>
      <c r="BG40" s="61">
        <v>2419523476.4499998</v>
      </c>
      <c r="BH40" s="61">
        <v>0</v>
      </c>
      <c r="BI40" s="61">
        <v>1561121103.0599999</v>
      </c>
      <c r="BJ40" s="61">
        <v>5752568761.5100002</v>
      </c>
      <c r="BK40" s="61">
        <v>4830524103.5799999</v>
      </c>
      <c r="BL40" s="61">
        <v>4540965768.0200005</v>
      </c>
      <c r="BM40" s="61">
        <v>61830681.840000004</v>
      </c>
      <c r="BN40" s="61">
        <v>2168612560.6599998</v>
      </c>
      <c r="BO40" s="61">
        <v>8734449022.0699997</v>
      </c>
      <c r="BP40" s="61">
        <v>5894238773.29</v>
      </c>
      <c r="BQ40" s="61">
        <v>199361498</v>
      </c>
      <c r="BR40" s="61">
        <v>0</v>
      </c>
      <c r="BS40" s="61">
        <v>6097092628.2200003</v>
      </c>
      <c r="BT40" s="61">
        <v>1111157987.0599999</v>
      </c>
      <c r="BU40" s="61">
        <v>2634178929.8600001</v>
      </c>
      <c r="BV40" s="61">
        <v>9737399093.5799999</v>
      </c>
      <c r="BW40" s="61">
        <v>3509221946.9400001</v>
      </c>
      <c r="BX40" s="61">
        <v>1842937003.5899999</v>
      </c>
      <c r="BY40" s="61">
        <v>2498566585</v>
      </c>
      <c r="BZ40" s="61">
        <v>0</v>
      </c>
      <c r="CA40" s="61">
        <v>2497453820</v>
      </c>
      <c r="CB40" s="61">
        <v>4242193343.5999999</v>
      </c>
      <c r="CC40" s="61">
        <v>5872906231.8000002</v>
      </c>
      <c r="CD40" s="61">
        <v>0</v>
      </c>
      <c r="CE40" s="61">
        <v>2878901489.0900002</v>
      </c>
      <c r="CF40" s="61">
        <v>4159515856.9400001</v>
      </c>
      <c r="CG40" s="61">
        <v>2160103480.9000001</v>
      </c>
      <c r="CH40" s="61">
        <v>3857144575.6199999</v>
      </c>
      <c r="CI40" s="61">
        <v>899553177</v>
      </c>
      <c r="CJ40" s="61">
        <v>7567835584.3299999</v>
      </c>
      <c r="CK40" s="61">
        <v>4717743142.4799995</v>
      </c>
      <c r="CL40" s="61">
        <v>0</v>
      </c>
      <c r="CM40" s="61">
        <v>598161594</v>
      </c>
      <c r="CN40" s="61">
        <v>5948797848.8400002</v>
      </c>
      <c r="CO40" s="61">
        <v>2746378686.46</v>
      </c>
      <c r="CP40" s="61">
        <v>3141043379.1300001</v>
      </c>
      <c r="CQ40" s="61">
        <v>0</v>
      </c>
      <c r="CR40" s="61">
        <v>876671365.26999998</v>
      </c>
      <c r="CS40" s="61">
        <v>7257967794.29</v>
      </c>
      <c r="CT40" s="61">
        <v>0</v>
      </c>
      <c r="CU40" s="61">
        <v>3316318894.0799999</v>
      </c>
      <c r="CV40" s="61">
        <v>0</v>
      </c>
      <c r="CW40" s="61">
        <v>1306435070.9200001</v>
      </c>
      <c r="CX40" s="61">
        <v>3655284468.9200001</v>
      </c>
      <c r="CY40" s="61">
        <v>3313820697.0599999</v>
      </c>
      <c r="CZ40" s="61">
        <v>1960427412.4100001</v>
      </c>
      <c r="DA40" s="61">
        <v>2080024588.95</v>
      </c>
      <c r="DB40" s="61">
        <v>1526193397.5999999</v>
      </c>
      <c r="DC40" s="61">
        <v>2911627466.0300002</v>
      </c>
      <c r="DD40" s="61">
        <v>1510598685.49</v>
      </c>
      <c r="DE40" s="61">
        <v>3395514031.6999998</v>
      </c>
      <c r="DF40" s="61">
        <v>0</v>
      </c>
      <c r="DG40" s="61">
        <v>1211316661.05</v>
      </c>
      <c r="DH40" s="61">
        <v>1999096100</v>
      </c>
      <c r="DI40" s="61">
        <v>3756158366.1999998</v>
      </c>
      <c r="DJ40" s="61">
        <v>3941648020.52</v>
      </c>
      <c r="DK40" s="61">
        <f>0+SUMIFS([2]Main!$AH$1:$AH$502,[2]Main!$Q$1:$Q$502,"=SCBSFF",[2]Main!$S$1:$S$502,"="&amp;[2]SCBSFF!DK$5,[2]Main!$AI$1:$AI$502,"=Bahtnet",[2]Main!$T$1:$T$502,"=B")</f>
        <v>0</v>
      </c>
      <c r="DL40" s="61">
        <v>2268249789.5</v>
      </c>
      <c r="DM40" s="61">
        <v>2434238175.3499999</v>
      </c>
      <c r="DN40" s="61">
        <v>3844003987.9000001</v>
      </c>
      <c r="DO40" s="61">
        <v>3692811969.29</v>
      </c>
      <c r="DP40" s="61">
        <v>421227960.60000002</v>
      </c>
      <c r="DQ40" s="61">
        <v>1512456645.22</v>
      </c>
      <c r="DR40" s="61">
        <v>2159041229.4200001</v>
      </c>
      <c r="DS40" s="61">
        <v>4202278345.5599999</v>
      </c>
      <c r="DT40" s="61">
        <v>934298821</v>
      </c>
      <c r="DU40" s="61">
        <v>447632084.48000002</v>
      </c>
      <c r="DV40" s="61">
        <v>4649910405.5</v>
      </c>
      <c r="DW40" s="61">
        <v>1848768813.3199999</v>
      </c>
      <c r="DX40" s="61">
        <v>2623277859.8299999</v>
      </c>
      <c r="DY40" s="61">
        <v>5409185012.9099998</v>
      </c>
      <c r="DZ40" s="61">
        <v>5531137762.0299997</v>
      </c>
      <c r="EA40" s="61">
        <v>0</v>
      </c>
      <c r="EB40" s="61">
        <v>4308494447.9399996</v>
      </c>
      <c r="EC40" s="61">
        <v>757627485.20000005</v>
      </c>
      <c r="ED40" s="61">
        <v>0</v>
      </c>
      <c r="EE40" s="61">
        <v>3198642805.3699999</v>
      </c>
      <c r="EF40" s="61">
        <v>0</v>
      </c>
      <c r="EG40" s="61">
        <v>6366199640.8199997</v>
      </c>
      <c r="EH40" s="61">
        <v>0</v>
      </c>
      <c r="EI40" s="61">
        <v>299175261</v>
      </c>
      <c r="EJ40" s="61">
        <v>1499354940</v>
      </c>
      <c r="EK40" s="61">
        <v>5455565591.3199997</v>
      </c>
      <c r="EL40" s="61">
        <v>997128270</v>
      </c>
      <c r="EM40" s="61">
        <v>3995816635</v>
      </c>
      <c r="EN40" s="61">
        <v>3886249558.8400002</v>
      </c>
      <c r="EO40" s="61">
        <v>2506448125</v>
      </c>
      <c r="EP40" s="61">
        <v>4512407407.6099997</v>
      </c>
      <c r="EQ40" s="61">
        <v>1634772434.72</v>
      </c>
      <c r="ER40" s="61">
        <v>1889084956.5</v>
      </c>
      <c r="ES40" s="61">
        <v>3696388633</v>
      </c>
      <c r="ET40" s="61">
        <v>0</v>
      </c>
      <c r="EU40" s="61">
        <v>2680396167.6999998</v>
      </c>
      <c r="EV40" s="61">
        <v>499317434.44</v>
      </c>
      <c r="EW40" s="61">
        <v>5507772769.21</v>
      </c>
      <c r="EX40" s="61">
        <v>1639363779.4000001</v>
      </c>
      <c r="EY40" s="61">
        <v>3643733984.0599999</v>
      </c>
      <c r="EZ40" s="61">
        <v>1249219662.5</v>
      </c>
      <c r="FA40" s="61">
        <v>9971715.8000000007</v>
      </c>
      <c r="FB40" s="61">
        <v>3998258185.3299999</v>
      </c>
      <c r="FC40" s="61">
        <v>1999191592.8599999</v>
      </c>
      <c r="FD40" s="61">
        <v>2791638710.75</v>
      </c>
      <c r="FE40" s="61">
        <v>3697470124.8000002</v>
      </c>
      <c r="FF40" s="61">
        <v>0</v>
      </c>
      <c r="FG40" s="61">
        <v>4226182396.2399998</v>
      </c>
      <c r="FH40" s="61">
        <v>2297055243</v>
      </c>
      <c r="FI40" s="61">
        <v>902380291.89999998</v>
      </c>
      <c r="FJ40" s="61">
        <v>3291006006</v>
      </c>
      <c r="FK40" s="61">
        <v>0</v>
      </c>
      <c r="FL40" s="61">
        <v>3178956003.7800002</v>
      </c>
      <c r="FM40" s="61">
        <v>2315126577.1999998</v>
      </c>
      <c r="FN40" s="61">
        <v>5493947120</v>
      </c>
      <c r="FO40" s="61">
        <f>2492433140+SUMIFS([2]Main!$AH$1:$AH$502,[2]Main!$Q$1:$Q$502,"=SCBSFF",[2]Main!$S$1:$S$502,"="&amp;[2]SCBSFF!FO$5,[2]Main!$AI$1:$AI$502,"=Bahtnet",[2]Main!$T$1:$T$502,"=B")</f>
        <v>2492433140</v>
      </c>
      <c r="FP40" s="61">
        <f>0+SUMIFS([2]Main!$AH$1:$AH$502,[2]Main!$Q$1:$Q$502,"=SCBSFF",[2]Main!$S$1:$S$502,"="&amp;[2]SCBSFF!FP$5,[2]Main!$AI$1:$AI$502,"=Bahtnet",[2]Main!$T$1:$T$502,"=B")</f>
        <v>0</v>
      </c>
      <c r="FQ40" s="61">
        <v>0</v>
      </c>
      <c r="FR40" s="61">
        <v>1627019605.24</v>
      </c>
      <c r="FS40" s="61">
        <v>1279182125.49</v>
      </c>
      <c r="FT40" s="61">
        <v>886634874.58000004</v>
      </c>
      <c r="FU40" s="61">
        <v>65853674.439999998</v>
      </c>
      <c r="FV40" s="61">
        <v>6188929541.8500004</v>
      </c>
      <c r="FW40" s="61">
        <v>1466359216.0699999</v>
      </c>
      <c r="FX40" s="61">
        <v>3890032632.7600002</v>
      </c>
      <c r="FY40" s="61">
        <v>0</v>
      </c>
      <c r="FZ40" s="61">
        <v>0</v>
      </c>
      <c r="GA40" s="61">
        <v>2498919680</v>
      </c>
      <c r="GB40" s="61">
        <v>1499398410</v>
      </c>
      <c r="GC40" s="61">
        <v>3988100340.7800002</v>
      </c>
      <c r="GD40" s="61">
        <v>758233150.82000005</v>
      </c>
      <c r="GE40" s="61">
        <v>119874771.59999999</v>
      </c>
      <c r="GF40" s="61">
        <v>4630106955.5600004</v>
      </c>
      <c r="GG40" s="61">
        <v>698298685</v>
      </c>
      <c r="GH40" s="61">
        <v>4485887687.3100004</v>
      </c>
      <c r="GI40" s="61">
        <v>0</v>
      </c>
      <c r="GJ40" s="61">
        <v>1338707374.4000001</v>
      </c>
      <c r="GK40" s="61">
        <v>906196755.85000002</v>
      </c>
      <c r="GL40" s="61">
        <v>4819515820.4799995</v>
      </c>
      <c r="GM40" s="61">
        <v>5885672778.5600004</v>
      </c>
      <c r="GN40" s="61">
        <v>0</v>
      </c>
      <c r="GO40" s="61">
        <v>2160216922.7399998</v>
      </c>
      <c r="GP40" s="61">
        <v>2199880444.7399998</v>
      </c>
      <c r="GQ40" s="61">
        <v>2981940703.3200002</v>
      </c>
      <c r="GR40" s="61">
        <v>1994312440</v>
      </c>
      <c r="GS40" s="61">
        <v>1999160134.45</v>
      </c>
      <c r="GT40" s="61">
        <v>4047584275</v>
      </c>
      <c r="GU40" s="61">
        <v>2958907420.9200001</v>
      </c>
      <c r="GV40" s="61">
        <v>2216405340.0900002</v>
      </c>
      <c r="GW40" s="61">
        <v>7017119814.9300003</v>
      </c>
      <c r="GX40" s="61">
        <v>304929825.60000002</v>
      </c>
      <c r="GY40" s="61">
        <v>3054705703.21</v>
      </c>
      <c r="GZ40" s="61">
        <v>0</v>
      </c>
      <c r="HA40" s="61">
        <v>0</v>
      </c>
      <c r="HB40" s="61">
        <v>2299190279</v>
      </c>
      <c r="HC40" s="61">
        <v>2263105879.3200002</v>
      </c>
      <c r="HD40" s="61">
        <v>1994852752.6400001</v>
      </c>
      <c r="HE40" s="61">
        <v>1994913780</v>
      </c>
      <c r="HF40" s="61">
        <v>0</v>
      </c>
      <c r="HG40" s="61">
        <v>9362658464.4899998</v>
      </c>
      <c r="HH40" s="61">
        <v>1499394142.5</v>
      </c>
      <c r="HI40" s="61">
        <v>2990372530</v>
      </c>
      <c r="HJ40" s="61">
        <v>1956730290.4300001</v>
      </c>
      <c r="HK40" s="61">
        <v>0</v>
      </c>
      <c r="HL40" s="61">
        <v>0</v>
      </c>
      <c r="HM40" s="61">
        <v>369674218.25</v>
      </c>
      <c r="HN40" s="61">
        <v>4905941590.0100002</v>
      </c>
      <c r="HO40" s="61">
        <v>0</v>
      </c>
      <c r="HP40" s="61">
        <v>0</v>
      </c>
      <c r="HQ40" s="61">
        <v>4951323628.2700005</v>
      </c>
      <c r="HR40" s="61">
        <v>845426716.86000001</v>
      </c>
      <c r="HS40" s="61">
        <v>1161911312.4100001</v>
      </c>
      <c r="HT40" s="61">
        <v>3709082939.5</v>
      </c>
      <c r="HU40" s="61">
        <v>309829720.10000002</v>
      </c>
      <c r="HV40" s="61">
        <v>3998330995</v>
      </c>
      <c r="HW40" s="61">
        <v>999612860</v>
      </c>
      <c r="HX40" s="61">
        <v>2492408051.8000002</v>
      </c>
      <c r="HY40" s="61">
        <v>3697737676</v>
      </c>
      <c r="HZ40" s="61">
        <v>999590580</v>
      </c>
      <c r="IA40" s="61">
        <v>3475906999.0300002</v>
      </c>
      <c r="IB40" s="61">
        <f>718381508.2+SUMIFS([2]Main!$AH$1:$AH$502,[2]Main!$Q$1:$Q$502,"=SCBSFF",[2]Main!$S$1:$S$502,"="&amp;[2]SCBSFF!IB$5,[2]Main!$AI$1:$AI$502,"=Bahtnet",[2]Main!$T$1:$T$502,"=B")</f>
        <v>718381508.20000005</v>
      </c>
      <c r="IC40" s="61">
        <v>0</v>
      </c>
      <c r="ID40" s="61">
        <v>2948577873.6399999</v>
      </c>
      <c r="IE40" s="61">
        <v>1993304324</v>
      </c>
      <c r="IF40" s="61">
        <v>3491954571.9499998</v>
      </c>
      <c r="IG40" s="61">
        <v>40209695.200000003</v>
      </c>
      <c r="IH40" s="61">
        <v>0</v>
      </c>
      <c r="II40" s="61">
        <v>3110430135.5</v>
      </c>
      <c r="IJ40" s="61">
        <v>1994400520</v>
      </c>
      <c r="IK40" s="61">
        <v>498601036.44</v>
      </c>
      <c r="IL40" s="61">
        <v>0</v>
      </c>
      <c r="IM40" s="61">
        <v>3597995084.0500002</v>
      </c>
      <c r="IN40" s="61">
        <v>1998441880</v>
      </c>
      <c r="IO40" s="61">
        <v>4775884569.6999998</v>
      </c>
      <c r="IP40" s="61">
        <v>0</v>
      </c>
      <c r="IQ40" s="61">
        <v>2198934191.8099999</v>
      </c>
      <c r="IR40" s="61">
        <v>1204493724.28</v>
      </c>
      <c r="IS40" s="61">
        <v>4992247697.9899998</v>
      </c>
      <c r="IT40" s="61">
        <v>3004530154.4099998</v>
      </c>
      <c r="IU40" s="61">
        <v>0</v>
      </c>
      <c r="IV40" s="61">
        <v>1729341863.8</v>
      </c>
      <c r="IW40" s="61">
        <v>567085920.94000006</v>
      </c>
      <c r="IX40" s="61">
        <v>3024538567.8600001</v>
      </c>
      <c r="IY40" s="61">
        <v>3141239458.5</v>
      </c>
      <c r="IZ40" s="61">
        <v>0</v>
      </c>
      <c r="JA40" s="61">
        <v>0</v>
      </c>
      <c r="JB40" s="61">
        <v>999595210</v>
      </c>
      <c r="JC40" s="61">
        <v>2991133729.6599998</v>
      </c>
      <c r="JD40" s="61">
        <v>1616586559.8</v>
      </c>
      <c r="JE40" s="61">
        <v>0</v>
      </c>
      <c r="JF40" s="61">
        <v>0</v>
      </c>
      <c r="JG40" s="61">
        <v>1997424446.28</v>
      </c>
      <c r="JH40" s="61">
        <v>4355160078.6000004</v>
      </c>
      <c r="JI40" s="61">
        <v>0</v>
      </c>
      <c r="JJ40" s="61">
        <v>123886084.31999999</v>
      </c>
      <c r="JK40" s="61">
        <v>1164497423.4300001</v>
      </c>
      <c r="JL40" s="61">
        <v>3834223818.1900001</v>
      </c>
      <c r="JM40" s="61">
        <v>4532940894.6599998</v>
      </c>
      <c r="JN40" s="61">
        <v>1994369320</v>
      </c>
      <c r="JO40" s="61">
        <v>0</v>
      </c>
      <c r="JP40" s="61">
        <v>3899359030.98</v>
      </c>
      <c r="JQ40" s="61">
        <v>2527772460.6900001</v>
      </c>
      <c r="JR40" s="61">
        <v>3988515429.2800002</v>
      </c>
      <c r="JS40" s="61">
        <v>2000000000</v>
      </c>
      <c r="JT40" s="61">
        <v>0</v>
      </c>
      <c r="JU40" s="61">
        <v>1999122598.75</v>
      </c>
      <c r="JV40" s="61">
        <v>0</v>
      </c>
      <c r="JW40" s="61">
        <v>2960618576.0999999</v>
      </c>
      <c r="JX40" s="61">
        <v>1213875662.54</v>
      </c>
      <c r="JY40" s="61">
        <v>59934327</v>
      </c>
      <c r="JZ40" s="61">
        <v>2398852610.96</v>
      </c>
      <c r="KA40" s="61">
        <v>0</v>
      </c>
      <c r="KB40" s="61">
        <v>2992125434.0100002</v>
      </c>
      <c r="KC40" s="61">
        <v>1994921640</v>
      </c>
      <c r="KD40" s="61">
        <v>1999212090.3800001</v>
      </c>
      <c r="KE40" s="61">
        <v>499598735</v>
      </c>
      <c r="KF40" s="61">
        <v>2992970669.4899998</v>
      </c>
      <c r="KG40" s="61">
        <v>997356320</v>
      </c>
      <c r="KH40" s="61">
        <v>436521560.19</v>
      </c>
      <c r="KI40" s="61">
        <v>1749304855.55</v>
      </c>
      <c r="KJ40" s="61">
        <v>2501776831.5</v>
      </c>
      <c r="KK40" s="61">
        <v>499104075</v>
      </c>
      <c r="KL40" s="61">
        <v>2992174430</v>
      </c>
      <c r="KM40" s="61">
        <v>991457170</v>
      </c>
      <c r="KN40" s="61">
        <v>1999213335</v>
      </c>
      <c r="KO40" s="61">
        <v>0</v>
      </c>
      <c r="KP40" s="61">
        <v>0</v>
      </c>
      <c r="KQ40" s="61">
        <v>1994742080</v>
      </c>
      <c r="KR40" s="61">
        <v>0</v>
      </c>
      <c r="KS40" s="61">
        <v>3498611095</v>
      </c>
      <c r="KT40" s="61">
        <v>238912356.31</v>
      </c>
      <c r="KU40" s="61">
        <v>1910936978.5999999</v>
      </c>
      <c r="KV40" s="61">
        <v>0</v>
      </c>
      <c r="KW40" s="61">
        <v>499025465</v>
      </c>
      <c r="KX40" s="61">
        <v>199871534</v>
      </c>
      <c r="KY40" s="61">
        <v>152774157.94999999</v>
      </c>
      <c r="KZ40" s="61">
        <v>5829506659.21</v>
      </c>
      <c r="LA40" s="61">
        <v>0</v>
      </c>
      <c r="LB40" s="61">
        <v>3033804973.5500002</v>
      </c>
      <c r="LC40" s="61">
        <v>0</v>
      </c>
      <c r="LD40" s="61">
        <v>1994576572.4000001</v>
      </c>
      <c r="LE40" s="61">
        <v>2951705847.75</v>
      </c>
      <c r="LF40" s="61">
        <v>0</v>
      </c>
      <c r="LG40" s="61">
        <v>2991767016.54</v>
      </c>
      <c r="LH40" s="61">
        <v>0</v>
      </c>
      <c r="LI40" s="61">
        <v>3774395392.0999999</v>
      </c>
      <c r="LJ40" s="61">
        <v>1999147586.95</v>
      </c>
      <c r="LK40" s="61">
        <v>2492627352.4899998</v>
      </c>
      <c r="LL40" s="61">
        <v>3129590056.3899999</v>
      </c>
      <c r="LM40" s="61">
        <v>4001312261.02</v>
      </c>
      <c r="LN40" s="61">
        <v>498545505</v>
      </c>
      <c r="LO40" s="61">
        <v>999588090</v>
      </c>
      <c r="LP40" s="61">
        <v>1849150860.9000001</v>
      </c>
      <c r="LQ40" s="61">
        <v>998682910.77999997</v>
      </c>
      <c r="LR40" s="61">
        <v>0</v>
      </c>
      <c r="LS40" s="61">
        <v>2523833619.02</v>
      </c>
      <c r="LT40" s="61">
        <v>0</v>
      </c>
      <c r="LU40" s="61">
        <v>7235495197.1499996</v>
      </c>
      <c r="LV40" s="61">
        <v>0</v>
      </c>
      <c r="LW40" s="61">
        <v>0</v>
      </c>
      <c r="LX40" s="61">
        <v>0</v>
      </c>
      <c r="LY40" s="61">
        <v>999529210</v>
      </c>
      <c r="LZ40" s="61">
        <v>3159798224.3400002</v>
      </c>
      <c r="MA40" s="61">
        <v>3000000000</v>
      </c>
      <c r="MB40" s="61">
        <v>1169056785.4000001</v>
      </c>
      <c r="MC40" s="61">
        <v>2933902307.9400001</v>
      </c>
      <c r="MD40" s="61">
        <v>1145717584.4000001</v>
      </c>
      <c r="ME40" s="61">
        <v>3308543289.73</v>
      </c>
      <c r="MF40" s="61">
        <v>996505950</v>
      </c>
      <c r="MG40" s="61">
        <v>58993551.299999997</v>
      </c>
      <c r="MH40" s="61">
        <v>65811595.840000004</v>
      </c>
      <c r="MI40" s="61">
        <v>6777665273.4300003</v>
      </c>
      <c r="MJ40" s="61">
        <v>9867638.5</v>
      </c>
      <c r="MK40" s="61">
        <v>445792089</v>
      </c>
      <c r="ML40" s="61">
        <v>1599054090</v>
      </c>
      <c r="MM40" s="61">
        <v>999541830</v>
      </c>
      <c r="MN40" s="61">
        <v>1626659670.75</v>
      </c>
      <c r="MO40" s="61">
        <v>602043371.66999996</v>
      </c>
      <c r="MP40" s="61">
        <v>0</v>
      </c>
      <c r="MQ40" s="61">
        <v>3465357822.3499999</v>
      </c>
      <c r="MR40" s="61">
        <v>0</v>
      </c>
      <c r="MS40" s="61">
        <v>649150945.98000002</v>
      </c>
      <c r="MT40" s="61">
        <v>3490189220</v>
      </c>
      <c r="MU40" s="61">
        <v>0</v>
      </c>
      <c r="MV40" s="61">
        <v>1046583989.08</v>
      </c>
      <c r="MW40" s="61">
        <v>1499447265</v>
      </c>
      <c r="MX40" s="61">
        <v>2023879513.7</v>
      </c>
      <c r="MY40" s="61">
        <v>0</v>
      </c>
      <c r="MZ40" s="61">
        <v>0</v>
      </c>
      <c r="NA40" s="61">
        <v>1499325671.8499999</v>
      </c>
      <c r="NB40" s="61">
        <v>1499374120</v>
      </c>
      <c r="NC40" s="61">
        <v>4059919081.3600001</v>
      </c>
      <c r="ND40" s="61">
        <v>348543347.38</v>
      </c>
      <c r="NE40" s="61">
        <v>0</v>
      </c>
      <c r="NF40" s="61">
        <v>2336699220.7600002</v>
      </c>
      <c r="NG40" s="61">
        <v>289602366.47000003</v>
      </c>
      <c r="NH40" s="61">
        <v>3987390005</v>
      </c>
      <c r="NI40" s="61">
        <v>1217887544.23</v>
      </c>
      <c r="NJ40" s="61">
        <v>0</v>
      </c>
      <c r="NK40" s="61">
        <v>1999103372.71</v>
      </c>
      <c r="NL40" s="61">
        <v>495970916.38999999</v>
      </c>
      <c r="NM40" s="61">
        <v>3494333074.4499998</v>
      </c>
      <c r="NN40" s="61">
        <v>0</v>
      </c>
      <c r="NO40" s="61">
        <v>0</v>
      </c>
      <c r="NP40" s="61">
        <v>0</v>
      </c>
      <c r="NQ40" s="61">
        <v>198852336.02000001</v>
      </c>
      <c r="NR40" s="61">
        <v>1993176143.02</v>
      </c>
      <c r="NS40" s="61">
        <v>612735937.99000001</v>
      </c>
      <c r="NT40" s="61">
        <v>0</v>
      </c>
      <c r="NU40" s="61">
        <v>1906930300.1500001</v>
      </c>
      <c r="NV40" s="61">
        <v>2512251426.5799999</v>
      </c>
      <c r="NW40" s="61">
        <v>4176498405.9400001</v>
      </c>
      <c r="NX40" s="61">
        <v>2302941263.7600002</v>
      </c>
      <c r="NY40" s="61">
        <v>953085892.10000002</v>
      </c>
      <c r="NZ40" s="61">
        <v>3488709416.73</v>
      </c>
      <c r="OA40" s="61">
        <v>0</v>
      </c>
      <c r="OB40" s="61">
        <v>0</v>
      </c>
      <c r="OC40" s="61">
        <v>1499319922.5799999</v>
      </c>
      <c r="OD40" s="61">
        <v>1196788020</v>
      </c>
      <c r="OE40" s="61">
        <v>4485923563.5799999</v>
      </c>
      <c r="OF40" s="61">
        <v>102006958</v>
      </c>
      <c r="OG40" s="61">
        <v>1499334524.03</v>
      </c>
      <c r="OH40" s="61">
        <v>0</v>
      </c>
      <c r="OI40" s="61">
        <v>3191350942.5700002</v>
      </c>
      <c r="OJ40" s="61">
        <v>0</v>
      </c>
      <c r="OK40" s="61">
        <v>999388050</v>
      </c>
      <c r="OL40" s="61">
        <v>999548592.67999995</v>
      </c>
      <c r="OM40" s="61">
        <v>0</v>
      </c>
      <c r="ON40" s="61">
        <v>3987252078.1799998</v>
      </c>
      <c r="OO40" s="61">
        <v>149932848</v>
      </c>
      <c r="OP40" s="61">
        <v>0</v>
      </c>
      <c r="OQ40" s="61">
        <v>499777433.30000001</v>
      </c>
      <c r="OR40" s="61">
        <v>997143800</v>
      </c>
      <c r="OS40" s="61">
        <v>2990730944.1399999</v>
      </c>
      <c r="OT40" s="61">
        <v>1458981944.5999999</v>
      </c>
      <c r="OU40" s="61">
        <v>0</v>
      </c>
      <c r="OV40" s="61">
        <v>1016554189.58</v>
      </c>
      <c r="OW40" s="61">
        <v>375982723.83999997</v>
      </c>
      <c r="OX40" s="61">
        <v>3986655357.7199998</v>
      </c>
      <c r="OY40" s="61">
        <v>1538670594.05</v>
      </c>
      <c r="OZ40" s="61">
        <v>527946550.31999999</v>
      </c>
      <c r="PA40" s="61">
        <v>3498590582.2399998</v>
      </c>
      <c r="PB40" s="61">
        <v>485868260.69999999</v>
      </c>
      <c r="PC40" s="61">
        <v>7441128322.6400003</v>
      </c>
      <c r="PD40" s="61">
        <v>0</v>
      </c>
      <c r="PE40" s="61">
        <v>0</v>
      </c>
      <c r="PF40" s="61">
        <v>0</v>
      </c>
      <c r="PG40" s="61">
        <v>0</v>
      </c>
      <c r="PH40" s="61">
        <v>2688811517.3200002</v>
      </c>
      <c r="PI40" s="61">
        <v>1597656429.1700001</v>
      </c>
      <c r="PJ40" s="61">
        <v>551579638.33000004</v>
      </c>
      <c r="PK40" s="61">
        <v>1806136929.99</v>
      </c>
      <c r="PL40" s="61">
        <v>2672153411.71</v>
      </c>
      <c r="PM40" s="61">
        <v>0</v>
      </c>
      <c r="PN40" s="61">
        <v>0</v>
      </c>
      <c r="PO40" s="61">
        <v>0</v>
      </c>
      <c r="PP40" s="61">
        <v>244886892.05000001</v>
      </c>
      <c r="PQ40" s="61">
        <f>0+SUMIFS([2]Main!$AH$1:$AH$502,[2]Main!$Q$1:$Q$502,"=SCBSFF",[2]Main!$S$1:$S$502,"="&amp;[2]SCBSFF!PQ$5,[2]Main!$AI$1:$AI$502,"=Bahtnet",[2]Main!$T$1:$T$502,"=B")</f>
        <v>0</v>
      </c>
      <c r="PR40" s="61">
        <f>0+SUMIFS([2]Main!$AH$1:$AH$502,[2]Main!$Q$1:$Q$502,"=SCBSFF",[2]Main!$S$1:$S$502,"="&amp;[2]SCBSFF!PR$5,[2]Main!$AI$1:$AI$502,"=Bahtnet",[2]Main!$T$1:$T$502,"=B")</f>
        <v>1992795900</v>
      </c>
      <c r="PS40" s="61">
        <f>0+SUMIFS([2]Main!$AH$1:$AH$502,[2]Main!$Q$1:$Q$502,"=SCBSFF",[2]Main!$S$1:$S$502,"="&amp;[2]SCBSFF!PS$5,[2]Main!$AI$1:$AI$502,"=Bahtnet",[2]Main!$T$1:$T$502,"=B")</f>
        <v>996437400</v>
      </c>
      <c r="PT40" s="61">
        <f>0+SUMIFS([2]Main!$AH$1:$AH$502,[2]Main!$Q$1:$Q$502,"=SCBSFF",[2]Main!$S$1:$S$502,"="&amp;[2]SCBSFF!PT$5,[2]Main!$AI$1:$AI$502,"=Bahtnet",[2]Main!$T$1:$T$502,"=B")</f>
        <v>0</v>
      </c>
      <c r="PU40" s="61">
        <f>0+SUMIFS([2]Main!$AH$1:$AH$502,[2]Main!$Q$1:$Q$502,"=SCBSFF",[2]Main!$S$1:$S$502,"="&amp;[2]SCBSFF!PU$5,[2]Main!$AI$1:$AI$502,"=Bahtnet",[2]Main!$T$1:$T$502,"=B")</f>
        <v>0</v>
      </c>
      <c r="PV40" s="61">
        <f>0+SUMIFS([2]Main!$AH$1:$AH$502,[2]Main!$Q$1:$Q$502,"=SCBSFF",[2]Main!$S$1:$S$502,"="&amp;[2]SCBSFF!PV$5,[2]Main!$AI$1:$AI$502,"=Bahtnet",[2]Main!$T$1:$T$502,"=B")</f>
        <v>0</v>
      </c>
      <c r="PW40" s="61">
        <f>0+SUMIFS([2]Main!$AH$1:$AH$502,[2]Main!$Q$1:$Q$502,"=SCBSFF",[2]Main!$S$1:$S$502,"="&amp;[2]SCBSFF!PW$5,[2]Main!$AI$1:$AI$502,"=Bahtnet",[2]Main!$T$1:$T$502,"=B")</f>
        <v>0</v>
      </c>
      <c r="PX40" s="61">
        <f>0+SUMIFS([2]Main!$AH$1:$AH$502,[2]Main!$Q$1:$Q$502,"=SCBSFF",[2]Main!$S$1:$S$502,"="&amp;[2]SCBSFF!PX$5,[2]Main!$AI$1:$AI$502,"=Bahtnet",[2]Main!$T$1:$T$502,"=B")</f>
        <v>0</v>
      </c>
      <c r="PY40" s="61"/>
      <c r="PZ40" s="61"/>
      <c r="QA40" s="61"/>
      <c r="QB40" s="61"/>
      <c r="QC40" s="61"/>
      <c r="QD40" s="61"/>
      <c r="QE40" s="61"/>
      <c r="QF40" s="61"/>
      <c r="QG40" s="61"/>
      <c r="QH40" s="61"/>
      <c r="QI40" s="61"/>
      <c r="QJ40" s="61"/>
      <c r="QK40" s="61"/>
      <c r="QL40" s="61"/>
      <c r="QM40" s="61"/>
      <c r="QN40" s="61"/>
      <c r="QO40" s="61"/>
      <c r="QP40" s="61"/>
      <c r="QQ40" s="61"/>
      <c r="QR40" s="61"/>
      <c r="QS40" s="61"/>
      <c r="QT40" s="61"/>
      <c r="QU40" s="61"/>
      <c r="QV40" s="61"/>
      <c r="QW40" s="61"/>
      <c r="QX40" s="61"/>
      <c r="QY40" s="61"/>
      <c r="QZ40" s="61"/>
      <c r="RA40" s="61"/>
      <c r="RB40" s="61"/>
      <c r="RC40" s="61"/>
      <c r="RD40" s="61"/>
      <c r="RE40" s="61"/>
      <c r="RF40" s="61"/>
      <c r="RG40" s="61"/>
      <c r="RH40" s="61"/>
      <c r="RI40" s="61"/>
      <c r="RJ40" s="61"/>
      <c r="RK40" s="61"/>
      <c r="RL40" s="61"/>
      <c r="RM40" s="61"/>
      <c r="RN40" s="61"/>
      <c r="RO40" s="61"/>
      <c r="RP40" s="61"/>
      <c r="RQ40" s="61"/>
      <c r="RR40" s="61"/>
      <c r="RS40" s="61"/>
      <c r="RT40" s="61"/>
      <c r="RU40" s="61"/>
      <c r="RV40" s="61"/>
      <c r="RW40" s="61"/>
      <c r="RX40" s="61"/>
      <c r="RY40" s="61"/>
      <c r="RZ40" s="61"/>
      <c r="SA40" s="61"/>
    </row>
    <row r="41" spans="1:495" x14ac:dyDescent="0.2">
      <c r="A41" s="66" t="s">
        <v>1084</v>
      </c>
      <c r="B41" s="63">
        <v>0</v>
      </c>
      <c r="C41" s="63">
        <v>0</v>
      </c>
      <c r="D41" s="63">
        <v>0</v>
      </c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0</v>
      </c>
      <c r="Q41" s="63">
        <v>0</v>
      </c>
      <c r="R41" s="63">
        <v>0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</v>
      </c>
      <c r="Y41" s="63">
        <v>0</v>
      </c>
      <c r="Z41" s="63">
        <v>0</v>
      </c>
      <c r="AA41" s="63">
        <v>0</v>
      </c>
      <c r="AB41" s="63">
        <v>0</v>
      </c>
      <c r="AC41" s="63">
        <v>236882168.95000005</v>
      </c>
      <c r="AD41" s="63">
        <v>0</v>
      </c>
      <c r="AE41" s="63">
        <v>0</v>
      </c>
      <c r="AF41" s="63">
        <v>0</v>
      </c>
      <c r="AG41" s="63">
        <v>0</v>
      </c>
      <c r="AH41" s="63">
        <v>0</v>
      </c>
      <c r="AI41" s="63">
        <v>0</v>
      </c>
      <c r="AJ41" s="63">
        <v>0</v>
      </c>
      <c r="AK41" s="63">
        <v>95486224.349999905</v>
      </c>
      <c r="AL41" s="63">
        <v>0</v>
      </c>
      <c r="AM41" s="63">
        <v>0</v>
      </c>
      <c r="AN41" s="63">
        <v>0</v>
      </c>
      <c r="AO41" s="63">
        <v>0</v>
      </c>
      <c r="AP41" s="63">
        <v>0</v>
      </c>
      <c r="AQ41" s="63">
        <v>0</v>
      </c>
      <c r="AR41" s="63">
        <v>0</v>
      </c>
      <c r="AS41" s="63">
        <v>0</v>
      </c>
      <c r="AT41" s="63">
        <v>0</v>
      </c>
      <c r="AU41" s="63">
        <v>0</v>
      </c>
      <c r="AV41" s="63">
        <v>0</v>
      </c>
      <c r="AW41" s="63">
        <v>0</v>
      </c>
      <c r="AX41" s="63">
        <v>0</v>
      </c>
      <c r="AY41" s="63">
        <v>0</v>
      </c>
      <c r="AZ41" s="63">
        <v>0</v>
      </c>
      <c r="BA41" s="63">
        <v>0</v>
      </c>
      <c r="BB41" s="63">
        <v>0</v>
      </c>
      <c r="BC41" s="63">
        <v>0</v>
      </c>
      <c r="BD41" s="63">
        <v>0</v>
      </c>
      <c r="BE41" s="63">
        <v>0</v>
      </c>
      <c r="BF41" s="63">
        <v>0</v>
      </c>
      <c r="BG41" s="63">
        <v>0</v>
      </c>
      <c r="BH41" s="63">
        <v>0</v>
      </c>
      <c r="BI41" s="63">
        <v>0</v>
      </c>
      <c r="BJ41" s="63">
        <v>0</v>
      </c>
      <c r="BK41" s="63">
        <v>0</v>
      </c>
      <c r="BL41" s="63">
        <v>0</v>
      </c>
      <c r="BM41" s="63">
        <v>0</v>
      </c>
      <c r="BN41" s="63">
        <v>0</v>
      </c>
      <c r="BO41" s="63">
        <v>0</v>
      </c>
      <c r="BP41" s="63">
        <v>0</v>
      </c>
      <c r="BQ41" s="63">
        <v>0</v>
      </c>
      <c r="BR41" s="63">
        <v>0</v>
      </c>
      <c r="BS41" s="63">
        <v>0</v>
      </c>
      <c r="BT41" s="63">
        <v>0</v>
      </c>
      <c r="BU41" s="63">
        <v>0</v>
      </c>
      <c r="BV41" s="63">
        <v>0</v>
      </c>
      <c r="BW41" s="63">
        <v>0</v>
      </c>
      <c r="BX41" s="63">
        <v>0</v>
      </c>
      <c r="BY41" s="63">
        <v>0</v>
      </c>
      <c r="BZ41" s="63">
        <v>0</v>
      </c>
      <c r="CA41" s="63">
        <v>0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699831718.56000042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f>0+SUMIFS([2]Main!$AH$1:$AH$502,[2]Main!$Q$1:$Q$502,"=SCBSFF",[2]Main!$S$1:$S$502,"="&amp;[2]SCBSFF!DK$5,[2]Main!$AI$1:$AI$502,"=Cheque",[2]Main!$T$1:$T$502,"=B")</f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22978412.889999866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105203620.11999989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  <c r="FD41" s="63">
        <v>0</v>
      </c>
      <c r="FE41" s="63">
        <v>0</v>
      </c>
      <c r="FF41" s="63">
        <v>0</v>
      </c>
      <c r="FG41" s="63">
        <v>0</v>
      </c>
      <c r="FH41" s="63">
        <v>0</v>
      </c>
      <c r="FI41" s="63">
        <v>0</v>
      </c>
      <c r="FJ41" s="63">
        <v>0</v>
      </c>
      <c r="FK41" s="63">
        <v>0</v>
      </c>
      <c r="FL41" s="63">
        <v>0</v>
      </c>
      <c r="FM41" s="63">
        <v>0</v>
      </c>
      <c r="FN41" s="63">
        <v>0</v>
      </c>
      <c r="FO41" s="63">
        <f>0+SUMIFS([2]Main!$AH$1:$AH$502,[2]Main!$Q$1:$Q$502,"=SCBSFF",[2]Main!$S$1:$S$502,"="&amp;[2]SCBSFF!FO$5,[2]Main!$AI$1:$AI$502,"=Cheque",[2]Main!$T$1:$T$502,"=B")</f>
        <v>0</v>
      </c>
      <c r="FP41" s="63">
        <f>0+SUMIFS([2]Main!$AH$1:$AH$502,[2]Main!$Q$1:$Q$502,"=SCBSFF",[2]Main!$S$1:$S$502,"="&amp;[2]SCBSFF!FP$5,[2]Main!$AI$1:$AI$502,"=Cheque",[2]Main!$T$1:$T$502,"=B")</f>
        <v>0</v>
      </c>
      <c r="FQ41" s="63">
        <v>0</v>
      </c>
      <c r="FR41" s="63">
        <v>0</v>
      </c>
      <c r="FS41" s="63">
        <v>0</v>
      </c>
      <c r="FT41" s="63">
        <v>0</v>
      </c>
      <c r="FU41" s="63">
        <v>0</v>
      </c>
      <c r="FV41" s="63">
        <v>0</v>
      </c>
      <c r="FW41" s="63">
        <v>0</v>
      </c>
      <c r="FX41" s="63">
        <v>0</v>
      </c>
      <c r="FY41" s="63">
        <v>0</v>
      </c>
      <c r="FZ41" s="63">
        <v>0</v>
      </c>
      <c r="GA41" s="63">
        <v>0</v>
      </c>
      <c r="GB41" s="63">
        <v>0</v>
      </c>
      <c r="GC41" s="63">
        <v>0</v>
      </c>
      <c r="GD41" s="63">
        <v>0</v>
      </c>
      <c r="GE41" s="63">
        <v>0</v>
      </c>
      <c r="GF41" s="63">
        <v>0</v>
      </c>
      <c r="GG41" s="63">
        <v>0</v>
      </c>
      <c r="GH41" s="63">
        <v>0</v>
      </c>
      <c r="GI41" s="63">
        <v>0</v>
      </c>
      <c r="GJ41" s="63">
        <v>0</v>
      </c>
      <c r="GK41" s="63">
        <v>0</v>
      </c>
      <c r="GL41" s="63">
        <v>0</v>
      </c>
      <c r="GM41" s="63">
        <v>0</v>
      </c>
      <c r="GN41" s="63">
        <v>0</v>
      </c>
      <c r="GO41" s="63">
        <v>0</v>
      </c>
      <c r="GP41" s="63">
        <v>0</v>
      </c>
      <c r="GQ41" s="63">
        <v>0</v>
      </c>
      <c r="GR41" s="63">
        <v>0</v>
      </c>
      <c r="GS41" s="63">
        <v>0</v>
      </c>
      <c r="GT41" s="63">
        <v>0</v>
      </c>
      <c r="GU41" s="63">
        <v>0</v>
      </c>
      <c r="GV41" s="63">
        <v>0</v>
      </c>
      <c r="GW41" s="63">
        <v>0</v>
      </c>
      <c r="GX41" s="63">
        <v>0</v>
      </c>
      <c r="GY41" s="63">
        <v>0</v>
      </c>
      <c r="GZ41" s="63">
        <v>0</v>
      </c>
      <c r="HA41" s="63">
        <v>0</v>
      </c>
      <c r="HB41" s="63">
        <v>0</v>
      </c>
      <c r="HC41" s="63">
        <v>0</v>
      </c>
      <c r="HD41" s="63">
        <v>0</v>
      </c>
      <c r="HE41" s="63">
        <v>0</v>
      </c>
      <c r="HF41" s="63">
        <v>0</v>
      </c>
      <c r="HG41" s="63">
        <v>0</v>
      </c>
      <c r="HH41" s="63">
        <v>0</v>
      </c>
      <c r="HI41" s="63">
        <v>0</v>
      </c>
      <c r="HJ41" s="63">
        <v>0</v>
      </c>
      <c r="HK41" s="63">
        <v>0</v>
      </c>
      <c r="HL41" s="63">
        <v>0</v>
      </c>
      <c r="HM41" s="63">
        <v>1999000685.8800001</v>
      </c>
      <c r="HN41" s="63">
        <v>1824293912.6199999</v>
      </c>
      <c r="HO41" s="63">
        <v>0</v>
      </c>
      <c r="HP41" s="63">
        <v>0</v>
      </c>
      <c r="HQ41" s="63">
        <v>124846866.25</v>
      </c>
      <c r="HR41" s="63">
        <v>0</v>
      </c>
      <c r="HS41" s="63">
        <v>0</v>
      </c>
      <c r="HT41" s="63">
        <v>0</v>
      </c>
      <c r="HU41" s="63">
        <v>0</v>
      </c>
      <c r="HV41" s="63">
        <v>0</v>
      </c>
      <c r="HW41" s="63">
        <v>0</v>
      </c>
      <c r="HX41" s="63">
        <v>0</v>
      </c>
      <c r="HY41" s="63">
        <v>0</v>
      </c>
      <c r="HZ41" s="63">
        <v>0</v>
      </c>
      <c r="IA41" s="63">
        <v>0</v>
      </c>
      <c r="IB41" s="63">
        <f>0+SUMIFS([2]Main!$AH$1:$AH$502,[2]Main!$Q$1:$Q$502,"=SCBSFF",[2]Main!$S$1:$S$502,"="&amp;[2]SCBSFF!IB$5,[2]Main!$AI$1:$AI$502,"=Cheque",[2]Main!$T$1:$T$502,"=B")</f>
        <v>0</v>
      </c>
      <c r="IC41" s="63">
        <v>0</v>
      </c>
      <c r="ID41" s="63">
        <v>0</v>
      </c>
      <c r="IE41" s="63">
        <v>0</v>
      </c>
      <c r="IF41" s="63">
        <v>0</v>
      </c>
      <c r="IG41" s="63">
        <v>0</v>
      </c>
      <c r="IH41" s="63">
        <v>0</v>
      </c>
      <c r="II41" s="63">
        <v>0</v>
      </c>
      <c r="IJ41" s="63">
        <v>0</v>
      </c>
      <c r="IK41" s="63">
        <v>0</v>
      </c>
      <c r="IL41" s="63">
        <v>0</v>
      </c>
      <c r="IM41" s="63">
        <v>0</v>
      </c>
      <c r="IN41" s="63">
        <v>209790783.30000019</v>
      </c>
      <c r="IO41" s="63">
        <v>0</v>
      </c>
      <c r="IP41" s="63">
        <v>0</v>
      </c>
      <c r="IQ41" s="63">
        <v>0</v>
      </c>
      <c r="IR41" s="63">
        <v>0</v>
      </c>
      <c r="IS41" s="63">
        <v>0</v>
      </c>
      <c r="IT41" s="63">
        <v>0</v>
      </c>
      <c r="IU41" s="63">
        <v>0</v>
      </c>
      <c r="IV41" s="63">
        <v>0</v>
      </c>
      <c r="IW41" s="63">
        <v>0</v>
      </c>
      <c r="IX41" s="63">
        <v>0</v>
      </c>
      <c r="IY41" s="63">
        <v>0</v>
      </c>
      <c r="IZ41" s="63">
        <v>0</v>
      </c>
      <c r="JA41" s="63">
        <v>0</v>
      </c>
      <c r="JB41" s="63">
        <v>0</v>
      </c>
      <c r="JC41" s="63">
        <v>0</v>
      </c>
      <c r="JD41" s="63">
        <v>0</v>
      </c>
      <c r="JE41" s="63">
        <v>0</v>
      </c>
      <c r="JF41" s="63">
        <v>0</v>
      </c>
      <c r="JG41" s="63">
        <v>0</v>
      </c>
      <c r="JH41" s="63">
        <v>0</v>
      </c>
      <c r="JI41" s="63">
        <v>0</v>
      </c>
      <c r="JJ41" s="63">
        <v>0</v>
      </c>
      <c r="JK41" s="63">
        <v>0</v>
      </c>
      <c r="JL41" s="63">
        <v>0</v>
      </c>
      <c r="JM41" s="63">
        <v>0</v>
      </c>
      <c r="JN41" s="63">
        <v>0</v>
      </c>
      <c r="JO41" s="63">
        <v>0</v>
      </c>
      <c r="JP41" s="63">
        <v>0</v>
      </c>
      <c r="JQ41" s="63">
        <v>0</v>
      </c>
      <c r="JR41" s="63">
        <v>0</v>
      </c>
      <c r="JS41" s="63">
        <v>0</v>
      </c>
      <c r="JT41" s="63">
        <v>0</v>
      </c>
      <c r="JU41" s="63">
        <v>0</v>
      </c>
      <c r="JV41" s="63">
        <v>0</v>
      </c>
      <c r="JW41" s="63">
        <v>0</v>
      </c>
      <c r="JX41" s="63">
        <v>0</v>
      </c>
      <c r="JY41" s="63">
        <v>0</v>
      </c>
      <c r="JZ41" s="63">
        <v>0</v>
      </c>
      <c r="KA41" s="63">
        <v>0</v>
      </c>
      <c r="KB41" s="63">
        <v>0</v>
      </c>
      <c r="KC41" s="63">
        <v>0</v>
      </c>
      <c r="KD41" s="63">
        <v>0</v>
      </c>
      <c r="KE41" s="63">
        <v>0</v>
      </c>
      <c r="KF41" s="63">
        <v>0</v>
      </c>
      <c r="KG41" s="63">
        <v>0</v>
      </c>
      <c r="KH41" s="63">
        <v>0</v>
      </c>
      <c r="KI41" s="63">
        <v>0</v>
      </c>
      <c r="KJ41" s="63">
        <v>0</v>
      </c>
      <c r="KK41" s="63">
        <v>0</v>
      </c>
      <c r="KL41" s="63">
        <v>0</v>
      </c>
      <c r="KM41" s="63">
        <v>0</v>
      </c>
      <c r="KN41" s="63">
        <v>0</v>
      </c>
      <c r="KO41" s="63">
        <v>0</v>
      </c>
      <c r="KP41" s="63">
        <v>997351547.27999997</v>
      </c>
      <c r="KQ41" s="63">
        <v>0</v>
      </c>
      <c r="KR41" s="63">
        <v>0</v>
      </c>
      <c r="KS41" s="63">
        <v>0</v>
      </c>
      <c r="KT41" s="63">
        <v>0</v>
      </c>
      <c r="KU41" s="63">
        <v>0</v>
      </c>
      <c r="KV41" s="63">
        <v>0</v>
      </c>
      <c r="KW41" s="63">
        <v>0</v>
      </c>
      <c r="KX41" s="63">
        <v>0</v>
      </c>
      <c r="KY41" s="63">
        <v>0</v>
      </c>
      <c r="KZ41" s="63">
        <v>0</v>
      </c>
      <c r="LA41" s="63">
        <v>0</v>
      </c>
      <c r="LB41" s="63">
        <v>0</v>
      </c>
      <c r="LC41" s="63">
        <v>0</v>
      </c>
      <c r="LD41" s="63">
        <v>0</v>
      </c>
      <c r="LE41" s="63">
        <v>0</v>
      </c>
      <c r="LF41" s="63">
        <v>0</v>
      </c>
      <c r="LG41" s="63">
        <v>0</v>
      </c>
      <c r="LH41" s="63">
        <v>0</v>
      </c>
      <c r="LI41" s="63">
        <v>0</v>
      </c>
      <c r="LJ41" s="63">
        <v>0</v>
      </c>
      <c r="LK41" s="63">
        <v>0</v>
      </c>
      <c r="LL41" s="63">
        <v>0</v>
      </c>
      <c r="LM41" s="63">
        <v>0</v>
      </c>
      <c r="LN41" s="63">
        <v>0</v>
      </c>
      <c r="LO41" s="63">
        <v>0</v>
      </c>
      <c r="LP41" s="63">
        <v>0</v>
      </c>
      <c r="LQ41" s="63">
        <v>0</v>
      </c>
      <c r="LR41" s="63">
        <v>0</v>
      </c>
      <c r="LS41" s="63">
        <v>0</v>
      </c>
      <c r="LT41" s="63">
        <v>0</v>
      </c>
      <c r="LU41" s="63">
        <v>0</v>
      </c>
      <c r="LV41" s="63">
        <v>0</v>
      </c>
      <c r="LW41" s="63">
        <v>0</v>
      </c>
      <c r="LX41" s="63">
        <v>0</v>
      </c>
      <c r="LY41" s="63">
        <v>0</v>
      </c>
      <c r="LZ41" s="63">
        <v>0</v>
      </c>
      <c r="MA41" s="63">
        <v>0</v>
      </c>
      <c r="MB41" s="63">
        <v>0</v>
      </c>
      <c r="MC41" s="63">
        <v>0</v>
      </c>
      <c r="MD41" s="63">
        <v>0</v>
      </c>
      <c r="ME41" s="63">
        <v>0</v>
      </c>
      <c r="MF41" s="63">
        <v>0</v>
      </c>
      <c r="MG41" s="63">
        <v>0</v>
      </c>
      <c r="MH41" s="63">
        <v>0</v>
      </c>
      <c r="MI41" s="63">
        <v>0</v>
      </c>
      <c r="MJ41" s="63">
        <v>0</v>
      </c>
      <c r="MK41" s="63">
        <v>0</v>
      </c>
      <c r="ML41" s="63">
        <v>0</v>
      </c>
      <c r="MM41" s="63">
        <v>0</v>
      </c>
      <c r="MN41" s="63">
        <v>0</v>
      </c>
      <c r="MO41" s="63">
        <v>0</v>
      </c>
      <c r="MP41" s="63">
        <v>0</v>
      </c>
      <c r="MQ41" s="63">
        <v>0</v>
      </c>
      <c r="MR41" s="63">
        <v>0</v>
      </c>
      <c r="MS41" s="63">
        <v>0</v>
      </c>
      <c r="MT41" s="63">
        <v>0</v>
      </c>
      <c r="MU41" s="63">
        <v>0</v>
      </c>
      <c r="MV41" s="63">
        <v>0</v>
      </c>
      <c r="MW41" s="63">
        <v>0</v>
      </c>
      <c r="MX41" s="63">
        <v>0</v>
      </c>
      <c r="MY41" s="63">
        <v>0</v>
      </c>
      <c r="MZ41" s="63">
        <v>0</v>
      </c>
      <c r="NA41" s="63">
        <v>0</v>
      </c>
      <c r="NB41" s="63">
        <v>0</v>
      </c>
      <c r="NC41" s="63">
        <v>0</v>
      </c>
      <c r="ND41" s="63">
        <v>0</v>
      </c>
      <c r="NE41" s="63">
        <v>0</v>
      </c>
      <c r="NF41" s="63">
        <v>0</v>
      </c>
      <c r="NG41" s="63">
        <v>0</v>
      </c>
      <c r="NH41" s="63">
        <v>0</v>
      </c>
      <c r="NI41" s="63">
        <v>0</v>
      </c>
      <c r="NJ41" s="63">
        <v>0</v>
      </c>
      <c r="NK41" s="63">
        <v>0</v>
      </c>
      <c r="NL41" s="63">
        <v>0</v>
      </c>
      <c r="NM41" s="63">
        <v>0</v>
      </c>
      <c r="NN41" s="63">
        <v>0</v>
      </c>
      <c r="NO41" s="63">
        <v>0</v>
      </c>
      <c r="NP41" s="63">
        <v>0</v>
      </c>
      <c r="NQ41" s="63">
        <v>0</v>
      </c>
      <c r="NR41" s="63">
        <v>0</v>
      </c>
      <c r="NS41" s="63">
        <v>0</v>
      </c>
      <c r="NT41" s="63">
        <v>0</v>
      </c>
      <c r="NU41" s="63">
        <v>0</v>
      </c>
      <c r="NV41" s="63">
        <v>0</v>
      </c>
      <c r="NW41" s="63">
        <v>0</v>
      </c>
      <c r="NX41" s="63">
        <v>0</v>
      </c>
      <c r="NY41" s="63">
        <v>0</v>
      </c>
      <c r="NZ41" s="63">
        <v>0</v>
      </c>
      <c r="OA41" s="63">
        <v>0</v>
      </c>
      <c r="OB41" s="63">
        <v>0</v>
      </c>
      <c r="OC41" s="63">
        <v>0</v>
      </c>
      <c r="OD41" s="63">
        <v>0</v>
      </c>
      <c r="OE41" s="63">
        <v>0</v>
      </c>
      <c r="OF41" s="63">
        <v>0</v>
      </c>
      <c r="OG41" s="63">
        <v>0</v>
      </c>
      <c r="OH41" s="63">
        <v>0</v>
      </c>
      <c r="OI41" s="63">
        <v>0</v>
      </c>
      <c r="OJ41" s="63">
        <v>0</v>
      </c>
      <c r="OK41" s="63">
        <v>0</v>
      </c>
      <c r="OL41" s="63">
        <v>0</v>
      </c>
      <c r="OM41" s="63">
        <v>0</v>
      </c>
      <c r="ON41" s="63">
        <v>0</v>
      </c>
      <c r="OO41" s="63">
        <v>0</v>
      </c>
      <c r="OP41" s="63">
        <v>0</v>
      </c>
      <c r="OQ41" s="63">
        <v>0</v>
      </c>
      <c r="OR41" s="63">
        <v>0</v>
      </c>
      <c r="OS41" s="63">
        <v>0</v>
      </c>
      <c r="OT41" s="63">
        <v>0</v>
      </c>
      <c r="OU41" s="63">
        <v>0</v>
      </c>
      <c r="OV41" s="63">
        <v>0</v>
      </c>
      <c r="OW41" s="63">
        <v>0</v>
      </c>
      <c r="OX41" s="63">
        <v>0</v>
      </c>
      <c r="OY41" s="63">
        <v>0</v>
      </c>
      <c r="OZ41" s="63">
        <v>0</v>
      </c>
      <c r="PA41" s="63">
        <v>0</v>
      </c>
      <c r="PB41" s="63">
        <v>0</v>
      </c>
      <c r="PC41" s="63">
        <v>0</v>
      </c>
      <c r="PD41" s="63">
        <v>0</v>
      </c>
      <c r="PE41" s="63">
        <v>0</v>
      </c>
      <c r="PF41" s="63">
        <v>0</v>
      </c>
      <c r="PG41" s="63">
        <v>0</v>
      </c>
      <c r="PH41" s="63">
        <v>0</v>
      </c>
      <c r="PI41" s="63">
        <v>0</v>
      </c>
      <c r="PJ41" s="63">
        <v>0</v>
      </c>
      <c r="PK41" s="63">
        <v>0</v>
      </c>
      <c r="PL41" s="63">
        <v>0</v>
      </c>
      <c r="PM41" s="63">
        <v>0</v>
      </c>
      <c r="PN41" s="63">
        <v>0</v>
      </c>
      <c r="PO41" s="63">
        <v>0</v>
      </c>
      <c r="PP41" s="63">
        <v>0</v>
      </c>
      <c r="PQ41" s="63">
        <f>0+SUMIFS([2]Main!$AH$1:$AH$502,[2]Main!$Q$1:$Q$502,"=SCBSFF",[2]Main!$S$1:$S$502,"="&amp;[2]SCBSFF!PQ$5,[2]Main!$AI$1:$AI$502,"=Cheque",[2]Main!$T$1:$T$502,"=B")</f>
        <v>0</v>
      </c>
      <c r="PR41" s="63">
        <f>0+SUMIFS([2]Main!$AH$1:$AH$502,[2]Main!$Q$1:$Q$502,"=SCBSFF",[2]Main!$S$1:$S$502,"="&amp;[2]SCBSFF!PR$5,[2]Main!$AI$1:$AI$502,"=Cheque",[2]Main!$T$1:$T$502,"=B")</f>
        <v>0</v>
      </c>
      <c r="PS41" s="63">
        <f>0+SUMIFS([2]Main!$AH$1:$AH$502,[2]Main!$Q$1:$Q$502,"=SCBSFF",[2]Main!$S$1:$S$502,"="&amp;[2]SCBSFF!PS$5,[2]Main!$AI$1:$AI$502,"=Cheque",[2]Main!$T$1:$T$502,"=B")</f>
        <v>0</v>
      </c>
      <c r="PT41" s="63">
        <f>0+SUMIFS([2]Main!$AH$1:$AH$502,[2]Main!$Q$1:$Q$502,"=SCBSFF",[2]Main!$S$1:$S$502,"="&amp;[2]SCBSFF!PT$5,[2]Main!$AI$1:$AI$502,"=Cheque",[2]Main!$T$1:$T$502,"=B")</f>
        <v>0</v>
      </c>
      <c r="PU41" s="63">
        <f>0+SUMIFS([2]Main!$AH$1:$AH$502,[2]Main!$Q$1:$Q$502,"=SCBSFF",[2]Main!$S$1:$S$502,"="&amp;[2]SCBSFF!PU$5,[2]Main!$AI$1:$AI$502,"=Cheque",[2]Main!$T$1:$T$502,"=B")</f>
        <v>0</v>
      </c>
      <c r="PV41" s="63">
        <f>0+SUMIFS([2]Main!$AH$1:$AH$502,[2]Main!$Q$1:$Q$502,"=SCBSFF",[2]Main!$S$1:$S$502,"="&amp;[2]SCBSFF!PV$5,[2]Main!$AI$1:$AI$502,"=Cheque",[2]Main!$T$1:$T$502,"=B")</f>
        <v>0</v>
      </c>
      <c r="PW41" s="63">
        <f>0+SUMIFS([2]Main!$AH$1:$AH$502,[2]Main!$Q$1:$Q$502,"=SCBSFF",[2]Main!$S$1:$S$502,"="&amp;[2]SCBSFF!PW$5,[2]Main!$AI$1:$AI$502,"=Cheque",[2]Main!$T$1:$T$502,"=B")</f>
        <v>0</v>
      </c>
      <c r="PX41" s="63">
        <f>0+SUMIFS([2]Main!$AH$1:$AH$502,[2]Main!$Q$1:$Q$502,"=SCBSFF",[2]Main!$S$1:$S$502,"="&amp;[2]SCBSFF!PX$5,[2]Main!$AI$1:$AI$502,"=Cheque",[2]Main!$T$1:$T$502,"=B")</f>
        <v>0</v>
      </c>
      <c r="PY41" s="63"/>
      <c r="PZ41" s="63"/>
      <c r="QA41" s="63"/>
      <c r="QB41" s="63"/>
      <c r="QC41" s="63"/>
      <c r="QD41" s="63"/>
      <c r="QE41" s="63"/>
      <c r="QF41" s="63"/>
      <c r="QG41" s="63"/>
      <c r="QH41" s="63"/>
      <c r="QI41" s="63"/>
      <c r="QJ41" s="63"/>
      <c r="QK41" s="63"/>
      <c r="QL41" s="63"/>
      <c r="QM41" s="63"/>
      <c r="QN41" s="63"/>
      <c r="QO41" s="63"/>
      <c r="QP41" s="63"/>
      <c r="QQ41" s="63"/>
      <c r="QR41" s="63"/>
      <c r="QS41" s="63"/>
      <c r="QT41" s="63"/>
      <c r="QU41" s="63"/>
      <c r="QV41" s="63"/>
      <c r="QW41" s="63"/>
      <c r="QX41" s="63"/>
      <c r="QY41" s="63"/>
      <c r="QZ41" s="63"/>
      <c r="RA41" s="63"/>
      <c r="RB41" s="63"/>
      <c r="RC41" s="63"/>
      <c r="RD41" s="63"/>
      <c r="RE41" s="63"/>
      <c r="RF41" s="63"/>
      <c r="RG41" s="63"/>
      <c r="RH41" s="63"/>
      <c r="RI41" s="63"/>
      <c r="RJ41" s="63"/>
      <c r="RK41" s="63"/>
      <c r="RL41" s="63"/>
      <c r="RM41" s="63"/>
      <c r="RN41" s="63"/>
      <c r="RO41" s="63"/>
      <c r="RP41" s="63"/>
      <c r="RQ41" s="63"/>
      <c r="RR41" s="63"/>
      <c r="RS41" s="63"/>
      <c r="RT41" s="63"/>
      <c r="RU41" s="63"/>
      <c r="RV41" s="63"/>
      <c r="RW41" s="63"/>
      <c r="RX41" s="63"/>
      <c r="RY41" s="63"/>
      <c r="RZ41" s="63"/>
      <c r="SA41" s="63"/>
    </row>
    <row r="42" spans="1:495" x14ac:dyDescent="0.2">
      <c r="A42" s="66" t="s">
        <v>1074</v>
      </c>
      <c r="B42" s="63">
        <v>0</v>
      </c>
      <c r="C42" s="63">
        <v>0</v>
      </c>
      <c r="D42" s="63">
        <v>0</v>
      </c>
      <c r="E42" s="63">
        <v>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0</v>
      </c>
      <c r="Q42" s="63">
        <v>0</v>
      </c>
      <c r="R42" s="63">
        <v>0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</v>
      </c>
      <c r="Y42" s="63">
        <v>0</v>
      </c>
      <c r="Z42" s="63">
        <v>0</v>
      </c>
      <c r="AA42" s="63">
        <v>0</v>
      </c>
      <c r="AB42" s="63">
        <v>0</v>
      </c>
      <c r="AC42" s="63">
        <v>0</v>
      </c>
      <c r="AD42" s="63">
        <v>0</v>
      </c>
      <c r="AE42" s="63">
        <v>0</v>
      </c>
      <c r="AF42" s="63">
        <v>0</v>
      </c>
      <c r="AG42" s="63">
        <v>0</v>
      </c>
      <c r="AH42" s="63">
        <v>0</v>
      </c>
      <c r="AI42" s="63">
        <v>0</v>
      </c>
      <c r="AJ42" s="63">
        <v>0</v>
      </c>
      <c r="AK42" s="63">
        <v>0</v>
      </c>
      <c r="AL42" s="63">
        <v>0</v>
      </c>
      <c r="AM42" s="63">
        <v>3486000000.0599999</v>
      </c>
      <c r="AN42" s="63">
        <v>0</v>
      </c>
      <c r="AO42" s="63">
        <v>0</v>
      </c>
      <c r="AP42" s="63">
        <v>0</v>
      </c>
      <c r="AQ42" s="63">
        <v>500000000</v>
      </c>
      <c r="AR42" s="63">
        <v>0</v>
      </c>
      <c r="AS42" s="63">
        <v>0</v>
      </c>
      <c r="AT42" s="63">
        <v>2000000000</v>
      </c>
      <c r="AU42" s="63">
        <v>0</v>
      </c>
      <c r="AV42" s="63">
        <v>0</v>
      </c>
      <c r="AW42" s="63">
        <v>0</v>
      </c>
      <c r="AX42" s="63">
        <v>0</v>
      </c>
      <c r="AY42" s="63">
        <v>0</v>
      </c>
      <c r="AZ42" s="63">
        <v>0</v>
      </c>
      <c r="BA42" s="63">
        <v>3530000000</v>
      </c>
      <c r="BB42" s="63">
        <v>0</v>
      </c>
      <c r="BC42" s="63">
        <v>0</v>
      </c>
      <c r="BD42" s="63">
        <v>0</v>
      </c>
      <c r="BE42" s="63">
        <v>0</v>
      </c>
      <c r="BF42" s="63">
        <v>1726499999.98</v>
      </c>
      <c r="BG42" s="63">
        <v>0</v>
      </c>
      <c r="BH42" s="63">
        <v>0</v>
      </c>
      <c r="BI42" s="63">
        <v>1715500000</v>
      </c>
      <c r="BJ42" s="63">
        <v>0</v>
      </c>
      <c r="BK42" s="63">
        <v>0</v>
      </c>
      <c r="BL42" s="63">
        <v>3512000000</v>
      </c>
      <c r="BM42" s="63">
        <v>0</v>
      </c>
      <c r="BN42" s="63">
        <v>0</v>
      </c>
      <c r="BO42" s="63">
        <v>0</v>
      </c>
      <c r="BP42" s="63">
        <v>6757499999.9799995</v>
      </c>
      <c r="BQ42" s="63">
        <v>200000000</v>
      </c>
      <c r="BR42" s="63">
        <v>500000000</v>
      </c>
      <c r="BS42" s="63">
        <v>900000000</v>
      </c>
      <c r="BT42" s="63">
        <v>0</v>
      </c>
      <c r="BU42" s="63">
        <v>0</v>
      </c>
      <c r="BV42" s="63">
        <v>0</v>
      </c>
      <c r="BW42" s="63">
        <v>0</v>
      </c>
      <c r="BX42" s="63">
        <v>5438300000</v>
      </c>
      <c r="BY42" s="63">
        <v>0</v>
      </c>
      <c r="BZ42" s="63">
        <v>0</v>
      </c>
      <c r="CA42" s="63">
        <v>0</v>
      </c>
      <c r="CB42" s="63">
        <v>0</v>
      </c>
      <c r="CC42" s="63">
        <v>3437000000.0500002</v>
      </c>
      <c r="CD42" s="63">
        <v>0</v>
      </c>
      <c r="CE42" s="63">
        <v>0</v>
      </c>
      <c r="CF42" s="63">
        <v>0</v>
      </c>
      <c r="CG42" s="63">
        <v>0</v>
      </c>
      <c r="CH42" s="63">
        <v>0</v>
      </c>
      <c r="CI42" s="63">
        <v>0</v>
      </c>
      <c r="CJ42" s="63">
        <v>0</v>
      </c>
      <c r="CK42" s="63">
        <v>0</v>
      </c>
      <c r="CL42" s="63">
        <v>0</v>
      </c>
      <c r="CM42" s="63">
        <v>0</v>
      </c>
      <c r="CN42" s="63">
        <v>220500000</v>
      </c>
      <c r="CO42" s="63">
        <v>878000000</v>
      </c>
      <c r="CP42" s="63">
        <v>0</v>
      </c>
      <c r="CQ42" s="63">
        <v>0</v>
      </c>
      <c r="CR42" s="63">
        <v>0</v>
      </c>
      <c r="CS42" s="63">
        <v>0</v>
      </c>
      <c r="CT42" s="63">
        <v>0</v>
      </c>
      <c r="CU42" s="63">
        <v>1029599999.98</v>
      </c>
      <c r="CV42" s="63">
        <v>0</v>
      </c>
      <c r="CW42" s="63">
        <v>0</v>
      </c>
      <c r="CX42" s="63">
        <v>0</v>
      </c>
      <c r="CY42" s="63">
        <v>0</v>
      </c>
      <c r="CZ42" s="63">
        <v>1017600000.02</v>
      </c>
      <c r="DA42" s="63">
        <v>0</v>
      </c>
      <c r="DB42" s="63">
        <v>0</v>
      </c>
      <c r="DC42" s="63">
        <v>0</v>
      </c>
      <c r="DD42" s="63">
        <v>0</v>
      </c>
      <c r="DE42" s="63">
        <v>0</v>
      </c>
      <c r="DF42" s="63">
        <v>0</v>
      </c>
      <c r="DG42" s="63">
        <v>0</v>
      </c>
      <c r="DH42" s="63">
        <v>0</v>
      </c>
      <c r="DI42" s="63">
        <v>0</v>
      </c>
      <c r="DJ42" s="63">
        <f>IF(DJ12&gt;0,DJ12,0) + IF(DJ15&gt;0,DJ15,0) + IF(DJ18&gt;0,DJ18,0) + 0</f>
        <v>0</v>
      </c>
      <c r="DK42" s="63">
        <f>IF(DK12&gt;0,DK12,0) + IF(DK15&gt;0,DK15,0) + IF(DK18&gt;0,DK18,0) + 0</f>
        <v>0</v>
      </c>
      <c r="DL42" s="63">
        <v>0</v>
      </c>
      <c r="DM42" s="63">
        <v>0</v>
      </c>
      <c r="DN42" s="63">
        <v>0</v>
      </c>
      <c r="DO42" s="63">
        <v>0</v>
      </c>
      <c r="DP42" s="63">
        <v>2366699999.9699998</v>
      </c>
      <c r="DQ42" s="63">
        <v>0</v>
      </c>
      <c r="DR42" s="63">
        <v>0</v>
      </c>
      <c r="DS42" s="63">
        <v>0</v>
      </c>
      <c r="DT42" s="63">
        <v>0</v>
      </c>
      <c r="DU42" s="63">
        <v>0</v>
      </c>
      <c r="DV42" s="63">
        <v>0</v>
      </c>
      <c r="DW42" s="63">
        <v>0</v>
      </c>
      <c r="DX42" s="63">
        <v>0</v>
      </c>
      <c r="DY42" s="63">
        <v>0</v>
      </c>
      <c r="DZ42" s="63">
        <v>0</v>
      </c>
      <c r="EA42" s="63">
        <v>0</v>
      </c>
      <c r="EB42" s="63">
        <v>500000000</v>
      </c>
      <c r="EC42" s="63">
        <v>200000000</v>
      </c>
      <c r="ED42" s="63">
        <v>0</v>
      </c>
      <c r="EE42" s="63">
        <v>0</v>
      </c>
      <c r="EF42" s="63">
        <v>0</v>
      </c>
      <c r="EG42" s="63">
        <v>0</v>
      </c>
      <c r="EH42" s="63">
        <v>3363000000.0599999</v>
      </c>
      <c r="EI42" s="63">
        <v>0</v>
      </c>
      <c r="EJ42" s="63">
        <v>0</v>
      </c>
      <c r="EK42" s="63">
        <v>0</v>
      </c>
      <c r="EL42" s="63">
        <v>0</v>
      </c>
      <c r="EM42" s="63">
        <v>1000000000</v>
      </c>
      <c r="EN42" s="63">
        <v>0</v>
      </c>
      <c r="EO42" s="63">
        <v>0</v>
      </c>
      <c r="EP42" s="63">
        <v>0</v>
      </c>
      <c r="EQ42" s="63">
        <v>0</v>
      </c>
      <c r="ER42" s="63">
        <v>0</v>
      </c>
      <c r="ES42" s="63">
        <v>0</v>
      </c>
      <c r="ET42" s="63">
        <v>0</v>
      </c>
      <c r="EU42" s="63">
        <v>0</v>
      </c>
      <c r="EV42" s="63">
        <v>0</v>
      </c>
      <c r="EW42" s="63">
        <v>0</v>
      </c>
      <c r="EX42" s="63">
        <v>0</v>
      </c>
      <c r="EY42" s="63">
        <v>0</v>
      </c>
      <c r="EZ42" s="63">
        <v>0</v>
      </c>
      <c r="FA42" s="63">
        <v>0</v>
      </c>
      <c r="FB42" s="63">
        <v>0</v>
      </c>
      <c r="FC42" s="63">
        <v>0</v>
      </c>
      <c r="FD42" s="63">
        <v>0</v>
      </c>
      <c r="FE42" s="63">
        <v>0</v>
      </c>
      <c r="FF42" s="63">
        <v>0</v>
      </c>
      <c r="FG42" s="63">
        <v>0</v>
      </c>
      <c r="FH42" s="63">
        <v>0</v>
      </c>
      <c r="FI42" s="63">
        <v>663400000</v>
      </c>
      <c r="FJ42" s="63">
        <v>0</v>
      </c>
      <c r="FK42" s="63">
        <v>0</v>
      </c>
      <c r="FL42" s="63">
        <v>0</v>
      </c>
      <c r="FM42" s="63">
        <v>0</v>
      </c>
      <c r="FN42" s="63">
        <f>IF(FN12&gt;0,FN12,0) + IF(FN15&gt;0,FN15,0) + IF(FN18&gt;0,FN18,0) + 0</f>
        <v>0</v>
      </c>
      <c r="FO42" s="63">
        <f>IF(FO12&gt;0,FO12,0) + IF(FO15&gt;0,FO15,0) + IF(FO18&gt;0,FO18,0) + 0</f>
        <v>0</v>
      </c>
      <c r="FP42" s="63">
        <v>0</v>
      </c>
      <c r="FQ42" s="63">
        <v>0</v>
      </c>
      <c r="FR42" s="63">
        <v>0</v>
      </c>
      <c r="FS42" s="63">
        <v>0</v>
      </c>
      <c r="FT42" s="63">
        <v>1424160000</v>
      </c>
      <c r="FU42" s="63">
        <v>0</v>
      </c>
      <c r="FV42" s="63">
        <v>0</v>
      </c>
      <c r="FW42" s="63">
        <v>0</v>
      </c>
      <c r="FX42" s="63">
        <v>0</v>
      </c>
      <c r="FY42" s="63">
        <v>0</v>
      </c>
      <c r="FZ42" s="63">
        <v>0</v>
      </c>
      <c r="GA42" s="63">
        <v>0</v>
      </c>
      <c r="GB42" s="63">
        <v>0</v>
      </c>
      <c r="GC42" s="63">
        <v>0</v>
      </c>
      <c r="GD42" s="63">
        <v>1000000000</v>
      </c>
      <c r="GE42" s="63">
        <v>0</v>
      </c>
      <c r="GF42" s="63">
        <v>0</v>
      </c>
      <c r="GG42" s="63">
        <v>0</v>
      </c>
      <c r="GH42" s="63">
        <v>0</v>
      </c>
      <c r="GI42" s="63">
        <v>0</v>
      </c>
      <c r="GJ42" s="63">
        <v>0</v>
      </c>
      <c r="GK42" s="63">
        <v>0</v>
      </c>
      <c r="GL42" s="63">
        <v>1335599999.99</v>
      </c>
      <c r="GM42" s="63">
        <v>0</v>
      </c>
      <c r="GN42" s="63">
        <v>0</v>
      </c>
      <c r="GO42" s="63">
        <v>0</v>
      </c>
      <c r="GP42" s="63">
        <v>0</v>
      </c>
      <c r="GQ42" s="63">
        <v>1654000000.01</v>
      </c>
      <c r="GR42" s="63">
        <v>3115200000.0100002</v>
      </c>
      <c r="GS42" s="63">
        <v>0</v>
      </c>
      <c r="GT42" s="63">
        <v>0</v>
      </c>
      <c r="GU42" s="63">
        <v>0</v>
      </c>
      <c r="GV42" s="63">
        <v>0</v>
      </c>
      <c r="GW42" s="63">
        <v>1000000000</v>
      </c>
      <c r="GX42" s="63">
        <v>0</v>
      </c>
      <c r="GY42" s="63">
        <v>0</v>
      </c>
      <c r="GZ42" s="63">
        <v>3474000000.04</v>
      </c>
      <c r="HA42" s="63">
        <v>0</v>
      </c>
      <c r="HB42" s="63">
        <v>0</v>
      </c>
      <c r="HC42" s="63">
        <v>1158499999.98</v>
      </c>
      <c r="HD42" s="63">
        <v>0</v>
      </c>
      <c r="HE42" s="63">
        <v>0</v>
      </c>
      <c r="HF42" s="63">
        <v>0</v>
      </c>
      <c r="HG42" s="63">
        <v>0</v>
      </c>
      <c r="HH42" s="63">
        <v>0</v>
      </c>
      <c r="HI42" s="63">
        <v>0</v>
      </c>
      <c r="HJ42" s="63">
        <v>0</v>
      </c>
      <c r="HK42" s="63">
        <v>0</v>
      </c>
      <c r="HL42" s="63">
        <v>0</v>
      </c>
      <c r="HM42" s="63">
        <v>0</v>
      </c>
      <c r="HN42" s="63">
        <v>0</v>
      </c>
      <c r="HO42" s="63">
        <v>0</v>
      </c>
      <c r="HP42" s="63">
        <v>0</v>
      </c>
      <c r="HQ42" s="63">
        <v>0</v>
      </c>
      <c r="HR42" s="63">
        <v>0</v>
      </c>
      <c r="HS42" s="63">
        <v>2000000000</v>
      </c>
      <c r="HT42" s="63">
        <v>0</v>
      </c>
      <c r="HU42" s="63">
        <v>0</v>
      </c>
      <c r="HV42" s="63">
        <v>0</v>
      </c>
      <c r="HW42" s="63">
        <v>0</v>
      </c>
      <c r="HX42" s="63">
        <v>1000000000</v>
      </c>
      <c r="HY42" s="63">
        <v>0</v>
      </c>
      <c r="HZ42" s="63">
        <v>0</v>
      </c>
      <c r="IA42" s="63">
        <f>IF(IA12&gt;0,IA12,0) + IF(IA15&gt;0,IA15,0) + IF(IA18&gt;0,IA18,0) + 0</f>
        <v>0</v>
      </c>
      <c r="IB42" s="63">
        <f>IF(IB12&gt;0,IB12,0) + IF(IB15&gt;0,IB15,0) + IF(IB18&gt;0,IB18,0) + 0</f>
        <v>0</v>
      </c>
      <c r="IC42" s="63">
        <v>0</v>
      </c>
      <c r="ID42" s="63">
        <v>0</v>
      </c>
      <c r="IE42" s="63">
        <v>0</v>
      </c>
      <c r="IF42" s="63">
        <v>0</v>
      </c>
      <c r="IG42" s="63">
        <v>5000000000</v>
      </c>
      <c r="IH42" s="63">
        <v>0</v>
      </c>
      <c r="II42" s="63">
        <v>1500000000</v>
      </c>
      <c r="IJ42" s="63">
        <v>0</v>
      </c>
      <c r="IK42" s="63">
        <v>2000000000</v>
      </c>
      <c r="IL42" s="63">
        <v>3150000000</v>
      </c>
      <c r="IM42" s="63">
        <v>0</v>
      </c>
      <c r="IN42" s="63">
        <v>0</v>
      </c>
      <c r="IO42" s="63">
        <v>0</v>
      </c>
      <c r="IP42" s="63">
        <v>0</v>
      </c>
      <c r="IQ42" s="63">
        <v>0</v>
      </c>
      <c r="IR42" s="63">
        <v>0</v>
      </c>
      <c r="IS42" s="63">
        <v>0</v>
      </c>
      <c r="IT42" s="63">
        <v>0</v>
      </c>
      <c r="IU42" s="63">
        <v>0</v>
      </c>
      <c r="IV42" s="63">
        <v>0</v>
      </c>
      <c r="IW42" s="63">
        <v>200000000</v>
      </c>
      <c r="IX42" s="63">
        <v>157000000</v>
      </c>
      <c r="IY42" s="63">
        <v>300000000</v>
      </c>
      <c r="IZ42" s="63">
        <v>2235100000</v>
      </c>
      <c r="JA42" s="63">
        <v>0</v>
      </c>
      <c r="JB42" s="63">
        <v>0</v>
      </c>
      <c r="JC42" s="63">
        <v>0</v>
      </c>
      <c r="JD42" s="63">
        <v>0</v>
      </c>
      <c r="JE42" s="63">
        <v>0</v>
      </c>
      <c r="JF42" s="63">
        <v>0</v>
      </c>
      <c r="JG42" s="63">
        <v>0</v>
      </c>
      <c r="JH42" s="63">
        <v>0</v>
      </c>
      <c r="JI42" s="63">
        <v>0</v>
      </c>
      <c r="JJ42" s="63">
        <v>0</v>
      </c>
      <c r="JK42" s="63">
        <v>0</v>
      </c>
      <c r="JL42" s="63">
        <v>0</v>
      </c>
      <c r="JM42" s="63">
        <v>0</v>
      </c>
      <c r="JN42" s="63">
        <v>0</v>
      </c>
      <c r="JO42" s="63">
        <v>0</v>
      </c>
      <c r="JP42" s="63">
        <v>0</v>
      </c>
      <c r="JQ42" s="63">
        <v>0</v>
      </c>
      <c r="JR42" s="63">
        <v>0</v>
      </c>
      <c r="JS42" s="63">
        <v>0</v>
      </c>
      <c r="JT42" s="63">
        <v>0</v>
      </c>
      <c r="JU42" s="63">
        <v>0</v>
      </c>
      <c r="JV42" s="63">
        <v>0</v>
      </c>
      <c r="JW42" s="63">
        <v>0</v>
      </c>
      <c r="JX42" s="63">
        <v>0</v>
      </c>
      <c r="JY42" s="63">
        <v>0</v>
      </c>
      <c r="JZ42" s="63">
        <v>0</v>
      </c>
      <c r="KA42" s="63">
        <v>0</v>
      </c>
      <c r="KB42" s="63">
        <v>0</v>
      </c>
      <c r="KC42" s="63">
        <v>0</v>
      </c>
      <c r="KD42" s="63">
        <v>0</v>
      </c>
      <c r="KE42" s="63">
        <v>0</v>
      </c>
      <c r="KF42" s="63">
        <v>0</v>
      </c>
      <c r="KG42" s="63">
        <v>3894000000.02</v>
      </c>
      <c r="KH42" s="63">
        <v>0</v>
      </c>
      <c r="KI42" s="63">
        <v>0</v>
      </c>
      <c r="KJ42" s="63">
        <v>0</v>
      </c>
      <c r="KK42" s="63">
        <v>1528400000.02</v>
      </c>
      <c r="KL42" s="63">
        <v>1546800000</v>
      </c>
      <c r="KM42" s="63">
        <v>0</v>
      </c>
      <c r="KN42" s="63">
        <v>0</v>
      </c>
      <c r="KO42" s="63">
        <v>1192500000.02</v>
      </c>
      <c r="KP42" s="63">
        <v>0</v>
      </c>
      <c r="KQ42" s="63">
        <v>0</v>
      </c>
      <c r="KR42" s="63">
        <v>0</v>
      </c>
      <c r="KS42" s="63">
        <v>0</v>
      </c>
      <c r="KT42" s="63">
        <v>0</v>
      </c>
      <c r="KU42" s="63">
        <v>0</v>
      </c>
      <c r="KV42" s="63">
        <v>0</v>
      </c>
      <c r="KW42" s="63">
        <v>0</v>
      </c>
      <c r="KX42" s="63">
        <v>0</v>
      </c>
      <c r="KY42" s="63">
        <v>0</v>
      </c>
      <c r="KZ42" s="63">
        <v>0</v>
      </c>
      <c r="LA42" s="63">
        <v>2477500000</v>
      </c>
      <c r="LB42" s="63">
        <v>0</v>
      </c>
      <c r="LC42" s="63">
        <v>1981400000</v>
      </c>
      <c r="LD42" s="63">
        <v>0</v>
      </c>
      <c r="LE42" s="63">
        <v>0</v>
      </c>
      <c r="LF42" s="63">
        <v>0</v>
      </c>
      <c r="LG42" s="63">
        <v>0</v>
      </c>
      <c r="LH42" s="63">
        <v>0</v>
      </c>
      <c r="LI42" s="63">
        <v>0</v>
      </c>
      <c r="LJ42" s="63">
        <v>0</v>
      </c>
      <c r="LK42" s="63">
        <v>2691499999.9699998</v>
      </c>
      <c r="LL42" s="63">
        <v>0</v>
      </c>
      <c r="LM42" s="63">
        <v>946499999.99000001</v>
      </c>
      <c r="LN42" s="63">
        <v>0</v>
      </c>
      <c r="LO42" s="63">
        <v>0</v>
      </c>
      <c r="LP42" s="63">
        <v>949999999.99000001</v>
      </c>
      <c r="LQ42" s="63">
        <v>0</v>
      </c>
      <c r="LR42" s="63">
        <v>0</v>
      </c>
      <c r="LS42" s="63">
        <v>0</v>
      </c>
      <c r="LT42" s="63">
        <v>0</v>
      </c>
      <c r="LU42" s="63">
        <v>1899500000.02</v>
      </c>
      <c r="LV42" s="63">
        <v>0</v>
      </c>
      <c r="LW42" s="63">
        <v>0</v>
      </c>
      <c r="LX42" s="63">
        <v>0</v>
      </c>
      <c r="LY42" s="63">
        <v>0</v>
      </c>
      <c r="LZ42" s="63">
        <v>0</v>
      </c>
      <c r="MA42" s="63">
        <v>0</v>
      </c>
      <c r="MB42" s="63">
        <v>0</v>
      </c>
      <c r="MC42" s="63">
        <v>0</v>
      </c>
      <c r="MD42" s="63">
        <v>0</v>
      </c>
      <c r="ME42" s="63">
        <v>0</v>
      </c>
      <c r="MF42" s="63">
        <v>0</v>
      </c>
      <c r="MG42" s="63">
        <v>0</v>
      </c>
      <c r="MH42" s="63">
        <v>0</v>
      </c>
      <c r="MI42" s="63">
        <v>0</v>
      </c>
      <c r="MJ42" s="63">
        <v>0</v>
      </c>
      <c r="MK42" s="63">
        <v>0</v>
      </c>
      <c r="ML42" s="63">
        <v>0</v>
      </c>
      <c r="MM42" s="63">
        <v>0</v>
      </c>
      <c r="MN42" s="63">
        <v>0</v>
      </c>
      <c r="MO42" s="63">
        <v>0</v>
      </c>
      <c r="MP42" s="63">
        <v>0</v>
      </c>
      <c r="MQ42" s="63">
        <v>0</v>
      </c>
      <c r="MR42" s="63">
        <v>0</v>
      </c>
      <c r="MS42" s="63">
        <v>0</v>
      </c>
      <c r="MT42" s="63">
        <v>0</v>
      </c>
      <c r="MU42" s="63">
        <v>0</v>
      </c>
      <c r="MV42" s="63">
        <v>0</v>
      </c>
      <c r="MW42" s="63">
        <v>0</v>
      </c>
      <c r="MX42" s="63">
        <v>0</v>
      </c>
      <c r="MY42" s="63">
        <v>2500000000</v>
      </c>
      <c r="MZ42" s="63">
        <v>0</v>
      </c>
      <c r="NA42" s="63">
        <v>0</v>
      </c>
      <c r="NB42" s="63">
        <v>0</v>
      </c>
      <c r="NC42" s="63">
        <v>0</v>
      </c>
      <c r="ND42" s="63">
        <v>0</v>
      </c>
      <c r="NE42" s="63">
        <v>0</v>
      </c>
      <c r="NF42" s="63">
        <v>0</v>
      </c>
      <c r="NG42" s="63">
        <v>0</v>
      </c>
      <c r="NH42" s="63">
        <v>0</v>
      </c>
      <c r="NI42" s="63">
        <v>0</v>
      </c>
      <c r="NJ42" s="63">
        <v>0</v>
      </c>
      <c r="NK42" s="63">
        <v>0</v>
      </c>
      <c r="NL42" s="63">
        <v>0</v>
      </c>
      <c r="NM42" s="63">
        <v>1326400000.01</v>
      </c>
      <c r="NN42" s="63">
        <v>0</v>
      </c>
      <c r="NO42" s="63">
        <v>0</v>
      </c>
      <c r="NP42" s="63">
        <v>0</v>
      </c>
      <c r="NQ42" s="63">
        <v>0</v>
      </c>
      <c r="NR42" s="63">
        <v>0</v>
      </c>
      <c r="NS42" s="63">
        <v>0</v>
      </c>
      <c r="NT42" s="63">
        <v>0</v>
      </c>
      <c r="NU42" s="63">
        <v>0</v>
      </c>
      <c r="NV42" s="63">
        <v>0</v>
      </c>
      <c r="NW42" s="63">
        <v>0</v>
      </c>
      <c r="NX42" s="63">
        <v>0</v>
      </c>
      <c r="NY42" s="63">
        <v>0</v>
      </c>
      <c r="NZ42" s="63">
        <v>0</v>
      </c>
      <c r="OA42" s="63">
        <v>300000000</v>
      </c>
      <c r="OB42" s="63">
        <v>650000000</v>
      </c>
      <c r="OC42" s="63">
        <v>0</v>
      </c>
      <c r="OD42" s="63">
        <v>0</v>
      </c>
      <c r="OE42" s="63">
        <v>150000000</v>
      </c>
      <c r="OF42" s="63">
        <v>0</v>
      </c>
      <c r="OG42" s="63">
        <v>0</v>
      </c>
      <c r="OH42" s="63">
        <v>0</v>
      </c>
      <c r="OI42" s="63">
        <v>0</v>
      </c>
      <c r="OJ42" s="63">
        <v>0</v>
      </c>
      <c r="OK42" s="63">
        <v>0</v>
      </c>
      <c r="OL42" s="63">
        <v>0</v>
      </c>
      <c r="OM42" s="63">
        <v>0</v>
      </c>
      <c r="ON42" s="63">
        <v>0</v>
      </c>
      <c r="OO42" s="63">
        <v>0</v>
      </c>
      <c r="OP42" s="63">
        <v>0</v>
      </c>
      <c r="OQ42" s="63">
        <v>0</v>
      </c>
      <c r="OR42" s="63">
        <v>0</v>
      </c>
      <c r="OS42" s="63">
        <v>0</v>
      </c>
      <c r="OT42" s="63">
        <v>0</v>
      </c>
      <c r="OU42" s="63">
        <v>0</v>
      </c>
      <c r="OV42" s="63">
        <v>0</v>
      </c>
      <c r="OW42" s="63">
        <v>0</v>
      </c>
      <c r="OX42" s="63">
        <v>0</v>
      </c>
      <c r="OY42" s="63">
        <v>0</v>
      </c>
      <c r="OZ42" s="63">
        <v>0</v>
      </c>
      <c r="PA42" s="63">
        <v>0</v>
      </c>
      <c r="PB42" s="63">
        <v>0</v>
      </c>
      <c r="PC42" s="63">
        <v>0</v>
      </c>
      <c r="PD42" s="63">
        <v>0</v>
      </c>
      <c r="PE42" s="63">
        <v>0</v>
      </c>
      <c r="PF42" s="63">
        <v>0</v>
      </c>
      <c r="PG42" s="63">
        <v>0</v>
      </c>
      <c r="PH42" s="63">
        <v>1880000000</v>
      </c>
      <c r="PI42" s="63">
        <v>0</v>
      </c>
      <c r="PJ42" s="63">
        <v>0</v>
      </c>
      <c r="PK42" s="63">
        <v>0</v>
      </c>
      <c r="PL42" s="63">
        <v>0</v>
      </c>
      <c r="PM42" s="63">
        <v>0</v>
      </c>
      <c r="PN42" s="63">
        <v>0</v>
      </c>
      <c r="PO42" s="63">
        <v>0</v>
      </c>
      <c r="PP42" s="63">
        <f>IF(PP12&gt;0,PP12,0) + IF(PP15&gt;0,PP15,0) + IF(PP18&gt;0,PP18,0) + 0</f>
        <v>0</v>
      </c>
      <c r="PQ42" s="63">
        <f>IF(PQ12&gt;0,PQ12,0) + IF(PQ15&gt;0,PQ15,0) + IF(PQ18&gt;0,PQ18,0) + 0</f>
        <v>0</v>
      </c>
      <c r="PR42" s="63">
        <v>0</v>
      </c>
      <c r="PS42" s="63">
        <v>0</v>
      </c>
      <c r="PT42" s="63">
        <v>0</v>
      </c>
      <c r="PU42" s="63">
        <v>0</v>
      </c>
      <c r="PV42" s="63">
        <v>0</v>
      </c>
      <c r="PW42" s="63">
        <v>0</v>
      </c>
      <c r="PX42" s="63">
        <v>0</v>
      </c>
      <c r="PY42" s="63"/>
      <c r="PZ42" s="63"/>
      <c r="QA42" s="63"/>
      <c r="QB42" s="63"/>
      <c r="QC42" s="63"/>
      <c r="QD42" s="63"/>
      <c r="QE42" s="63"/>
      <c r="QF42" s="63"/>
      <c r="QG42" s="63"/>
      <c r="QH42" s="63"/>
      <c r="QI42" s="63"/>
      <c r="QJ42" s="63"/>
      <c r="QK42" s="63"/>
      <c r="QL42" s="63"/>
      <c r="QM42" s="63"/>
      <c r="QN42" s="63"/>
      <c r="QO42" s="63"/>
      <c r="QP42" s="63"/>
      <c r="QQ42" s="63"/>
      <c r="QR42" s="63"/>
      <c r="QS42" s="63"/>
      <c r="QT42" s="63"/>
      <c r="QU42" s="63"/>
      <c r="QV42" s="63"/>
      <c r="QW42" s="63"/>
      <c r="QX42" s="63"/>
      <c r="QY42" s="63"/>
      <c r="QZ42" s="63"/>
      <c r="RA42" s="63"/>
      <c r="RB42" s="63"/>
      <c r="RC42" s="63"/>
      <c r="RD42" s="63"/>
      <c r="RE42" s="63"/>
      <c r="RF42" s="63"/>
      <c r="RG42" s="63"/>
      <c r="RH42" s="63"/>
      <c r="RI42" s="63"/>
      <c r="RJ42" s="63"/>
      <c r="RK42" s="63"/>
      <c r="RL42" s="63"/>
      <c r="RM42" s="63"/>
      <c r="RN42" s="63"/>
      <c r="RO42" s="63"/>
      <c r="RP42" s="63"/>
      <c r="RQ42" s="63"/>
      <c r="RR42" s="63"/>
      <c r="RS42" s="63"/>
      <c r="RT42" s="63"/>
      <c r="RU42" s="63"/>
      <c r="RV42" s="63"/>
      <c r="RW42" s="63"/>
      <c r="RX42" s="63"/>
      <c r="RY42" s="63"/>
      <c r="RZ42" s="63"/>
      <c r="SA42" s="63"/>
    </row>
    <row r="43" spans="1:495" x14ac:dyDescent="0.2">
      <c r="A43" s="66" t="s">
        <v>1075</v>
      </c>
      <c r="B43" s="63">
        <v>0</v>
      </c>
      <c r="C43" s="63">
        <v>0</v>
      </c>
      <c r="D43" s="63">
        <v>0</v>
      </c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0</v>
      </c>
      <c r="Z43" s="63">
        <v>0</v>
      </c>
      <c r="AA43" s="63">
        <v>0</v>
      </c>
      <c r="AB43" s="63">
        <v>0</v>
      </c>
      <c r="AC43" s="63">
        <v>0</v>
      </c>
      <c r="AD43" s="63">
        <v>0</v>
      </c>
      <c r="AE43" s="63">
        <v>0</v>
      </c>
      <c r="AF43" s="63">
        <v>0</v>
      </c>
      <c r="AG43" s="63">
        <v>0</v>
      </c>
      <c r="AH43" s="63">
        <v>0</v>
      </c>
      <c r="AI43" s="63">
        <v>0</v>
      </c>
      <c r="AJ43" s="63">
        <v>0</v>
      </c>
      <c r="AK43" s="63">
        <v>0</v>
      </c>
      <c r="AL43" s="63">
        <v>0</v>
      </c>
      <c r="AM43" s="63">
        <v>0</v>
      </c>
      <c r="AN43" s="63">
        <v>0</v>
      </c>
      <c r="AO43" s="63">
        <v>0</v>
      </c>
      <c r="AP43" s="63">
        <v>0</v>
      </c>
      <c r="AQ43" s="63">
        <v>0</v>
      </c>
      <c r="AR43" s="63">
        <v>0</v>
      </c>
      <c r="AS43" s="63">
        <v>0</v>
      </c>
      <c r="AT43" s="63">
        <v>0</v>
      </c>
      <c r="AU43" s="63">
        <v>0</v>
      </c>
      <c r="AV43" s="63">
        <v>0</v>
      </c>
      <c r="AW43" s="63">
        <v>0</v>
      </c>
      <c r="AX43" s="63">
        <v>0</v>
      </c>
      <c r="AY43" s="63">
        <v>0</v>
      </c>
      <c r="AZ43" s="63">
        <v>0</v>
      </c>
      <c r="BA43" s="63">
        <v>0</v>
      </c>
      <c r="BB43" s="63">
        <v>0</v>
      </c>
      <c r="BC43" s="63">
        <v>0</v>
      </c>
      <c r="BD43" s="63">
        <v>0</v>
      </c>
      <c r="BE43" s="63">
        <v>0</v>
      </c>
      <c r="BF43" s="63">
        <v>0</v>
      </c>
      <c r="BG43" s="63">
        <v>0</v>
      </c>
      <c r="BH43" s="63">
        <v>0</v>
      </c>
      <c r="BI43" s="63">
        <v>0</v>
      </c>
      <c r="BJ43" s="63">
        <v>0</v>
      </c>
      <c r="BK43" s="63">
        <v>0</v>
      </c>
      <c r="BL43" s="63">
        <v>0</v>
      </c>
      <c r="BM43" s="63">
        <v>0</v>
      </c>
      <c r="BN43" s="63">
        <v>0</v>
      </c>
      <c r="BO43" s="63">
        <v>0</v>
      </c>
      <c r="BP43" s="63">
        <v>0</v>
      </c>
      <c r="BQ43" s="63">
        <v>0</v>
      </c>
      <c r="BR43" s="63">
        <v>0</v>
      </c>
      <c r="BS43" s="63">
        <v>0</v>
      </c>
      <c r="BT43" s="63">
        <v>0</v>
      </c>
      <c r="BU43" s="63">
        <v>0</v>
      </c>
      <c r="BV43" s="63">
        <v>0</v>
      </c>
      <c r="BW43" s="63">
        <v>0</v>
      </c>
      <c r="BX43" s="63">
        <v>0</v>
      </c>
      <c r="BY43" s="63">
        <v>0</v>
      </c>
      <c r="BZ43" s="63">
        <v>0</v>
      </c>
      <c r="CA43" s="63">
        <v>0</v>
      </c>
      <c r="CB43" s="63">
        <v>0</v>
      </c>
      <c r="CC43" s="63">
        <v>0</v>
      </c>
      <c r="CD43" s="63">
        <v>0</v>
      </c>
      <c r="CE43" s="63">
        <v>0</v>
      </c>
      <c r="CF43" s="63">
        <v>0</v>
      </c>
      <c r="CG43" s="63">
        <v>0</v>
      </c>
      <c r="CH43" s="63">
        <v>0</v>
      </c>
      <c r="CI43" s="63">
        <v>0</v>
      </c>
      <c r="CJ43" s="63">
        <v>0</v>
      </c>
      <c r="CK43" s="63">
        <v>0</v>
      </c>
      <c r="CL43" s="63">
        <v>0</v>
      </c>
      <c r="CM43" s="63">
        <v>0</v>
      </c>
      <c r="CN43" s="63">
        <v>0</v>
      </c>
      <c r="CO43" s="63">
        <v>0</v>
      </c>
      <c r="CP43" s="63">
        <v>0</v>
      </c>
      <c r="CQ43" s="63">
        <v>0</v>
      </c>
      <c r="CR43" s="63">
        <v>0</v>
      </c>
      <c r="CS43" s="63">
        <v>0</v>
      </c>
      <c r="CT43" s="63">
        <v>0</v>
      </c>
      <c r="CU43" s="63">
        <v>0</v>
      </c>
      <c r="CV43" s="63">
        <v>0</v>
      </c>
      <c r="CW43" s="63">
        <v>0</v>
      </c>
      <c r="CX43" s="63">
        <v>0</v>
      </c>
      <c r="CY43" s="63">
        <v>0</v>
      </c>
      <c r="CZ43" s="63">
        <v>0</v>
      </c>
      <c r="DA43" s="63">
        <v>0</v>
      </c>
      <c r="DB43" s="63">
        <v>0</v>
      </c>
      <c r="DC43" s="63">
        <v>0</v>
      </c>
      <c r="DD43" s="63">
        <v>0</v>
      </c>
      <c r="DE43" s="63">
        <v>0</v>
      </c>
      <c r="DF43" s="63">
        <v>0</v>
      </c>
      <c r="DG43" s="63">
        <v>0</v>
      </c>
      <c r="DH43" s="63">
        <v>0</v>
      </c>
      <c r="DI43" s="63">
        <v>0</v>
      </c>
      <c r="DJ43" s="63">
        <v>0</v>
      </c>
      <c r="DK43" s="63">
        <v>0</v>
      </c>
      <c r="DL43" s="63">
        <v>0</v>
      </c>
      <c r="DM43" s="63">
        <v>0</v>
      </c>
      <c r="DN43" s="63">
        <v>0</v>
      </c>
      <c r="DO43" s="63">
        <v>0</v>
      </c>
      <c r="DP43" s="63">
        <v>0</v>
      </c>
      <c r="DQ43" s="63">
        <v>0</v>
      </c>
      <c r="DR43" s="63">
        <v>0</v>
      </c>
      <c r="DS43" s="63">
        <v>0</v>
      </c>
      <c r="DT43" s="63">
        <v>0</v>
      </c>
      <c r="DU43" s="63">
        <v>0</v>
      </c>
      <c r="DV43" s="63">
        <v>0</v>
      </c>
      <c r="DW43" s="63">
        <v>0</v>
      </c>
      <c r="DX43" s="63">
        <v>0</v>
      </c>
      <c r="DY43" s="63">
        <v>0</v>
      </c>
      <c r="DZ43" s="63">
        <v>0</v>
      </c>
      <c r="EA43" s="63">
        <v>0</v>
      </c>
      <c r="EB43" s="63">
        <v>0</v>
      </c>
      <c r="EC43" s="63">
        <v>0</v>
      </c>
      <c r="ED43" s="63">
        <v>0</v>
      </c>
      <c r="EE43" s="63">
        <v>0</v>
      </c>
      <c r="EF43" s="63">
        <v>0</v>
      </c>
      <c r="EG43" s="63">
        <v>0</v>
      </c>
      <c r="EH43" s="63">
        <v>0</v>
      </c>
      <c r="EI43" s="63">
        <v>0</v>
      </c>
      <c r="EJ43" s="63">
        <v>0</v>
      </c>
      <c r="EK43" s="63">
        <v>0</v>
      </c>
      <c r="EL43" s="63">
        <v>0</v>
      </c>
      <c r="EM43" s="63">
        <v>0</v>
      </c>
      <c r="EN43" s="63">
        <v>0</v>
      </c>
      <c r="EO43" s="63">
        <v>0</v>
      </c>
      <c r="EP43" s="63">
        <v>0</v>
      </c>
      <c r="EQ43" s="63">
        <v>0</v>
      </c>
      <c r="ER43" s="63">
        <v>0</v>
      </c>
      <c r="ES43" s="63">
        <v>0</v>
      </c>
      <c r="ET43" s="63">
        <v>0</v>
      </c>
      <c r="EU43" s="63">
        <v>0</v>
      </c>
      <c r="EV43" s="63">
        <v>0</v>
      </c>
      <c r="EW43" s="63">
        <v>0</v>
      </c>
      <c r="EX43" s="63">
        <v>0</v>
      </c>
      <c r="EY43" s="63">
        <v>0</v>
      </c>
      <c r="EZ43" s="63">
        <v>0</v>
      </c>
      <c r="FA43" s="63">
        <v>0</v>
      </c>
      <c r="FB43" s="63">
        <v>0</v>
      </c>
      <c r="FC43" s="63">
        <v>0</v>
      </c>
      <c r="FD43" s="63">
        <v>0</v>
      </c>
      <c r="FE43" s="63">
        <v>0</v>
      </c>
      <c r="FF43" s="63">
        <v>0</v>
      </c>
      <c r="FG43" s="63">
        <v>0</v>
      </c>
      <c r="FH43" s="63">
        <v>0</v>
      </c>
      <c r="FI43" s="63">
        <v>0</v>
      </c>
      <c r="FJ43" s="63">
        <v>0</v>
      </c>
      <c r="FK43" s="63">
        <v>0</v>
      </c>
      <c r="FL43" s="63">
        <v>0</v>
      </c>
      <c r="FM43" s="63">
        <v>0</v>
      </c>
      <c r="FN43" s="63">
        <v>0</v>
      </c>
      <c r="FO43" s="63">
        <v>0</v>
      </c>
      <c r="FP43" s="63">
        <v>0</v>
      </c>
      <c r="FQ43" s="63">
        <v>0</v>
      </c>
      <c r="FR43" s="63">
        <v>0</v>
      </c>
      <c r="FS43" s="63">
        <v>0</v>
      </c>
      <c r="FT43" s="63">
        <v>0</v>
      </c>
      <c r="FU43" s="63">
        <v>0</v>
      </c>
      <c r="FV43" s="63">
        <v>0</v>
      </c>
      <c r="FW43" s="63">
        <v>0</v>
      </c>
      <c r="FX43" s="63">
        <v>0</v>
      </c>
      <c r="FY43" s="63">
        <v>0</v>
      </c>
      <c r="FZ43" s="63">
        <v>0</v>
      </c>
      <c r="GA43" s="63">
        <v>0</v>
      </c>
      <c r="GB43" s="63">
        <v>0</v>
      </c>
      <c r="GC43" s="63">
        <v>0</v>
      </c>
      <c r="GD43" s="63">
        <v>0</v>
      </c>
      <c r="GE43" s="63">
        <v>0</v>
      </c>
      <c r="GF43" s="63">
        <v>0</v>
      </c>
      <c r="GG43" s="63">
        <v>0</v>
      </c>
      <c r="GH43" s="63">
        <v>0</v>
      </c>
      <c r="GI43" s="63">
        <v>0</v>
      </c>
      <c r="GJ43" s="63">
        <v>0</v>
      </c>
      <c r="GK43" s="63">
        <v>0</v>
      </c>
      <c r="GL43" s="63">
        <v>0</v>
      </c>
      <c r="GM43" s="63">
        <v>0</v>
      </c>
      <c r="GN43" s="63">
        <v>0</v>
      </c>
      <c r="GO43" s="63">
        <v>0</v>
      </c>
      <c r="GP43" s="63">
        <v>0</v>
      </c>
      <c r="GQ43" s="63">
        <v>0</v>
      </c>
      <c r="GR43" s="63">
        <v>0</v>
      </c>
      <c r="GS43" s="63">
        <v>0</v>
      </c>
      <c r="GT43" s="63">
        <v>0</v>
      </c>
      <c r="GU43" s="63">
        <v>0</v>
      </c>
      <c r="GV43" s="63">
        <v>0</v>
      </c>
      <c r="GW43" s="63">
        <v>0</v>
      </c>
      <c r="GX43" s="63">
        <v>0</v>
      </c>
      <c r="GY43" s="63">
        <v>0</v>
      </c>
      <c r="GZ43" s="63">
        <v>0</v>
      </c>
      <c r="HA43" s="63">
        <v>0</v>
      </c>
      <c r="HB43" s="63">
        <v>0</v>
      </c>
      <c r="HC43" s="63">
        <v>0</v>
      </c>
      <c r="HD43" s="63">
        <v>0</v>
      </c>
      <c r="HE43" s="63">
        <v>0</v>
      </c>
      <c r="HF43" s="63">
        <v>0</v>
      </c>
      <c r="HG43" s="63">
        <v>0</v>
      </c>
      <c r="HH43" s="63">
        <v>0</v>
      </c>
      <c r="HI43" s="63">
        <v>0</v>
      </c>
      <c r="HJ43" s="63">
        <v>0</v>
      </c>
      <c r="HK43" s="63">
        <v>0</v>
      </c>
      <c r="HL43" s="63">
        <v>0</v>
      </c>
      <c r="HM43" s="63">
        <v>0</v>
      </c>
      <c r="HN43" s="63">
        <v>0</v>
      </c>
      <c r="HO43" s="63">
        <v>0</v>
      </c>
      <c r="HP43" s="63">
        <v>0</v>
      </c>
      <c r="HQ43" s="63">
        <v>0</v>
      </c>
      <c r="HR43" s="63">
        <v>0</v>
      </c>
      <c r="HS43" s="63">
        <v>0</v>
      </c>
      <c r="HT43" s="63">
        <v>0</v>
      </c>
      <c r="HU43" s="63">
        <v>0</v>
      </c>
      <c r="HV43" s="63">
        <v>0</v>
      </c>
      <c r="HW43" s="63">
        <v>0</v>
      </c>
      <c r="HX43" s="63">
        <v>0</v>
      </c>
      <c r="HY43" s="63">
        <v>0</v>
      </c>
      <c r="HZ43" s="63">
        <v>0</v>
      </c>
      <c r="IA43" s="63">
        <v>0</v>
      </c>
      <c r="IB43" s="63">
        <v>0</v>
      </c>
      <c r="IC43" s="63">
        <v>0</v>
      </c>
      <c r="ID43" s="63">
        <v>0</v>
      </c>
      <c r="IE43" s="63">
        <v>0</v>
      </c>
      <c r="IF43" s="63">
        <v>0</v>
      </c>
      <c r="IG43" s="63">
        <v>0</v>
      </c>
      <c r="IH43" s="63">
        <v>0</v>
      </c>
      <c r="II43" s="63">
        <v>0</v>
      </c>
      <c r="IJ43" s="63">
        <v>0</v>
      </c>
      <c r="IK43" s="63">
        <v>0</v>
      </c>
      <c r="IL43" s="63">
        <v>0</v>
      </c>
      <c r="IM43" s="63">
        <v>0</v>
      </c>
      <c r="IN43" s="63">
        <v>0</v>
      </c>
      <c r="IO43" s="63">
        <v>0</v>
      </c>
      <c r="IP43" s="63">
        <v>0</v>
      </c>
      <c r="IQ43" s="63">
        <v>0</v>
      </c>
      <c r="IR43" s="63">
        <v>0</v>
      </c>
      <c r="IS43" s="63">
        <v>0</v>
      </c>
      <c r="IT43" s="63">
        <v>0</v>
      </c>
      <c r="IU43" s="63">
        <v>0</v>
      </c>
      <c r="IV43" s="63">
        <v>0</v>
      </c>
      <c r="IW43" s="63">
        <v>0</v>
      </c>
      <c r="IX43" s="63">
        <v>0</v>
      </c>
      <c r="IY43" s="63">
        <v>0</v>
      </c>
      <c r="IZ43" s="63">
        <v>0</v>
      </c>
      <c r="JA43" s="63">
        <v>0</v>
      </c>
      <c r="JB43" s="63">
        <v>0</v>
      </c>
      <c r="JC43" s="63">
        <v>0</v>
      </c>
      <c r="JD43" s="63">
        <v>0</v>
      </c>
      <c r="JE43" s="63">
        <v>0</v>
      </c>
      <c r="JF43" s="63">
        <v>0</v>
      </c>
      <c r="JG43" s="63">
        <v>0</v>
      </c>
      <c r="JH43" s="63">
        <v>0</v>
      </c>
      <c r="JI43" s="63">
        <v>0</v>
      </c>
      <c r="JJ43" s="63">
        <v>0</v>
      </c>
      <c r="JK43" s="63">
        <v>0</v>
      </c>
      <c r="JL43" s="63">
        <v>0</v>
      </c>
      <c r="JM43" s="63">
        <v>0</v>
      </c>
      <c r="JN43" s="63">
        <v>0</v>
      </c>
      <c r="JO43" s="63">
        <v>0</v>
      </c>
      <c r="JP43" s="63">
        <v>0</v>
      </c>
      <c r="JQ43" s="63">
        <v>0</v>
      </c>
      <c r="JR43" s="63">
        <v>0</v>
      </c>
      <c r="JS43" s="63">
        <v>0</v>
      </c>
      <c r="JT43" s="63">
        <v>0</v>
      </c>
      <c r="JU43" s="63">
        <v>0</v>
      </c>
      <c r="JV43" s="63">
        <v>0</v>
      </c>
      <c r="JW43" s="63">
        <v>0</v>
      </c>
      <c r="JX43" s="63">
        <v>0</v>
      </c>
      <c r="JY43" s="63">
        <v>0</v>
      </c>
      <c r="JZ43" s="63">
        <v>0</v>
      </c>
      <c r="KA43" s="63">
        <v>0</v>
      </c>
      <c r="KB43" s="63">
        <v>0</v>
      </c>
      <c r="KC43" s="63">
        <v>0</v>
      </c>
      <c r="KD43" s="63">
        <v>0</v>
      </c>
      <c r="KE43" s="63">
        <v>0</v>
      </c>
      <c r="KF43" s="63">
        <v>0</v>
      </c>
      <c r="KG43" s="63">
        <v>0</v>
      </c>
      <c r="KH43" s="63">
        <v>0</v>
      </c>
      <c r="KI43" s="63">
        <v>0</v>
      </c>
      <c r="KJ43" s="63">
        <v>0</v>
      </c>
      <c r="KK43" s="63">
        <v>0</v>
      </c>
      <c r="KL43" s="63">
        <v>0</v>
      </c>
      <c r="KM43" s="63">
        <v>0</v>
      </c>
      <c r="KN43" s="63">
        <v>0</v>
      </c>
      <c r="KO43" s="63">
        <v>0</v>
      </c>
      <c r="KP43" s="63">
        <v>0</v>
      </c>
      <c r="KQ43" s="63">
        <v>0</v>
      </c>
      <c r="KR43" s="63">
        <v>0</v>
      </c>
      <c r="KS43" s="63">
        <v>0</v>
      </c>
      <c r="KT43" s="63">
        <v>0</v>
      </c>
      <c r="KU43" s="63">
        <v>0</v>
      </c>
      <c r="KV43" s="63">
        <v>0</v>
      </c>
      <c r="KW43" s="63">
        <v>0</v>
      </c>
      <c r="KX43" s="63">
        <v>0</v>
      </c>
      <c r="KY43" s="63">
        <v>0</v>
      </c>
      <c r="KZ43" s="63">
        <v>0</v>
      </c>
      <c r="LA43" s="63">
        <v>0</v>
      </c>
      <c r="LB43" s="63">
        <v>0</v>
      </c>
      <c r="LC43" s="63">
        <v>0</v>
      </c>
      <c r="LD43" s="63">
        <v>0</v>
      </c>
      <c r="LE43" s="63">
        <v>0</v>
      </c>
      <c r="LF43" s="63">
        <v>0</v>
      </c>
      <c r="LG43" s="63">
        <v>0</v>
      </c>
      <c r="LH43" s="63">
        <v>0</v>
      </c>
      <c r="LI43" s="63">
        <v>0</v>
      </c>
      <c r="LJ43" s="63">
        <v>0</v>
      </c>
      <c r="LK43" s="63">
        <v>0</v>
      </c>
      <c r="LL43" s="63">
        <v>0</v>
      </c>
      <c r="LM43" s="63">
        <v>0</v>
      </c>
      <c r="LN43" s="63">
        <v>0</v>
      </c>
      <c r="LO43" s="63">
        <v>0</v>
      </c>
      <c r="LP43" s="63">
        <v>0</v>
      </c>
      <c r="LQ43" s="63">
        <v>0</v>
      </c>
      <c r="LR43" s="63">
        <v>0</v>
      </c>
      <c r="LS43" s="63">
        <v>0</v>
      </c>
      <c r="LT43" s="63">
        <v>0</v>
      </c>
      <c r="LU43" s="63">
        <v>0</v>
      </c>
      <c r="LV43" s="63">
        <v>0</v>
      </c>
      <c r="LW43" s="63">
        <v>0</v>
      </c>
      <c r="LX43" s="63">
        <v>0</v>
      </c>
      <c r="LY43" s="63">
        <v>0</v>
      </c>
      <c r="LZ43" s="63">
        <v>0</v>
      </c>
      <c r="MA43" s="63">
        <v>0</v>
      </c>
      <c r="MB43" s="63">
        <v>0</v>
      </c>
      <c r="MC43" s="63">
        <v>0</v>
      </c>
      <c r="MD43" s="63">
        <v>0</v>
      </c>
      <c r="ME43" s="63">
        <v>0</v>
      </c>
      <c r="MF43" s="63">
        <v>0</v>
      </c>
      <c r="MG43" s="63">
        <v>0</v>
      </c>
      <c r="MH43" s="63">
        <v>0</v>
      </c>
      <c r="MI43" s="63">
        <v>0</v>
      </c>
      <c r="MJ43" s="63">
        <v>0</v>
      </c>
      <c r="MK43" s="63">
        <v>0</v>
      </c>
      <c r="ML43" s="63">
        <v>0</v>
      </c>
      <c r="MM43" s="63">
        <v>0</v>
      </c>
      <c r="MN43" s="63">
        <v>0</v>
      </c>
      <c r="MO43" s="63">
        <v>0</v>
      </c>
      <c r="MP43" s="63">
        <v>0</v>
      </c>
      <c r="MQ43" s="63">
        <v>0</v>
      </c>
      <c r="MR43" s="63">
        <v>0</v>
      </c>
      <c r="MS43" s="63">
        <v>0</v>
      </c>
      <c r="MT43" s="63">
        <v>0</v>
      </c>
      <c r="MU43" s="63">
        <v>0</v>
      </c>
      <c r="MV43" s="63">
        <v>0</v>
      </c>
      <c r="MW43" s="63">
        <v>0</v>
      </c>
      <c r="MX43" s="63">
        <v>0</v>
      </c>
      <c r="MY43" s="63">
        <v>0</v>
      </c>
      <c r="MZ43" s="63">
        <v>0</v>
      </c>
      <c r="NA43" s="63">
        <v>0</v>
      </c>
      <c r="NB43" s="63">
        <v>0</v>
      </c>
      <c r="NC43" s="63">
        <v>0</v>
      </c>
      <c r="ND43" s="63">
        <v>0</v>
      </c>
      <c r="NE43" s="63">
        <v>0</v>
      </c>
      <c r="NF43" s="63">
        <v>0</v>
      </c>
      <c r="NG43" s="63">
        <v>0</v>
      </c>
      <c r="NH43" s="63">
        <v>0</v>
      </c>
      <c r="NI43" s="63">
        <v>0</v>
      </c>
      <c r="NJ43" s="63">
        <v>0</v>
      </c>
      <c r="NK43" s="63">
        <v>0</v>
      </c>
      <c r="NL43" s="63">
        <v>0</v>
      </c>
      <c r="NM43" s="63">
        <v>0</v>
      </c>
      <c r="NN43" s="63">
        <v>0</v>
      </c>
      <c r="NO43" s="63">
        <v>0</v>
      </c>
      <c r="NP43" s="63">
        <v>0</v>
      </c>
      <c r="NQ43" s="63">
        <v>0</v>
      </c>
      <c r="NR43" s="63">
        <v>0</v>
      </c>
      <c r="NS43" s="63">
        <v>0</v>
      </c>
      <c r="NT43" s="63">
        <v>0</v>
      </c>
      <c r="NU43" s="63">
        <v>0</v>
      </c>
      <c r="NV43" s="63">
        <v>0</v>
      </c>
      <c r="NW43" s="63">
        <v>0</v>
      </c>
      <c r="NX43" s="63">
        <v>0</v>
      </c>
      <c r="NY43" s="63">
        <v>0</v>
      </c>
      <c r="NZ43" s="63">
        <v>0</v>
      </c>
      <c r="OA43" s="63">
        <v>0</v>
      </c>
      <c r="OB43" s="63">
        <v>0</v>
      </c>
      <c r="OC43" s="63">
        <v>0</v>
      </c>
      <c r="OD43" s="63">
        <v>0</v>
      </c>
      <c r="OE43" s="63">
        <v>0</v>
      </c>
      <c r="OF43" s="63">
        <v>0</v>
      </c>
      <c r="OG43" s="63">
        <v>0</v>
      </c>
      <c r="OH43" s="63">
        <v>0</v>
      </c>
      <c r="OI43" s="63">
        <v>0</v>
      </c>
      <c r="OJ43" s="63">
        <v>0</v>
      </c>
      <c r="OK43" s="63">
        <v>0</v>
      </c>
      <c r="OL43" s="63">
        <v>0</v>
      </c>
      <c r="OM43" s="63">
        <v>0</v>
      </c>
      <c r="ON43" s="63">
        <v>0</v>
      </c>
      <c r="OO43" s="63">
        <v>0</v>
      </c>
      <c r="OP43" s="63">
        <v>0</v>
      </c>
      <c r="OQ43" s="63">
        <v>0</v>
      </c>
      <c r="OR43" s="63">
        <v>0</v>
      </c>
      <c r="OS43" s="63">
        <v>0</v>
      </c>
      <c r="OT43" s="63">
        <v>0</v>
      </c>
      <c r="OU43" s="63">
        <v>0</v>
      </c>
      <c r="OV43" s="63">
        <v>0</v>
      </c>
      <c r="OW43" s="63">
        <v>0</v>
      </c>
      <c r="OX43" s="63">
        <v>0</v>
      </c>
      <c r="OY43" s="63">
        <v>0</v>
      </c>
      <c r="OZ43" s="63">
        <v>0</v>
      </c>
      <c r="PA43" s="63">
        <v>0</v>
      </c>
      <c r="PB43" s="63">
        <v>0</v>
      </c>
      <c r="PC43" s="63">
        <v>0</v>
      </c>
      <c r="PD43" s="63">
        <v>0</v>
      </c>
      <c r="PE43" s="63">
        <v>0</v>
      </c>
      <c r="PF43" s="63">
        <v>0</v>
      </c>
      <c r="PG43" s="63">
        <v>0</v>
      </c>
      <c r="PH43" s="63">
        <v>0</v>
      </c>
      <c r="PI43" s="63">
        <v>0</v>
      </c>
      <c r="PJ43" s="63">
        <v>0</v>
      </c>
      <c r="PK43" s="63">
        <v>0</v>
      </c>
      <c r="PL43" s="63">
        <v>0</v>
      </c>
      <c r="PM43" s="63">
        <v>0</v>
      </c>
      <c r="PN43" s="63">
        <v>0</v>
      </c>
      <c r="PO43" s="63">
        <v>0</v>
      </c>
      <c r="PP43" s="63">
        <v>0</v>
      </c>
      <c r="PQ43" s="63">
        <v>0</v>
      </c>
      <c r="PR43" s="63">
        <v>0</v>
      </c>
      <c r="PS43" s="63">
        <v>0</v>
      </c>
      <c r="PT43" s="63">
        <v>0</v>
      </c>
      <c r="PU43" s="63">
        <v>0</v>
      </c>
      <c r="PV43" s="63">
        <v>0</v>
      </c>
      <c r="PW43" s="63">
        <v>0</v>
      </c>
      <c r="PX43" s="63">
        <v>0</v>
      </c>
      <c r="PY43" s="63"/>
      <c r="PZ43" s="63"/>
      <c r="QA43" s="63"/>
      <c r="QB43" s="63"/>
      <c r="QC43" s="63"/>
      <c r="QD43" s="63"/>
      <c r="QE43" s="63"/>
      <c r="QF43" s="63"/>
      <c r="QG43" s="63"/>
      <c r="QH43" s="63"/>
      <c r="QI43" s="63"/>
      <c r="QJ43" s="63"/>
      <c r="QK43" s="63"/>
      <c r="QL43" s="63"/>
      <c r="QM43" s="63"/>
      <c r="QN43" s="63"/>
      <c r="QO43" s="63"/>
      <c r="QP43" s="63"/>
      <c r="QQ43" s="63"/>
      <c r="QR43" s="63"/>
      <c r="QS43" s="63"/>
      <c r="QT43" s="63"/>
      <c r="QU43" s="63"/>
      <c r="QV43" s="63"/>
      <c r="QW43" s="63"/>
      <c r="QX43" s="63"/>
      <c r="QY43" s="63"/>
      <c r="QZ43" s="63"/>
      <c r="RA43" s="63"/>
      <c r="RB43" s="63"/>
      <c r="RC43" s="63"/>
      <c r="RD43" s="63"/>
      <c r="RE43" s="63"/>
      <c r="RF43" s="63"/>
      <c r="RG43" s="63"/>
      <c r="RH43" s="63"/>
      <c r="RI43" s="63"/>
      <c r="RJ43" s="63"/>
      <c r="RK43" s="63"/>
      <c r="RL43" s="63"/>
      <c r="RM43" s="63"/>
      <c r="RN43" s="63"/>
      <c r="RO43" s="63"/>
      <c r="RP43" s="63"/>
      <c r="RQ43" s="63"/>
      <c r="RR43" s="63"/>
      <c r="RS43" s="63"/>
      <c r="RT43" s="63"/>
      <c r="RU43" s="63"/>
      <c r="RV43" s="63"/>
      <c r="RW43" s="63"/>
      <c r="RX43" s="63"/>
      <c r="RY43" s="63"/>
      <c r="RZ43" s="63"/>
      <c r="SA43" s="63"/>
    </row>
    <row r="44" spans="1:495" x14ac:dyDescent="0.2">
      <c r="A44" s="66" t="s">
        <v>1085</v>
      </c>
      <c r="B44" s="63">
        <v>0</v>
      </c>
      <c r="C44" s="63">
        <v>0</v>
      </c>
      <c r="D44" s="63">
        <v>0</v>
      </c>
      <c r="E44" s="63">
        <v>0</v>
      </c>
      <c r="F44" s="63">
        <v>2592839.2999999998</v>
      </c>
      <c r="G44" s="63">
        <v>92899790.609999999</v>
      </c>
      <c r="H44" s="63">
        <v>0</v>
      </c>
      <c r="I44" s="63">
        <v>0</v>
      </c>
      <c r="J44" s="63">
        <v>0</v>
      </c>
      <c r="K44" s="63">
        <v>0</v>
      </c>
      <c r="L44" s="63">
        <v>0</v>
      </c>
      <c r="M44" s="63">
        <v>0</v>
      </c>
      <c r="N44" s="63">
        <v>0</v>
      </c>
      <c r="O44" s="63">
        <v>0</v>
      </c>
      <c r="P44" s="63">
        <v>0</v>
      </c>
      <c r="Q44" s="63">
        <v>0</v>
      </c>
      <c r="R44" s="63">
        <v>0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</v>
      </c>
      <c r="Y44" s="63">
        <v>0</v>
      </c>
      <c r="Z44" s="63">
        <v>2679801.65</v>
      </c>
      <c r="AA44" s="63">
        <v>92187105.579999998</v>
      </c>
      <c r="AB44" s="63">
        <v>0</v>
      </c>
      <c r="AC44" s="63">
        <v>0</v>
      </c>
      <c r="AD44" s="63">
        <v>0</v>
      </c>
      <c r="AE44" s="63">
        <v>0</v>
      </c>
      <c r="AF44" s="63">
        <v>0</v>
      </c>
      <c r="AG44" s="63">
        <v>0</v>
      </c>
      <c r="AH44" s="63">
        <v>0</v>
      </c>
      <c r="AI44" s="63">
        <v>0</v>
      </c>
      <c r="AJ44" s="63">
        <v>0</v>
      </c>
      <c r="AK44" s="63">
        <v>0</v>
      </c>
      <c r="AL44" s="63">
        <v>0</v>
      </c>
      <c r="AM44" s="63">
        <v>0</v>
      </c>
      <c r="AN44" s="63">
        <v>0</v>
      </c>
      <c r="AO44" s="63">
        <v>0</v>
      </c>
      <c r="AP44" s="63">
        <v>0</v>
      </c>
      <c r="AQ44" s="63">
        <v>0</v>
      </c>
      <c r="AR44" s="63">
        <v>0</v>
      </c>
      <c r="AS44" s="63">
        <v>2659243.4300000002</v>
      </c>
      <c r="AT44" s="63">
        <v>77869671.870000005</v>
      </c>
      <c r="AU44" s="63">
        <v>0</v>
      </c>
      <c r="AV44" s="63">
        <v>0</v>
      </c>
      <c r="AW44" s="63">
        <v>0</v>
      </c>
      <c r="AX44" s="63">
        <v>0</v>
      </c>
      <c r="AY44" s="63">
        <v>0</v>
      </c>
      <c r="AZ44" s="63">
        <v>0</v>
      </c>
      <c r="BA44" s="63">
        <v>0</v>
      </c>
      <c r="BB44" s="63">
        <v>0</v>
      </c>
      <c r="BC44" s="63">
        <v>0</v>
      </c>
      <c r="BD44" s="63">
        <v>0</v>
      </c>
      <c r="BE44" s="63">
        <v>0</v>
      </c>
      <c r="BF44" s="63">
        <v>0</v>
      </c>
      <c r="BG44" s="63">
        <v>0</v>
      </c>
      <c r="BH44" s="63">
        <v>0</v>
      </c>
      <c r="BI44" s="63">
        <v>0</v>
      </c>
      <c r="BJ44" s="63">
        <v>0</v>
      </c>
      <c r="BK44" s="63">
        <v>0</v>
      </c>
      <c r="BL44" s="63">
        <v>0</v>
      </c>
      <c r="BM44" s="63">
        <v>0</v>
      </c>
      <c r="BN44" s="63">
        <v>0</v>
      </c>
      <c r="BO44" s="63">
        <v>0</v>
      </c>
      <c r="BP44" s="63">
        <v>2246240.54</v>
      </c>
      <c r="BQ44" s="63">
        <v>85832247.930000007</v>
      </c>
      <c r="BR44" s="63">
        <v>0</v>
      </c>
      <c r="BS44" s="63">
        <v>0</v>
      </c>
      <c r="BT44" s="63">
        <v>0</v>
      </c>
      <c r="BU44" s="63">
        <v>0</v>
      </c>
      <c r="BV44" s="63">
        <v>0</v>
      </c>
      <c r="BW44" s="63">
        <v>0</v>
      </c>
      <c r="BX44" s="63">
        <v>0</v>
      </c>
      <c r="BY44" s="63">
        <v>0</v>
      </c>
      <c r="BZ44" s="63">
        <v>0</v>
      </c>
      <c r="CA44" s="63">
        <v>0</v>
      </c>
      <c r="CB44" s="63">
        <v>0</v>
      </c>
      <c r="CC44" s="63">
        <v>0</v>
      </c>
      <c r="CD44" s="63">
        <v>0</v>
      </c>
      <c r="CE44" s="63">
        <v>0</v>
      </c>
      <c r="CF44" s="63">
        <v>0</v>
      </c>
      <c r="CG44" s="63">
        <v>0</v>
      </c>
      <c r="CH44" s="63">
        <v>2475930.2200000002</v>
      </c>
      <c r="CI44" s="63">
        <v>83451256.400000006</v>
      </c>
      <c r="CJ44" s="63">
        <v>0</v>
      </c>
      <c r="CK44" s="63">
        <v>0</v>
      </c>
      <c r="CL44" s="63">
        <v>0</v>
      </c>
      <c r="CM44" s="63">
        <v>0</v>
      </c>
      <c r="CN44" s="63">
        <v>0</v>
      </c>
      <c r="CO44" s="63">
        <v>0</v>
      </c>
      <c r="CP44" s="63">
        <v>0</v>
      </c>
      <c r="CQ44" s="63">
        <v>0</v>
      </c>
      <c r="CR44" s="63">
        <v>0</v>
      </c>
      <c r="CS44" s="63">
        <v>0</v>
      </c>
      <c r="CT44" s="63">
        <v>0</v>
      </c>
      <c r="CU44" s="63">
        <v>0</v>
      </c>
      <c r="CV44" s="63">
        <v>0</v>
      </c>
      <c r="CW44" s="63">
        <v>0</v>
      </c>
      <c r="CX44" s="63">
        <v>0</v>
      </c>
      <c r="CY44" s="63">
        <v>0</v>
      </c>
      <c r="CZ44" s="63">
        <v>0</v>
      </c>
      <c r="DA44" s="63">
        <v>0</v>
      </c>
      <c r="DB44" s="63">
        <v>2407247.7799999998</v>
      </c>
      <c r="DC44" s="63">
        <v>80429922.239999995</v>
      </c>
      <c r="DD44" s="63">
        <v>0</v>
      </c>
      <c r="DE44" s="63">
        <v>0</v>
      </c>
      <c r="DF44" s="63">
        <v>0</v>
      </c>
      <c r="DG44" s="63">
        <v>0</v>
      </c>
      <c r="DH44" s="63">
        <v>0</v>
      </c>
      <c r="DI44" s="63">
        <v>0</v>
      </c>
      <c r="DJ44" s="63">
        <v>0</v>
      </c>
      <c r="DK44" s="63">
        <v>0</v>
      </c>
      <c r="DL44" s="63">
        <v>0</v>
      </c>
      <c r="DM44" s="63">
        <v>0</v>
      </c>
      <c r="DN44" s="63">
        <v>0</v>
      </c>
      <c r="DO44" s="63">
        <v>0</v>
      </c>
      <c r="DP44" s="63">
        <v>0</v>
      </c>
      <c r="DQ44" s="63">
        <v>0</v>
      </c>
      <c r="DR44" s="63">
        <v>0</v>
      </c>
      <c r="DS44" s="63">
        <v>0</v>
      </c>
      <c r="DT44" s="63">
        <v>0</v>
      </c>
      <c r="DU44" s="63">
        <v>0</v>
      </c>
      <c r="DV44" s="63">
        <v>0</v>
      </c>
      <c r="DW44" s="63">
        <v>0</v>
      </c>
      <c r="DX44" s="63">
        <v>2320093.91</v>
      </c>
      <c r="DY44" s="63">
        <v>73673136.459999993</v>
      </c>
      <c r="DZ44" s="63">
        <v>0</v>
      </c>
      <c r="EA44" s="63">
        <v>0</v>
      </c>
      <c r="EB44" s="63">
        <v>0</v>
      </c>
      <c r="EC44" s="63">
        <v>0</v>
      </c>
      <c r="ED44" s="63">
        <v>0</v>
      </c>
      <c r="EE44" s="63">
        <v>0</v>
      </c>
      <c r="EF44" s="63">
        <v>0</v>
      </c>
      <c r="EG44" s="63">
        <v>0</v>
      </c>
      <c r="EH44" s="63">
        <v>0</v>
      </c>
      <c r="EI44" s="63">
        <v>0</v>
      </c>
      <c r="EJ44" s="63">
        <v>0</v>
      </c>
      <c r="EK44" s="63">
        <v>0</v>
      </c>
      <c r="EL44" s="63">
        <v>0</v>
      </c>
      <c r="EM44" s="63">
        <v>0</v>
      </c>
      <c r="EN44" s="63">
        <v>0</v>
      </c>
      <c r="EO44" s="63">
        <v>0</v>
      </c>
      <c r="EP44" s="63">
        <v>0</v>
      </c>
      <c r="EQ44" s="63">
        <v>2125186.63</v>
      </c>
      <c r="ER44" s="63">
        <v>73592347.280000001</v>
      </c>
      <c r="ES44" s="63">
        <v>0</v>
      </c>
      <c r="ET44" s="63">
        <v>0</v>
      </c>
      <c r="EU44" s="63">
        <v>0</v>
      </c>
      <c r="EV44" s="63">
        <v>0</v>
      </c>
      <c r="EW44" s="63">
        <v>0</v>
      </c>
      <c r="EX44" s="63">
        <v>0</v>
      </c>
      <c r="EY44" s="63">
        <v>0</v>
      </c>
      <c r="EZ44" s="63">
        <v>0</v>
      </c>
      <c r="FA44" s="63">
        <v>0</v>
      </c>
      <c r="FB44" s="63">
        <v>0</v>
      </c>
      <c r="FC44" s="63">
        <v>0</v>
      </c>
      <c r="FD44" s="63">
        <v>0</v>
      </c>
      <c r="FE44" s="63">
        <v>0</v>
      </c>
      <c r="FF44" s="63">
        <v>0</v>
      </c>
      <c r="FG44" s="63">
        <v>0</v>
      </c>
      <c r="FH44" s="63">
        <v>0</v>
      </c>
      <c r="FI44" s="63">
        <v>0</v>
      </c>
      <c r="FJ44" s="63">
        <v>0</v>
      </c>
      <c r="FK44" s="63">
        <v>0</v>
      </c>
      <c r="FL44" s="63">
        <v>0</v>
      </c>
      <c r="FM44" s="63">
        <v>2122856.17</v>
      </c>
      <c r="FN44" s="63">
        <v>70835489.310000002</v>
      </c>
      <c r="FO44" s="63">
        <v>0</v>
      </c>
      <c r="FP44" s="63">
        <v>0</v>
      </c>
      <c r="FQ44" s="63">
        <v>0</v>
      </c>
      <c r="FR44" s="63">
        <v>0</v>
      </c>
      <c r="FS44" s="63">
        <v>0</v>
      </c>
      <c r="FT44" s="63">
        <v>0</v>
      </c>
      <c r="FU44" s="63">
        <v>0</v>
      </c>
      <c r="FV44" s="63">
        <v>0</v>
      </c>
      <c r="FW44" s="63">
        <v>0</v>
      </c>
      <c r="FX44" s="63">
        <v>0</v>
      </c>
      <c r="FY44" s="63">
        <v>0</v>
      </c>
      <c r="FZ44" s="63">
        <v>0</v>
      </c>
      <c r="GA44" s="63">
        <v>0</v>
      </c>
      <c r="GB44" s="63">
        <v>0</v>
      </c>
      <c r="GC44" s="63">
        <v>0</v>
      </c>
      <c r="GD44" s="63">
        <v>0</v>
      </c>
      <c r="GE44" s="63">
        <v>0</v>
      </c>
      <c r="GF44" s="63">
        <v>0</v>
      </c>
      <c r="GG44" s="63">
        <v>0</v>
      </c>
      <c r="GH44" s="63">
        <v>0</v>
      </c>
      <c r="GI44" s="63">
        <v>69444270.480000004</v>
      </c>
      <c r="GJ44" s="63">
        <v>0</v>
      </c>
      <c r="GK44" s="63">
        <v>0</v>
      </c>
      <c r="GL44" s="63">
        <v>0</v>
      </c>
      <c r="GM44" s="63">
        <v>0</v>
      </c>
      <c r="GN44" s="63">
        <v>0</v>
      </c>
      <c r="GO44" s="63">
        <v>0</v>
      </c>
      <c r="GP44" s="63">
        <v>0</v>
      </c>
      <c r="GQ44" s="63">
        <v>0</v>
      </c>
      <c r="GR44" s="63">
        <v>0</v>
      </c>
      <c r="GS44" s="63">
        <v>0</v>
      </c>
      <c r="GT44" s="63">
        <v>0</v>
      </c>
      <c r="GU44" s="63">
        <v>0</v>
      </c>
      <c r="GV44" s="63">
        <v>0</v>
      </c>
      <c r="GW44" s="63">
        <v>0</v>
      </c>
      <c r="GX44" s="63">
        <v>0</v>
      </c>
      <c r="GY44" s="63">
        <v>0</v>
      </c>
      <c r="GZ44" s="63">
        <v>0</v>
      </c>
      <c r="HA44" s="63">
        <v>1944257.85</v>
      </c>
      <c r="HB44" s="63">
        <v>69718919.310000002</v>
      </c>
      <c r="HC44" s="63">
        <v>0</v>
      </c>
      <c r="HD44" s="63">
        <v>0</v>
      </c>
      <c r="HE44" s="63">
        <v>0</v>
      </c>
      <c r="HF44" s="63">
        <v>0</v>
      </c>
      <c r="HG44" s="63">
        <v>0</v>
      </c>
      <c r="HH44" s="63">
        <v>0</v>
      </c>
      <c r="HI44" s="63">
        <v>0</v>
      </c>
      <c r="HJ44" s="63">
        <v>0</v>
      </c>
      <c r="HK44" s="63">
        <v>0</v>
      </c>
      <c r="HL44" s="63">
        <v>0</v>
      </c>
      <c r="HM44" s="63">
        <v>0</v>
      </c>
      <c r="HN44" s="63">
        <v>0</v>
      </c>
      <c r="HO44" s="63">
        <v>0</v>
      </c>
      <c r="HP44" s="63">
        <v>0</v>
      </c>
      <c r="HQ44" s="63">
        <v>0</v>
      </c>
      <c r="HR44" s="63">
        <v>0</v>
      </c>
      <c r="HS44" s="63">
        <v>0</v>
      </c>
      <c r="HT44" s="63">
        <v>0</v>
      </c>
      <c r="HU44" s="63">
        <v>0</v>
      </c>
      <c r="HV44" s="63">
        <v>0</v>
      </c>
      <c r="HW44" s="63">
        <v>2011122.67</v>
      </c>
      <c r="HX44" s="63">
        <v>67251191.409999996</v>
      </c>
      <c r="HY44" s="63">
        <v>0</v>
      </c>
      <c r="HZ44" s="63">
        <v>0</v>
      </c>
      <c r="IA44" s="63">
        <v>0</v>
      </c>
      <c r="IB44" s="63">
        <v>0</v>
      </c>
      <c r="IC44" s="63">
        <v>0</v>
      </c>
      <c r="ID44" s="63">
        <v>0</v>
      </c>
      <c r="IE44" s="63">
        <v>0</v>
      </c>
      <c r="IF44" s="63">
        <v>0</v>
      </c>
      <c r="IG44" s="63">
        <v>0</v>
      </c>
      <c r="IH44" s="63">
        <v>0</v>
      </c>
      <c r="II44" s="63">
        <v>0</v>
      </c>
      <c r="IJ44" s="63">
        <v>0</v>
      </c>
      <c r="IK44" s="63">
        <v>0</v>
      </c>
      <c r="IL44" s="63">
        <v>0</v>
      </c>
      <c r="IM44" s="63">
        <v>0</v>
      </c>
      <c r="IN44" s="63">
        <v>0</v>
      </c>
      <c r="IO44" s="63">
        <v>0</v>
      </c>
      <c r="IP44" s="63">
        <v>1939938.21</v>
      </c>
      <c r="IQ44" s="63">
        <v>69648532.700000003</v>
      </c>
      <c r="IR44" s="63">
        <v>0</v>
      </c>
      <c r="IS44" s="63">
        <v>0</v>
      </c>
      <c r="IT44" s="63">
        <v>0</v>
      </c>
      <c r="IU44" s="63">
        <v>0</v>
      </c>
      <c r="IV44" s="63">
        <v>0</v>
      </c>
      <c r="IW44" s="63">
        <v>0</v>
      </c>
      <c r="IX44" s="63">
        <v>0</v>
      </c>
      <c r="IY44" s="63">
        <v>0</v>
      </c>
      <c r="IZ44" s="63">
        <v>0</v>
      </c>
      <c r="JA44" s="63">
        <v>0</v>
      </c>
      <c r="JB44" s="63">
        <v>0</v>
      </c>
      <c r="JC44" s="63">
        <v>0</v>
      </c>
      <c r="JD44" s="63">
        <v>0</v>
      </c>
      <c r="JE44" s="63">
        <v>0</v>
      </c>
      <c r="JF44" s="63">
        <v>0</v>
      </c>
      <c r="JG44" s="63">
        <v>0</v>
      </c>
      <c r="JH44" s="63">
        <v>0</v>
      </c>
      <c r="JI44" s="63">
        <v>0</v>
      </c>
      <c r="JJ44" s="63">
        <v>0</v>
      </c>
      <c r="JK44" s="63">
        <v>2009092.29</v>
      </c>
      <c r="JL44" s="63">
        <v>69949686.540000007</v>
      </c>
      <c r="JM44" s="63">
        <v>0</v>
      </c>
      <c r="JN44" s="63">
        <v>0</v>
      </c>
      <c r="JO44" s="63">
        <v>0</v>
      </c>
      <c r="JP44" s="63">
        <v>0</v>
      </c>
      <c r="JQ44" s="63">
        <v>0</v>
      </c>
      <c r="JR44" s="63">
        <v>0</v>
      </c>
      <c r="JS44" s="63">
        <v>0</v>
      </c>
      <c r="JT44" s="63">
        <v>0</v>
      </c>
      <c r="JU44" s="63">
        <v>0</v>
      </c>
      <c r="JV44" s="63">
        <v>0</v>
      </c>
      <c r="JW44" s="63">
        <v>0</v>
      </c>
      <c r="JX44" s="63">
        <v>0</v>
      </c>
      <c r="JY44" s="63">
        <v>0</v>
      </c>
      <c r="JZ44" s="63">
        <v>0</v>
      </c>
      <c r="KA44" s="63">
        <v>0</v>
      </c>
      <c r="KB44" s="63">
        <v>0</v>
      </c>
      <c r="KC44" s="63">
        <v>0</v>
      </c>
      <c r="KD44" s="63">
        <v>0</v>
      </c>
      <c r="KE44" s="63">
        <v>2017779.42</v>
      </c>
      <c r="KF44" s="63">
        <v>60954366.890000001</v>
      </c>
      <c r="KG44" s="63">
        <v>0</v>
      </c>
      <c r="KH44" s="63">
        <v>0</v>
      </c>
      <c r="KI44" s="63">
        <v>0</v>
      </c>
      <c r="KJ44" s="63">
        <v>0</v>
      </c>
      <c r="KK44" s="63">
        <v>0</v>
      </c>
      <c r="KL44" s="63">
        <v>0</v>
      </c>
      <c r="KM44" s="63">
        <v>0</v>
      </c>
      <c r="KN44" s="63">
        <v>0</v>
      </c>
      <c r="KO44" s="63">
        <v>0</v>
      </c>
      <c r="KP44" s="63">
        <v>0</v>
      </c>
      <c r="KQ44" s="63">
        <v>0</v>
      </c>
      <c r="KR44" s="63">
        <v>0</v>
      </c>
      <c r="KS44" s="63">
        <v>0</v>
      </c>
      <c r="KT44" s="63">
        <v>0</v>
      </c>
      <c r="KU44" s="63">
        <v>0</v>
      </c>
      <c r="KV44" s="63">
        <v>0</v>
      </c>
      <c r="KW44" s="63">
        <v>0</v>
      </c>
      <c r="KX44" s="63">
        <v>0</v>
      </c>
      <c r="KY44" s="63">
        <v>0</v>
      </c>
      <c r="KZ44" s="63">
        <v>1758299.04</v>
      </c>
      <c r="LA44" s="63">
        <v>65542003.469999999</v>
      </c>
      <c r="LB44" s="63">
        <v>0</v>
      </c>
      <c r="LC44" s="63">
        <v>0</v>
      </c>
      <c r="LD44" s="63">
        <v>0</v>
      </c>
      <c r="LE44" s="63">
        <v>0</v>
      </c>
      <c r="LF44" s="63">
        <v>0</v>
      </c>
      <c r="LG44" s="63">
        <v>0</v>
      </c>
      <c r="LH44" s="63">
        <v>0</v>
      </c>
      <c r="LI44" s="63">
        <v>0</v>
      </c>
      <c r="LJ44" s="63">
        <v>0</v>
      </c>
      <c r="LK44" s="63">
        <v>0</v>
      </c>
      <c r="LL44" s="63">
        <v>0</v>
      </c>
      <c r="LM44" s="63">
        <v>0</v>
      </c>
      <c r="LN44" s="63">
        <v>0</v>
      </c>
      <c r="LO44" s="63">
        <v>0</v>
      </c>
      <c r="LP44" s="63">
        <v>0</v>
      </c>
      <c r="LQ44" s="63">
        <v>0</v>
      </c>
      <c r="LR44" s="63">
        <v>1890634.72</v>
      </c>
      <c r="LS44" s="63">
        <v>63681944.770000003</v>
      </c>
      <c r="LT44" s="63">
        <v>0</v>
      </c>
      <c r="LU44" s="63">
        <v>0</v>
      </c>
      <c r="LV44" s="63">
        <v>0</v>
      </c>
      <c r="LW44" s="63">
        <v>0</v>
      </c>
      <c r="LX44" s="63">
        <v>0</v>
      </c>
      <c r="LY44" s="63">
        <v>0</v>
      </c>
      <c r="LZ44" s="63">
        <v>0</v>
      </c>
      <c r="MA44" s="63">
        <v>0</v>
      </c>
      <c r="MB44" s="63">
        <v>0</v>
      </c>
      <c r="MC44" s="63">
        <v>0</v>
      </c>
      <c r="MD44" s="63">
        <v>0</v>
      </c>
      <c r="ME44" s="63">
        <v>0</v>
      </c>
      <c r="MF44" s="63">
        <v>0</v>
      </c>
      <c r="MG44" s="63">
        <v>0</v>
      </c>
      <c r="MH44" s="63">
        <v>0</v>
      </c>
      <c r="MI44" s="63">
        <v>0</v>
      </c>
      <c r="MJ44" s="63">
        <v>0</v>
      </c>
      <c r="MK44" s="63">
        <v>0</v>
      </c>
      <c r="ML44" s="63">
        <v>0</v>
      </c>
      <c r="MM44" s="63">
        <v>1836979.18</v>
      </c>
      <c r="MN44" s="63">
        <v>66675263.32</v>
      </c>
      <c r="MO44" s="63">
        <v>0</v>
      </c>
      <c r="MP44" s="63">
        <v>0</v>
      </c>
      <c r="MQ44" s="63">
        <v>0</v>
      </c>
      <c r="MR44" s="63">
        <v>0</v>
      </c>
      <c r="MS44" s="63">
        <v>0</v>
      </c>
      <c r="MT44" s="63">
        <v>0</v>
      </c>
      <c r="MU44" s="63">
        <v>0</v>
      </c>
      <c r="MV44" s="63">
        <v>0</v>
      </c>
      <c r="MW44" s="63">
        <v>0</v>
      </c>
      <c r="MX44" s="63">
        <v>0</v>
      </c>
      <c r="MY44" s="63">
        <v>0</v>
      </c>
      <c r="MZ44" s="63">
        <v>0</v>
      </c>
      <c r="NA44" s="63">
        <v>0</v>
      </c>
      <c r="NB44" s="63">
        <v>0</v>
      </c>
      <c r="NC44" s="63">
        <v>0</v>
      </c>
      <c r="ND44" s="63">
        <v>0</v>
      </c>
      <c r="NE44" s="63">
        <v>0</v>
      </c>
      <c r="NF44" s="63">
        <v>0</v>
      </c>
      <c r="NG44" s="63">
        <v>0</v>
      </c>
      <c r="NH44" s="63">
        <v>0</v>
      </c>
      <c r="NI44" s="63">
        <v>63456841.289999999</v>
      </c>
      <c r="NJ44" s="63">
        <v>0</v>
      </c>
      <c r="NK44" s="63">
        <v>0</v>
      </c>
      <c r="NL44" s="63">
        <v>0</v>
      </c>
      <c r="NM44" s="63">
        <v>0</v>
      </c>
      <c r="NN44" s="63">
        <v>0</v>
      </c>
      <c r="NO44" s="63">
        <v>0</v>
      </c>
      <c r="NP44" s="63">
        <v>0</v>
      </c>
      <c r="NQ44" s="63">
        <v>0</v>
      </c>
      <c r="NR44" s="63">
        <v>0</v>
      </c>
      <c r="NS44" s="63">
        <v>0</v>
      </c>
      <c r="NT44" s="63">
        <v>0</v>
      </c>
      <c r="NU44" s="63">
        <v>0</v>
      </c>
      <c r="NV44" s="63">
        <v>0</v>
      </c>
      <c r="NW44" s="63">
        <v>0</v>
      </c>
      <c r="NX44" s="63">
        <v>0</v>
      </c>
      <c r="NY44" s="63">
        <v>0</v>
      </c>
      <c r="NZ44" s="63">
        <v>0</v>
      </c>
      <c r="OA44" s="63">
        <v>0</v>
      </c>
      <c r="OB44" s="63">
        <v>1775005.28</v>
      </c>
      <c r="OC44" s="63">
        <v>61231769.93</v>
      </c>
      <c r="OD44" s="63">
        <v>0</v>
      </c>
      <c r="OE44" s="63">
        <v>0</v>
      </c>
      <c r="OF44" s="63">
        <v>0</v>
      </c>
      <c r="OG44" s="63">
        <v>0</v>
      </c>
      <c r="OH44" s="63">
        <v>0</v>
      </c>
      <c r="OI44" s="63">
        <v>0</v>
      </c>
      <c r="OJ44" s="63">
        <v>0</v>
      </c>
      <c r="OK44" s="63">
        <v>0</v>
      </c>
      <c r="OL44" s="63">
        <v>0</v>
      </c>
      <c r="OM44" s="63">
        <v>0</v>
      </c>
      <c r="ON44" s="63">
        <v>0</v>
      </c>
      <c r="OO44" s="63">
        <v>0</v>
      </c>
      <c r="OP44" s="63">
        <v>0</v>
      </c>
      <c r="OQ44" s="63">
        <v>0</v>
      </c>
      <c r="OR44" s="63">
        <v>0</v>
      </c>
      <c r="OS44" s="63">
        <v>0</v>
      </c>
      <c r="OT44" s="63">
        <v>0</v>
      </c>
      <c r="OU44" s="63">
        <v>0</v>
      </c>
      <c r="OV44" s="63">
        <v>0</v>
      </c>
      <c r="OW44" s="63">
        <v>0</v>
      </c>
      <c r="OX44" s="63">
        <v>1766301.05</v>
      </c>
      <c r="OY44" s="63">
        <v>55751342.600000001</v>
      </c>
      <c r="OZ44" s="63">
        <v>0</v>
      </c>
      <c r="PA44" s="63">
        <v>0</v>
      </c>
      <c r="PB44" s="63">
        <v>0</v>
      </c>
      <c r="PC44" s="63">
        <v>0</v>
      </c>
      <c r="PD44" s="63">
        <v>0</v>
      </c>
      <c r="PE44" s="63">
        <v>0</v>
      </c>
      <c r="PF44" s="63">
        <v>0</v>
      </c>
      <c r="PG44" s="63">
        <v>0</v>
      </c>
      <c r="PH44" s="63">
        <v>0</v>
      </c>
      <c r="PI44" s="63">
        <v>0</v>
      </c>
      <c r="PJ44" s="63">
        <v>0</v>
      </c>
      <c r="PK44" s="63">
        <v>0</v>
      </c>
      <c r="PL44" s="63">
        <v>0</v>
      </c>
      <c r="PM44" s="63">
        <v>0</v>
      </c>
      <c r="PN44" s="63">
        <v>0</v>
      </c>
      <c r="PO44" s="63">
        <v>0</v>
      </c>
      <c r="PP44" s="63">
        <v>0</v>
      </c>
      <c r="PQ44" s="63">
        <v>0</v>
      </c>
      <c r="PR44" s="63">
        <v>0</v>
      </c>
      <c r="PS44" s="63">
        <v>49389212.18</v>
      </c>
      <c r="PT44" s="63">
        <v>0</v>
      </c>
      <c r="PU44" s="63">
        <v>0</v>
      </c>
      <c r="PV44" s="63">
        <v>0</v>
      </c>
      <c r="PW44" s="63">
        <v>0</v>
      </c>
      <c r="PX44" s="63">
        <v>0</v>
      </c>
      <c r="PY44" s="63"/>
      <c r="PZ44" s="63"/>
      <c r="QA44" s="63"/>
      <c r="QB44" s="63"/>
      <c r="QC44" s="63"/>
      <c r="QD44" s="63"/>
      <c r="QE44" s="63"/>
      <c r="QF44" s="63"/>
      <c r="QG44" s="63"/>
      <c r="QH44" s="63"/>
      <c r="QI44" s="63"/>
      <c r="QJ44" s="63"/>
      <c r="QK44" s="63"/>
      <c r="QL44" s="63"/>
      <c r="QM44" s="63"/>
      <c r="QN44" s="63"/>
      <c r="QO44" s="63"/>
      <c r="QP44" s="63"/>
      <c r="QQ44" s="63"/>
      <c r="QR44" s="63"/>
      <c r="QS44" s="63"/>
      <c r="QT44" s="63"/>
      <c r="QU44" s="63"/>
      <c r="QV44" s="63"/>
      <c r="QW44" s="63"/>
      <c r="QX44" s="63"/>
      <c r="QY44" s="63"/>
      <c r="QZ44" s="63"/>
      <c r="RA44" s="63"/>
      <c r="RB44" s="63"/>
      <c r="RC44" s="63"/>
      <c r="RD44" s="63"/>
      <c r="RE44" s="63"/>
      <c r="RF44" s="63"/>
      <c r="RG44" s="63"/>
      <c r="RH44" s="63"/>
      <c r="RI44" s="63"/>
      <c r="RJ44" s="63"/>
      <c r="RK44" s="63"/>
      <c r="RL44" s="63"/>
      <c r="RM44" s="63"/>
      <c r="RN44" s="63"/>
      <c r="RO44" s="63"/>
      <c r="RP44" s="63"/>
      <c r="RQ44" s="63"/>
      <c r="RR44" s="63"/>
      <c r="RS44" s="63"/>
      <c r="RT44" s="63"/>
      <c r="RU44" s="63"/>
      <c r="RV44" s="63"/>
      <c r="RW44" s="63"/>
      <c r="RX44" s="63"/>
      <c r="RY44" s="63"/>
      <c r="RZ44" s="63"/>
      <c r="SA44" s="63"/>
    </row>
    <row r="45" spans="1:495" s="77" customFormat="1" x14ac:dyDescent="0.2">
      <c r="A45" s="67" t="s">
        <v>1078</v>
      </c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  <c r="DA45" s="74"/>
      <c r="DB45" s="74"/>
      <c r="DC45" s="74"/>
      <c r="DD45" s="74"/>
      <c r="DE45" s="74"/>
      <c r="DF45" s="74"/>
      <c r="DG45" s="74"/>
      <c r="DH45" s="74"/>
      <c r="DI45" s="74"/>
      <c r="DJ45" s="74"/>
      <c r="DK45" s="74"/>
      <c r="DL45" s="74"/>
      <c r="DM45" s="74"/>
      <c r="DN45" s="74"/>
      <c r="DO45" s="74"/>
      <c r="DP45" s="74"/>
      <c r="DQ45" s="74"/>
      <c r="DR45" s="74"/>
      <c r="DS45" s="74"/>
      <c r="DT45" s="74"/>
      <c r="DU45" s="74"/>
      <c r="DV45" s="74"/>
      <c r="DW45" s="74"/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  <c r="EK45" s="74"/>
      <c r="EL45" s="74"/>
      <c r="EM45" s="74"/>
      <c r="EN45" s="74"/>
      <c r="EO45" s="74"/>
      <c r="EP45" s="74"/>
      <c r="EQ45" s="74"/>
      <c r="ER45" s="74"/>
      <c r="ES45" s="74"/>
      <c r="ET45" s="74"/>
      <c r="EU45" s="74"/>
      <c r="EV45" s="74"/>
      <c r="EW45" s="74"/>
      <c r="EX45" s="74"/>
      <c r="EY45" s="74"/>
      <c r="EZ45" s="74"/>
      <c r="FA45" s="74"/>
      <c r="FB45" s="74"/>
      <c r="FC45" s="74"/>
      <c r="FD45" s="74"/>
      <c r="FE45" s="74"/>
      <c r="FF45" s="74"/>
      <c r="FG45" s="74"/>
      <c r="FH45" s="74"/>
      <c r="FI45" s="74"/>
      <c r="FJ45" s="74"/>
      <c r="FK45" s="74"/>
      <c r="FL45" s="74"/>
      <c r="FM45" s="74"/>
      <c r="FN45" s="74"/>
      <c r="FO45" s="74"/>
      <c r="FP45" s="74"/>
      <c r="FQ45" s="74"/>
      <c r="FR45" s="74"/>
      <c r="FS45" s="74"/>
      <c r="FT45" s="74"/>
      <c r="FU45" s="74"/>
      <c r="FV45" s="74"/>
      <c r="FW45" s="74"/>
      <c r="FX45" s="74"/>
      <c r="FY45" s="74"/>
      <c r="FZ45" s="74"/>
      <c r="GA45" s="74"/>
      <c r="GB45" s="74"/>
      <c r="GC45" s="74"/>
      <c r="GD45" s="74"/>
      <c r="GE45" s="74"/>
      <c r="GF45" s="74"/>
      <c r="GG45" s="74"/>
      <c r="GH45" s="74"/>
      <c r="GI45" s="74"/>
      <c r="GJ45" s="74"/>
      <c r="GK45" s="74"/>
      <c r="GL45" s="74"/>
      <c r="GM45" s="74"/>
      <c r="GN45" s="74"/>
      <c r="GO45" s="74"/>
      <c r="GP45" s="74"/>
      <c r="GQ45" s="74"/>
      <c r="GR45" s="74"/>
      <c r="GS45" s="74"/>
      <c r="GT45" s="74"/>
      <c r="GU45" s="74"/>
      <c r="GV45" s="74"/>
      <c r="GW45" s="74"/>
      <c r="GX45" s="74"/>
      <c r="GY45" s="74"/>
      <c r="GZ45" s="74"/>
      <c r="HA45" s="74"/>
      <c r="HB45" s="74"/>
      <c r="HC45" s="74"/>
      <c r="HD45" s="74"/>
      <c r="HE45" s="74"/>
      <c r="HF45" s="74"/>
      <c r="HG45" s="74"/>
      <c r="HH45" s="74"/>
      <c r="HI45" s="74"/>
      <c r="HJ45" s="74"/>
      <c r="HK45" s="74"/>
      <c r="HL45" s="74"/>
      <c r="HM45" s="74"/>
      <c r="HN45" s="74"/>
      <c r="HO45" s="74"/>
      <c r="HP45" s="74"/>
      <c r="HQ45" s="74"/>
      <c r="HR45" s="74"/>
      <c r="HS45" s="74"/>
      <c r="HT45" s="74"/>
      <c r="HU45" s="74"/>
      <c r="HV45" s="74"/>
      <c r="HW45" s="74"/>
      <c r="HX45" s="74"/>
      <c r="HY45" s="74"/>
      <c r="HZ45" s="74"/>
      <c r="IA45" s="74">
        <v>70000000</v>
      </c>
      <c r="IB45" s="74">
        <f>33*50000000</f>
        <v>1650000000</v>
      </c>
      <c r="IC45" s="74"/>
      <c r="ID45" s="74"/>
      <c r="IE45" s="74"/>
      <c r="IF45" s="74"/>
      <c r="IG45" s="74"/>
      <c r="IH45" s="74"/>
      <c r="II45" s="74"/>
      <c r="IJ45" s="74"/>
      <c r="IK45" s="74"/>
      <c r="IL45" s="74"/>
      <c r="IM45" s="74"/>
      <c r="IN45" s="74"/>
      <c r="IO45" s="74"/>
      <c r="IP45" s="74"/>
      <c r="IQ45" s="74"/>
      <c r="IR45" s="74"/>
      <c r="IS45" s="74"/>
      <c r="IT45" s="74"/>
      <c r="IU45" s="74"/>
      <c r="IV45" s="74"/>
      <c r="IW45" s="74"/>
      <c r="IX45" s="74"/>
      <c r="IY45" s="74"/>
      <c r="IZ45" s="75"/>
      <c r="JA45" s="74"/>
      <c r="JB45" s="74"/>
      <c r="JC45" s="74"/>
      <c r="JD45" s="74"/>
      <c r="JE45" s="74"/>
      <c r="JF45" s="74"/>
      <c r="JG45" s="74"/>
      <c r="JH45" s="74"/>
      <c r="JI45" s="74"/>
      <c r="JJ45" s="74"/>
      <c r="JK45" s="74"/>
      <c r="JL45" s="74"/>
      <c r="JM45" s="74"/>
      <c r="JN45" s="74"/>
      <c r="JO45" s="74"/>
      <c r="JP45" s="74"/>
      <c r="JQ45" s="74"/>
      <c r="JR45" s="74"/>
      <c r="JS45" s="74"/>
      <c r="JT45" s="74"/>
      <c r="JU45" s="74"/>
      <c r="JV45" s="74"/>
      <c r="JW45" s="74"/>
      <c r="JX45" s="74"/>
      <c r="JY45" s="74"/>
      <c r="JZ45" s="74"/>
      <c r="KA45" s="74"/>
      <c r="KB45" s="74"/>
      <c r="KC45" s="74"/>
      <c r="KD45" s="74"/>
      <c r="KE45" s="74"/>
      <c r="KF45" s="74"/>
      <c r="KG45" s="74"/>
      <c r="KH45" s="74"/>
      <c r="KI45" s="74"/>
      <c r="KJ45" s="74"/>
      <c r="KK45" s="74"/>
      <c r="KL45" s="74"/>
      <c r="KM45" s="74"/>
      <c r="KN45" s="74"/>
      <c r="KO45" s="74"/>
      <c r="KP45" s="74"/>
      <c r="KQ45" s="74"/>
      <c r="KR45" s="74"/>
      <c r="KS45" s="74"/>
      <c r="KT45" s="74"/>
      <c r="KU45" s="74"/>
      <c r="KV45" s="74"/>
      <c r="KW45" s="74"/>
      <c r="KX45" s="74"/>
      <c r="KY45" s="74"/>
      <c r="KZ45" s="74"/>
      <c r="LA45" s="76"/>
      <c r="LB45" s="76"/>
      <c r="LC45" s="74"/>
      <c r="LD45" s="74"/>
      <c r="LE45" s="74"/>
      <c r="LF45" s="74"/>
      <c r="LG45" s="74"/>
      <c r="LH45" s="74"/>
      <c r="LI45" s="74"/>
      <c r="LJ45" s="74"/>
      <c r="LK45" s="74"/>
      <c r="LL45" s="74"/>
      <c r="LM45" s="74"/>
      <c r="LN45" s="74"/>
      <c r="LO45" s="74"/>
      <c r="LP45" s="74"/>
      <c r="LQ45" s="74"/>
      <c r="LR45" s="74"/>
      <c r="LS45" s="74"/>
      <c r="LT45" s="74"/>
      <c r="LU45" s="74"/>
      <c r="LV45" s="74"/>
      <c r="LW45" s="74"/>
      <c r="LX45" s="74"/>
      <c r="LY45" s="74"/>
      <c r="LZ45" s="74"/>
      <c r="MA45" s="74"/>
      <c r="MB45" s="74"/>
      <c r="MC45" s="74"/>
      <c r="MD45" s="74"/>
      <c r="ME45" s="74"/>
      <c r="MF45" s="74"/>
      <c r="MG45" s="74"/>
      <c r="MH45" s="74"/>
      <c r="MI45" s="74"/>
      <c r="MJ45" s="74"/>
      <c r="MK45" s="74"/>
      <c r="ML45" s="74"/>
      <c r="MM45" s="74"/>
      <c r="MN45" s="74"/>
      <c r="MO45" s="74"/>
      <c r="MP45" s="74"/>
      <c r="MQ45" s="74"/>
      <c r="MR45" s="74"/>
      <c r="MS45" s="74"/>
      <c r="MT45" s="74"/>
      <c r="MU45" s="74"/>
      <c r="MV45" s="74"/>
      <c r="MW45" s="74"/>
      <c r="MX45" s="74"/>
      <c r="MY45" s="74"/>
      <c r="MZ45" s="74"/>
      <c r="NA45" s="74"/>
      <c r="NB45" s="74"/>
      <c r="NC45" s="74"/>
      <c r="ND45" s="74"/>
      <c r="NE45" s="74"/>
      <c r="NF45" s="74"/>
      <c r="NG45" s="74"/>
      <c r="NH45" s="74"/>
      <c r="NI45" s="74"/>
      <c r="NJ45" s="74"/>
      <c r="NK45" s="74"/>
      <c r="NL45" s="74"/>
      <c r="NM45" s="74"/>
      <c r="NN45" s="74"/>
      <c r="NO45" s="74"/>
      <c r="NP45" s="74"/>
      <c r="NQ45" s="74"/>
      <c r="NR45" s="74"/>
      <c r="NS45" s="74"/>
      <c r="NT45" s="74"/>
      <c r="NU45" s="74"/>
      <c r="NV45" s="74"/>
      <c r="NW45" s="74"/>
      <c r="NX45" s="74"/>
      <c r="NY45" s="74"/>
      <c r="NZ45" s="74"/>
      <c r="OA45" s="74"/>
      <c r="OB45" s="74"/>
      <c r="OC45" s="74"/>
      <c r="OD45" s="74"/>
      <c r="OE45" s="74"/>
      <c r="OF45" s="74"/>
      <c r="OG45" s="74"/>
      <c r="OH45" s="74"/>
      <c r="OI45" s="74"/>
      <c r="OJ45" s="74"/>
      <c r="OK45" s="74"/>
      <c r="OL45" s="74"/>
      <c r="OM45" s="74"/>
      <c r="ON45" s="74"/>
      <c r="OO45" s="74"/>
      <c r="OP45" s="74"/>
      <c r="OQ45" s="74"/>
      <c r="OR45" s="74"/>
      <c r="OS45" s="74"/>
      <c r="OT45" s="74"/>
      <c r="OU45" s="74"/>
      <c r="OV45" s="74"/>
      <c r="OW45" s="74"/>
      <c r="OX45" s="74"/>
      <c r="OY45" s="74"/>
      <c r="OZ45" s="74"/>
      <c r="PA45" s="74"/>
      <c r="PB45" s="74"/>
      <c r="PC45" s="74"/>
      <c r="PD45" s="74"/>
      <c r="PE45" s="74"/>
      <c r="PF45" s="74"/>
      <c r="PG45" s="74"/>
      <c r="PH45" s="74"/>
      <c r="PI45" s="74"/>
      <c r="PJ45" s="74"/>
      <c r="PK45" s="74"/>
      <c r="PL45" s="74"/>
      <c r="PM45" s="74"/>
      <c r="PN45" s="74"/>
      <c r="PO45" s="74"/>
      <c r="PP45" s="74"/>
      <c r="PQ45" s="74"/>
      <c r="PR45" s="74"/>
      <c r="PS45" s="74"/>
      <c r="PT45" s="74"/>
      <c r="PU45" s="74"/>
      <c r="PV45" s="74"/>
      <c r="PW45" s="74"/>
      <c r="PX45" s="74"/>
      <c r="PY45" s="74"/>
      <c r="PZ45" s="74"/>
      <c r="QA45" s="74"/>
      <c r="QB45" s="74"/>
      <c r="QC45" s="74"/>
      <c r="QD45" s="74"/>
      <c r="QE45" s="74"/>
      <c r="QF45" s="74"/>
      <c r="QG45" s="74"/>
      <c r="QH45" s="74"/>
      <c r="QI45" s="74"/>
      <c r="QJ45" s="74"/>
      <c r="QK45" s="74"/>
      <c r="QL45" s="74"/>
      <c r="QM45" s="74"/>
      <c r="QN45" s="74"/>
      <c r="QO45" s="74"/>
      <c r="QP45" s="74"/>
      <c r="QQ45" s="74"/>
      <c r="QR45" s="74"/>
      <c r="QS45" s="74"/>
      <c r="QT45" s="74"/>
      <c r="QU45" s="74"/>
      <c r="QV45" s="74"/>
      <c r="QW45" s="74"/>
      <c r="QX45" s="74"/>
      <c r="QY45" s="74"/>
      <c r="QZ45" s="74"/>
      <c r="RA45" s="74"/>
      <c r="RB45" s="74"/>
      <c r="RC45" s="74"/>
      <c r="RD45" s="74"/>
      <c r="RE45" s="74"/>
      <c r="RF45" s="74"/>
      <c r="RG45" s="74"/>
      <c r="RH45" s="74"/>
      <c r="RI45" s="74"/>
      <c r="RJ45" s="74"/>
      <c r="RK45" s="74"/>
      <c r="RL45" s="74"/>
      <c r="RM45" s="74"/>
      <c r="RN45" s="74"/>
      <c r="RO45" s="74"/>
      <c r="RP45" s="74"/>
      <c r="RQ45" s="74"/>
      <c r="RR45" s="74"/>
      <c r="RS45" s="74"/>
      <c r="RT45" s="74"/>
      <c r="RU45" s="74"/>
      <c r="RV45" s="74"/>
      <c r="RW45" s="74"/>
      <c r="RX45" s="74"/>
      <c r="RY45" s="74"/>
      <c r="RZ45" s="74"/>
      <c r="SA45" s="74"/>
    </row>
    <row r="46" spans="1:495" x14ac:dyDescent="0.2">
      <c r="A46" s="71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  <c r="BQ46" s="68"/>
      <c r="BR46" s="68"/>
      <c r="BS46" s="68"/>
      <c r="BT46" s="68"/>
      <c r="BU46" s="68"/>
      <c r="BV46" s="68"/>
      <c r="BW46" s="68"/>
      <c r="BX46" s="68"/>
      <c r="BY46" s="68"/>
      <c r="BZ46" s="68"/>
      <c r="CA46" s="68"/>
      <c r="CB46" s="68"/>
      <c r="CC46" s="68"/>
      <c r="CD46" s="68"/>
      <c r="CE46" s="68"/>
      <c r="CF46" s="68"/>
      <c r="CG46" s="68"/>
      <c r="CH46" s="68"/>
      <c r="CI46" s="68"/>
      <c r="CJ46" s="68"/>
      <c r="CK46" s="68"/>
      <c r="CL46" s="68"/>
      <c r="CM46" s="68"/>
      <c r="CN46" s="68"/>
      <c r="CO46" s="68"/>
      <c r="CP46" s="68"/>
      <c r="CQ46" s="68"/>
      <c r="CR46" s="68"/>
      <c r="CS46" s="68"/>
      <c r="CT46" s="68"/>
      <c r="CU46" s="68"/>
      <c r="CV46" s="68"/>
      <c r="CW46" s="68"/>
      <c r="CX46" s="68"/>
      <c r="CY46" s="68"/>
      <c r="CZ46" s="68"/>
      <c r="DA46" s="68"/>
      <c r="DB46" s="68"/>
      <c r="DC46" s="68"/>
      <c r="DD46" s="68"/>
      <c r="DE46" s="68"/>
      <c r="DF46" s="68"/>
      <c r="DG46" s="68"/>
      <c r="DH46" s="68"/>
      <c r="DI46" s="68"/>
      <c r="DJ46" s="68"/>
      <c r="DK46" s="68"/>
      <c r="DL46" s="68"/>
      <c r="DM46" s="68"/>
      <c r="DN46" s="68"/>
      <c r="DO46" s="68"/>
      <c r="DP46" s="68"/>
      <c r="DQ46" s="68"/>
      <c r="DR46" s="68"/>
      <c r="DS46" s="68"/>
      <c r="DT46" s="68"/>
      <c r="DU46" s="68"/>
      <c r="DV46" s="68"/>
      <c r="DW46" s="68"/>
      <c r="DX46" s="68"/>
      <c r="DY46" s="68"/>
      <c r="DZ46" s="68"/>
      <c r="EA46" s="68"/>
      <c r="EB46" s="68"/>
      <c r="EC46" s="68"/>
      <c r="ED46" s="68"/>
      <c r="EE46" s="68"/>
      <c r="EF46" s="68"/>
      <c r="EG46" s="68"/>
      <c r="EH46" s="68"/>
      <c r="EI46" s="68"/>
      <c r="EJ46" s="68"/>
      <c r="EK46" s="68"/>
      <c r="EL46" s="68"/>
      <c r="EM46" s="68"/>
      <c r="EN46" s="68"/>
      <c r="EO46" s="68"/>
      <c r="EP46" s="68"/>
      <c r="EQ46" s="68"/>
      <c r="ER46" s="68"/>
      <c r="ES46" s="68"/>
      <c r="ET46" s="68"/>
      <c r="EU46" s="68"/>
      <c r="EV46" s="68"/>
      <c r="EW46" s="68"/>
      <c r="EX46" s="68"/>
      <c r="EY46" s="68"/>
      <c r="EZ46" s="68"/>
      <c r="FA46" s="68"/>
      <c r="FB46" s="68"/>
      <c r="FC46" s="68"/>
      <c r="FD46" s="68"/>
      <c r="FE46" s="68"/>
      <c r="FF46" s="68"/>
      <c r="FG46" s="68"/>
      <c r="FH46" s="68"/>
      <c r="FI46" s="68"/>
      <c r="FJ46" s="68"/>
      <c r="FK46" s="68"/>
      <c r="FL46" s="68"/>
      <c r="FM46" s="68"/>
      <c r="FN46" s="68"/>
      <c r="FO46" s="68"/>
      <c r="FP46" s="68"/>
      <c r="FQ46" s="68"/>
      <c r="FR46" s="68"/>
      <c r="FS46" s="68"/>
      <c r="FT46" s="68"/>
      <c r="FU46" s="68"/>
      <c r="FV46" s="68"/>
      <c r="FW46" s="68"/>
      <c r="FX46" s="68"/>
      <c r="FY46" s="68"/>
      <c r="FZ46" s="68"/>
      <c r="GA46" s="68"/>
      <c r="GB46" s="68"/>
      <c r="GC46" s="68"/>
      <c r="GD46" s="68"/>
      <c r="GE46" s="68"/>
      <c r="GF46" s="68"/>
      <c r="GG46" s="68"/>
      <c r="GH46" s="68"/>
      <c r="GI46" s="68"/>
      <c r="GJ46" s="68"/>
      <c r="GK46" s="68"/>
      <c r="GL46" s="68"/>
      <c r="GM46" s="68"/>
      <c r="GN46" s="68"/>
      <c r="GO46" s="68"/>
      <c r="GP46" s="68"/>
      <c r="GQ46" s="68"/>
      <c r="GR46" s="68"/>
      <c r="GS46" s="68"/>
      <c r="GT46" s="68"/>
      <c r="GU46" s="68"/>
      <c r="GV46" s="68"/>
      <c r="GW46" s="68"/>
      <c r="GX46" s="68"/>
      <c r="GY46" s="68"/>
      <c r="GZ46" s="68"/>
      <c r="HA46" s="68"/>
      <c r="HB46" s="68"/>
      <c r="HC46" s="68"/>
      <c r="HD46" s="68"/>
      <c r="HE46" s="68"/>
      <c r="HF46" s="68"/>
      <c r="HG46" s="68"/>
      <c r="HH46" s="68"/>
      <c r="HI46" s="68"/>
      <c r="HJ46" s="68"/>
      <c r="HK46" s="68"/>
      <c r="HL46" s="68"/>
      <c r="HM46" s="68"/>
      <c r="HN46" s="68"/>
      <c r="HO46" s="68"/>
      <c r="HP46" s="68"/>
      <c r="HQ46" s="68"/>
      <c r="HR46" s="68"/>
      <c r="HS46" s="68"/>
      <c r="HT46" s="68"/>
      <c r="HU46" s="68"/>
      <c r="HV46" s="68"/>
      <c r="HW46" s="68"/>
      <c r="HX46" s="68"/>
      <c r="HY46" s="68"/>
      <c r="HZ46" s="68"/>
      <c r="IA46" s="68"/>
      <c r="IB46" s="68"/>
      <c r="IC46" s="68"/>
      <c r="ID46" s="68"/>
      <c r="IE46" s="68"/>
      <c r="IF46" s="68"/>
      <c r="IG46" s="68"/>
      <c r="IH46" s="68"/>
      <c r="II46" s="68"/>
      <c r="IJ46" s="68"/>
      <c r="IK46" s="68"/>
      <c r="IL46" s="68"/>
      <c r="IM46" s="68"/>
      <c r="IN46" s="68"/>
      <c r="IO46" s="68"/>
      <c r="IP46" s="68"/>
      <c r="IQ46" s="68"/>
      <c r="IR46" s="68"/>
      <c r="IS46" s="68"/>
      <c r="IT46" s="68"/>
      <c r="IU46" s="68"/>
      <c r="IV46" s="68"/>
      <c r="IW46" s="68"/>
      <c r="IX46" s="68"/>
      <c r="IY46" s="68"/>
      <c r="IZ46" s="68"/>
      <c r="JA46" s="68"/>
      <c r="JB46" s="68"/>
      <c r="JC46" s="68"/>
      <c r="JD46" s="68"/>
      <c r="JE46" s="68"/>
      <c r="JF46" s="68"/>
      <c r="JG46" s="68"/>
      <c r="JH46" s="68"/>
      <c r="JI46" s="68"/>
      <c r="JJ46" s="68"/>
      <c r="JK46" s="68"/>
      <c r="JL46" s="68"/>
      <c r="JM46" s="68"/>
      <c r="JN46" s="68"/>
      <c r="JO46" s="68"/>
      <c r="JP46" s="68"/>
      <c r="JQ46" s="68"/>
      <c r="JR46" s="68"/>
      <c r="JS46" s="68"/>
      <c r="JT46" s="68"/>
      <c r="JU46" s="68"/>
      <c r="JV46" s="68"/>
      <c r="JW46" s="68"/>
      <c r="JX46" s="68"/>
      <c r="JY46" s="68"/>
      <c r="JZ46" s="68"/>
      <c r="KA46" s="68"/>
      <c r="KB46" s="68"/>
      <c r="KC46" s="68"/>
      <c r="KD46" s="68"/>
      <c r="KE46" s="68"/>
      <c r="KF46" s="68"/>
      <c r="KG46" s="68"/>
      <c r="KH46" s="68"/>
      <c r="KI46" s="68"/>
      <c r="KJ46" s="68">
        <v>0</v>
      </c>
      <c r="KK46" s="68"/>
      <c r="KL46" s="68"/>
      <c r="KM46" s="68"/>
      <c r="KN46" s="68"/>
      <c r="KO46" s="68"/>
      <c r="KP46" s="68"/>
      <c r="KQ46" s="68"/>
      <c r="KR46" s="68"/>
      <c r="KS46" s="68"/>
      <c r="KT46" s="68"/>
      <c r="KU46" s="68"/>
      <c r="KV46" s="68">
        <v>200000000</v>
      </c>
      <c r="KW46" s="68"/>
      <c r="KX46" s="68"/>
      <c r="KY46" s="68"/>
      <c r="KZ46" s="68"/>
      <c r="LA46" s="68"/>
      <c r="LB46" s="68"/>
      <c r="LC46" s="68"/>
      <c r="LD46" s="68"/>
      <c r="LE46" s="68"/>
      <c r="LF46" s="68"/>
      <c r="LG46" s="68"/>
      <c r="LH46" s="68"/>
      <c r="LI46" s="68"/>
      <c r="LJ46" s="68"/>
      <c r="LK46" s="68"/>
      <c r="LL46" s="68"/>
      <c r="LM46" s="68"/>
      <c r="LN46" s="68"/>
      <c r="LO46" s="68"/>
      <c r="LP46" s="68"/>
      <c r="LQ46" s="68"/>
      <c r="LR46" s="68"/>
      <c r="LS46" s="68"/>
      <c r="LT46" s="68"/>
      <c r="LU46" s="68">
        <v>1899500000</v>
      </c>
      <c r="LV46" s="68"/>
      <c r="LW46" s="68"/>
      <c r="LX46" s="68"/>
      <c r="LY46" s="68"/>
      <c r="LZ46" s="68"/>
      <c r="MA46" s="68"/>
      <c r="MB46" s="68"/>
      <c r="MC46" s="68"/>
      <c r="MD46" s="68"/>
      <c r="ME46" s="68"/>
      <c r="MF46" s="68"/>
      <c r="MG46" s="68"/>
      <c r="MH46" s="68"/>
      <c r="MI46" s="68"/>
      <c r="MJ46" s="68"/>
      <c r="MK46" s="68"/>
      <c r="ML46" s="68"/>
      <c r="MM46" s="68"/>
      <c r="MN46" s="68"/>
      <c r="MO46" s="68"/>
      <c r="MP46" s="68"/>
      <c r="MQ46" s="68"/>
      <c r="MR46" s="68"/>
      <c r="MS46" s="68"/>
      <c r="MT46" s="68"/>
      <c r="MU46" s="68"/>
      <c r="MV46" s="68"/>
      <c r="MW46" s="68"/>
      <c r="MX46" s="68"/>
      <c r="MY46" s="68"/>
      <c r="MZ46" s="68"/>
      <c r="NA46" s="68"/>
      <c r="NB46" s="68"/>
      <c r="NC46" s="68"/>
      <c r="ND46" s="68"/>
      <c r="NE46" s="68"/>
      <c r="NF46" s="68"/>
      <c r="NG46" s="68"/>
      <c r="NH46" s="68"/>
      <c r="NI46" s="68"/>
      <c r="NJ46" s="68"/>
      <c r="NK46" s="68"/>
      <c r="NL46" s="68"/>
      <c r="NM46" s="68"/>
      <c r="NN46" s="68"/>
      <c r="NO46" s="68"/>
      <c r="NP46" s="68"/>
      <c r="NQ46" s="68"/>
      <c r="NR46" s="68"/>
      <c r="NS46" s="68"/>
      <c r="NT46" s="68"/>
      <c r="NU46" s="68"/>
      <c r="NV46" s="68"/>
      <c r="NW46" s="68"/>
      <c r="NX46" s="68"/>
      <c r="NY46" s="68"/>
      <c r="NZ46" s="68"/>
      <c r="OA46" s="68"/>
      <c r="OB46" s="68"/>
      <c r="OC46" s="68"/>
      <c r="OD46" s="68"/>
      <c r="OE46" s="74">
        <v>150000000</v>
      </c>
      <c r="OF46" s="68"/>
      <c r="OG46" s="68"/>
      <c r="OH46" s="68"/>
      <c r="OI46" s="68"/>
      <c r="OJ46" s="68"/>
      <c r="OK46" s="68"/>
      <c r="OL46" s="68"/>
      <c r="OM46" s="68"/>
      <c r="ON46" s="68"/>
      <c r="OO46" s="68"/>
      <c r="OP46" s="68"/>
      <c r="OQ46" s="68"/>
      <c r="OR46" s="68"/>
      <c r="OS46" s="68"/>
      <c r="OT46" s="68"/>
      <c r="OU46" s="68"/>
      <c r="OV46" s="68"/>
      <c r="OW46" s="68"/>
      <c r="OX46" s="68"/>
      <c r="OY46" s="68"/>
      <c r="OZ46" s="68"/>
      <c r="PA46" s="68"/>
      <c r="PB46" s="68"/>
      <c r="PC46" s="68"/>
      <c r="PD46" s="68"/>
      <c r="PE46" s="68"/>
      <c r="PF46" s="68"/>
      <c r="PG46" s="68"/>
      <c r="PH46" s="68">
        <v>1500000000</v>
      </c>
      <c r="PI46" s="68"/>
      <c r="PJ46" s="68"/>
      <c r="PK46" s="68"/>
      <c r="PL46" s="68"/>
      <c r="PM46" s="68"/>
      <c r="PN46" s="68"/>
      <c r="PO46" s="68"/>
      <c r="PP46" s="68"/>
      <c r="PQ46" s="68"/>
      <c r="PR46" s="68"/>
      <c r="PS46" s="68"/>
      <c r="PT46" s="68"/>
      <c r="PU46" s="68"/>
      <c r="PV46" s="68"/>
      <c r="PW46" s="68"/>
      <c r="PX46" s="68"/>
      <c r="PY46" s="68"/>
      <c r="PZ46" s="68"/>
      <c r="QA46" s="68"/>
      <c r="QB46" s="68"/>
      <c r="QC46" s="68"/>
      <c r="QD46" s="68"/>
      <c r="QE46" s="68"/>
      <c r="QF46" s="68"/>
      <c r="QG46" s="68"/>
      <c r="QH46" s="68"/>
      <c r="QI46" s="68"/>
      <c r="QJ46" s="68"/>
      <c r="QK46" s="68"/>
      <c r="QL46" s="68"/>
      <c r="QM46" s="68"/>
      <c r="QN46" s="68"/>
      <c r="QO46" s="68"/>
      <c r="QP46" s="68"/>
      <c r="QQ46" s="68"/>
      <c r="QR46" s="68"/>
      <c r="QS46" s="68"/>
      <c r="QT46" s="68"/>
      <c r="QU46" s="68"/>
      <c r="QV46" s="68"/>
      <c r="QW46" s="68"/>
      <c r="QX46" s="68"/>
      <c r="QY46" s="68"/>
      <c r="QZ46" s="68"/>
      <c r="RA46" s="68"/>
      <c r="RB46" s="68"/>
      <c r="RC46" s="68"/>
      <c r="RD46" s="68"/>
      <c r="RE46" s="68"/>
      <c r="RF46" s="68"/>
      <c r="RG46" s="68"/>
      <c r="RH46" s="68"/>
      <c r="RI46" s="68"/>
      <c r="RJ46" s="68"/>
      <c r="RK46" s="68"/>
      <c r="RL46" s="68"/>
      <c r="RM46" s="68"/>
      <c r="RN46" s="68"/>
      <c r="RO46" s="68"/>
      <c r="RP46" s="68"/>
      <c r="RQ46" s="68"/>
      <c r="RR46" s="68"/>
      <c r="RS46" s="68"/>
      <c r="RT46" s="68"/>
      <c r="RU46" s="68"/>
      <c r="RV46" s="68"/>
      <c r="RW46" s="68"/>
      <c r="RX46" s="68"/>
      <c r="RY46" s="68"/>
      <c r="RZ46" s="68"/>
      <c r="SA46" s="68"/>
    </row>
    <row r="47" spans="1:495" x14ac:dyDescent="0.2">
      <c r="A47" s="69" t="s">
        <v>1086</v>
      </c>
      <c r="B47" s="70">
        <v>783350382.36000001</v>
      </c>
      <c r="C47" s="70">
        <v>5748107061.8000002</v>
      </c>
      <c r="D47" s="70">
        <v>1288096324.1999998</v>
      </c>
      <c r="E47" s="70">
        <v>12958822757.66</v>
      </c>
      <c r="F47" s="70">
        <v>5125503467.9300003</v>
      </c>
      <c r="G47" s="70">
        <v>17183538798.09</v>
      </c>
      <c r="H47" s="70">
        <v>3672332270.3299999</v>
      </c>
      <c r="I47" s="70">
        <v>8487839268.3600006</v>
      </c>
      <c r="J47" s="70">
        <v>8693721986.039999</v>
      </c>
      <c r="K47" s="70">
        <v>2891691261.4200001</v>
      </c>
      <c r="L47" s="70">
        <v>16067580778.309999</v>
      </c>
      <c r="M47" s="70">
        <v>3954772339.4200001</v>
      </c>
      <c r="N47" s="70">
        <v>5852337432.6000004</v>
      </c>
      <c r="O47" s="70">
        <v>7217521050.1400003</v>
      </c>
      <c r="P47" s="70">
        <v>3125278997.5099998</v>
      </c>
      <c r="Q47" s="70">
        <v>10350661358.210001</v>
      </c>
      <c r="R47" s="70">
        <v>6912603172.3099995</v>
      </c>
      <c r="S47" s="70">
        <v>6098957540.3899994</v>
      </c>
      <c r="T47" s="70">
        <v>5938117420.1599998</v>
      </c>
      <c r="U47" s="70">
        <v>5086632618.4200001</v>
      </c>
      <c r="V47" s="70">
        <v>9618166988.2800007</v>
      </c>
      <c r="W47" s="70">
        <v>5608259881.6199999</v>
      </c>
      <c r="X47" s="70">
        <v>7937886533.2600002</v>
      </c>
      <c r="Y47" s="70">
        <v>3250206825.2799997</v>
      </c>
      <c r="Z47" s="70">
        <v>1516222129.9000001</v>
      </c>
      <c r="AA47" s="70">
        <v>6357614604.4200001</v>
      </c>
      <c r="AB47" s="70">
        <v>4425926029.5</v>
      </c>
      <c r="AC47" s="70">
        <v>3447059498.4399996</v>
      </c>
      <c r="AD47" s="70">
        <v>5179156897.0500002</v>
      </c>
      <c r="AE47" s="70">
        <v>6383778232.2700005</v>
      </c>
      <c r="AF47" s="70">
        <v>6970037770.0200005</v>
      </c>
      <c r="AG47" s="70">
        <v>4807267505.6599998</v>
      </c>
      <c r="AH47" s="70">
        <v>5187447241.0299997</v>
      </c>
      <c r="AI47" s="70">
        <v>1897872958.1199999</v>
      </c>
      <c r="AJ47" s="70">
        <v>4137381329.6900001</v>
      </c>
      <c r="AK47" s="70">
        <v>5642004418.6000004</v>
      </c>
      <c r="AL47" s="70">
        <v>5814724138.0500002</v>
      </c>
      <c r="AM47" s="70">
        <v>7865857901.8799992</v>
      </c>
      <c r="AN47" s="70">
        <v>3013355020.4499998</v>
      </c>
      <c r="AO47" s="70">
        <v>7822102645.8699999</v>
      </c>
      <c r="AP47" s="70">
        <v>7030768758.2299995</v>
      </c>
      <c r="AQ47" s="70">
        <v>5440593875.3600006</v>
      </c>
      <c r="AR47" s="70">
        <v>8147571933.3299999</v>
      </c>
      <c r="AS47" s="70">
        <v>3306732123.2999997</v>
      </c>
      <c r="AT47" s="70">
        <v>8759875420.9100018</v>
      </c>
      <c r="AU47" s="70">
        <v>6182136202.5300007</v>
      </c>
      <c r="AV47" s="70">
        <v>5506954905.3699999</v>
      </c>
      <c r="AW47" s="70">
        <v>10668466266.66</v>
      </c>
      <c r="AX47" s="70">
        <v>3848017023.1399999</v>
      </c>
      <c r="AY47" s="70">
        <v>8263615242.9200001</v>
      </c>
      <c r="AZ47" s="70">
        <v>5452512422.0299997</v>
      </c>
      <c r="BA47" s="70">
        <v>7841033386.8900003</v>
      </c>
      <c r="BB47" s="70">
        <v>4315400173.96</v>
      </c>
      <c r="BC47" s="70">
        <v>925770291.33000004</v>
      </c>
      <c r="BD47" s="70">
        <v>3710359777.9099998</v>
      </c>
      <c r="BE47" s="70">
        <v>4555171900.9300003</v>
      </c>
      <c r="BF47" s="70">
        <v>29331643550.98</v>
      </c>
      <c r="BG47" s="70">
        <v>8594305283.2399979</v>
      </c>
      <c r="BH47" s="70">
        <v>9995553221.0100002</v>
      </c>
      <c r="BI47" s="70">
        <v>22975805203.470001</v>
      </c>
      <c r="BJ47" s="70">
        <v>8859445615.6100006</v>
      </c>
      <c r="BK47" s="70">
        <v>6576072231.2600002</v>
      </c>
      <c r="BL47" s="70">
        <v>9967435106.75</v>
      </c>
      <c r="BM47" s="70">
        <v>2865556159.9900002</v>
      </c>
      <c r="BN47" s="70">
        <v>6518003633.1800003</v>
      </c>
      <c r="BO47" s="70">
        <v>11257982399.17</v>
      </c>
      <c r="BP47" s="70">
        <v>14680407638.58</v>
      </c>
      <c r="BQ47" s="70">
        <v>3979591509.5799999</v>
      </c>
      <c r="BR47" s="70">
        <v>6884422623.9099998</v>
      </c>
      <c r="BS47" s="70">
        <v>8177495463.6599998</v>
      </c>
      <c r="BT47" s="70">
        <v>1680262084.02</v>
      </c>
      <c r="BU47" s="70">
        <v>3530075335.8200002</v>
      </c>
      <c r="BV47" s="70">
        <v>11123117374.33</v>
      </c>
      <c r="BW47" s="70">
        <v>4619378747.7600002</v>
      </c>
      <c r="BX47" s="70">
        <v>9407264753.3199997</v>
      </c>
      <c r="BY47" s="70">
        <v>4685145078.0200005</v>
      </c>
      <c r="BZ47" s="70">
        <v>5308818985.8699999</v>
      </c>
      <c r="CA47" s="70">
        <v>4037778080.4200001</v>
      </c>
      <c r="CB47" s="70">
        <v>5645955476.6399994</v>
      </c>
      <c r="CC47" s="70">
        <v>10547449598.580002</v>
      </c>
      <c r="CD47" s="70">
        <v>2505697721.04</v>
      </c>
      <c r="CE47" s="70">
        <v>7475349707.0900002</v>
      </c>
      <c r="CF47" s="70">
        <v>5419358618.7700005</v>
      </c>
      <c r="CG47" s="70">
        <v>3134701771.0500002</v>
      </c>
      <c r="CH47" s="70">
        <v>5749802518.8100004</v>
      </c>
      <c r="CI47" s="70">
        <v>5019302041.1099997</v>
      </c>
      <c r="CJ47" s="70">
        <v>8583780767.8999996</v>
      </c>
      <c r="CK47" s="70">
        <v>6212396589.0900002</v>
      </c>
      <c r="CL47" s="70">
        <v>1630644989.3600001</v>
      </c>
      <c r="CM47" s="70">
        <v>5317451146.9899998</v>
      </c>
      <c r="CN47" s="70">
        <v>7284689498.7800007</v>
      </c>
      <c r="CO47" s="70">
        <v>4566861991.5500002</v>
      </c>
      <c r="CP47" s="70">
        <v>4112249419.9300003</v>
      </c>
      <c r="CQ47" s="70">
        <v>2101508029.1399999</v>
      </c>
      <c r="CR47" s="70">
        <v>5687037417.9799995</v>
      </c>
      <c r="CS47" s="70">
        <v>8573646218.9400005</v>
      </c>
      <c r="CT47" s="70">
        <v>1125330250.5599999</v>
      </c>
      <c r="CU47" s="70">
        <v>5391676736.7600002</v>
      </c>
      <c r="CV47" s="70">
        <v>3109192526.3499999</v>
      </c>
      <c r="CW47" s="70">
        <v>6422098455.8500004</v>
      </c>
      <c r="CX47" s="70">
        <v>4764615535.2299995</v>
      </c>
      <c r="CY47" s="70">
        <v>5410155870.2299995</v>
      </c>
      <c r="CZ47" s="70">
        <v>4145763693.2000003</v>
      </c>
      <c r="DA47" s="70">
        <v>3889588187.6899996</v>
      </c>
      <c r="DB47" s="70">
        <v>6016245342.4800005</v>
      </c>
      <c r="DC47" s="70">
        <v>4186123696.6799998</v>
      </c>
      <c r="DD47" s="70">
        <v>2397082425.6300001</v>
      </c>
      <c r="DE47" s="70">
        <v>5020601714.3000002</v>
      </c>
      <c r="DF47" s="70">
        <v>1897874095.71</v>
      </c>
      <c r="DG47" s="70">
        <v>6096927260.6499996</v>
      </c>
      <c r="DH47" s="70">
        <v>3143737719.6399999</v>
      </c>
      <c r="DI47" s="70">
        <f>SUM(DI38:DI46)</f>
        <v>4817134671.29</v>
      </c>
      <c r="DJ47" s="70">
        <f>SUM(DJ38:DJ46)</f>
        <v>4938121543.2200003</v>
      </c>
      <c r="DK47" s="70">
        <f>SUM(DK38:DK46)</f>
        <v>0</v>
      </c>
      <c r="DL47" s="70">
        <f>SUM(DL38:DL46)</f>
        <v>5215608278.3600006</v>
      </c>
      <c r="DM47" s="70">
        <f>SUM(DM38:DM46)</f>
        <v>3394389661.8999996</v>
      </c>
      <c r="DN47" s="70">
        <v>4880218833.1800003</v>
      </c>
      <c r="DO47" s="70">
        <v>4503327834.4099998</v>
      </c>
      <c r="DP47" s="70">
        <v>5649068927.8299999</v>
      </c>
      <c r="DQ47" s="70">
        <v>5894193843.6000004</v>
      </c>
      <c r="DR47" s="70">
        <v>3421906119.2800002</v>
      </c>
      <c r="DS47" s="70">
        <v>5310143026.4200001</v>
      </c>
      <c r="DT47" s="70">
        <v>1967669503.1700001</v>
      </c>
      <c r="DU47" s="70">
        <v>2422162960.3699999</v>
      </c>
      <c r="DV47" s="70">
        <v>8184730664.1800003</v>
      </c>
      <c r="DW47" s="70">
        <v>2979414992.5699997</v>
      </c>
      <c r="DX47" s="70">
        <v>3298979752.8499994</v>
      </c>
      <c r="DY47" s="70">
        <v>6161886784.5599995</v>
      </c>
      <c r="DZ47" s="70">
        <v>8083008156.4099998</v>
      </c>
      <c r="EA47" s="70">
        <v>5244103502.5199995</v>
      </c>
      <c r="EB47" s="70">
        <v>6124677525.4899998</v>
      </c>
      <c r="EC47" s="70">
        <v>2042230411.1299999</v>
      </c>
      <c r="ED47" s="70">
        <v>1216712240.1599998</v>
      </c>
      <c r="EE47" s="70">
        <v>5810270222.2399998</v>
      </c>
      <c r="EF47" s="70">
        <v>1124459125.79</v>
      </c>
      <c r="EG47" s="70">
        <v>7161748371.0100002</v>
      </c>
      <c r="EH47" s="70">
        <v>4036984950.0699997</v>
      </c>
      <c r="EI47" s="70">
        <v>2059010542.52</v>
      </c>
      <c r="EJ47" s="70">
        <v>4859876282.7600002</v>
      </c>
      <c r="EK47" s="70">
        <v>6415356064.3199997</v>
      </c>
      <c r="EL47" s="70">
        <v>1872386429.5599999</v>
      </c>
      <c r="EM47" s="70">
        <v>5690872908.4099998</v>
      </c>
      <c r="EN47" s="70">
        <v>7666623690.7700005</v>
      </c>
      <c r="EO47" s="70">
        <v>3881280450.6599998</v>
      </c>
      <c r="EP47" s="70">
        <v>5470459665.8400002</v>
      </c>
      <c r="EQ47" s="70">
        <v>2815918860.4000001</v>
      </c>
      <c r="ER47" s="70">
        <v>3667546792.3900003</v>
      </c>
      <c r="ES47" s="70">
        <v>7199280774.54</v>
      </c>
      <c r="ET47" s="70">
        <v>950627486.50999999</v>
      </c>
      <c r="EU47" s="70">
        <v>3507928607.6700001</v>
      </c>
      <c r="EV47" s="70">
        <v>1549665524.1400001</v>
      </c>
      <c r="EW47" s="70">
        <v>6641555874.46</v>
      </c>
      <c r="EX47" s="70">
        <v>3962091748.6900001</v>
      </c>
      <c r="EY47" s="70">
        <v>4430847389.6700001</v>
      </c>
      <c r="EZ47" s="70">
        <v>2015125285.9200001</v>
      </c>
      <c r="FA47" s="70">
        <v>1025707572.09</v>
      </c>
      <c r="FB47" s="70">
        <v>5664783296.4499998</v>
      </c>
      <c r="FC47" s="70">
        <v>2646954438.75</v>
      </c>
      <c r="FD47" s="70">
        <v>3754237469.7200003</v>
      </c>
      <c r="FE47" s="70">
        <v>4295891415.8500004</v>
      </c>
      <c r="FF47" s="70">
        <v>1640204673.8299999</v>
      </c>
      <c r="FG47" s="70">
        <v>6874488633.4899998</v>
      </c>
      <c r="FH47" s="70">
        <v>3507045668.6799998</v>
      </c>
      <c r="FI47" s="70">
        <v>2702475108.4900002</v>
      </c>
      <c r="FJ47" s="70">
        <v>3973636070.5699997</v>
      </c>
      <c r="FK47" s="70">
        <v>1247135982.3400002</v>
      </c>
      <c r="FL47" s="70">
        <v>5620075062.1900005</v>
      </c>
      <c r="FM47" s="70">
        <f>SUM(FM38:FM46)</f>
        <v>2934023434.0699997</v>
      </c>
      <c r="FN47" s="70">
        <f>SUM(FN38:FN46)</f>
        <v>6359636625.6100006</v>
      </c>
      <c r="FO47" s="70">
        <f>SUM(FO38:FO46)</f>
        <v>2850092304.9099998</v>
      </c>
      <c r="FP47" s="70">
        <f>SUM(FP38:FP46)</f>
        <v>1720070719.1399999</v>
      </c>
      <c r="FQ47" s="70">
        <v>0</v>
      </c>
      <c r="FR47" s="70">
        <v>2503733708.1199999</v>
      </c>
      <c r="FS47" s="70">
        <v>1844871790.9300001</v>
      </c>
      <c r="FT47" s="70">
        <v>2854175099.0799999</v>
      </c>
      <c r="FU47" s="70">
        <v>1181112639.1700001</v>
      </c>
      <c r="FV47" s="70">
        <v>7727309701.9800005</v>
      </c>
      <c r="FW47" s="70">
        <v>2346704541.1199999</v>
      </c>
      <c r="FX47" s="70">
        <v>4854102353.2700005</v>
      </c>
      <c r="FY47" s="70">
        <v>974371895.03999996</v>
      </c>
      <c r="FZ47" s="70">
        <v>827928473.25</v>
      </c>
      <c r="GA47" s="70">
        <v>4193715931.1199999</v>
      </c>
      <c r="GB47" s="70">
        <v>2436496146.1500001</v>
      </c>
      <c r="GC47" s="70">
        <v>4668078221.2200003</v>
      </c>
      <c r="GD47" s="70">
        <v>2456480444.2600002</v>
      </c>
      <c r="GE47" s="70">
        <v>1178268555.3499999</v>
      </c>
      <c r="GF47" s="70">
        <v>5802272477.1599998</v>
      </c>
      <c r="GG47" s="70">
        <v>1449955212.8699999</v>
      </c>
      <c r="GH47" s="70">
        <v>5139515475.3200006</v>
      </c>
      <c r="GI47" s="70">
        <v>865486241.23000002</v>
      </c>
      <c r="GJ47" s="70">
        <v>1825031853.1700001</v>
      </c>
      <c r="GK47" s="70">
        <v>1978264453.2400002</v>
      </c>
      <c r="GL47" s="70">
        <v>6859700307.9599991</v>
      </c>
      <c r="GM47" s="70">
        <v>8817390389.7999992</v>
      </c>
      <c r="GN47" s="70">
        <v>1457644908.9400001</v>
      </c>
      <c r="GO47" s="70">
        <v>5159842046.0199995</v>
      </c>
      <c r="GP47" s="70">
        <v>3153084262.04</v>
      </c>
      <c r="GQ47" s="70">
        <v>5891589898.9099998</v>
      </c>
      <c r="GR47" s="70">
        <v>6356676496.6300001</v>
      </c>
      <c r="GS47" s="70">
        <v>3553433673.1800003</v>
      </c>
      <c r="GT47" s="70">
        <v>6410079337.5699997</v>
      </c>
      <c r="GU47" s="70">
        <v>3847419550.4499998</v>
      </c>
      <c r="GV47" s="70">
        <v>2967322631.3600001</v>
      </c>
      <c r="GW47" s="70">
        <v>11149396948.959999</v>
      </c>
      <c r="GX47" s="70">
        <v>1995425686.3499999</v>
      </c>
      <c r="GY47" s="70">
        <v>4195434040.0599999</v>
      </c>
      <c r="GZ47" s="70">
        <v>4809391951.7199993</v>
      </c>
      <c r="HA47" s="70">
        <v>2044413516.2799997</v>
      </c>
      <c r="HB47" s="70">
        <v>6476656545.4500008</v>
      </c>
      <c r="HC47" s="70">
        <v>4175647449.46</v>
      </c>
      <c r="HD47" s="70">
        <v>2726913533.27</v>
      </c>
      <c r="HE47" s="70">
        <v>3673596904.7200003</v>
      </c>
      <c r="HF47" s="70">
        <v>1354186557.47</v>
      </c>
      <c r="HG47" s="70">
        <v>11923285408.630001</v>
      </c>
      <c r="HH47" s="70">
        <v>2456233154.8600001</v>
      </c>
      <c r="HI47" s="70">
        <v>3700123866.9700003</v>
      </c>
      <c r="HJ47" s="70">
        <v>3957499672.5299997</v>
      </c>
      <c r="HK47" s="70">
        <v>1678865715.1900001</v>
      </c>
      <c r="HL47" s="70">
        <v>0</v>
      </c>
      <c r="HM47" s="70">
        <v>3880726709.3000002</v>
      </c>
      <c r="HN47" s="70">
        <v>7678354654.0600004</v>
      </c>
      <c r="HO47" s="70">
        <v>2285604072.3699999</v>
      </c>
      <c r="HP47" s="70">
        <v>1172681223.78</v>
      </c>
      <c r="HQ47" s="70">
        <v>7598922582.8800011</v>
      </c>
      <c r="HR47" s="70">
        <v>1886002651.9299998</v>
      </c>
      <c r="HS47" s="70">
        <v>4714998701.6900005</v>
      </c>
      <c r="HT47" s="70">
        <v>4616276056.9899998</v>
      </c>
      <c r="HU47" s="70">
        <v>3975420052.9299998</v>
      </c>
      <c r="HV47" s="70">
        <v>7482696390.8899994</v>
      </c>
      <c r="HW47" s="70">
        <v>2307662001.8600001</v>
      </c>
      <c r="HX47" s="70">
        <v>4359108209.1800003</v>
      </c>
      <c r="HY47" s="70">
        <v>5353889378.3199997</v>
      </c>
      <c r="HZ47" s="70">
        <f>SUM(HZ38:HZ46)</f>
        <v>5698178386.1900005</v>
      </c>
      <c r="IA47" s="70">
        <f>SUM(IA38:IA46)</f>
        <v>4628227568.8699999</v>
      </c>
      <c r="IB47" s="70">
        <f>SUM(IB38:IB46)</f>
        <v>2726040673.1100001</v>
      </c>
      <c r="IC47" s="70">
        <v>0</v>
      </c>
      <c r="ID47" s="70">
        <v>5240276385.29</v>
      </c>
      <c r="IE47" s="70">
        <v>2892978454.4099998</v>
      </c>
      <c r="IF47" s="70">
        <v>4280130484.3800001</v>
      </c>
      <c r="IG47" s="70">
        <v>5852895966.9899998</v>
      </c>
      <c r="IH47" s="70">
        <v>1341915355.5500002</v>
      </c>
      <c r="II47" s="70">
        <v>6719167904.9899998</v>
      </c>
      <c r="IJ47" s="70">
        <v>3308538082.1599998</v>
      </c>
      <c r="IK47" s="70">
        <v>3326989218.4200001</v>
      </c>
      <c r="IL47" s="70">
        <v>3931838283.6500001</v>
      </c>
      <c r="IM47" s="70">
        <v>4123247496.29</v>
      </c>
      <c r="IN47" s="70">
        <v>2849297293.5</v>
      </c>
      <c r="IO47" s="70">
        <v>5832385939.8099995</v>
      </c>
      <c r="IP47" s="70">
        <v>1498249407.6900001</v>
      </c>
      <c r="IQ47" s="70">
        <v>4541400568.7699995</v>
      </c>
      <c r="IR47" s="70">
        <v>2081408313.29</v>
      </c>
      <c r="IS47" s="70">
        <v>5796823426.79</v>
      </c>
      <c r="IT47" s="70">
        <v>3976013736.21</v>
      </c>
      <c r="IU47" s="70">
        <v>1106222870.4299998</v>
      </c>
      <c r="IV47" s="70">
        <v>3579135151.5599999</v>
      </c>
      <c r="IW47" s="70">
        <v>2135282649</v>
      </c>
      <c r="IX47" s="70">
        <v>4246183010.6999998</v>
      </c>
      <c r="IY47" s="70">
        <v>5177938093.9300003</v>
      </c>
      <c r="IZ47" s="70">
        <v>3971904744.9200001</v>
      </c>
      <c r="JA47" s="70">
        <v>3560523855.1800003</v>
      </c>
      <c r="JB47" s="70">
        <v>2145996846.5900002</v>
      </c>
      <c r="JC47" s="70">
        <v>4011521329.3499999</v>
      </c>
      <c r="JD47" s="70">
        <v>2817674193.96</v>
      </c>
      <c r="JE47" s="70">
        <f>SUM(JE38:JE46)</f>
        <v>962298338.5</v>
      </c>
      <c r="JF47" s="70">
        <v>1905890760.55</v>
      </c>
      <c r="JG47" s="70">
        <f>SUM(JG38:JG46)</f>
        <v>3120977766.1599998</v>
      </c>
      <c r="JH47" s="70">
        <v>5386891699.7000008</v>
      </c>
      <c r="JI47" s="70">
        <v>757080945.4000001</v>
      </c>
      <c r="JJ47" s="70">
        <v>123886084.31999999</v>
      </c>
      <c r="JK47" s="70">
        <v>3279366813.1400003</v>
      </c>
      <c r="JL47" s="70">
        <v>4995083953.4099998</v>
      </c>
      <c r="JM47" s="70">
        <v>5212047554.4200001</v>
      </c>
      <c r="JN47" s="70">
        <v>2589825130.1599998</v>
      </c>
      <c r="JO47" s="70">
        <v>2646287715.5100002</v>
      </c>
      <c r="JP47" s="70">
        <v>7596234733.7199993</v>
      </c>
      <c r="JQ47" s="70">
        <v>3817312600.1599998</v>
      </c>
      <c r="JR47" s="70">
        <v>4935303378.0100002</v>
      </c>
      <c r="JS47" s="70">
        <v>2617737441.77</v>
      </c>
      <c r="JT47" s="70">
        <v>1015635090.01</v>
      </c>
      <c r="JU47" s="70">
        <v>4441959551.3699999</v>
      </c>
      <c r="JV47" s="70">
        <v>1140301805.45</v>
      </c>
      <c r="JW47" s="70">
        <v>3968741272.4200001</v>
      </c>
      <c r="JX47" s="70">
        <v>2132535951.6700001</v>
      </c>
      <c r="JY47" s="70">
        <v>999606927.4000001</v>
      </c>
      <c r="JZ47" s="70">
        <v>4153278565.1599998</v>
      </c>
      <c r="KA47" s="70">
        <v>776610236.44000006</v>
      </c>
      <c r="KB47" s="70">
        <v>3718217124.6600003</v>
      </c>
      <c r="KC47" s="70">
        <v>2520476470.4499998</v>
      </c>
      <c r="KD47" s="70">
        <v>3524213288.96</v>
      </c>
      <c r="KE47" s="70">
        <v>1553588733.0900002</v>
      </c>
      <c r="KF47" s="70">
        <v>3925089230.1399999</v>
      </c>
      <c r="KG47" s="70">
        <v>5772799427.8099995</v>
      </c>
      <c r="KH47" s="70">
        <v>1231625196.1800001</v>
      </c>
      <c r="KI47" s="70">
        <v>2913712019.4300003</v>
      </c>
      <c r="KJ47" s="70">
        <v>3331236384.73</v>
      </c>
      <c r="KK47" s="70">
        <v>2502503509.9099998</v>
      </c>
      <c r="KL47" s="70">
        <v>5132723031.5500002</v>
      </c>
      <c r="KM47" s="70">
        <v>2159625193.8299999</v>
      </c>
      <c r="KN47" s="70">
        <v>4158722947.23</v>
      </c>
      <c r="KO47" s="70">
        <v>2126368762.6099999</v>
      </c>
      <c r="KP47" s="70">
        <v>2105312588.3299999</v>
      </c>
      <c r="KQ47" s="70">
        <v>2813505487.9000001</v>
      </c>
      <c r="KR47" s="70">
        <v>1795115098.5999999</v>
      </c>
      <c r="KS47" s="70">
        <v>6081942556.8600006</v>
      </c>
      <c r="KT47" s="70">
        <v>1123744477.02</v>
      </c>
      <c r="KU47" s="70">
        <v>2796026402.3400002</v>
      </c>
      <c r="KV47" s="70">
        <v>1045461331.1900001</v>
      </c>
      <c r="KW47" s="70">
        <v>1139937308.46</v>
      </c>
      <c r="KX47" s="70">
        <v>1102701371.47</v>
      </c>
      <c r="KY47" s="70">
        <v>772854321.48000002</v>
      </c>
      <c r="KZ47" s="70">
        <v>6704116124.5</v>
      </c>
      <c r="LA47" s="70">
        <v>5338071559.7300005</v>
      </c>
      <c r="LB47" s="70">
        <v>7777861259.5200005</v>
      </c>
      <c r="LC47" s="70">
        <v>2725318219.6500001</v>
      </c>
      <c r="LD47" s="70">
        <v>2767735798.9300003</v>
      </c>
      <c r="LE47" s="70">
        <v>3822676146.8199997</v>
      </c>
      <c r="LF47" s="70">
        <v>703448594.97000003</v>
      </c>
      <c r="LG47" s="70">
        <v>3540533143.96</v>
      </c>
      <c r="LH47" s="70">
        <v>636861424.63</v>
      </c>
      <c r="LI47" s="70">
        <v>4809852118.8899994</v>
      </c>
      <c r="LJ47" s="70">
        <v>4035478975.4899998</v>
      </c>
      <c r="LK47" s="70">
        <v>6449796295.0999994</v>
      </c>
      <c r="LL47" s="70">
        <v>4007796337.3899999</v>
      </c>
      <c r="LM47" s="70">
        <v>5750783140.1199999</v>
      </c>
      <c r="LN47" s="70">
        <v>2762168343.7200003</v>
      </c>
      <c r="LO47" s="70">
        <v>4693146440.9899998</v>
      </c>
      <c r="LP47" s="70">
        <v>4174048940.2300005</v>
      </c>
      <c r="LQ47" s="70">
        <v>2490188651.4099998</v>
      </c>
      <c r="LR47" s="70">
        <v>1604678286.9199998</v>
      </c>
      <c r="LS47" s="70">
        <v>4512527998.1100006</v>
      </c>
      <c r="LT47" s="70">
        <v>1097962367.9200001</v>
      </c>
      <c r="LU47" s="70">
        <v>12292835689.24</v>
      </c>
      <c r="LV47" s="70">
        <v>2107849466.9099998</v>
      </c>
      <c r="LW47" s="70">
        <v>1180900834.3299999</v>
      </c>
      <c r="LX47" s="70">
        <v>2781947406.0100002</v>
      </c>
      <c r="LY47" s="70">
        <v>1850560579.3</v>
      </c>
      <c r="LZ47" s="70">
        <v>3763400135.2000003</v>
      </c>
      <c r="MA47" s="70">
        <v>3763681124.54</v>
      </c>
      <c r="MB47" s="70">
        <v>3549298994.73</v>
      </c>
      <c r="MC47" s="70">
        <v>6696441974.8599997</v>
      </c>
      <c r="MD47" s="70">
        <v>2362113220.25</v>
      </c>
      <c r="ME47" s="70">
        <v>4530272734.2399998</v>
      </c>
      <c r="MF47" s="70">
        <v>2189367037</v>
      </c>
      <c r="MG47" s="70">
        <v>2077737775.3799999</v>
      </c>
      <c r="MH47" s="70">
        <v>3930082249.8499999</v>
      </c>
      <c r="MI47" s="70">
        <v>8011057401.8200006</v>
      </c>
      <c r="MJ47" s="70">
        <v>1501529371.1800001</v>
      </c>
      <c r="MK47" s="70">
        <v>2184378080.21</v>
      </c>
      <c r="ML47" s="70">
        <v>5701071060.46</v>
      </c>
      <c r="MM47" s="70">
        <v>1858992586.21</v>
      </c>
      <c r="MN47" s="70">
        <v>2485675969.0599999</v>
      </c>
      <c r="MO47" s="70">
        <v>1321499706.1500001</v>
      </c>
      <c r="MP47" s="70">
        <v>1180129428.7</v>
      </c>
      <c r="MQ47" s="70">
        <v>6123390878.2999992</v>
      </c>
      <c r="MR47" s="70">
        <v>569715974.47000003</v>
      </c>
      <c r="MS47" s="70">
        <v>1151135906.0999999</v>
      </c>
      <c r="MT47" s="70">
        <v>4127765612.6800003</v>
      </c>
      <c r="MU47" s="70">
        <v>1631760519.5700002</v>
      </c>
      <c r="MV47" s="70">
        <v>4237802819.9299998</v>
      </c>
      <c r="MW47" s="70">
        <v>2719136010.5799999</v>
      </c>
      <c r="MX47" s="70">
        <v>3169809061.4499998</v>
      </c>
      <c r="MY47" s="70">
        <v>3436931864.79</v>
      </c>
      <c r="MZ47" s="70">
        <v>1204630086.3499999</v>
      </c>
      <c r="NA47" s="70">
        <v>3590319073.23</v>
      </c>
      <c r="NB47" s="70">
        <v>2260257219.2200003</v>
      </c>
      <c r="NC47" s="70">
        <v>4855602387.9700003</v>
      </c>
      <c r="ND47" s="70">
        <v>1478342328.4400001</v>
      </c>
      <c r="NE47" s="70">
        <v>799988223.63</v>
      </c>
      <c r="NF47" s="70">
        <v>3862865937.0900002</v>
      </c>
      <c r="NG47" s="70">
        <v>916900240.5</v>
      </c>
      <c r="NH47" s="70">
        <v>4448829178.5600004</v>
      </c>
      <c r="NI47" s="70">
        <v>1787737992.0599999</v>
      </c>
      <c r="NJ47" s="70">
        <v>1498756179.8400002</v>
      </c>
      <c r="NK47" s="70">
        <v>4257633682.4499998</v>
      </c>
      <c r="NL47" s="70">
        <v>1269253366.75</v>
      </c>
      <c r="NM47" s="70">
        <v>5562018701.4399996</v>
      </c>
      <c r="NN47" s="70">
        <v>688532193.67000008</v>
      </c>
      <c r="NO47" s="70">
        <v>1003152806.52</v>
      </c>
      <c r="NP47" s="70">
        <v>1419035750.7</v>
      </c>
      <c r="NQ47" s="70">
        <v>1523093086.6499999</v>
      </c>
      <c r="NR47" s="70">
        <v>2881042578.9099998</v>
      </c>
      <c r="NS47" s="70">
        <v>1358752901.3099999</v>
      </c>
      <c r="NT47" s="70">
        <v>806986186.3499999</v>
      </c>
      <c r="NU47" s="70">
        <v>3989205080.1400003</v>
      </c>
      <c r="NV47" s="70">
        <v>3438225407.2799997</v>
      </c>
      <c r="NW47" s="70">
        <v>5526952001.6300001</v>
      </c>
      <c r="NX47" s="70">
        <v>3871083390.5500002</v>
      </c>
      <c r="NY47" s="70">
        <v>3991850527.96</v>
      </c>
      <c r="NZ47" s="70">
        <v>4096667681.1199999</v>
      </c>
      <c r="OA47" s="70">
        <v>979550649.5</v>
      </c>
      <c r="OB47" s="70">
        <v>1070709271.4399999</v>
      </c>
      <c r="OC47" s="70">
        <v>2803660781.73</v>
      </c>
      <c r="OD47" s="70">
        <v>1785764028.49</v>
      </c>
      <c r="OE47" s="70">
        <v>5153613987.6000004</v>
      </c>
      <c r="OF47" s="70">
        <v>1551111278.79</v>
      </c>
      <c r="OG47" s="70">
        <v>2920851586.8699999</v>
      </c>
      <c r="OH47" s="70">
        <v>713892486.47000003</v>
      </c>
      <c r="OI47" s="70">
        <v>3971893080.6000004</v>
      </c>
      <c r="OJ47" s="70">
        <v>721093985.21000004</v>
      </c>
      <c r="OK47" s="70">
        <v>1669690381.73</v>
      </c>
      <c r="OL47" s="70">
        <v>2974657038.9499998</v>
      </c>
      <c r="OM47" s="70">
        <v>444074446.68000001</v>
      </c>
      <c r="ON47" s="70">
        <v>4401914723.71</v>
      </c>
      <c r="OO47" s="70">
        <v>644516308.60000002</v>
      </c>
      <c r="OP47" s="70">
        <v>334398298.51999998</v>
      </c>
      <c r="OQ47" s="70">
        <v>1421526341.48</v>
      </c>
      <c r="OR47" s="70">
        <v>1429710792.0999999</v>
      </c>
      <c r="OS47" s="70">
        <v>3369246375.9399996</v>
      </c>
      <c r="OT47" s="70">
        <v>1773533229.1199999</v>
      </c>
      <c r="OU47" s="70">
        <v>389599326.81</v>
      </c>
      <c r="OV47" s="70">
        <v>1996804358.71</v>
      </c>
      <c r="OW47" s="70">
        <v>840874733.53999996</v>
      </c>
      <c r="OX47" s="70">
        <v>5616505326.3800001</v>
      </c>
      <c r="OY47" s="70">
        <v>2809850445.2999997</v>
      </c>
      <c r="OZ47" s="70">
        <v>1481244917.1299999</v>
      </c>
      <c r="PA47" s="70">
        <v>6012444337.9499998</v>
      </c>
      <c r="PB47" s="70">
        <v>1208965037.0899999</v>
      </c>
      <c r="PC47" s="70">
        <v>7999930824.4500008</v>
      </c>
      <c r="PD47" s="70">
        <v>587814949.26999998</v>
      </c>
      <c r="PE47" s="70">
        <v>1249762641.72</v>
      </c>
      <c r="PF47" s="70">
        <v>2225799795.6500001</v>
      </c>
      <c r="PG47" s="70">
        <v>529669338.39999998</v>
      </c>
      <c r="PH47" s="70">
        <v>6667381789.6800003</v>
      </c>
      <c r="PI47" s="70">
        <v>2123270177.0599999</v>
      </c>
      <c r="PJ47" s="70">
        <v>1676503218.7799997</v>
      </c>
      <c r="PK47" s="70">
        <v>4271261219.2200003</v>
      </c>
      <c r="PL47" s="70">
        <v>3613196984.4000001</v>
      </c>
      <c r="PM47" s="70">
        <v>1277443471.1800001</v>
      </c>
      <c r="PN47" s="70">
        <v>830166681.70000005</v>
      </c>
      <c r="PO47" s="70">
        <f>SUM(PO38:PO46)</f>
        <v>734787150.41000009</v>
      </c>
      <c r="PP47" s="70">
        <f>SUM(PP38:PP46)</f>
        <v>1775107928.4000001</v>
      </c>
      <c r="PQ47" s="70">
        <f t="shared" ref="PQ47:SA47" si="9">SUM(PQ38:PQ46)</f>
        <v>357659164.90999997</v>
      </c>
      <c r="PR47" s="70">
        <f t="shared" si="9"/>
        <v>1992795900</v>
      </c>
      <c r="PS47" s="70">
        <f t="shared" si="9"/>
        <v>1045826612.1799999</v>
      </c>
      <c r="PT47" s="70">
        <f t="shared" si="9"/>
        <v>0</v>
      </c>
      <c r="PU47" s="70">
        <f t="shared" si="9"/>
        <v>0</v>
      </c>
      <c r="PV47" s="70">
        <f t="shared" si="9"/>
        <v>0</v>
      </c>
      <c r="PW47" s="70">
        <f t="shared" si="9"/>
        <v>0</v>
      </c>
      <c r="PX47" s="70">
        <f t="shared" si="9"/>
        <v>0</v>
      </c>
      <c r="PY47" s="70">
        <f t="shared" si="9"/>
        <v>0</v>
      </c>
      <c r="PZ47" s="70">
        <f t="shared" si="9"/>
        <v>0</v>
      </c>
      <c r="QA47" s="70">
        <f t="shared" si="9"/>
        <v>0</v>
      </c>
      <c r="QB47" s="70">
        <f t="shared" si="9"/>
        <v>0</v>
      </c>
      <c r="QC47" s="70">
        <f t="shared" si="9"/>
        <v>0</v>
      </c>
      <c r="QD47" s="70">
        <f t="shared" si="9"/>
        <v>0</v>
      </c>
      <c r="QE47" s="70">
        <f t="shared" si="9"/>
        <v>0</v>
      </c>
      <c r="QF47" s="70">
        <f t="shared" si="9"/>
        <v>0</v>
      </c>
      <c r="QG47" s="70">
        <f t="shared" si="9"/>
        <v>0</v>
      </c>
      <c r="QH47" s="70">
        <f t="shared" si="9"/>
        <v>0</v>
      </c>
      <c r="QI47" s="70">
        <f t="shared" si="9"/>
        <v>0</v>
      </c>
      <c r="QJ47" s="70">
        <f t="shared" si="9"/>
        <v>0</v>
      </c>
      <c r="QK47" s="70">
        <f t="shared" si="9"/>
        <v>0</v>
      </c>
      <c r="QL47" s="70">
        <f t="shared" si="9"/>
        <v>0</v>
      </c>
      <c r="QM47" s="70">
        <f t="shared" si="9"/>
        <v>0</v>
      </c>
      <c r="QN47" s="70">
        <f t="shared" si="9"/>
        <v>0</v>
      </c>
      <c r="QO47" s="70">
        <f t="shared" si="9"/>
        <v>0</v>
      </c>
      <c r="QP47" s="70">
        <f t="shared" si="9"/>
        <v>0</v>
      </c>
      <c r="QQ47" s="70">
        <f t="shared" si="9"/>
        <v>0</v>
      </c>
      <c r="QR47" s="70">
        <f t="shared" si="9"/>
        <v>0</v>
      </c>
      <c r="QS47" s="70">
        <f t="shared" si="9"/>
        <v>0</v>
      </c>
      <c r="QT47" s="70">
        <f t="shared" si="9"/>
        <v>0</v>
      </c>
      <c r="QU47" s="70">
        <f t="shared" si="9"/>
        <v>0</v>
      </c>
      <c r="QV47" s="70">
        <f t="shared" si="9"/>
        <v>0</v>
      </c>
      <c r="QW47" s="70">
        <f t="shared" si="9"/>
        <v>0</v>
      </c>
      <c r="QX47" s="70">
        <f t="shared" si="9"/>
        <v>0</v>
      </c>
      <c r="QY47" s="70">
        <f t="shared" si="9"/>
        <v>0</v>
      </c>
      <c r="QZ47" s="70">
        <f t="shared" si="9"/>
        <v>0</v>
      </c>
      <c r="RA47" s="70">
        <f t="shared" si="9"/>
        <v>0</v>
      </c>
      <c r="RB47" s="70">
        <f t="shared" si="9"/>
        <v>0</v>
      </c>
      <c r="RC47" s="70">
        <f t="shared" si="9"/>
        <v>0</v>
      </c>
      <c r="RD47" s="70">
        <f t="shared" si="9"/>
        <v>0</v>
      </c>
      <c r="RE47" s="70">
        <f t="shared" si="9"/>
        <v>0</v>
      </c>
      <c r="RF47" s="70">
        <f t="shared" si="9"/>
        <v>0</v>
      </c>
      <c r="RG47" s="70">
        <f t="shared" si="9"/>
        <v>0</v>
      </c>
      <c r="RH47" s="70">
        <f t="shared" si="9"/>
        <v>0</v>
      </c>
      <c r="RI47" s="70">
        <f t="shared" si="9"/>
        <v>0</v>
      </c>
      <c r="RJ47" s="70">
        <f t="shared" si="9"/>
        <v>0</v>
      </c>
      <c r="RK47" s="70">
        <f t="shared" si="9"/>
        <v>0</v>
      </c>
      <c r="RL47" s="70">
        <f t="shared" si="9"/>
        <v>0</v>
      </c>
      <c r="RM47" s="70">
        <f t="shared" si="9"/>
        <v>0</v>
      </c>
      <c r="RN47" s="70">
        <f t="shared" si="9"/>
        <v>0</v>
      </c>
      <c r="RO47" s="70">
        <f t="shared" si="9"/>
        <v>0</v>
      </c>
      <c r="RP47" s="70">
        <f t="shared" si="9"/>
        <v>0</v>
      </c>
      <c r="RQ47" s="70">
        <f t="shared" si="9"/>
        <v>0</v>
      </c>
      <c r="RR47" s="70">
        <f t="shared" si="9"/>
        <v>0</v>
      </c>
      <c r="RS47" s="70">
        <f t="shared" si="9"/>
        <v>0</v>
      </c>
      <c r="RT47" s="70">
        <f t="shared" si="9"/>
        <v>0</v>
      </c>
      <c r="RU47" s="70">
        <f t="shared" si="9"/>
        <v>0</v>
      </c>
      <c r="RV47" s="70">
        <f t="shared" si="9"/>
        <v>0</v>
      </c>
      <c r="RW47" s="70">
        <f t="shared" si="9"/>
        <v>0</v>
      </c>
      <c r="RX47" s="70">
        <f t="shared" si="9"/>
        <v>0</v>
      </c>
      <c r="RY47" s="70">
        <f t="shared" si="9"/>
        <v>0</v>
      </c>
      <c r="RZ47" s="70">
        <f t="shared" si="9"/>
        <v>0</v>
      </c>
      <c r="SA47" s="70">
        <f t="shared" si="9"/>
        <v>0</v>
      </c>
    </row>
    <row r="48" spans="1:495" s="80" customFormat="1" x14ac:dyDescent="0.2">
      <c r="A48" s="78" t="s">
        <v>1087</v>
      </c>
      <c r="B48" s="79">
        <v>2820381602.73</v>
      </c>
      <c r="C48" s="79">
        <v>3490896339.04</v>
      </c>
      <c r="D48" s="79">
        <v>8543511147.920001</v>
      </c>
      <c r="E48" s="79">
        <v>17162369815.84</v>
      </c>
      <c r="F48" s="79">
        <v>12620829117.720001</v>
      </c>
      <c r="G48" s="79">
        <v>2728794388.6599998</v>
      </c>
      <c r="H48" s="79">
        <v>105303393.54999971</v>
      </c>
      <c r="I48" s="79">
        <v>2752617054.7699986</v>
      </c>
      <c r="J48" s="79">
        <v>2008105254.4700012</v>
      </c>
      <c r="K48" s="79">
        <v>3184113816.3599997</v>
      </c>
      <c r="L48" s="79">
        <v>-66035942.340000153</v>
      </c>
      <c r="M48" s="79">
        <v>141058317.8300004</v>
      </c>
      <c r="N48" s="79">
        <v>42854909.169999123</v>
      </c>
      <c r="O48" s="79">
        <v>7641343588.1800013</v>
      </c>
      <c r="P48" s="79">
        <v>6769043108.8599987</v>
      </c>
      <c r="Q48" s="79">
        <v>2421833064.8399982</v>
      </c>
      <c r="R48" s="79">
        <v>20671712.36000061</v>
      </c>
      <c r="S48" s="79">
        <v>70396005.109999657</v>
      </c>
      <c r="T48" s="79">
        <v>7908919742.0499992</v>
      </c>
      <c r="U48" s="79">
        <v>5123028441.4400005</v>
      </c>
      <c r="V48" s="79">
        <v>2110325509.289999</v>
      </c>
      <c r="W48" s="79">
        <v>965693158.71999931</v>
      </c>
      <c r="X48" s="79">
        <v>138009044.62999916</v>
      </c>
      <c r="Y48" s="79">
        <v>1268291837.9800005</v>
      </c>
      <c r="Z48" s="79">
        <v>4288847970.9100003</v>
      </c>
      <c r="AA48" s="79">
        <v>1366390815.7399998</v>
      </c>
      <c r="AB48" s="79">
        <v>1021726099.8099995</v>
      </c>
      <c r="AC48" s="79">
        <v>975548478.07999992</v>
      </c>
      <c r="AD48" s="79">
        <v>146105624.69999886</v>
      </c>
      <c r="AE48" s="79">
        <v>-280622584.94000053</v>
      </c>
      <c r="AF48" s="79">
        <v>102866660.8399992</v>
      </c>
      <c r="AG48" s="79">
        <v>35797064.199999809</v>
      </c>
      <c r="AH48" s="79">
        <v>771845928.99000072</v>
      </c>
      <c r="AI48" s="79">
        <v>36829017.940000057</v>
      </c>
      <c r="AJ48" s="79">
        <v>65672101.019999981</v>
      </c>
      <c r="AK48" s="79">
        <v>86306752.990380287</v>
      </c>
      <c r="AL48" s="79">
        <v>485365847.61999989</v>
      </c>
      <c r="AM48" s="79">
        <v>220424131.61000061</v>
      </c>
      <c r="AN48" s="79">
        <v>1423067890.3400002</v>
      </c>
      <c r="AO48" s="79">
        <v>75953073.359999657</v>
      </c>
      <c r="AP48" s="79">
        <v>34648884.710000038</v>
      </c>
      <c r="AQ48" s="79">
        <v>3073369922.54</v>
      </c>
      <c r="AR48" s="79">
        <v>719295877.10000229</v>
      </c>
      <c r="AS48" s="79">
        <v>1221822411.940001</v>
      </c>
      <c r="AT48" s="79">
        <v>1658976647.6799984</v>
      </c>
      <c r="AU48" s="79">
        <v>1727418709.1499996</v>
      </c>
      <c r="AV48" s="79">
        <v>53273282.039999962</v>
      </c>
      <c r="AW48" s="79">
        <v>2290873474.6000004</v>
      </c>
      <c r="AX48" s="79">
        <v>452868493.73000002</v>
      </c>
      <c r="AY48" s="79">
        <v>1516088706.7099991</v>
      </c>
      <c r="AZ48" s="79">
        <v>393910452.31000042</v>
      </c>
      <c r="BA48" s="79">
        <v>590808729.23999882</v>
      </c>
      <c r="BB48" s="79">
        <v>123413839.78999996</v>
      </c>
      <c r="BC48" s="79">
        <v>49346903.289999962</v>
      </c>
      <c r="BD48" s="79">
        <v>4569450879.000001</v>
      </c>
      <c r="BE48" s="79">
        <v>3736303027.0900002</v>
      </c>
      <c r="BF48" s="79">
        <v>5372098573.1899986</v>
      </c>
      <c r="BG48" s="79">
        <v>20279198762.790001</v>
      </c>
      <c r="BH48" s="79">
        <v>11851928475.690001</v>
      </c>
      <c r="BI48" s="79">
        <v>7533783552.3499985</v>
      </c>
      <c r="BJ48" s="79">
        <v>2924683734.4099998</v>
      </c>
      <c r="BK48" s="79">
        <v>42238506.020000458</v>
      </c>
      <c r="BL48" s="79">
        <v>198242419.83000183</v>
      </c>
      <c r="BM48" s="79">
        <v>97765555.599999905</v>
      </c>
      <c r="BN48" s="79">
        <v>6021739489.0000019</v>
      </c>
      <c r="BO48" s="79">
        <v>2491987327.7399998</v>
      </c>
      <c r="BP48" s="79">
        <v>1086436053.7700005</v>
      </c>
      <c r="BQ48" s="79">
        <v>422662039.35000038</v>
      </c>
      <c r="BR48" s="79">
        <v>20452704.319999695</v>
      </c>
      <c r="BS48" s="79">
        <v>93702530.880001068</v>
      </c>
      <c r="BT48" s="79">
        <v>1792181261.1199999</v>
      </c>
      <c r="BU48" s="79">
        <v>796859462.3499999</v>
      </c>
      <c r="BV48" s="79">
        <v>789582751.80000114</v>
      </c>
      <c r="BW48" s="79">
        <v>1593243962.6099997</v>
      </c>
      <c r="BX48" s="79">
        <v>25334662.180000305</v>
      </c>
      <c r="BY48" s="79">
        <v>396340463.20999908</v>
      </c>
      <c r="BZ48" s="79">
        <v>141738039.14999962</v>
      </c>
      <c r="CA48" s="79">
        <v>939036110.65000057</v>
      </c>
      <c r="CB48" s="79">
        <v>132252189.08000088</v>
      </c>
      <c r="CC48" s="79">
        <v>452036697.40999794</v>
      </c>
      <c r="CD48" s="79">
        <v>1065137164.4700003</v>
      </c>
      <c r="CE48" s="79">
        <v>60300958.219999313</v>
      </c>
      <c r="CF48" s="79">
        <v>155939001.36999893</v>
      </c>
      <c r="CG48" s="79">
        <v>3900286126.7799997</v>
      </c>
      <c r="CH48" s="79">
        <v>824471418.38000011</v>
      </c>
      <c r="CI48" s="79">
        <v>2833711836.0100002</v>
      </c>
      <c r="CJ48" s="79">
        <v>1207227580.8200016</v>
      </c>
      <c r="CK48" s="79">
        <v>484657021.15999889</v>
      </c>
      <c r="CL48" s="79">
        <v>78613404.799999714</v>
      </c>
      <c r="CM48" s="79">
        <v>52791738.659999847</v>
      </c>
      <c r="CN48" s="79">
        <v>3275406190.7799988</v>
      </c>
      <c r="CO48" s="79">
        <v>128254668.7300005</v>
      </c>
      <c r="CP48" s="79">
        <v>3213371941.7699995</v>
      </c>
      <c r="CQ48" s="79">
        <v>2173450265.7700005</v>
      </c>
      <c r="CR48" s="79">
        <v>1127802400.0200005</v>
      </c>
      <c r="CS48" s="79">
        <v>443032392.51999855</v>
      </c>
      <c r="CT48" s="79">
        <v>110762227.25999999</v>
      </c>
      <c r="CU48" s="79">
        <v>3607410238.6099987</v>
      </c>
      <c r="CV48" s="79">
        <v>1787459058.7099996</v>
      </c>
      <c r="CW48" s="79">
        <v>1274110991.3599997</v>
      </c>
      <c r="CX48" s="79">
        <v>1867803575.79</v>
      </c>
      <c r="CY48" s="79">
        <v>33687563.050000191</v>
      </c>
      <c r="CZ48" s="79">
        <v>2122866057.2399983</v>
      </c>
      <c r="DA48" s="79">
        <v>2591675794.2400007</v>
      </c>
      <c r="DB48" s="79">
        <v>81215574.809999466</v>
      </c>
      <c r="DC48" s="79">
        <v>1393024305.9700007</v>
      </c>
      <c r="DD48" s="79">
        <v>2025491808.3399992</v>
      </c>
      <c r="DE48" s="79">
        <v>4693906621.3800001</v>
      </c>
      <c r="DF48" s="79">
        <v>3149011223.3599997</v>
      </c>
      <c r="DG48" s="79">
        <v>1576940239.9099998</v>
      </c>
      <c r="DH48" s="79">
        <v>786223319.37000036</v>
      </c>
      <c r="DI48" s="79">
        <f ca="1">DI21+DI35-DI47</f>
        <v>80961080.909999847</v>
      </c>
      <c r="DJ48" s="79">
        <f ca="1">DJ21+DJ35-DJ47</f>
        <v>1399932503.5299997</v>
      </c>
      <c r="DK48" s="79">
        <f ca="1">DK21+DK35-DK47</f>
        <v>5590673566.0100002</v>
      </c>
      <c r="DL48" s="79">
        <f>DL21+DL35-DL47</f>
        <v>59034738.93999958</v>
      </c>
      <c r="DM48" s="79">
        <f>DM21+DM35-DM47</f>
        <v>1584218619.1100006</v>
      </c>
      <c r="DN48" s="79">
        <v>475283700.75</v>
      </c>
      <c r="DO48" s="79">
        <v>4770637545.2900009</v>
      </c>
      <c r="DP48" s="79">
        <v>696539996.14000034</v>
      </c>
      <c r="DQ48" s="79">
        <v>1565901784.2199993</v>
      </c>
      <c r="DR48" s="79">
        <v>867083148.23999977</v>
      </c>
      <c r="DS48" s="79">
        <v>39580048.549999237</v>
      </c>
      <c r="DT48" s="79">
        <v>2952869617.25</v>
      </c>
      <c r="DU48" s="79">
        <v>4593387013.0299997</v>
      </c>
      <c r="DV48" s="79">
        <v>437743109.5</v>
      </c>
      <c r="DW48" s="79">
        <v>-26344424.130000114</v>
      </c>
      <c r="DX48" s="79">
        <v>248219818.67000055</v>
      </c>
      <c r="DY48" s="79">
        <v>3514184075.170002</v>
      </c>
      <c r="DZ48" s="79">
        <v>2233067418.6000004</v>
      </c>
      <c r="EA48" s="79">
        <v>622892781.06000042</v>
      </c>
      <c r="EB48" s="79">
        <v>56471133.38999939</v>
      </c>
      <c r="EC48" s="79">
        <v>828623824.8599999</v>
      </c>
      <c r="ED48" s="79">
        <v>115188922.1400001</v>
      </c>
      <c r="EE48" s="79">
        <v>79078975.850000381</v>
      </c>
      <c r="EF48" s="79">
        <v>302102103.6400001</v>
      </c>
      <c r="EG48" s="79">
        <v>216183911.78999996</v>
      </c>
      <c r="EH48" s="79">
        <v>3521604108.2200003</v>
      </c>
      <c r="EI48" s="79">
        <v>1965112400.79</v>
      </c>
      <c r="EJ48" s="79">
        <v>464345631.92000008</v>
      </c>
      <c r="EK48" s="79">
        <v>40492221.430000305</v>
      </c>
      <c r="EL48" s="79">
        <v>81065613.050000191</v>
      </c>
      <c r="EM48" s="79">
        <v>2334577604.750001</v>
      </c>
      <c r="EN48" s="79">
        <v>2772496451.3400002</v>
      </c>
      <c r="EO48" s="79">
        <v>1452673604.0900002</v>
      </c>
      <c r="EP48" s="79">
        <v>55687009.690000534</v>
      </c>
      <c r="EQ48" s="79">
        <v>2947773647.8399997</v>
      </c>
      <c r="ER48" s="79">
        <v>1609435998.0499992</v>
      </c>
      <c r="ES48" s="79">
        <v>31895005.420000076</v>
      </c>
      <c r="ET48" s="79">
        <v>332317644.88000011</v>
      </c>
      <c r="EU48" s="79">
        <v>195613422.79999971</v>
      </c>
      <c r="EV48" s="79">
        <v>908859386.22999978</v>
      </c>
      <c r="EW48" s="79">
        <v>1323079637.6900005</v>
      </c>
      <c r="EX48" s="79">
        <v>410246857.99999952</v>
      </c>
      <c r="EY48" s="79">
        <v>254973993.11000061</v>
      </c>
      <c r="EZ48" s="79">
        <v>1439091406.0399995</v>
      </c>
      <c r="FA48" s="79">
        <v>3336052123.7799997</v>
      </c>
      <c r="FB48" s="79">
        <v>1230609947.2699995</v>
      </c>
      <c r="FC48" s="79">
        <v>91414915.680000305</v>
      </c>
      <c r="FD48" s="79">
        <v>129544712.37999964</v>
      </c>
      <c r="FE48" s="79">
        <v>349241593.84000015</v>
      </c>
      <c r="FF48" s="79">
        <v>2270123341.0500007</v>
      </c>
      <c r="FG48" s="79">
        <v>1947801599.960001</v>
      </c>
      <c r="FH48" s="79">
        <v>2309465.7300000191</v>
      </c>
      <c r="FI48" s="79">
        <v>219320625.92999983</v>
      </c>
      <c r="FJ48" s="79">
        <v>654666505.78000069</v>
      </c>
      <c r="FK48" s="79">
        <v>382273049.36999989</v>
      </c>
      <c r="FL48" s="79">
        <v>180700762.46999931</v>
      </c>
      <c r="FM48" s="79">
        <f ca="1">FM21+FM35-FM47</f>
        <v>101193996.49000025</v>
      </c>
      <c r="FN48" s="79">
        <f ca="1">FN21+FN35-FN47</f>
        <v>127366287.2699995</v>
      </c>
      <c r="FO48" s="79">
        <f ca="1">FO21+FO35-FO47</f>
        <v>-2248145429.6899996</v>
      </c>
      <c r="FP48" s="79">
        <f ca="1">FP21+FP35-FP47</f>
        <v>-3682692851.1599998</v>
      </c>
      <c r="FQ48" s="79">
        <v>3263172265.5099998</v>
      </c>
      <c r="FR48" s="79">
        <v>2583201480.5900002</v>
      </c>
      <c r="FS48" s="79">
        <v>1781421803.3500001</v>
      </c>
      <c r="FT48" s="79">
        <v>2158999003.2399998</v>
      </c>
      <c r="FU48" s="79">
        <v>3017794607.8999996</v>
      </c>
      <c r="FV48" s="79">
        <v>2095943097.4000006</v>
      </c>
      <c r="FW48" s="79">
        <v>68500906.200000286</v>
      </c>
      <c r="FX48" s="79">
        <v>579854003.52999973</v>
      </c>
      <c r="FY48" s="79">
        <v>323434635.48000002</v>
      </c>
      <c r="FZ48" s="79">
        <v>534542282.96000004</v>
      </c>
      <c r="GA48" s="79">
        <v>2092908511.1300001</v>
      </c>
      <c r="GB48" s="79">
        <v>54720551.659999847</v>
      </c>
      <c r="GC48" s="79">
        <v>123858570.13000011</v>
      </c>
      <c r="GD48" s="79">
        <v>221800218.23000002</v>
      </c>
      <c r="GE48" s="79">
        <v>456907642.77999997</v>
      </c>
      <c r="GF48" s="79">
        <v>1281300501.5599995</v>
      </c>
      <c r="GG48" s="79">
        <v>3647811812.1800003</v>
      </c>
      <c r="GH48" s="79">
        <v>1036619904.0199995</v>
      </c>
      <c r="GI48" s="79">
        <v>801236336</v>
      </c>
      <c r="GJ48" s="79">
        <v>377269328.01999998</v>
      </c>
      <c r="GK48" s="79">
        <v>2726083268.2400002</v>
      </c>
      <c r="GL48" s="79">
        <v>8749650925.8800011</v>
      </c>
      <c r="GM48" s="79">
        <v>319518988.67000198</v>
      </c>
      <c r="GN48" s="79">
        <v>266737704.66000009</v>
      </c>
      <c r="GO48" s="79">
        <v>3957342810.6999998</v>
      </c>
      <c r="GP48" s="79">
        <v>4396175548.6700001</v>
      </c>
      <c r="GQ48" s="79">
        <v>835494515.31999969</v>
      </c>
      <c r="GR48" s="79">
        <v>21560594.750000954</v>
      </c>
      <c r="GS48" s="79">
        <v>1499422991.3699989</v>
      </c>
      <c r="GT48" s="79">
        <v>57135804.899999619</v>
      </c>
      <c r="GU48" s="79">
        <v>117104469</v>
      </c>
      <c r="GV48" s="79">
        <v>8250029003.4399986</v>
      </c>
      <c r="GW48" s="79">
        <v>859271729.04999924</v>
      </c>
      <c r="GX48" s="79">
        <v>1550798696.6900005</v>
      </c>
      <c r="GY48" s="79">
        <v>142245007.70000029</v>
      </c>
      <c r="GZ48" s="79">
        <v>580397840.78999996</v>
      </c>
      <c r="HA48" s="79">
        <v>335885765.87000036</v>
      </c>
      <c r="HB48" s="79">
        <v>1215229533.2799988</v>
      </c>
      <c r="HC48" s="79">
        <v>621377304.87999916</v>
      </c>
      <c r="HD48" s="79">
        <v>199211052.23000002</v>
      </c>
      <c r="HE48" s="79">
        <v>452576232.20999956</v>
      </c>
      <c r="HF48" s="79">
        <v>5318837962.4499998</v>
      </c>
      <c r="HG48" s="79">
        <v>873933134.15999985</v>
      </c>
      <c r="HH48" s="79">
        <v>414478913.62999964</v>
      </c>
      <c r="HI48" s="79">
        <v>5457317377.1899996</v>
      </c>
      <c r="HJ48" s="79">
        <v>5566353886.4399996</v>
      </c>
      <c r="HK48" s="79">
        <v>4335524060.1300011</v>
      </c>
      <c r="HL48" s="79">
        <v>4561902099.3400002</v>
      </c>
      <c r="HM48" s="79">
        <v>-1299219539.9300003</v>
      </c>
      <c r="HN48" s="79">
        <v>3235772454.8000002</v>
      </c>
      <c r="HO48" s="79">
        <v>2192239746</v>
      </c>
      <c r="HP48" s="79">
        <v>2324484490.4400005</v>
      </c>
      <c r="HQ48" s="79">
        <v>1007369008.1199989</v>
      </c>
      <c r="HR48" s="79">
        <v>1651460304.54</v>
      </c>
      <c r="HS48" s="79">
        <v>248978331.03999901</v>
      </c>
      <c r="HT48" s="79">
        <v>4784002464.8299999</v>
      </c>
      <c r="HU48" s="79">
        <v>1999912755.0300002</v>
      </c>
      <c r="HV48" s="79">
        <v>263263789.78000069</v>
      </c>
      <c r="HW48" s="79">
        <v>1232792754.7699995</v>
      </c>
      <c r="HX48" s="79">
        <v>4049338358.0199986</v>
      </c>
      <c r="HY48" s="79">
        <v>2884679272.0100002</v>
      </c>
      <c r="HZ48" s="79">
        <f ca="1">HZ21+HZ35-HZ47</f>
        <v>505088093.09000015</v>
      </c>
      <c r="IA48" s="79">
        <f ca="1">IA21+IA35-IA47</f>
        <v>92161833.019999504</v>
      </c>
      <c r="IB48" s="79">
        <f ca="1">IB21+IB35-IB47</f>
        <v>-1048488954.2700002</v>
      </c>
      <c r="IC48" s="79">
        <v>559828740.94000006</v>
      </c>
      <c r="ID48" s="79">
        <v>645787046.90000057</v>
      </c>
      <c r="IE48" s="79">
        <v>826881917.97000027</v>
      </c>
      <c r="IF48" s="79">
        <v>188309102.52999973</v>
      </c>
      <c r="IG48" s="79">
        <v>3344992133.3799992</v>
      </c>
      <c r="IH48" s="79">
        <v>2666956807.6199999</v>
      </c>
      <c r="II48" s="79">
        <v>271136311.93000031</v>
      </c>
      <c r="IJ48" s="79">
        <v>547984660.63000011</v>
      </c>
      <c r="IK48" s="79">
        <v>606890290.10000038</v>
      </c>
      <c r="IL48" s="79">
        <v>40156568.940000057</v>
      </c>
      <c r="IM48" s="79">
        <v>532535551.59000015</v>
      </c>
      <c r="IN48" s="79">
        <v>3812424011.4499998</v>
      </c>
      <c r="IO48" s="79">
        <v>2748239196.7000017</v>
      </c>
      <c r="IP48" s="79">
        <v>2615568698.8399997</v>
      </c>
      <c r="IQ48" s="79">
        <v>2527993342.3400002</v>
      </c>
      <c r="IR48" s="79">
        <v>1097214260.4499998</v>
      </c>
      <c r="IS48" s="79">
        <v>1003850384.8699999</v>
      </c>
      <c r="IT48" s="79">
        <v>164861861.10999966</v>
      </c>
      <c r="IU48" s="79">
        <v>1422284820.5899997</v>
      </c>
      <c r="IV48" s="79">
        <v>913540726.0999999</v>
      </c>
      <c r="IW48" s="79">
        <v>27946675.840000153</v>
      </c>
      <c r="IX48" s="79">
        <v>324306412.30000019</v>
      </c>
      <c r="IY48" s="79">
        <v>32360235.86000061</v>
      </c>
      <c r="IZ48" s="79">
        <v>1672325767.21</v>
      </c>
      <c r="JA48" s="79">
        <v>1288571137.1700001</v>
      </c>
      <c r="JB48" s="79">
        <v>598590793.42000008</v>
      </c>
      <c r="JC48" s="79">
        <v>1170603322.3700004</v>
      </c>
      <c r="JD48" s="79">
        <v>803043106.45000029</v>
      </c>
      <c r="JE48" s="79">
        <f ca="1">JE21+JE35-JE47</f>
        <v>246253188.45000005</v>
      </c>
      <c r="JF48" s="79">
        <v>147543938.42000008</v>
      </c>
      <c r="JG48" s="79">
        <f ca="1">JG21+JG35-JG47</f>
        <v>1104348420.1700001</v>
      </c>
      <c r="JH48" s="79">
        <v>413998519.82999802</v>
      </c>
      <c r="JI48" s="79">
        <v>2151732079.7999997</v>
      </c>
      <c r="JJ48" s="79">
        <v>5471271743.6000004</v>
      </c>
      <c r="JK48" s="79">
        <v>3042598720.5999994</v>
      </c>
      <c r="JL48" s="79">
        <v>1444248450.2399998</v>
      </c>
      <c r="JM48" s="79">
        <v>56811454.409999847</v>
      </c>
      <c r="JN48" s="79">
        <v>8563267152.5200005</v>
      </c>
      <c r="JO48" s="79">
        <v>6184801928.0499992</v>
      </c>
      <c r="JP48" s="79">
        <v>840781280.2300005</v>
      </c>
      <c r="JQ48" s="79">
        <v>414937349.57000017</v>
      </c>
      <c r="JR48" s="79">
        <v>113524919.43999958</v>
      </c>
      <c r="JS48" s="79">
        <v>1876201634.5899997</v>
      </c>
      <c r="JT48" s="79">
        <v>2028910790.2100003</v>
      </c>
      <c r="JU48" s="79">
        <v>719770763.9800005</v>
      </c>
      <c r="JV48" s="79">
        <v>82363566.479999781</v>
      </c>
      <c r="JW48" s="79">
        <v>121779508.46999979</v>
      </c>
      <c r="JX48" s="79">
        <v>852238134.32000017</v>
      </c>
      <c r="JY48" s="79">
        <v>1213236851.98</v>
      </c>
      <c r="JZ48" s="79">
        <v>1182891761.3400002</v>
      </c>
      <c r="KA48" s="79">
        <v>589244858.62000012</v>
      </c>
      <c r="KB48" s="79">
        <v>312719117.07999945</v>
      </c>
      <c r="KC48" s="79">
        <v>2107078052.8900003</v>
      </c>
      <c r="KD48" s="79">
        <v>915346063.06000042</v>
      </c>
      <c r="KE48" s="79">
        <v>612892584.90999985</v>
      </c>
      <c r="KF48" s="79">
        <v>553197378.55999994</v>
      </c>
      <c r="KG48" s="79">
        <v>38214637.260000229</v>
      </c>
      <c r="KH48" s="79">
        <v>515055375.42999983</v>
      </c>
      <c r="KI48" s="79">
        <v>1260742934.3999996</v>
      </c>
      <c r="KJ48" s="79">
        <v>674463163.05999994</v>
      </c>
      <c r="KK48" s="79">
        <v>734192278.99000025</v>
      </c>
      <c r="KL48" s="79">
        <v>1000907660.4499998</v>
      </c>
      <c r="KM48" s="79">
        <v>90174317.420000076</v>
      </c>
      <c r="KN48" s="79">
        <v>196285312.03000021</v>
      </c>
      <c r="KO48" s="79">
        <v>53036900.180000067</v>
      </c>
      <c r="KP48" s="79">
        <v>321467626.26999998</v>
      </c>
      <c r="KQ48" s="79">
        <v>3154433437.4500003</v>
      </c>
      <c r="KR48" s="79">
        <v>1780043930.46</v>
      </c>
      <c r="KS48" s="79">
        <v>380086235.38999939</v>
      </c>
      <c r="KT48" s="79">
        <v>250012030.32000017</v>
      </c>
      <c r="KU48" s="79">
        <v>156438829.23000002</v>
      </c>
      <c r="KV48" s="79">
        <v>189197326.18999982</v>
      </c>
      <c r="KW48" s="79">
        <v>733152321.53999996</v>
      </c>
      <c r="KX48" s="79">
        <v>1719994473.3099997</v>
      </c>
      <c r="KY48" s="79">
        <v>1776718294.6799998</v>
      </c>
      <c r="KZ48" s="79">
        <v>9069461592.5699997</v>
      </c>
      <c r="LA48" s="79">
        <v>4942174902.6799994</v>
      </c>
      <c r="LB48" s="79">
        <v>1397050530.8199997</v>
      </c>
      <c r="LC48" s="79">
        <v>389405062.48999977</v>
      </c>
      <c r="LD48" s="79">
        <v>1199616463.4099998</v>
      </c>
      <c r="LE48" s="79">
        <v>311375358.61000061</v>
      </c>
      <c r="LF48" s="79">
        <v>116611715.46000004</v>
      </c>
      <c r="LG48" s="79">
        <v>366324529.34000015</v>
      </c>
      <c r="LH48" s="79">
        <v>3451938077.2599998</v>
      </c>
      <c r="LI48" s="79">
        <v>5153379193.960001</v>
      </c>
      <c r="LJ48" s="79">
        <v>6100164070.9899998</v>
      </c>
      <c r="LK48" s="79">
        <v>151526573.84000111</v>
      </c>
      <c r="LL48" s="79">
        <v>556576192.27000093</v>
      </c>
      <c r="LM48" s="79">
        <v>4331839144.3099985</v>
      </c>
      <c r="LN48" s="79">
        <v>1823728862.0999994</v>
      </c>
      <c r="LO48" s="79">
        <v>451498503.52000046</v>
      </c>
      <c r="LP48" s="79">
        <v>4625963235.8599997</v>
      </c>
      <c r="LQ48" s="79">
        <v>2362478353.4700003</v>
      </c>
      <c r="LR48" s="79">
        <v>1175190054.47</v>
      </c>
      <c r="LS48" s="79">
        <v>919134556.72999954</v>
      </c>
      <c r="LT48" s="79">
        <v>52402843.900000095</v>
      </c>
      <c r="LU48" s="79">
        <v>305152714.92000008</v>
      </c>
      <c r="LV48" s="79">
        <v>324403425.67000008</v>
      </c>
      <c r="LW48" s="79">
        <v>1159490711.9000001</v>
      </c>
      <c r="LX48" s="79">
        <v>1614894457.1700001</v>
      </c>
      <c r="LY48" s="79">
        <v>313705846.3099997</v>
      </c>
      <c r="LZ48" s="79">
        <v>453816990.6500001</v>
      </c>
      <c r="MA48" s="79">
        <v>7134616627.5200014</v>
      </c>
      <c r="MB48" s="79">
        <v>3916398856.9099994</v>
      </c>
      <c r="MC48" s="79">
        <v>3494250248.46</v>
      </c>
      <c r="MD48" s="79">
        <v>1404341444.9700003</v>
      </c>
      <c r="ME48" s="79">
        <v>1194942255.4000006</v>
      </c>
      <c r="MF48" s="79">
        <v>3142968343.9799995</v>
      </c>
      <c r="MG48" s="79">
        <v>1517469875.76</v>
      </c>
      <c r="MH48" s="79">
        <v>538391742.16000032</v>
      </c>
      <c r="MI48" s="79">
        <v>2612340263.5299997</v>
      </c>
      <c r="MJ48" s="79">
        <v>3868846240.8599997</v>
      </c>
      <c r="MK48" s="79">
        <v>2400791188.2399998</v>
      </c>
      <c r="ML48" s="79">
        <v>209910290.9100008</v>
      </c>
      <c r="MM48" s="79">
        <v>95707406.450000048</v>
      </c>
      <c r="MN48" s="79">
        <v>1030663199.5599999</v>
      </c>
      <c r="MO48" s="79">
        <v>2950399869.3099999</v>
      </c>
      <c r="MP48" s="79">
        <v>2253408678.8299999</v>
      </c>
      <c r="MQ48" s="79">
        <v>471689668.94000053</v>
      </c>
      <c r="MR48" s="79">
        <v>131817751.84000003</v>
      </c>
      <c r="MS48" s="79">
        <v>707683513.03000021</v>
      </c>
      <c r="MT48" s="79">
        <v>3455557556.3299999</v>
      </c>
      <c r="MU48" s="79">
        <v>2087346035.0899997</v>
      </c>
      <c r="MV48" s="79">
        <v>1824918181.2099996</v>
      </c>
      <c r="MW48" s="79">
        <v>771666951.07999992</v>
      </c>
      <c r="MX48" s="79">
        <v>308586968.68000031</v>
      </c>
      <c r="MY48" s="79">
        <v>938904791.05000019</v>
      </c>
      <c r="MZ48" s="79">
        <v>123479366.95000005</v>
      </c>
      <c r="NA48" s="79">
        <v>282575140.39999962</v>
      </c>
      <c r="NB48" s="79">
        <v>149307028.5199995</v>
      </c>
      <c r="NC48" s="79">
        <v>1807542294.5500002</v>
      </c>
      <c r="ND48" s="79">
        <v>1791887229.3200002</v>
      </c>
      <c r="NE48" s="79">
        <v>1253390414.8600001</v>
      </c>
      <c r="NF48" s="79">
        <v>2265928607.8299999</v>
      </c>
      <c r="NG48" s="79">
        <v>1552647591.6099997</v>
      </c>
      <c r="NH48" s="79">
        <v>2716518305.2299986</v>
      </c>
      <c r="NI48" s="79">
        <v>6250774464.9400005</v>
      </c>
      <c r="NJ48" s="79">
        <v>4902313849.0699997</v>
      </c>
      <c r="NK48" s="79">
        <v>3517798663.250001</v>
      </c>
      <c r="NL48" s="79">
        <v>2400399456.1999998</v>
      </c>
      <c r="NM48" s="79">
        <v>215449200.00000095</v>
      </c>
      <c r="NN48" s="79">
        <v>1400385907.4000001</v>
      </c>
      <c r="NO48" s="79">
        <v>921640970.13999987</v>
      </c>
      <c r="NP48" s="79">
        <v>1756756723.9600003</v>
      </c>
      <c r="NQ48" s="79">
        <v>409662840.09000015</v>
      </c>
      <c r="NR48" s="79">
        <v>1851486390.460001</v>
      </c>
      <c r="NS48" s="79">
        <v>724125877.41999984</v>
      </c>
      <c r="NT48" s="79">
        <v>178365641.18000007</v>
      </c>
      <c r="NU48" s="79">
        <v>932520054.86999893</v>
      </c>
      <c r="NV48" s="79">
        <v>301182961.89000034</v>
      </c>
      <c r="NW48" s="79">
        <v>2665956728.5600004</v>
      </c>
      <c r="NX48" s="79">
        <v>2414832312.329999</v>
      </c>
      <c r="NY48" s="79">
        <v>650141568.7699995</v>
      </c>
      <c r="NZ48" s="79">
        <v>80557409.789999962</v>
      </c>
      <c r="OA48" s="79">
        <v>19120516.039999962</v>
      </c>
      <c r="OB48" s="79">
        <v>217168725.48000014</v>
      </c>
      <c r="OC48" s="79">
        <v>1079409064.4100003</v>
      </c>
      <c r="OD48" s="79">
        <v>522229749.41999984</v>
      </c>
      <c r="OE48" s="79">
        <v>1538197265.5299997</v>
      </c>
      <c r="OF48" s="79">
        <v>392110370.92000008</v>
      </c>
      <c r="OG48" s="79">
        <v>192104043.44999981</v>
      </c>
      <c r="OH48" s="79">
        <v>862912052.21000004</v>
      </c>
      <c r="OI48" s="79">
        <v>437861144</v>
      </c>
      <c r="OJ48" s="79">
        <v>608438373.82999992</v>
      </c>
      <c r="OK48" s="79">
        <v>476027632.11999989</v>
      </c>
      <c r="OL48" s="79">
        <v>158075545.5800004</v>
      </c>
      <c r="OM48" s="79">
        <v>174332136.48000008</v>
      </c>
      <c r="ON48" s="79">
        <v>446944642.23999977</v>
      </c>
      <c r="OO48" s="79">
        <v>457076053.90999997</v>
      </c>
      <c r="OP48" s="79">
        <v>403816287.70000005</v>
      </c>
      <c r="OQ48" s="79">
        <v>628728254.36000013</v>
      </c>
      <c r="OR48" s="79">
        <v>776738249.42000008</v>
      </c>
      <c r="OS48" s="79">
        <v>1760932527.7300005</v>
      </c>
      <c r="OT48" s="79">
        <v>895800908.13000011</v>
      </c>
      <c r="OU48" s="79">
        <v>879302208.10000014</v>
      </c>
      <c r="OV48" s="79">
        <v>1251007768.1700006</v>
      </c>
      <c r="OW48" s="79">
        <v>6781771268.9500008</v>
      </c>
      <c r="OX48" s="79">
        <v>3709692742.3999987</v>
      </c>
      <c r="OY48" s="79">
        <v>2241038119.7600007</v>
      </c>
      <c r="OZ48" s="79">
        <v>4679743756.6999998</v>
      </c>
      <c r="PA48" s="79">
        <v>1537656817.46</v>
      </c>
      <c r="PB48" s="79">
        <v>495192947.92000031</v>
      </c>
      <c r="PC48" s="79">
        <v>866453669.86999893</v>
      </c>
      <c r="PD48" s="79">
        <v>2214550512</v>
      </c>
      <c r="PE48" s="79">
        <v>1253836095.2900002</v>
      </c>
      <c r="PF48" s="79">
        <v>495905342.3499999</v>
      </c>
      <c r="PG48" s="79">
        <v>1276149348.5300002</v>
      </c>
      <c r="PH48" s="79">
        <v>-731797934.6600008</v>
      </c>
      <c r="PI48" s="79">
        <v>2646126788.1299996</v>
      </c>
      <c r="PJ48" s="79">
        <v>3536961422.4300003</v>
      </c>
      <c r="PK48" s="79">
        <v>3428285905.2399998</v>
      </c>
      <c r="PL48" s="79">
        <v>50143367.130000114</v>
      </c>
      <c r="PM48" s="79">
        <v>2967633090.4799995</v>
      </c>
      <c r="PN48" s="79">
        <v>2314453291.5100002</v>
      </c>
      <c r="PO48" s="79">
        <f ca="1">PO21+PO35-PO47</f>
        <v>1851853451.3</v>
      </c>
      <c r="PP48" s="79">
        <f ca="1">PP21+PP35-PP47</f>
        <v>234088276.21999979</v>
      </c>
      <c r="PQ48" s="79">
        <f t="shared" ref="PQ48:SA48" ca="1" si="10">PQ21+PQ35-PQ47</f>
        <v>800991252.12</v>
      </c>
      <c r="PR48" s="79">
        <f t="shared" ca="1" si="10"/>
        <v>1218844332.3299999</v>
      </c>
      <c r="PS48" s="79">
        <f t="shared" ca="1" si="10"/>
        <v>173017720.14999998</v>
      </c>
      <c r="PT48" s="79">
        <f t="shared" ca="1" si="10"/>
        <v>173017720.14999998</v>
      </c>
      <c r="PU48" s="79">
        <f t="shared" ca="1" si="10"/>
        <v>3136017720.1500001</v>
      </c>
      <c r="PV48" s="79">
        <f t="shared" ca="1" si="10"/>
        <v>3136017720.1500001</v>
      </c>
      <c r="PW48" s="79">
        <f t="shared" ca="1" si="10"/>
        <v>7487017720.1499996</v>
      </c>
      <c r="PX48" s="79">
        <f t="shared" ca="1" si="10"/>
        <v>7487017720.1499996</v>
      </c>
      <c r="PY48" s="79">
        <f t="shared" ca="1" si="10"/>
        <v>7487017720.1499996</v>
      </c>
      <c r="PZ48" s="79">
        <f t="shared" ca="1" si="10"/>
        <v>7487017720.1499996</v>
      </c>
      <c r="QA48" s="79">
        <f t="shared" ca="1" si="10"/>
        <v>7487017720.1499996</v>
      </c>
      <c r="QB48" s="79">
        <f t="shared" ca="1" si="10"/>
        <v>7487017720.1499996</v>
      </c>
      <c r="QC48" s="79">
        <f t="shared" ca="1" si="10"/>
        <v>7487017720.1499996</v>
      </c>
      <c r="QD48" s="79">
        <f t="shared" ca="1" si="10"/>
        <v>7487017720.1499996</v>
      </c>
      <c r="QE48" s="79">
        <f t="shared" ca="1" si="10"/>
        <v>7487017720.1499996</v>
      </c>
      <c r="QF48" s="79">
        <f t="shared" ca="1" si="10"/>
        <v>7487017720.1499996</v>
      </c>
      <c r="QG48" s="79">
        <f t="shared" ca="1" si="10"/>
        <v>7487017720.1499996</v>
      </c>
      <c r="QH48" s="79">
        <f t="shared" ca="1" si="10"/>
        <v>7487017720.1499996</v>
      </c>
      <c r="QI48" s="79">
        <f t="shared" ca="1" si="10"/>
        <v>7487017720.1499996</v>
      </c>
      <c r="QJ48" s="79">
        <f t="shared" ca="1" si="10"/>
        <v>7487017720.1499996</v>
      </c>
      <c r="QK48" s="79">
        <f t="shared" ca="1" si="10"/>
        <v>7487017720.1499996</v>
      </c>
      <c r="QL48" s="79">
        <f t="shared" ca="1" si="10"/>
        <v>7487017720.1499996</v>
      </c>
      <c r="QM48" s="79">
        <f t="shared" ca="1" si="10"/>
        <v>7487017720.1499996</v>
      </c>
      <c r="QN48" s="79">
        <f t="shared" ca="1" si="10"/>
        <v>7487017720.1499996</v>
      </c>
      <c r="QO48" s="79">
        <f t="shared" ca="1" si="10"/>
        <v>7487017720.1499996</v>
      </c>
      <c r="QP48" s="79">
        <f t="shared" ca="1" si="10"/>
        <v>7487017720.1499996</v>
      </c>
      <c r="QQ48" s="79">
        <f t="shared" ca="1" si="10"/>
        <v>7487017720.1499996</v>
      </c>
      <c r="QR48" s="79">
        <f t="shared" ca="1" si="10"/>
        <v>7487017720.1499996</v>
      </c>
      <c r="QS48" s="79">
        <f t="shared" ca="1" si="10"/>
        <v>7487017720.1499996</v>
      </c>
      <c r="QT48" s="79">
        <f t="shared" ca="1" si="10"/>
        <v>7487017720.1499996</v>
      </c>
      <c r="QU48" s="79">
        <f t="shared" ca="1" si="10"/>
        <v>7487017720.1499996</v>
      </c>
      <c r="QV48" s="79">
        <f t="shared" ca="1" si="10"/>
        <v>7487017720.1499996</v>
      </c>
      <c r="QW48" s="79">
        <f t="shared" ca="1" si="10"/>
        <v>7487017720.1499996</v>
      </c>
      <c r="QX48" s="79">
        <f t="shared" ca="1" si="10"/>
        <v>7487017720.1499996</v>
      </c>
      <c r="QY48" s="79">
        <f t="shared" ca="1" si="10"/>
        <v>7487017720.1499996</v>
      </c>
      <c r="QZ48" s="79">
        <f t="shared" ca="1" si="10"/>
        <v>7487017720.1499996</v>
      </c>
      <c r="RA48" s="79">
        <f t="shared" ca="1" si="10"/>
        <v>7487017720.1499996</v>
      </c>
      <c r="RB48" s="79">
        <f t="shared" ca="1" si="10"/>
        <v>7487017720.1499996</v>
      </c>
      <c r="RC48" s="79">
        <f t="shared" ca="1" si="10"/>
        <v>7487017720.1499996</v>
      </c>
      <c r="RD48" s="79">
        <f t="shared" ca="1" si="10"/>
        <v>7487017720.1499996</v>
      </c>
      <c r="RE48" s="79">
        <f t="shared" ca="1" si="10"/>
        <v>7487017720.1499996</v>
      </c>
      <c r="RF48" s="79">
        <f t="shared" ca="1" si="10"/>
        <v>7487017720.1499996</v>
      </c>
      <c r="RG48" s="79">
        <f t="shared" ca="1" si="10"/>
        <v>7487017720.1499996</v>
      </c>
      <c r="RH48" s="79">
        <f t="shared" ca="1" si="10"/>
        <v>7487017720.1499996</v>
      </c>
      <c r="RI48" s="79">
        <f t="shared" ca="1" si="10"/>
        <v>7487017720.1499996</v>
      </c>
      <c r="RJ48" s="79">
        <f t="shared" ca="1" si="10"/>
        <v>7487017720.1499996</v>
      </c>
      <c r="RK48" s="79">
        <f t="shared" ca="1" si="10"/>
        <v>7487017720.1499996</v>
      </c>
      <c r="RL48" s="79">
        <f t="shared" ca="1" si="10"/>
        <v>7487017720.1499996</v>
      </c>
      <c r="RM48" s="79">
        <f t="shared" ca="1" si="10"/>
        <v>7487017720.1499996</v>
      </c>
      <c r="RN48" s="79">
        <f t="shared" ca="1" si="10"/>
        <v>7487017720.1499996</v>
      </c>
      <c r="RO48" s="79">
        <f t="shared" ca="1" si="10"/>
        <v>7487017720.1499996</v>
      </c>
      <c r="RP48" s="79">
        <f t="shared" ca="1" si="10"/>
        <v>7487017720.1499996</v>
      </c>
      <c r="RQ48" s="79">
        <f t="shared" ca="1" si="10"/>
        <v>7487017720.1499996</v>
      </c>
      <c r="RR48" s="79">
        <f t="shared" ca="1" si="10"/>
        <v>7487017720.1499996</v>
      </c>
      <c r="RS48" s="79">
        <f t="shared" ca="1" si="10"/>
        <v>7487017720.1499996</v>
      </c>
      <c r="RT48" s="79">
        <f t="shared" ca="1" si="10"/>
        <v>7487017720.1499996</v>
      </c>
      <c r="RU48" s="79">
        <f t="shared" ca="1" si="10"/>
        <v>7487017720.1499996</v>
      </c>
      <c r="RV48" s="79">
        <f t="shared" ca="1" si="10"/>
        <v>7487017720.1499996</v>
      </c>
      <c r="RW48" s="79">
        <f t="shared" ca="1" si="10"/>
        <v>7487017720.1499996</v>
      </c>
      <c r="RX48" s="79">
        <f t="shared" ca="1" si="10"/>
        <v>7487017720.1499996</v>
      </c>
      <c r="RY48" s="79">
        <f t="shared" ca="1" si="10"/>
        <v>7487017720.1499996</v>
      </c>
      <c r="RZ48" s="79">
        <f t="shared" ca="1" si="10"/>
        <v>7487017720.1499996</v>
      </c>
      <c r="SA48" s="79">
        <f t="shared" ca="1" si="10"/>
        <v>7487017720.1499996</v>
      </c>
    </row>
    <row r="49" spans="1:495" x14ac:dyDescent="0.2">
      <c r="A49" s="7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  <c r="EC49" s="81"/>
      <c r="ED49" s="81"/>
      <c r="EE49" s="81"/>
      <c r="EF49" s="81"/>
      <c r="EG49" s="81"/>
      <c r="EH49" s="81"/>
      <c r="EI49" s="81"/>
      <c r="EJ49" s="81"/>
      <c r="EK49" s="81"/>
      <c r="EL49" s="81"/>
      <c r="EM49" s="81"/>
      <c r="EN49" s="81"/>
      <c r="EO49" s="81"/>
      <c r="EP49" s="81"/>
      <c r="EQ49" s="81"/>
      <c r="ER49" s="81"/>
      <c r="ES49" s="81"/>
      <c r="ET49" s="81"/>
      <c r="EU49" s="81"/>
      <c r="EV49" s="81"/>
      <c r="EW49" s="81"/>
      <c r="EX49" s="81"/>
      <c r="EY49" s="81"/>
      <c r="EZ49" s="81"/>
      <c r="FA49" s="81"/>
      <c r="FB49" s="81"/>
      <c r="FC49" s="81"/>
      <c r="FD49" s="81"/>
      <c r="FE49" s="81"/>
      <c r="FF49" s="81"/>
      <c r="FG49" s="81"/>
      <c r="FH49" s="81"/>
      <c r="FI49" s="81"/>
      <c r="FJ49" s="81"/>
      <c r="FK49" s="81"/>
      <c r="FL49" s="81"/>
      <c r="FM49" s="81"/>
      <c r="FN49" s="81"/>
      <c r="FO49" s="81"/>
      <c r="FP49" s="81"/>
      <c r="FQ49" s="81"/>
      <c r="FR49" s="81"/>
      <c r="FS49" s="81"/>
      <c r="FT49" s="81"/>
      <c r="FU49" s="81"/>
      <c r="FV49" s="81"/>
      <c r="FW49" s="81"/>
      <c r="FX49" s="81"/>
      <c r="FY49" s="81"/>
      <c r="FZ49" s="81"/>
      <c r="GA49" s="81"/>
      <c r="GB49" s="81"/>
      <c r="GC49" s="81"/>
      <c r="GD49" s="81"/>
      <c r="GE49" s="81"/>
      <c r="GF49" s="81"/>
      <c r="GG49" s="81"/>
      <c r="GH49" s="81"/>
      <c r="GI49" s="81"/>
      <c r="GJ49" s="81"/>
      <c r="GK49" s="81"/>
      <c r="GL49" s="81"/>
      <c r="GM49" s="81"/>
      <c r="GN49" s="81"/>
      <c r="GO49" s="81"/>
      <c r="GP49" s="81"/>
      <c r="GQ49" s="81"/>
      <c r="GR49" s="81"/>
      <c r="GS49" s="81"/>
      <c r="GT49" s="81"/>
      <c r="GU49" s="81"/>
      <c r="GV49" s="81"/>
      <c r="GW49" s="81"/>
      <c r="GX49" s="81"/>
      <c r="GY49" s="81"/>
      <c r="GZ49" s="81"/>
      <c r="HA49" s="81"/>
      <c r="HB49" s="81"/>
      <c r="HC49" s="81"/>
      <c r="HD49" s="81"/>
      <c r="HE49" s="81"/>
      <c r="HF49" s="81"/>
      <c r="HG49" s="81"/>
      <c r="HH49" s="81"/>
      <c r="HI49" s="81"/>
      <c r="HJ49" s="81"/>
      <c r="HK49" s="81"/>
      <c r="HL49" s="81"/>
      <c r="HM49" s="81"/>
      <c r="HN49" s="81"/>
      <c r="HO49" s="81"/>
      <c r="HP49" s="81"/>
      <c r="HQ49" s="81"/>
      <c r="HR49" s="81"/>
      <c r="HS49" s="81"/>
      <c r="HT49" s="81"/>
      <c r="HU49" s="81"/>
      <c r="HV49" s="81"/>
      <c r="HW49" s="81"/>
      <c r="HX49" s="81"/>
      <c r="HY49" s="81"/>
      <c r="HZ49" s="81"/>
      <c r="IA49" s="81"/>
      <c r="IB49" s="81"/>
      <c r="IC49" s="81"/>
      <c r="ID49" s="81"/>
      <c r="IE49" s="81"/>
      <c r="IF49" s="81"/>
      <c r="IG49" s="81"/>
      <c r="IH49" s="81"/>
      <c r="II49" s="81"/>
      <c r="IJ49" s="81"/>
      <c r="IK49" s="81"/>
      <c r="IL49" s="81"/>
      <c r="IM49" s="81"/>
      <c r="IN49" s="81"/>
      <c r="IO49" s="81"/>
      <c r="IP49" s="81"/>
      <c r="IQ49" s="81"/>
      <c r="IR49" s="81"/>
      <c r="IS49" s="81"/>
      <c r="IT49" s="81"/>
      <c r="IU49" s="81"/>
      <c r="IV49" s="81"/>
      <c r="IW49" s="81"/>
      <c r="IX49" s="81"/>
      <c r="IY49" s="81"/>
      <c r="IZ49" s="81"/>
      <c r="JA49" s="81"/>
      <c r="JB49" s="81"/>
      <c r="JC49" s="81"/>
      <c r="JD49" s="81"/>
      <c r="JE49" s="81"/>
      <c r="JF49" s="81"/>
      <c r="JG49" s="81"/>
      <c r="JH49" s="81"/>
      <c r="JI49" s="81"/>
      <c r="JJ49" s="81"/>
      <c r="JK49" s="81"/>
      <c r="JL49" s="81"/>
      <c r="JM49" s="81"/>
      <c r="JN49" s="81"/>
      <c r="JO49" s="81"/>
      <c r="JP49" s="81"/>
      <c r="JQ49" s="81"/>
      <c r="JR49" s="81"/>
      <c r="JS49" s="81"/>
      <c r="JT49" s="81"/>
      <c r="JU49" s="81"/>
      <c r="JV49" s="81"/>
      <c r="JW49" s="81"/>
      <c r="JX49" s="81"/>
      <c r="JY49" s="81"/>
      <c r="JZ49" s="81"/>
      <c r="KA49" s="81"/>
      <c r="KB49" s="81"/>
      <c r="KC49" s="81"/>
      <c r="KD49" s="81"/>
      <c r="KE49" s="81"/>
      <c r="KF49" s="81"/>
      <c r="KG49" s="81"/>
      <c r="KH49" s="81"/>
      <c r="KI49" s="81"/>
      <c r="KJ49" s="81"/>
      <c r="KK49" s="81"/>
      <c r="KL49" s="81"/>
      <c r="KM49" s="81"/>
      <c r="KN49" s="81"/>
      <c r="KO49" s="81"/>
      <c r="KP49" s="81"/>
      <c r="KQ49" s="81"/>
      <c r="KR49" s="81"/>
      <c r="KS49" s="81"/>
      <c r="KT49" s="81"/>
      <c r="KU49" s="81"/>
      <c r="KV49" s="81"/>
      <c r="KW49" s="81"/>
      <c r="KX49" s="81"/>
      <c r="KY49" s="81"/>
      <c r="KZ49" s="81"/>
      <c r="LA49" s="81"/>
      <c r="LB49" s="81"/>
      <c r="LC49" s="81"/>
      <c r="LD49" s="81"/>
      <c r="LE49" s="81"/>
      <c r="LF49" s="81"/>
      <c r="LG49" s="81"/>
      <c r="LH49" s="81"/>
      <c r="LI49" s="81"/>
      <c r="LJ49" s="81"/>
      <c r="LK49" s="81"/>
      <c r="LL49" s="81"/>
      <c r="LM49" s="81"/>
      <c r="LN49" s="81"/>
      <c r="LO49" s="81"/>
      <c r="LP49" s="81"/>
      <c r="LQ49" s="81"/>
      <c r="LR49" s="81"/>
      <c r="LS49" s="81"/>
      <c r="LT49" s="81"/>
      <c r="LU49" s="81"/>
      <c r="LV49" s="81"/>
      <c r="LW49" s="81"/>
      <c r="LX49" s="81"/>
      <c r="LY49" s="81"/>
      <c r="LZ49" s="81"/>
      <c r="MA49" s="81"/>
      <c r="MB49" s="81"/>
      <c r="MC49" s="81"/>
      <c r="MD49" s="81"/>
      <c r="ME49" s="81"/>
      <c r="MF49" s="81"/>
      <c r="MG49" s="81"/>
      <c r="MH49" s="81"/>
      <c r="MI49" s="81"/>
      <c r="MJ49" s="81"/>
      <c r="MK49" s="81"/>
      <c r="ML49" s="81"/>
      <c r="MM49" s="81"/>
      <c r="MN49" s="81"/>
      <c r="MO49" s="81"/>
      <c r="MP49" s="81"/>
      <c r="MQ49" s="81"/>
      <c r="MR49" s="81"/>
      <c r="MS49" s="81"/>
      <c r="MT49" s="81"/>
      <c r="MU49" s="81"/>
      <c r="MV49" s="81"/>
      <c r="MW49" s="81"/>
      <c r="MX49" s="81"/>
      <c r="MY49" s="81"/>
      <c r="MZ49" s="81"/>
      <c r="NA49" s="81"/>
      <c r="NB49" s="81"/>
      <c r="NC49" s="81"/>
      <c r="ND49" s="81"/>
      <c r="NE49" s="81"/>
      <c r="NF49" s="81"/>
      <c r="NG49" s="81"/>
      <c r="NH49" s="81"/>
      <c r="NI49" s="81"/>
      <c r="NJ49" s="81"/>
      <c r="NK49" s="81"/>
      <c r="NL49" s="81"/>
      <c r="NM49" s="81"/>
      <c r="NN49" s="81"/>
      <c r="NO49" s="81"/>
      <c r="NP49" s="81"/>
      <c r="NQ49" s="81"/>
      <c r="NR49" s="81"/>
      <c r="NS49" s="81"/>
      <c r="NT49" s="81"/>
      <c r="NU49" s="81"/>
      <c r="NV49" s="81"/>
      <c r="NW49" s="81"/>
      <c r="NX49" s="81"/>
      <c r="NY49" s="81"/>
      <c r="NZ49" s="81"/>
      <c r="OA49" s="81"/>
      <c r="OB49" s="81"/>
      <c r="OC49" s="81"/>
      <c r="OD49" s="81"/>
      <c r="OE49" s="81"/>
      <c r="OF49" s="81"/>
      <c r="OG49" s="81"/>
      <c r="OH49" s="81"/>
      <c r="OI49" s="81"/>
      <c r="OJ49" s="81"/>
      <c r="OK49" s="81"/>
      <c r="OL49" s="81"/>
      <c r="OM49" s="81"/>
      <c r="ON49" s="81"/>
      <c r="OO49" s="81"/>
      <c r="OP49" s="81"/>
      <c r="OQ49" s="81"/>
      <c r="OR49" s="81"/>
      <c r="OS49" s="81"/>
      <c r="OT49" s="81"/>
      <c r="OU49" s="81"/>
      <c r="OV49" s="81"/>
      <c r="OW49" s="81"/>
      <c r="OX49" s="81"/>
      <c r="OY49" s="81"/>
      <c r="OZ49" s="81"/>
      <c r="PA49" s="81"/>
      <c r="PB49" s="81"/>
      <c r="PC49" s="81"/>
      <c r="PD49" s="81"/>
      <c r="PE49" s="81"/>
      <c r="PF49" s="81"/>
      <c r="PG49" s="81"/>
      <c r="PH49" s="81"/>
      <c r="PI49" s="81"/>
      <c r="PJ49" s="81"/>
      <c r="PK49" s="81"/>
      <c r="PL49" s="81"/>
      <c r="PM49" s="81"/>
      <c r="PN49" s="81"/>
      <c r="PO49" s="81"/>
      <c r="PP49" s="81"/>
      <c r="PQ49" s="81"/>
      <c r="PR49" s="81"/>
      <c r="PS49" s="81"/>
      <c r="PT49" s="81"/>
      <c r="PU49" s="81"/>
      <c r="PV49" s="81"/>
      <c r="PW49" s="81"/>
      <c r="PX49" s="81"/>
      <c r="PY49" s="81"/>
      <c r="PZ49" s="81"/>
      <c r="QA49" s="81"/>
      <c r="QB49" s="81"/>
      <c r="QC49" s="81"/>
      <c r="QD49" s="81"/>
      <c r="QE49" s="81"/>
      <c r="QF49" s="81"/>
      <c r="QG49" s="81"/>
      <c r="QH49" s="81"/>
      <c r="QI49" s="81"/>
      <c r="QJ49" s="81"/>
      <c r="QK49" s="81"/>
      <c r="QL49" s="81"/>
      <c r="QM49" s="81"/>
      <c r="QN49" s="81"/>
      <c r="QO49" s="81"/>
      <c r="QP49" s="81"/>
      <c r="QQ49" s="81"/>
      <c r="QR49" s="81"/>
      <c r="QS49" s="81"/>
      <c r="QT49" s="81"/>
      <c r="QU49" s="81"/>
      <c r="QV49" s="81"/>
      <c r="QW49" s="81"/>
      <c r="QX49" s="81"/>
      <c r="QY49" s="81"/>
      <c r="QZ49" s="81"/>
      <c r="RA49" s="81"/>
      <c r="RB49" s="81"/>
      <c r="RC49" s="81"/>
      <c r="RD49" s="81"/>
      <c r="RE49" s="81"/>
      <c r="RF49" s="81"/>
      <c r="RG49" s="81"/>
      <c r="RH49" s="81"/>
      <c r="RI49" s="81"/>
      <c r="RJ49" s="81"/>
      <c r="RK49" s="81"/>
      <c r="RL49" s="81"/>
      <c r="RM49" s="81"/>
      <c r="RN49" s="81"/>
      <c r="RO49" s="81"/>
      <c r="RP49" s="81"/>
      <c r="RQ49" s="81"/>
      <c r="RR49" s="81"/>
      <c r="RS49" s="81"/>
      <c r="RT49" s="81"/>
      <c r="RU49" s="81"/>
      <c r="RV49" s="81"/>
      <c r="RW49" s="81"/>
      <c r="RX49" s="81"/>
      <c r="RY49" s="81"/>
      <c r="RZ49" s="81"/>
      <c r="SA49" s="81"/>
    </row>
    <row r="50" spans="1:495" s="80" customFormat="1" x14ac:dyDescent="0.2">
      <c r="A50" s="82" t="s">
        <v>1088</v>
      </c>
      <c r="B50" s="83">
        <v>2820087009.75</v>
      </c>
      <c r="C50" s="83">
        <v>3491151811.1500001</v>
      </c>
      <c r="D50" s="83">
        <v>8543511151.0299997</v>
      </c>
      <c r="E50" s="83">
        <v>17162261627.200001</v>
      </c>
      <c r="F50" s="83">
        <v>12618314252.059999</v>
      </c>
      <c r="G50" s="83">
        <v>2731309071.8899999</v>
      </c>
      <c r="H50" s="83">
        <v>105169700.40000001</v>
      </c>
      <c r="I50" s="83">
        <v>2752617081.6799998</v>
      </c>
      <c r="J50" s="83">
        <v>2008091598.8299999</v>
      </c>
      <c r="K50" s="83">
        <v>3062579157.9899998</v>
      </c>
      <c r="L50" s="83">
        <v>54674138.609999999</v>
      </c>
      <c r="M50" s="83">
        <v>141058317.83000001</v>
      </c>
      <c r="N50" s="83">
        <v>42815745.850000001</v>
      </c>
      <c r="O50" s="83">
        <v>7641313713.4200001</v>
      </c>
      <c r="P50" s="83">
        <v>6768991255.5500002</v>
      </c>
      <c r="Q50" s="83">
        <v>2421759122.4899998</v>
      </c>
      <c r="R50" s="83">
        <v>20704697.300000001</v>
      </c>
      <c r="S50" s="83">
        <v>70389839.760000005</v>
      </c>
      <c r="T50" s="83">
        <v>7898332466.1300001</v>
      </c>
      <c r="U50" s="83">
        <v>5378926373.9700003</v>
      </c>
      <c r="V50" s="83">
        <v>2116904259.9200001</v>
      </c>
      <c r="W50" s="83">
        <v>976149241.51999998</v>
      </c>
      <c r="X50" s="83">
        <v>138009048.19</v>
      </c>
      <c r="Y50" s="83">
        <v>1268291838.1600001</v>
      </c>
      <c r="Z50" s="83">
        <v>4288847376.1500001</v>
      </c>
      <c r="AA50" s="83">
        <v>1366381996.1700001</v>
      </c>
      <c r="AB50" s="83">
        <v>1021726100.2</v>
      </c>
      <c r="AC50" s="83">
        <v>975548478.08000004</v>
      </c>
      <c r="AD50" s="83">
        <v>146093342.84999999</v>
      </c>
      <c r="AE50" s="83">
        <v>2772037776.4499998</v>
      </c>
      <c r="AF50" s="83">
        <v>102866660.95999999</v>
      </c>
      <c r="AG50" s="83">
        <v>35797069.799999997</v>
      </c>
      <c r="AH50" s="83">
        <v>771845933.88999999</v>
      </c>
      <c r="AI50" s="83">
        <v>28847785.039999999</v>
      </c>
      <c r="AJ50" s="83">
        <v>13626789.300000001</v>
      </c>
      <c r="AK50" s="83">
        <v>86306781.329999998</v>
      </c>
      <c r="AL50" s="83">
        <v>485365697.62</v>
      </c>
      <c r="AM50" s="83">
        <v>220386992.93000001</v>
      </c>
      <c r="AN50" s="83">
        <v>1469911522.02</v>
      </c>
      <c r="AO50" s="83">
        <v>75800752.909999996</v>
      </c>
      <c r="AP50" s="83">
        <v>34538426.289999999</v>
      </c>
      <c r="AQ50" s="83">
        <v>82660608.200000003</v>
      </c>
      <c r="AR50" s="83">
        <v>719289533.95000005</v>
      </c>
      <c r="AS50" s="83">
        <v>1221364990.1099999</v>
      </c>
      <c r="AT50" s="83">
        <v>1658976669.1300001</v>
      </c>
      <c r="AU50" s="83">
        <v>1727417959.1500001</v>
      </c>
      <c r="AV50" s="83">
        <v>53273282.039999999</v>
      </c>
      <c r="AW50" s="83">
        <v>2290842813.71</v>
      </c>
      <c r="AX50" s="83">
        <v>452868495.70999998</v>
      </c>
      <c r="AY50" s="83">
        <v>1516088709.8299999</v>
      </c>
      <c r="AZ50" s="83">
        <v>393910453.66000003</v>
      </c>
      <c r="BA50" s="83">
        <v>68263921.689999998</v>
      </c>
      <c r="BB50" s="83">
        <v>123413839.84999999</v>
      </c>
      <c r="BC50" s="83">
        <v>49068747.68</v>
      </c>
      <c r="BD50" s="83">
        <v>4569404548.5900002</v>
      </c>
      <c r="BE50" s="83">
        <v>3736303027.0900002</v>
      </c>
      <c r="BF50" s="83">
        <v>5372098573.1700001</v>
      </c>
      <c r="BG50" s="83">
        <v>20279198762.790001</v>
      </c>
      <c r="BH50" s="83">
        <v>11851928475.690001</v>
      </c>
      <c r="BI50" s="83">
        <v>7700236753.2299995</v>
      </c>
      <c r="BJ50" s="83">
        <v>2924679835.6100001</v>
      </c>
      <c r="BK50" s="83">
        <v>42235231.789999999</v>
      </c>
      <c r="BL50" s="83">
        <v>198242419.83000001</v>
      </c>
      <c r="BM50" s="83">
        <v>97582712.370000005</v>
      </c>
      <c r="BN50" s="83">
        <v>6021739490.1400003</v>
      </c>
      <c r="BO50" s="83">
        <v>2491987329.1599998</v>
      </c>
      <c r="BP50" s="83">
        <v>1796343529.1700001</v>
      </c>
      <c r="BQ50" s="83">
        <v>1132383139.53</v>
      </c>
      <c r="BR50" s="83">
        <v>20412639.77</v>
      </c>
      <c r="BS50" s="83">
        <v>93594301.810000002</v>
      </c>
      <c r="BT50" s="83">
        <v>1790925887.7</v>
      </c>
      <c r="BU50" s="83">
        <v>798111502.98000002</v>
      </c>
      <c r="BV50" s="83">
        <v>789577707.08000004</v>
      </c>
      <c r="BW50" s="83">
        <v>1593214531.6400001</v>
      </c>
      <c r="BX50" s="83">
        <v>25257113.34</v>
      </c>
      <c r="BY50" s="83">
        <v>396193843.79000002</v>
      </c>
      <c r="BZ50" s="83">
        <v>141738039.22</v>
      </c>
      <c r="CA50" s="83">
        <v>63414325.140000001</v>
      </c>
      <c r="CB50" s="83">
        <v>132246427.98999999</v>
      </c>
      <c r="CC50" s="83">
        <v>451949612.47000003</v>
      </c>
      <c r="CD50" s="83">
        <v>1064992175.8099999</v>
      </c>
      <c r="CE50" s="83">
        <v>49074155.200000003</v>
      </c>
      <c r="CF50" s="83">
        <v>158590233.78</v>
      </c>
      <c r="CG50" s="83">
        <v>3900052979.2800002</v>
      </c>
      <c r="CH50" s="83">
        <v>832625572.75999999</v>
      </c>
      <c r="CI50" s="83">
        <v>142051793.68000001</v>
      </c>
      <c r="CJ50" s="83">
        <v>1207227580.8199999</v>
      </c>
      <c r="CK50" s="83">
        <v>484326029.63</v>
      </c>
      <c r="CL50" s="83">
        <v>78497318.480000004</v>
      </c>
      <c r="CM50" s="83">
        <v>55203630.810000002</v>
      </c>
      <c r="CN50" s="83">
        <v>3275406217.9000001</v>
      </c>
      <c r="CO50" s="83">
        <v>128254668.81999999</v>
      </c>
      <c r="CP50" s="83">
        <v>3213325454.2800002</v>
      </c>
      <c r="CQ50" s="83">
        <v>2173450265.9000001</v>
      </c>
      <c r="CR50" s="83">
        <v>1127802400.55</v>
      </c>
      <c r="CS50" s="83">
        <v>443032392.51999998</v>
      </c>
      <c r="CT50" s="83">
        <v>100557590</v>
      </c>
      <c r="CU50" s="83">
        <v>3617612880.73</v>
      </c>
      <c r="CV50" s="83">
        <v>1778887347.1600001</v>
      </c>
      <c r="CW50" s="83">
        <v>1274728730.8800001</v>
      </c>
      <c r="CX50" s="83">
        <v>1880614187.8199999</v>
      </c>
      <c r="CY50" s="83">
        <v>33687563.090000004</v>
      </c>
      <c r="CZ50" s="83">
        <v>3587026095.0700002</v>
      </c>
      <c r="DA50" s="83">
        <v>1169634465.78</v>
      </c>
      <c r="DB50" s="83">
        <v>89553323.930000007</v>
      </c>
      <c r="DC50" s="83">
        <v>1393005532.27</v>
      </c>
      <c r="DD50" s="83">
        <v>2068665189.8</v>
      </c>
      <c r="DE50" s="83">
        <v>4693906622.0900002</v>
      </c>
      <c r="DF50" s="83">
        <v>3149008223.3600001</v>
      </c>
      <c r="DG50" s="83">
        <v>1576904615.6099999</v>
      </c>
      <c r="DH50" s="83">
        <v>786214542.62</v>
      </c>
      <c r="DI50" s="83">
        <v>80961080.909999996</v>
      </c>
      <c r="DJ50" s="83">
        <v>1442194248.6700001</v>
      </c>
      <c r="DK50" s="83">
        <v>5451859174.3599997</v>
      </c>
      <c r="DL50" s="83">
        <v>58933307.630000003</v>
      </c>
      <c r="DM50" s="83">
        <v>1584215345.7</v>
      </c>
      <c r="DN50" s="83">
        <v>475283700.75</v>
      </c>
      <c r="DO50" s="83">
        <v>4763696566.3000002</v>
      </c>
      <c r="DP50" s="83">
        <v>702340339.61000001</v>
      </c>
      <c r="DQ50" s="83">
        <v>1614605818.8800001</v>
      </c>
      <c r="DR50" s="83">
        <v>867078873.44000006</v>
      </c>
      <c r="DS50" s="83">
        <v>53898086.460000001</v>
      </c>
      <c r="DT50" s="83">
        <v>2952840057.25</v>
      </c>
      <c r="DU50" s="83">
        <v>4631353179.1700001</v>
      </c>
      <c r="DV50" s="83">
        <v>343425293.99000001</v>
      </c>
      <c r="DW50" s="83">
        <v>67970160.730000004</v>
      </c>
      <c r="DX50" s="83">
        <v>247884534.28999999</v>
      </c>
      <c r="DY50" s="83">
        <v>3513932749.5</v>
      </c>
      <c r="DZ50" s="83">
        <v>2265427788.79</v>
      </c>
      <c r="EA50" s="83">
        <v>622893091.39999998</v>
      </c>
      <c r="EB50" s="83">
        <v>56471133.43</v>
      </c>
      <c r="EC50" s="83">
        <v>828623724.86000001</v>
      </c>
      <c r="ED50" s="83">
        <v>115176112.75</v>
      </c>
      <c r="EE50" s="83">
        <v>79078876.469999999</v>
      </c>
      <c r="EF50" s="83">
        <v>302102103.63999999</v>
      </c>
      <c r="EG50" s="83">
        <v>216183911.78999999</v>
      </c>
      <c r="EH50" s="83">
        <v>3521580549.5</v>
      </c>
      <c r="EI50" s="83">
        <v>1965112400.79</v>
      </c>
      <c r="EJ50" s="83">
        <v>464345631.92000002</v>
      </c>
      <c r="EK50" s="83">
        <v>40690938.649999999</v>
      </c>
      <c r="EL50" s="83">
        <v>82221292.510000005</v>
      </c>
      <c r="EM50" s="83">
        <v>2334352285.3400002</v>
      </c>
      <c r="EN50" s="83">
        <v>2772905416.9000001</v>
      </c>
      <c r="EO50" s="83">
        <v>1453166871.8800001</v>
      </c>
      <c r="EP50" s="83">
        <v>55531625.689999998</v>
      </c>
      <c r="EQ50" s="83">
        <v>2948297339.2399998</v>
      </c>
      <c r="ER50" s="83">
        <v>1609435999.25</v>
      </c>
      <c r="ES50" s="83">
        <v>34908211.170000002</v>
      </c>
      <c r="ET50" s="83">
        <v>331786482.44999999</v>
      </c>
      <c r="EU50" s="83">
        <v>196211881.69</v>
      </c>
      <c r="EV50" s="83">
        <v>907230184.67999995</v>
      </c>
      <c r="EW50" s="83">
        <v>1282826393.3599999</v>
      </c>
      <c r="EX50" s="83">
        <v>53221111.520000003</v>
      </c>
      <c r="EY50" s="83">
        <v>254983041.08000001</v>
      </c>
      <c r="EZ50" s="83">
        <v>1450983701.96</v>
      </c>
      <c r="FA50" s="83">
        <v>3335983891.6100001</v>
      </c>
      <c r="FB50" s="83">
        <v>1231332587.27</v>
      </c>
      <c r="FC50" s="83">
        <v>91514944.780000001</v>
      </c>
      <c r="FD50" s="83">
        <v>129544713.84</v>
      </c>
      <c r="FE50" s="83">
        <v>355242593.83999997</v>
      </c>
      <c r="FF50" s="83">
        <v>2430008886.0100002</v>
      </c>
      <c r="FG50" s="83">
        <v>1948120236.49</v>
      </c>
      <c r="FH50" s="83">
        <v>5844179.46</v>
      </c>
      <c r="FI50" s="83">
        <v>219320625.93000001</v>
      </c>
      <c r="FJ50" s="83">
        <v>652370248.87</v>
      </c>
      <c r="FK50" s="83">
        <v>354396952.72000003</v>
      </c>
      <c r="FL50" s="83">
        <v>212335909.13999999</v>
      </c>
      <c r="FM50" s="83">
        <v>101193815.13</v>
      </c>
      <c r="FN50" s="83">
        <v>202605405.52000001</v>
      </c>
      <c r="FO50" s="83">
        <v>-2289827734.48</v>
      </c>
      <c r="FP50" s="83">
        <v>-2289827734.48</v>
      </c>
      <c r="FQ50" s="83">
        <v>3263172265.5100002</v>
      </c>
      <c r="FR50" s="83">
        <v>106340554.28</v>
      </c>
      <c r="FS50" s="83">
        <v>1782671972.8800001</v>
      </c>
      <c r="FT50" s="83">
        <v>2162479685.3499999</v>
      </c>
      <c r="FU50" s="83">
        <v>3014339810.0300002</v>
      </c>
      <c r="FV50" s="83">
        <v>2102467625.2</v>
      </c>
      <c r="FW50" s="83">
        <v>68702339.980000004</v>
      </c>
      <c r="FX50" s="83">
        <v>579854652.58000004</v>
      </c>
      <c r="FY50" s="83">
        <v>323435672.44999999</v>
      </c>
      <c r="FZ50" s="83">
        <v>537799542.96000004</v>
      </c>
      <c r="GA50" s="83">
        <v>2093209536</v>
      </c>
      <c r="GB50" s="83">
        <v>55837834.850000001</v>
      </c>
      <c r="GC50" s="83">
        <v>123867081.02</v>
      </c>
      <c r="GD50" s="83">
        <v>221938140.55000001</v>
      </c>
      <c r="GE50" s="83">
        <v>850893118.48000002</v>
      </c>
      <c r="GF50" s="83">
        <v>1289470754.6700001</v>
      </c>
      <c r="GG50" s="83">
        <v>3667385326.1799998</v>
      </c>
      <c r="GH50" s="83">
        <v>1036028694.1799999</v>
      </c>
      <c r="GI50" s="83">
        <v>802606694.39999998</v>
      </c>
      <c r="GJ50" s="83">
        <v>361277647.82999998</v>
      </c>
      <c r="GK50" s="83">
        <v>2744354417.4299998</v>
      </c>
      <c r="GL50" s="83">
        <v>8749619448.3700008</v>
      </c>
      <c r="GM50" s="83">
        <v>319497136.5</v>
      </c>
      <c r="GN50" s="83">
        <v>267650061.91999999</v>
      </c>
      <c r="GO50" s="83">
        <v>4083827810.75</v>
      </c>
      <c r="GP50" s="83">
        <v>4396653430.7799997</v>
      </c>
      <c r="GQ50" s="83">
        <v>846918092.04999995</v>
      </c>
      <c r="GR50" s="83">
        <v>21561595.359999999</v>
      </c>
      <c r="GS50" s="83">
        <v>1545485827.3499999</v>
      </c>
      <c r="GT50" s="83">
        <v>57427824.450000003</v>
      </c>
      <c r="GU50" s="83">
        <v>116965818.94</v>
      </c>
      <c r="GV50" s="83">
        <v>8361103030.9799995</v>
      </c>
      <c r="GW50" s="83">
        <v>866780924.07000005</v>
      </c>
      <c r="GX50" s="83">
        <v>552193766.10000002</v>
      </c>
      <c r="GY50" s="83">
        <v>151667313.44</v>
      </c>
      <c r="GZ50" s="83">
        <v>597081845.89999998</v>
      </c>
      <c r="HA50" s="83">
        <v>340066596.29000002</v>
      </c>
      <c r="HB50" s="83">
        <v>56929533.280000001</v>
      </c>
      <c r="HC50" s="83">
        <v>621597308.92999995</v>
      </c>
      <c r="HD50" s="83">
        <v>200235666.25</v>
      </c>
      <c r="HE50" s="83">
        <v>452941232.20999998</v>
      </c>
      <c r="HF50" s="83">
        <v>5318663364.21</v>
      </c>
      <c r="HG50" s="83">
        <v>874133135.00999999</v>
      </c>
      <c r="HH50" s="83">
        <v>414478913.63</v>
      </c>
      <c r="HI50" s="83">
        <v>5462347377.1899996</v>
      </c>
      <c r="HJ50" s="83">
        <v>5555456874.8900003</v>
      </c>
      <c r="HK50" s="83">
        <v>4335524060.1300001</v>
      </c>
      <c r="HL50" s="83">
        <v>0</v>
      </c>
      <c r="HM50" s="83">
        <v>2192134401.3899999</v>
      </c>
      <c r="HN50" s="83">
        <v>3123253436.1100001</v>
      </c>
      <c r="HO50" s="83">
        <v>2248760102.1999998</v>
      </c>
      <c r="HP50" s="83">
        <v>2376590433.7199998</v>
      </c>
      <c r="HQ50" s="83">
        <v>1028862915.64</v>
      </c>
      <c r="HR50" s="83">
        <v>1651960305.54</v>
      </c>
      <c r="HS50" s="83">
        <v>252732358.38</v>
      </c>
      <c r="HT50" s="83">
        <v>4824918128.6700001</v>
      </c>
      <c r="HU50" s="83">
        <v>2014803175.78</v>
      </c>
      <c r="HV50" s="83">
        <v>265315398.09999999</v>
      </c>
      <c r="HW50" s="83">
        <v>1246881243.8699999</v>
      </c>
      <c r="HX50" s="83">
        <v>4051209205.6900001</v>
      </c>
      <c r="HY50" s="83">
        <v>2884643028.1300001</v>
      </c>
      <c r="HZ50" s="83">
        <v>505081051.36000001</v>
      </c>
      <c r="IA50" s="83">
        <v>294411208.04000002</v>
      </c>
      <c r="IB50" s="83">
        <v>559828740.94000006</v>
      </c>
      <c r="IC50" s="83">
        <v>559828740.94000006</v>
      </c>
      <c r="ID50" s="83">
        <v>1295639991.5699999</v>
      </c>
      <c r="IE50" s="83">
        <v>830082579.50999999</v>
      </c>
      <c r="IF50" s="83">
        <v>188315223.16999999</v>
      </c>
      <c r="IG50" s="83">
        <v>3348147707.3800001</v>
      </c>
      <c r="IH50" s="83">
        <v>2639322445.6399999</v>
      </c>
      <c r="II50" s="83">
        <v>300324051.76999998</v>
      </c>
      <c r="IJ50" s="83">
        <v>512265964.74000001</v>
      </c>
      <c r="IK50" s="83">
        <v>627346220.00999999</v>
      </c>
      <c r="IL50" s="83">
        <v>40267435.939999998</v>
      </c>
      <c r="IM50" s="83">
        <v>533528237.24000001</v>
      </c>
      <c r="IN50" s="83">
        <v>3812480009.3800001</v>
      </c>
      <c r="IO50" s="83">
        <v>2748737847.5</v>
      </c>
      <c r="IP50" s="83">
        <v>2616071049.29</v>
      </c>
      <c r="IQ50" s="83">
        <v>2573028307.1199999</v>
      </c>
      <c r="IR50" s="83">
        <v>1097414260.5999999</v>
      </c>
      <c r="IS50" s="83">
        <v>1003850385.03</v>
      </c>
      <c r="IT50" s="83">
        <v>164846625.00999999</v>
      </c>
      <c r="IU50" s="83">
        <v>1340301974.22</v>
      </c>
      <c r="IV50" s="83">
        <v>928178215</v>
      </c>
      <c r="IW50" s="83">
        <v>27947740.550000001</v>
      </c>
      <c r="IX50" s="83">
        <v>324311336.25999999</v>
      </c>
      <c r="IY50" s="83">
        <v>33369666.699999999</v>
      </c>
      <c r="IZ50" s="83">
        <v>1664237750.4200001</v>
      </c>
      <c r="JA50" s="83">
        <v>1288779981.1600001</v>
      </c>
      <c r="JB50" s="83">
        <v>599435396.88</v>
      </c>
      <c r="JC50" s="83">
        <v>1172246235.0799999</v>
      </c>
      <c r="JD50" s="83">
        <v>803078836.40999997</v>
      </c>
      <c r="JE50" s="83">
        <v>246212543.91</v>
      </c>
      <c r="JF50" s="83">
        <v>270531071.50999999</v>
      </c>
      <c r="JG50" s="83">
        <v>981480078.23000002</v>
      </c>
      <c r="JH50" s="83">
        <v>497399807.5</v>
      </c>
      <c r="JI50" s="83">
        <v>2068314223.4400001</v>
      </c>
      <c r="JJ50" s="83">
        <v>5010379532.1099997</v>
      </c>
      <c r="JK50" s="83">
        <v>3047089595.77</v>
      </c>
      <c r="JL50" s="83">
        <v>1443740458.24</v>
      </c>
      <c r="JM50" s="83">
        <v>56907694.740000002</v>
      </c>
      <c r="JN50" s="83">
        <v>8563265956.3000002</v>
      </c>
      <c r="JO50" s="83">
        <v>6184763140.7799997</v>
      </c>
      <c r="JP50" s="83">
        <v>860567400.55999994</v>
      </c>
      <c r="JQ50" s="83">
        <v>414923512.08999997</v>
      </c>
      <c r="JR50" s="83">
        <v>113517083.23</v>
      </c>
      <c r="JS50" s="83">
        <v>1876196146.99</v>
      </c>
      <c r="JT50" s="83">
        <v>2028896824.52</v>
      </c>
      <c r="JU50" s="83">
        <v>719714485.89999998</v>
      </c>
      <c r="JV50" s="83">
        <v>82346474.890000001</v>
      </c>
      <c r="JW50" s="83">
        <v>121775445.15000001</v>
      </c>
      <c r="JX50" s="83">
        <v>852226380.5</v>
      </c>
      <c r="JY50" s="83">
        <v>1213224313.1500001</v>
      </c>
      <c r="JZ50" s="83">
        <v>1182846075.4100001</v>
      </c>
      <c r="KA50" s="83">
        <v>584834859.70000005</v>
      </c>
      <c r="KB50" s="83">
        <v>312600663.55000001</v>
      </c>
      <c r="KC50" s="83">
        <v>2107071076.3</v>
      </c>
      <c r="KD50" s="83">
        <v>915313691.24000001</v>
      </c>
      <c r="KE50" s="83">
        <v>612894464.58000004</v>
      </c>
      <c r="KF50" s="83">
        <v>553163180.78999996</v>
      </c>
      <c r="KG50" s="83">
        <v>38186862.82</v>
      </c>
      <c r="KH50" s="83">
        <v>515046969.89999998</v>
      </c>
      <c r="KI50" s="83">
        <v>1334689777.0899999</v>
      </c>
      <c r="KJ50" s="83">
        <v>674454973.80999994</v>
      </c>
      <c r="KK50" s="83">
        <v>734189406.21000004</v>
      </c>
      <c r="KL50" s="83">
        <v>1000902897.5</v>
      </c>
      <c r="KM50" s="83">
        <v>90163573.189999998</v>
      </c>
      <c r="KN50" s="83">
        <v>196231143.24000001</v>
      </c>
      <c r="KO50" s="83">
        <v>107030748</v>
      </c>
      <c r="KP50" s="83">
        <v>321456699.60000002</v>
      </c>
      <c r="KQ50" s="83">
        <v>3154374654.4099998</v>
      </c>
      <c r="KR50" s="83">
        <v>1779967313.48</v>
      </c>
      <c r="KS50" s="83">
        <v>380025994.93000001</v>
      </c>
      <c r="KT50" s="83">
        <v>250000979.65000001</v>
      </c>
      <c r="KU50" s="83">
        <v>156429211.08000001</v>
      </c>
      <c r="KV50" s="83">
        <v>51012182.189999998</v>
      </c>
      <c r="KW50" s="83">
        <v>733149403.46000004</v>
      </c>
      <c r="KX50" s="83">
        <v>1898117815.47</v>
      </c>
      <c r="KY50" s="83">
        <v>1776713883.8399999</v>
      </c>
      <c r="KZ50" s="83">
        <v>9069452630.2399998</v>
      </c>
      <c r="LA50" s="83">
        <v>4942145924.0200005</v>
      </c>
      <c r="LB50" s="83">
        <v>1396711119.8299999</v>
      </c>
      <c r="LC50" s="83">
        <v>389399798.31999999</v>
      </c>
      <c r="LD50" s="83">
        <v>1199695747.3900001</v>
      </c>
      <c r="LE50" s="83">
        <v>311061367.56999999</v>
      </c>
      <c r="LF50" s="83">
        <v>116580376.55</v>
      </c>
      <c r="LG50" s="83">
        <v>366158538.42000002</v>
      </c>
      <c r="LH50" s="83">
        <v>3451703566.6399999</v>
      </c>
      <c r="LI50" s="83">
        <v>5195517833.1899996</v>
      </c>
      <c r="LJ50" s="83">
        <v>6100118975.4700003</v>
      </c>
      <c r="LK50" s="83">
        <v>151638303.88999999</v>
      </c>
      <c r="LL50" s="83">
        <v>556562106.57000005</v>
      </c>
      <c r="LM50" s="83">
        <v>4331798811.6099997</v>
      </c>
      <c r="LN50" s="83">
        <v>1823704304.3499999</v>
      </c>
      <c r="LO50" s="83">
        <v>451239155.11000001</v>
      </c>
      <c r="LP50" s="83">
        <v>4625929714.3800001</v>
      </c>
      <c r="LQ50" s="83">
        <v>2362958527.3899999</v>
      </c>
      <c r="LR50" s="83">
        <v>1175182783.53</v>
      </c>
      <c r="LS50" s="83">
        <v>918935737.69000006</v>
      </c>
      <c r="LT50" s="83">
        <v>52398267.509999998</v>
      </c>
      <c r="LU50" s="83">
        <v>2204642403.9000001</v>
      </c>
      <c r="LV50" s="83">
        <v>324310741.55000001</v>
      </c>
      <c r="LW50" s="83">
        <v>1231075726.49</v>
      </c>
      <c r="LX50" s="83">
        <v>1614779001.8699999</v>
      </c>
      <c r="LY50" s="83">
        <v>332133403.27999997</v>
      </c>
      <c r="LZ50" s="83">
        <v>453813456.52999997</v>
      </c>
      <c r="MA50" s="83">
        <v>7134518810.5299997</v>
      </c>
      <c r="MB50" s="83">
        <v>3916378408.8299999</v>
      </c>
      <c r="MC50" s="83">
        <v>3494129903.3800001</v>
      </c>
      <c r="MD50" s="83">
        <v>1405434581.5899999</v>
      </c>
      <c r="ME50" s="83">
        <v>1194925764.21</v>
      </c>
      <c r="MF50" s="83">
        <v>3142950107.1799998</v>
      </c>
      <c r="MG50" s="83">
        <v>1517420157.3199999</v>
      </c>
      <c r="MH50" s="83">
        <v>511438163.38</v>
      </c>
      <c r="MI50" s="83">
        <v>2612221944.1300001</v>
      </c>
      <c r="MJ50" s="83">
        <v>3868795232.3800001</v>
      </c>
      <c r="MK50" s="83">
        <v>2400732826.0100002</v>
      </c>
      <c r="ML50" s="83">
        <v>210647589.00999999</v>
      </c>
      <c r="MM50" s="83">
        <v>95699458.189999998</v>
      </c>
      <c r="MN50" s="83">
        <v>1030655418.1</v>
      </c>
      <c r="MO50" s="83">
        <v>2948045444.71</v>
      </c>
      <c r="MP50" s="83">
        <v>2253398604.29</v>
      </c>
      <c r="MQ50" s="83">
        <v>471636608.47000003</v>
      </c>
      <c r="MR50" s="83">
        <v>131812977.91</v>
      </c>
      <c r="MS50" s="83">
        <v>707681107.27999997</v>
      </c>
      <c r="MT50" s="83">
        <v>3455551645.5999999</v>
      </c>
      <c r="MU50" s="83">
        <v>2087337086.4000001</v>
      </c>
      <c r="MV50" s="83">
        <v>1815736772.23</v>
      </c>
      <c r="MW50" s="83">
        <v>771661492.72000003</v>
      </c>
      <c r="MX50" s="83">
        <v>308575646.63999999</v>
      </c>
      <c r="MY50" s="83">
        <v>938898301.83000004</v>
      </c>
      <c r="MZ50" s="83">
        <v>484472306.69</v>
      </c>
      <c r="NA50" s="83">
        <v>282488532.95999998</v>
      </c>
      <c r="NB50" s="83">
        <v>149292965.88999999</v>
      </c>
      <c r="NC50" s="83">
        <v>1817849457.26</v>
      </c>
      <c r="ND50" s="83">
        <v>1791880256.03</v>
      </c>
      <c r="NE50" s="83">
        <v>1253378431.95</v>
      </c>
      <c r="NF50" s="83">
        <v>2265879363.9299998</v>
      </c>
      <c r="NG50" s="83">
        <v>1552643803.3499999</v>
      </c>
      <c r="NH50" s="83">
        <v>2716515819.7600002</v>
      </c>
      <c r="NI50" s="83">
        <v>6250769570.7200003</v>
      </c>
      <c r="NJ50" s="83">
        <v>4902287651.0799999</v>
      </c>
      <c r="NK50" s="83">
        <v>3517731038.9200001</v>
      </c>
      <c r="NL50" s="83">
        <v>2400391020.4899998</v>
      </c>
      <c r="NM50" s="83">
        <v>215441480.63999999</v>
      </c>
      <c r="NN50" s="83">
        <v>1400378482.6199999</v>
      </c>
      <c r="NO50" s="83">
        <v>921630609.09000003</v>
      </c>
      <c r="NP50" s="83">
        <v>1755821585.8299999</v>
      </c>
      <c r="NQ50" s="83">
        <v>409646174.08999997</v>
      </c>
      <c r="NR50" s="83">
        <v>1851466492.1199999</v>
      </c>
      <c r="NS50" s="83">
        <v>724112027.59000003</v>
      </c>
      <c r="NT50" s="83">
        <v>178358471.11000001</v>
      </c>
      <c r="NU50" s="83">
        <v>932468322.32000005</v>
      </c>
      <c r="NV50" s="83">
        <v>301164564.72000003</v>
      </c>
      <c r="NW50" s="83">
        <v>2665957344.2199998</v>
      </c>
      <c r="NX50" s="83">
        <v>2414811842.5100002</v>
      </c>
      <c r="NY50" s="83">
        <v>649990851.03999996</v>
      </c>
      <c r="NZ50" s="83">
        <v>81549639.930000007</v>
      </c>
      <c r="OA50" s="83">
        <v>19118352.98</v>
      </c>
      <c r="OB50" s="83">
        <v>217164925.86000001</v>
      </c>
      <c r="OC50" s="83">
        <v>1079387822.3900001</v>
      </c>
      <c r="OD50" s="83">
        <v>522226487.19999999</v>
      </c>
      <c r="OE50" s="83">
        <v>1688192336.0899999</v>
      </c>
      <c r="OF50" s="83">
        <v>392112204.06</v>
      </c>
      <c r="OG50" s="83">
        <v>192034998.56</v>
      </c>
      <c r="OH50" s="83">
        <v>862889600.21000004</v>
      </c>
      <c r="OI50" s="83">
        <v>437887001.91000003</v>
      </c>
      <c r="OJ50" s="83">
        <v>607201387.40999997</v>
      </c>
      <c r="OK50" s="83">
        <v>476021835.11000001</v>
      </c>
      <c r="OL50" s="83">
        <v>151131899.11000001</v>
      </c>
      <c r="OM50" s="83">
        <v>174318733.22</v>
      </c>
      <c r="ON50" s="83">
        <v>446941608.01999998</v>
      </c>
      <c r="OO50" s="83">
        <v>457069388.69</v>
      </c>
      <c r="OP50" s="83">
        <v>403811499.93000001</v>
      </c>
      <c r="OQ50" s="83">
        <v>628709499.54999995</v>
      </c>
      <c r="OR50" s="83">
        <v>776730611.76999998</v>
      </c>
      <c r="OS50" s="83">
        <v>1760931701.46</v>
      </c>
      <c r="OT50" s="83">
        <v>895794909.21000004</v>
      </c>
      <c r="OU50" s="83">
        <v>879286963.39999998</v>
      </c>
      <c r="OV50" s="83">
        <v>1250150177.5799999</v>
      </c>
      <c r="OW50" s="83">
        <v>6781719211.3299999</v>
      </c>
      <c r="OX50" s="83">
        <v>3709637866.6900001</v>
      </c>
      <c r="OY50" s="83">
        <v>2240996296.4499998</v>
      </c>
      <c r="OZ50" s="83">
        <v>4787386436.1400003</v>
      </c>
      <c r="PA50" s="83">
        <v>1537587831.8800001</v>
      </c>
      <c r="PB50" s="83">
        <v>449376247.27999997</v>
      </c>
      <c r="PC50" s="83">
        <v>925207300.30999994</v>
      </c>
      <c r="PD50" s="83">
        <v>2213891223.0100002</v>
      </c>
      <c r="PE50" s="83">
        <v>1253816555.71</v>
      </c>
      <c r="PF50" s="83">
        <v>495845396.00999999</v>
      </c>
      <c r="PG50" s="83">
        <v>1276143079.1300001</v>
      </c>
      <c r="PH50" s="83">
        <v>768181782.36000001</v>
      </c>
      <c r="PI50" s="83">
        <v>2646033787.8699999</v>
      </c>
      <c r="PJ50" s="83">
        <v>3541310555.3200002</v>
      </c>
      <c r="PK50" s="83">
        <v>3408020802.1700001</v>
      </c>
      <c r="PL50" s="83">
        <v>70382226.459999993</v>
      </c>
      <c r="PM50" s="83">
        <v>2967621404.1599998</v>
      </c>
      <c r="PN50" s="83">
        <v>2314343615.9699998</v>
      </c>
      <c r="PO50" s="83">
        <v>1851345299.5899999</v>
      </c>
      <c r="PP50" s="83">
        <v>259640232.33000001</v>
      </c>
      <c r="PQ50" s="83">
        <v>259640232.33000001</v>
      </c>
      <c r="PR50" s="83">
        <v>3211640232.3299999</v>
      </c>
      <c r="PS50" s="83">
        <v>3162251020.1500001</v>
      </c>
      <c r="PT50" s="83">
        <v>3162251020.1500001</v>
      </c>
      <c r="PU50" s="83">
        <v>6125251020.1499996</v>
      </c>
      <c r="PV50" s="83">
        <v>6125251020.1499996</v>
      </c>
      <c r="PW50" s="83">
        <v>10476251020.15</v>
      </c>
      <c r="PX50" s="83">
        <v>10476251020.15</v>
      </c>
      <c r="PY50" s="83"/>
      <c r="PZ50" s="83"/>
      <c r="QA50" s="83"/>
      <c r="QB50" s="83"/>
      <c r="QC50" s="83"/>
      <c r="QD50" s="83"/>
      <c r="QE50" s="83"/>
      <c r="QF50" s="83"/>
      <c r="QG50" s="83"/>
      <c r="QH50" s="83"/>
      <c r="QI50" s="83"/>
      <c r="QJ50" s="83"/>
      <c r="QK50" s="83"/>
      <c r="QL50" s="83"/>
      <c r="QM50" s="83"/>
      <c r="QN50" s="83"/>
      <c r="QO50" s="83"/>
      <c r="QP50" s="83"/>
      <c r="QQ50" s="83"/>
      <c r="QR50" s="83"/>
      <c r="QS50" s="83"/>
      <c r="QT50" s="83"/>
      <c r="QU50" s="83"/>
      <c r="QV50" s="83"/>
      <c r="QW50" s="83"/>
      <c r="QX50" s="83"/>
      <c r="QY50" s="83"/>
      <c r="QZ50" s="83"/>
      <c r="RA50" s="83"/>
      <c r="RB50" s="83"/>
      <c r="RC50" s="83"/>
      <c r="RD50" s="83"/>
      <c r="RE50" s="83"/>
      <c r="RF50" s="83"/>
      <c r="RG50" s="83"/>
      <c r="RH50" s="83"/>
      <c r="RI50" s="83"/>
      <c r="RJ50" s="83"/>
      <c r="RK50" s="83"/>
      <c r="RL50" s="83"/>
      <c r="RM50" s="83"/>
      <c r="RN50" s="83"/>
      <c r="RO50" s="83"/>
      <c r="RP50" s="83"/>
      <c r="RQ50" s="83"/>
      <c r="RR50" s="83"/>
      <c r="RS50" s="83"/>
      <c r="RT50" s="83"/>
      <c r="RU50" s="83"/>
      <c r="RV50" s="83"/>
      <c r="RW50" s="83"/>
      <c r="RX50" s="83"/>
      <c r="RY50" s="83"/>
      <c r="RZ50" s="83"/>
      <c r="SA50" s="83"/>
    </row>
    <row r="51" spans="1:495" x14ac:dyDescent="0.2">
      <c r="A51" s="82" t="s">
        <v>1089</v>
      </c>
      <c r="B51" s="84">
        <v>-294592.98000001907</v>
      </c>
      <c r="C51" s="84">
        <v>255472.11000013351</v>
      </c>
      <c r="D51" s="84">
        <v>3.1099987030029297</v>
      </c>
      <c r="E51" s="84">
        <v>-108188.63999938965</v>
      </c>
      <c r="F51" s="84">
        <v>-2514865.6600017548</v>
      </c>
      <c r="G51" s="84">
        <v>2514683.2300000191</v>
      </c>
      <c r="H51" s="84">
        <v>-133693.14999970794</v>
      </c>
      <c r="I51" s="84">
        <v>26.910001277923584</v>
      </c>
      <c r="J51" s="84">
        <v>-13655.640001296997</v>
      </c>
      <c r="K51" s="84">
        <v>-121534658.36999989</v>
      </c>
      <c r="L51" s="84">
        <v>120710080.95000015</v>
      </c>
      <c r="M51" s="84">
        <v>-3.8743019104003906E-7</v>
      </c>
      <c r="N51" s="84">
        <v>-39163.31999912113</v>
      </c>
      <c r="O51" s="84">
        <v>-29874.760001182556</v>
      </c>
      <c r="P51" s="84">
        <v>-51853.309998512268</v>
      </c>
      <c r="Q51" s="84">
        <v>-73942.349998474121</v>
      </c>
      <c r="R51" s="84">
        <v>32984.939999390393</v>
      </c>
      <c r="S51" s="84">
        <v>-6165.3499996513128</v>
      </c>
      <c r="T51" s="84">
        <v>-10587275.919999123</v>
      </c>
      <c r="U51" s="84">
        <v>255897932.52999973</v>
      </c>
      <c r="V51" s="84">
        <v>6578750.6300010681</v>
      </c>
      <c r="W51" s="84">
        <v>10456082.800000668</v>
      </c>
      <c r="X51" s="84">
        <v>3.5600008368492126</v>
      </c>
      <c r="Y51" s="84">
        <v>0.17999958992004395</v>
      </c>
      <c r="Z51" s="84">
        <v>-594.76000022888184</v>
      </c>
      <c r="AA51" s="84">
        <v>-8819.5699996948242</v>
      </c>
      <c r="AB51" s="84">
        <v>0.39000058174133301</v>
      </c>
      <c r="AC51" s="84">
        <v>0</v>
      </c>
      <c r="AD51" s="84">
        <v>-12281.849998861551</v>
      </c>
      <c r="AE51" s="84">
        <v>3052660361.3900003</v>
      </c>
      <c r="AF51" s="84">
        <v>0.12000079452991486</v>
      </c>
      <c r="AG51" s="84">
        <v>5.600000187754631</v>
      </c>
      <c r="AH51" s="84">
        <v>4.8999992609024048</v>
      </c>
      <c r="AI51" s="84">
        <v>-7981232.9000000581</v>
      </c>
      <c r="AJ51" s="84">
        <v>-52045311.719999984</v>
      </c>
      <c r="AK51" s="84">
        <v>28.339619711041451</v>
      </c>
      <c r="AL51" s="84">
        <v>-149.99999988079071</v>
      </c>
      <c r="AM51" s="84">
        <v>-37138.680000603199</v>
      </c>
      <c r="AN51" s="84">
        <v>46843631.679999828</v>
      </c>
      <c r="AO51" s="84">
        <v>-152320.44999966025</v>
      </c>
      <c r="AP51" s="84">
        <v>-110458.42000003904</v>
      </c>
      <c r="AQ51" s="84">
        <v>-2990709314.3400002</v>
      </c>
      <c r="AR51" s="84">
        <v>-6343.1500022411346</v>
      </c>
      <c r="AS51" s="84">
        <v>-457421.8300011158</v>
      </c>
      <c r="AT51" s="84">
        <v>21.45000171661377</v>
      </c>
      <c r="AU51" s="84">
        <v>-749.99999952316284</v>
      </c>
      <c r="AV51" s="84">
        <v>0</v>
      </c>
      <c r="AW51" s="84">
        <v>-30660.890000343323</v>
      </c>
      <c r="AX51" s="84">
        <v>1.9799999594688416</v>
      </c>
      <c r="AY51" s="84">
        <v>3.1200008392333984</v>
      </c>
      <c r="AZ51" s="84">
        <v>1.3499996066093445</v>
      </c>
      <c r="BA51" s="84">
        <v>-522544807.54999882</v>
      </c>
      <c r="BB51" s="84">
        <v>6.0000032186508179E-2</v>
      </c>
      <c r="BC51" s="84">
        <v>-278155.60999996215</v>
      </c>
      <c r="BD51" s="84">
        <v>-46330.410000801086</v>
      </c>
      <c r="BE51" s="84">
        <v>0</v>
      </c>
      <c r="BF51" s="84">
        <v>-1.9998550415039063E-2</v>
      </c>
      <c r="BG51" s="84">
        <v>0</v>
      </c>
      <c r="BH51" s="84">
        <v>0</v>
      </c>
      <c r="BI51" s="84">
        <v>166453200.88000107</v>
      </c>
      <c r="BJ51" s="84">
        <v>-3898.7999997138977</v>
      </c>
      <c r="BK51" s="84">
        <v>-3274.2300004586577</v>
      </c>
      <c r="BL51" s="84">
        <v>-1.8179416656494141E-6</v>
      </c>
      <c r="BM51" s="84">
        <v>-182843.22999989986</v>
      </c>
      <c r="BN51" s="84">
        <v>1.1399984359741211</v>
      </c>
      <c r="BO51" s="84">
        <v>1.4200000762939453</v>
      </c>
      <c r="BP51" s="84">
        <v>709907475.39999962</v>
      </c>
      <c r="BQ51" s="84">
        <v>709721100.17999959</v>
      </c>
      <c r="BR51" s="84">
        <v>-40064.549999695271</v>
      </c>
      <c r="BS51" s="84">
        <v>-108229.07000106573</v>
      </c>
      <c r="BT51" s="84">
        <v>-1255373.4199998379</v>
      </c>
      <c r="BU51" s="84">
        <v>1252040.6300001144</v>
      </c>
      <c r="BV51" s="84">
        <v>-5044.7200011014938</v>
      </c>
      <c r="BW51" s="84">
        <v>-29430.969999551773</v>
      </c>
      <c r="BX51" s="84">
        <v>-77548.840000305325</v>
      </c>
      <c r="BY51" s="84">
        <v>-146619.41999906301</v>
      </c>
      <c r="BZ51" s="84">
        <v>7.0000380277633667E-2</v>
      </c>
      <c r="CA51" s="84">
        <v>-875621785.51000059</v>
      </c>
      <c r="CB51" s="84">
        <v>-5761.0900008827448</v>
      </c>
      <c r="CC51" s="84">
        <v>-87084.939997911453</v>
      </c>
      <c r="CD51" s="84">
        <v>-144988.66000032425</v>
      </c>
      <c r="CE51" s="84">
        <v>-11226803.01999931</v>
      </c>
      <c r="CF51" s="84">
        <v>2651232.4100010693</v>
      </c>
      <c r="CG51" s="84">
        <v>-233147.49999952316</v>
      </c>
      <c r="CH51" s="84">
        <v>8154154.379999876</v>
      </c>
      <c r="CI51" s="84">
        <v>-2691660042.3300004</v>
      </c>
      <c r="CJ51" s="84">
        <v>0</v>
      </c>
      <c r="CK51" s="84">
        <v>-330991.52999889851</v>
      </c>
      <c r="CL51" s="84">
        <v>-116086.31999970973</v>
      </c>
      <c r="CM51" s="84">
        <v>2411892.150000155</v>
      </c>
      <c r="CN51" s="84">
        <v>27.120001316070557</v>
      </c>
      <c r="CO51" s="84">
        <v>8.9999496936798096E-2</v>
      </c>
      <c r="CP51" s="84">
        <v>-46487.489999294281</v>
      </c>
      <c r="CQ51" s="84">
        <v>0.12999963760375977</v>
      </c>
      <c r="CR51" s="84">
        <v>0.5299994945526123</v>
      </c>
      <c r="CS51" s="84">
        <v>1.430511474609375E-6</v>
      </c>
      <c r="CT51" s="84">
        <v>-10204637.25999999</v>
      </c>
      <c r="CU51" s="84">
        <v>10202642.120001316</v>
      </c>
      <c r="CV51" s="84">
        <v>-8571711.5499994755</v>
      </c>
      <c r="CW51" s="84">
        <v>617739.52000045776</v>
      </c>
      <c r="CX51" s="84">
        <v>12810612.029999971</v>
      </c>
      <c r="CY51" s="84">
        <v>3.9999812841415405E-2</v>
      </c>
      <c r="CZ51" s="84">
        <v>1464160037.8300018</v>
      </c>
      <c r="DA51" s="84">
        <v>-1422041328.4600008</v>
      </c>
      <c r="DB51" s="84">
        <v>8337749.1200005412</v>
      </c>
      <c r="DC51" s="84">
        <v>-18773.700000762939</v>
      </c>
      <c r="DD51" s="84">
        <v>43173381.460000753</v>
      </c>
      <c r="DE51" s="84">
        <v>0.71000003814697266</v>
      </c>
      <c r="DF51" s="84">
        <v>-2999.9999995231628</v>
      </c>
      <c r="DG51" s="84">
        <v>-35624.299999952316</v>
      </c>
      <c r="DH51" s="84">
        <v>-8776.7500003576279</v>
      </c>
      <c r="DI51" s="84">
        <f ca="1">DI50-DI48</f>
        <v>1.4901161193847656E-7</v>
      </c>
      <c r="DJ51" s="84">
        <f ca="1">DJ50-DJ48</f>
        <v>42261745.140000343</v>
      </c>
      <c r="DK51" s="84">
        <f ca="1">DK50-DK48</f>
        <v>-138814391.65000057</v>
      </c>
      <c r="DL51" s="84">
        <f>DL50-DL48</f>
        <v>-101431.3099995777</v>
      </c>
      <c r="DM51" s="84">
        <v>1499328750</v>
      </c>
      <c r="DN51" s="84">
        <v>0</v>
      </c>
      <c r="DO51" s="84">
        <v>-6940978.9900007248</v>
      </c>
      <c r="DP51" s="84">
        <v>5800343.469999671</v>
      </c>
      <c r="DQ51" s="84">
        <v>48704034.660000801</v>
      </c>
      <c r="DR51" s="84">
        <v>-4274.7999997138977</v>
      </c>
      <c r="DS51" s="84">
        <v>14318037.910000764</v>
      </c>
      <c r="DT51" s="84">
        <v>-29560</v>
      </c>
      <c r="DU51" s="84">
        <v>37966166.140000343</v>
      </c>
      <c r="DV51" s="84">
        <v>-94317815.50999999</v>
      </c>
      <c r="DW51" s="84">
        <v>94314584.860000119</v>
      </c>
      <c r="DX51" s="84">
        <v>-335284.38000056148</v>
      </c>
      <c r="DY51" s="84">
        <v>-251325.67000198364</v>
      </c>
      <c r="DZ51" s="84">
        <v>32360370.18999958</v>
      </c>
      <c r="EA51" s="84">
        <v>310.33999955654144</v>
      </c>
      <c r="EB51" s="84">
        <v>4.0000610053539276E-2</v>
      </c>
      <c r="EC51" s="84">
        <v>-99.99999988079071</v>
      </c>
      <c r="ED51" s="84">
        <v>-12809.390000104904</v>
      </c>
      <c r="EE51" s="84">
        <v>-99.380000382661819</v>
      </c>
      <c r="EF51" s="84">
        <v>0</v>
      </c>
      <c r="EG51" s="84">
        <v>0</v>
      </c>
      <c r="EH51" s="84">
        <v>-23558.720000267029</v>
      </c>
      <c r="EI51" s="84">
        <v>0</v>
      </c>
      <c r="EJ51" s="84">
        <v>0</v>
      </c>
      <c r="EK51" s="84">
        <v>198717.21999969333</v>
      </c>
      <c r="EL51" s="84">
        <v>1155679.4599998146</v>
      </c>
      <c r="EM51" s="84">
        <v>-225319.41000080109</v>
      </c>
      <c r="EN51" s="84">
        <v>408965.55999994278</v>
      </c>
      <c r="EO51" s="84">
        <v>493267.78999996185</v>
      </c>
      <c r="EP51" s="84">
        <v>-155384.00000053644</v>
      </c>
      <c r="EQ51" s="84">
        <v>523691.40000009537</v>
      </c>
      <c r="ER51" s="84">
        <v>1.2000007629394531</v>
      </c>
      <c r="ES51" s="84">
        <v>3013205.7499999255</v>
      </c>
      <c r="ET51" s="84">
        <v>-531162.43000012636</v>
      </c>
      <c r="EU51" s="84">
        <v>598458.89000028372</v>
      </c>
      <c r="EV51" s="84">
        <v>-1629201.5499998331</v>
      </c>
      <c r="EW51" s="84">
        <v>-40253244.330000639</v>
      </c>
      <c r="EX51" s="84">
        <v>-357025746.47999954</v>
      </c>
      <c r="EY51" s="84">
        <v>9047.9699994027615</v>
      </c>
      <c r="EZ51" s="84">
        <v>11892295.920000553</v>
      </c>
      <c r="FA51" s="84">
        <v>-68232.169999599457</v>
      </c>
      <c r="FB51" s="84">
        <v>722640.00000047684</v>
      </c>
      <c r="FC51" s="84">
        <v>100029.09999969602</v>
      </c>
      <c r="FD51" s="84">
        <v>1.4600003659725189</v>
      </c>
      <c r="FE51" s="84">
        <v>6000999.9999998212</v>
      </c>
      <c r="FF51" s="84">
        <v>159885544.95999956</v>
      </c>
      <c r="FG51" s="84">
        <v>318636.52999901772</v>
      </c>
      <c r="FH51" s="84">
        <v>3534713.7299999809</v>
      </c>
      <c r="FI51" s="84">
        <v>0</v>
      </c>
      <c r="FJ51" s="84">
        <v>-2296256.9100006819</v>
      </c>
      <c r="FK51" s="84">
        <v>-27876096.649999857</v>
      </c>
      <c r="FL51" s="84">
        <v>31635146.670000672</v>
      </c>
      <c r="FM51" s="84">
        <f ca="1">FM50-FM48</f>
        <v>-181.36000025272369</v>
      </c>
      <c r="FN51" s="84">
        <f ca="1">FN50-FN48</f>
        <v>75239118.250000507</v>
      </c>
      <c r="FO51" s="84">
        <f ca="1">FO50-FO48</f>
        <v>-41682304.790000439</v>
      </c>
      <c r="FP51" s="84">
        <f ca="1">FP50-FP48</f>
        <v>1392865116.6799998</v>
      </c>
      <c r="FQ51" s="84">
        <v>0</v>
      </c>
      <c r="FR51" s="84">
        <v>-2476860926.3099999</v>
      </c>
      <c r="FS51" s="84">
        <v>1250169.5299999714</v>
      </c>
      <c r="FT51" s="84">
        <v>3480682.1100001335</v>
      </c>
      <c r="FU51" s="84">
        <v>-3454797.8699994087</v>
      </c>
      <c r="FV51" s="84">
        <v>6524527.7999994755</v>
      </c>
      <c r="FW51" s="84">
        <v>201433.77999971807</v>
      </c>
      <c r="FX51" s="84">
        <v>649.05000030994415</v>
      </c>
      <c r="FY51" s="84">
        <v>1036.9699999690056</v>
      </c>
      <c r="FZ51" s="84">
        <v>3257260</v>
      </c>
      <c r="GA51" s="84">
        <v>301024.86999988556</v>
      </c>
      <c r="GB51" s="84">
        <v>1117283.1900001541</v>
      </c>
      <c r="GC51" s="84">
        <v>8510.8899998813868</v>
      </c>
      <c r="GD51" s="84">
        <v>137922.31999999285</v>
      </c>
      <c r="GE51" s="84">
        <v>393985475.70000005</v>
      </c>
      <c r="GF51" s="84">
        <v>8170253.1100006104</v>
      </c>
      <c r="GG51" s="84">
        <v>19573513.999999523</v>
      </c>
      <c r="GH51" s="84">
        <v>-591209.83999955654</v>
      </c>
      <c r="GI51" s="84">
        <v>1370358.3999999762</v>
      </c>
      <c r="GJ51" s="84">
        <v>-15991680.189999998</v>
      </c>
      <c r="GK51" s="84">
        <v>18271149.18999958</v>
      </c>
      <c r="GL51" s="84">
        <v>-31477.510000228882</v>
      </c>
      <c r="GM51" s="84">
        <v>-21852.170001983643</v>
      </c>
      <c r="GN51" s="84">
        <v>912357.25999990106</v>
      </c>
      <c r="GO51" s="84">
        <v>126485000.05000019</v>
      </c>
      <c r="GP51" s="84">
        <v>477882.10999965668</v>
      </c>
      <c r="GQ51" s="84">
        <v>11423576.730000257</v>
      </c>
      <c r="GR51" s="84">
        <v>1000.6099990457296</v>
      </c>
      <c r="GS51" s="84">
        <v>46062835.980000973</v>
      </c>
      <c r="GT51" s="84">
        <v>292019.55000038445</v>
      </c>
      <c r="GU51" s="84">
        <v>-138650.06000000238</v>
      </c>
      <c r="GV51" s="84">
        <v>111074027.54000092</v>
      </c>
      <c r="GW51" s="84">
        <v>7509195.0200008154</v>
      </c>
      <c r="GX51" s="84">
        <v>-998604930.59000051</v>
      </c>
      <c r="GY51" s="84">
        <v>9422305.7399997115</v>
      </c>
      <c r="GZ51" s="84">
        <v>16684005.110000014</v>
      </c>
      <c r="HA51" s="84">
        <v>4180830.4199996591</v>
      </c>
      <c r="HB51" s="84">
        <v>-1158299999.9999988</v>
      </c>
      <c r="HC51" s="84">
        <v>220004.05000078678</v>
      </c>
      <c r="HD51" s="84">
        <v>1024614.0199999809</v>
      </c>
      <c r="HE51" s="84">
        <v>365000.00000041723</v>
      </c>
      <c r="HF51" s="84">
        <v>-174598.23999977112</v>
      </c>
      <c r="HG51" s="84">
        <v>200000.85000014305</v>
      </c>
      <c r="HH51" s="84">
        <v>0</v>
      </c>
      <c r="HI51" s="84">
        <v>5030000</v>
      </c>
      <c r="HJ51" s="84">
        <v>-10897011.549999237</v>
      </c>
      <c r="HK51" s="84">
        <v>0</v>
      </c>
      <c r="HL51" s="84">
        <v>-4561902099.3400002</v>
      </c>
      <c r="HM51" s="84">
        <v>3491353941.3200002</v>
      </c>
      <c r="HN51" s="84">
        <v>-112519018.69000006</v>
      </c>
      <c r="HO51" s="84">
        <v>56520356.199999809</v>
      </c>
      <c r="HP51" s="84">
        <v>52105943.279999256</v>
      </c>
      <c r="HQ51" s="84">
        <v>21493907.520001054</v>
      </c>
      <c r="HR51" s="84">
        <v>500001</v>
      </c>
      <c r="HS51" s="84">
        <v>3754027.3400009871</v>
      </c>
      <c r="HT51" s="84">
        <v>40915663.840000153</v>
      </c>
      <c r="HU51" s="84">
        <v>14890420.749999762</v>
      </c>
      <c r="HV51" s="84">
        <v>2051608.3199993074</v>
      </c>
      <c r="HW51" s="84">
        <v>14088489.100000381</v>
      </c>
      <c r="HX51" s="84">
        <v>1870847.6700015068</v>
      </c>
      <c r="HY51" s="84">
        <v>-36243.880000114441</v>
      </c>
      <c r="HZ51" s="84">
        <f ca="1">HZ50-HZ48</f>
        <v>-7041.7300001382828</v>
      </c>
      <c r="IA51" s="84">
        <f ca="1">IA50-IA48</f>
        <v>202249375.02000052</v>
      </c>
      <c r="IB51" s="84">
        <f ca="1">IB50-IB48</f>
        <v>1608317695.2100003</v>
      </c>
      <c r="IC51" s="84">
        <v>0</v>
      </c>
      <c r="ID51" s="84">
        <v>649852944.66999936</v>
      </c>
      <c r="IE51" s="84">
        <v>3200661.5399997234</v>
      </c>
      <c r="IF51" s="84">
        <v>6120.6400002539158</v>
      </c>
      <c r="IG51" s="84">
        <v>3155574.0000009537</v>
      </c>
      <c r="IH51" s="84">
        <v>-27634361.980000019</v>
      </c>
      <c r="II51" s="84">
        <v>29187739.839999676</v>
      </c>
      <c r="IJ51" s="84">
        <v>-35718695.890000105</v>
      </c>
      <c r="IK51" s="84">
        <v>20455929.909999609</v>
      </c>
      <c r="IL51" s="84">
        <v>110866.9999999404</v>
      </c>
      <c r="IM51" s="84">
        <v>992685.64999985695</v>
      </c>
      <c r="IN51" s="84">
        <v>55997.930000305176</v>
      </c>
      <c r="IO51" s="84">
        <v>498650.79999828339</v>
      </c>
      <c r="IP51" s="84">
        <v>502350.4500002861</v>
      </c>
      <c r="IQ51" s="84">
        <v>45034964.779999733</v>
      </c>
      <c r="IR51" s="84">
        <v>200000.15000009537</v>
      </c>
      <c r="IS51" s="84">
        <v>0.16000008583068848</v>
      </c>
      <c r="IT51" s="84">
        <v>-15236.099999666214</v>
      </c>
      <c r="IU51" s="84">
        <v>-81982846.369999647</v>
      </c>
      <c r="IV51" s="84">
        <v>14637488.900000095</v>
      </c>
      <c r="IW51" s="84">
        <v>1064.7099998481572</v>
      </c>
      <c r="IX51" s="84">
        <v>4923.9599997997284</v>
      </c>
      <c r="IY51" s="84">
        <v>1009430.8399993889</v>
      </c>
      <c r="IZ51" s="84">
        <v>-8088016.7899999619</v>
      </c>
      <c r="JA51" s="84">
        <v>208843.99000000954</v>
      </c>
      <c r="JB51" s="84">
        <v>844603.45999991894</v>
      </c>
      <c r="JC51" s="84">
        <v>1642912.7099995613</v>
      </c>
      <c r="JD51" s="84">
        <v>35729.959999680519</v>
      </c>
      <c r="JE51" s="84">
        <f ca="1">JE50-JE48</f>
        <v>-40644.54000005126</v>
      </c>
      <c r="JF51" s="84">
        <v>122987133.08999991</v>
      </c>
      <c r="JG51" s="84">
        <f ca="1">JG50-JG48</f>
        <v>-122868341.94000006</v>
      </c>
      <c r="JH51" s="84">
        <v>83401287.670001984</v>
      </c>
      <c r="JI51" s="84">
        <v>-83417856.359999657</v>
      </c>
      <c r="JJ51" s="84">
        <v>-460892211.49000072</v>
      </c>
      <c r="JK51" s="84">
        <v>4490875.1700005531</v>
      </c>
      <c r="JL51" s="84">
        <v>-507991.99999976158</v>
      </c>
      <c r="JM51" s="84">
        <v>96240.330000154674</v>
      </c>
      <c r="JN51" s="84">
        <v>-1196.2200002670288</v>
      </c>
      <c r="JO51" s="84">
        <v>-38787.269999504089</v>
      </c>
      <c r="JP51" s="84">
        <v>19786120.329999447</v>
      </c>
      <c r="JQ51" s="84">
        <v>-13837.480000197887</v>
      </c>
      <c r="JR51" s="84">
        <v>-7836.209999576211</v>
      </c>
      <c r="JS51" s="84">
        <v>-5487.599999666214</v>
      </c>
      <c r="JT51" s="84">
        <v>-13965.690000295639</v>
      </c>
      <c r="JU51" s="84">
        <v>-56278.080000519753</v>
      </c>
      <c r="JV51" s="84">
        <v>-17091.589999780059</v>
      </c>
      <c r="JW51" s="84">
        <v>-4063.3199997842312</v>
      </c>
      <c r="JX51" s="84">
        <v>-11753.820000171661</v>
      </c>
      <c r="JY51" s="84">
        <v>-12538.829999923706</v>
      </c>
      <c r="JZ51" s="84">
        <v>-45685.930000066757</v>
      </c>
      <c r="KA51" s="84">
        <v>-4409998.9200000763</v>
      </c>
      <c r="KB51" s="84">
        <v>-118453.52999943495</v>
      </c>
      <c r="KC51" s="84">
        <v>-6976.5900003910065</v>
      </c>
      <c r="KD51" s="84">
        <v>-32371.82000041008</v>
      </c>
      <c r="KE51" s="84">
        <v>1879.6700001955032</v>
      </c>
      <c r="KF51" s="84">
        <v>-34197.769999980927</v>
      </c>
      <c r="KG51" s="84">
        <v>-27774.440000228584</v>
      </c>
      <c r="KH51" s="84">
        <v>-8405.5299998521805</v>
      </c>
      <c r="KI51" s="84">
        <v>73946842.690000296</v>
      </c>
      <c r="KJ51" s="84">
        <v>-8189.25</v>
      </c>
      <c r="KK51" s="84">
        <v>-2872.7800002098083</v>
      </c>
      <c r="KL51" s="84">
        <v>-4762.9499998092651</v>
      </c>
      <c r="KM51" s="84">
        <v>-10744.230000078678</v>
      </c>
      <c r="KN51" s="84">
        <v>-54168.790000200272</v>
      </c>
      <c r="KO51" s="84">
        <v>53993847.819999933</v>
      </c>
      <c r="KP51" s="84">
        <v>-10926.669999957085</v>
      </c>
      <c r="KQ51" s="84">
        <v>-58783.04000043869</v>
      </c>
      <c r="KR51" s="84">
        <v>-76616.980000019073</v>
      </c>
      <c r="KS51" s="84">
        <v>-60240.459999382496</v>
      </c>
      <c r="KT51" s="84">
        <v>-11050.670000165701</v>
      </c>
      <c r="KU51" s="84">
        <v>-9618.1500000059605</v>
      </c>
      <c r="KV51" s="84">
        <v>-138185143.99999982</v>
      </c>
      <c r="KW51" s="84">
        <v>-2918.0799999237061</v>
      </c>
      <c r="KX51" s="84">
        <v>178123342.16000032</v>
      </c>
      <c r="KY51" s="84">
        <v>-4410.8399999141693</v>
      </c>
      <c r="KZ51" s="84">
        <v>-8962.3299999237061</v>
      </c>
      <c r="LA51" s="84">
        <v>-28978.659998893738</v>
      </c>
      <c r="LB51" s="84">
        <v>-339410.98999977112</v>
      </c>
      <c r="LC51" s="84">
        <v>-5264.1699997782707</v>
      </c>
      <c r="LD51" s="84">
        <v>79283.980000257492</v>
      </c>
      <c r="LE51" s="84">
        <v>-313991.0400006175</v>
      </c>
      <c r="LF51" s="84">
        <v>-31338.910000041127</v>
      </c>
      <c r="LG51" s="84">
        <v>-165990.9200001359</v>
      </c>
      <c r="LH51" s="84">
        <v>-234510.61999988556</v>
      </c>
      <c r="LI51" s="84">
        <v>42138639.229998589</v>
      </c>
      <c r="LJ51" s="84">
        <v>-45095.519999504089</v>
      </c>
      <c r="LK51" s="84">
        <v>111730.04999887943</v>
      </c>
      <c r="LL51" s="84">
        <v>-14085.700000882149</v>
      </c>
      <c r="LM51" s="84">
        <v>-40332.699998855591</v>
      </c>
      <c r="LN51" s="84">
        <v>-24557.749999523163</v>
      </c>
      <c r="LO51" s="84">
        <v>-259348.41000044346</v>
      </c>
      <c r="LP51" s="84">
        <v>-33521.479999542236</v>
      </c>
      <c r="LQ51" s="84">
        <v>480173.91999959946</v>
      </c>
      <c r="LR51" s="84">
        <v>-7270.9400000572205</v>
      </c>
      <c r="LS51" s="84">
        <v>-198819.03999948502</v>
      </c>
      <c r="LT51" s="84">
        <v>-4576.3900000974536</v>
      </c>
      <c r="LU51" s="84">
        <v>1899489688.98</v>
      </c>
      <c r="LV51" s="84">
        <v>-92684.120000064373</v>
      </c>
      <c r="LW51" s="84">
        <v>71585014.589999914</v>
      </c>
      <c r="LX51" s="84">
        <v>-115455.30000019073</v>
      </c>
      <c r="LY51" s="84">
        <v>18427556.970000267</v>
      </c>
      <c r="LZ51" s="84">
        <v>-3534.1200001239777</v>
      </c>
      <c r="MA51" s="84">
        <v>-97816.990001678467</v>
      </c>
      <c r="MB51" s="84">
        <v>-20448.079999446869</v>
      </c>
      <c r="MC51" s="84">
        <v>-120345.07999992371</v>
      </c>
      <c r="MD51" s="84">
        <v>1093136.6199996471</v>
      </c>
      <c r="ME51" s="84">
        <v>-16491.190000534058</v>
      </c>
      <c r="MF51" s="84">
        <v>-18236.799999713898</v>
      </c>
      <c r="MG51" s="84">
        <v>-49718.44000005722</v>
      </c>
      <c r="MH51" s="84">
        <v>-26953578.780000329</v>
      </c>
      <c r="MI51" s="84">
        <v>-118319.39999961853</v>
      </c>
      <c r="MJ51" s="84">
        <v>-51008.479999542236</v>
      </c>
      <c r="MK51" s="84">
        <v>-58362.229999542236</v>
      </c>
      <c r="ML51" s="84">
        <v>737298.09999918938</v>
      </c>
      <c r="MM51" s="84">
        <v>-7948.2600000500679</v>
      </c>
      <c r="MN51" s="84">
        <v>-7781.4599999189377</v>
      </c>
      <c r="MO51" s="84">
        <v>-2354424.5999999046</v>
      </c>
      <c r="MP51" s="84">
        <v>-10074.539999961853</v>
      </c>
      <c r="MQ51" s="84">
        <v>-53060.470000505447</v>
      </c>
      <c r="MR51" s="84">
        <v>-4773.9300000369549</v>
      </c>
      <c r="MS51" s="84">
        <v>-2405.7500002384186</v>
      </c>
      <c r="MT51" s="84">
        <v>-5910.7300000190735</v>
      </c>
      <c r="MU51" s="84">
        <v>-8948.6899995803833</v>
      </c>
      <c r="MV51" s="84">
        <v>-9181408.9799995422</v>
      </c>
      <c r="MW51" s="84">
        <v>-5458.3599998950958</v>
      </c>
      <c r="MX51" s="84">
        <v>-11322.040000319481</v>
      </c>
      <c r="MY51" s="84">
        <v>-6489.2200001478195</v>
      </c>
      <c r="MZ51" s="84">
        <v>360992939.73999995</v>
      </c>
      <c r="NA51" s="84">
        <v>-86607.439999639988</v>
      </c>
      <c r="NB51" s="84">
        <v>-14062.629999518394</v>
      </c>
      <c r="NC51" s="84">
        <v>10307162.7099998</v>
      </c>
      <c r="ND51" s="84">
        <v>-6973.2900002002716</v>
      </c>
      <c r="NE51" s="84">
        <v>-11982.910000085831</v>
      </c>
      <c r="NF51" s="84">
        <v>-49243.900000095367</v>
      </c>
      <c r="NG51" s="84">
        <v>-3788.2599997520447</v>
      </c>
      <c r="NH51" s="84">
        <v>-2485.4699983596802</v>
      </c>
      <c r="NI51" s="84">
        <v>-4894.2200002670288</v>
      </c>
      <c r="NJ51" s="84">
        <v>-26197.989999771118</v>
      </c>
      <c r="NK51" s="84">
        <v>-67624.33000087738</v>
      </c>
      <c r="NL51" s="84">
        <v>-8435.710000038147</v>
      </c>
      <c r="NM51" s="84">
        <v>-7719.3600009679794</v>
      </c>
      <c r="NN51" s="84">
        <v>-7424.7800002098083</v>
      </c>
      <c r="NO51" s="84">
        <v>-10361.049999833107</v>
      </c>
      <c r="NP51" s="84">
        <v>-935138.13000035286</v>
      </c>
      <c r="NQ51" s="84">
        <v>-16666.000000178814</v>
      </c>
      <c r="NR51" s="84">
        <v>-19898.340001106262</v>
      </c>
      <c r="NS51" s="84">
        <v>-13849.829999804497</v>
      </c>
      <c r="NT51" s="84">
        <v>-7170.0700000524521</v>
      </c>
      <c r="NU51" s="84">
        <v>-51732.549998879433</v>
      </c>
      <c r="NV51" s="84">
        <v>-18397.170000314713</v>
      </c>
      <c r="NW51" s="84">
        <v>615.65999937057495</v>
      </c>
      <c r="NX51" s="84">
        <v>-20469.81999874115</v>
      </c>
      <c r="NY51" s="84">
        <v>-150717.72999954224</v>
      </c>
      <c r="NZ51" s="84">
        <v>992230.1400000453</v>
      </c>
      <c r="OA51" s="84">
        <v>-2163.059999961406</v>
      </c>
      <c r="OB51" s="84">
        <v>-3799.6200001239777</v>
      </c>
      <c r="OC51" s="84">
        <v>-21242.020000219345</v>
      </c>
      <c r="OD51" s="84">
        <v>-3262.2199998497963</v>
      </c>
      <c r="OE51" s="84">
        <v>149995070.56000018</v>
      </c>
      <c r="OF51" s="84">
        <v>1833.1399999260902</v>
      </c>
      <c r="OG51" s="84">
        <v>-69044.889999806881</v>
      </c>
      <c r="OH51" s="84">
        <v>-22452</v>
      </c>
      <c r="OI51" s="84">
        <v>25857.910000026226</v>
      </c>
      <c r="OJ51" s="84">
        <v>-1236986.4199999571</v>
      </c>
      <c r="OK51" s="84">
        <v>-5797.009999871254</v>
      </c>
      <c r="OL51" s="84">
        <v>-6943646.4700003862</v>
      </c>
      <c r="OM51" s="84">
        <v>-13403.26000007987</v>
      </c>
      <c r="ON51" s="84">
        <v>-3034.2199997901917</v>
      </c>
      <c r="OO51" s="84">
        <v>-6665.2199999690056</v>
      </c>
      <c r="OP51" s="84">
        <v>-4787.7700000405312</v>
      </c>
      <c r="OQ51" s="84">
        <v>-18754.810000181198</v>
      </c>
      <c r="OR51" s="84">
        <v>-7637.6500000953674</v>
      </c>
      <c r="OS51" s="84">
        <v>-826.27000045776367</v>
      </c>
      <c r="OT51" s="84">
        <v>-5998.9200000762939</v>
      </c>
      <c r="OU51" s="84">
        <v>-15244.700000166893</v>
      </c>
      <c r="OV51" s="84">
        <v>-857590.59000062943</v>
      </c>
      <c r="OW51" s="84">
        <v>-52057.620000839233</v>
      </c>
      <c r="OX51" s="84">
        <v>-54875.709998607635</v>
      </c>
      <c r="OY51" s="84">
        <v>-41823.310000896454</v>
      </c>
      <c r="OZ51" s="84">
        <v>107642679.44000053</v>
      </c>
      <c r="PA51" s="84">
        <v>-68985.579999923706</v>
      </c>
      <c r="PB51" s="84">
        <v>-45816700.640000343</v>
      </c>
      <c r="PC51" s="84">
        <v>58753630.440001011</v>
      </c>
      <c r="PD51" s="84">
        <v>-659288.98999977112</v>
      </c>
      <c r="PE51" s="84">
        <v>-19539.580000162125</v>
      </c>
      <c r="PF51" s="84">
        <v>-59946.339999914169</v>
      </c>
      <c r="PG51" s="84">
        <v>-6269.4000000953674</v>
      </c>
      <c r="PH51" s="84">
        <v>1499979717.0200009</v>
      </c>
      <c r="PI51" s="84">
        <v>-93000.259999752045</v>
      </c>
      <c r="PJ51" s="84">
        <v>4349132.8899998665</v>
      </c>
      <c r="PK51" s="84">
        <v>-20265103.069999695</v>
      </c>
      <c r="PL51" s="84">
        <v>20238859.329999879</v>
      </c>
      <c r="PM51" s="84">
        <v>-11686.319999694824</v>
      </c>
      <c r="PN51" s="84">
        <v>-109675.54000043869</v>
      </c>
      <c r="PO51" s="84">
        <f ca="1">PO50-PO48</f>
        <v>-508151.71000003815</v>
      </c>
      <c r="PP51" s="84">
        <f ca="1">PP50-PP48</f>
        <v>25551956.110000223</v>
      </c>
      <c r="PQ51" s="84">
        <f t="shared" ref="PQ51:SA51" ca="1" si="11">PQ50-PQ48</f>
        <v>-541351019.78999996</v>
      </c>
      <c r="PR51" s="84">
        <f t="shared" ca="1" si="11"/>
        <v>1992795900</v>
      </c>
      <c r="PS51" s="84">
        <f t="shared" ca="1" si="11"/>
        <v>2989233300</v>
      </c>
      <c r="PT51" s="84">
        <f t="shared" ca="1" si="11"/>
        <v>2989233300</v>
      </c>
      <c r="PU51" s="84">
        <f t="shared" ca="1" si="11"/>
        <v>2989233299.9999995</v>
      </c>
      <c r="PV51" s="84">
        <f t="shared" ca="1" si="11"/>
        <v>2989233299.9999995</v>
      </c>
      <c r="PW51" s="84">
        <f t="shared" ca="1" si="11"/>
        <v>2989233300</v>
      </c>
      <c r="PX51" s="84">
        <f t="shared" ca="1" si="11"/>
        <v>2989233300</v>
      </c>
      <c r="PY51" s="84">
        <f t="shared" ca="1" si="11"/>
        <v>-7487017720.1499996</v>
      </c>
      <c r="PZ51" s="84">
        <f t="shared" ca="1" si="11"/>
        <v>-7487017720.1499996</v>
      </c>
      <c r="QA51" s="84">
        <f t="shared" ca="1" si="11"/>
        <v>-7487017720.1499996</v>
      </c>
      <c r="QB51" s="84">
        <f t="shared" ca="1" si="11"/>
        <v>-7487017720.1499996</v>
      </c>
      <c r="QC51" s="84">
        <f t="shared" ca="1" si="11"/>
        <v>-7487017720.1499996</v>
      </c>
      <c r="QD51" s="84">
        <f t="shared" ca="1" si="11"/>
        <v>-7487017720.1499996</v>
      </c>
      <c r="QE51" s="84">
        <f t="shared" ca="1" si="11"/>
        <v>-7487017720.1499996</v>
      </c>
      <c r="QF51" s="84">
        <f t="shared" ca="1" si="11"/>
        <v>-7487017720.1499996</v>
      </c>
      <c r="QG51" s="84">
        <f t="shared" ca="1" si="11"/>
        <v>-7487017720.1499996</v>
      </c>
      <c r="QH51" s="84">
        <f t="shared" ca="1" si="11"/>
        <v>-7487017720.1499996</v>
      </c>
      <c r="QI51" s="84">
        <f t="shared" ca="1" si="11"/>
        <v>-7487017720.1499996</v>
      </c>
      <c r="QJ51" s="84">
        <f t="shared" ca="1" si="11"/>
        <v>-7487017720.1499996</v>
      </c>
      <c r="QK51" s="84">
        <f t="shared" ca="1" si="11"/>
        <v>-7487017720.1499996</v>
      </c>
      <c r="QL51" s="84">
        <f t="shared" ca="1" si="11"/>
        <v>-7487017720.1499996</v>
      </c>
      <c r="QM51" s="84">
        <f t="shared" ca="1" si="11"/>
        <v>-7487017720.1499996</v>
      </c>
      <c r="QN51" s="84">
        <f t="shared" ca="1" si="11"/>
        <v>-7487017720.1499996</v>
      </c>
      <c r="QO51" s="84">
        <f t="shared" ca="1" si="11"/>
        <v>-7487017720.1499996</v>
      </c>
      <c r="QP51" s="84">
        <f t="shared" ca="1" si="11"/>
        <v>-7487017720.1499996</v>
      </c>
      <c r="QQ51" s="84">
        <f t="shared" ca="1" si="11"/>
        <v>-7487017720.1499996</v>
      </c>
      <c r="QR51" s="84">
        <f t="shared" ca="1" si="11"/>
        <v>-7487017720.1499996</v>
      </c>
      <c r="QS51" s="84">
        <f t="shared" ca="1" si="11"/>
        <v>-7487017720.1499996</v>
      </c>
      <c r="QT51" s="84">
        <f t="shared" ca="1" si="11"/>
        <v>-7487017720.1499996</v>
      </c>
      <c r="QU51" s="84">
        <f t="shared" ca="1" si="11"/>
        <v>-7487017720.1499996</v>
      </c>
      <c r="QV51" s="84">
        <f t="shared" ca="1" si="11"/>
        <v>-7487017720.1499996</v>
      </c>
      <c r="QW51" s="84">
        <f t="shared" ca="1" si="11"/>
        <v>-7487017720.1499996</v>
      </c>
      <c r="QX51" s="84">
        <f t="shared" ca="1" si="11"/>
        <v>-7487017720.1499996</v>
      </c>
      <c r="QY51" s="84">
        <f t="shared" ca="1" si="11"/>
        <v>-7487017720.1499996</v>
      </c>
      <c r="QZ51" s="84">
        <f t="shared" ca="1" si="11"/>
        <v>-7487017720.1499996</v>
      </c>
      <c r="RA51" s="84">
        <f t="shared" ca="1" si="11"/>
        <v>-7487017720.1499996</v>
      </c>
      <c r="RB51" s="84">
        <f t="shared" ca="1" si="11"/>
        <v>-7487017720.1499996</v>
      </c>
      <c r="RC51" s="84">
        <f t="shared" ca="1" si="11"/>
        <v>-7487017720.1499996</v>
      </c>
      <c r="RD51" s="84">
        <f t="shared" ca="1" si="11"/>
        <v>-7487017720.1499996</v>
      </c>
      <c r="RE51" s="84">
        <f t="shared" ca="1" si="11"/>
        <v>-7487017720.1499996</v>
      </c>
      <c r="RF51" s="84">
        <f t="shared" ca="1" si="11"/>
        <v>-7487017720.1499996</v>
      </c>
      <c r="RG51" s="84">
        <f t="shared" ca="1" si="11"/>
        <v>-7487017720.1499996</v>
      </c>
      <c r="RH51" s="84">
        <f t="shared" ca="1" si="11"/>
        <v>-7487017720.1499996</v>
      </c>
      <c r="RI51" s="84">
        <f t="shared" ca="1" si="11"/>
        <v>-7487017720.1499996</v>
      </c>
      <c r="RJ51" s="84">
        <f t="shared" ca="1" si="11"/>
        <v>-7487017720.1499996</v>
      </c>
      <c r="RK51" s="84">
        <f t="shared" ca="1" si="11"/>
        <v>-7487017720.1499996</v>
      </c>
      <c r="RL51" s="84">
        <f t="shared" ca="1" si="11"/>
        <v>-7487017720.1499996</v>
      </c>
      <c r="RM51" s="84">
        <f t="shared" ca="1" si="11"/>
        <v>-7487017720.1499996</v>
      </c>
      <c r="RN51" s="84">
        <f t="shared" ca="1" si="11"/>
        <v>-7487017720.1499996</v>
      </c>
      <c r="RO51" s="84">
        <f t="shared" ca="1" si="11"/>
        <v>-7487017720.1499996</v>
      </c>
      <c r="RP51" s="84">
        <f t="shared" ca="1" si="11"/>
        <v>-7487017720.1499996</v>
      </c>
      <c r="RQ51" s="84">
        <f t="shared" ca="1" si="11"/>
        <v>-7487017720.1499996</v>
      </c>
      <c r="RR51" s="84">
        <f t="shared" ca="1" si="11"/>
        <v>-7487017720.1499996</v>
      </c>
      <c r="RS51" s="84">
        <f t="shared" ca="1" si="11"/>
        <v>-7487017720.1499996</v>
      </c>
      <c r="RT51" s="84">
        <f t="shared" ca="1" si="11"/>
        <v>-7487017720.1499996</v>
      </c>
      <c r="RU51" s="84">
        <f t="shared" ca="1" si="11"/>
        <v>-7487017720.1499996</v>
      </c>
      <c r="RV51" s="84">
        <f t="shared" ca="1" si="11"/>
        <v>-7487017720.1499996</v>
      </c>
      <c r="RW51" s="84">
        <f t="shared" ca="1" si="11"/>
        <v>-7487017720.1499996</v>
      </c>
      <c r="RX51" s="84">
        <f t="shared" ca="1" si="11"/>
        <v>-7487017720.1499996</v>
      </c>
      <c r="RY51" s="84">
        <f t="shared" ca="1" si="11"/>
        <v>-7487017720.1499996</v>
      </c>
      <c r="RZ51" s="84">
        <f t="shared" ca="1" si="11"/>
        <v>-7487017720.1499996</v>
      </c>
      <c r="SA51" s="84">
        <f t="shared" ca="1" si="11"/>
        <v>-7487017720.1499996</v>
      </c>
    </row>
    <row r="52" spans="1:495" s="87" customFormat="1" x14ac:dyDescent="0.2">
      <c r="A52" s="85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  <c r="BS52" s="86"/>
      <c r="BT52" s="86"/>
      <c r="BU52" s="86"/>
      <c r="BV52" s="86"/>
      <c r="BW52" s="86"/>
      <c r="BX52" s="86"/>
      <c r="BY52" s="86"/>
      <c r="BZ52" s="86"/>
      <c r="CA52" s="86"/>
      <c r="CB52" s="86"/>
      <c r="CC52" s="86"/>
      <c r="CD52" s="86"/>
      <c r="CE52" s="86"/>
      <c r="CF52" s="86"/>
      <c r="CG52" s="86"/>
      <c r="CH52" s="86"/>
      <c r="CI52" s="86"/>
      <c r="CJ52" s="86"/>
      <c r="CK52" s="86"/>
      <c r="CL52" s="86"/>
      <c r="CM52" s="86"/>
      <c r="CN52" s="86"/>
      <c r="CO52" s="86"/>
      <c r="CP52" s="86"/>
      <c r="CQ52" s="86"/>
      <c r="CR52" s="86"/>
      <c r="CS52" s="86"/>
      <c r="CT52" s="86"/>
      <c r="CU52" s="86"/>
      <c r="CV52" s="86"/>
      <c r="CW52" s="86"/>
      <c r="CX52" s="86"/>
      <c r="CY52" s="86"/>
      <c r="CZ52" s="86"/>
      <c r="DA52" s="86"/>
      <c r="DB52" s="86"/>
      <c r="DC52" s="86"/>
      <c r="DD52" s="86"/>
      <c r="DE52" s="86"/>
      <c r="DF52" s="86"/>
      <c r="DG52" s="86"/>
      <c r="DH52" s="86"/>
      <c r="DI52" s="86"/>
      <c r="DJ52" s="86"/>
      <c r="DK52" s="86"/>
      <c r="DL52" s="86"/>
      <c r="DM52" s="86"/>
      <c r="DN52" s="86"/>
      <c r="DO52" s="86"/>
      <c r="DP52" s="86"/>
      <c r="DQ52" s="86"/>
      <c r="DR52" s="86"/>
      <c r="DS52" s="86"/>
      <c r="DT52" s="86"/>
      <c r="DU52" s="86"/>
      <c r="DV52" s="86"/>
      <c r="DW52" s="86"/>
      <c r="DX52" s="86"/>
      <c r="DY52" s="86"/>
      <c r="DZ52" s="86"/>
      <c r="EA52" s="86"/>
      <c r="EB52" s="86"/>
      <c r="EC52" s="86"/>
      <c r="ED52" s="86"/>
      <c r="EE52" s="86"/>
      <c r="EF52" s="86"/>
      <c r="EG52" s="86"/>
      <c r="EH52" s="86"/>
      <c r="EI52" s="86"/>
      <c r="EJ52" s="86"/>
      <c r="EK52" s="86"/>
      <c r="EL52" s="86"/>
      <c r="EM52" s="86"/>
      <c r="EN52" s="86"/>
      <c r="EO52" s="86"/>
      <c r="EP52" s="86"/>
      <c r="EQ52" s="86"/>
      <c r="ER52" s="86"/>
      <c r="ES52" s="86"/>
      <c r="ET52" s="86"/>
      <c r="EU52" s="86"/>
      <c r="EV52" s="86"/>
      <c r="EW52" s="86"/>
      <c r="EX52" s="86"/>
      <c r="EY52" s="86"/>
      <c r="EZ52" s="86"/>
      <c r="FA52" s="86"/>
      <c r="FB52" s="86"/>
      <c r="FC52" s="86"/>
      <c r="FD52" s="86"/>
      <c r="FE52" s="86"/>
      <c r="FF52" s="86"/>
      <c r="FG52" s="86"/>
      <c r="FH52" s="86"/>
      <c r="FI52" s="86"/>
      <c r="FJ52" s="86"/>
      <c r="FK52" s="86"/>
      <c r="FL52" s="86"/>
      <c r="FM52" s="86"/>
      <c r="FN52" s="86"/>
      <c r="FO52" s="86"/>
      <c r="FP52" s="86"/>
      <c r="FQ52" s="86"/>
      <c r="FR52" s="86"/>
      <c r="FS52" s="86"/>
      <c r="FT52" s="86"/>
      <c r="FU52" s="86"/>
      <c r="FV52" s="86"/>
      <c r="FW52" s="86"/>
      <c r="FX52" s="86"/>
      <c r="FY52" s="86"/>
      <c r="FZ52" s="86"/>
      <c r="GA52" s="86"/>
      <c r="GB52" s="86"/>
      <c r="GC52" s="86"/>
      <c r="GD52" s="86"/>
      <c r="GE52" s="86"/>
      <c r="GF52" s="86"/>
      <c r="GG52" s="86"/>
      <c r="GH52" s="86"/>
      <c r="GI52" s="86"/>
      <c r="GJ52" s="86"/>
      <c r="GK52" s="86"/>
      <c r="GL52" s="86"/>
      <c r="GM52" s="86"/>
      <c r="GN52" s="86"/>
      <c r="GO52" s="86"/>
      <c r="GP52" s="86"/>
      <c r="GQ52" s="86"/>
      <c r="GR52" s="86"/>
      <c r="GS52" s="86"/>
      <c r="GT52" s="86"/>
      <c r="GU52" s="86"/>
      <c r="GV52" s="86"/>
      <c r="GW52" s="86"/>
      <c r="GX52" s="86"/>
      <c r="GY52" s="86"/>
      <c r="GZ52" s="86"/>
      <c r="HA52" s="86"/>
      <c r="HB52" s="86"/>
      <c r="HC52" s="86"/>
      <c r="HD52" s="86"/>
      <c r="HE52" s="86"/>
      <c r="HF52" s="86"/>
      <c r="HG52" s="86"/>
      <c r="HH52" s="86"/>
      <c r="HI52" s="86"/>
      <c r="HJ52" s="86"/>
      <c r="HK52" s="86"/>
      <c r="HL52" s="86"/>
      <c r="HM52" s="86"/>
      <c r="HN52" s="86"/>
      <c r="HO52" s="86"/>
      <c r="HP52" s="86"/>
      <c r="HQ52" s="86"/>
      <c r="HR52" s="86"/>
      <c r="HS52" s="86"/>
      <c r="HT52" s="86"/>
      <c r="HU52" s="86"/>
      <c r="HV52" s="86"/>
      <c r="HW52" s="86"/>
      <c r="HX52" s="86"/>
      <c r="HY52" s="86"/>
      <c r="HZ52" s="86"/>
      <c r="IA52" s="86"/>
      <c r="IB52" s="86"/>
      <c r="IC52" s="86"/>
      <c r="ID52" s="86"/>
      <c r="IE52" s="86"/>
      <c r="IF52" s="86"/>
      <c r="IG52" s="86"/>
      <c r="IH52" s="86"/>
      <c r="II52" s="86"/>
      <c r="IJ52" s="86"/>
      <c r="IK52" s="86"/>
      <c r="IL52" s="86"/>
      <c r="IM52" s="86"/>
      <c r="IN52" s="86"/>
      <c r="IO52" s="86"/>
      <c r="IP52" s="86"/>
      <c r="IQ52" s="86"/>
      <c r="IR52" s="86"/>
      <c r="IS52" s="86"/>
      <c r="IT52" s="86"/>
      <c r="IU52" s="86"/>
      <c r="IV52" s="86"/>
      <c r="IW52" s="86"/>
      <c r="IX52" s="86"/>
      <c r="IY52" s="86"/>
      <c r="IZ52" s="86"/>
      <c r="JA52" s="86"/>
      <c r="JB52" s="86"/>
      <c r="JC52" s="86"/>
      <c r="JD52" s="86"/>
      <c r="JE52" s="86"/>
      <c r="JF52" s="86"/>
      <c r="JG52" s="86"/>
      <c r="JH52" s="86"/>
      <c r="JI52" s="86"/>
      <c r="JJ52" s="86"/>
      <c r="JK52" s="86"/>
      <c r="JL52" s="86"/>
      <c r="JM52" s="86"/>
      <c r="JN52" s="86"/>
      <c r="JO52" s="86"/>
      <c r="JP52" s="86"/>
      <c r="JQ52" s="86"/>
      <c r="JR52" s="86"/>
      <c r="JS52" s="86"/>
      <c r="JT52" s="86"/>
      <c r="JU52" s="86"/>
      <c r="JV52" s="86"/>
      <c r="JW52" s="86"/>
      <c r="JX52" s="86"/>
      <c r="JY52" s="86"/>
      <c r="JZ52" s="86"/>
      <c r="KA52" s="86"/>
      <c r="KB52" s="86"/>
      <c r="KC52" s="86"/>
      <c r="KD52" s="86"/>
      <c r="KE52" s="86"/>
      <c r="KF52" s="86"/>
      <c r="KG52" s="86"/>
      <c r="KH52" s="86"/>
      <c r="KI52" s="86"/>
      <c r="KJ52" s="86"/>
      <c r="KK52" s="86"/>
      <c r="KL52" s="86"/>
      <c r="KM52" s="86"/>
      <c r="KN52" s="86"/>
      <c r="KO52" s="86"/>
      <c r="KP52" s="86"/>
      <c r="KQ52" s="86"/>
      <c r="KR52" s="86"/>
      <c r="KS52" s="86"/>
      <c r="KT52" s="86"/>
      <c r="KU52" s="86"/>
      <c r="KV52" s="86"/>
      <c r="KW52" s="86"/>
      <c r="KX52" s="86"/>
      <c r="KY52" s="86"/>
      <c r="KZ52" s="86"/>
      <c r="LA52" s="86"/>
      <c r="LB52" s="86"/>
      <c r="LC52" s="86"/>
      <c r="LD52" s="86"/>
      <c r="LE52" s="86"/>
      <c r="LF52" s="86"/>
      <c r="LG52" s="86"/>
      <c r="LH52" s="86"/>
      <c r="LI52" s="86"/>
      <c r="LJ52" s="86"/>
      <c r="LK52" s="86"/>
      <c r="LL52" s="86"/>
      <c r="LM52" s="86"/>
      <c r="LN52" s="86"/>
      <c r="LO52" s="86"/>
      <c r="LP52" s="86"/>
      <c r="LQ52" s="86"/>
      <c r="LR52" s="86"/>
      <c r="LS52" s="86"/>
      <c r="LT52" s="86"/>
      <c r="LU52" s="86"/>
      <c r="LV52" s="86"/>
      <c r="LW52" s="86"/>
      <c r="LX52" s="86"/>
      <c r="LY52" s="86"/>
      <c r="LZ52" s="86"/>
      <c r="MA52" s="86"/>
      <c r="MB52" s="86"/>
      <c r="MC52" s="86"/>
      <c r="MD52" s="86"/>
      <c r="ME52" s="86"/>
      <c r="MF52" s="86"/>
      <c r="MG52" s="86"/>
      <c r="MH52" s="86"/>
      <c r="MI52" s="86"/>
      <c r="MJ52" s="86"/>
      <c r="MK52" s="86"/>
      <c r="ML52" s="86"/>
      <c r="MM52" s="86"/>
      <c r="MN52" s="86"/>
      <c r="MO52" s="86"/>
      <c r="MP52" s="86"/>
      <c r="MQ52" s="86"/>
      <c r="MR52" s="86"/>
      <c r="MS52" s="86"/>
      <c r="MT52" s="86"/>
      <c r="MU52" s="86"/>
      <c r="MV52" s="86"/>
      <c r="MW52" s="86"/>
      <c r="MX52" s="86"/>
      <c r="MY52" s="86"/>
      <c r="MZ52" s="86"/>
      <c r="NA52" s="86"/>
      <c r="NB52" s="86"/>
      <c r="NC52" s="86"/>
      <c r="ND52" s="86"/>
      <c r="NE52" s="86"/>
      <c r="NF52" s="86"/>
      <c r="NG52" s="86"/>
      <c r="NH52" s="86"/>
      <c r="NI52" s="86"/>
      <c r="NJ52" s="86"/>
      <c r="NK52" s="86"/>
      <c r="NL52" s="86"/>
      <c r="NM52" s="86"/>
      <c r="NN52" s="86"/>
      <c r="NO52" s="86"/>
      <c r="NP52" s="86"/>
      <c r="NQ52" s="86"/>
      <c r="NR52" s="86"/>
      <c r="NS52" s="86"/>
      <c r="NT52" s="86"/>
      <c r="NU52" s="86"/>
      <c r="NV52" s="86"/>
      <c r="NW52" s="86"/>
      <c r="NX52" s="86"/>
      <c r="NY52" s="86"/>
      <c r="NZ52" s="86"/>
      <c r="OA52" s="86"/>
      <c r="OB52" s="86"/>
      <c r="OC52" s="86"/>
      <c r="OD52" s="86"/>
      <c r="OE52" s="86"/>
      <c r="OF52" s="86"/>
      <c r="OG52" s="86"/>
      <c r="OH52" s="86"/>
      <c r="OI52" s="86"/>
      <c r="OJ52" s="86"/>
      <c r="OK52" s="86"/>
      <c r="OL52" s="86"/>
      <c r="OM52" s="86"/>
      <c r="ON52" s="86"/>
      <c r="OO52" s="86"/>
      <c r="OP52" s="86"/>
      <c r="OQ52" s="86"/>
      <c r="OR52" s="86"/>
      <c r="OS52" s="86"/>
      <c r="OT52" s="86"/>
      <c r="OU52" s="86"/>
      <c r="OV52" s="86"/>
      <c r="OW52" s="86"/>
      <c r="OX52" s="86"/>
      <c r="OY52" s="86"/>
      <c r="OZ52" s="86"/>
      <c r="PA52" s="86"/>
      <c r="PB52" s="86"/>
      <c r="PC52" s="86"/>
      <c r="PD52" s="86"/>
      <c r="PE52" s="86"/>
      <c r="PF52" s="86"/>
      <c r="PG52" s="86"/>
      <c r="PH52" s="86"/>
      <c r="PI52" s="86"/>
      <c r="PJ52" s="86"/>
      <c r="PK52" s="86"/>
      <c r="PL52" s="86"/>
      <c r="PM52" s="86"/>
      <c r="PN52" s="86"/>
      <c r="PO52" s="86"/>
      <c r="PP52" s="86"/>
      <c r="PQ52" s="86"/>
      <c r="PR52" s="86"/>
      <c r="PS52" s="86"/>
      <c r="PT52" s="86"/>
      <c r="PU52" s="86"/>
      <c r="PV52" s="86"/>
      <c r="PW52" s="86"/>
      <c r="PX52" s="86"/>
      <c r="PY52" s="86"/>
      <c r="PZ52" s="86"/>
      <c r="QA52" s="86"/>
      <c r="QB52" s="86"/>
      <c r="QC52" s="86"/>
      <c r="QD52" s="86"/>
      <c r="QE52" s="86"/>
      <c r="QF52" s="86"/>
      <c r="QG52" s="86"/>
      <c r="QH52" s="86"/>
      <c r="QI52" s="86"/>
      <c r="QJ52" s="86"/>
      <c r="QK52" s="86"/>
      <c r="QL52" s="86"/>
      <c r="QM52" s="86"/>
      <c r="QN52" s="86"/>
      <c r="QO52" s="86"/>
      <c r="QP52" s="86"/>
      <c r="QQ52" s="86"/>
      <c r="QR52" s="86"/>
      <c r="QS52" s="86"/>
      <c r="QT52" s="86"/>
      <c r="QU52" s="86"/>
      <c r="QV52" s="86"/>
      <c r="QW52" s="86"/>
      <c r="QX52" s="86"/>
      <c r="QY52" s="86"/>
      <c r="QZ52" s="86"/>
      <c r="RA52" s="86"/>
      <c r="RB52" s="86"/>
      <c r="RC52" s="86"/>
      <c r="RD52" s="86"/>
      <c r="RE52" s="86"/>
      <c r="RF52" s="86"/>
      <c r="RG52" s="86"/>
      <c r="RH52" s="86"/>
      <c r="RI52" s="86"/>
      <c r="RJ52" s="86"/>
      <c r="RK52" s="86"/>
      <c r="RL52" s="86"/>
      <c r="RM52" s="86"/>
      <c r="RN52" s="86"/>
      <c r="RO52" s="86"/>
      <c r="RP52" s="86"/>
      <c r="RQ52" s="86"/>
      <c r="RR52" s="86"/>
      <c r="RS52" s="86"/>
      <c r="RT52" s="86"/>
      <c r="RU52" s="86"/>
      <c r="RV52" s="86"/>
      <c r="RW52" s="86"/>
      <c r="RX52" s="86"/>
      <c r="RY52" s="86"/>
      <c r="RZ52" s="86"/>
      <c r="SA52" s="86"/>
    </row>
    <row r="53" spans="1:495" s="87" customFormat="1" x14ac:dyDescent="0.2">
      <c r="A53" s="88" t="s">
        <v>1090</v>
      </c>
      <c r="B53" s="89">
        <v>1974323502.2</v>
      </c>
      <c r="C53" s="89">
        <v>2231018611.4699998</v>
      </c>
      <c r="D53" s="89">
        <v>7893278885.04</v>
      </c>
      <c r="E53" s="89">
        <v>-1818302495.5</v>
      </c>
      <c r="F53" s="89">
        <v>11848635680.66</v>
      </c>
      <c r="G53" s="89">
        <v>1891266388.3800001</v>
      </c>
      <c r="H53" s="89">
        <v>-679197440.96000004</v>
      </c>
      <c r="I53" s="89">
        <v>1932522971.0999999</v>
      </c>
      <c r="J53" s="89">
        <v>-6048338791.5299997</v>
      </c>
      <c r="K53" s="89">
        <v>2056793802.99</v>
      </c>
      <c r="L53" s="89">
        <v>-879244104.03999996</v>
      </c>
      <c r="M53" s="89">
        <v>-607668817.30999994</v>
      </c>
      <c r="N53" s="89">
        <v>-693986915.86000001</v>
      </c>
      <c r="O53" s="89">
        <v>-3494944750.9400001</v>
      </c>
      <c r="P53" s="89">
        <v>5993029236.9799995</v>
      </c>
      <c r="Q53" s="89">
        <v>1715161912.71</v>
      </c>
      <c r="R53" s="89">
        <v>-577315388.51999998</v>
      </c>
      <c r="S53" s="89">
        <v>-730803846.07000005</v>
      </c>
      <c r="T53" s="89">
        <v>-6081093086.5600004</v>
      </c>
      <c r="U53" s="89">
        <v>4353795370.4899998</v>
      </c>
      <c r="V53" s="89">
        <v>1365733888.4400001</v>
      </c>
      <c r="W53" s="89">
        <v>205922958</v>
      </c>
      <c r="X53" s="89">
        <v>-645247939.89999998</v>
      </c>
      <c r="Y53" s="89">
        <v>-1448226941.96</v>
      </c>
      <c r="Z53" s="89">
        <v>2820187910.6700001</v>
      </c>
      <c r="AA53" s="89">
        <v>871783289.33000004</v>
      </c>
      <c r="AB53" s="89">
        <v>652169449.72000003</v>
      </c>
      <c r="AC53" s="89">
        <v>452591236.94</v>
      </c>
      <c r="AD53" s="89">
        <v>-4266382440.7399998</v>
      </c>
      <c r="AE53" s="89">
        <v>2161881947.8600001</v>
      </c>
      <c r="AF53" s="89">
        <v>-1247856859.28</v>
      </c>
      <c r="AG53" s="89">
        <v>-432616071.23000002</v>
      </c>
      <c r="AH53" s="89">
        <v>-5214287732.6800003</v>
      </c>
      <c r="AI53" s="89">
        <v>-718545643.38999999</v>
      </c>
      <c r="AJ53" s="89">
        <v>-558831887.72000003</v>
      </c>
      <c r="AK53" s="89">
        <v>-409797466.11000001</v>
      </c>
      <c r="AL53" s="89">
        <v>111578061.64</v>
      </c>
      <c r="AM53" s="89">
        <v>-7409627011.5</v>
      </c>
      <c r="AN53" s="89">
        <v>687198993.63</v>
      </c>
      <c r="AO53" s="89">
        <v>-803778576.35000002</v>
      </c>
      <c r="AP53" s="89">
        <v>-553175045.57000005</v>
      </c>
      <c r="AQ53" s="89">
        <v>-449539280.31999999</v>
      </c>
      <c r="AR53" s="89">
        <v>-7757853630.6899996</v>
      </c>
      <c r="AS53" s="89">
        <v>784002400.03999996</v>
      </c>
      <c r="AT53" s="89">
        <v>1140975097.8499999</v>
      </c>
      <c r="AU53" s="89">
        <v>-2744683663.1700001</v>
      </c>
      <c r="AV53" s="89">
        <v>-581861357.90999997</v>
      </c>
      <c r="AW53" s="89">
        <v>-10637303439.51</v>
      </c>
      <c r="AX53" s="89">
        <v>-121877749.20999999</v>
      </c>
      <c r="AY53" s="89">
        <v>1105150650.8599999</v>
      </c>
      <c r="AZ53" s="89">
        <v>32696747.399999999</v>
      </c>
      <c r="BA53" s="89">
        <v>-411642700.17000002</v>
      </c>
      <c r="BB53" s="89">
        <v>-470014623.16000003</v>
      </c>
      <c r="BC53" s="89">
        <v>-476057995.05000001</v>
      </c>
      <c r="BD53" s="89">
        <v>1290167735.8299999</v>
      </c>
      <c r="BE53" s="89">
        <v>3234176397.7199998</v>
      </c>
      <c r="BF53" s="89">
        <v>-22834310715.580002</v>
      </c>
      <c r="BG53" s="89">
        <v>-5394763747.79</v>
      </c>
      <c r="BH53" s="89">
        <v>11236347814.040001</v>
      </c>
      <c r="BI53" s="89">
        <v>7161641655.9200001</v>
      </c>
      <c r="BJ53" s="89">
        <v>2359229420.3699999</v>
      </c>
      <c r="BK53" s="89">
        <v>-685058157.58000004</v>
      </c>
      <c r="BL53" s="89">
        <v>-8174156649.9499998</v>
      </c>
      <c r="BM53" s="89">
        <v>-416468328.64999998</v>
      </c>
      <c r="BN53" s="89">
        <v>4347318081.3699999</v>
      </c>
      <c r="BO53" s="89">
        <v>1988768194.03</v>
      </c>
      <c r="BP53" s="89">
        <v>-7614934383.4300003</v>
      </c>
      <c r="BQ53" s="89">
        <v>-11929938.050000099</v>
      </c>
      <c r="BR53" s="89">
        <v>-502220238.91000003</v>
      </c>
      <c r="BS53" s="89">
        <v>-464323399.92000002</v>
      </c>
      <c r="BT53" s="89">
        <v>1131086107.1300001</v>
      </c>
      <c r="BU53" s="89">
        <v>407651156.22000003</v>
      </c>
      <c r="BV53" s="89">
        <v>244777657.41999999</v>
      </c>
      <c r="BW53" s="89">
        <v>-904787167.47000003</v>
      </c>
      <c r="BX53" s="89">
        <v>-4811849751.4700003</v>
      </c>
      <c r="BY53" s="89">
        <v>-31276173.039999999</v>
      </c>
      <c r="BZ53" s="89">
        <v>-244162327.75999999</v>
      </c>
      <c r="CA53" s="89">
        <v>-244229759.46000001</v>
      </c>
      <c r="CB53" s="89">
        <v>-293101024.63999999</v>
      </c>
      <c r="CC53" s="89">
        <v>-7876175722.4700003</v>
      </c>
      <c r="CD53" s="89">
        <v>313959349.25999999</v>
      </c>
      <c r="CE53" s="89">
        <v>-311448504.31999999</v>
      </c>
      <c r="CF53" s="89">
        <v>-250856844.37</v>
      </c>
      <c r="CG53" s="89">
        <v>-1480710267.5799999</v>
      </c>
      <c r="CH53" s="89">
        <v>553882123.08000004</v>
      </c>
      <c r="CI53" s="89">
        <v>-407152962.81999999</v>
      </c>
      <c r="CJ53" s="89">
        <v>683711845.27999997</v>
      </c>
      <c r="CK53" s="89">
        <v>-4962213013.1000004</v>
      </c>
      <c r="CL53" s="89">
        <v>-319124129.07999998</v>
      </c>
      <c r="CM53" s="89">
        <v>-289412826.56</v>
      </c>
      <c r="CN53" s="89">
        <v>2928973708.6999998</v>
      </c>
      <c r="CO53" s="89">
        <v>-229895482.63</v>
      </c>
      <c r="CP53" s="89">
        <v>-4054237430.1100001</v>
      </c>
      <c r="CQ53" s="89">
        <v>1653627034.6300001</v>
      </c>
      <c r="CR53" s="89">
        <v>646061981.73000002</v>
      </c>
      <c r="CS53" s="89">
        <v>98590314.510000005</v>
      </c>
      <c r="CT53" s="89">
        <v>-301053904.07999998</v>
      </c>
      <c r="CU53" s="89">
        <v>-5310007155.0100002</v>
      </c>
      <c r="CV53" s="89">
        <v>1408649290.3</v>
      </c>
      <c r="CW53" s="89">
        <v>810128259.11000001</v>
      </c>
      <c r="CX53" s="89">
        <v>641182818.07000005</v>
      </c>
      <c r="CY53" s="89">
        <v>-640223594.44000006</v>
      </c>
      <c r="CZ53" s="89">
        <v>-2539773467.8299999</v>
      </c>
      <c r="DA53" s="89">
        <v>799912003.11000001</v>
      </c>
      <c r="DB53" s="89">
        <v>-331028254.25999999</v>
      </c>
      <c r="DC53" s="89">
        <v>1069711615.0700001</v>
      </c>
      <c r="DD53" s="89">
        <v>1772519905.3900001</v>
      </c>
      <c r="DE53" s="89">
        <v>-2978374824.0300002</v>
      </c>
      <c r="DF53" s="89">
        <v>2765626323.6999998</v>
      </c>
      <c r="DG53" s="89">
        <v>1093462782.51</v>
      </c>
      <c r="DH53" s="89">
        <v>277678894.42000002</v>
      </c>
      <c r="DI53" s="89">
        <v>-155350998.24000001</v>
      </c>
      <c r="DJ53" s="89">
        <v>-3794906667.5</v>
      </c>
      <c r="DK53" s="89">
        <v>5409597429.2200003</v>
      </c>
      <c r="DL53" s="89">
        <v>6106859174.3599997</v>
      </c>
      <c r="DM53" s="89">
        <v>10687859174.360001</v>
      </c>
      <c r="DN53" s="89">
        <v>150801403.36000001</v>
      </c>
      <c r="DO53" s="89">
        <v>-4053738557.2399998</v>
      </c>
      <c r="DP53" s="89">
        <v>-401636555.75</v>
      </c>
      <c r="DQ53" s="89">
        <v>1249776913.47</v>
      </c>
      <c r="DR53" s="89">
        <v>553001907.78999996</v>
      </c>
      <c r="DS53" s="89">
        <v>-493173084.62</v>
      </c>
      <c r="DT53" s="89">
        <v>-1966035285.0999999</v>
      </c>
      <c r="DU53" s="89">
        <v>4013490261.6199999</v>
      </c>
      <c r="DV53" s="89">
        <v>-280119676.74000001</v>
      </c>
      <c r="DW53" s="89">
        <v>-372671249.81999999</v>
      </c>
      <c r="DX53" s="89">
        <v>-203647728.52000001</v>
      </c>
      <c r="DY53" s="89">
        <v>-5972350030</v>
      </c>
      <c r="DZ53" s="89">
        <v>1820757938.3299999</v>
      </c>
      <c r="EA53" s="89">
        <v>256704804.44</v>
      </c>
      <c r="EB53" s="89">
        <v>-278646151.81</v>
      </c>
      <c r="EC53" s="89">
        <v>-2009384201.5</v>
      </c>
      <c r="ED53" s="89">
        <v>-331055626.04000002</v>
      </c>
      <c r="EE53" s="89">
        <v>-432212550.75</v>
      </c>
      <c r="EF53" s="89">
        <v>-123906012.12</v>
      </c>
      <c r="EG53" s="89">
        <v>-59166707.310000002</v>
      </c>
      <c r="EH53" s="89">
        <v>-2495911465.2199998</v>
      </c>
      <c r="EI53" s="89">
        <v>1441952653.5699999</v>
      </c>
      <c r="EJ53" s="89">
        <v>-128447308.17</v>
      </c>
      <c r="EK53" s="89">
        <v>-225666600.25</v>
      </c>
      <c r="EL53" s="89">
        <v>-99927633.530000001</v>
      </c>
      <c r="EM53" s="89">
        <v>-4927082557.3400002</v>
      </c>
      <c r="EN53" s="89">
        <v>2078417217.73</v>
      </c>
      <c r="EO53" s="89">
        <v>1021506518.25</v>
      </c>
      <c r="EP53" s="89">
        <v>-246034525.52000001</v>
      </c>
      <c r="EQ53" s="89">
        <v>-2717856765.0599999</v>
      </c>
      <c r="ER53" s="89">
        <v>1269404489.46</v>
      </c>
      <c r="ES53" s="89">
        <v>-403064496.12</v>
      </c>
      <c r="ET53" s="89">
        <v>96054740.319999993</v>
      </c>
      <c r="EU53" s="89">
        <v>-186968474.22</v>
      </c>
      <c r="EV53" s="89">
        <v>-1376198221.02</v>
      </c>
      <c r="EW53" s="89">
        <v>991857413.80999994</v>
      </c>
      <c r="EX53" s="89">
        <v>-258909242.63</v>
      </c>
      <c r="EY53" s="89">
        <v>-141836941.09999999</v>
      </c>
      <c r="EZ53" s="89">
        <v>-1947664200.0799999</v>
      </c>
      <c r="FA53" s="89">
        <v>2866163351.8099999</v>
      </c>
      <c r="FB53" s="89">
        <v>986093620.97000003</v>
      </c>
      <c r="FC53" s="89">
        <v>-1142204185.0599999</v>
      </c>
      <c r="FD53" s="89">
        <v>-294327471.95999998</v>
      </c>
      <c r="FE53" s="89">
        <v>-4179483773.25</v>
      </c>
      <c r="FF53" s="89">
        <v>2231790062.0999999</v>
      </c>
      <c r="FG53" s="89">
        <v>1667751201.05</v>
      </c>
      <c r="FH53" s="89">
        <v>-664281154.26999998</v>
      </c>
      <c r="FI53" s="89">
        <v>-1017939703.74</v>
      </c>
      <c r="FJ53" s="89">
        <v>-3824748490.7600002</v>
      </c>
      <c r="FK53" s="89">
        <v>-332358608.94</v>
      </c>
      <c r="FL53" s="89">
        <v>-339307670.50999999</v>
      </c>
      <c r="FM53" s="89">
        <v>-478816693.19999999</v>
      </c>
      <c r="FN53" s="89">
        <v>-167302680.27000001</v>
      </c>
      <c r="FO53" s="89">
        <v>-2365066852.73</v>
      </c>
      <c r="FP53" s="89">
        <v>-2289827734.48</v>
      </c>
      <c r="FQ53" s="89">
        <v>3263172265.5100002</v>
      </c>
      <c r="FR53" s="89">
        <v>-281482162.05000001</v>
      </c>
      <c r="FS53" s="89">
        <v>1378571995.9300001</v>
      </c>
      <c r="FT53" s="89">
        <v>-1096700784.79</v>
      </c>
      <c r="FU53" s="89">
        <v>2683996880.6999998</v>
      </c>
      <c r="FV53" s="89">
        <v>1745637964.48</v>
      </c>
      <c r="FW53" s="89">
        <v>-295471327.68000001</v>
      </c>
      <c r="FX53" s="89">
        <v>-2726244537.8600001</v>
      </c>
      <c r="FY53" s="89">
        <v>-186240077.83000001</v>
      </c>
      <c r="FZ53" s="89">
        <v>-587643739.92999995</v>
      </c>
      <c r="GA53" s="89">
        <v>1093824565.25</v>
      </c>
      <c r="GB53" s="89">
        <v>-240395928.22999999</v>
      </c>
      <c r="GC53" s="89">
        <v>-135159018.02000001</v>
      </c>
      <c r="GD53" s="89">
        <v>-2370188479.3400002</v>
      </c>
      <c r="GE53" s="89">
        <v>394110760.81999999</v>
      </c>
      <c r="GF53" s="89">
        <v>1032301197.63</v>
      </c>
      <c r="GG53" s="89">
        <v>3308551770.96</v>
      </c>
      <c r="GH53" s="89">
        <v>747094721.70000005</v>
      </c>
      <c r="GI53" s="89">
        <v>545008905.69000006</v>
      </c>
      <c r="GJ53" s="89">
        <v>-68294093.140000001</v>
      </c>
      <c r="GK53" s="89">
        <v>2434545777.3200002</v>
      </c>
      <c r="GL53" s="89">
        <v>-1348668634.6300001</v>
      </c>
      <c r="GM53" s="89">
        <v>-3605659.43</v>
      </c>
      <c r="GN53" s="89">
        <v>-17853305.440000001</v>
      </c>
      <c r="GO53" s="89">
        <v>3296188854.4299998</v>
      </c>
      <c r="GP53" s="89">
        <v>3892429625.8099999</v>
      </c>
      <c r="GQ53" s="89">
        <v>-167803695.99000001</v>
      </c>
      <c r="GR53" s="89">
        <v>-4689345006.3100004</v>
      </c>
      <c r="GS53" s="89">
        <v>1185252243.51</v>
      </c>
      <c r="GT53" s="89">
        <v>-294752234.79000002</v>
      </c>
      <c r="GU53" s="89">
        <v>-441434336.98000002</v>
      </c>
      <c r="GV53" s="89">
        <v>460163416.78000098</v>
      </c>
      <c r="GW53" s="89">
        <v>431544765.43000001</v>
      </c>
      <c r="GX53" s="89">
        <v>231113518.66999999</v>
      </c>
      <c r="GY53" s="89">
        <v>-193097394.88999999</v>
      </c>
      <c r="GZ53" s="89">
        <v>-4696472489.7799997</v>
      </c>
      <c r="HA53" s="89">
        <v>-444382637.94999999</v>
      </c>
      <c r="HB53" s="89">
        <v>-529726175.81999999</v>
      </c>
      <c r="HC53" s="89">
        <v>61241614.329999998</v>
      </c>
      <c r="HD53" s="89">
        <v>-162943315.13999999</v>
      </c>
      <c r="HE53" s="89">
        <v>-3555915424.4099998</v>
      </c>
      <c r="HF53" s="89">
        <v>4997283704.4399996</v>
      </c>
      <c r="HG53" s="89">
        <v>578535856.83000004</v>
      </c>
      <c r="HH53" s="89">
        <v>39493313.18</v>
      </c>
      <c r="HI53" s="89">
        <v>-1585612855.26</v>
      </c>
      <c r="HJ53" s="89">
        <v>1415226508.22</v>
      </c>
      <c r="HK53" s="89">
        <v>3797792024.29</v>
      </c>
      <c r="HL53" s="89">
        <v>0</v>
      </c>
      <c r="HM53" s="89">
        <v>1793965686.05</v>
      </c>
      <c r="HN53" s="89">
        <v>-2164580000.8400002</v>
      </c>
      <c r="HO53" s="89">
        <v>1724665403.54</v>
      </c>
      <c r="HP53" s="89">
        <v>2080186223.9000001</v>
      </c>
      <c r="HQ53" s="89">
        <v>774332199.88</v>
      </c>
      <c r="HR53" s="89">
        <v>694264609.94000006</v>
      </c>
      <c r="HS53" s="89">
        <v>-788321975.79999995</v>
      </c>
      <c r="HT53" s="89">
        <v>-3432471102.98</v>
      </c>
      <c r="HU53" s="89">
        <v>1399086931.1800001</v>
      </c>
      <c r="HV53" s="89">
        <v>-263329594.27000001</v>
      </c>
      <c r="HW53" s="89">
        <v>815695096.54999995</v>
      </c>
      <c r="HX53" s="89">
        <v>-3138771817.02</v>
      </c>
      <c r="HY53" s="89">
        <v>2273013333.7800002</v>
      </c>
      <c r="HZ53" s="89">
        <v>169727231.33000001</v>
      </c>
      <c r="IA53" s="89">
        <v>-45660331.550000198</v>
      </c>
      <c r="IB53" s="89">
        <v>427579365.92000002</v>
      </c>
      <c r="IC53" s="89">
        <v>559828740.94000006</v>
      </c>
      <c r="ID53" s="89">
        <v>971651455.61000001</v>
      </c>
      <c r="IE53" s="89">
        <v>514258160.79000002</v>
      </c>
      <c r="IF53" s="89">
        <v>-152771664.66999999</v>
      </c>
      <c r="IG53" s="89">
        <v>-5774509575.1400003</v>
      </c>
      <c r="IH53" s="89">
        <v>1922665027.8800001</v>
      </c>
      <c r="II53" s="89">
        <v>-396730127.88999999</v>
      </c>
      <c r="IJ53" s="89">
        <v>-107558142.04000001</v>
      </c>
      <c r="IK53" s="89">
        <v>-194144876.71000001</v>
      </c>
      <c r="IL53" s="89">
        <v>-976896973.90999997</v>
      </c>
      <c r="IM53" s="89">
        <v>-168142834.36000001</v>
      </c>
      <c r="IN53" s="89">
        <v>3242719156.2600002</v>
      </c>
      <c r="IO53" s="89">
        <v>-2090030834.51</v>
      </c>
      <c r="IP53" s="89">
        <v>2175001848.5</v>
      </c>
      <c r="IQ53" s="89">
        <v>2018949820.04</v>
      </c>
      <c r="IR53" s="89">
        <v>373441133.77999997</v>
      </c>
      <c r="IS53" s="89">
        <v>360548954</v>
      </c>
      <c r="IT53" s="89">
        <v>-3111141453.6199999</v>
      </c>
      <c r="IU53" s="89">
        <v>846381934.99000001</v>
      </c>
      <c r="IV53" s="89">
        <v>464928093.04000002</v>
      </c>
      <c r="IW53" s="89">
        <v>-1131651850.1700001</v>
      </c>
      <c r="IX53" s="89">
        <v>-969263410.28999996</v>
      </c>
      <c r="IY53" s="89">
        <v>-4993669029.6000004</v>
      </c>
      <c r="IZ53" s="89">
        <v>955182549.97000003</v>
      </c>
      <c r="JA53" s="89">
        <v>803740693.04999995</v>
      </c>
      <c r="JB53" s="89">
        <v>219981142.74000001</v>
      </c>
      <c r="JC53" s="89">
        <v>616228729.36000001</v>
      </c>
      <c r="JD53" s="89">
        <v>-1352326120.8699999</v>
      </c>
      <c r="JE53" s="89">
        <v>-252482183.68000001</v>
      </c>
      <c r="JF53" s="89">
        <v>-210203856.59999999</v>
      </c>
      <c r="JG53" s="89">
        <v>403697830.31999999</v>
      </c>
      <c r="JH53" s="89">
        <v>157565640.52000001</v>
      </c>
      <c r="JI53" s="89">
        <v>-450876567.69</v>
      </c>
      <c r="JJ53" s="89">
        <v>4493959177.3800001</v>
      </c>
      <c r="JK53" s="89">
        <v>2477096820.9299998</v>
      </c>
      <c r="JL53" s="89">
        <v>977292198.92999995</v>
      </c>
      <c r="JM53" s="89">
        <v>-257582812.78</v>
      </c>
      <c r="JN53" s="89">
        <v>-2610544458.9000001</v>
      </c>
      <c r="JO53" s="89">
        <v>5746836554.2299995</v>
      </c>
      <c r="JP53" s="89">
        <v>505604417.94999999</v>
      </c>
      <c r="JQ53" s="89">
        <v>14711333.83</v>
      </c>
      <c r="JR53" s="89">
        <v>-250397777.36000001</v>
      </c>
      <c r="JS53" s="89">
        <v>-2555925622.98</v>
      </c>
      <c r="JT53" s="89">
        <v>1817861228.5699999</v>
      </c>
      <c r="JU53" s="89">
        <v>473296628.19</v>
      </c>
      <c r="JV53" s="89">
        <v>-131315898.87</v>
      </c>
      <c r="JW53" s="89">
        <v>-146044958.5</v>
      </c>
      <c r="JX53" s="89">
        <v>-1981129616.6700001</v>
      </c>
      <c r="JY53" s="89">
        <v>1018986890.37</v>
      </c>
      <c r="JZ53" s="89">
        <v>939507430.02999997</v>
      </c>
      <c r="KA53" s="89">
        <v>385808137.04000002</v>
      </c>
      <c r="KB53" s="89">
        <v>72235545.099999905</v>
      </c>
      <c r="KC53" s="89">
        <v>-778769680.78999996</v>
      </c>
      <c r="KD53" s="89">
        <v>539345892.12</v>
      </c>
      <c r="KE53" s="89">
        <v>328006775.73000002</v>
      </c>
      <c r="KF53" s="89">
        <v>201280236.63</v>
      </c>
      <c r="KG53" s="89">
        <v>-1877565075.8</v>
      </c>
      <c r="KH53" s="89">
        <v>294592757.82999998</v>
      </c>
      <c r="KI53" s="89">
        <v>1009237740</v>
      </c>
      <c r="KJ53" s="89">
        <v>475818631.18000001</v>
      </c>
      <c r="KK53" s="89">
        <v>332227728.32999998</v>
      </c>
      <c r="KL53" s="89">
        <v>-4422654576.3400002</v>
      </c>
      <c r="KM53" s="89">
        <v>-323623815.44999999</v>
      </c>
      <c r="KN53" s="89">
        <v>-263885320.84999999</v>
      </c>
      <c r="KO53" s="89">
        <v>-181539948.94999999</v>
      </c>
      <c r="KP53" s="89">
        <v>-32238157</v>
      </c>
      <c r="KQ53" s="89">
        <v>-2495446822.0599999</v>
      </c>
      <c r="KR53" s="89">
        <v>1338178660.26</v>
      </c>
      <c r="KS53" s="89">
        <v>91288441.390000001</v>
      </c>
      <c r="KT53" s="89">
        <v>20807079.530000001</v>
      </c>
      <c r="KU53" s="89">
        <v>-110171963.31999999</v>
      </c>
      <c r="KV53" s="89">
        <v>-248494929.13</v>
      </c>
      <c r="KW53" s="89">
        <v>419636239.45999998</v>
      </c>
      <c r="KX53" s="89">
        <v>1189404345.0699999</v>
      </c>
      <c r="KY53" s="89">
        <v>1621158207.98</v>
      </c>
      <c r="KZ53" s="89">
        <v>-3041398095.25</v>
      </c>
      <c r="LA53" s="89">
        <v>4555079069.9399996</v>
      </c>
      <c r="LB53" s="89">
        <v>1089798846.74</v>
      </c>
      <c r="LC53" s="89">
        <v>106055391.19</v>
      </c>
      <c r="LD53" s="89">
        <v>788723129.74000001</v>
      </c>
      <c r="LE53" s="89">
        <v>-53400486.549999997</v>
      </c>
      <c r="LF53" s="89">
        <v>-71095822.140000001</v>
      </c>
      <c r="LG53" s="89">
        <v>171858079.34</v>
      </c>
      <c r="LH53" s="89">
        <v>-279040725.69</v>
      </c>
      <c r="LI53" s="89">
        <v>4916912180.7700005</v>
      </c>
      <c r="LJ53" s="89">
        <v>5737059821.1000004</v>
      </c>
      <c r="LK53" s="89">
        <v>-203666473.59999999</v>
      </c>
      <c r="LL53" s="89">
        <v>115913797.93000001</v>
      </c>
      <c r="LM53" s="89">
        <v>-5185878001.7399998</v>
      </c>
      <c r="LN53" s="89">
        <v>1537683484.96</v>
      </c>
      <c r="LO53" s="89">
        <v>68382013.810000002</v>
      </c>
      <c r="LP53" s="89">
        <v>-897596611.87</v>
      </c>
      <c r="LQ53" s="89">
        <v>2127881951.0599999</v>
      </c>
      <c r="LR53" s="89">
        <v>761715030.82000005</v>
      </c>
      <c r="LS53" s="89">
        <v>614739153.94000006</v>
      </c>
      <c r="LT53" s="89">
        <v>-136095812.41999999</v>
      </c>
      <c r="LU53" s="89">
        <v>-3972959649.9699998</v>
      </c>
      <c r="LV53" s="89">
        <v>110823645.33</v>
      </c>
      <c r="LW53" s="89">
        <v>881292335.07000005</v>
      </c>
      <c r="LX53" s="89">
        <v>1379602857.54</v>
      </c>
      <c r="LY53" s="89">
        <v>-21673516.41</v>
      </c>
      <c r="LZ53" s="89">
        <v>246470837.97</v>
      </c>
      <c r="MA53" s="89">
        <v>-3302532023.3099999</v>
      </c>
      <c r="MB53" s="89">
        <v>3585154637.29</v>
      </c>
      <c r="MC53" s="89">
        <v>3313869186.1900001</v>
      </c>
      <c r="MD53" s="89">
        <v>1156062615.72</v>
      </c>
      <c r="ME53" s="89">
        <v>921574789.64999998</v>
      </c>
      <c r="MF53" s="89">
        <v>-1049699313.17</v>
      </c>
      <c r="MG53" s="89">
        <v>839500634.45000005</v>
      </c>
      <c r="MH53" s="89">
        <v>291387286.75999999</v>
      </c>
      <c r="MI53" s="89">
        <v>-851762218.89999998</v>
      </c>
      <c r="MJ53" s="89">
        <v>1115643523.6099999</v>
      </c>
      <c r="MK53" s="89">
        <v>2176443631.73</v>
      </c>
      <c r="ML53" s="89">
        <v>-310282678.14999998</v>
      </c>
      <c r="MM53" s="89">
        <v>-206106227.05000001</v>
      </c>
      <c r="MN53" s="89">
        <v>733054533.98000002</v>
      </c>
      <c r="MO53" s="89">
        <v>-335419001.11000001</v>
      </c>
      <c r="MP53" s="89">
        <v>1728777999.77</v>
      </c>
      <c r="MQ53" s="89">
        <v>247678468.27000001</v>
      </c>
      <c r="MR53" s="89">
        <v>-152781936.88</v>
      </c>
      <c r="MS53" s="89">
        <v>364352916.88999999</v>
      </c>
      <c r="MT53" s="89">
        <v>-3490076749.0100002</v>
      </c>
      <c r="MU53" s="89">
        <v>1718345101.1199999</v>
      </c>
      <c r="MV53" s="89">
        <v>1562668677.6400001</v>
      </c>
      <c r="MW53" s="89">
        <v>-897979210.49000001</v>
      </c>
      <c r="MX53" s="89">
        <v>48591861.119999997</v>
      </c>
      <c r="MY53" s="89">
        <v>-3144311434.54</v>
      </c>
      <c r="MZ53" s="89">
        <v>72840497.569999993</v>
      </c>
      <c r="NA53" s="89">
        <v>-135959387.78999999</v>
      </c>
      <c r="NB53" s="89">
        <v>-92683391.700000003</v>
      </c>
      <c r="NC53" s="89">
        <v>-363448042.31999999</v>
      </c>
      <c r="ND53" s="89">
        <v>305314640.14999998</v>
      </c>
      <c r="NE53" s="89">
        <v>941730278.88999999</v>
      </c>
      <c r="NF53" s="89">
        <v>1917377827.8800001</v>
      </c>
      <c r="NG53" s="89">
        <v>1274187792.46</v>
      </c>
      <c r="NH53" s="89">
        <v>2490768735.8899999</v>
      </c>
      <c r="NI53" s="89">
        <v>901758671.08999896</v>
      </c>
      <c r="NJ53" s="89">
        <v>4734958630.8999996</v>
      </c>
      <c r="NK53" s="89">
        <v>3325553863.4000001</v>
      </c>
      <c r="NL53" s="89">
        <v>2241673825.5900002</v>
      </c>
      <c r="NM53" s="89">
        <v>-64680211.869999997</v>
      </c>
      <c r="NN53" s="89">
        <v>44028518.57</v>
      </c>
      <c r="NO53" s="89">
        <v>588884418.02999997</v>
      </c>
      <c r="NP53" s="89">
        <v>1483088951.55</v>
      </c>
      <c r="NQ53" s="89">
        <v>221562267.97999999</v>
      </c>
      <c r="NR53" s="89">
        <v>171693664.56999999</v>
      </c>
      <c r="NS53" s="89">
        <v>492206124.26999998</v>
      </c>
      <c r="NT53" s="89">
        <v>-96187574.859999999</v>
      </c>
      <c r="NU53" s="89">
        <v>674599531.85000002</v>
      </c>
      <c r="NV53" s="89">
        <v>-35654997.93</v>
      </c>
      <c r="NW53" s="89">
        <v>506809410.44</v>
      </c>
      <c r="NX53" s="89">
        <v>1332108760.8499999</v>
      </c>
      <c r="NY53" s="89">
        <v>-18206523.960000001</v>
      </c>
      <c r="NZ53" s="89">
        <v>-373283225.18000001</v>
      </c>
      <c r="OA53" s="89">
        <v>-701506559.26999998</v>
      </c>
      <c r="OB53" s="89">
        <v>-93102274.519999996</v>
      </c>
      <c r="OC53" s="89">
        <v>867763674.61000001</v>
      </c>
      <c r="OD53" s="89">
        <v>329549018.79000002</v>
      </c>
      <c r="OE53" s="89">
        <v>-1438372239.95</v>
      </c>
      <c r="OF53" s="89">
        <v>128953438.98999999</v>
      </c>
      <c r="OG53" s="89">
        <v>-67602125.670000002</v>
      </c>
      <c r="OH53" s="89">
        <v>-601391951.69000006</v>
      </c>
      <c r="OI53" s="89">
        <v>223014727.33000001</v>
      </c>
      <c r="OJ53" s="89">
        <v>-279122428.50999999</v>
      </c>
      <c r="OK53" s="89">
        <v>240452251.47</v>
      </c>
      <c r="OL53" s="89">
        <v>-61949214.329999998</v>
      </c>
      <c r="OM53" s="89">
        <v>-129743287.84999999</v>
      </c>
      <c r="ON53" s="89">
        <v>170632902.28</v>
      </c>
      <c r="OO53" s="89">
        <v>-261597253.87</v>
      </c>
      <c r="OP53" s="89">
        <v>126611421.93000001</v>
      </c>
      <c r="OQ53" s="89">
        <v>463996982.77999997</v>
      </c>
      <c r="OR53" s="89">
        <v>498145556.70999998</v>
      </c>
      <c r="OS53" s="89">
        <v>1458355820.04</v>
      </c>
      <c r="OT53" s="89">
        <v>-79835829.730000004</v>
      </c>
      <c r="OU53" s="89">
        <v>659789324.65999997</v>
      </c>
      <c r="OV53" s="89">
        <v>847419113.08000004</v>
      </c>
      <c r="OW53" s="89">
        <v>414082028.92000002</v>
      </c>
      <c r="OX53" s="89">
        <v>3527512094.5500002</v>
      </c>
      <c r="OY53" s="89">
        <v>884278126.47000003</v>
      </c>
      <c r="OZ53" s="89">
        <v>4661822541.9300003</v>
      </c>
      <c r="PA53" s="89">
        <v>1179729064.52</v>
      </c>
      <c r="PB53" s="89">
        <v>273580799.82999998</v>
      </c>
      <c r="PC53" s="89">
        <v>-574336767.92999995</v>
      </c>
      <c r="PD53" s="89">
        <v>359367028.58999997</v>
      </c>
      <c r="PE53" s="89">
        <v>954879891.01999998</v>
      </c>
      <c r="PF53" s="89">
        <v>-101720684.7</v>
      </c>
      <c r="PG53" s="89">
        <v>822142792.36000001</v>
      </c>
      <c r="PH53" s="89">
        <v>283383061.30000001</v>
      </c>
      <c r="PI53" s="89">
        <v>-1521229978.8399999</v>
      </c>
      <c r="PJ53" s="89">
        <v>1957132240.8900001</v>
      </c>
      <c r="PK53" s="89">
        <v>2609731571.9400001</v>
      </c>
      <c r="PL53" s="89">
        <v>-665939326.75999999</v>
      </c>
      <c r="PM53" s="89">
        <v>2825926517.3400002</v>
      </c>
      <c r="PN53" s="89">
        <v>2122486079.0799999</v>
      </c>
      <c r="PO53" s="89">
        <v>1558443461.54</v>
      </c>
      <c r="PP53" s="89">
        <v>98029721.049999997</v>
      </c>
      <c r="PQ53" s="89">
        <v>225502054.18000001</v>
      </c>
      <c r="PR53" s="89">
        <v>3211640232.3299999</v>
      </c>
      <c r="PS53" s="89">
        <v>3162251020.1500001</v>
      </c>
      <c r="PT53" s="89">
        <v>3162251020.1500001</v>
      </c>
      <c r="PU53" s="89">
        <v>6125251020.1499996</v>
      </c>
      <c r="PV53" s="89">
        <v>6125251020.1499996</v>
      </c>
      <c r="PW53" s="89">
        <v>10476251020.15</v>
      </c>
      <c r="PX53" s="89">
        <v>10476251020.15</v>
      </c>
      <c r="PY53" s="89"/>
      <c r="PZ53" s="89"/>
      <c r="QA53" s="89"/>
      <c r="QB53" s="89"/>
      <c r="QC53" s="89"/>
      <c r="QD53" s="89"/>
      <c r="QE53" s="89"/>
      <c r="QF53" s="89"/>
      <c r="QG53" s="89"/>
      <c r="QH53" s="89"/>
      <c r="QI53" s="89"/>
      <c r="QJ53" s="89"/>
      <c r="QK53" s="89"/>
      <c r="QL53" s="89"/>
      <c r="QM53" s="89"/>
      <c r="QN53" s="89"/>
      <c r="QO53" s="89"/>
      <c r="QP53" s="89"/>
      <c r="QQ53" s="89"/>
      <c r="QR53" s="89"/>
      <c r="QS53" s="89"/>
      <c r="QT53" s="89"/>
      <c r="QU53" s="89"/>
      <c r="QV53" s="89"/>
      <c r="QW53" s="89"/>
      <c r="QX53" s="89"/>
      <c r="QY53" s="89"/>
      <c r="QZ53" s="89"/>
      <c r="RA53" s="89"/>
      <c r="RB53" s="89"/>
      <c r="RC53" s="89"/>
      <c r="RD53" s="89"/>
      <c r="RE53" s="89"/>
      <c r="RF53" s="89"/>
      <c r="RG53" s="89"/>
      <c r="RH53" s="89"/>
      <c r="RI53" s="89"/>
      <c r="RJ53" s="89"/>
      <c r="RK53" s="89"/>
      <c r="RL53" s="89"/>
      <c r="RM53" s="89"/>
      <c r="RN53" s="89"/>
      <c r="RO53" s="89"/>
      <c r="RP53" s="89"/>
      <c r="RQ53" s="89"/>
      <c r="RR53" s="89"/>
      <c r="RS53" s="89"/>
      <c r="RT53" s="89"/>
      <c r="RU53" s="89"/>
      <c r="RV53" s="89"/>
      <c r="RW53" s="89"/>
      <c r="RX53" s="89"/>
      <c r="RY53" s="89"/>
      <c r="RZ53" s="89"/>
      <c r="SA53" s="89"/>
    </row>
    <row r="54" spans="1:495" s="87" customFormat="1" x14ac:dyDescent="0.2">
      <c r="A54" s="88"/>
      <c r="B54" s="89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  <c r="DC54" s="89"/>
      <c r="DD54" s="89"/>
      <c r="DE54" s="89"/>
      <c r="DF54" s="89"/>
      <c r="DG54" s="89"/>
      <c r="DH54" s="89"/>
      <c r="DI54" s="89"/>
      <c r="DJ54" s="89"/>
      <c r="DK54" s="89"/>
      <c r="DL54" s="89"/>
      <c r="DM54" s="89"/>
      <c r="DN54" s="89"/>
      <c r="DO54" s="89"/>
      <c r="DP54" s="89"/>
      <c r="DQ54" s="89"/>
      <c r="DR54" s="89"/>
      <c r="DS54" s="89"/>
      <c r="DT54" s="89"/>
      <c r="DU54" s="89"/>
      <c r="DV54" s="89"/>
      <c r="DW54" s="89"/>
      <c r="DX54" s="89"/>
      <c r="DY54" s="89"/>
      <c r="DZ54" s="89"/>
      <c r="EA54" s="89"/>
      <c r="EB54" s="89"/>
      <c r="EC54" s="89"/>
      <c r="ED54" s="89"/>
      <c r="EE54" s="89"/>
      <c r="EF54" s="89"/>
      <c r="EG54" s="89"/>
      <c r="EH54" s="89"/>
      <c r="EI54" s="89"/>
      <c r="EJ54" s="89"/>
      <c r="EK54" s="89"/>
      <c r="EL54" s="89"/>
      <c r="EM54" s="89"/>
      <c r="EN54" s="89"/>
      <c r="EO54" s="89"/>
      <c r="EP54" s="89"/>
      <c r="EQ54" s="89"/>
      <c r="ER54" s="89"/>
      <c r="ES54" s="89"/>
      <c r="ET54" s="89"/>
      <c r="EU54" s="89"/>
      <c r="EV54" s="89"/>
      <c r="EW54" s="89"/>
      <c r="EX54" s="89"/>
      <c r="EY54" s="89"/>
      <c r="EZ54" s="89"/>
      <c r="FA54" s="89"/>
      <c r="FB54" s="89"/>
      <c r="FC54" s="89"/>
      <c r="FD54" s="89"/>
      <c r="FE54" s="89"/>
      <c r="FF54" s="89"/>
      <c r="FG54" s="89"/>
      <c r="FH54" s="89"/>
      <c r="FI54" s="89"/>
      <c r="FJ54" s="89"/>
      <c r="FK54" s="89"/>
      <c r="FL54" s="89"/>
      <c r="FM54" s="89"/>
      <c r="FN54" s="89"/>
      <c r="FO54" s="89"/>
      <c r="FP54" s="89"/>
      <c r="FQ54" s="89"/>
      <c r="FR54" s="89"/>
      <c r="FS54" s="89"/>
      <c r="FT54" s="89"/>
      <c r="FU54" s="89"/>
      <c r="FV54" s="89"/>
      <c r="FW54" s="89"/>
      <c r="FX54" s="89"/>
      <c r="FY54" s="89"/>
      <c r="FZ54" s="89"/>
      <c r="GA54" s="89"/>
      <c r="GB54" s="89"/>
      <c r="GC54" s="89"/>
      <c r="GD54" s="89"/>
      <c r="GE54" s="89"/>
      <c r="GF54" s="89"/>
      <c r="GG54" s="89"/>
      <c r="GH54" s="89"/>
      <c r="GI54" s="89"/>
      <c r="GJ54" s="89"/>
      <c r="GK54" s="89"/>
      <c r="GL54" s="89"/>
      <c r="GM54" s="89"/>
      <c r="GN54" s="89"/>
      <c r="GO54" s="89"/>
      <c r="GP54" s="89"/>
      <c r="GQ54" s="89"/>
      <c r="GR54" s="89"/>
      <c r="GS54" s="89"/>
      <c r="GT54" s="89"/>
      <c r="GU54" s="89"/>
      <c r="GV54" s="89"/>
      <c r="GW54" s="89"/>
      <c r="GX54" s="89"/>
      <c r="GY54" s="89"/>
      <c r="GZ54" s="89"/>
      <c r="HA54" s="89"/>
      <c r="HB54" s="89"/>
      <c r="HC54" s="89"/>
      <c r="HD54" s="89"/>
      <c r="HE54" s="89"/>
      <c r="HF54" s="89"/>
      <c r="HG54" s="89"/>
      <c r="HH54" s="89"/>
      <c r="HI54" s="89"/>
      <c r="HJ54" s="89"/>
      <c r="HK54" s="89"/>
      <c r="HL54" s="89"/>
      <c r="HM54" s="89"/>
      <c r="HN54" s="89"/>
      <c r="HO54" s="89"/>
      <c r="HP54" s="89"/>
      <c r="HQ54" s="89"/>
      <c r="HR54" s="89"/>
      <c r="HS54" s="89"/>
      <c r="HT54" s="89"/>
      <c r="HU54" s="89"/>
      <c r="HV54" s="89"/>
      <c r="HW54" s="89"/>
      <c r="HX54" s="89"/>
      <c r="HY54" s="89"/>
      <c r="HZ54" s="89"/>
      <c r="IA54" s="89"/>
      <c r="IB54" s="89"/>
      <c r="IC54" s="89"/>
      <c r="ID54" s="89"/>
      <c r="IE54" s="89"/>
      <c r="IF54" s="89"/>
      <c r="IG54" s="89"/>
      <c r="IH54" s="89"/>
      <c r="II54" s="89"/>
      <c r="IJ54" s="89"/>
      <c r="IK54" s="89"/>
      <c r="IL54" s="89"/>
      <c r="IM54" s="89"/>
      <c r="IN54" s="89"/>
      <c r="IO54" s="89"/>
      <c r="IP54" s="89"/>
      <c r="IQ54" s="89"/>
      <c r="IR54" s="89"/>
      <c r="IS54" s="89"/>
      <c r="IT54" s="89"/>
      <c r="IU54" s="89"/>
      <c r="IV54" s="89"/>
      <c r="IW54" s="89"/>
      <c r="IX54" s="89"/>
      <c r="IY54" s="89"/>
      <c r="IZ54" s="89"/>
      <c r="JA54" s="89"/>
      <c r="JB54" s="89"/>
      <c r="JC54" s="89"/>
      <c r="JD54" s="89"/>
      <c r="JE54" s="89"/>
      <c r="JF54" s="89"/>
      <c r="JG54" s="89"/>
      <c r="JH54" s="89"/>
      <c r="JI54" s="89"/>
      <c r="JJ54" s="89"/>
      <c r="JK54" s="89"/>
      <c r="JL54" s="89"/>
      <c r="JM54" s="89"/>
      <c r="JN54" s="89"/>
      <c r="JO54" s="89"/>
      <c r="JP54" s="89"/>
      <c r="JQ54" s="89"/>
      <c r="JR54" s="89"/>
      <c r="JS54" s="89"/>
      <c r="JT54" s="89"/>
      <c r="JU54" s="89"/>
      <c r="JV54" s="89"/>
      <c r="JW54" s="89"/>
      <c r="JX54" s="89"/>
      <c r="JY54" s="89"/>
      <c r="JZ54" s="89"/>
      <c r="KA54" s="89"/>
      <c r="KB54" s="89"/>
      <c r="KC54" s="89"/>
      <c r="KD54" s="89"/>
      <c r="KE54" s="89"/>
      <c r="KF54" s="89"/>
      <c r="KG54" s="89"/>
      <c r="KH54" s="89"/>
      <c r="KI54" s="89"/>
      <c r="KJ54" s="89"/>
      <c r="KK54" s="89"/>
      <c r="KL54" s="89"/>
      <c r="KM54" s="89"/>
      <c r="KN54" s="89"/>
      <c r="KO54" s="89"/>
      <c r="KP54" s="89"/>
      <c r="KQ54" s="89"/>
      <c r="KR54" s="89"/>
      <c r="KS54" s="89"/>
      <c r="KT54" s="89"/>
      <c r="KU54" s="89"/>
      <c r="KV54" s="89"/>
      <c r="KW54" s="89"/>
      <c r="KX54" s="89"/>
      <c r="KY54" s="89"/>
      <c r="KZ54" s="89"/>
      <c r="LA54" s="89"/>
      <c r="LB54" s="89"/>
      <c r="LC54" s="89"/>
      <c r="LD54" s="89"/>
      <c r="LE54" s="89"/>
      <c r="LF54" s="89"/>
      <c r="LG54" s="89"/>
      <c r="LH54" s="89"/>
      <c r="LI54" s="89"/>
      <c r="LJ54" s="89"/>
      <c r="LK54" s="89"/>
      <c r="LL54" s="89"/>
      <c r="LM54" s="89"/>
      <c r="LN54" s="89"/>
      <c r="LO54" s="89"/>
      <c r="LP54" s="89"/>
      <c r="LQ54" s="89"/>
      <c r="LR54" s="89"/>
      <c r="LS54" s="89"/>
      <c r="LT54" s="89"/>
      <c r="LU54" s="89"/>
      <c r="LV54" s="89"/>
      <c r="LW54" s="89"/>
      <c r="LX54" s="89"/>
      <c r="LY54" s="89"/>
      <c r="LZ54" s="89"/>
      <c r="MA54" s="89"/>
      <c r="MB54" s="89"/>
      <c r="MC54" s="89"/>
      <c r="MD54" s="89"/>
      <c r="ME54" s="89"/>
      <c r="MF54" s="89"/>
      <c r="MG54" s="89"/>
      <c r="MH54" s="89"/>
      <c r="MI54" s="89"/>
      <c r="MJ54" s="89"/>
      <c r="MK54" s="89"/>
      <c r="ML54" s="89"/>
      <c r="MM54" s="89"/>
      <c r="MN54" s="89"/>
      <c r="MO54" s="89"/>
      <c r="MP54" s="89"/>
      <c r="MQ54" s="89"/>
      <c r="MR54" s="89"/>
      <c r="MS54" s="89"/>
      <c r="MT54" s="89"/>
      <c r="MU54" s="89"/>
      <c r="MV54" s="89"/>
      <c r="MW54" s="89"/>
      <c r="MX54" s="89"/>
      <c r="MY54" s="89"/>
      <c r="MZ54" s="89"/>
      <c r="NA54" s="89"/>
      <c r="NB54" s="89"/>
      <c r="NC54" s="89"/>
      <c r="ND54" s="89"/>
      <c r="NE54" s="89"/>
      <c r="NF54" s="89"/>
      <c r="NG54" s="89"/>
      <c r="NH54" s="89"/>
      <c r="NI54" s="89"/>
      <c r="NJ54" s="89"/>
      <c r="NK54" s="89"/>
      <c r="NL54" s="89"/>
      <c r="NM54" s="89"/>
      <c r="NN54" s="89"/>
      <c r="NO54" s="89"/>
      <c r="NP54" s="89"/>
      <c r="NQ54" s="89"/>
      <c r="NR54" s="89"/>
      <c r="NS54" s="89"/>
      <c r="NT54" s="89"/>
      <c r="NU54" s="89"/>
      <c r="NV54" s="89"/>
      <c r="NW54" s="89"/>
      <c r="NX54" s="89"/>
      <c r="NY54" s="89"/>
      <c r="NZ54" s="89"/>
      <c r="OA54" s="89"/>
      <c r="OB54" s="89"/>
      <c r="OC54" s="89"/>
      <c r="OD54" s="89"/>
      <c r="OE54" s="89"/>
      <c r="OF54" s="89"/>
      <c r="OG54" s="89"/>
      <c r="OH54" s="89"/>
      <c r="OI54" s="89"/>
      <c r="OJ54" s="89"/>
      <c r="OK54" s="89"/>
      <c r="OL54" s="89"/>
      <c r="OM54" s="89"/>
      <c r="ON54" s="89"/>
      <c r="OO54" s="89"/>
      <c r="OP54" s="89"/>
      <c r="OQ54" s="89"/>
      <c r="OR54" s="89"/>
      <c r="OS54" s="89"/>
      <c r="OT54" s="89"/>
      <c r="OU54" s="89"/>
      <c r="OV54" s="89"/>
      <c r="OW54" s="89"/>
      <c r="OX54" s="89"/>
      <c r="OY54" s="89"/>
      <c r="OZ54" s="89"/>
      <c r="PA54" s="89"/>
      <c r="PB54" s="89"/>
      <c r="PC54" s="89"/>
      <c r="PD54" s="89"/>
      <c r="PE54" s="89"/>
      <c r="PF54" s="89"/>
      <c r="PG54" s="89"/>
      <c r="PH54" s="89"/>
      <c r="PI54" s="89"/>
      <c r="PJ54" s="89"/>
      <c r="PK54" s="89"/>
      <c r="PL54" s="89"/>
      <c r="PM54" s="89"/>
      <c r="PN54" s="89"/>
      <c r="PO54" s="89"/>
      <c r="PP54" s="89"/>
      <c r="PQ54" s="89"/>
      <c r="PR54" s="89"/>
      <c r="PS54" s="89"/>
      <c r="PT54" s="89"/>
      <c r="PU54" s="89"/>
      <c r="PV54" s="89"/>
      <c r="PW54" s="89"/>
      <c r="PX54" s="89"/>
      <c r="PY54" s="89"/>
      <c r="PZ54" s="89"/>
      <c r="QA54" s="89"/>
      <c r="QB54" s="89"/>
      <c r="QC54" s="89"/>
      <c r="QD54" s="89"/>
      <c r="QE54" s="89"/>
      <c r="QF54" s="89"/>
      <c r="QG54" s="89"/>
      <c r="QH54" s="89"/>
      <c r="QI54" s="89"/>
      <c r="QJ54" s="89"/>
      <c r="QK54" s="89"/>
      <c r="QL54" s="89"/>
      <c r="QM54" s="89"/>
      <c r="QN54" s="89"/>
      <c r="QO54" s="89"/>
      <c r="QP54" s="89"/>
      <c r="QQ54" s="89"/>
      <c r="QR54" s="89"/>
      <c r="QS54" s="89"/>
      <c r="QT54" s="89"/>
      <c r="QU54" s="89"/>
      <c r="QV54" s="89"/>
      <c r="QW54" s="89"/>
      <c r="QX54" s="89"/>
      <c r="QY54" s="89"/>
      <c r="QZ54" s="89"/>
      <c r="RA54" s="89"/>
      <c r="RB54" s="89"/>
      <c r="RC54" s="89"/>
      <c r="RD54" s="89"/>
      <c r="RE54" s="89"/>
      <c r="RF54" s="89"/>
      <c r="RG54" s="89"/>
      <c r="RH54" s="89"/>
      <c r="RI54" s="89"/>
      <c r="RJ54" s="89"/>
      <c r="RK54" s="89"/>
      <c r="RL54" s="89"/>
      <c r="RM54" s="89"/>
      <c r="RN54" s="89"/>
      <c r="RO54" s="89"/>
      <c r="RP54" s="89"/>
      <c r="RQ54" s="89"/>
      <c r="RR54" s="89"/>
      <c r="RS54" s="89"/>
      <c r="RT54" s="89"/>
      <c r="RU54" s="89"/>
      <c r="RV54" s="89"/>
      <c r="RW54" s="89"/>
      <c r="RX54" s="89"/>
      <c r="RY54" s="89"/>
      <c r="RZ54" s="89"/>
      <c r="SA54" s="89"/>
    </row>
    <row r="55" spans="1:495" s="87" customFormat="1" x14ac:dyDescent="0.2">
      <c r="A55" s="88" t="s">
        <v>1091</v>
      </c>
      <c r="B55" s="89">
        <v>2596276255</v>
      </c>
      <c r="C55" s="89">
        <v>3326739261.3600001</v>
      </c>
      <c r="D55" s="89">
        <v>8449402785.6300001</v>
      </c>
      <c r="E55" s="89">
        <v>16930214064.959999</v>
      </c>
      <c r="F55" s="89">
        <v>12313342019.049999</v>
      </c>
      <c r="G55" s="89">
        <v>2524492668.6100001</v>
      </c>
      <c r="H55" s="89">
        <v>-80564135.060000002</v>
      </c>
      <c r="I55" s="89">
        <v>2547234835.4200001</v>
      </c>
      <c r="J55" s="89">
        <v>1787924042.53</v>
      </c>
      <c r="K55" s="89">
        <v>-333158249.42000002</v>
      </c>
      <c r="L55" s="89">
        <v>-226546742.74000001</v>
      </c>
      <c r="M55" s="89">
        <v>-50144560.119999997</v>
      </c>
      <c r="N55" s="89">
        <v>-130883453.23999999</v>
      </c>
      <c r="O55" s="89">
        <v>7243810616.1999998</v>
      </c>
      <c r="P55" s="89">
        <v>4915152446.3199997</v>
      </c>
      <c r="Q55" s="89">
        <v>97173321.670000106</v>
      </c>
      <c r="R55" s="89">
        <v>-223268326.40000001</v>
      </c>
      <c r="S55" s="89">
        <v>-278561126.76999998</v>
      </c>
      <c r="T55" s="89">
        <v>7481155973.96</v>
      </c>
      <c r="U55" s="89">
        <v>3558176445.0999999</v>
      </c>
      <c r="V55" s="89">
        <v>1918920267.8399999</v>
      </c>
      <c r="W55" s="89">
        <v>-2218154134.9400001</v>
      </c>
      <c r="X55" s="89">
        <v>-1455853031.1099999</v>
      </c>
      <c r="Y55" s="89">
        <v>1000647099.1799999</v>
      </c>
      <c r="Z55" s="89">
        <v>1045334077.33</v>
      </c>
      <c r="AA55" s="89">
        <v>1306296300.6400001</v>
      </c>
      <c r="AB55" s="89">
        <v>974023346.79999995</v>
      </c>
      <c r="AC55" s="89">
        <v>-861641782.60000002</v>
      </c>
      <c r="AD55" s="89">
        <v>29872638.18</v>
      </c>
      <c r="AE55" s="89">
        <v>1768746515.27</v>
      </c>
      <c r="AF55" s="89">
        <v>20453691.760000002</v>
      </c>
      <c r="AG55" s="89">
        <v>-59396599.920000002</v>
      </c>
      <c r="AH55" s="89">
        <v>494472221.63</v>
      </c>
      <c r="AI55" s="89">
        <v>-225058766.96000001</v>
      </c>
      <c r="AJ55" s="89">
        <v>-43603697.229999997</v>
      </c>
      <c r="AK55" s="89">
        <v>-1437459069.6700001</v>
      </c>
      <c r="AL55" s="89">
        <v>-1892140217.3499999</v>
      </c>
      <c r="AM55" s="89">
        <v>115511977.68000001</v>
      </c>
      <c r="AN55" s="89">
        <v>-2173767075.3400002</v>
      </c>
      <c r="AO55" s="89">
        <v>-253709372.87</v>
      </c>
      <c r="AP55" s="89">
        <v>-94677657.870000005</v>
      </c>
      <c r="AQ55" s="89">
        <v>-5443773.9400000097</v>
      </c>
      <c r="AR55" s="89">
        <v>604121221.36000001</v>
      </c>
      <c r="AS55" s="89">
        <v>-397840786.52999997</v>
      </c>
      <c r="AT55" s="89">
        <v>-514371734.27999997</v>
      </c>
      <c r="AU55" s="89">
        <v>1432229296.45</v>
      </c>
      <c r="AV55" s="89">
        <v>-177502455.78</v>
      </c>
      <c r="AW55" s="89">
        <v>2195394130.8699999</v>
      </c>
      <c r="AX55" s="89">
        <v>-1174689254.46</v>
      </c>
      <c r="AY55" s="89">
        <v>268881267.79000002</v>
      </c>
      <c r="AZ55" s="89">
        <v>295584131.63999999</v>
      </c>
      <c r="BA55" s="89">
        <v>-2160702335.5300002</v>
      </c>
      <c r="BB55" s="89">
        <v>-28093531.690000001</v>
      </c>
      <c r="BC55" s="89">
        <v>-171922827.55000001</v>
      </c>
      <c r="BD55" s="89">
        <v>3342207119.5999999</v>
      </c>
      <c r="BE55" s="89">
        <v>3594118329.4000001</v>
      </c>
      <c r="BF55" s="89">
        <v>3119230472.54</v>
      </c>
      <c r="BG55" s="89">
        <v>18059003126.09</v>
      </c>
      <c r="BH55" s="89">
        <v>10731841141.6</v>
      </c>
      <c r="BI55" s="89">
        <v>-3341367248.5</v>
      </c>
      <c r="BJ55" s="89">
        <v>2790118658.2199998</v>
      </c>
      <c r="BK55" s="89">
        <v>-82233155.609999999</v>
      </c>
      <c r="BL55" s="89">
        <v>153372289.28</v>
      </c>
      <c r="BM55" s="89">
        <v>61998288.280000001</v>
      </c>
      <c r="BN55" s="89">
        <v>5374677762.6800003</v>
      </c>
      <c r="BO55" s="89">
        <v>2399205718.6300001</v>
      </c>
      <c r="BP55" s="89">
        <v>1699967976.9400001</v>
      </c>
      <c r="BQ55" s="89">
        <v>859320017.57000005</v>
      </c>
      <c r="BR55" s="89">
        <v>-485225648.89999998</v>
      </c>
      <c r="BS55" s="89">
        <v>59296964.969999999</v>
      </c>
      <c r="BT55" s="89">
        <v>1739581549.9000001</v>
      </c>
      <c r="BU55" s="89">
        <v>676348094.64999998</v>
      </c>
      <c r="BV55" s="89">
        <v>620858619.42999995</v>
      </c>
      <c r="BW55" s="89">
        <v>1476736277.4400001</v>
      </c>
      <c r="BX55" s="89">
        <v>-2176578577.1700001</v>
      </c>
      <c r="BY55" s="89">
        <v>-2505982540.8400002</v>
      </c>
      <c r="BZ55" s="89">
        <v>91455861</v>
      </c>
      <c r="CA55" s="89">
        <v>-29256061.489999998</v>
      </c>
      <c r="CB55" s="89">
        <v>50798563.409999996</v>
      </c>
      <c r="CC55" s="89">
        <v>-2142783348.51</v>
      </c>
      <c r="CD55" s="89">
        <v>1012029410.65</v>
      </c>
      <c r="CE55" s="89">
        <v>11413622.029999999</v>
      </c>
      <c r="CF55" s="89">
        <v>119890237.90000001</v>
      </c>
      <c r="CG55" s="89">
        <v>3859390267.2600002</v>
      </c>
      <c r="CH55" s="89">
        <v>-1644488188.3299999</v>
      </c>
      <c r="CI55" s="89">
        <v>58889147.530000001</v>
      </c>
      <c r="CJ55" s="89">
        <v>1101623612.25</v>
      </c>
      <c r="CK55" s="89">
        <v>398986078.69999999</v>
      </c>
      <c r="CL55" s="89">
        <v>-422408607.55000001</v>
      </c>
      <c r="CM55" s="89">
        <v>-51411001.039999999</v>
      </c>
      <c r="CN55" s="89">
        <v>3198774088.8400002</v>
      </c>
      <c r="CO55" s="89">
        <v>29917626.010000002</v>
      </c>
      <c r="CP55" s="89">
        <v>3074344357.4200001</v>
      </c>
      <c r="CQ55" s="89">
        <v>1375246800.3199999</v>
      </c>
      <c r="CR55" s="89">
        <v>972544795.49000001</v>
      </c>
      <c r="CS55" s="89">
        <v>395602957.14999998</v>
      </c>
      <c r="CT55" s="89">
        <v>59603371.359999999</v>
      </c>
      <c r="CU55" s="89">
        <v>3523340409.3200002</v>
      </c>
      <c r="CV55" s="89">
        <v>1272569932.1099999</v>
      </c>
      <c r="CW55" s="89">
        <v>864651158.30999994</v>
      </c>
      <c r="CX55" s="89">
        <v>1720978358.9000001</v>
      </c>
      <c r="CY55" s="89">
        <v>-114127121.65000001</v>
      </c>
      <c r="CZ55" s="89">
        <v>3522403854.0599999</v>
      </c>
      <c r="DA55" s="89">
        <v>-1426667931.75</v>
      </c>
      <c r="DB55" s="89">
        <v>46591462.630000003</v>
      </c>
      <c r="DC55" s="89">
        <v>1331351292.4400001</v>
      </c>
      <c r="DD55" s="89">
        <v>1986309435.6099999</v>
      </c>
      <c r="DE55" s="89">
        <v>4636724247.9300003</v>
      </c>
      <c r="DF55" s="89">
        <v>3059642969.2399998</v>
      </c>
      <c r="DG55" s="89">
        <v>1386415938.3199999</v>
      </c>
      <c r="DH55" s="89">
        <v>632465277.00999999</v>
      </c>
      <c r="DI55" s="89">
        <v>35452508.689999998</v>
      </c>
      <c r="DJ55" s="89">
        <v>-3826249845.23</v>
      </c>
      <c r="DK55" s="89">
        <v>5308168142.0100002</v>
      </c>
      <c r="DL55" s="89">
        <v>6064256557.9799995</v>
      </c>
      <c r="DM55" s="89">
        <v>10645256557.98</v>
      </c>
      <c r="DN55" s="89">
        <v>341980955.31999999</v>
      </c>
      <c r="DO55" s="89">
        <v>4022776204.5900002</v>
      </c>
      <c r="DP55" s="89">
        <v>-39761353.719999999</v>
      </c>
      <c r="DQ55" s="89">
        <v>-1840142244.74</v>
      </c>
      <c r="DR55" s="89">
        <v>727920252.04999995</v>
      </c>
      <c r="DS55" s="89">
        <v>-615830136.30999994</v>
      </c>
      <c r="DT55" s="89">
        <v>2852519357.7800002</v>
      </c>
      <c r="DU55" s="89">
        <v>993507902.72000003</v>
      </c>
      <c r="DV55" s="89">
        <v>115746456.47</v>
      </c>
      <c r="DW55" s="89">
        <v>-69067605.75</v>
      </c>
      <c r="DX55" s="89">
        <v>182222213.93000001</v>
      </c>
      <c r="DY55" s="89">
        <v>3430684705.52</v>
      </c>
      <c r="DZ55" s="89">
        <v>-1270331113.26</v>
      </c>
      <c r="EA55" s="89">
        <v>494682413.51999998</v>
      </c>
      <c r="EB55" s="89">
        <v>-568503130.85000002</v>
      </c>
      <c r="EC55" s="89">
        <v>599800341.88999999</v>
      </c>
      <c r="ED55" s="89">
        <v>-86786758.450000003</v>
      </c>
      <c r="EE55" s="89">
        <v>-173244302.59999999</v>
      </c>
      <c r="EF55" s="89">
        <v>70989252.269999996</v>
      </c>
      <c r="EG55" s="89">
        <v>163500267.81999999</v>
      </c>
      <c r="EH55" s="89">
        <v>3458065264.8800001</v>
      </c>
      <c r="EI55" s="89">
        <v>1710470112.55</v>
      </c>
      <c r="EJ55" s="89">
        <v>163708094.27000001</v>
      </c>
      <c r="EK55" s="89">
        <v>-2606130376.8800001</v>
      </c>
      <c r="EL55" s="89">
        <v>26920494.960000001</v>
      </c>
      <c r="EM55" s="89">
        <v>2249237498.73</v>
      </c>
      <c r="EN55" s="89">
        <v>2648868755.1199999</v>
      </c>
      <c r="EO55" s="89">
        <v>-806092532.09000003</v>
      </c>
      <c r="EP55" s="89">
        <v>-50612234.630000003</v>
      </c>
      <c r="EQ55" s="89">
        <v>2864485051.0100002</v>
      </c>
      <c r="ER55" s="89">
        <v>-572862332.97000003</v>
      </c>
      <c r="ES55" s="89">
        <v>-1088528110.1099999</v>
      </c>
      <c r="ET55" s="89">
        <v>227150618.27000001</v>
      </c>
      <c r="EU55" s="89">
        <v>158635537.12</v>
      </c>
      <c r="EV55" s="89">
        <v>864253268.64999998</v>
      </c>
      <c r="EW55" s="89">
        <v>513167112.80000001</v>
      </c>
      <c r="EX55" s="89">
        <v>-2038449.02</v>
      </c>
      <c r="EY55" s="89">
        <v>48073140.240000002</v>
      </c>
      <c r="EZ55" s="89">
        <v>1225847869.74</v>
      </c>
      <c r="FA55" s="89">
        <v>1332336745.3</v>
      </c>
      <c r="FB55" s="89">
        <v>1115663419.74</v>
      </c>
      <c r="FC55" s="89">
        <v>-60053275.420000002</v>
      </c>
      <c r="FD55" s="89">
        <v>50080785.890000001</v>
      </c>
      <c r="FE55" s="89">
        <v>324391593.08999997</v>
      </c>
      <c r="FF55" s="89">
        <v>-978029749.50999999</v>
      </c>
      <c r="FG55" s="89">
        <v>1730962638.45</v>
      </c>
      <c r="FH55" s="89">
        <v>-483911017.81</v>
      </c>
      <c r="FI55" s="89">
        <v>-489797770.27999997</v>
      </c>
      <c r="FJ55" s="89">
        <v>169992209.19999999</v>
      </c>
      <c r="FK55" s="89">
        <v>-529472193.88999999</v>
      </c>
      <c r="FL55" s="89">
        <v>-64949864.170000002</v>
      </c>
      <c r="FM55" s="89">
        <v>-89461370.370000005</v>
      </c>
      <c r="FN55" s="89">
        <v>-246623196.94</v>
      </c>
      <c r="FO55" s="89">
        <v>-2515886597.8600001</v>
      </c>
      <c r="FP55" s="89">
        <v>-2365408361.3600001</v>
      </c>
      <c r="FQ55" s="89">
        <v>3187591638.6300001</v>
      </c>
      <c r="FR55" s="89">
        <v>3317080.71</v>
      </c>
      <c r="FS55" s="89">
        <v>1692482714.2</v>
      </c>
      <c r="FT55" s="89">
        <v>2087046900.25</v>
      </c>
      <c r="FU55" s="89">
        <v>1167261015.7</v>
      </c>
      <c r="FV55" s="89">
        <v>1502773599.6600001</v>
      </c>
      <c r="FW55" s="89">
        <v>-90557886.439999998</v>
      </c>
      <c r="FX55" s="89">
        <v>335166010.13</v>
      </c>
      <c r="FY55" s="89">
        <v>155459401.75</v>
      </c>
      <c r="FZ55" s="89">
        <v>-299510236.25999999</v>
      </c>
      <c r="GA55" s="89">
        <v>1294287823.6400001</v>
      </c>
      <c r="GB55" s="89">
        <v>-39450948.590000004</v>
      </c>
      <c r="GC55" s="89">
        <v>38877321.490000002</v>
      </c>
      <c r="GD55" s="89">
        <v>136170210.47</v>
      </c>
      <c r="GE55" s="89">
        <v>774307891.21000004</v>
      </c>
      <c r="GF55" s="89">
        <v>1227102264.4000001</v>
      </c>
      <c r="GG55" s="89">
        <v>3600220384.0100002</v>
      </c>
      <c r="GH55" s="89">
        <v>927495102.10000002</v>
      </c>
      <c r="GI55" s="89">
        <v>241684426.50999999</v>
      </c>
      <c r="GJ55" s="89">
        <v>-725690141.04999995</v>
      </c>
      <c r="GK55" s="89">
        <v>2653888981.0599999</v>
      </c>
      <c r="GL55" s="89">
        <v>8645940661.7600002</v>
      </c>
      <c r="GM55" s="89">
        <v>229957089.55000001</v>
      </c>
      <c r="GN55" s="89">
        <v>193186932.47</v>
      </c>
      <c r="GO55" s="89">
        <v>-572817031.73000002</v>
      </c>
      <c r="GP55" s="89">
        <v>3784429312.5500002</v>
      </c>
      <c r="GQ55" s="89">
        <v>730697239.14999998</v>
      </c>
      <c r="GR55" s="89">
        <v>-84087761.549999997</v>
      </c>
      <c r="GS55" s="89">
        <v>-2824619112.5100002</v>
      </c>
      <c r="GT55" s="89">
        <v>-139156735.44999999</v>
      </c>
      <c r="GU55" s="89">
        <v>-1028971394.34</v>
      </c>
      <c r="GV55" s="89">
        <v>4730002966.6199999</v>
      </c>
      <c r="GW55" s="89">
        <v>680485662.96000004</v>
      </c>
      <c r="GX55" s="89">
        <v>432289589.93000001</v>
      </c>
      <c r="GY55" s="89">
        <v>56573447</v>
      </c>
      <c r="GZ55" s="89">
        <v>241536588.36000001</v>
      </c>
      <c r="HA55" s="89">
        <v>-214458449.19</v>
      </c>
      <c r="HB55" s="89">
        <v>-398993737.25</v>
      </c>
      <c r="HC55" s="89">
        <v>-813056378.05999994</v>
      </c>
      <c r="HD55" s="89">
        <v>42323266.859999999</v>
      </c>
      <c r="HE55" s="89">
        <v>284409754.31</v>
      </c>
      <c r="HF55" s="89">
        <v>5192986979.3599997</v>
      </c>
      <c r="HG55" s="89">
        <v>781648029.57000005</v>
      </c>
      <c r="HH55" s="89">
        <v>204732836.11000001</v>
      </c>
      <c r="HI55" s="89">
        <v>5223283781.75</v>
      </c>
      <c r="HJ55" s="89">
        <v>5397592045.96</v>
      </c>
      <c r="HK55" s="89">
        <v>4187402793.0100002</v>
      </c>
      <c r="HL55" s="89">
        <v>-23661545.969999999</v>
      </c>
      <c r="HM55" s="89">
        <v>2115290617.3099999</v>
      </c>
      <c r="HN55" s="89">
        <v>2900419196.9400001</v>
      </c>
      <c r="HO55" s="89">
        <v>1040540494.4299999</v>
      </c>
      <c r="HP55" s="89">
        <v>1298628034.6700001</v>
      </c>
      <c r="HQ55" s="89">
        <v>-94670012.040000007</v>
      </c>
      <c r="HR55" s="89">
        <v>871871006.21000004</v>
      </c>
      <c r="HS55" s="89">
        <v>-577456790.60000002</v>
      </c>
      <c r="HT55" s="89">
        <v>3615311471.3600001</v>
      </c>
      <c r="HU55" s="89">
        <v>1127190016.4400001</v>
      </c>
      <c r="HV55" s="89">
        <v>79860024.840000004</v>
      </c>
      <c r="HW55" s="89">
        <v>1114116622.6700001</v>
      </c>
      <c r="HX55" s="89">
        <v>3963835640.4200001</v>
      </c>
      <c r="HY55" s="89">
        <v>2788145602.7800002</v>
      </c>
      <c r="HZ55" s="89">
        <v>371507463.23000002</v>
      </c>
      <c r="IA55" s="89">
        <v>-111765029.23999999</v>
      </c>
      <c r="IB55" s="89">
        <v>-821059933.85000002</v>
      </c>
      <c r="IC55" s="89">
        <v>427237857.29000002</v>
      </c>
      <c r="ID55" s="89">
        <v>-3819670238.5300002</v>
      </c>
      <c r="IE55" s="89">
        <v>47602992.529999897</v>
      </c>
      <c r="IF55" s="89">
        <v>54955268.780000001</v>
      </c>
      <c r="IG55" s="89">
        <v>3178788831.46</v>
      </c>
      <c r="IH55" s="89">
        <v>2236975566.6599998</v>
      </c>
      <c r="II55" s="89">
        <v>-67600949.409999996</v>
      </c>
      <c r="IJ55" s="89">
        <v>-1854436750.4200001</v>
      </c>
      <c r="IK55" s="89">
        <v>551861968.25</v>
      </c>
      <c r="IL55" s="89">
        <v>-197695165.65000001</v>
      </c>
      <c r="IM55" s="89">
        <v>-1722210332.04</v>
      </c>
      <c r="IN55" s="89">
        <v>3676942335.3699999</v>
      </c>
      <c r="IO55" s="89">
        <v>2600713190.29</v>
      </c>
      <c r="IP55" s="89">
        <v>1398321838.8800001</v>
      </c>
      <c r="IQ55" s="89">
        <v>1018473260.95</v>
      </c>
      <c r="IR55" s="89">
        <v>699473449.72000003</v>
      </c>
      <c r="IS55" s="89">
        <v>585305255.83000004</v>
      </c>
      <c r="IT55" s="89">
        <v>-105922373.18000001</v>
      </c>
      <c r="IU55" s="89">
        <v>-903504957.05999994</v>
      </c>
      <c r="IV55" s="89">
        <v>72464510.469999999</v>
      </c>
      <c r="IW55" s="89">
        <v>-902878696.88999999</v>
      </c>
      <c r="IX55" s="89">
        <v>-703073112.07000005</v>
      </c>
      <c r="IY55" s="89">
        <v>-346198571.25</v>
      </c>
      <c r="IZ55" s="89">
        <v>-3933144831.2399998</v>
      </c>
      <c r="JA55" s="89">
        <v>983544257.47000003</v>
      </c>
      <c r="JB55" s="89">
        <v>-757236533.01999998</v>
      </c>
      <c r="JC55" s="89">
        <v>859541423.17999995</v>
      </c>
      <c r="JD55" s="89">
        <v>527580180.62</v>
      </c>
      <c r="JE55" s="89">
        <v>14009963.880000001</v>
      </c>
      <c r="JF55" s="89">
        <v>-349058780.36000001</v>
      </c>
      <c r="JG55" s="89">
        <v>807227522.38999999</v>
      </c>
      <c r="JH55" s="89">
        <v>106300217.77</v>
      </c>
      <c r="JI55" s="89">
        <v>1866315822.8800001</v>
      </c>
      <c r="JJ55" s="89">
        <v>1132029372.77</v>
      </c>
      <c r="JK55" s="89">
        <v>2713173131.4699998</v>
      </c>
      <c r="JL55" s="89">
        <v>1267274556.28</v>
      </c>
      <c r="JM55" s="89">
        <v>-122119639.04000001</v>
      </c>
      <c r="JN55" s="89">
        <v>8315226328.21</v>
      </c>
      <c r="JO55" s="89">
        <v>5951565669.7399998</v>
      </c>
      <c r="JP55" s="89">
        <v>-1195037577.0999999</v>
      </c>
      <c r="JQ55" s="89">
        <v>229698404.03999999</v>
      </c>
      <c r="JR55" s="89">
        <v>-64700435.670000002</v>
      </c>
      <c r="JS55" s="89">
        <v>1802841019.3699999</v>
      </c>
      <c r="JT55" s="89">
        <v>979458082.55999994</v>
      </c>
      <c r="JU55" s="89">
        <v>701428488.05999994</v>
      </c>
      <c r="JV55" s="89">
        <v>74316825.870000005</v>
      </c>
      <c r="JW55" s="89">
        <v>97694507.459999993</v>
      </c>
      <c r="JX55" s="89">
        <v>763093640.23000002</v>
      </c>
      <c r="JY55" s="89">
        <v>-118269778.23999999</v>
      </c>
      <c r="JZ55" s="89">
        <v>1137153736.5899999</v>
      </c>
      <c r="KA55" s="89">
        <v>548074975.86000001</v>
      </c>
      <c r="KB55" s="89">
        <v>220869963.53999999</v>
      </c>
      <c r="KC55" s="89">
        <v>418020489.39999998</v>
      </c>
      <c r="KD55" s="89">
        <v>772743933.02999997</v>
      </c>
      <c r="KE55" s="89">
        <v>545804171.29999995</v>
      </c>
      <c r="KF55" s="89">
        <v>371153645.10000002</v>
      </c>
      <c r="KG55" s="89">
        <v>-128083529.72</v>
      </c>
      <c r="KH55" s="89">
        <v>-1034043243.38</v>
      </c>
      <c r="KI55" s="89">
        <v>-80471566.699999899</v>
      </c>
      <c r="KJ55" s="89">
        <v>613676307.84000003</v>
      </c>
      <c r="KK55" s="89">
        <v>675776597.00999999</v>
      </c>
      <c r="KL55" s="89">
        <v>910358681.98000002</v>
      </c>
      <c r="KM55" s="89">
        <v>-1085292398.45</v>
      </c>
      <c r="KN55" s="89">
        <v>-1594630323.49</v>
      </c>
      <c r="KO55" s="89">
        <v>-6586976.6799999904</v>
      </c>
      <c r="KP55" s="89">
        <v>247418675.21000001</v>
      </c>
      <c r="KQ55" s="89">
        <v>2941592700.8600001</v>
      </c>
      <c r="KR55" s="89">
        <v>1487045080.72</v>
      </c>
      <c r="KS55" s="89">
        <v>228570151.93000001</v>
      </c>
      <c r="KT55" s="89">
        <v>159554513.59</v>
      </c>
      <c r="KU55" s="89">
        <v>61107413.600000001</v>
      </c>
      <c r="KV55" s="89">
        <v>-8667209.1699999999</v>
      </c>
      <c r="KW55" s="89">
        <v>-813281047.74000001</v>
      </c>
      <c r="KX55" s="89">
        <v>1892404203.48</v>
      </c>
      <c r="KY55" s="89">
        <v>1739579595.55</v>
      </c>
      <c r="KZ55" s="89">
        <v>8942951956.7999992</v>
      </c>
      <c r="LA55" s="89">
        <v>3910492636.9699998</v>
      </c>
      <c r="LB55" s="89">
        <v>1096715166.6099999</v>
      </c>
      <c r="LC55" s="89">
        <v>-257979373.80000001</v>
      </c>
      <c r="LD55" s="89">
        <v>190644557.88999999</v>
      </c>
      <c r="LE55" s="89">
        <v>259945110.36000001</v>
      </c>
      <c r="LF55" s="89">
        <v>65109957.18</v>
      </c>
      <c r="LG55" s="89">
        <v>325782190.39999998</v>
      </c>
      <c r="LH55" s="89">
        <v>3400894232.5100002</v>
      </c>
      <c r="LI55" s="89">
        <v>-1224058803.1700001</v>
      </c>
      <c r="LJ55" s="89">
        <v>4257838334.6599998</v>
      </c>
      <c r="LK55" s="89">
        <v>-44858547.57</v>
      </c>
      <c r="LL55" s="89">
        <v>371647399.30000001</v>
      </c>
      <c r="LM55" s="89">
        <v>4253316811.0300002</v>
      </c>
      <c r="LN55" s="89">
        <v>1755178047.8</v>
      </c>
      <c r="LO55" s="89">
        <v>398820500.44</v>
      </c>
      <c r="LP55" s="89">
        <v>4585092941.8299999</v>
      </c>
      <c r="LQ55" s="89">
        <v>2324088438.2600002</v>
      </c>
      <c r="LR55" s="89">
        <v>1065581448.46</v>
      </c>
      <c r="LS55" s="89">
        <v>-1230051943.8800001</v>
      </c>
      <c r="LT55" s="89">
        <v>20347844.260000002</v>
      </c>
      <c r="LU55" s="89">
        <v>2156615728.2800002</v>
      </c>
      <c r="LV55" s="89">
        <v>292616287.74000001</v>
      </c>
      <c r="LW55" s="89">
        <v>372792773.95999998</v>
      </c>
      <c r="LX55" s="89">
        <v>1570547613.9300001</v>
      </c>
      <c r="LY55" s="89">
        <v>28949564.91</v>
      </c>
      <c r="LZ55" s="89">
        <v>349712508.50999999</v>
      </c>
      <c r="MA55" s="89">
        <v>7089737904.5299997</v>
      </c>
      <c r="MB55" s="89">
        <v>3882330281.21</v>
      </c>
      <c r="MC55" s="89">
        <v>3462627672.8400002</v>
      </c>
      <c r="MD55" s="89">
        <v>1346243030.0599999</v>
      </c>
      <c r="ME55" s="89">
        <v>1091198213.4200001</v>
      </c>
      <c r="MF55" s="89">
        <v>2865194841.8800001</v>
      </c>
      <c r="MG55" s="89">
        <v>1248286540.6199999</v>
      </c>
      <c r="MH55" s="89">
        <v>447125191.37</v>
      </c>
      <c r="MI55" s="89">
        <v>2585448181.8200002</v>
      </c>
      <c r="MJ55" s="89">
        <v>3828273680.2199998</v>
      </c>
      <c r="MK55" s="89">
        <v>2362699184.5100002</v>
      </c>
      <c r="ML55" s="89">
        <v>165297289.53</v>
      </c>
      <c r="MM55" s="89">
        <v>14078060.17</v>
      </c>
      <c r="MN55" s="89">
        <v>893453157.12</v>
      </c>
      <c r="MO55" s="89">
        <v>2811470141.25</v>
      </c>
      <c r="MP55" s="89">
        <v>2146878084.1400001</v>
      </c>
      <c r="MQ55" s="89">
        <v>359834006.44999999</v>
      </c>
      <c r="MR55" s="89">
        <v>-25615247.34</v>
      </c>
      <c r="MS55" s="89">
        <v>528993266.83999997</v>
      </c>
      <c r="MT55" s="89">
        <v>3271122616.9499998</v>
      </c>
      <c r="MU55" s="89">
        <v>1935899439.26</v>
      </c>
      <c r="MV55" s="89">
        <v>101279475.93000001</v>
      </c>
      <c r="MW55" s="89">
        <v>721484043.90999997</v>
      </c>
      <c r="MX55" s="89">
        <v>242086504.53999999</v>
      </c>
      <c r="MY55" s="89">
        <v>871083858.79999995</v>
      </c>
      <c r="MZ55" s="89">
        <v>276730073.64999998</v>
      </c>
      <c r="NA55" s="89">
        <v>75620780.019999996</v>
      </c>
      <c r="NB55" s="89">
        <v>81332050.540000007</v>
      </c>
      <c r="NC55" s="89">
        <v>1751198496.27</v>
      </c>
      <c r="ND55" s="89">
        <v>1699882753.8299999</v>
      </c>
      <c r="NE55" s="89">
        <v>1165836081.5899999</v>
      </c>
      <c r="NF55" s="89">
        <v>181409176.06999999</v>
      </c>
      <c r="NG55" s="89">
        <v>1474112598.99</v>
      </c>
      <c r="NH55" s="89">
        <v>2651869252.4699998</v>
      </c>
      <c r="NI55" s="89">
        <v>6204076877</v>
      </c>
      <c r="NJ55" s="89">
        <v>4862110348.6199999</v>
      </c>
      <c r="NK55" s="89">
        <v>3488070450.5</v>
      </c>
      <c r="NL55" s="89">
        <v>2377918610.9400001</v>
      </c>
      <c r="NM55" s="89">
        <v>192188744.88999999</v>
      </c>
      <c r="NN55" s="89">
        <v>867803047.51999998</v>
      </c>
      <c r="NO55" s="89">
        <v>675873510.99000001</v>
      </c>
      <c r="NP55" s="89">
        <v>1716597626.5</v>
      </c>
      <c r="NQ55" s="89">
        <v>372018078.27999997</v>
      </c>
      <c r="NR55" s="89">
        <v>1811016379.48</v>
      </c>
      <c r="NS55" s="89">
        <v>690091649.20000005</v>
      </c>
      <c r="NT55" s="89">
        <v>115303419.47</v>
      </c>
      <c r="NU55" s="89">
        <v>-1679641546.72</v>
      </c>
      <c r="NV55" s="89">
        <v>170356137.96000001</v>
      </c>
      <c r="NW55" s="89">
        <v>2582719636.0900002</v>
      </c>
      <c r="NX55" s="89">
        <v>-175163624.25</v>
      </c>
      <c r="NY55" s="89">
        <v>-986687920.39999998</v>
      </c>
      <c r="NZ55" s="89">
        <v>34571487.969999999</v>
      </c>
      <c r="OA55" s="89">
        <v>-62785175.030000001</v>
      </c>
      <c r="OB55" s="89">
        <v>-888782294.98000002</v>
      </c>
      <c r="OC55" s="89">
        <v>556408266.63</v>
      </c>
      <c r="OD55" s="89">
        <v>471597231.63</v>
      </c>
      <c r="OE55" s="89">
        <v>1155847958.3</v>
      </c>
      <c r="OF55" s="89">
        <v>308834576.26999998</v>
      </c>
      <c r="OG55" s="89">
        <v>47274087.079999998</v>
      </c>
      <c r="OH55" s="89">
        <v>772472259.50999999</v>
      </c>
      <c r="OI55" s="89">
        <v>413658921.04000002</v>
      </c>
      <c r="OJ55" s="89">
        <v>570857558.38</v>
      </c>
      <c r="OK55" s="89">
        <v>-897128969.08000004</v>
      </c>
      <c r="OL55" s="89">
        <v>86276115.900000006</v>
      </c>
      <c r="OM55" s="89">
        <v>107411539.8</v>
      </c>
      <c r="ON55" s="89">
        <v>352502941.16000003</v>
      </c>
      <c r="OO55" s="89">
        <v>365215068.61000001</v>
      </c>
      <c r="OP55" s="89">
        <v>344964384.22000003</v>
      </c>
      <c r="OQ55" s="89">
        <v>584022437.65999997</v>
      </c>
      <c r="OR55" s="89">
        <v>576699585.11000001</v>
      </c>
      <c r="OS55" s="89">
        <v>1580554495.24</v>
      </c>
      <c r="OT55" s="89">
        <v>778351876.91999996</v>
      </c>
      <c r="OU55" s="89">
        <v>812489799.70000005</v>
      </c>
      <c r="OV55" s="89">
        <v>187178406.93000001</v>
      </c>
      <c r="OW55" s="89">
        <v>6742323331.1800003</v>
      </c>
      <c r="OX55" s="89">
        <v>3667325365.3299999</v>
      </c>
      <c r="OY55" s="89">
        <v>2197060102.1500001</v>
      </c>
      <c r="OZ55" s="89">
        <v>931545331.59000003</v>
      </c>
      <c r="PA55" s="89">
        <v>1511288370.6700001</v>
      </c>
      <c r="PB55" s="89">
        <v>381820569.5</v>
      </c>
      <c r="PC55" s="89">
        <v>-2176784304.6100001</v>
      </c>
      <c r="PD55" s="89">
        <v>2202387188.1199999</v>
      </c>
      <c r="PE55" s="89">
        <v>1047799506.05</v>
      </c>
      <c r="PF55" s="89">
        <v>151192960.58000001</v>
      </c>
      <c r="PG55" s="89">
        <v>1081197107.1400001</v>
      </c>
      <c r="PH55" s="89">
        <v>-451812580.62</v>
      </c>
      <c r="PI55" s="89">
        <v>2313605158.79</v>
      </c>
      <c r="PJ55" s="89">
        <v>2142929539.4200001</v>
      </c>
      <c r="PK55" s="89">
        <v>2787399734.5900002</v>
      </c>
      <c r="PL55" s="89">
        <v>-492138884.63999999</v>
      </c>
      <c r="PM55" s="89">
        <v>2664576282.6500001</v>
      </c>
      <c r="PN55" s="89">
        <v>2266594669.1199999</v>
      </c>
      <c r="PO55" s="89">
        <v>1811811436.3199999</v>
      </c>
      <c r="PP55" s="89">
        <v>85365656.909999996</v>
      </c>
      <c r="PQ55" s="89">
        <v>156882907.40000001</v>
      </c>
      <c r="PR55" s="89">
        <v>3177159263.6999998</v>
      </c>
      <c r="PS55" s="89">
        <v>3127770051.52</v>
      </c>
      <c r="PT55" s="89">
        <v>3127770051.52</v>
      </c>
      <c r="PU55" s="89">
        <v>6090770051.5200005</v>
      </c>
      <c r="PV55" s="89">
        <v>6090770051.5200005</v>
      </c>
      <c r="PW55" s="89">
        <v>10441770051.52</v>
      </c>
      <c r="PX55" s="89">
        <v>10441770051.52</v>
      </c>
      <c r="PY55" s="89"/>
      <c r="PZ55" s="89"/>
      <c r="QA55" s="89"/>
      <c r="QB55" s="89"/>
      <c r="QC55" s="89"/>
      <c r="QD55" s="89"/>
      <c r="QE55" s="89"/>
      <c r="QF55" s="89"/>
      <c r="QG55" s="89"/>
      <c r="QH55" s="89"/>
      <c r="QI55" s="89"/>
      <c r="QJ55" s="89"/>
      <c r="QK55" s="89"/>
      <c r="QL55" s="89"/>
      <c r="QM55" s="89"/>
      <c r="QN55" s="89"/>
      <c r="QO55" s="89"/>
      <c r="QP55" s="89"/>
      <c r="QQ55" s="89"/>
      <c r="QR55" s="89"/>
      <c r="QS55" s="89"/>
      <c r="QT55" s="89"/>
      <c r="QU55" s="89"/>
      <c r="QV55" s="89"/>
      <c r="QW55" s="89"/>
      <c r="QX55" s="89"/>
      <c r="QY55" s="89"/>
      <c r="QZ55" s="89"/>
      <c r="RA55" s="89"/>
      <c r="RB55" s="89"/>
      <c r="RC55" s="89"/>
      <c r="RD55" s="89"/>
      <c r="RE55" s="89"/>
      <c r="RF55" s="89"/>
      <c r="RG55" s="89"/>
      <c r="RH55" s="89"/>
      <c r="RI55" s="89"/>
      <c r="RJ55" s="89"/>
      <c r="RK55" s="89"/>
      <c r="RL55" s="89"/>
      <c r="RM55" s="89"/>
      <c r="RN55" s="89"/>
      <c r="RO55" s="89"/>
      <c r="RP55" s="89"/>
      <c r="RQ55" s="89"/>
      <c r="RR55" s="89"/>
      <c r="RS55" s="89"/>
      <c r="RT55" s="89"/>
      <c r="RU55" s="89"/>
      <c r="RV55" s="89"/>
      <c r="RW55" s="89"/>
      <c r="RX55" s="89"/>
      <c r="RY55" s="89"/>
      <c r="RZ55" s="89"/>
      <c r="SA55" s="89"/>
    </row>
    <row r="56" spans="1:495" s="87" customFormat="1" ht="13.5" thickBot="1" x14ac:dyDescent="0.25">
      <c r="A56" s="90"/>
    </row>
    <row r="58" spans="1:495" s="91" customFormat="1" x14ac:dyDescent="0.2">
      <c r="A58" s="91" t="s">
        <v>1092</v>
      </c>
      <c r="B58" s="91">
        <f>SUM(C24:C27)-SUM(C38:C39)</f>
        <v>977576788.2299999</v>
      </c>
      <c r="C58" s="91">
        <f>SUM(D24:D27)-SUM(D38:D39)</f>
        <v>-296691099.32999992</v>
      </c>
      <c r="D58" s="91">
        <f>SUM(E24:E27)-SUM(E38:E39)</f>
        <v>17878004732.91</v>
      </c>
      <c r="E58" s="91">
        <f>SUM(F24:F27)-SUM(F38:F39)</f>
        <v>-2888838542.3400002</v>
      </c>
      <c r="F58" s="91">
        <f t="shared" ref="F58:K58" si="12">SUM(G24:G27)-SUM(G38:G39)</f>
        <v>-7101653181.039999</v>
      </c>
      <c r="G58" s="91">
        <f t="shared" si="12"/>
        <v>-1361765848.71</v>
      </c>
      <c r="H58" s="91">
        <f t="shared" si="12"/>
        <v>-1377946918.2800002</v>
      </c>
      <c r="I58" s="91">
        <f t="shared" si="12"/>
        <v>6527043017.7600002</v>
      </c>
      <c r="J58" s="91">
        <f t="shared" si="12"/>
        <v>-1998485048.6700001</v>
      </c>
      <c r="K58" s="91">
        <f t="shared" si="12"/>
        <v>-5864909293.6399994</v>
      </c>
      <c r="L58" s="91">
        <f t="shared" ref="L58:BW58" si="13">SUM(M24:M27)-SUM(M38:M39)</f>
        <v>-716573127.42000008</v>
      </c>
      <c r="M58" s="91">
        <f t="shared" si="13"/>
        <v>-635745779.11999989</v>
      </c>
      <c r="N58" s="91">
        <f t="shared" si="13"/>
        <v>9974355349.3700008</v>
      </c>
      <c r="O58" s="91">
        <f t="shared" si="13"/>
        <v>-2039547943.4199998</v>
      </c>
      <c r="P58" s="91">
        <f t="shared" si="13"/>
        <v>-5992213376.9400005</v>
      </c>
      <c r="Q58" s="91">
        <f t="shared" si="13"/>
        <v>-3031785324.4300003</v>
      </c>
      <c r="R58" s="91">
        <f t="shared" si="13"/>
        <v>-1352188549.3299999</v>
      </c>
      <c r="S58" s="91">
        <f t="shared" si="13"/>
        <v>12312213273.83</v>
      </c>
      <c r="T58" s="91">
        <f t="shared" si="13"/>
        <v>-2631374800.2200003</v>
      </c>
      <c r="U58" s="91">
        <f t="shared" si="13"/>
        <v>-6994136282.5699997</v>
      </c>
      <c r="V58" s="91">
        <f t="shared" si="13"/>
        <v>-931037891.05999994</v>
      </c>
      <c r="W58" s="91">
        <f t="shared" si="13"/>
        <v>-709303586.71000016</v>
      </c>
      <c r="X58" s="91">
        <f t="shared" si="13"/>
        <v>734168033.36000037</v>
      </c>
      <c r="Y58" s="91">
        <f t="shared" si="13"/>
        <v>-114184935.52999997</v>
      </c>
      <c r="Z58" s="91">
        <f t="shared" si="13"/>
        <v>-3080598045.73</v>
      </c>
      <c r="AA58" s="91">
        <f t="shared" si="13"/>
        <v>-676840294.39999998</v>
      </c>
      <c r="AB58" s="91">
        <f t="shared" si="13"/>
        <v>-621653924.43000007</v>
      </c>
      <c r="AC58" s="91">
        <f t="shared" si="13"/>
        <v>3122102335.7099991</v>
      </c>
      <c r="AD58" s="91">
        <f t="shared" si="13"/>
        <v>-881375962.9000001</v>
      </c>
      <c r="AE58" s="91">
        <f t="shared" si="13"/>
        <v>-2317575906.5600004</v>
      </c>
      <c r="AF58" s="91">
        <f t="shared" si="13"/>
        <v>-1177677367.29</v>
      </c>
      <c r="AG58" s="91">
        <f t="shared" si="13"/>
        <v>4672572697.4800005</v>
      </c>
      <c r="AH58" s="91">
        <f t="shared" si="13"/>
        <v>-1364874804.3599999</v>
      </c>
      <c r="AI58" s="91">
        <f t="shared" si="13"/>
        <v>-3604045710.4499998</v>
      </c>
      <c r="AJ58" s="91">
        <f t="shared" si="13"/>
        <v>-1070149824.3199999</v>
      </c>
      <c r="AK58" s="91">
        <f t="shared" si="13"/>
        <v>-1297197721.8099999</v>
      </c>
      <c r="AL58" s="91">
        <f t="shared" si="13"/>
        <v>6163777536.7399998</v>
      </c>
      <c r="AM58" s="91">
        <f t="shared" si="13"/>
        <v>-1877616526.5900002</v>
      </c>
      <c r="AN58" s="91">
        <f t="shared" si="13"/>
        <v>-6966671591.1000004</v>
      </c>
      <c r="AO58" s="91">
        <f t="shared" si="13"/>
        <v>-2489134020.1199999</v>
      </c>
      <c r="AP58" s="91">
        <f t="shared" si="13"/>
        <v>-773855599.03999996</v>
      </c>
      <c r="AQ58" s="91">
        <f t="shared" si="13"/>
        <v>7452947918.7200012</v>
      </c>
      <c r="AR58" s="91">
        <f t="shared" si="13"/>
        <v>-1843734118.3199999</v>
      </c>
      <c r="AS58" s="91">
        <f t="shared" si="13"/>
        <v>-5156131357.6599998</v>
      </c>
      <c r="AT58" s="91">
        <f t="shared" si="13"/>
        <v>2601892259.4400001</v>
      </c>
      <c r="AU58" s="91">
        <f t="shared" si="13"/>
        <v>-1566808285.4199998</v>
      </c>
      <c r="AV58" s="91">
        <f t="shared" si="13"/>
        <v>11466772248.9</v>
      </c>
      <c r="AW58" s="91">
        <f t="shared" si="13"/>
        <v>-2946390838.04</v>
      </c>
      <c r="AX58" s="91">
        <f t="shared" si="13"/>
        <v>-6399473283</v>
      </c>
      <c r="AY58" s="91">
        <f t="shared" si="13"/>
        <v>-1124768977.52</v>
      </c>
      <c r="AZ58" s="91">
        <f t="shared" si="13"/>
        <v>-901373954.06000018</v>
      </c>
      <c r="BA58" s="91">
        <f t="shared" si="13"/>
        <v>-678999856.75999999</v>
      </c>
      <c r="BB58" s="91">
        <f t="shared" si="13"/>
        <v>-440290571.95000005</v>
      </c>
      <c r="BC58" s="91">
        <f t="shared" si="13"/>
        <v>474599608.59000015</v>
      </c>
      <c r="BD58" s="91">
        <f t="shared" si="13"/>
        <v>-1504171701.3299999</v>
      </c>
      <c r="BE58" s="91">
        <f t="shared" si="13"/>
        <v>27163266709.040001</v>
      </c>
      <c r="BF58" s="91">
        <f t="shared" si="13"/>
        <v>17326623666.07</v>
      </c>
      <c r="BG58" s="91">
        <f t="shared" si="13"/>
        <v>-9427270287.1000004</v>
      </c>
      <c r="BH58" s="91">
        <f t="shared" si="13"/>
        <v>-19233037738.209999</v>
      </c>
      <c r="BI58" s="91">
        <f t="shared" si="13"/>
        <v>-2572984257.3099999</v>
      </c>
      <c r="BJ58" s="91">
        <f t="shared" si="13"/>
        <v>-1120917226.01</v>
      </c>
      <c r="BK58" s="91">
        <f t="shared" si="13"/>
        <v>6436464702.5900002</v>
      </c>
      <c r="BL58" s="91">
        <f t="shared" si="13"/>
        <v>-2312738667.98</v>
      </c>
      <c r="BM58" s="91">
        <f t="shared" si="13"/>
        <v>-2686966142.1600008</v>
      </c>
      <c r="BN58" s="91">
        <f t="shared" si="13"/>
        <v>-2075303140.3299999</v>
      </c>
      <c r="BO58" s="91">
        <f t="shared" si="13"/>
        <v>7347403446.8999996</v>
      </c>
      <c r="BP58" s="91">
        <f t="shared" si="13"/>
        <v>-2400826436.6100001</v>
      </c>
      <c r="BQ58" s="91">
        <f t="shared" si="13"/>
        <v>-5879979174.29</v>
      </c>
      <c r="BR58" s="91">
        <f t="shared" si="13"/>
        <v>-637339500</v>
      </c>
      <c r="BS58" s="91">
        <f t="shared" si="13"/>
        <v>71741613.4799999</v>
      </c>
      <c r="BT58" s="91">
        <f t="shared" si="13"/>
        <v>-537442122.74000001</v>
      </c>
      <c r="BU58" s="91">
        <f t="shared" si="13"/>
        <v>-930334704.63999999</v>
      </c>
      <c r="BV58" s="91">
        <f t="shared" si="13"/>
        <v>1308888202.4699998</v>
      </c>
      <c r="BW58" s="91">
        <f t="shared" si="13"/>
        <v>2673898427.9400001</v>
      </c>
      <c r="BX58" s="91">
        <f t="shared" ref="BX58:EI58" si="14">SUM(BY24:BY27)-SUM(BY38:BY39)</f>
        <v>-1888411849.8299999</v>
      </c>
      <c r="BY58" s="91">
        <f t="shared" si="14"/>
        <v>-4949152625.6399994</v>
      </c>
      <c r="BZ58" s="91">
        <f t="shared" si="14"/>
        <v>-1256387476.0500002</v>
      </c>
      <c r="CA58" s="91">
        <f t="shared" si="14"/>
        <v>-1046942131.1899999</v>
      </c>
      <c r="CB58" s="91">
        <f t="shared" si="14"/>
        <v>7078002770.5499992</v>
      </c>
      <c r="CC58" s="91">
        <f t="shared" si="14"/>
        <v>-1794079569.8099999</v>
      </c>
      <c r="CD58" s="91">
        <f t="shared" si="14"/>
        <v>-4248987788.4200001</v>
      </c>
      <c r="CE58" s="91">
        <f t="shared" si="14"/>
        <v>-874634938.54999995</v>
      </c>
      <c r="CF58" s="91">
        <f t="shared" si="14"/>
        <v>4392448129.2000008</v>
      </c>
      <c r="CG58" s="91">
        <f t="shared" si="14"/>
        <v>-1637810429.0599997</v>
      </c>
      <c r="CH58" s="91">
        <f t="shared" si="14"/>
        <v>-3506533217.29</v>
      </c>
      <c r="CI58" s="91">
        <f t="shared" si="14"/>
        <v>-555688628.52999997</v>
      </c>
      <c r="CJ58" s="91">
        <f t="shared" si="14"/>
        <v>3909881679.2899995</v>
      </c>
      <c r="CK58" s="91">
        <f t="shared" si="14"/>
        <v>-1275688463.1300001</v>
      </c>
      <c r="CL58" s="91">
        <f t="shared" si="14"/>
        <v>-4432409090.9799995</v>
      </c>
      <c r="CM58" s="91">
        <f t="shared" si="14"/>
        <v>-817496905.99000001</v>
      </c>
      <c r="CN58" s="91">
        <f t="shared" si="14"/>
        <v>-612086646.21000004</v>
      </c>
      <c r="CO58" s="91">
        <f t="shared" si="14"/>
        <v>6226114164.5900002</v>
      </c>
      <c r="CP58" s="91">
        <f t="shared" si="14"/>
        <v>-1650035857</v>
      </c>
      <c r="CQ58" s="91">
        <f t="shared" si="14"/>
        <v>-4447976500.6099997</v>
      </c>
      <c r="CR58" s="91">
        <f t="shared" si="14"/>
        <v>-1006802213.7400001</v>
      </c>
      <c r="CS58" s="91">
        <f t="shared" si="14"/>
        <v>-735241453.50999999</v>
      </c>
      <c r="CT58" s="91">
        <f t="shared" si="14"/>
        <v>7852771542.6699991</v>
      </c>
      <c r="CU58" s="91">
        <f t="shared" si="14"/>
        <v>-2803795419.29</v>
      </c>
      <c r="CV58" s="91">
        <f t="shared" si="14"/>
        <v>-4702058624.8800001</v>
      </c>
      <c r="CW58" s="91">
        <f t="shared" si="14"/>
        <v>71359313.829999924</v>
      </c>
      <c r="CX58" s="91">
        <f t="shared" si="14"/>
        <v>-1522977983.71</v>
      </c>
      <c r="CY58" s="91">
        <f t="shared" si="14"/>
        <v>4912143436.6999989</v>
      </c>
      <c r="CZ58" s="91">
        <f t="shared" si="14"/>
        <v>-1457112698.1799998</v>
      </c>
      <c r="DA58" s="91">
        <f t="shared" si="14"/>
        <v>-4103966096.7900004</v>
      </c>
      <c r="DB58" s="91">
        <f t="shared" si="14"/>
        <v>-876490403.38999987</v>
      </c>
      <c r="DC58" s="91">
        <f t="shared" si="14"/>
        <v>-645915038.44000006</v>
      </c>
      <c r="DD58" s="91">
        <f t="shared" si="14"/>
        <v>6720587181.8400002</v>
      </c>
      <c r="DE58" s="91">
        <f t="shared" si="14"/>
        <v>-1544895398.73</v>
      </c>
      <c r="DF58" s="91">
        <f t="shared" si="14"/>
        <v>-4460789946.6999998</v>
      </c>
      <c r="DG58" s="91">
        <f t="shared" si="14"/>
        <v>-767593972.98999989</v>
      </c>
      <c r="DH58" s="91">
        <f t="shared" si="14"/>
        <v>-846575842.00999999</v>
      </c>
      <c r="DI58" s="91">
        <f t="shared" si="14"/>
        <v>4226122265.0600004</v>
      </c>
      <c r="DJ58" s="91">
        <f t="shared" si="14"/>
        <v>0</v>
      </c>
      <c r="DK58" s="91">
        <f t="shared" si="14"/>
        <v>-2554995312.3900003</v>
      </c>
      <c r="DL58" s="91">
        <f t="shared" si="14"/>
        <v>-621479790.80999994</v>
      </c>
      <c r="DM58" s="91">
        <f t="shared" si="14"/>
        <v>-825920384.25</v>
      </c>
      <c r="DN58" s="91">
        <f t="shared" si="14"/>
        <v>7988145220.5900011</v>
      </c>
      <c r="DO58" s="91">
        <f t="shared" si="14"/>
        <v>-2478948931.2999997</v>
      </c>
      <c r="DP58" s="91">
        <f t="shared" si="14"/>
        <v>-4036801620.5599999</v>
      </c>
      <c r="DQ58" s="91">
        <f t="shared" si="14"/>
        <v>-970481441.22000015</v>
      </c>
      <c r="DR58" s="91">
        <f t="shared" si="14"/>
        <v>-654938692.6400001</v>
      </c>
      <c r="DS58" s="91">
        <f t="shared" si="14"/>
        <v>3833241541.79</v>
      </c>
      <c r="DT58" s="91">
        <f t="shared" si="14"/>
        <v>-1404355220.79</v>
      </c>
      <c r="DU58" s="91">
        <f t="shared" si="14"/>
        <v>-3008557532.27</v>
      </c>
      <c r="DV58" s="91">
        <f t="shared" si="14"/>
        <v>-820059853.26999998</v>
      </c>
      <c r="DW58" s="91">
        <f t="shared" si="14"/>
        <v>-228487478.30999994</v>
      </c>
      <c r="DX58" s="91">
        <f t="shared" si="14"/>
        <v>8854109984.7000008</v>
      </c>
      <c r="DY58" s="91">
        <f t="shared" si="14"/>
        <v>-2131507973.8700001</v>
      </c>
      <c r="DZ58" s="91">
        <f t="shared" si="14"/>
        <v>-4965244774.0299997</v>
      </c>
      <c r="EA58" s="91">
        <f t="shared" si="14"/>
        <v>-1021605403.0899999</v>
      </c>
      <c r="EB58" s="91">
        <f t="shared" si="14"/>
        <v>1677800911.6300001</v>
      </c>
      <c r="EC58" s="91">
        <f t="shared" si="14"/>
        <v>-923358286.90999985</v>
      </c>
      <c r="ED58" s="91">
        <f t="shared" si="14"/>
        <v>-2149066757.29</v>
      </c>
      <c r="EE58" s="91">
        <f t="shared" si="14"/>
        <v>-901701912.82999992</v>
      </c>
      <c r="EF58" s="91">
        <f t="shared" si="14"/>
        <v>-547718551.03000009</v>
      </c>
      <c r="EG58" s="91">
        <f t="shared" si="14"/>
        <v>5318685369.3099995</v>
      </c>
      <c r="EH58" s="91">
        <f t="shared" si="14"/>
        <v>-1257292887.71</v>
      </c>
      <c r="EI58" s="91">
        <f t="shared" si="14"/>
        <v>-3001411828.8699999</v>
      </c>
      <c r="EJ58" s="91">
        <f t="shared" ref="EJ58:GE58" si="15">SUM(EK24:EK27)-SUM(EK38:EK39)</f>
        <v>-760045536.92000008</v>
      </c>
      <c r="EK58" s="91">
        <f t="shared" si="15"/>
        <v>-731073697.86999989</v>
      </c>
      <c r="EL58" s="91">
        <f t="shared" si="15"/>
        <v>6549550452.170001</v>
      </c>
      <c r="EM58" s="91">
        <f t="shared" si="15"/>
        <v>-3153605773.5700002</v>
      </c>
      <c r="EN58" s="91">
        <f t="shared" si="15"/>
        <v>-999085954.26999986</v>
      </c>
      <c r="EO58" s="91">
        <f t="shared" si="15"/>
        <v>-724187753.66000009</v>
      </c>
      <c r="EP58" s="91">
        <f t="shared" si="15"/>
        <v>4449193544.3800001</v>
      </c>
      <c r="EQ58" s="91">
        <f t="shared" si="15"/>
        <v>-1410261845.6300001</v>
      </c>
      <c r="ER58" s="91">
        <f t="shared" si="15"/>
        <v>-3167374582.8099999</v>
      </c>
      <c r="ES58" s="91">
        <f t="shared" si="15"/>
        <v>-803071724.09000003</v>
      </c>
      <c r="ET58" s="91">
        <f t="shared" si="15"/>
        <v>-460470459.89999998</v>
      </c>
      <c r="EU58" s="91">
        <f t="shared" si="15"/>
        <v>1211963855.8999999</v>
      </c>
      <c r="EV58" s="91">
        <f t="shared" si="15"/>
        <v>-864332189.92000008</v>
      </c>
      <c r="EW58" s="91">
        <f t="shared" si="15"/>
        <v>-2058363146.71</v>
      </c>
      <c r="EX58" s="91">
        <f t="shared" si="15"/>
        <v>-397445943.77000004</v>
      </c>
      <c r="EY58" s="91">
        <f t="shared" si="15"/>
        <v>2433327379.1699996</v>
      </c>
      <c r="EZ58" s="91">
        <f t="shared" si="15"/>
        <v>-571294092.34000003</v>
      </c>
      <c r="FA58" s="91">
        <f t="shared" si="15"/>
        <v>-1466800504.6099999</v>
      </c>
      <c r="FB58" s="91">
        <f t="shared" si="15"/>
        <v>516142984.84000003</v>
      </c>
      <c r="FC58" s="91">
        <f t="shared" si="15"/>
        <v>-591508221.25</v>
      </c>
      <c r="FD58" s="91">
        <f t="shared" si="15"/>
        <v>3917167004.8000002</v>
      </c>
      <c r="FE58" s="91">
        <f t="shared" si="15"/>
        <v>-1453357270.8</v>
      </c>
      <c r="FF58" s="91">
        <f t="shared" si="15"/>
        <v>-2396024889.8099999</v>
      </c>
      <c r="FG58" s="91">
        <f t="shared" si="15"/>
        <v>-588593493.3599999</v>
      </c>
      <c r="FH58" s="91">
        <f t="shared" si="15"/>
        <v>-340110573.63000011</v>
      </c>
      <c r="FI58" s="91">
        <f t="shared" si="15"/>
        <v>3526387874.1900005</v>
      </c>
      <c r="FJ58" s="91">
        <f t="shared" si="15"/>
        <v>-774284053.19000018</v>
      </c>
      <c r="FK58" s="91">
        <f t="shared" si="15"/>
        <v>-2054912630.54</v>
      </c>
      <c r="FL58" s="91">
        <f t="shared" si="15"/>
        <v>-148098161.20000005</v>
      </c>
      <c r="FM58" s="91">
        <f t="shared" si="15"/>
        <v>-503924938.54999995</v>
      </c>
      <c r="FN58" s="91">
        <f t="shared" si="15"/>
        <v>41682304.790000021</v>
      </c>
      <c r="FO58" s="91">
        <f t="shared" si="15"/>
        <v>-1392865116.6799998</v>
      </c>
      <c r="FP58" s="91">
        <f t="shared" si="15"/>
        <v>-1716104399.9200001</v>
      </c>
      <c r="FQ58" s="91">
        <f t="shared" si="15"/>
        <v>-530410352.91000003</v>
      </c>
      <c r="FR58" s="91">
        <f t="shared" si="15"/>
        <v>-222736625.44000006</v>
      </c>
      <c r="FS58" s="91">
        <f t="shared" si="15"/>
        <v>2687099432.54</v>
      </c>
      <c r="FT58" s="91">
        <f t="shared" si="15"/>
        <v>-831284026.37</v>
      </c>
      <c r="FU58" s="91">
        <f t="shared" si="15"/>
        <v>-1229467170.7800002</v>
      </c>
      <c r="FV58" s="91">
        <f t="shared" si="15"/>
        <v>-567607502.92999995</v>
      </c>
      <c r="FW58" s="91">
        <f t="shared" si="15"/>
        <v>2234546597.6800003</v>
      </c>
      <c r="FX58" s="91">
        <f t="shared" si="15"/>
        <v>-545922707.70000005</v>
      </c>
      <c r="FY58" s="91">
        <f t="shared" si="15"/>
        <v>211106610.50999999</v>
      </c>
      <c r="FZ58" s="91">
        <f t="shared" si="15"/>
        <v>-1445971351.8299999</v>
      </c>
      <c r="GA58" s="91">
        <f t="shared" si="15"/>
        <v>-688884105.33999991</v>
      </c>
      <c r="GB58" s="91">
        <f t="shared" si="15"/>
        <v>-467878923.94000006</v>
      </c>
      <c r="GC58" s="91">
        <f t="shared" si="15"/>
        <v>1856158218.0900002</v>
      </c>
      <c r="GD58" s="91">
        <f t="shared" si="15"/>
        <v>-649308669.24000001</v>
      </c>
      <c r="GE58" s="91">
        <f t="shared" si="15"/>
        <v>-939485661.3599999</v>
      </c>
      <c r="GF58" s="91">
        <f t="shared" ref="GF58:GK58" si="16">SUM(GG24:GG27)-SUM(GG38:GG39)</f>
        <v>-430360257.49000001</v>
      </c>
      <c r="GG58" s="91">
        <f t="shared" si="16"/>
        <v>-393979964.23000002</v>
      </c>
      <c r="GH58" s="91">
        <f t="shared" si="16"/>
        <v>-617247887.40999997</v>
      </c>
      <c r="GI58" s="91">
        <f t="shared" si="16"/>
        <v>-86629991.979999959</v>
      </c>
      <c r="GJ58" s="91">
        <f t="shared" si="16"/>
        <v>-819008083.35000014</v>
      </c>
      <c r="GK58" s="91">
        <f t="shared" si="16"/>
        <v>9360364777.3500004</v>
      </c>
      <c r="GL58" s="91">
        <f t="shared" ref="GL58:GW58" si="17">SUM(GM24:GM27)-SUM(GM38:GM39)</f>
        <v>-2678565723.5599999</v>
      </c>
      <c r="GM58" s="91">
        <f t="shared" si="17"/>
        <v>-1191351129.23</v>
      </c>
      <c r="GN58" s="91">
        <f t="shared" si="17"/>
        <v>-2266794012.1399999</v>
      </c>
      <c r="GO58" s="91">
        <f t="shared" si="17"/>
        <v>-687771817.33999991</v>
      </c>
      <c r="GP58" s="91">
        <f t="shared" si="17"/>
        <v>-314018212.13</v>
      </c>
      <c r="GQ58" s="91">
        <f t="shared" si="17"/>
        <v>3420954005.3700008</v>
      </c>
      <c r="GR58" s="91">
        <f t="shared" si="17"/>
        <v>-1256559263.49</v>
      </c>
      <c r="GS58" s="91">
        <f t="shared" si="17"/>
        <v>-2083978332.0099998</v>
      </c>
      <c r="GT58" s="91">
        <f t="shared" si="17"/>
        <v>-452462843.97000003</v>
      </c>
      <c r="GU58" s="91">
        <f t="shared" si="17"/>
        <v>6987201401.6999989</v>
      </c>
      <c r="GV58" s="91">
        <f t="shared" si="17"/>
        <v>-2802711487</v>
      </c>
      <c r="GW58" s="91">
        <f t="shared" si="17"/>
        <v>-1449698854.1900001</v>
      </c>
      <c r="GX58" s="91">
        <f t="shared" ref="GX58:HC58" si="18">SUM(GY24:GY27)-SUM(GY38:GY39)</f>
        <v>-835243055.18999982</v>
      </c>
      <c r="GY58" s="91">
        <f t="shared" si="18"/>
        <v>3902689452.8600001</v>
      </c>
      <c r="GZ58" s="91">
        <f t="shared" si="18"/>
        <v>-1557709767.4299998</v>
      </c>
      <c r="HA58" s="91">
        <f t="shared" si="18"/>
        <v>-3775512926.4000006</v>
      </c>
      <c r="HB58" s="91">
        <f t="shared" si="18"/>
        <v>-394846349.09999996</v>
      </c>
      <c r="HC58" s="91">
        <f t="shared" si="18"/>
        <v>-443533504.06</v>
      </c>
      <c r="HD58" s="91">
        <f t="shared" ref="HD58:HI58" si="19">SUM(HE24:HE27)-SUM(HE38:HE39)</f>
        <v>2247254345.96</v>
      </c>
      <c r="HE58" s="91">
        <f t="shared" si="19"/>
        <v>-1118077681.03</v>
      </c>
      <c r="HF58" s="91">
        <f t="shared" si="19"/>
        <v>-2304717747.5800004</v>
      </c>
      <c r="HG58" s="91">
        <f t="shared" si="19"/>
        <v>-631260078.88</v>
      </c>
      <c r="HH58" s="91">
        <f t="shared" si="19"/>
        <v>6178210993.5600004</v>
      </c>
      <c r="HI58" s="91">
        <f t="shared" si="19"/>
        <v>2060736799.6799998</v>
      </c>
      <c r="HJ58" s="91">
        <f t="shared" ref="HJ58:HO58" si="20">SUM(HK24:HK27)-SUM(HK38:HK39)</f>
        <v>-1219932814.76</v>
      </c>
      <c r="HK58" s="91">
        <f t="shared" si="20"/>
        <v>226378039.21000001</v>
      </c>
      <c r="HL58" s="91">
        <f t="shared" si="20"/>
        <v>-1137544635.8000002</v>
      </c>
      <c r="HM58" s="91">
        <f t="shared" si="20"/>
        <v>4286873556.04</v>
      </c>
      <c r="HN58" s="91">
        <f t="shared" si="20"/>
        <v>-1931161374.77</v>
      </c>
      <c r="HO58" s="91">
        <f t="shared" si="20"/>
        <v>-914355427.38</v>
      </c>
      <c r="HP58" s="91">
        <f t="shared" ref="HP58:HU58" si="21">SUM(HQ24:HQ27)-SUM(HQ38:HQ39)</f>
        <v>-2317684033.98</v>
      </c>
      <c r="HQ58" s="91">
        <f t="shared" si="21"/>
        <v>-131975894.24000001</v>
      </c>
      <c r="HR58" s="91">
        <f t="shared" si="21"/>
        <v>-1242685191.03</v>
      </c>
      <c r="HS58" s="91">
        <f t="shared" si="21"/>
        <v>7251030638.6800003</v>
      </c>
      <c r="HT58" s="91">
        <f t="shared" si="21"/>
        <v>-3170651354.1599998</v>
      </c>
      <c r="HU58" s="91">
        <f t="shared" si="21"/>
        <v>-3066739087.6799998</v>
      </c>
      <c r="HV58" s="91">
        <f t="shared" ref="HV58:IA58" si="22">SUM(HW24:HW27)-SUM(HW38:HW39)</f>
        <v>-948898660.66000009</v>
      </c>
      <c r="HW58" s="91">
        <f t="shared" si="22"/>
        <v>6332155732.9599991</v>
      </c>
      <c r="HX58" s="91">
        <f t="shared" si="22"/>
        <v>-1073177740.8299999</v>
      </c>
      <c r="HY58" s="91">
        <f t="shared" si="22"/>
        <v>-4430695834.8700008</v>
      </c>
      <c r="HZ58" s="91">
        <f t="shared" si="22"/>
        <v>-808012219.30999994</v>
      </c>
      <c r="IA58" s="91">
        <f t="shared" si="22"/>
        <v>41682304.790000021</v>
      </c>
      <c r="IB58" s="91">
        <f t="shared" ref="IB58:IG58" si="23">SUM(IC24:IC27)-SUM(IC38:IC39)</f>
        <v>0</v>
      </c>
      <c r="IC58" s="91">
        <f t="shared" si="23"/>
        <v>-2020443384.0500002</v>
      </c>
      <c r="ID58" s="91">
        <f t="shared" si="23"/>
        <v>-646053749.5999999</v>
      </c>
      <c r="IE58" s="91">
        <f t="shared" si="23"/>
        <v>-467023065.03000009</v>
      </c>
      <c r="IF58" s="91">
        <f t="shared" si="23"/>
        <v>8196886605.4099989</v>
      </c>
      <c r="IG58" s="91">
        <f t="shared" si="23"/>
        <v>-681190899.76000023</v>
      </c>
      <c r="IH58" s="91">
        <f t="shared" ref="IH58:IM58" si="24">SUM(II24:II27)-SUM(II38:II39)</f>
        <v>-1757755998.2100003</v>
      </c>
      <c r="II58" s="91">
        <f t="shared" si="24"/>
        <v>-715823897.47000015</v>
      </c>
      <c r="IJ58" s="91">
        <f t="shared" si="24"/>
        <v>-32842710.019999981</v>
      </c>
      <c r="IK58" s="91">
        <f t="shared" si="24"/>
        <v>186197721.73000002</v>
      </c>
      <c r="IL58" s="91">
        <f t="shared" si="24"/>
        <v>-12073387.050000072</v>
      </c>
      <c r="IM58" s="91">
        <f t="shared" si="24"/>
        <v>-135871562.49000007</v>
      </c>
      <c r="IN58" s="91">
        <f t="shared" ref="IN58:IS58" si="25">SUM(IO24:IO27)-SUM(IO38:IO39)</f>
        <v>3711639574.0100007</v>
      </c>
      <c r="IO58" s="91">
        <f t="shared" si="25"/>
        <v>-1132290854.29</v>
      </c>
      <c r="IP58" s="91">
        <f t="shared" si="25"/>
        <v>-1858034187.4400003</v>
      </c>
      <c r="IQ58" s="91">
        <f t="shared" si="25"/>
        <v>-271320322.38999999</v>
      </c>
      <c r="IR58" s="91">
        <f t="shared" si="25"/>
        <v>-440494097.73999995</v>
      </c>
      <c r="IS58" s="91">
        <f t="shared" si="25"/>
        <v>2165521318.3100004</v>
      </c>
      <c r="IT58" s="91">
        <f t="shared" ref="IT58:IY58" si="26">SUM(IU24:IU27)-SUM(IU38:IU39)</f>
        <v>-743726187.97999978</v>
      </c>
      <c r="IU58" s="91">
        <f t="shared" si="26"/>
        <v>-1497420206.03</v>
      </c>
      <c r="IV58" s="91">
        <f t="shared" si="26"/>
        <v>-253090829.21999979</v>
      </c>
      <c r="IW58" s="91">
        <f t="shared" si="26"/>
        <v>-657060291.13999987</v>
      </c>
      <c r="IX58" s="91">
        <f t="shared" si="26"/>
        <v>3149288358.1000004</v>
      </c>
      <c r="IY58" s="91">
        <f t="shared" si="26"/>
        <v>-1265923928.9399998</v>
      </c>
      <c r="IZ58" s="91">
        <f t="shared" ref="IZ58:JE58" si="27">SUM(JA24:JA27)-SUM(JA38:JA39)</f>
        <v>-3305666613.2500005</v>
      </c>
      <c r="JA58" s="91">
        <f t="shared" si="27"/>
        <v>-841658909.25000012</v>
      </c>
      <c r="JB58" s="91">
        <f t="shared" si="27"/>
        <v>-594923414.85000002</v>
      </c>
      <c r="JC58" s="91">
        <f t="shared" si="27"/>
        <v>772507982.80999994</v>
      </c>
      <c r="JD58" s="91">
        <f t="shared" si="27"/>
        <v>-556888457.56999993</v>
      </c>
      <c r="JE58" s="91">
        <f t="shared" si="27"/>
        <v>-1563668605.49</v>
      </c>
      <c r="JF58" s="91">
        <f t="shared" ref="JF58:JK58" si="28">SUM(JG24:JG27)-SUM(JG38:JG39)</f>
        <v>-668758205.06000018</v>
      </c>
      <c r="JG58" s="91">
        <f t="shared" si="28"/>
        <v>-717321479.77999997</v>
      </c>
      <c r="JH58" s="91">
        <f t="shared" si="28"/>
        <v>1654319296.0599999</v>
      </c>
      <c r="JI58" s="91">
        <f t="shared" si="28"/>
        <v>0</v>
      </c>
      <c r="JJ58" s="91">
        <f t="shared" si="28"/>
        <v>-1801289187.1700001</v>
      </c>
      <c r="JK58" s="91">
        <f t="shared" si="28"/>
        <v>-698667640.80000007</v>
      </c>
      <c r="JL58" s="91">
        <f t="shared" ref="JL58:JQ58" si="29">SUM(JM24:JM27)-SUM(JM38:JM39)</f>
        <v>-464988109.17000002</v>
      </c>
      <c r="JM58" s="91">
        <f t="shared" si="29"/>
        <v>10500728777.780001</v>
      </c>
      <c r="JN58" s="91">
        <f t="shared" si="29"/>
        <v>-2378464028.25</v>
      </c>
      <c r="JO58" s="91">
        <f t="shared" si="29"/>
        <v>-3387437829.5699997</v>
      </c>
      <c r="JP58" s="91">
        <f t="shared" si="29"/>
        <v>-917857590.30000007</v>
      </c>
      <c r="JQ58" s="91">
        <f t="shared" si="29"/>
        <v>-720223333.37</v>
      </c>
      <c r="JR58" s="91">
        <f t="shared" ref="JR58:JX58" si="30">SUM(JS24:JS27)-SUM(JS38:JS39)</f>
        <v>3762684551.3600001</v>
      </c>
      <c r="JS58" s="91">
        <f t="shared" si="30"/>
        <v>-849710014.30999994</v>
      </c>
      <c r="JT58" s="91">
        <f t="shared" si="30"/>
        <v>-2186003461.79</v>
      </c>
      <c r="JU58" s="91">
        <f t="shared" si="30"/>
        <v>-917231353.29000008</v>
      </c>
      <c r="JV58" s="91">
        <f t="shared" si="30"/>
        <v>-729948390.32000005</v>
      </c>
      <c r="JW58" s="91">
        <f t="shared" si="30"/>
        <v>1904036898.96</v>
      </c>
      <c r="JX58" s="91">
        <f t="shared" si="30"/>
        <v>-815164724.81000006</v>
      </c>
      <c r="JY58" s="91">
        <f t="shared" ref="JY58:KD58" si="31">SUM(JZ24:JZ27)-SUM(JZ38:JZ39)</f>
        <v>-1532479940.8499999</v>
      </c>
      <c r="JZ58" s="91">
        <f t="shared" si="31"/>
        <v>-593601216.79000008</v>
      </c>
      <c r="KA58" s="91">
        <f t="shared" si="31"/>
        <v>-499106749.25999999</v>
      </c>
      <c r="KB58" s="91">
        <f t="shared" si="31"/>
        <v>2284899029.3400002</v>
      </c>
      <c r="KC58" s="91">
        <f t="shared" si="31"/>
        <v>-1256513963.6799998</v>
      </c>
      <c r="KD58" s="91">
        <f t="shared" si="31"/>
        <v>-800804591.91000009</v>
      </c>
      <c r="KE58" s="91">
        <f t="shared" ref="KE58:KJ58" si="32">SUM(KF24:KF27)-SUM(KF38:KF39)</f>
        <v>-551794328.47000003</v>
      </c>
      <c r="KF58" s="91">
        <f t="shared" si="32"/>
        <v>906021425.6400001</v>
      </c>
      <c r="KG58" s="91">
        <f t="shared" si="32"/>
        <v>-591541434.04999995</v>
      </c>
      <c r="KH58" s="91">
        <f t="shared" si="32"/>
        <v>-865426721.74000013</v>
      </c>
      <c r="KI58" s="91">
        <f t="shared" si="32"/>
        <v>-658449782.52999997</v>
      </c>
      <c r="KJ58" s="91">
        <f t="shared" si="32"/>
        <v>-104758619.80000001</v>
      </c>
      <c r="KK58" s="91">
        <f t="shared" ref="KK58:KP58" si="33">SUM(KL24:KL27)-SUM(KL38:KL39)</f>
        <v>4805692684.2399998</v>
      </c>
      <c r="KL58" s="91">
        <f t="shared" si="33"/>
        <v>-819271410.07999992</v>
      </c>
      <c r="KM58" s="91">
        <f t="shared" si="33"/>
        <v>-1899616194.1800001</v>
      </c>
      <c r="KN58" s="91">
        <f t="shared" si="33"/>
        <v>-720411213.53999996</v>
      </c>
      <c r="KO58" s="91">
        <f t="shared" si="33"/>
        <v>-790211574.44999993</v>
      </c>
      <c r="KP58" s="91">
        <f t="shared" si="33"/>
        <v>4799745786.8900003</v>
      </c>
      <c r="KQ58" s="91">
        <f t="shared" ref="KQ58:KV58" si="34">SUM(KR24:KR27)-SUM(KR38:KR39)</f>
        <v>-1524227760.73</v>
      </c>
      <c r="KR58" s="91">
        <f t="shared" si="34"/>
        <v>-2410213402.75</v>
      </c>
      <c r="KS58" s="91">
        <f t="shared" si="34"/>
        <v>-691101608.29999995</v>
      </c>
      <c r="KT58" s="91">
        <f t="shared" si="34"/>
        <v>-669901366.82000005</v>
      </c>
      <c r="KU58" s="91">
        <f t="shared" si="34"/>
        <v>-416558318.47000003</v>
      </c>
      <c r="KV58" s="91">
        <f t="shared" si="34"/>
        <v>-344868642.23000002</v>
      </c>
      <c r="KW58" s="91">
        <f t="shared" ref="KW58:LC58" si="35">SUM(KX24:KX27)-SUM(KX38:KX39)</f>
        <v>-719286167.43000007</v>
      </c>
      <c r="KX58" s="91">
        <f t="shared" si="35"/>
        <v>-468625362.83999997</v>
      </c>
      <c r="KY58" s="91">
        <f t="shared" si="35"/>
        <v>11206008729.939999</v>
      </c>
      <c r="KZ58" s="91">
        <f t="shared" si="35"/>
        <v>-2500072025.46</v>
      </c>
      <c r="LA58" s="91">
        <f t="shared" si="35"/>
        <v>-4453790419.6500006</v>
      </c>
      <c r="LB58" s="91">
        <f t="shared" si="35"/>
        <v>-534656057.33999997</v>
      </c>
      <c r="LC58" s="91">
        <f t="shared" si="35"/>
        <v>-426174339.46999997</v>
      </c>
      <c r="LD58" s="91">
        <f t="shared" ref="LD58:LI58" si="36">SUM(LE24:LE27)-SUM(LE38:LE39)</f>
        <v>-535254144.03999996</v>
      </c>
      <c r="LE58" s="91">
        <f t="shared" si="36"/>
        <v>-529233036.58000004</v>
      </c>
      <c r="LF58" s="91">
        <f t="shared" si="36"/>
        <v>-378370559.78000009</v>
      </c>
      <c r="LG58" s="91">
        <f t="shared" si="36"/>
        <v>3085549008.6299996</v>
      </c>
      <c r="LH58" s="91">
        <f t="shared" si="36"/>
        <v>-796531873.27999997</v>
      </c>
      <c r="LI58" s="91">
        <f t="shared" si="36"/>
        <v>-1774777963.29</v>
      </c>
      <c r="LJ58" s="91">
        <f t="shared" ref="LJ58:LO58" si="37">SUM(LK24:LK27)-SUM(LK38:LK39)</f>
        <v>-964374014.31999993</v>
      </c>
      <c r="LK58" s="91">
        <f t="shared" si="37"/>
        <v>-560715660.48000002</v>
      </c>
      <c r="LL58" s="91">
        <f t="shared" si="37"/>
        <v>8723055960.289999</v>
      </c>
      <c r="LM58" s="91">
        <f t="shared" si="37"/>
        <v>-2009524444.5100002</v>
      </c>
      <c r="LN58" s="91">
        <f t="shared" si="37"/>
        <v>-3345617710.8299999</v>
      </c>
      <c r="LO58" s="91">
        <f t="shared" si="37"/>
        <v>4157874941.6399994</v>
      </c>
      <c r="LP58" s="91">
        <f t="shared" ref="LP58:LU58" si="38">SUM(LQ24:LQ27)-SUM(LQ38:LQ39)</f>
        <v>-1264768450.1300001</v>
      </c>
      <c r="LQ58" s="91">
        <f t="shared" si="38"/>
        <v>-1185877838.1999998</v>
      </c>
      <c r="LR58" s="91">
        <f t="shared" si="38"/>
        <v>-1711978872.9900002</v>
      </c>
      <c r="LS58" s="91">
        <f t="shared" si="38"/>
        <v>-906525070.59000015</v>
      </c>
      <c r="LT58" s="91">
        <f t="shared" si="38"/>
        <v>4917249644.5799999</v>
      </c>
      <c r="LU58" s="91">
        <f t="shared" si="38"/>
        <v>-1880327535.4499998</v>
      </c>
      <c r="LV58" s="91">
        <f t="shared" ref="LV58:MA58" si="39">SUM(LW24:LW27)-SUM(LW38:LW39)</f>
        <v>-828980044.5999999</v>
      </c>
      <c r="LW58" s="91">
        <f t="shared" si="39"/>
        <v>-2574956505.6800003</v>
      </c>
      <c r="LX58" s="91">
        <f t="shared" si="39"/>
        <v>-508270705.88999999</v>
      </c>
      <c r="LY58" s="91">
        <f t="shared" si="39"/>
        <v>-471518188.29000002</v>
      </c>
      <c r="LZ58" s="91">
        <f t="shared" si="39"/>
        <v>9680720447.3699989</v>
      </c>
      <c r="MA58" s="91">
        <f t="shared" si="39"/>
        <v>-2049063530.3099999</v>
      </c>
      <c r="MB58" s="91">
        <f t="shared" ref="MB58:MG58" si="40">SUM(MC24:MC27)-SUM(MC38:MC39)</f>
        <v>-3583146301.3299994</v>
      </c>
      <c r="MC58" s="91">
        <f t="shared" si="40"/>
        <v>-944070874.00999999</v>
      </c>
      <c r="MD58" s="91">
        <f t="shared" si="40"/>
        <v>-967955484.12</v>
      </c>
      <c r="ME58" s="91">
        <f t="shared" si="40"/>
        <v>2944544231.1100001</v>
      </c>
      <c r="MF58" s="91">
        <f t="shared" si="40"/>
        <v>-1566498731.3599999</v>
      </c>
      <c r="MG58" s="91">
        <f t="shared" si="40"/>
        <v>-3614687464.8899999</v>
      </c>
      <c r="MH58" s="91">
        <f t="shared" ref="MH58:MM58" si="41">SUM(MI24:MI27)-SUM(MI38:MI39)</f>
        <v>2222518779.6499996</v>
      </c>
      <c r="MI58" s="91">
        <f t="shared" si="41"/>
        <v>1266459538.3999999</v>
      </c>
      <c r="MJ58" s="91">
        <f t="shared" si="41"/>
        <v>-1522108408.3200002</v>
      </c>
      <c r="MK58" s="91">
        <f t="shared" si="41"/>
        <v>-3722234782.5</v>
      </c>
      <c r="ML58" s="91">
        <f t="shared" si="41"/>
        <v>-583040702.38</v>
      </c>
      <c r="MM58" s="91">
        <f t="shared" si="41"/>
        <v>-541701324.55999994</v>
      </c>
      <c r="MN58" s="91">
        <f t="shared" ref="MN58:MT58" si="42">SUM(MO24:MO27)-SUM(MO38:MO39)</f>
        <v>2521787822.8800001</v>
      </c>
      <c r="MO58" s="91">
        <f t="shared" si="42"/>
        <v>-694636765.88000011</v>
      </c>
      <c r="MP58" s="91">
        <f t="shared" si="42"/>
        <v>-2480671023</v>
      </c>
      <c r="MQ58" s="91">
        <f t="shared" si="42"/>
        <v>-339818856.63</v>
      </c>
      <c r="MR58" s="91">
        <f t="shared" si="42"/>
        <v>-256978518.90000001</v>
      </c>
      <c r="MS58" s="91">
        <f t="shared" si="42"/>
        <v>6238065669.0500002</v>
      </c>
      <c r="MT58" s="91">
        <f t="shared" si="42"/>
        <v>-1368205610.5100002</v>
      </c>
      <c r="MU58" s="91">
        <f t="shared" ref="MU58:MZ58" si="43">SUM(MV24:MV27)-SUM(MV38:MV39)</f>
        <v>-2970893762.3599997</v>
      </c>
      <c r="MV58" s="91">
        <f t="shared" si="43"/>
        <v>455377443.8499999</v>
      </c>
      <c r="MW58" s="91">
        <f t="shared" si="43"/>
        <v>-921195010.34000003</v>
      </c>
      <c r="MX58" s="91">
        <f t="shared" si="43"/>
        <v>3130329144.4100003</v>
      </c>
      <c r="MY58" s="91">
        <f t="shared" si="43"/>
        <v>-818839731.31999993</v>
      </c>
      <c r="MZ58" s="91">
        <f t="shared" si="43"/>
        <v>-1822494695.9700003</v>
      </c>
      <c r="NA58" s="91">
        <f t="shared" ref="NA58:NH58" si="44">SUM(NB24:NB27)-SUM(NB38:NB39)</f>
        <v>-552521815.51999998</v>
      </c>
      <c r="NB58" s="91">
        <f t="shared" si="44"/>
        <v>1361168410.02</v>
      </c>
      <c r="NC58" s="91">
        <f t="shared" si="44"/>
        <v>322581119.44000006</v>
      </c>
      <c r="ND58" s="91">
        <f t="shared" si="44"/>
        <v>-538493151.64999998</v>
      </c>
      <c r="NE58" s="91">
        <f t="shared" si="44"/>
        <v>-1207134165</v>
      </c>
      <c r="NF58" s="91">
        <f t="shared" si="44"/>
        <v>-423629405.85000002</v>
      </c>
      <c r="NG58" s="91">
        <f t="shared" si="44"/>
        <v>-238735493.12</v>
      </c>
      <c r="NH58" s="91">
        <f t="shared" si="44"/>
        <v>4815603030.7000008</v>
      </c>
      <c r="NI58" s="91">
        <f t="shared" ref="NI58:NN58" si="45">SUM(NJ24:NJ27)-SUM(NJ38:NJ39)</f>
        <v>-1348455721.6500001</v>
      </c>
      <c r="NJ58" s="91">
        <f t="shared" si="45"/>
        <v>-2085357118.3999999</v>
      </c>
      <c r="NK58" s="91">
        <f t="shared" si="45"/>
        <v>-621360666.33000004</v>
      </c>
      <c r="NL58" s="91">
        <f t="shared" si="45"/>
        <v>-468965476.82999998</v>
      </c>
      <c r="NM58" s="91">
        <f t="shared" si="45"/>
        <v>676694426.75999999</v>
      </c>
      <c r="NN58" s="91">
        <f t="shared" si="45"/>
        <v>-682055594.66999996</v>
      </c>
      <c r="NO58" s="91">
        <f t="shared" ref="NO58:NT58" si="46">SUM(NP24:NP27)-SUM(NP38:NP39)</f>
        <v>-1164873885.1300001</v>
      </c>
      <c r="NP58" s="91">
        <f t="shared" si="46"/>
        <v>-1147326714.9099998</v>
      </c>
      <c r="NQ58" s="91">
        <f t="shared" si="46"/>
        <v>787016359.39000022</v>
      </c>
      <c r="NR58" s="91">
        <f t="shared" si="46"/>
        <v>-514604676.70999992</v>
      </c>
      <c r="NS58" s="91">
        <f t="shared" si="46"/>
        <v>-545746386.40999985</v>
      </c>
      <c r="NT58" s="91">
        <f t="shared" si="46"/>
        <v>-1841757431.1600001</v>
      </c>
      <c r="NU58" s="91">
        <f t="shared" ref="NU58:NZ58" si="47">SUM(NV24:NV27)-SUM(NV38:NV39)</f>
        <v>-619033933.8499999</v>
      </c>
      <c r="NV58" s="91">
        <f t="shared" si="47"/>
        <v>808290569.78000021</v>
      </c>
      <c r="NW58" s="91">
        <f t="shared" si="47"/>
        <v>-490683768.12999988</v>
      </c>
      <c r="NX58" s="91">
        <f t="shared" si="47"/>
        <v>-2387862189.8600001</v>
      </c>
      <c r="NY58" s="91">
        <f t="shared" si="47"/>
        <v>-178724024.5200001</v>
      </c>
      <c r="NZ58" s="91">
        <f t="shared" si="47"/>
        <v>37610156.110000014</v>
      </c>
      <c r="OA58" s="91">
        <f t="shared" ref="OA58:OF58" si="48">SUM(OB24:OB27)-SUM(OB38:OB39)</f>
        <v>-167267772.89999995</v>
      </c>
      <c r="OB58" s="91">
        <f t="shared" si="48"/>
        <v>-1042204168.9400001</v>
      </c>
      <c r="OC58" s="91">
        <f t="shared" si="48"/>
        <v>-359777677.97000003</v>
      </c>
      <c r="OD58" s="91">
        <f t="shared" si="48"/>
        <v>2776894341.9099998</v>
      </c>
      <c r="OE58" s="91">
        <f t="shared" si="48"/>
        <v>-1194075007.1700001</v>
      </c>
      <c r="OF58" s="91">
        <f t="shared" si="48"/>
        <v>-1208658598.3099999</v>
      </c>
      <c r="OG58" s="91">
        <f t="shared" ref="OG58:OL58" si="49">SUM(OH24:OH27)-SUM(OH38:OH39)</f>
        <v>670877053.6500001</v>
      </c>
      <c r="OH58" s="91">
        <f t="shared" si="49"/>
        <v>-550677513.63999999</v>
      </c>
      <c r="OI58" s="91">
        <f t="shared" si="49"/>
        <v>170551371.91999996</v>
      </c>
      <c r="OJ58" s="91">
        <f t="shared" si="49"/>
        <v>-453582965.56000006</v>
      </c>
      <c r="OK58" s="91">
        <f t="shared" si="49"/>
        <v>-1717120070.8499999</v>
      </c>
      <c r="OL58" s="91">
        <f t="shared" si="49"/>
        <v>-176573413.07000002</v>
      </c>
      <c r="OM58" s="91">
        <f t="shared" ref="OM58:OR58" si="50">SUM(ON24:ON27)-SUM(ON38:ON39)</f>
        <v>-167122012.79999995</v>
      </c>
      <c r="ON58" s="91">
        <f t="shared" si="50"/>
        <v>160067293.88999999</v>
      </c>
      <c r="OO58" s="91">
        <f t="shared" si="50"/>
        <v>-53253100.98999995</v>
      </c>
      <c r="OP58" s="91">
        <f t="shared" si="50"/>
        <v>-775305812.2700001</v>
      </c>
      <c r="OQ58" s="91">
        <f t="shared" si="50"/>
        <v>-157707258.77000004</v>
      </c>
      <c r="OR58" s="91">
        <f t="shared" si="50"/>
        <v>-150067139.89999995</v>
      </c>
      <c r="OS58" s="91">
        <f t="shared" ref="OS58:OX58" si="51">SUM(OT24:OT27)-SUM(OT38:OT39)</f>
        <v>593851151.26999998</v>
      </c>
      <c r="OT58" s="91">
        <f t="shared" si="51"/>
        <v>-186487451.56</v>
      </c>
      <c r="OU58" s="91">
        <f t="shared" si="51"/>
        <v>-611753717.20000005</v>
      </c>
      <c r="OV58" s="91">
        <f t="shared" si="51"/>
        <v>5907555862.0300007</v>
      </c>
      <c r="OW58" s="91">
        <f t="shared" si="51"/>
        <v>-1463642871.7200003</v>
      </c>
      <c r="OX58" s="91">
        <f t="shared" si="51"/>
        <v>125790897.72000027</v>
      </c>
      <c r="OY58" s="91">
        <f t="shared" ref="OY58:PD58" si="52">SUM(OZ24:OZ27)-SUM(OZ38:OZ39)</f>
        <v>-850992165.65999997</v>
      </c>
      <c r="OZ58" s="91">
        <f t="shared" si="52"/>
        <v>-2166139036.4400001</v>
      </c>
      <c r="PA58" s="91">
        <f t="shared" si="52"/>
        <v>-556526623.25999999</v>
      </c>
      <c r="PB58" s="91">
        <f t="shared" si="52"/>
        <v>887306659.91999984</v>
      </c>
      <c r="PC58" s="91">
        <f t="shared" si="52"/>
        <v>1289343211.6900001</v>
      </c>
      <c r="PD58" s="91">
        <f t="shared" si="52"/>
        <v>-960055127.72000003</v>
      </c>
      <c r="PE58" s="91">
        <f t="shared" ref="PE58:PJ58" si="53">SUM(PF24:PF27)-SUM(PF38:PF39)</f>
        <v>-1818911213.3600001</v>
      </c>
      <c r="PF58" s="91">
        <f t="shared" si="53"/>
        <v>-219444057.48000002</v>
      </c>
      <c r="PG58" s="91">
        <f t="shared" si="53"/>
        <v>-155141110.22000003</v>
      </c>
      <c r="PH58" s="91">
        <f t="shared" si="53"/>
        <v>3475515994.9700003</v>
      </c>
      <c r="PI58" s="91">
        <f t="shared" si="53"/>
        <v>297141036.72000027</v>
      </c>
      <c r="PJ58" s="91">
        <f t="shared" si="53"/>
        <v>-1806887720.0900002</v>
      </c>
      <c r="PK58" s="91">
        <f t="shared" ref="PK58:PP58" si="54">SUM(PL24:PL27)-SUM(PL38:PL39)</f>
        <v>-685724023.33000004</v>
      </c>
      <c r="PL58" s="91">
        <f t="shared" si="54"/>
        <v>-1164662372.48</v>
      </c>
      <c r="PM58" s="91">
        <f t="shared" si="54"/>
        <v>-653168112.6500001</v>
      </c>
      <c r="PN58" s="91">
        <f t="shared" si="54"/>
        <v>-462490164.67000008</v>
      </c>
      <c r="PO58" s="91">
        <f t="shared" si="54"/>
        <v>-1372370131.3200002</v>
      </c>
      <c r="PP58" s="91">
        <f t="shared" si="54"/>
        <v>41682304.790000021</v>
      </c>
      <c r="PQ58" s="91">
        <f t="shared" ref="PQ58:PV58" si="55">SUM(PR24:PR27)-SUM(PR38:PR39)</f>
        <v>0</v>
      </c>
      <c r="PR58" s="91">
        <f t="shared" si="55"/>
        <v>0</v>
      </c>
      <c r="PS58" s="91">
        <f t="shared" si="55"/>
        <v>0</v>
      </c>
      <c r="PT58" s="91">
        <f t="shared" si="55"/>
        <v>0</v>
      </c>
      <c r="PU58" s="91">
        <f t="shared" si="55"/>
        <v>0</v>
      </c>
      <c r="PV58" s="91">
        <f t="shared" si="55"/>
        <v>0</v>
      </c>
      <c r="PW58" s="91">
        <f t="shared" ref="PW58:QC58" si="56">SUM(PX24:PX27)-SUM(PX38:PX39)</f>
        <v>0</v>
      </c>
      <c r="PX58" s="91">
        <f t="shared" si="56"/>
        <v>0</v>
      </c>
      <c r="PY58" s="91">
        <f t="shared" si="56"/>
        <v>0</v>
      </c>
      <c r="PZ58" s="91">
        <f t="shared" si="56"/>
        <v>0</v>
      </c>
      <c r="QA58" s="91">
        <f t="shared" si="56"/>
        <v>0</v>
      </c>
      <c r="QB58" s="91">
        <f t="shared" si="56"/>
        <v>0</v>
      </c>
      <c r="QC58" s="91">
        <f t="shared" si="56"/>
        <v>0</v>
      </c>
      <c r="QD58" s="91">
        <f t="shared" ref="QD58:SA58" si="57">SUM(QE24:QE27)-SUM(QE38:QE39)</f>
        <v>0</v>
      </c>
      <c r="QE58" s="91">
        <f t="shared" si="57"/>
        <v>0</v>
      </c>
      <c r="QF58" s="91">
        <f t="shared" si="57"/>
        <v>0</v>
      </c>
      <c r="QG58" s="91">
        <f t="shared" si="57"/>
        <v>0</v>
      </c>
      <c r="QH58" s="91">
        <f t="shared" si="57"/>
        <v>0</v>
      </c>
      <c r="QI58" s="91">
        <f t="shared" si="57"/>
        <v>0</v>
      </c>
      <c r="QJ58" s="91">
        <f t="shared" si="57"/>
        <v>0</v>
      </c>
      <c r="QK58" s="91">
        <f t="shared" si="57"/>
        <v>0</v>
      </c>
      <c r="QL58" s="91">
        <f t="shared" si="57"/>
        <v>0</v>
      </c>
      <c r="QM58" s="91">
        <f t="shared" si="57"/>
        <v>0</v>
      </c>
      <c r="QN58" s="91">
        <f t="shared" si="57"/>
        <v>0</v>
      </c>
      <c r="QO58" s="91">
        <f t="shared" si="57"/>
        <v>0</v>
      </c>
      <c r="QP58" s="91">
        <f t="shared" si="57"/>
        <v>0</v>
      </c>
      <c r="QQ58" s="91">
        <f t="shared" si="57"/>
        <v>0</v>
      </c>
      <c r="QR58" s="91">
        <f t="shared" si="57"/>
        <v>0</v>
      </c>
      <c r="QS58" s="91">
        <f t="shared" si="57"/>
        <v>0</v>
      </c>
      <c r="QT58" s="91">
        <f t="shared" si="57"/>
        <v>0</v>
      </c>
      <c r="QU58" s="91">
        <f t="shared" si="57"/>
        <v>0</v>
      </c>
      <c r="QV58" s="91">
        <f t="shared" si="57"/>
        <v>0</v>
      </c>
      <c r="QW58" s="91">
        <f t="shared" si="57"/>
        <v>0</v>
      </c>
      <c r="QX58" s="91">
        <f t="shared" si="57"/>
        <v>0</v>
      </c>
      <c r="QY58" s="91">
        <f t="shared" si="57"/>
        <v>0</v>
      </c>
      <c r="QZ58" s="91">
        <f t="shared" si="57"/>
        <v>0</v>
      </c>
      <c r="RA58" s="91">
        <f t="shared" si="57"/>
        <v>0</v>
      </c>
      <c r="RB58" s="91">
        <f t="shared" si="57"/>
        <v>0</v>
      </c>
      <c r="RC58" s="91">
        <f t="shared" si="57"/>
        <v>0</v>
      </c>
      <c r="RD58" s="91">
        <f t="shared" si="57"/>
        <v>0</v>
      </c>
      <c r="RE58" s="91">
        <f t="shared" si="57"/>
        <v>0</v>
      </c>
      <c r="RF58" s="91">
        <f t="shared" si="57"/>
        <v>0</v>
      </c>
      <c r="RG58" s="91">
        <f t="shared" si="57"/>
        <v>0</v>
      </c>
      <c r="RH58" s="91">
        <f t="shared" si="57"/>
        <v>0</v>
      </c>
      <c r="RI58" s="91">
        <f t="shared" si="57"/>
        <v>0</v>
      </c>
      <c r="RJ58" s="91">
        <f t="shared" si="57"/>
        <v>0</v>
      </c>
      <c r="RK58" s="91">
        <f t="shared" si="57"/>
        <v>0</v>
      </c>
      <c r="RL58" s="91">
        <f t="shared" si="57"/>
        <v>0</v>
      </c>
      <c r="RM58" s="91">
        <f t="shared" si="57"/>
        <v>0</v>
      </c>
      <c r="RN58" s="91">
        <f t="shared" si="57"/>
        <v>0</v>
      </c>
      <c r="RO58" s="91">
        <f t="shared" si="57"/>
        <v>0</v>
      </c>
      <c r="RP58" s="91">
        <f t="shared" si="57"/>
        <v>0</v>
      </c>
      <c r="RQ58" s="91">
        <f t="shared" si="57"/>
        <v>0</v>
      </c>
      <c r="RR58" s="91">
        <f t="shared" si="57"/>
        <v>0</v>
      </c>
      <c r="RS58" s="91">
        <f t="shared" si="57"/>
        <v>0</v>
      </c>
      <c r="RT58" s="91">
        <f t="shared" si="57"/>
        <v>0</v>
      </c>
      <c r="RU58" s="91">
        <f t="shared" si="57"/>
        <v>0</v>
      </c>
      <c r="RV58" s="91">
        <f t="shared" si="57"/>
        <v>0</v>
      </c>
      <c r="RW58" s="91">
        <f t="shared" si="57"/>
        <v>0</v>
      </c>
      <c r="RX58" s="91">
        <f t="shared" si="57"/>
        <v>0</v>
      </c>
      <c r="RY58" s="91">
        <f t="shared" si="57"/>
        <v>0</v>
      </c>
      <c r="RZ58" s="91">
        <f t="shared" si="57"/>
        <v>0</v>
      </c>
      <c r="SA58" s="91">
        <f t="shared" si="57"/>
        <v>0</v>
      </c>
    </row>
    <row r="59" spans="1:495" x14ac:dyDescent="0.2">
      <c r="A59" s="23"/>
    </row>
    <row r="60" spans="1:495" s="12" customFormat="1" x14ac:dyDescent="0.2">
      <c r="A60" s="12" t="s">
        <v>1093</v>
      </c>
      <c r="B60" s="12">
        <f>[1]!SCBAM_GetGroup1Dtl("SCBSFF","NET ASSET VALUE",B$5,"marketval")+[1]!SCBAM_GetGroup1Dtl("SCBSFF","NET ASSET VALUE",B$5,"ai")</f>
        <v>125091146504.03</v>
      </c>
      <c r="C60" s="12">
        <f>[1]!SCBAM_GetGroup1Dtl("SCBSFF","NET ASSET VALUE",C$5,"marketval")+[1]!SCBAM_GetGroup1Dtl("SCBSFF","NET ASSET VALUE",C$5,"ai")</f>
        <v>126082614481.86</v>
      </c>
      <c r="D60" s="12">
        <f>[1]!SCBAM_GetGroup1Dtl("SCBSFF","NET ASSET VALUE",D$5,"marketval")+[1]!SCBAM_GetGroup1Dtl("SCBSFF","NET ASSET VALUE",D$5,"ai")</f>
        <v>125788521097.56</v>
      </c>
      <c r="E60" s="12">
        <f>[1]!SCBAM_GetGroup1Dtl("SCBSFF","NET ASSET VALUE",E$5,"marketval")+[1]!SCBAM_GetGroup1Dtl("SCBSFF","NET ASSET VALUE",E$5,"ai")</f>
        <v>143670209797.78</v>
      </c>
      <c r="F60" s="12">
        <f>[1]!SCBAM_GetGroup1Dtl("SCBSFF","NET ASSET VALUE",F$5,"marketval")+[1]!SCBAM_GetGroup1Dtl("SCBSFF","NET ASSET VALUE",F$5,"ai")</f>
        <v>140790819892.51001</v>
      </c>
      <c r="G60" s="12">
        <f>[1]!SCBAM_GetGroup1Dtl("SCBSFF","NET ASSET VALUE",G$5,"marketval")+[1]!SCBAM_GetGroup1Dtl("SCBSFF","NET ASSET VALUE",G$5,"ai")</f>
        <v>133692212698.12</v>
      </c>
      <c r="H60" s="12">
        <f>[1]!SCBAM_GetGroup1Dtl("SCBSFF","NET ASSET VALUE",H$5,"marketval")+[1]!SCBAM_GetGroup1Dtl("SCBSFF","NET ASSET VALUE",H$5,"ai")</f>
        <v>132333362374.17999</v>
      </c>
      <c r="I60" s="12">
        <f>[1]!SCBAM_GetGroup1Dtl("SCBSFF","NET ASSET VALUE",I$5,"marketval")+[1]!SCBAM_GetGroup1Dtl("SCBSFF","NET ASSET VALUE",I$5,"ai")</f>
        <v>130958503479.12999</v>
      </c>
      <c r="J60" s="12">
        <f>[1]!SCBAM_GetGroup1Dtl("SCBSFF","NET ASSET VALUE",J$5,"marketval")+[1]!SCBAM_GetGroup1Dtl("SCBSFF","NET ASSET VALUE",J$5,"ai")</f>
        <v>137489424804.88</v>
      </c>
      <c r="K60" s="12">
        <f>[1]!SCBAM_GetGroup1Dtl("SCBSFF","NET ASSET VALUE",K$5,"marketval")+[1]!SCBAM_GetGroup1Dtl("SCBSFF","NET ASSET VALUE",K$5,"ai")</f>
        <v>135500035624.83</v>
      </c>
      <c r="L60" s="12">
        <f>[1]!SCBAM_GetGroup1Dtl("SCBSFF","NET ASSET VALUE",L$5,"marketval")+[1]!SCBAM_GetGroup1Dtl("SCBSFF","NET ASSET VALUE",L$5,"ai")</f>
        <v>129638180054.26001</v>
      </c>
      <c r="M60" s="12">
        <f>[1]!SCBAM_GetGroup1Dtl("SCBSFF","NET ASSET VALUE",M$5,"marketval")+[1]!SCBAM_GetGroup1Dtl("SCBSFF","NET ASSET VALUE",M$5,"ai")</f>
        <v>128924510496.87</v>
      </c>
      <c r="N60" s="12">
        <f>[1]!SCBAM_GetGroup1Dtl("SCBSFF","NET ASSET VALUE",N$5,"marketval")+[1]!SCBAM_GetGroup1Dtl("SCBSFF","NET ASSET VALUE",N$5,"ai")</f>
        <v>128291692505.83</v>
      </c>
      <c r="O60" s="12">
        <f>[1]!SCBAM_GetGroup1Dtl("SCBSFF","NET ASSET VALUE",O$5,"marketval")+[1]!SCBAM_GetGroup1Dtl("SCBSFF","NET ASSET VALUE",O$5,"ai")</f>
        <v>138268892467.89001</v>
      </c>
      <c r="P60" s="12">
        <f>[1]!SCBAM_GetGroup1Dtl("SCBSFF","NET ASSET VALUE",P$5,"marketval")+[1]!SCBAM_GetGroup1Dtl("SCBSFF","NET ASSET VALUE",P$5,"ai")</f>
        <v>136238055423.97</v>
      </c>
      <c r="Q60" s="12">
        <f>[1]!SCBAM_GetGroup1Dtl("SCBSFF","NET ASSET VALUE",Q$5,"marketval")+[1]!SCBAM_GetGroup1Dtl("SCBSFF","NET ASSET VALUE",Q$5,"ai")</f>
        <v>130248544469.98999</v>
      </c>
      <c r="R60" s="12">
        <f>[1]!SCBAM_GetGroup1Dtl("SCBSFF","NET ASSET VALUE",R$5,"marketval")+[1]!SCBAM_GetGroup1Dtl("SCBSFF","NET ASSET VALUE",R$5,"ai")</f>
        <v>127219377821.56</v>
      </c>
      <c r="S60" s="12">
        <f>[1]!SCBAM_GetGroup1Dtl("SCBSFF","NET ASSET VALUE",S$5,"marketval")+[1]!SCBAM_GetGroup1Dtl("SCBSFF","NET ASSET VALUE",S$5,"ai")</f>
        <v>125870060679.45999</v>
      </c>
      <c r="T60" s="12">
        <f>[1]!SCBAM_GetGroup1Dtl("SCBSFF","NET ASSET VALUE",T$5,"marketval")+[1]!SCBAM_GetGroup1Dtl("SCBSFF","NET ASSET VALUE",T$5,"ai")</f>
        <v>138184975473.92001</v>
      </c>
      <c r="U60" s="12">
        <f>[1]!SCBAM_GetGroup1Dtl("SCBSFF","NET ASSET VALUE",U$5,"marketval")+[1]!SCBAM_GetGroup1Dtl("SCBSFF","NET ASSET VALUE",U$5,"ai")</f>
        <v>135562242973.19</v>
      </c>
      <c r="V60" s="12">
        <f>[1]!SCBAM_GetGroup1Dtl("SCBSFF","NET ASSET VALUE",V$5,"marketval")+[1]!SCBAM_GetGroup1Dtl("SCBSFF","NET ASSET VALUE",V$5,"ai")</f>
        <v>128570914352.38</v>
      </c>
      <c r="W60" s="12">
        <f>[1]!SCBAM_GetGroup1Dtl("SCBSFF","NET ASSET VALUE",W$5,"marketval")+[1]!SCBAM_GetGroup1Dtl("SCBSFF","NET ASSET VALUE",W$5,"ai")</f>
        <v>127642569659.96001</v>
      </c>
      <c r="X60" s="12">
        <f>[1]!SCBAM_GetGroup1Dtl("SCBSFF","NET ASSET VALUE",X$5,"marketval")+[1]!SCBAM_GetGroup1Dtl("SCBSFF","NET ASSET VALUE",X$5,"ai")</f>
        <v>126936187872.88</v>
      </c>
      <c r="Y60" s="12">
        <f>[1]!SCBAM_GetGroup1Dtl("SCBSFF","NET ASSET VALUE",Y$5,"marketval")+[1]!SCBAM_GetGroup1Dtl("SCBSFF","NET ASSET VALUE",Y$5,"ai")</f>
        <v>127673321256.71001</v>
      </c>
      <c r="Z60" s="12">
        <f>[1]!SCBAM_GetGroup1Dtl("SCBSFF","NET ASSET VALUE",Z$5,"marketval")+[1]!SCBAM_GetGroup1Dtl("SCBSFF","NET ASSET VALUE",Z$5,"ai")</f>
        <v>127567282539.21001</v>
      </c>
      <c r="AA60" s="12">
        <f>[1]!SCBAM_GetGroup1Dtl("SCBSFF","NET ASSET VALUE",AA$5,"marketval")+[1]!SCBAM_GetGroup1Dtl("SCBSFF","NET ASSET VALUE",AA$5,"ai")</f>
        <v>124489177562.93001</v>
      </c>
      <c r="AB60" s="12">
        <f>[1]!SCBAM_GetGroup1Dtl("SCBSFF","NET ASSET VALUE",AB$5,"marketval")+[1]!SCBAM_GetGroup1Dtl("SCBSFF","NET ASSET VALUE",AB$5,"ai")</f>
        <v>123814894399.21001</v>
      </c>
      <c r="AC60" s="12">
        <f>[1]!SCBAM_GetGroup1Dtl("SCBSFF","NET ASSET VALUE",AC$5,"marketval")+[1]!SCBAM_GetGroup1Dtl("SCBSFF","NET ASSET VALUE",AC$5,"ai")</f>
        <v>123195941433.51999</v>
      </c>
      <c r="AD60" s="12">
        <f>[1]!SCBAM_GetGroup1Dtl("SCBSFF","NET ASSET VALUE",AD$5,"marketval")+[1]!SCBAM_GetGroup1Dtl("SCBSFF","NET ASSET VALUE",AD$5,"ai")</f>
        <v>126320618736.83</v>
      </c>
      <c r="AE60" s="12">
        <f>[1]!SCBAM_GetGroup1Dtl("SCBSFF","NET ASSET VALUE",AE$5,"marketval")+[1]!SCBAM_GetGroup1Dtl("SCBSFF","NET ASSET VALUE",AE$5,"ai")</f>
        <v>125449602350.43001</v>
      </c>
      <c r="AF60" s="12">
        <f>[1]!SCBAM_GetGroup1Dtl("SCBSFF","NET ASSET VALUE",AF$5,"marketval")+[1]!SCBAM_GetGroup1Dtl("SCBSFF","NET ASSET VALUE",AF$5,"ai")</f>
        <v>123134528819.05</v>
      </c>
      <c r="AG60" s="12">
        <f>[1]!SCBAM_GetGroup1Dtl("SCBSFF","NET ASSET VALUE",AG$5,"marketval")+[1]!SCBAM_GetGroup1Dtl("SCBSFF","NET ASSET VALUE",AG$5,"ai")</f>
        <v>121959344420.26001</v>
      </c>
      <c r="AH60" s="12">
        <f>[1]!SCBAM_GetGroup1Dtl("SCBSFF","NET ASSET VALUE",AH$5,"marketval")+[1]!SCBAM_GetGroup1Dtl("SCBSFF","NET ASSET VALUE",AH$5,"ai")</f>
        <v>126634474323.50999</v>
      </c>
      <c r="AI60" s="12">
        <f>[1]!SCBAM_GetGroup1Dtl("SCBSFF","NET ASSET VALUE",AI$5,"marketval")+[1]!SCBAM_GetGroup1Dtl("SCBSFF","NET ASSET VALUE",AI$5,"ai")</f>
        <v>125277347626.78</v>
      </c>
      <c r="AJ60" s="12">
        <f>[1]!SCBAM_GetGroup1Dtl("SCBSFF","NET ASSET VALUE",AJ$5,"marketval")+[1]!SCBAM_GetGroup1Dtl("SCBSFF","NET ASSET VALUE",AJ$5,"ai")</f>
        <v>121675859319.19</v>
      </c>
      <c r="AK60" s="12">
        <f>[1]!SCBAM_GetGroup1Dtl("SCBSFF","NET ASSET VALUE",AK$5,"marketval")+[1]!SCBAM_GetGroup1Dtl("SCBSFF","NET ASSET VALUE",AK$5,"ai")</f>
        <v>120608109658.13</v>
      </c>
      <c r="AL60" s="12">
        <f>[1]!SCBAM_GetGroup1Dtl("SCBSFF","NET ASSET VALUE",AL$5,"marketval")+[1]!SCBAM_GetGroup1Dtl("SCBSFF","NET ASSET VALUE",AL$5,"ai")</f>
        <v>119313369827.71001</v>
      </c>
      <c r="AM60" s="12">
        <f>[1]!SCBAM_GetGroup1Dtl("SCBSFF","NET ASSET VALUE",AM$5,"marketval")+[1]!SCBAM_GetGroup1Dtl("SCBSFF","NET ASSET VALUE",AM$5,"ai")</f>
        <v>125479620504.11</v>
      </c>
      <c r="AN60" s="12">
        <f>[1]!SCBAM_GetGroup1Dtl("SCBSFF","NET ASSET VALUE",AN$5,"marketval")+[1]!SCBAM_GetGroup1Dtl("SCBSFF","NET ASSET VALUE",AN$5,"ai")</f>
        <v>123609791952.59</v>
      </c>
      <c r="AO60" s="12">
        <f>[1]!SCBAM_GetGroup1Dtl("SCBSFF","NET ASSET VALUE",AO$5,"marketval")+[1]!SCBAM_GetGroup1Dtl("SCBSFF","NET ASSET VALUE",AO$5,"ai")</f>
        <v>116645467353.75</v>
      </c>
      <c r="AP60" s="12">
        <f>[1]!SCBAM_GetGroup1Dtl("SCBSFF","NET ASSET VALUE",AP$5,"marketval")+[1]!SCBAM_GetGroup1Dtl("SCBSFF","NET ASSET VALUE",AP$5,"ai")</f>
        <v>114158765584.63</v>
      </c>
      <c r="AQ60" s="12">
        <f>[1]!SCBAM_GetGroup1Dtl("SCBSFF","NET ASSET VALUE",AQ$5,"marketval")+[1]!SCBAM_GetGroup1Dtl("SCBSFF","NET ASSET VALUE",AQ$5,"ai")</f>
        <v>113387173503.17</v>
      </c>
      <c r="AR60" s="12">
        <f>[1]!SCBAM_GetGroup1Dtl("SCBSFF","NET ASSET VALUE",AR$5,"marketval")+[1]!SCBAM_GetGroup1Dtl("SCBSFF","NET ASSET VALUE",AR$5,"ai")</f>
        <v>120842651468.48</v>
      </c>
      <c r="AS60" s="12">
        <f>[1]!SCBAM_GetGroup1Dtl("SCBSFF","NET ASSET VALUE",AS$5,"marketval")+[1]!SCBAM_GetGroup1Dtl("SCBSFF","NET ASSET VALUE",AS$5,"ai")</f>
        <v>119006165343.18001</v>
      </c>
      <c r="AT60" s="12">
        <f>[1]!SCBAM_GetGroup1Dtl("SCBSFF","NET ASSET VALUE",AT$5,"marketval")+[1]!SCBAM_GetGroup1Dtl("SCBSFF","NET ASSET VALUE",AT$5,"ai")</f>
        <v>113852304087.05</v>
      </c>
      <c r="AU60" s="12">
        <f>[1]!SCBAM_GetGroup1Dtl("SCBSFF","NET ASSET VALUE",AU$5,"marketval")+[1]!SCBAM_GetGroup1Dtl("SCBSFF","NET ASSET VALUE",AU$5,"ai")</f>
        <v>116456419270.24001</v>
      </c>
      <c r="AV60" s="12">
        <f>[1]!SCBAM_GetGroup1Dtl("SCBSFF","NET ASSET VALUE",AV$5,"marketval")+[1]!SCBAM_GetGroup1Dtl("SCBSFF","NET ASSET VALUE",AV$5,"ai")</f>
        <v>114891832988.83</v>
      </c>
      <c r="AW60" s="12">
        <f>[1]!SCBAM_GetGroup1Dtl("SCBSFF","NET ASSET VALUE",AW$5,"marketval")+[1]!SCBAM_GetGroup1Dtl("SCBSFF","NET ASSET VALUE",AW$5,"ai")</f>
        <v>126361199224.31</v>
      </c>
      <c r="AX60" s="12">
        <f>[1]!SCBAM_GetGroup1Dtl("SCBSFF","NET ASSET VALUE",AX$5,"marketval")+[1]!SCBAM_GetGroup1Dtl("SCBSFF","NET ASSET VALUE",AX$5,"ai")</f>
        <v>123422469660.84</v>
      </c>
      <c r="AY60" s="12">
        <f>[1]!SCBAM_GetGroup1Dtl("SCBSFF","NET ASSET VALUE",AY$5,"marketval")+[1]!SCBAM_GetGroup1Dtl("SCBSFF","NET ASSET VALUE",AY$5,"ai")</f>
        <v>117025476135.28</v>
      </c>
      <c r="AZ60" s="12">
        <f>[1]!SCBAM_GetGroup1Dtl("SCBSFF","NET ASSET VALUE",AZ$5,"marketval")+[1]!SCBAM_GetGroup1Dtl("SCBSFF","NET ASSET VALUE",AZ$5,"ai")</f>
        <v>115903107421.86</v>
      </c>
      <c r="BA60" s="12">
        <f>[1]!SCBAM_GetGroup1Dtl("SCBSFF","NET ASSET VALUE",BA$5,"marketval")+[1]!SCBAM_GetGroup1Dtl("SCBSFF","NET ASSET VALUE",BA$5,"ai")</f>
        <v>115003874249.28999</v>
      </c>
      <c r="BB60" s="12">
        <f>[1]!SCBAM_GetGroup1Dtl("SCBSFF","NET ASSET VALUE",BB$5,"marketval")+[1]!SCBAM_GetGroup1Dtl("SCBSFF","NET ASSET VALUE",BB$5,"ai")</f>
        <v>114327452692.94</v>
      </c>
      <c r="BC60" s="12">
        <f>[1]!SCBAM_GetGroup1Dtl("SCBSFF","NET ASSET VALUE",BC$5,"marketval")+[1]!SCBAM_GetGroup1Dtl("SCBSFF","NET ASSET VALUE",BC$5,"ai")</f>
        <v>113894426683.28</v>
      </c>
      <c r="BD60" s="12">
        <f>[1]!SCBAM_GetGroup1Dtl("SCBSFF","NET ASSET VALUE",BD$5,"marketval")+[1]!SCBAM_GetGroup1Dtl("SCBSFF","NET ASSET VALUE",BD$5,"ai")</f>
        <v>114371282603.86</v>
      </c>
      <c r="BE60" s="12">
        <f>[1]!SCBAM_GetGroup1Dtl("SCBSFF","NET ASSET VALUE",BE$5,"marketval")+[1]!SCBAM_GetGroup1Dtl("SCBSFF","NET ASSET VALUE",BE$5,"ai")</f>
        <v>112869603941.31</v>
      </c>
      <c r="BF60" s="12">
        <f>[1]!SCBAM_GetGroup1Dtl("SCBSFF","NET ASSET VALUE",BF$5,"marketval")+[1]!SCBAM_GetGroup1Dtl("SCBSFF","NET ASSET VALUE",BF$5,"ai")</f>
        <v>140035677701.16</v>
      </c>
      <c r="BG60" s="12">
        <f>[1]!SCBAM_GetGroup1Dtl("SCBSFF","NET ASSET VALUE",BG$5,"marketval")+[1]!SCBAM_GetGroup1Dtl("SCBSFF","NET ASSET VALUE",BG$5,"ai")</f>
        <v>157365249660.06998</v>
      </c>
      <c r="BH60" s="12">
        <f>[1]!SCBAM_GetGroup1Dtl("SCBSFF","NET ASSET VALUE",BH$5,"marketval")+[1]!SCBAM_GetGroup1Dtl("SCBSFF","NET ASSET VALUE",BH$5,"ai")</f>
        <v>147947422893.07001</v>
      </c>
      <c r="BI60" s="12">
        <f>[1]!SCBAM_GetGroup1Dtl("SCBSFF","NET ASSET VALUE",BI$5,"marketval")+[1]!SCBAM_GetGroup1Dtl("SCBSFF","NET ASSET VALUE",BI$5,"ai")</f>
        <v>128716872858.82001</v>
      </c>
      <c r="BJ60" s="12">
        <f>[1]!SCBAM_GetGroup1Dtl("SCBSFF","NET ASSET VALUE",BJ$5,"marketval")+[1]!SCBAM_GetGroup1Dtl("SCBSFF","NET ASSET VALUE",BJ$5,"ai")</f>
        <v>126146375003.93001</v>
      </c>
      <c r="BK60" s="12">
        <f>[1]!SCBAM_GetGroup1Dtl("SCBSFF","NET ASSET VALUE",BK$5,"marketval")+[1]!SCBAM_GetGroup1Dtl("SCBSFF","NET ASSET VALUE",BK$5,"ai")</f>
        <v>125028046790.71001</v>
      </c>
      <c r="BL60" s="12">
        <f>[1]!SCBAM_GetGroup1Dtl("SCBSFF","NET ASSET VALUE",BL$5,"marketval")+[1]!SCBAM_GetGroup1Dtl("SCBSFF","NET ASSET VALUE",BL$5,"ai")</f>
        <v>131467300965.31999</v>
      </c>
      <c r="BM60" s="12">
        <f>[1]!SCBAM_GetGroup1Dtl("SCBSFF","NET ASSET VALUE",BM$5,"marketval")+[1]!SCBAM_GetGroup1Dtl("SCBSFF","NET ASSET VALUE",BM$5,"ai")</f>
        <v>129163063818.44</v>
      </c>
      <c r="BN60" s="12">
        <f>[1]!SCBAM_GetGroup1Dtl("SCBSFF","NET ASSET VALUE",BN$5,"marketval")+[1]!SCBAM_GetGroup1Dtl("SCBSFF","NET ASSET VALUE",BN$5,"ai")</f>
        <v>126478519183.35001</v>
      </c>
      <c r="BO60" s="12">
        <f>[1]!SCBAM_GetGroup1Dtl("SCBSFF","NET ASSET VALUE",BO$5,"marketval")+[1]!SCBAM_GetGroup1Dtl("SCBSFF","NET ASSET VALUE",BO$5,"ai")</f>
        <v>124406173143.59999</v>
      </c>
      <c r="BP60" s="12">
        <f>[1]!SCBAM_GetGroup1Dtl("SCBSFF","NET ASSET VALUE",BP$5,"marketval")+[1]!SCBAM_GetGroup1Dtl("SCBSFF","NET ASSET VALUE",BP$5,"ai")</f>
        <v>131758888490.74001</v>
      </c>
      <c r="BQ60" s="12">
        <f>[1]!SCBAM_GetGroup1Dtl("SCBSFF","NET ASSET VALUE",BQ$5,"marketval")+[1]!SCBAM_GetGroup1Dtl("SCBSFF","NET ASSET VALUE",BQ$5,"ai")</f>
        <v>129366294183.57001</v>
      </c>
      <c r="BR60" s="12">
        <f>[1]!SCBAM_GetGroup1Dtl("SCBSFF","NET ASSET VALUE",BR$5,"marketval")+[1]!SCBAM_GetGroup1Dtl("SCBSFF","NET ASSET VALUE",BR$5,"ai")</f>
        <v>123489328941.85999</v>
      </c>
      <c r="BS60" s="12">
        <f>[1]!SCBAM_GetGroup1Dtl("SCBSFF","NET ASSET VALUE",BS$5,"marketval")+[1]!SCBAM_GetGroup1Dtl("SCBSFF","NET ASSET VALUE",BS$5,"ai")</f>
        <v>122854939962.08</v>
      </c>
      <c r="BT60" s="12">
        <f>[1]!SCBAM_GetGroup1Dtl("SCBSFF","NET ASSET VALUE",BT$5,"marketval")+[1]!SCBAM_GetGroup1Dtl("SCBSFF","NET ASSET VALUE",BT$5,"ai")</f>
        <v>122940670095.90999</v>
      </c>
      <c r="BU60" s="12">
        <f>[1]!SCBAM_GetGroup1Dtl("SCBSFF","NET ASSET VALUE",BU$5,"marketval")+[1]!SCBAM_GetGroup1Dtl("SCBSFF","NET ASSET VALUE",BU$5,"ai")</f>
        <v>122405650042.18001</v>
      </c>
      <c r="BV60" s="12">
        <f>[1]!SCBAM_GetGroup1Dtl("SCBSFF","NET ASSET VALUE",BV$5,"marketval")+[1]!SCBAM_GetGroup1Dtl("SCBSFF","NET ASSET VALUE",BV$5,"ai")</f>
        <v>121477970440.56</v>
      </c>
      <c r="BW60" s="12">
        <f>[1]!SCBAM_GetGroup1Dtl("SCBSFF","NET ASSET VALUE",BW$5,"marketval")+[1]!SCBAM_GetGroup1Dtl("SCBSFF","NET ASSET VALUE",BW$5,"ai")</f>
        <v>122789599210.28</v>
      </c>
      <c r="BX60" s="12">
        <f>[1]!SCBAM_GetGroup1Dtl("SCBSFF","NET ASSET VALUE",BX$5,"marketval")+[1]!SCBAM_GetGroup1Dtl("SCBSFF","NET ASSET VALUE",BX$5,"ai")</f>
        <v>125466016376.94</v>
      </c>
      <c r="BY60" s="12">
        <f>[1]!SCBAM_GetGroup1Dtl("SCBSFF","NET ASSET VALUE",BY$5,"marketval")+[1]!SCBAM_GetGroup1Dtl("SCBSFF","NET ASSET VALUE",BY$5,"ai")</f>
        <v>123586245533.08</v>
      </c>
      <c r="BZ60" s="12">
        <f>[1]!SCBAM_GetGroup1Dtl("SCBSFF","NET ASSET VALUE",BZ$5,"marketval")+[1]!SCBAM_GetGroup1Dtl("SCBSFF","NET ASSET VALUE",BZ$5,"ai")</f>
        <v>118639551420.40001</v>
      </c>
      <c r="CA60" s="12">
        <f>[1]!SCBAM_GetGroup1Dtl("SCBSFF","NET ASSET VALUE",CA$5,"marketval")+[1]!SCBAM_GetGroup1Dtl("SCBSFF","NET ASSET VALUE",CA$5,"ai")</f>
        <v>117385945331.27</v>
      </c>
      <c r="CB60" s="12">
        <f>[1]!SCBAM_GetGroup1Dtl("SCBSFF","NET ASSET VALUE",CB$5,"marketval")+[1]!SCBAM_GetGroup1Dtl("SCBSFF","NET ASSET VALUE",CB$5,"ai")</f>
        <v>116341180590.36</v>
      </c>
      <c r="CC60" s="12">
        <f>[1]!SCBAM_GetGroup1Dtl("SCBSFF","NET ASSET VALUE",CC$5,"marketval")+[1]!SCBAM_GetGroup1Dtl("SCBSFF","NET ASSET VALUE",CC$5,"ai")</f>
        <v>123421865836.07001</v>
      </c>
      <c r="CD60" s="12">
        <f>[1]!SCBAM_GetGroup1Dtl("SCBSFF","NET ASSET VALUE",CD$5,"marketval")+[1]!SCBAM_GetGroup1Dtl("SCBSFF","NET ASSET VALUE",CD$5,"ai")</f>
        <v>121639362800.98</v>
      </c>
      <c r="CE60" s="12">
        <f>[1]!SCBAM_GetGroup1Dtl("SCBSFF","NET ASSET VALUE",CE$5,"marketval")+[1]!SCBAM_GetGroup1Dtl("SCBSFF","NET ASSET VALUE",CE$5,"ai")</f>
        <v>117393162744.61</v>
      </c>
      <c r="CF60" s="12">
        <f>[1]!SCBAM_GetGroup1Dtl("SCBSFF","NET ASSET VALUE",CF$5,"marketval")+[1]!SCBAM_GetGroup1Dtl("SCBSFF","NET ASSET VALUE",CF$5,"ai")</f>
        <v>116520697671.97</v>
      </c>
      <c r="CG60" s="12">
        <f>[1]!SCBAM_GetGroup1Dtl("SCBSFF","NET ASSET VALUE",CG$5,"marketval")+[1]!SCBAM_GetGroup1Dtl("SCBSFF","NET ASSET VALUE",CG$5,"ai")</f>
        <v>120915571551.59999</v>
      </c>
      <c r="CH60" s="12">
        <f>[1]!SCBAM_GetGroup1Dtl("SCBSFF","NET ASSET VALUE",CH$5,"marketval")+[1]!SCBAM_GetGroup1Dtl("SCBSFF","NET ASSET VALUE",CH$5,"ai")</f>
        <v>119285948916.21001</v>
      </c>
      <c r="CI60" s="12">
        <f>[1]!SCBAM_GetGroup1Dtl("SCBSFF","NET ASSET VALUE",CI$5,"marketval")+[1]!SCBAM_GetGroup1Dtl("SCBSFF","NET ASSET VALUE",CI$5,"ai")</f>
        <v>115781756397.72</v>
      </c>
      <c r="CJ60" s="12">
        <f>[1]!SCBAM_GetGroup1Dtl("SCBSFF","NET ASSET VALUE",CJ$5,"marketval")+[1]!SCBAM_GetGroup1Dtl("SCBSFF","NET ASSET VALUE",CJ$5,"ai")</f>
        <v>115231189413.64999</v>
      </c>
      <c r="CK60" s="12">
        <f>[1]!SCBAM_GetGroup1Dtl("SCBSFF","NET ASSET VALUE",CK$5,"marketval")+[1]!SCBAM_GetGroup1Dtl("SCBSFF","NET ASSET VALUE",CK$5,"ai")</f>
        <v>119143768608.88</v>
      </c>
      <c r="CL60" s="12">
        <f>[1]!SCBAM_GetGroup1Dtl("SCBSFF","NET ASSET VALUE",CL$5,"marketval")+[1]!SCBAM_GetGroup1Dtl("SCBSFF","NET ASSET VALUE",CL$5,"ai")</f>
        <v>117876327974.37</v>
      </c>
      <c r="CM60" s="12">
        <f>[1]!SCBAM_GetGroup1Dtl("SCBSFF","NET ASSET VALUE",CM$5,"marketval")+[1]!SCBAM_GetGroup1Dtl("SCBSFF","NET ASSET VALUE",CM$5,"ai")</f>
        <v>113449102402.75</v>
      </c>
      <c r="CN60" s="12">
        <f>[1]!SCBAM_GetGroup1Dtl("SCBSFF","NET ASSET VALUE",CN$5,"marketval")+[1]!SCBAM_GetGroup1Dtl("SCBSFF","NET ASSET VALUE",CN$5,"ai")</f>
        <v>112634064065.53</v>
      </c>
      <c r="CO60" s="12">
        <f>[1]!SCBAM_GetGroup1Dtl("SCBSFF","NET ASSET VALUE",CO$5,"marketval")+[1]!SCBAM_GetGroup1Dtl("SCBSFF","NET ASSET VALUE",CO$5,"ai")</f>
        <v>112024467664.37</v>
      </c>
      <c r="CP60" s="12">
        <f>[1]!SCBAM_GetGroup1Dtl("SCBSFF","NET ASSET VALUE",CP$5,"marketval")+[1]!SCBAM_GetGroup1Dtl("SCBSFF","NET ASSET VALUE",CP$5,"ai")</f>
        <v>118253042952.54001</v>
      </c>
      <c r="CQ60" s="12">
        <f>[1]!SCBAM_GetGroup1Dtl("SCBSFF","NET ASSET VALUE",CQ$5,"marketval")+[1]!SCBAM_GetGroup1Dtl("SCBSFF","NET ASSET VALUE",CQ$5,"ai")</f>
        <v>116610999075.46001</v>
      </c>
      <c r="CR60" s="12">
        <f>[1]!SCBAM_GetGroup1Dtl("SCBSFF","NET ASSET VALUE",CR$5,"marketval")+[1]!SCBAM_GetGroup1Dtl("SCBSFF","NET ASSET VALUE",CR$5,"ai")</f>
        <v>112165403440.11</v>
      </c>
      <c r="CS60" s="12">
        <f>[1]!SCBAM_GetGroup1Dtl("SCBSFF","NET ASSET VALUE",CS$5,"marketval")+[1]!SCBAM_GetGroup1Dtl("SCBSFF","NET ASSET VALUE",CS$5,"ai")</f>
        <v>111161108958.59</v>
      </c>
      <c r="CT60" s="12">
        <f>[1]!SCBAM_GetGroup1Dtl("SCBSFF","NET ASSET VALUE",CT$5,"marketval")+[1]!SCBAM_GetGroup1Dtl("SCBSFF","NET ASSET VALUE",CT$5,"ai")</f>
        <v>110429077441.34</v>
      </c>
      <c r="CU60" s="12">
        <f>[1]!SCBAM_GetGroup1Dtl("SCBSFF","NET ASSET VALUE",CU$5,"marketval")+[1]!SCBAM_GetGroup1Dtl("SCBSFF","NET ASSET VALUE",CU$5,"ai")</f>
        <v>118284977564.19</v>
      </c>
      <c r="CV60" s="12">
        <f>[1]!SCBAM_GetGroup1Dtl("SCBSFF","NET ASSET VALUE",CV$5,"marketval")+[1]!SCBAM_GetGroup1Dtl("SCBSFF","NET ASSET VALUE",CV$5,"ai")</f>
        <v>115488852130.58</v>
      </c>
      <c r="CW60" s="12">
        <f>[1]!SCBAM_GetGroup1Dtl("SCBSFF","NET ASSET VALUE",CW$5,"marketval")+[1]!SCBAM_GetGroup1Dtl("SCBSFF","NET ASSET VALUE",CW$5,"ai")</f>
        <v>110789404744.3</v>
      </c>
      <c r="CX60" s="12">
        <f>[1]!SCBAM_GetGroup1Dtl("SCBSFF","NET ASSET VALUE",CX$5,"marketval")+[1]!SCBAM_GetGroup1Dtl("SCBSFF","NET ASSET VALUE",CX$5,"ai")</f>
        <v>110863352178.24001</v>
      </c>
      <c r="CY60" s="12">
        <f>[1]!SCBAM_GetGroup1Dtl("SCBSFF","NET ASSET VALUE",CY$5,"marketval")+[1]!SCBAM_GetGroup1Dtl("SCBSFF","NET ASSET VALUE",CY$5,"ai")</f>
        <v>109342564453.96001</v>
      </c>
      <c r="CZ60" s="12">
        <f>[1]!SCBAM_GetGroup1Dtl("SCBSFF","NET ASSET VALUE",CZ$5,"marketval")+[1]!SCBAM_GetGroup1Dtl("SCBSFF","NET ASSET VALUE",CZ$5,"ai")</f>
        <v>114257232998.22</v>
      </c>
      <c r="DA60" s="12">
        <f>[1]!SCBAM_GetGroup1Dtl("SCBSFF","NET ASSET VALUE",DA$5,"marketval")+[1]!SCBAM_GetGroup1Dtl("SCBSFF","NET ASSET VALUE",DA$5,"ai")</f>
        <v>112858778805.17</v>
      </c>
      <c r="DB60" s="12">
        <f>[1]!SCBAM_GetGroup1Dtl("SCBSFF","NET ASSET VALUE",DB$5,"marketval")+[1]!SCBAM_GetGroup1Dtl("SCBSFF","NET ASSET VALUE",DB$5,"ai")</f>
        <v>108757370798.34</v>
      </c>
      <c r="DC60" s="12">
        <f>[1]!SCBAM_GetGroup1Dtl("SCBSFF","NET ASSET VALUE",DC$5,"marketval")+[1]!SCBAM_GetGroup1Dtl("SCBSFF","NET ASSET VALUE",DC$5,"ai")</f>
        <v>107883319747.06001</v>
      </c>
      <c r="DD60" s="12">
        <f>[1]!SCBAM_GetGroup1Dtl("SCBSFF","NET ASSET VALUE",DD$5,"marketval")+[1]!SCBAM_GetGroup1Dtl("SCBSFF","NET ASSET VALUE",DD$5,"ai")</f>
        <v>107283104432.89</v>
      </c>
      <c r="DE60" s="12">
        <f>[1]!SCBAM_GetGroup1Dtl("SCBSFF","NET ASSET VALUE",DE$5,"marketval")+[1]!SCBAM_GetGroup1Dtl("SCBSFF","NET ASSET VALUE",DE$5,"ai")</f>
        <v>114005967339.61</v>
      </c>
      <c r="DF60" s="12">
        <f>[1]!SCBAM_GetGroup1Dtl("SCBSFF","NET ASSET VALUE",DF$5,"marketval")+[1]!SCBAM_GetGroup1Dtl("SCBSFF","NET ASSET VALUE",DF$5,"ai")</f>
        <v>112468520232.97</v>
      </c>
      <c r="DG60" s="12">
        <f>[1]!SCBAM_GetGroup1Dtl("SCBSFF","NET ASSET VALUE",DG$5,"marketval")+[1]!SCBAM_GetGroup1Dtl("SCBSFF","NET ASSET VALUE",DG$5,"ai")</f>
        <v>108010498482.10001</v>
      </c>
      <c r="DH60" s="12">
        <f>[1]!SCBAM_GetGroup1Dtl("SCBSFF","NET ASSET VALUE",DH$5,"marketval")+[1]!SCBAM_GetGroup1Dtl("SCBSFF","NET ASSET VALUE",DH$5,"ai")</f>
        <v>107245522506.54001</v>
      </c>
      <c r="DI60" s="12">
        <f>[1]!SCBAM_GetGroup1Dtl("SCBSFF","NET ASSET VALUE",DI$5,"marketval")+[1]!SCBAM_GetGroup1Dtl("SCBSFF","NET ASSET VALUE",DI$5,"ai")</f>
        <v>106401033194.37001</v>
      </c>
      <c r="DJ60" s="12">
        <f>[1]!SCBAM_GetGroup1Dtl("SCBSFF","NET ASSET VALUE",DJ$5,"marketval")+[1]!SCBAM_GetGroup1Dtl("SCBSFF","NET ASSET VALUE",DJ$5,"ai")</f>
        <v>110629906034.89999</v>
      </c>
      <c r="DK60" s="12">
        <f>[1]!SCBAM_GetGroup1Dtl("SCBSFF","NET ASSET VALUE",DK$5,"marketval")+[1]!SCBAM_GetGroup1Dtl("SCBSFF","NET ASSET VALUE",DK$5,"ai")</f>
        <v>109292084100.52</v>
      </c>
      <c r="DL60" s="12">
        <f>[1]!SCBAM_GetGroup1Dtl("SCBSFF","NET ASSET VALUE",DL$5,"marketval")+[1]!SCBAM_GetGroup1Dtl("SCBSFF","NET ASSET VALUE",DL$5,"ai")</f>
        <v>106739292456.04001</v>
      </c>
      <c r="DM60" s="12">
        <f>[1]!SCBAM_GetGroup1Dtl("SCBSFF","NET ASSET VALUE",DM$5,"marketval")+[1]!SCBAM_GetGroup1Dtl("SCBSFF","NET ASSET VALUE",DM$5,"ai")</f>
        <v>106120004745.96999</v>
      </c>
      <c r="DN60" s="12">
        <f>[1]!SCBAM_GetGroup1Dtl("SCBSFF","NET ASSET VALUE",DN$5,"marketval")+[1]!SCBAM_GetGroup1Dtl("SCBSFF","NET ASSET VALUE",DN$5,"ai")</f>
        <v>105296647956.85001</v>
      </c>
      <c r="DO60" s="12">
        <f>[1]!SCBAM_GetGroup1Dtl("SCBSFF","NET ASSET VALUE",DO$5,"marketval")+[1]!SCBAM_GetGroup1Dtl("SCBSFF","NET ASSET VALUE",DO$5,"ai")</f>
        <v>113287191108.71001</v>
      </c>
      <c r="DP60" s="12">
        <f>[1]!SCBAM_GetGroup1Dtl("SCBSFF","NET ASSET VALUE",DP$5,"marketval")+[1]!SCBAM_GetGroup1Dtl("SCBSFF","NET ASSET VALUE",DP$5,"ai")</f>
        <v>110815304814.78</v>
      </c>
      <c r="DQ60" s="12">
        <f>[1]!SCBAM_GetGroup1Dtl("SCBSFF","NET ASSET VALUE",DQ$5,"marketval")+[1]!SCBAM_GetGroup1Dtl("SCBSFF","NET ASSET VALUE",DQ$5,"ai")</f>
        <v>106780797416.66</v>
      </c>
      <c r="DR60" s="12">
        <f>[1]!SCBAM_GetGroup1Dtl("SCBSFF","NET ASSET VALUE",DR$5,"marketval")+[1]!SCBAM_GetGroup1Dtl("SCBSFF","NET ASSET VALUE",DR$5,"ai")</f>
        <v>105812606072.8</v>
      </c>
      <c r="DS60" s="12">
        <f>[1]!SCBAM_GetGroup1Dtl("SCBSFF","NET ASSET VALUE",DS$5,"marketval")+[1]!SCBAM_GetGroup1Dtl("SCBSFF","NET ASSET VALUE",DS$5,"ai")</f>
        <v>105159996240.34</v>
      </c>
      <c r="DT60" s="12">
        <f>[1]!SCBAM_GetGroup1Dtl("SCBSFF","NET ASSET VALUE",DT$5,"marketval")+[1]!SCBAM_GetGroup1Dtl("SCBSFF","NET ASSET VALUE",DT$5,"ai")</f>
        <v>108995520504.89</v>
      </c>
      <c r="DU60" s="12">
        <f>[1]!SCBAM_GetGroup1Dtl("SCBSFF","NET ASSET VALUE",DU$5,"marketval")+[1]!SCBAM_GetGroup1Dtl("SCBSFF","NET ASSET VALUE",DU$5,"ai")</f>
        <v>107597963863.95</v>
      </c>
      <c r="DV60" s="12">
        <f>[1]!SCBAM_GetGroup1Dtl("SCBSFF","NET ASSET VALUE",DV$5,"marketval")+[1]!SCBAM_GetGroup1Dtl("SCBSFF","NET ASSET VALUE",DV$5,"ai")</f>
        <v>104591557741.45999</v>
      </c>
      <c r="DW60" s="12">
        <f>[1]!SCBAM_GetGroup1Dtl("SCBSFF","NET ASSET VALUE",DW$5,"marketval")+[1]!SCBAM_GetGroup1Dtl("SCBSFF","NET ASSET VALUE",DW$5,"ai")</f>
        <v>103774053591.5</v>
      </c>
      <c r="DX60" s="12">
        <f>[1]!SCBAM_GetGroup1Dtl("SCBSFF","NET ASSET VALUE",DX$5,"marketval")+[1]!SCBAM_GetGroup1Dtl("SCBSFF","NET ASSET VALUE",DX$5,"ai")</f>
        <v>103548071114.44</v>
      </c>
      <c r="DY60" s="12">
        <f>[1]!SCBAM_GetGroup1Dtl("SCBSFF","NET ASSET VALUE",DY$5,"marketval")+[1]!SCBAM_GetGroup1Dtl("SCBSFF","NET ASSET VALUE",DY$5,"ai")</f>
        <v>112404062832.64</v>
      </c>
      <c r="DZ60" s="12">
        <f>[1]!SCBAM_GetGroup1Dtl("SCBSFF","NET ASSET VALUE",DZ$5,"marketval")+[1]!SCBAM_GetGroup1Dtl("SCBSFF","NET ASSET VALUE",DZ$5,"ai")</f>
        <v>110281068987.46001</v>
      </c>
      <c r="EA60" s="12">
        <f>[1]!SCBAM_GetGroup1Dtl("SCBSFF","NET ASSET VALUE",EA$5,"marketval")+[1]!SCBAM_GetGroup1Dtl("SCBSFF","NET ASSET VALUE",EA$5,"ai")</f>
        <v>105318383249.47</v>
      </c>
      <c r="EB60" s="12">
        <f>[1]!SCBAM_GetGroup1Dtl("SCBSFF","NET ASSET VALUE",EB$5,"marketval")+[1]!SCBAM_GetGroup1Dtl("SCBSFF","NET ASSET VALUE",EB$5,"ai")</f>
        <v>104298556927.39</v>
      </c>
      <c r="EC60" s="12">
        <f>[1]!SCBAM_GetGroup1Dtl("SCBSFF","NET ASSET VALUE",EC$5,"marketval")+[1]!SCBAM_GetGroup1Dtl("SCBSFF","NET ASSET VALUE",EC$5,"ai")</f>
        <v>105978927174.50999</v>
      </c>
      <c r="ED60" s="12">
        <f>[1]!SCBAM_GetGroup1Dtl("SCBSFF","NET ASSET VALUE",ED$5,"marketval")+[1]!SCBAM_GetGroup1Dtl("SCBSFF","NET ASSET VALUE",ED$5,"ai")</f>
        <v>105062033828.59</v>
      </c>
      <c r="EE60" s="12">
        <f>[1]!SCBAM_GetGroup1Dtl("SCBSFF","NET ASSET VALUE",EE$5,"marketval")+[1]!SCBAM_GetGroup1Dtl("SCBSFF","NET ASSET VALUE",EE$5,"ai")</f>
        <v>102915347716.08</v>
      </c>
      <c r="EF60" s="12">
        <f>[1]!SCBAM_GetGroup1Dtl("SCBSFF","NET ASSET VALUE",EF$5,"marketval")+[1]!SCBAM_GetGroup1Dtl("SCBSFF","NET ASSET VALUE",EF$5,"ai")</f>
        <v>102015882602.54999</v>
      </c>
      <c r="EG60" s="12">
        <f>[1]!SCBAM_GetGroup1Dtl("SCBSFF","NET ASSET VALUE",EG$5,"marketval")+[1]!SCBAM_GetGroup1Dtl("SCBSFF","NET ASSET VALUE",EG$5,"ai")</f>
        <v>101470103937.18001</v>
      </c>
      <c r="EH60" s="12">
        <f>[1]!SCBAM_GetGroup1Dtl("SCBSFF","NET ASSET VALUE",EH$5,"marketval")+[1]!SCBAM_GetGroup1Dtl("SCBSFF","NET ASSET VALUE",EH$5,"ai")</f>
        <v>106791601239.44</v>
      </c>
      <c r="EI60" s="12">
        <f>[1]!SCBAM_GetGroup1Dtl("SCBSFF","NET ASSET VALUE",EI$5,"marketval")+[1]!SCBAM_GetGroup1Dtl("SCBSFF","NET ASSET VALUE",EI$5,"ai")</f>
        <v>105540464139.79001</v>
      </c>
      <c r="EJ60" s="12">
        <f>[1]!SCBAM_GetGroup1Dtl("SCBSFF","NET ASSET VALUE",EJ$5,"marketval")+[1]!SCBAM_GetGroup1Dtl("SCBSFF","NET ASSET VALUE",EJ$5,"ai")</f>
        <v>102540831781.25999</v>
      </c>
      <c r="EK60" s="12">
        <f>[1]!SCBAM_GetGroup1Dtl("SCBSFF","NET ASSET VALUE",EK$5,"marketval")+[1]!SCBAM_GetGroup1Dtl("SCBSFF","NET ASSET VALUE",EK$5,"ai")</f>
        <v>101782809091.03</v>
      </c>
      <c r="EL60" s="12">
        <f>[1]!SCBAM_GetGroup1Dtl("SCBSFF","NET ASSET VALUE",EL$5,"marketval")+[1]!SCBAM_GetGroup1Dtl("SCBSFF","NET ASSET VALUE",EL$5,"ai")</f>
        <v>101055881208.25</v>
      </c>
      <c r="EM60" s="12">
        <f>[1]!SCBAM_GetGroup1Dtl("SCBSFF","NET ASSET VALUE",EM$5,"marketval")+[1]!SCBAM_GetGroup1Dtl("SCBSFF","NET ASSET VALUE",EM$5,"ai")</f>
        <v>107613058818.22</v>
      </c>
      <c r="EN60" s="12">
        <f>[1]!SCBAM_GetGroup1Dtl("SCBSFF","NET ASSET VALUE",EN$5,"marketval")+[1]!SCBAM_GetGroup1Dtl("SCBSFF","NET ASSET VALUE",EN$5,"ai")</f>
        <v>104462140836.93001</v>
      </c>
      <c r="EO60" s="12">
        <f>[1]!SCBAM_GetGroup1Dtl("SCBSFF","NET ASSET VALUE",EO$5,"marketval")+[1]!SCBAM_GetGroup1Dtl("SCBSFF","NET ASSET VALUE",EO$5,"ai")</f>
        <v>103465711975.17999</v>
      </c>
      <c r="EP60" s="12">
        <f>[1]!SCBAM_GetGroup1Dtl("SCBSFF","NET ASSET VALUE",EP$5,"marketval")+[1]!SCBAM_GetGroup1Dtl("SCBSFF","NET ASSET VALUE",EP$5,"ai")</f>
        <v>102743537745.2</v>
      </c>
      <c r="EQ60" s="12">
        <f>[1]!SCBAM_GetGroup1Dtl("SCBSFF","NET ASSET VALUE",EQ$5,"marketval")+[1]!SCBAM_GetGroup1Dtl("SCBSFF","NET ASSET VALUE",EQ$5,"ai")</f>
        <v>107195620063.14</v>
      </c>
      <c r="ER60" s="12">
        <f>[1]!SCBAM_GetGroup1Dtl("SCBSFF","NET ASSET VALUE",ER$5,"marketval")+[1]!SCBAM_GetGroup1Dtl("SCBSFF","NET ASSET VALUE",ER$5,"ai")</f>
        <v>105791239996.92</v>
      </c>
      <c r="ES60" s="12">
        <f>[1]!SCBAM_GetGroup1Dtl("SCBSFF","NET ASSET VALUE",ES$5,"marketval")+[1]!SCBAM_GetGroup1Dtl("SCBSFF","NET ASSET VALUE",ES$5,"ai")</f>
        <v>102629149904.09999</v>
      </c>
      <c r="ET60" s="12">
        <f>[1]!SCBAM_GetGroup1Dtl("SCBSFF","NET ASSET VALUE",ET$5,"marketval")+[1]!SCBAM_GetGroup1Dtl("SCBSFF","NET ASSET VALUE",ET$5,"ai")</f>
        <v>101828672120.44</v>
      </c>
      <c r="EU60" s="12">
        <f>[1]!SCBAM_GetGroup1Dtl("SCBSFF","NET ASSET VALUE",EU$5,"marketval")+[1]!SCBAM_GetGroup1Dtl("SCBSFF","NET ASSET VALUE",EU$5,"ai")</f>
        <v>101370088889.51001</v>
      </c>
      <c r="EV60" s="12">
        <f>[1]!SCBAM_GetGroup1Dtl("SCBSFF","NET ASSET VALUE",EV$5,"marketval")+[1]!SCBAM_GetGroup1Dtl("SCBSFF","NET ASSET VALUE",EV$5,"ai")</f>
        <v>102583670870.03</v>
      </c>
      <c r="EW60" s="12">
        <f>[1]!SCBAM_GetGroup1Dtl("SCBSFF","NET ASSET VALUE",EW$5,"marketval")+[1]!SCBAM_GetGroup1Dtl("SCBSFF","NET ASSET VALUE",EW$5,"ai")</f>
        <v>101726274542.14999</v>
      </c>
      <c r="EX60" s="12">
        <f>[1]!SCBAM_GetGroup1Dtl("SCBSFF","NET ASSET VALUE",EX$5,"marketval")+[1]!SCBAM_GetGroup1Dtl("SCBSFF","NET ASSET VALUE",EX$5,"ai")</f>
        <v>99670197158.889999</v>
      </c>
      <c r="EY60" s="12">
        <f>[1]!SCBAM_GetGroup1Dtl("SCBSFF","NET ASSET VALUE",EY$5,"marketval")+[1]!SCBAM_GetGroup1Dtl("SCBSFF","NET ASSET VALUE",EY$5,"ai")</f>
        <v>99274340550.339996</v>
      </c>
      <c r="EZ60" s="12">
        <f>[1]!SCBAM_GetGroup1Dtl("SCBSFF","NET ASSET VALUE",EZ$5,"marketval")+[1]!SCBAM_GetGroup1Dtl("SCBSFF","NET ASSET VALUE",EZ$5,"ai")</f>
        <v>101721436250.75</v>
      </c>
      <c r="FA60" s="12">
        <f>[1]!SCBAM_GetGroup1Dtl("SCBSFF","NET ASSET VALUE",FA$5,"marketval")+[1]!SCBAM_GetGroup1Dtl("SCBSFF","NET ASSET VALUE",FA$5,"ai")</f>
        <v>101155520696.68999</v>
      </c>
      <c r="FB60" s="12">
        <f>[1]!SCBAM_GetGroup1Dtl("SCBSFF","NET ASSET VALUE",FB$5,"marketval")+[1]!SCBAM_GetGroup1Dtl("SCBSFF","NET ASSET VALUE",FB$5,"ai")</f>
        <v>99691030251.840012</v>
      </c>
      <c r="FC60" s="12">
        <f>[1]!SCBAM_GetGroup1Dtl("SCBSFF","NET ASSET VALUE",FC$5,"marketval")+[1]!SCBAM_GetGroup1Dtl("SCBSFF","NET ASSET VALUE",FC$5,"ai")</f>
        <v>100208733864.64</v>
      </c>
      <c r="FD60" s="12">
        <f>[1]!SCBAM_GetGroup1Dtl("SCBSFF","NET ASSET VALUE",FD$5,"marketval")+[1]!SCBAM_GetGroup1Dtl("SCBSFF","NET ASSET VALUE",FD$5,"ai")</f>
        <v>99618923020.190002</v>
      </c>
      <c r="FE60" s="12">
        <f>[1]!SCBAM_GetGroup1Dtl("SCBSFF","NET ASSET VALUE",FE$5,"marketval")+[1]!SCBAM_GetGroup1Dtl("SCBSFF","NET ASSET VALUE",FE$5,"ai")</f>
        <v>103544322695.57001</v>
      </c>
      <c r="FF60" s="12">
        <f>[1]!SCBAM_GetGroup1Dtl("SCBSFF","NET ASSET VALUE",FF$5,"marketval")+[1]!SCBAM_GetGroup1Dtl("SCBSFF","NET ASSET VALUE",FF$5,"ai")</f>
        <v>102096691754.8</v>
      </c>
      <c r="FG60" s="12">
        <f>[1]!SCBAM_GetGroup1Dtl("SCBSFF","NET ASSET VALUE",FG$5,"marketval")+[1]!SCBAM_GetGroup1Dtl("SCBSFF","NET ASSET VALUE",FG$5,"ai")</f>
        <v>99702699068.589996</v>
      </c>
      <c r="FH60" s="12">
        <f>[1]!SCBAM_GetGroup1Dtl("SCBSFF","NET ASSET VALUE",FH$5,"marketval")+[1]!SCBAM_GetGroup1Dtl("SCBSFF","NET ASSET VALUE",FH$5,"ai")</f>
        <v>99119368396.029999</v>
      </c>
      <c r="FI60" s="12">
        <f>[1]!SCBAM_GetGroup1Dtl("SCBSFF","NET ASSET VALUE",FI$5,"marketval")+[1]!SCBAM_GetGroup1Dtl("SCBSFF","NET ASSET VALUE",FI$5,"ai")</f>
        <v>98780892880.240005</v>
      </c>
      <c r="FJ60" s="12">
        <f>[1]!SCBAM_GetGroup1Dtl("SCBSFF","NET ASSET VALUE",FJ$5,"marketval")+[1]!SCBAM_GetGroup1Dtl("SCBSFF","NET ASSET VALUE",FJ$5,"ai")</f>
        <v>102310754316.31</v>
      </c>
      <c r="FK60" s="12">
        <f>[1]!SCBAM_GetGroup1Dtl("SCBSFF","NET ASSET VALUE",FK$5,"marketval")+[1]!SCBAM_GetGroup1Dtl("SCBSFF","NET ASSET VALUE",FK$5,"ai")</f>
        <v>101541778082.61</v>
      </c>
      <c r="FL60" s="12">
        <f>[1]!SCBAM_GetGroup1Dtl("SCBSFF","NET ASSET VALUE",FL$5,"marketval")+[1]!SCBAM_GetGroup1Dtl("SCBSFF","NET ASSET VALUE",FL$5,"ai")</f>
        <v>99489015272.720001</v>
      </c>
      <c r="FM60" s="12">
        <f>[1]!SCBAM_GetGroup1Dtl("SCBSFF","NET ASSET VALUE",FM$5,"marketval")+[1]!SCBAM_GetGroup1Dtl("SCBSFF","NET ASSET VALUE",FM$5,"ai")</f>
        <v>99342594948.020004</v>
      </c>
      <c r="FN60" s="12">
        <f>[1]!SCBAM_GetGroup1Dtl("SCBSFF","NET ASSET VALUE",FN$5,"marketval")+[1]!SCBAM_GetGroup1Dtl("SCBSFF","NET ASSET VALUE",FN$5,"ai")</f>
        <v>98840352452.880005</v>
      </c>
      <c r="FO60" s="12">
        <f>[1]!SCBAM_GetGroup1Dtl("SCBSFF","NET ASSET VALUE",FO$5,"marketval")+[1]!SCBAM_GetGroup1Dtl("SCBSFF","NET ASSET VALUE",FO$5,"ai")</f>
        <v>102540852409.84</v>
      </c>
      <c r="FP60" s="12">
        <f>[1]!SCBAM_GetGroup1Dtl("SCBSFF","NET ASSET VALUE",FP$5,"marketval")+[1]!SCBAM_GetGroup1Dtl("SCBSFF","NET ASSET VALUE",FP$5,"ai")</f>
        <v>101153027300.5</v>
      </c>
      <c r="FQ60" s="12">
        <f>[1]!SCBAM_GetGroup1Dtl("SCBSFF","NET ASSET VALUE",FQ$5,"marketval")+[1]!SCBAM_GetGroup1Dtl("SCBSFF","NET ASSET VALUE",FQ$5,"ai")</f>
        <v>99438711412.389999</v>
      </c>
      <c r="FR60" s="12">
        <f>[1]!SCBAM_GetGroup1Dtl("SCBSFF","NET ASSET VALUE",FR$5,"marketval")+[1]!SCBAM_GetGroup1Dtl("SCBSFF","NET ASSET VALUE",FR$5,"ai")</f>
        <v>98928925894.529999</v>
      </c>
      <c r="FS60" s="12">
        <f>[1]!SCBAM_GetGroup1Dtl("SCBSFF","NET ASSET VALUE",FS$5,"marketval")+[1]!SCBAM_GetGroup1Dtl("SCBSFF","NET ASSET VALUE",FS$5,"ai")</f>
        <v>98709054136.679993</v>
      </c>
      <c r="FT60" s="12">
        <f>[1]!SCBAM_GetGroup1Dtl("SCBSFF","NET ASSET VALUE",FT$5,"marketval")+[1]!SCBAM_GetGroup1Dtl("SCBSFF","NET ASSET VALUE",FT$5,"ai")</f>
        <v>101401411726.70001</v>
      </c>
      <c r="FU60" s="12">
        <f>[1]!SCBAM_GetGroup1Dtl("SCBSFF","NET ASSET VALUE",FU$5,"marketval")+[1]!SCBAM_GetGroup1Dtl("SCBSFF","NET ASSET VALUE",FU$5,"ai")</f>
        <v>100575219135.38</v>
      </c>
      <c r="FV60" s="12">
        <f>[1]!SCBAM_GetGroup1Dtl("SCBSFF","NET ASSET VALUE",FV$5,"marketval")+[1]!SCBAM_GetGroup1Dtl("SCBSFF","NET ASSET VALUE",FV$5,"ai")</f>
        <v>99350479576.889999</v>
      </c>
      <c r="FW60" s="12">
        <f>[1]!SCBAM_GetGroup1Dtl("SCBSFF","NET ASSET VALUE",FW$5,"marketval")+[1]!SCBAM_GetGroup1Dtl("SCBSFF","NET ASSET VALUE",FW$5,"ai")</f>
        <v>98784547773.160004</v>
      </c>
      <c r="FX60" s="12">
        <f>[1]!SCBAM_GetGroup1Dtl("SCBSFF","NET ASSET VALUE",FX$5,"marketval")+[1]!SCBAM_GetGroup1Dtl("SCBSFF","NET ASSET VALUE",FX$5,"ai")</f>
        <v>101020726091.44</v>
      </c>
      <c r="FY60" s="12">
        <f>[1]!SCBAM_GetGroup1Dtl("SCBSFF","NET ASSET VALUE",FY$5,"marketval")+[1]!SCBAM_GetGroup1Dtl("SCBSFF","NET ASSET VALUE",FY$5,"ai")</f>
        <v>100476421975.87</v>
      </c>
      <c r="FZ60" s="12">
        <f>[1]!SCBAM_GetGroup1Dtl("SCBSFF","NET ASSET VALUE",FZ$5,"marketval")+[1]!SCBAM_GetGroup1Dtl("SCBSFF","NET ASSET VALUE",FZ$5,"ai")</f>
        <v>100695656443.25999</v>
      </c>
      <c r="GA60" s="12">
        <f>[1]!SCBAM_GetGroup1Dtl("SCBSFF","NET ASSET VALUE",GA$5,"marketval")+[1]!SCBAM_GetGroup1Dtl("SCBSFF","NET ASSET VALUE",GA$5,"ai")</f>
        <v>99251440078.839996</v>
      </c>
      <c r="GB60" s="12">
        <f>[1]!SCBAM_GetGroup1Dtl("SCBSFF","NET ASSET VALUE",GB$5,"marketval")+[1]!SCBAM_GetGroup1Dtl("SCBSFF","NET ASSET VALUE",GB$5,"ai")</f>
        <v>98565094242.069992</v>
      </c>
      <c r="GC60" s="12">
        <f>[1]!SCBAM_GetGroup1Dtl("SCBSFF","NET ASSET VALUE",GC$5,"marketval")+[1]!SCBAM_GetGroup1Dtl("SCBSFF","NET ASSET VALUE",GC$5,"ai")</f>
        <v>98098663288.199997</v>
      </c>
      <c r="GD60" s="12">
        <f>[1]!SCBAM_GetGroup1Dtl("SCBSFF","NET ASSET VALUE",GD$5,"marketval")+[1]!SCBAM_GetGroup1Dtl("SCBSFF","NET ASSET VALUE",GD$5,"ai")</f>
        <v>99956704984.910004</v>
      </c>
      <c r="GE60" s="12">
        <f>[1]!SCBAM_GetGroup1Dtl("SCBSFF","NET ASSET VALUE",GE$5,"marketval")+[1]!SCBAM_GetGroup1Dtl("SCBSFF","NET ASSET VALUE",GE$5,"ai")</f>
        <v>99312202214.87001</v>
      </c>
      <c r="GF60" s="12">
        <f>[1]!SCBAM_GetGroup1Dtl("SCBSFF","NET ASSET VALUE",GF$5,"marketval")+[1]!SCBAM_GetGroup1Dtl("SCBSFF","NET ASSET VALUE",GF$5,"ai")</f>
        <v>98391634235.310013</v>
      </c>
      <c r="GG60" s="12">
        <f>[1]!SCBAM_GetGroup1Dtl("SCBSFF","NET ASSET VALUE",GG$5,"marketval")+[1]!SCBAM_GetGroup1Dtl("SCBSFF","NET ASSET VALUE",GG$5,"ai")</f>
        <v>97969369849.050003</v>
      </c>
      <c r="GH60" s="12">
        <f>[1]!SCBAM_GetGroup1Dtl("SCBSFF","NET ASSET VALUE",GH$5,"marketval")+[1]!SCBAM_GetGroup1Dtl("SCBSFF","NET ASSET VALUE",GH$5,"ai")</f>
        <v>97578026290.710007</v>
      </c>
      <c r="GI60" s="12">
        <f>[1]!SCBAM_GetGroup1Dtl("SCBSFF","NET ASSET VALUE",GI$5,"marketval")+[1]!SCBAM_GetGroup1Dtl("SCBSFF","NET ASSET VALUE",GI$5,"ai")</f>
        <v>96962391510.549988</v>
      </c>
      <c r="GJ60" s="12">
        <f>[1]!SCBAM_GetGroup1Dtl("SCBSFF","NET ASSET VALUE",GJ$5,"marketval")+[1]!SCBAM_GetGroup1Dtl("SCBSFF","NET ASSET VALUE",GJ$5,"ai")</f>
        <v>96880835514.539993</v>
      </c>
      <c r="GK60" s="12">
        <f>[1]!SCBAM_GetGroup1Dtl("SCBSFF","NET ASSET VALUE",GK$5,"marketval")+[1]!SCBAM_GetGroup1Dtl("SCBSFF","NET ASSET VALUE",GK$5,"ai")</f>
        <v>96063686877.950012</v>
      </c>
      <c r="GL60" s="12">
        <f>[1]!SCBAM_GetGroup1Dtl("SCBSFF","NET ASSET VALUE",GL$5,"marketval")+[1]!SCBAM_GetGroup1Dtl("SCBSFF","NET ASSET VALUE",GL$5,"ai")</f>
        <v>105426095075.36</v>
      </c>
      <c r="GM60" s="12">
        <f>[1]!SCBAM_GetGroup1Dtl("SCBSFF","NET ASSET VALUE",GM$5,"marketval")+[1]!SCBAM_GetGroup1Dtl("SCBSFF","NET ASSET VALUE",GM$5,"ai")</f>
        <v>102748993744.5</v>
      </c>
      <c r="GN60" s="12">
        <f>[1]!SCBAM_GetGroup1Dtl("SCBSFF","NET ASSET VALUE",GN$5,"marketval")+[1]!SCBAM_GetGroup1Dtl("SCBSFF","NET ASSET VALUE",GN$5,"ai")</f>
        <v>101565902530.40001</v>
      </c>
      <c r="GO60" s="12">
        <f>[1]!SCBAM_GetGroup1Dtl("SCBSFF","NET ASSET VALUE",GO$5,"marketval")+[1]!SCBAM_GetGroup1Dtl("SCBSFF","NET ASSET VALUE",GO$5,"ai")</f>
        <v>99301137924.900009</v>
      </c>
      <c r="GP60" s="12">
        <f>[1]!SCBAM_GetGroup1Dtl("SCBSFF","NET ASSET VALUE",GP$5,"marketval")+[1]!SCBAM_GetGroup1Dtl("SCBSFF","NET ASSET VALUE",GP$5,"ai")</f>
        <v>98615522763.769989</v>
      </c>
      <c r="GQ60" s="12">
        <f>[1]!SCBAM_GetGroup1Dtl("SCBSFF","NET ASSET VALUE",GQ$5,"marketval")+[1]!SCBAM_GetGroup1Dtl("SCBSFF","NET ASSET VALUE",GQ$5,"ai")</f>
        <v>98314912750.389999</v>
      </c>
      <c r="GR60" s="12">
        <f>[1]!SCBAM_GetGroup1Dtl("SCBSFF","NET ASSET VALUE",GR$5,"marketval")+[1]!SCBAM_GetGroup1Dtl("SCBSFF","NET ASSET VALUE",GR$5,"ai")</f>
        <v>101737488874.28</v>
      </c>
      <c r="GS60" s="12">
        <f>[1]!SCBAM_GetGroup1Dtl("SCBSFF","NET ASSET VALUE",GS$5,"marketval")+[1]!SCBAM_GetGroup1Dtl("SCBSFF","NET ASSET VALUE",GS$5,"ai")</f>
        <v>100488196462.59999</v>
      </c>
      <c r="GT60" s="12">
        <f>[1]!SCBAM_GetGroup1Dtl("SCBSFF","NET ASSET VALUE",GT$5,"marketval")+[1]!SCBAM_GetGroup1Dtl("SCBSFF","NET ASSET VALUE",GT$5,"ai")</f>
        <v>98407078817.740005</v>
      </c>
      <c r="GU60" s="12">
        <f>[1]!SCBAM_GetGroup1Dtl("SCBSFF","NET ASSET VALUE",GU$5,"marketval")+[1]!SCBAM_GetGroup1Dtl("SCBSFF","NET ASSET VALUE",GU$5,"ai")</f>
        <v>97957670735.190002</v>
      </c>
      <c r="GV60" s="12">
        <f>[1]!SCBAM_GetGroup1Dtl("SCBSFF","NET ASSET VALUE",GV$5,"marketval")+[1]!SCBAM_GetGroup1Dtl("SCBSFF","NET ASSET VALUE",GV$5,"ai")</f>
        <v>104948921044.09999</v>
      </c>
      <c r="GW60" s="12">
        <f>[1]!SCBAM_GetGroup1Dtl("SCBSFF","NET ASSET VALUE",GW$5,"marketval")+[1]!SCBAM_GetGroup1Dtl("SCBSFF","NET ASSET VALUE",GW$5,"ai")</f>
        <v>102161050590.83</v>
      </c>
      <c r="GX60" s="12">
        <f>[1]!SCBAM_GetGroup1Dtl("SCBSFF","NET ASSET VALUE",GX$5,"marketval")+[1]!SCBAM_GetGroup1Dtl("SCBSFF","NET ASSET VALUE",GX$5,"ai")</f>
        <v>100719117153.89</v>
      </c>
      <c r="GY60" s="12">
        <f>[1]!SCBAM_GetGroup1Dtl("SCBSFF","NET ASSET VALUE",GY$5,"marketval")+[1]!SCBAM_GetGroup1Dtl("SCBSFF","NET ASSET VALUE",GY$5,"ai")</f>
        <v>99885709797.470001</v>
      </c>
      <c r="GZ60" s="12">
        <f>[1]!SCBAM_GetGroup1Dtl("SCBSFF","NET ASSET VALUE",GZ$5,"marketval")+[1]!SCBAM_GetGroup1Dtl("SCBSFF","NET ASSET VALUE",GZ$5,"ai")</f>
        <v>103807860935.86</v>
      </c>
      <c r="HA60" s="12">
        <f>[1]!SCBAM_GetGroup1Dtl("SCBSFF","NET ASSET VALUE",HA$5,"marketval")+[1]!SCBAM_GetGroup1Dtl("SCBSFF","NET ASSET VALUE",HA$5,"ai")</f>
        <v>102258563063.13</v>
      </c>
      <c r="HB60" s="12">
        <f>[1]!SCBAM_GetGroup1Dtl("SCBSFF","NET ASSET VALUE",HB$5,"marketval")+[1]!SCBAM_GetGroup1Dtl("SCBSFF","NET ASSET VALUE",HB$5,"ai")</f>
        <v>98484663628.009995</v>
      </c>
      <c r="HC60" s="12">
        <f>[1]!SCBAM_GetGroup1Dtl("SCBSFF","NET ASSET VALUE",HC$5,"marketval")+[1]!SCBAM_GetGroup1Dtl("SCBSFF","NET ASSET VALUE",HC$5,"ai")</f>
        <v>98091036319.01001</v>
      </c>
      <c r="HD60" s="12">
        <f>[1]!SCBAM_GetGroup1Dtl("SCBSFF","NET ASSET VALUE",HD$5,"marketval")+[1]!SCBAM_GetGroup1Dtl("SCBSFF","NET ASSET VALUE",HD$5,"ai")</f>
        <v>97649641992.899994</v>
      </c>
      <c r="HE60" s="12">
        <f>[1]!SCBAM_GetGroup1Dtl("SCBSFF","NET ASSET VALUE",HE$5,"marketval")+[1]!SCBAM_GetGroup1Dtl("SCBSFF","NET ASSET VALUE",HE$5,"ai")</f>
        <v>99898025597.410004</v>
      </c>
      <c r="HF60" s="12">
        <f>[1]!SCBAM_GetGroup1Dtl("SCBSFF","NET ASSET VALUE",HF$5,"marketval")+[1]!SCBAM_GetGroup1Dtl("SCBSFF","NET ASSET VALUE",HF$5,"ai")</f>
        <v>98784885535.26001</v>
      </c>
      <c r="HG60" s="12">
        <f>[1]!SCBAM_GetGroup1Dtl("SCBSFF","NET ASSET VALUE",HG$5,"marketval")+[1]!SCBAM_GetGroup1Dtl("SCBSFF","NET ASSET VALUE",HG$5,"ai")</f>
        <v>96481760094.37001</v>
      </c>
      <c r="HH60" s="12">
        <f>[1]!SCBAM_GetGroup1Dtl("SCBSFF","NET ASSET VALUE",HH$5,"marketval")+[1]!SCBAM_GetGroup1Dtl("SCBSFF","NET ASSET VALUE",HH$5,"ai")</f>
        <v>95852145507.759995</v>
      </c>
      <c r="HI60" s="12">
        <f>[1]!SCBAM_GetGroup1Dtl("SCBSFF","NET ASSET VALUE",HI$5,"marketval")+[1]!SCBAM_GetGroup1Dtl("SCBSFF","NET ASSET VALUE",HI$5,"ai")</f>
        <v>102036887753.37</v>
      </c>
      <c r="HJ60" s="12">
        <f>[1]!SCBAM_GetGroup1Dtl("SCBSFF","NET ASSET VALUE",HJ$5,"marketval")+[1]!SCBAM_GetGroup1Dtl("SCBSFF","NET ASSET VALUE",HJ$5,"ai")</f>
        <v>104101934864.64</v>
      </c>
      <c r="HK60" s="12">
        <f>[1]!SCBAM_GetGroup1Dtl("SCBSFF","NET ASSET VALUE",HK$5,"marketval")+[1]!SCBAM_GetGroup1Dtl("SCBSFF","NET ASSET VALUE",HK$5,"ai")</f>
        <v>102887197927.64999</v>
      </c>
      <c r="HL60" s="12">
        <f>[1]!SCBAM_GetGroup1Dtl("SCBSFF","NET ASSET VALUE",HL$5,"marketval")+[1]!SCBAM_GetGroup1Dtl("SCBSFF","NET ASSET VALUE",HL$5,"ai")</f>
        <v>99643763425.73999</v>
      </c>
      <c r="HM60" s="12" t="e">
        <f t="shared" ref="HM60:HR60" ca="1" si="58">SCBAM_GetGroup1Dtl("SCBSFF","NET ASSET VALUE",HM$5,"marketval")+SCBAM_GetGroup1Dtl("SCBSFF","NET ASSET VALUE",HM$5,"ai")</f>
        <v>#NAME?</v>
      </c>
      <c r="HN60" s="12" t="e">
        <f t="shared" ca="1" si="58"/>
        <v>#NAME?</v>
      </c>
      <c r="HO60" s="12" t="e">
        <f t="shared" ca="1" si="58"/>
        <v>#NAME?</v>
      </c>
      <c r="HP60" s="12" t="e">
        <f t="shared" ca="1" si="58"/>
        <v>#NAME?</v>
      </c>
      <c r="HQ60" s="12" t="e">
        <f t="shared" ca="1" si="58"/>
        <v>#NAME?</v>
      </c>
      <c r="HR60" s="12" t="e">
        <f t="shared" ca="1" si="58"/>
        <v>#NAME?</v>
      </c>
      <c r="HS60" s="12" t="e">
        <f t="shared" ref="HS60:HX60" ca="1" si="59">SCBAM_GetGroup1Dtl("SCBSFF","NET ASSET VALUE",HS$5,"marketval")+SCBAM_GetGroup1Dtl("SCBSFF","NET ASSET VALUE",HS$5,"ai")</f>
        <v>#NAME?</v>
      </c>
      <c r="HT60" s="12" t="e">
        <f t="shared" ca="1" si="59"/>
        <v>#NAME?</v>
      </c>
      <c r="HU60" s="12" t="e">
        <f t="shared" ca="1" si="59"/>
        <v>#NAME?</v>
      </c>
      <c r="HV60" s="12" t="e">
        <f t="shared" ca="1" si="59"/>
        <v>#NAME?</v>
      </c>
      <c r="HW60" s="12" t="e">
        <f t="shared" ca="1" si="59"/>
        <v>#NAME?</v>
      </c>
      <c r="HX60" s="12" t="e">
        <f t="shared" ca="1" si="59"/>
        <v>#NAME?</v>
      </c>
      <c r="HY60" s="12" t="e">
        <f t="shared" ref="HY60:ID60" ca="1" si="60">SCBAM_GetGroup1Dtl("SCBSFF","NET ASSET VALUE",HY$5,"marketval")+SCBAM_GetGroup1Dtl("SCBSFF","NET ASSET VALUE",HY$5,"ai")</f>
        <v>#NAME?</v>
      </c>
      <c r="HZ60" s="12" t="e">
        <f t="shared" ca="1" si="60"/>
        <v>#NAME?</v>
      </c>
      <c r="IA60" s="12" t="e">
        <f t="shared" ca="1" si="60"/>
        <v>#NAME?</v>
      </c>
      <c r="IB60" s="12" t="e">
        <f t="shared" ca="1" si="60"/>
        <v>#NAME?</v>
      </c>
      <c r="IC60" s="12" t="e">
        <f t="shared" ca="1" si="60"/>
        <v>#NAME?</v>
      </c>
      <c r="ID60" s="12" t="e">
        <f t="shared" ca="1" si="60"/>
        <v>#NAME?</v>
      </c>
      <c r="IE60" s="12" t="e">
        <f t="shared" ref="IE60:IJ60" ca="1" si="61">SCBAM_GetGroup1Dtl("SCBSFF","NET ASSET VALUE",IE$5,"marketval")+SCBAM_GetGroup1Dtl("SCBSFF","NET ASSET VALUE",IE$5,"ai")</f>
        <v>#NAME?</v>
      </c>
      <c r="IF60" s="12" t="e">
        <f t="shared" ca="1" si="61"/>
        <v>#NAME?</v>
      </c>
      <c r="IG60" s="12" t="e">
        <f t="shared" ca="1" si="61"/>
        <v>#NAME?</v>
      </c>
      <c r="IH60" s="12" t="e">
        <f t="shared" ca="1" si="61"/>
        <v>#NAME?</v>
      </c>
      <c r="II60" s="12" t="e">
        <f t="shared" ca="1" si="61"/>
        <v>#NAME?</v>
      </c>
      <c r="IJ60" s="12" t="e">
        <f t="shared" ca="1" si="61"/>
        <v>#NAME?</v>
      </c>
      <c r="IK60" s="12" t="e">
        <f t="shared" ref="IK60:IR60" ca="1" si="62">SCBAM_GetGroup1Dtl("SCBSFF","NET ASSET VALUE",IK$5,"marketval")+SCBAM_GetGroup1Dtl("SCBSFF","NET ASSET VALUE",IK$5,"ai")</f>
        <v>#NAME?</v>
      </c>
      <c r="IL60" s="12" t="e">
        <f t="shared" ca="1" si="62"/>
        <v>#NAME?</v>
      </c>
      <c r="IM60" s="12" t="e">
        <f t="shared" ca="1" si="62"/>
        <v>#NAME?</v>
      </c>
      <c r="IN60" s="12" t="e">
        <f t="shared" ca="1" si="62"/>
        <v>#NAME?</v>
      </c>
      <c r="IO60" s="12" t="e">
        <f t="shared" ca="1" si="62"/>
        <v>#NAME?</v>
      </c>
      <c r="IP60" s="12" t="e">
        <f t="shared" ca="1" si="62"/>
        <v>#NAME?</v>
      </c>
      <c r="IQ60" s="12" t="e">
        <f t="shared" ca="1" si="62"/>
        <v>#NAME?</v>
      </c>
      <c r="IR60" s="12" t="e">
        <f t="shared" ca="1" si="62"/>
        <v>#NAME?</v>
      </c>
      <c r="IS60" s="12" t="e">
        <f t="shared" ref="IS60:IX60" ca="1" si="63">SCBAM_GetGroup1Dtl("SCBSFF","NET ASSET VALUE",IS$5,"marketval")+SCBAM_GetGroup1Dtl("SCBSFF","NET ASSET VALUE",IS$5,"ai")</f>
        <v>#NAME?</v>
      </c>
      <c r="IT60" s="12" t="e">
        <f t="shared" ca="1" si="63"/>
        <v>#NAME?</v>
      </c>
      <c r="IU60" s="12" t="e">
        <f t="shared" ca="1" si="63"/>
        <v>#NAME?</v>
      </c>
      <c r="IV60" s="12" t="e">
        <f t="shared" ca="1" si="63"/>
        <v>#NAME?</v>
      </c>
      <c r="IW60" s="12" t="e">
        <f t="shared" ca="1" si="63"/>
        <v>#NAME?</v>
      </c>
      <c r="IX60" s="12" t="e">
        <f t="shared" ca="1" si="63"/>
        <v>#NAME?</v>
      </c>
      <c r="IY60" s="12" t="e">
        <f t="shared" ref="IY60:JD60" ca="1" si="64">SCBAM_GetGroup1Dtl("SCBSFF","NET ASSET VALUE",IY$5,"marketval")+SCBAM_GetGroup1Dtl("SCBSFF","NET ASSET VALUE",IY$5,"ai")</f>
        <v>#NAME?</v>
      </c>
      <c r="IZ60" s="12" t="e">
        <f t="shared" ca="1" si="64"/>
        <v>#NAME?</v>
      </c>
      <c r="JA60" s="12" t="e">
        <f t="shared" ca="1" si="64"/>
        <v>#NAME?</v>
      </c>
      <c r="JB60" s="12" t="e">
        <f t="shared" ca="1" si="64"/>
        <v>#NAME?</v>
      </c>
      <c r="JC60" s="12" t="e">
        <f t="shared" ca="1" si="64"/>
        <v>#NAME?</v>
      </c>
      <c r="JD60" s="12" t="e">
        <f t="shared" ca="1" si="64"/>
        <v>#NAME?</v>
      </c>
      <c r="JE60" s="12" t="e">
        <f t="shared" ref="JE60:JJ60" ca="1" si="65">SCBAM_GetGroup1Dtl("SCBSFF","NET ASSET VALUE",JE$5,"marketval")+SCBAM_GetGroup1Dtl("SCBSFF","NET ASSET VALUE",JE$5,"ai")</f>
        <v>#NAME?</v>
      </c>
      <c r="JF60" s="12" t="e">
        <f t="shared" ca="1" si="65"/>
        <v>#NAME?</v>
      </c>
      <c r="JG60" s="12" t="e">
        <f t="shared" ca="1" si="65"/>
        <v>#NAME?</v>
      </c>
      <c r="JH60" s="12" t="e">
        <f t="shared" ca="1" si="65"/>
        <v>#NAME?</v>
      </c>
      <c r="JI60" s="12" t="e">
        <f t="shared" ca="1" si="65"/>
        <v>#NAME?</v>
      </c>
      <c r="JJ60" s="12" t="e">
        <f t="shared" ca="1" si="65"/>
        <v>#NAME?</v>
      </c>
      <c r="JK60" s="12" t="e">
        <f t="shared" ref="JK60:JP60" ca="1" si="66">SCBAM_GetGroup1Dtl("SCBSFF","NET ASSET VALUE",JK$5,"marketval")+SCBAM_GetGroup1Dtl("SCBSFF","NET ASSET VALUE",JK$5,"ai")</f>
        <v>#NAME?</v>
      </c>
      <c r="JL60" s="12" t="e">
        <f t="shared" ca="1" si="66"/>
        <v>#NAME?</v>
      </c>
      <c r="JM60" s="12" t="e">
        <f t="shared" ca="1" si="66"/>
        <v>#NAME?</v>
      </c>
      <c r="JN60" s="12" t="e">
        <f t="shared" ca="1" si="66"/>
        <v>#NAME?</v>
      </c>
      <c r="JO60" s="12" t="e">
        <f t="shared" ca="1" si="66"/>
        <v>#NAME?</v>
      </c>
      <c r="JP60" s="12" t="e">
        <f t="shared" ca="1" si="66"/>
        <v>#NAME?</v>
      </c>
      <c r="JQ60" s="12" t="e">
        <f t="shared" ref="JQ60:JV60" ca="1" si="67">SCBAM_GetGroup1Dtl("SCBSFF","NET ASSET VALUE",JQ$5,"marketval")+SCBAM_GetGroup1Dtl("SCBSFF","NET ASSET VALUE",JQ$5,"ai")</f>
        <v>#NAME?</v>
      </c>
      <c r="JR60" s="12" t="e">
        <f t="shared" ca="1" si="67"/>
        <v>#NAME?</v>
      </c>
      <c r="JS60" s="12" t="e">
        <f t="shared" ca="1" si="67"/>
        <v>#NAME?</v>
      </c>
      <c r="JT60" s="12" t="e">
        <f t="shared" ca="1" si="67"/>
        <v>#NAME?</v>
      </c>
      <c r="JU60" s="12" t="e">
        <f t="shared" ca="1" si="67"/>
        <v>#NAME?</v>
      </c>
      <c r="JV60" s="12" t="e">
        <f t="shared" ca="1" si="67"/>
        <v>#NAME?</v>
      </c>
      <c r="JW60" s="12" t="e">
        <f t="shared" ref="JW60:KB60" ca="1" si="68">SCBAM_GetGroup1Dtl("SCBSFF","NET ASSET VALUE",JW$5,"marketval")+SCBAM_GetGroup1Dtl("SCBSFF","NET ASSET VALUE",JW$5,"ai")</f>
        <v>#NAME?</v>
      </c>
      <c r="JX60" s="12" t="e">
        <f t="shared" ca="1" si="68"/>
        <v>#NAME?</v>
      </c>
      <c r="JY60" s="12" t="e">
        <f t="shared" ca="1" si="68"/>
        <v>#NAME?</v>
      </c>
      <c r="JZ60" s="12" t="e">
        <f t="shared" ca="1" si="68"/>
        <v>#NAME?</v>
      </c>
      <c r="KA60" s="12" t="e">
        <f t="shared" ca="1" si="68"/>
        <v>#NAME?</v>
      </c>
      <c r="KB60" s="12" t="e">
        <f t="shared" ca="1" si="68"/>
        <v>#NAME?</v>
      </c>
      <c r="KC60" s="12" t="e">
        <f t="shared" ref="KC60:KH60" ca="1" si="69">SCBAM_GetGroup1Dtl("SCBSFF","NET ASSET VALUE",KC$5,"marketval")+SCBAM_GetGroup1Dtl("SCBSFF","NET ASSET VALUE",KC$5,"ai")</f>
        <v>#NAME?</v>
      </c>
      <c r="KD60" s="12" t="e">
        <f t="shared" ca="1" si="69"/>
        <v>#NAME?</v>
      </c>
      <c r="KE60" s="12" t="e">
        <f t="shared" ca="1" si="69"/>
        <v>#NAME?</v>
      </c>
      <c r="KF60" s="12" t="e">
        <f t="shared" ca="1" si="69"/>
        <v>#NAME?</v>
      </c>
      <c r="KG60" s="12" t="e">
        <f t="shared" ca="1" si="69"/>
        <v>#NAME?</v>
      </c>
      <c r="KH60" s="12" t="e">
        <f t="shared" ca="1" si="69"/>
        <v>#NAME?</v>
      </c>
      <c r="KI60" s="12" t="e">
        <f t="shared" ref="KI60:KN60" ca="1" si="70">SCBAM_GetGroup1Dtl("SCBSFF","NET ASSET VALUE",KI$5,"marketval")+SCBAM_GetGroup1Dtl("SCBSFF","NET ASSET VALUE",KI$5,"ai")</f>
        <v>#NAME?</v>
      </c>
      <c r="KJ60" s="12" t="e">
        <f t="shared" ca="1" si="70"/>
        <v>#NAME?</v>
      </c>
      <c r="KK60" s="12" t="e">
        <f t="shared" ca="1" si="70"/>
        <v>#NAME?</v>
      </c>
      <c r="KL60" s="12" t="e">
        <f t="shared" ca="1" si="70"/>
        <v>#NAME?</v>
      </c>
      <c r="KM60" s="12" t="e">
        <f t="shared" ca="1" si="70"/>
        <v>#NAME?</v>
      </c>
      <c r="KN60" s="12" t="e">
        <f t="shared" ca="1" si="70"/>
        <v>#NAME?</v>
      </c>
      <c r="KO60" s="12" t="e">
        <f t="shared" ref="KO60:KT60" ca="1" si="71">SCBAM_GetGroup1Dtl("SCBSFF","NET ASSET VALUE",KO$5,"marketval")+SCBAM_GetGroup1Dtl("SCBSFF","NET ASSET VALUE",KO$5,"ai")</f>
        <v>#NAME?</v>
      </c>
      <c r="KP60" s="12" t="e">
        <f t="shared" ca="1" si="71"/>
        <v>#NAME?</v>
      </c>
      <c r="KQ60" s="12" t="e">
        <f t="shared" ca="1" si="71"/>
        <v>#NAME?</v>
      </c>
      <c r="KR60" s="12" t="e">
        <f t="shared" ca="1" si="71"/>
        <v>#NAME?</v>
      </c>
      <c r="KS60" s="12" t="e">
        <f t="shared" ca="1" si="71"/>
        <v>#NAME?</v>
      </c>
      <c r="KT60" s="12" t="e">
        <f t="shared" ca="1" si="71"/>
        <v>#NAME?</v>
      </c>
      <c r="KU60" s="12" t="e">
        <f t="shared" ref="KU60:KZ60" ca="1" si="72">SCBAM_GetGroup1Dtl("SCBSFF","NET ASSET VALUE",KU$5,"marketval")+SCBAM_GetGroup1Dtl("SCBSFF","NET ASSET VALUE",KU$5,"ai")</f>
        <v>#NAME?</v>
      </c>
      <c r="KV60" s="12" t="e">
        <f t="shared" ca="1" si="72"/>
        <v>#NAME?</v>
      </c>
      <c r="KW60" s="12" t="e">
        <f t="shared" ca="1" si="72"/>
        <v>#NAME?</v>
      </c>
      <c r="KX60" s="12" t="e">
        <f t="shared" ca="1" si="72"/>
        <v>#NAME?</v>
      </c>
      <c r="KY60" s="12" t="e">
        <f t="shared" ca="1" si="72"/>
        <v>#NAME?</v>
      </c>
      <c r="KZ60" s="12" t="e">
        <f t="shared" ca="1" si="72"/>
        <v>#NAME?</v>
      </c>
      <c r="LA60" s="12" t="e">
        <f t="shared" ref="LA60:LF60" ca="1" si="73">SCBAM_GetGroup1Dtl("SCBSFF","NET ASSET VALUE",LA$5,"marketval")+SCBAM_GetGroup1Dtl("SCBSFF","NET ASSET VALUE",LA$5,"ai")</f>
        <v>#NAME?</v>
      </c>
      <c r="LB60" s="12" t="e">
        <f t="shared" ca="1" si="73"/>
        <v>#NAME?</v>
      </c>
      <c r="LC60" s="12" t="e">
        <f t="shared" ca="1" si="73"/>
        <v>#NAME?</v>
      </c>
      <c r="LD60" s="12" t="e">
        <f t="shared" ca="1" si="73"/>
        <v>#NAME?</v>
      </c>
      <c r="LE60" s="12" t="e">
        <f t="shared" ca="1" si="73"/>
        <v>#NAME?</v>
      </c>
      <c r="LF60" s="12" t="e">
        <f t="shared" ca="1" si="73"/>
        <v>#NAME?</v>
      </c>
      <c r="LG60" s="12" t="e">
        <f t="shared" ref="LG60:LL60" ca="1" si="74">SCBAM_GetGroup1Dtl("SCBSFF","NET ASSET VALUE",LG$5,"marketval")+SCBAM_GetGroup1Dtl("SCBSFF","NET ASSET VALUE",LG$5,"ai")</f>
        <v>#NAME?</v>
      </c>
      <c r="LH60" s="12" t="e">
        <f t="shared" ca="1" si="74"/>
        <v>#NAME?</v>
      </c>
      <c r="LI60" s="12" t="e">
        <f t="shared" ca="1" si="74"/>
        <v>#NAME?</v>
      </c>
      <c r="LJ60" s="12" t="e">
        <f t="shared" ca="1" si="74"/>
        <v>#NAME?</v>
      </c>
      <c r="LK60" s="12" t="e">
        <f t="shared" ca="1" si="74"/>
        <v>#NAME?</v>
      </c>
      <c r="LL60" s="12" t="e">
        <f t="shared" ca="1" si="74"/>
        <v>#NAME?</v>
      </c>
      <c r="LM60" s="12" t="e">
        <f ca="1">SCBAM_GetGroup1Dtl("SCBSFF","NET ASSET VALUE",LM$5,"marketval")+SCBAM_GetGroup1Dtl("SCBSFF","NET ASSET VALUE",LM$5,"ai")</f>
        <v>#NAME?</v>
      </c>
      <c r="LN60" s="12" t="e">
        <f ca="1">SCBAM_GetGroup1Dtl("SCBSFF","NET ASSET VALUE",LN$5,"marketval")+SCBAM_GetGroup1Dtl("SCBSFF","NET ASSET VALUE",LN$5,"ai")</f>
        <v>#NAME?</v>
      </c>
      <c r="LO60" s="12" t="e">
        <f ca="1">SCBAM_GetGroup1Dtl("SCBSFF","NET ASSET VALUE",LO$5,"marketval")+SCBAM_GetGroup1Dtl("SCBSFF","NET ASSET VALUE",LO$5,"ai")</f>
        <v>#NAME?</v>
      </c>
      <c r="LP60" s="12" t="e">
        <f t="shared" ref="LP60:LU60" ca="1" si="75">SCBAM_GetGroup1Dtl("SCBSFF","NET ASSET VALUE",LP$5,"marketval")+SCBAM_GetGroup1Dtl("SCBSFF","NET ASSET VALUE",LP$5,"ai")</f>
        <v>#NAME?</v>
      </c>
      <c r="LQ60" s="12" t="e">
        <f t="shared" ca="1" si="75"/>
        <v>#NAME?</v>
      </c>
      <c r="LR60" s="12" t="e">
        <f t="shared" ca="1" si="75"/>
        <v>#NAME?</v>
      </c>
      <c r="LS60" s="12" t="e">
        <f t="shared" ca="1" si="75"/>
        <v>#NAME?</v>
      </c>
      <c r="LT60" s="12" t="e">
        <f t="shared" ca="1" si="75"/>
        <v>#NAME?</v>
      </c>
      <c r="LU60" s="12" t="e">
        <f t="shared" ca="1" si="75"/>
        <v>#NAME?</v>
      </c>
      <c r="LV60" s="12" t="e">
        <f t="shared" ref="LV60:MA60" ca="1" si="76">SCBAM_GetGroup1Dtl("SCBSFF","NET ASSET VALUE",LV$5,"marketval")+SCBAM_GetGroup1Dtl("SCBSFF","NET ASSET VALUE",LV$5,"ai")</f>
        <v>#NAME?</v>
      </c>
      <c r="LW60" s="12" t="e">
        <f t="shared" ca="1" si="76"/>
        <v>#NAME?</v>
      </c>
      <c r="LX60" s="12" t="e">
        <f t="shared" ca="1" si="76"/>
        <v>#NAME?</v>
      </c>
      <c r="LY60" s="12" t="e">
        <f t="shared" ca="1" si="76"/>
        <v>#NAME?</v>
      </c>
      <c r="LZ60" s="12" t="e">
        <f t="shared" ca="1" si="76"/>
        <v>#NAME?</v>
      </c>
      <c r="MA60" s="12" t="e">
        <f t="shared" ca="1" si="76"/>
        <v>#NAME?</v>
      </c>
      <c r="MB60" s="12" t="e">
        <f ca="1">SCBAM_GetGroup1Dtl("SCBSFF","NET ASSET VALUE",MB$5,"marketval")+SCBAM_GetGroup1Dtl("SCBSFF","NET ASSET VALUE",MB$5,"ai")</f>
        <v>#NAME?</v>
      </c>
      <c r="MC60" s="12" t="e">
        <f ca="1">SCBAM_GetGroup1Dtl("SCBSFF","NET ASSET VALUE",MC$5,"marketval")+SCBAM_GetGroup1Dtl("SCBSFF","NET ASSET VALUE",MC$5,"ai")</f>
        <v>#NAME?</v>
      </c>
      <c r="MD60" s="12" t="e">
        <f ca="1">SCBAM_GetGroup1Dtl("SCBSFF","NET ASSET VALUE",MD$5,"marketval")+SCBAM_GetGroup1Dtl("SCBSFF","NET ASSET VALUE",MD$5,"ai")</f>
        <v>#NAME?</v>
      </c>
      <c r="ME60" s="12" t="e">
        <f t="shared" ref="ME60:MJ60" ca="1" si="77">SCBAM_GetGroup1Dtl("SCBSFF","NET ASSET VALUE",ME$5,"marketval")+SCBAM_GetGroup1Dtl("SCBSFF","NET ASSET VALUE",ME$5,"ai")</f>
        <v>#NAME?</v>
      </c>
      <c r="MF60" s="12" t="e">
        <f t="shared" ca="1" si="77"/>
        <v>#NAME?</v>
      </c>
      <c r="MG60" s="12" t="e">
        <f t="shared" ca="1" si="77"/>
        <v>#NAME?</v>
      </c>
      <c r="MH60" s="12" t="e">
        <f t="shared" ca="1" si="77"/>
        <v>#NAME?</v>
      </c>
      <c r="MI60" s="12" t="e">
        <f t="shared" ca="1" si="77"/>
        <v>#NAME?</v>
      </c>
      <c r="MJ60" s="12" t="e">
        <f t="shared" ca="1" si="77"/>
        <v>#NAME?</v>
      </c>
      <c r="MK60" s="12" t="e">
        <f t="shared" ref="MK60:MP60" ca="1" si="78">SCBAM_GetGroup1Dtl("SCBSFF","NET ASSET VALUE",MK$5,"marketval")+SCBAM_GetGroup1Dtl("SCBSFF","NET ASSET VALUE",MK$5,"ai")</f>
        <v>#NAME?</v>
      </c>
      <c r="ML60" s="12" t="e">
        <f t="shared" ca="1" si="78"/>
        <v>#NAME?</v>
      </c>
      <c r="MM60" s="12" t="e">
        <f t="shared" ca="1" si="78"/>
        <v>#NAME?</v>
      </c>
      <c r="MN60" s="12" t="e">
        <f t="shared" ca="1" si="78"/>
        <v>#NAME?</v>
      </c>
      <c r="MO60" s="12" t="e">
        <f t="shared" ca="1" si="78"/>
        <v>#NAME?</v>
      </c>
      <c r="MP60" s="12" t="e">
        <f t="shared" ca="1" si="78"/>
        <v>#NAME?</v>
      </c>
      <c r="MQ60" s="12" t="e">
        <f t="shared" ref="MQ60:MV60" ca="1" si="79">SCBAM_GetGroup1Dtl("SCBSFF","NET ASSET VALUE",MQ$5,"marketval")+SCBAM_GetGroup1Dtl("SCBSFF","NET ASSET VALUE",MQ$5,"ai")</f>
        <v>#NAME?</v>
      </c>
      <c r="MR60" s="12" t="e">
        <f t="shared" ca="1" si="79"/>
        <v>#NAME?</v>
      </c>
      <c r="MS60" s="12" t="e">
        <f t="shared" ca="1" si="79"/>
        <v>#NAME?</v>
      </c>
      <c r="MT60" s="12" t="e">
        <f t="shared" ca="1" si="79"/>
        <v>#NAME?</v>
      </c>
      <c r="MU60" s="12" t="e">
        <f t="shared" ca="1" si="79"/>
        <v>#NAME?</v>
      </c>
      <c r="MV60" s="12" t="e">
        <f t="shared" ca="1" si="79"/>
        <v>#NAME?</v>
      </c>
      <c r="MW60" s="12" t="e">
        <f t="shared" ref="MW60:NB60" ca="1" si="80">SCBAM_GetGroup1Dtl("SCBSFF","NET ASSET VALUE",MW$5,"marketval")+SCBAM_GetGroup1Dtl("SCBSFF","NET ASSET VALUE",MW$5,"ai")</f>
        <v>#NAME?</v>
      </c>
      <c r="MX60" s="12" t="e">
        <f t="shared" ca="1" si="80"/>
        <v>#NAME?</v>
      </c>
      <c r="MY60" s="12" t="e">
        <f t="shared" ca="1" si="80"/>
        <v>#NAME?</v>
      </c>
      <c r="MZ60" s="12" t="e">
        <f t="shared" ca="1" si="80"/>
        <v>#NAME?</v>
      </c>
      <c r="NA60" s="12" t="e">
        <f t="shared" ca="1" si="80"/>
        <v>#NAME?</v>
      </c>
      <c r="NB60" s="12" t="e">
        <f t="shared" ca="1" si="80"/>
        <v>#NAME?</v>
      </c>
      <c r="NC60" s="12" t="e">
        <f t="shared" ref="NC60:NH60" ca="1" si="81">SCBAM_GetGroup1Dtl("SCBSFF","NET ASSET VALUE",NC$5,"marketval")+SCBAM_GetGroup1Dtl("SCBSFF","NET ASSET VALUE",NC$5,"ai")</f>
        <v>#NAME?</v>
      </c>
      <c r="ND60" s="12" t="e">
        <f t="shared" ca="1" si="81"/>
        <v>#NAME?</v>
      </c>
      <c r="NE60" s="12" t="e">
        <f t="shared" ca="1" si="81"/>
        <v>#NAME?</v>
      </c>
      <c r="NF60" s="12" t="e">
        <f t="shared" ca="1" si="81"/>
        <v>#NAME?</v>
      </c>
      <c r="NG60" s="12" t="e">
        <f t="shared" ca="1" si="81"/>
        <v>#NAME?</v>
      </c>
      <c r="NH60" s="12" t="e">
        <f t="shared" ca="1" si="81"/>
        <v>#NAME?</v>
      </c>
      <c r="NI60" s="12" t="e">
        <f t="shared" ref="NI60:NN60" ca="1" si="82">SCBAM_GetGroup1Dtl("SCBSFF","NET ASSET VALUE",NI$5,"marketval")+SCBAM_GetGroup1Dtl("SCBSFF","NET ASSET VALUE",NI$5,"ai")</f>
        <v>#NAME?</v>
      </c>
      <c r="NJ60" s="12" t="e">
        <f t="shared" ca="1" si="82"/>
        <v>#NAME?</v>
      </c>
      <c r="NK60" s="12" t="e">
        <f t="shared" ca="1" si="82"/>
        <v>#NAME?</v>
      </c>
      <c r="NL60" s="12" t="e">
        <f t="shared" ca="1" si="82"/>
        <v>#NAME?</v>
      </c>
      <c r="NM60" s="12" t="e">
        <f t="shared" ca="1" si="82"/>
        <v>#NAME?</v>
      </c>
      <c r="NN60" s="12" t="e">
        <f t="shared" ca="1" si="82"/>
        <v>#NAME?</v>
      </c>
      <c r="NO60" s="12" t="e">
        <f t="shared" ref="NO60:NT60" ca="1" si="83">SCBAM_GetGroup1Dtl("SCBSFF","NET ASSET VALUE",NO$5,"marketval")+SCBAM_GetGroup1Dtl("SCBSFF","NET ASSET VALUE",NO$5,"ai")</f>
        <v>#NAME?</v>
      </c>
      <c r="NP60" s="12" t="e">
        <f t="shared" ca="1" si="83"/>
        <v>#NAME?</v>
      </c>
      <c r="NQ60" s="12" t="e">
        <f t="shared" ca="1" si="83"/>
        <v>#NAME?</v>
      </c>
      <c r="NR60" s="12" t="e">
        <f t="shared" ca="1" si="83"/>
        <v>#NAME?</v>
      </c>
      <c r="NS60" s="12" t="e">
        <f t="shared" ca="1" si="83"/>
        <v>#NAME?</v>
      </c>
      <c r="NT60" s="12" t="e">
        <f t="shared" ca="1" si="83"/>
        <v>#NAME?</v>
      </c>
      <c r="NU60" s="12" t="e">
        <f ca="1">SCBAM_GetGroup1Dtl("SCBSFF","NET ASSET VALUE",NU$5,"marketval")+SCBAM_GetGroup1Dtl("SCBSFF","NET ASSET VALUE",NU$5,"ai")</f>
        <v>#NAME?</v>
      </c>
      <c r="NV60" s="12" t="e">
        <f t="shared" ref="NV60:OA60" ca="1" si="84">SCBAM_GetGroup1Dtl("SCBSFF","NET ASSET VALUE",NV$5,"marketval")+SCBAM_GetGroup1Dtl("SCBSFF","NET ASSET VALUE",NV$5,"ai")</f>
        <v>#NAME?</v>
      </c>
      <c r="NW60" s="12" t="e">
        <f t="shared" ca="1" si="84"/>
        <v>#NAME?</v>
      </c>
      <c r="NX60" s="12" t="e">
        <f t="shared" ca="1" si="84"/>
        <v>#NAME?</v>
      </c>
      <c r="NY60" s="12" t="e">
        <f t="shared" ca="1" si="84"/>
        <v>#NAME?</v>
      </c>
      <c r="NZ60" s="12" t="e">
        <f t="shared" ca="1" si="84"/>
        <v>#NAME?</v>
      </c>
      <c r="OA60" s="12" t="e">
        <f t="shared" ca="1" si="84"/>
        <v>#NAME?</v>
      </c>
      <c r="OB60" s="12" t="e">
        <f t="shared" ref="OB60:OG60" ca="1" si="85">SCBAM_GetGroup1Dtl("SCBSFF","NET ASSET VALUE",OB$5,"marketval")+SCBAM_GetGroup1Dtl("SCBSFF","NET ASSET VALUE",OB$5,"ai")</f>
        <v>#NAME?</v>
      </c>
      <c r="OC60" s="12" t="e">
        <f t="shared" ca="1" si="85"/>
        <v>#NAME?</v>
      </c>
      <c r="OD60" s="12" t="e">
        <f t="shared" ca="1" si="85"/>
        <v>#NAME?</v>
      </c>
      <c r="OE60" s="12" t="e">
        <f t="shared" ca="1" si="85"/>
        <v>#NAME?</v>
      </c>
      <c r="OF60" s="12" t="e">
        <f t="shared" ca="1" si="85"/>
        <v>#NAME?</v>
      </c>
      <c r="OG60" s="12" t="e">
        <f t="shared" ca="1" si="85"/>
        <v>#NAME?</v>
      </c>
      <c r="OH60" s="12" t="e">
        <f ca="1">SCBAM_GetGroup1Dtl("SCBSFF","NET ASSET VALUE",OH$5,"marketval")+SCBAM_GetGroup1Dtl("SCBSFF","NET ASSET VALUE",OH$5,"ai")</f>
        <v>#NAME?</v>
      </c>
      <c r="OI60" s="12" t="e">
        <f ca="1">SCBAM_GetGroup1Dtl("SCBSFF","NET ASSET VALUE",OI$5,"marketval")+SCBAM_GetGroup1Dtl("SCBSFF","NET ASSET VALUE",OI$5,"ai")</f>
        <v>#NAME?</v>
      </c>
      <c r="OJ60" s="12" t="e">
        <f ca="1">SCBAM_GetGroup1Dtl("SCBSFF","NET ASSET VALUE",OJ$5,"marketval")+SCBAM_GetGroup1Dtl("SCBSFF","NET ASSET VALUE",OJ$5,"ai")</f>
        <v>#NAME?</v>
      </c>
      <c r="OK60" s="12" t="e">
        <f ca="1">SCBAM_GetGroup1Dtl("SCBSFF","NET ASSET VALUE",OK$5,"marketval")+SCBAM_GetGroup1Dtl("SCBSFF","NET ASSET VALUE",OK$5,"ai")</f>
        <v>#NAME?</v>
      </c>
      <c r="OL60" s="12" t="e">
        <f ca="1">SCBAM_GetGroup1Dtl("SCBSFF","NET ASSET VALUE",OL$5,"marketval")+SCBAM_GetGroup1Dtl("SCBSFF","NET ASSET VALUE",OL$5,"ai")</f>
        <v>#NAME?</v>
      </c>
      <c r="OM60" s="12" t="e">
        <f t="shared" ref="OM60:OR60" ca="1" si="86">SCBAM_GetGroup1Dtl("SCBSFF","NET ASSET VALUE",OM$5,"marketval")+SCBAM_GetGroup1Dtl("SCBSFF","NET ASSET VALUE",OM$5,"ai")</f>
        <v>#NAME?</v>
      </c>
      <c r="ON60" s="12" t="e">
        <f t="shared" ca="1" si="86"/>
        <v>#NAME?</v>
      </c>
      <c r="OO60" s="12" t="e">
        <f t="shared" ca="1" si="86"/>
        <v>#NAME?</v>
      </c>
      <c r="OP60" s="12" t="e">
        <f t="shared" ca="1" si="86"/>
        <v>#NAME?</v>
      </c>
      <c r="OQ60" s="12" t="e">
        <f t="shared" ca="1" si="86"/>
        <v>#NAME?</v>
      </c>
      <c r="OR60" s="12" t="e">
        <f t="shared" ca="1" si="86"/>
        <v>#NAME?</v>
      </c>
      <c r="OS60" s="12" t="e">
        <f t="shared" ref="OS60:OZ60" ca="1" si="87">SCBAM_GetGroup1Dtl("SCBSFF","NET ASSET VALUE",OS$5,"marketval")+SCBAM_GetGroup1Dtl("SCBSFF","NET ASSET VALUE",OS$5,"ai")</f>
        <v>#NAME?</v>
      </c>
      <c r="OT60" s="12" t="e">
        <f t="shared" ca="1" si="87"/>
        <v>#NAME?</v>
      </c>
      <c r="OU60" s="12" t="e">
        <f t="shared" ca="1" si="87"/>
        <v>#NAME?</v>
      </c>
      <c r="OV60" s="12" t="e">
        <f t="shared" ca="1" si="87"/>
        <v>#NAME?</v>
      </c>
      <c r="OW60" s="12" t="e">
        <f t="shared" ca="1" si="87"/>
        <v>#NAME?</v>
      </c>
      <c r="OX60" s="12" t="e">
        <f t="shared" ca="1" si="87"/>
        <v>#NAME?</v>
      </c>
      <c r="OY60" s="12" t="e">
        <f t="shared" ca="1" si="87"/>
        <v>#NAME?</v>
      </c>
      <c r="OZ60" s="12" t="e">
        <f t="shared" ca="1" si="87"/>
        <v>#NAME?</v>
      </c>
      <c r="PA60" s="12" t="e">
        <f t="shared" ref="PA60:PF60" ca="1" si="88">SCBAM_GetGroup1Dtl("SCBSFF","NET ASSET VALUE",PA$5,"marketval")+SCBAM_GetGroup1Dtl("SCBSFF","NET ASSET VALUE",PA$5,"ai")</f>
        <v>#NAME?</v>
      </c>
      <c r="PB60" s="12" t="e">
        <f t="shared" ca="1" si="88"/>
        <v>#NAME?</v>
      </c>
      <c r="PC60" s="12" t="e">
        <f t="shared" ca="1" si="88"/>
        <v>#NAME?</v>
      </c>
      <c r="PD60" s="12" t="e">
        <f t="shared" ca="1" si="88"/>
        <v>#NAME?</v>
      </c>
      <c r="PE60" s="12" t="e">
        <f t="shared" ca="1" si="88"/>
        <v>#NAME?</v>
      </c>
      <c r="PF60" s="12" t="e">
        <f t="shared" ca="1" si="88"/>
        <v>#NAME?</v>
      </c>
      <c r="PG60" s="12" t="e">
        <f t="shared" ref="PG60:PL60" ca="1" si="89">SCBAM_GetGroup1Dtl("SCBSFF","NET ASSET VALUE",PG$5,"marketval")+SCBAM_GetGroup1Dtl("SCBSFF","NET ASSET VALUE",PG$5,"ai")</f>
        <v>#NAME?</v>
      </c>
      <c r="PH60" s="12" t="e">
        <f t="shared" ca="1" si="89"/>
        <v>#NAME?</v>
      </c>
      <c r="PI60" s="12" t="e">
        <f t="shared" ca="1" si="89"/>
        <v>#NAME?</v>
      </c>
      <c r="PJ60" s="12" t="e">
        <f t="shared" ca="1" si="89"/>
        <v>#NAME?</v>
      </c>
      <c r="PK60" s="12" t="e">
        <f t="shared" ca="1" si="89"/>
        <v>#NAME?</v>
      </c>
      <c r="PL60" s="12" t="e">
        <f t="shared" ca="1" si="89"/>
        <v>#NAME?</v>
      </c>
      <c r="PM60" s="12" t="e">
        <f t="shared" ref="PM60:PR60" ca="1" si="90">SCBAM_GetGroup1Dtl("SCBSFF","NET ASSET VALUE",PM$5,"marketval")+SCBAM_GetGroup1Dtl("SCBSFF","NET ASSET VALUE",PM$5,"ai")</f>
        <v>#NAME?</v>
      </c>
      <c r="PN60" s="12" t="e">
        <f t="shared" ca="1" si="90"/>
        <v>#NAME?</v>
      </c>
      <c r="PO60" s="12" t="e">
        <f t="shared" ca="1" si="90"/>
        <v>#NAME?</v>
      </c>
      <c r="PP60" s="12" t="e">
        <f t="shared" ca="1" si="90"/>
        <v>#NAME?</v>
      </c>
      <c r="PQ60" s="12" t="e">
        <f t="shared" ca="1" si="90"/>
        <v>#NAME?</v>
      </c>
      <c r="PR60" s="12" t="e">
        <f t="shared" ca="1" si="90"/>
        <v>#NAME?</v>
      </c>
      <c r="PS60" s="12" t="e">
        <f t="shared" ref="PS60:PX60" ca="1" si="91">SCBAM_GetGroup1Dtl("SCBSFF","NET ASSET VALUE",PS$5,"marketval")+SCBAM_GetGroup1Dtl("SCBSFF","NET ASSET VALUE",PS$5,"ai")</f>
        <v>#NAME?</v>
      </c>
      <c r="PT60" s="12" t="e">
        <f t="shared" ca="1" si="91"/>
        <v>#NAME?</v>
      </c>
      <c r="PU60" s="12" t="e">
        <f t="shared" ca="1" si="91"/>
        <v>#NAME?</v>
      </c>
      <c r="PV60" s="12" t="e">
        <f t="shared" ca="1" si="91"/>
        <v>#NAME?</v>
      </c>
      <c r="PW60" s="12" t="e">
        <f t="shared" ca="1" si="91"/>
        <v>#NAME?</v>
      </c>
      <c r="PX60" s="12" t="e">
        <f t="shared" ca="1" si="91"/>
        <v>#NAME?</v>
      </c>
      <c r="PY60" s="12" t="e">
        <f ca="1">SCBAM_GetGroup1Dtl("SCBSFF","NET ASSET VALUE",PY$5,"marketval")+SCBAM_GetGroup1Dtl("SCBSFF","NET ASSET VALUE",PY$5,"ai")</f>
        <v>#NAME?</v>
      </c>
      <c r="PZ60" s="12" t="e">
        <f ca="1">SCBAM_GetGroup1Dtl("SCBSFF","NET ASSET VALUE",PZ$5,"marketval")+SCBAM_GetGroup1Dtl("SCBSFF","NET ASSET VALUE",PZ$5,"ai")</f>
        <v>#NAME?</v>
      </c>
      <c r="QA60" s="12" t="e">
        <f ca="1">SCBAM_GetGroup1Dtl("SCBSFF","NET ASSET VALUE",QA$5,"marketval")+SCBAM_GetGroup1Dtl("SCBSFF","NET ASSET VALUE",QA$5,"ai")</f>
        <v>#NAME?</v>
      </c>
      <c r="QB60" s="12" t="e">
        <f ca="1">SCBAM_GetGroup1Dtl("SCBSFF","NET ASSET VALUE",QB$5,"marketval")+SCBAM_GetGroup1Dtl("SCBSFF","NET ASSET VALUE",QB$5,"ai")</f>
        <v>#NAME?</v>
      </c>
      <c r="QC60" s="12" t="e">
        <f ca="1">SCBAM_GetGroup1Dtl("SCBSFF","NET ASSET VALUE",QC$5,"marketval")+SCBAM_GetGroup1Dtl("SCBSFF","NET ASSET VALUE",QC$5,"ai")</f>
        <v>#NAME?</v>
      </c>
      <c r="QD60" s="12" t="e">
        <f t="shared" ref="QD60:SA60" ca="1" si="92">SCBAM_GetGroup1Dtl("SCBSFF","NET ASSET VALUE",QD$5,"marketval")+SCBAM_GetGroup1Dtl("SCBSFF","NET ASSET VALUE",QD$5,"ai")</f>
        <v>#NAME?</v>
      </c>
      <c r="QE60" s="12" t="e">
        <f t="shared" ca="1" si="92"/>
        <v>#NAME?</v>
      </c>
      <c r="QF60" s="12" t="e">
        <f t="shared" ca="1" si="92"/>
        <v>#NAME?</v>
      </c>
      <c r="QG60" s="12" t="e">
        <f t="shared" ca="1" si="92"/>
        <v>#NAME?</v>
      </c>
      <c r="QH60" s="12" t="e">
        <f t="shared" ca="1" si="92"/>
        <v>#NAME?</v>
      </c>
      <c r="QI60" s="12" t="e">
        <f t="shared" ca="1" si="92"/>
        <v>#NAME?</v>
      </c>
      <c r="QJ60" s="12" t="e">
        <f t="shared" ca="1" si="92"/>
        <v>#NAME?</v>
      </c>
      <c r="QK60" s="12" t="e">
        <f t="shared" ca="1" si="92"/>
        <v>#NAME?</v>
      </c>
      <c r="QL60" s="12" t="e">
        <f t="shared" ca="1" si="92"/>
        <v>#NAME?</v>
      </c>
      <c r="QM60" s="12" t="e">
        <f t="shared" ca="1" si="92"/>
        <v>#NAME?</v>
      </c>
      <c r="QN60" s="12" t="e">
        <f t="shared" ca="1" si="92"/>
        <v>#NAME?</v>
      </c>
      <c r="QO60" s="12" t="e">
        <f t="shared" ca="1" si="92"/>
        <v>#NAME?</v>
      </c>
      <c r="QP60" s="12" t="e">
        <f t="shared" ca="1" si="92"/>
        <v>#NAME?</v>
      </c>
      <c r="QQ60" s="12" t="e">
        <f t="shared" ca="1" si="92"/>
        <v>#NAME?</v>
      </c>
      <c r="QR60" s="12" t="e">
        <f t="shared" ca="1" si="92"/>
        <v>#NAME?</v>
      </c>
      <c r="QS60" s="12" t="e">
        <f t="shared" ca="1" si="92"/>
        <v>#NAME?</v>
      </c>
      <c r="QT60" s="12" t="e">
        <f t="shared" ca="1" si="92"/>
        <v>#NAME?</v>
      </c>
      <c r="QU60" s="12" t="e">
        <f t="shared" ca="1" si="92"/>
        <v>#NAME?</v>
      </c>
      <c r="QV60" s="12" t="e">
        <f t="shared" ca="1" si="92"/>
        <v>#NAME?</v>
      </c>
      <c r="QW60" s="12" t="e">
        <f t="shared" ca="1" si="92"/>
        <v>#NAME?</v>
      </c>
      <c r="QX60" s="12" t="e">
        <f t="shared" ca="1" si="92"/>
        <v>#NAME?</v>
      </c>
      <c r="QY60" s="12" t="e">
        <f t="shared" ca="1" si="92"/>
        <v>#NAME?</v>
      </c>
      <c r="QZ60" s="12" t="e">
        <f t="shared" ca="1" si="92"/>
        <v>#NAME?</v>
      </c>
      <c r="RA60" s="12" t="e">
        <f t="shared" ca="1" si="92"/>
        <v>#NAME?</v>
      </c>
      <c r="RB60" s="12" t="e">
        <f t="shared" ca="1" si="92"/>
        <v>#NAME?</v>
      </c>
      <c r="RC60" s="12" t="e">
        <f t="shared" ca="1" si="92"/>
        <v>#NAME?</v>
      </c>
      <c r="RD60" s="12" t="e">
        <f t="shared" ca="1" si="92"/>
        <v>#NAME?</v>
      </c>
      <c r="RE60" s="12" t="e">
        <f t="shared" ca="1" si="92"/>
        <v>#NAME?</v>
      </c>
      <c r="RF60" s="12" t="e">
        <f t="shared" ca="1" si="92"/>
        <v>#NAME?</v>
      </c>
      <c r="RG60" s="12" t="e">
        <f t="shared" ca="1" si="92"/>
        <v>#NAME?</v>
      </c>
      <c r="RH60" s="12" t="e">
        <f t="shared" ca="1" si="92"/>
        <v>#NAME?</v>
      </c>
      <c r="RI60" s="12" t="e">
        <f t="shared" ca="1" si="92"/>
        <v>#NAME?</v>
      </c>
      <c r="RJ60" s="12" t="e">
        <f t="shared" ca="1" si="92"/>
        <v>#NAME?</v>
      </c>
      <c r="RK60" s="12" t="e">
        <f t="shared" ca="1" si="92"/>
        <v>#NAME?</v>
      </c>
      <c r="RL60" s="12" t="e">
        <f t="shared" ca="1" si="92"/>
        <v>#NAME?</v>
      </c>
      <c r="RM60" s="12" t="e">
        <f t="shared" ca="1" si="92"/>
        <v>#NAME?</v>
      </c>
      <c r="RN60" s="12" t="e">
        <f t="shared" ca="1" si="92"/>
        <v>#NAME?</v>
      </c>
      <c r="RO60" s="12" t="e">
        <f t="shared" ca="1" si="92"/>
        <v>#NAME?</v>
      </c>
      <c r="RP60" s="12" t="e">
        <f t="shared" ca="1" si="92"/>
        <v>#NAME?</v>
      </c>
      <c r="RQ60" s="12" t="e">
        <f t="shared" ca="1" si="92"/>
        <v>#NAME?</v>
      </c>
      <c r="RR60" s="12" t="e">
        <f t="shared" ca="1" si="92"/>
        <v>#NAME?</v>
      </c>
      <c r="RS60" s="12" t="e">
        <f t="shared" ca="1" si="92"/>
        <v>#NAME?</v>
      </c>
      <c r="RT60" s="12" t="e">
        <f t="shared" ca="1" si="92"/>
        <v>#NAME?</v>
      </c>
      <c r="RU60" s="12" t="e">
        <f t="shared" ca="1" si="92"/>
        <v>#NAME?</v>
      </c>
      <c r="RV60" s="12" t="e">
        <f t="shared" ca="1" si="92"/>
        <v>#NAME?</v>
      </c>
      <c r="RW60" s="12" t="e">
        <f t="shared" ca="1" si="92"/>
        <v>#NAME?</v>
      </c>
      <c r="RX60" s="12" t="e">
        <f t="shared" ca="1" si="92"/>
        <v>#NAME?</v>
      </c>
      <c r="RY60" s="12" t="e">
        <f t="shared" ca="1" si="92"/>
        <v>#NAME?</v>
      </c>
      <c r="RZ60" s="12" t="e">
        <f t="shared" ca="1" si="92"/>
        <v>#NAME?</v>
      </c>
      <c r="SA60" s="12" t="e">
        <f t="shared" ca="1" si="92"/>
        <v>#NAME?</v>
      </c>
    </row>
    <row r="61" spans="1:495" s="12" customFormat="1" x14ac:dyDescent="0.2">
      <c r="A61" s="12" t="s">
        <v>1094</v>
      </c>
      <c r="B61" s="12" t="e">
        <f ca="1">IF(B$5&gt;TODAY(),#REF!,#REF!)+SUM(B24:B27)-SUM(B38:B39)</f>
        <v>#REF!</v>
      </c>
      <c r="C61" s="12">
        <f ca="1">IF(C$5&gt;TODAY(),B$61,B$60)+SUM(C24:C27)-SUM(C38:C39)</f>
        <v>126068723292.25999</v>
      </c>
      <c r="D61" s="12">
        <f ca="1">IF(D$5&gt;TODAY(),C$61,C$60)+SUM(D24:D27)-SUM(D38:D39)</f>
        <v>125785923382.53</v>
      </c>
      <c r="E61" s="12">
        <f ca="1">IF(E$5&gt;TODAY(),D$61,D$60)+SUM(E24:E27)-SUM(E38:E39)</f>
        <v>143666525830.47</v>
      </c>
      <c r="F61" s="12">
        <f t="shared" ref="F61:BQ61" ca="1" si="93">IF(F$5&gt;TODAY(),E$61,E$60)+SUM(F24:F27)-SUM(F38:F39)</f>
        <v>140781371255.44</v>
      </c>
      <c r="G61" s="12">
        <f t="shared" ca="1" si="93"/>
        <v>133689166711.47002</v>
      </c>
      <c r="H61" s="12">
        <f t="shared" ca="1" si="93"/>
        <v>132330446849.40999</v>
      </c>
      <c r="I61" s="12">
        <f t="shared" ca="1" si="93"/>
        <v>130955415455.89999</v>
      </c>
      <c r="J61" s="12">
        <f t="shared" ca="1" si="93"/>
        <v>137485546496.88998</v>
      </c>
      <c r="K61" s="12">
        <f t="shared" ca="1" si="93"/>
        <v>135490939756.21001</v>
      </c>
      <c r="L61" s="12">
        <f t="shared" ca="1" si="93"/>
        <v>129635126331.19</v>
      </c>
      <c r="M61" s="12">
        <f t="shared" ca="1" si="93"/>
        <v>128921606926.84001</v>
      </c>
      <c r="N61" s="12">
        <f t="shared" ca="1" si="93"/>
        <v>128288764717.74998</v>
      </c>
      <c r="O61" s="12">
        <f t="shared" ca="1" si="93"/>
        <v>138266047855.20001</v>
      </c>
      <c r="P61" s="12">
        <f t="shared" ca="1" si="93"/>
        <v>136229344524.47002</v>
      </c>
      <c r="Q61" s="12">
        <f t="shared" ca="1" si="93"/>
        <v>130245842047.03</v>
      </c>
      <c r="R61" s="12">
        <f t="shared" ca="1" si="93"/>
        <v>127216759145.55998</v>
      </c>
      <c r="S61" s="12">
        <f t="shared" ca="1" si="93"/>
        <v>125867189272.23</v>
      </c>
      <c r="T61" s="12">
        <f t="shared" ca="1" si="93"/>
        <v>138182273953.29001</v>
      </c>
      <c r="U61" s="12">
        <f t="shared" ca="1" si="93"/>
        <v>135553600673.70003</v>
      </c>
      <c r="V61" s="12">
        <f t="shared" ca="1" si="93"/>
        <v>128568106690.62001</v>
      </c>
      <c r="W61" s="12">
        <f t="shared" ca="1" si="93"/>
        <v>127639876461.32001</v>
      </c>
      <c r="X61" s="12">
        <f t="shared" ca="1" si="93"/>
        <v>126933266073.25002</v>
      </c>
      <c r="Y61" s="12">
        <f t="shared" ca="1" si="93"/>
        <v>127670355906.24001</v>
      </c>
      <c r="Z61" s="12">
        <f t="shared" ca="1" si="93"/>
        <v>127559136321.18001</v>
      </c>
      <c r="AA61" s="12">
        <f t="shared" ca="1" si="93"/>
        <v>124486684493.48001</v>
      </c>
      <c r="AB61" s="12">
        <f t="shared" ca="1" si="93"/>
        <v>123812337268.53001</v>
      </c>
      <c r="AC61" s="12">
        <f t="shared" ca="1" si="93"/>
        <v>123193240474.78001</v>
      </c>
      <c r="AD61" s="12">
        <f t="shared" ca="1" si="93"/>
        <v>126318043769.23</v>
      </c>
      <c r="AE61" s="12">
        <f t="shared" ca="1" si="93"/>
        <v>125439242773.92999</v>
      </c>
      <c r="AF61" s="12">
        <f t="shared" ca="1" si="93"/>
        <v>123132026443.87001</v>
      </c>
      <c r="AG61" s="12">
        <f t="shared" ca="1" si="93"/>
        <v>121956851451.75999</v>
      </c>
      <c r="AH61" s="12">
        <f t="shared" ca="1" si="93"/>
        <v>126631917117.74001</v>
      </c>
      <c r="AI61" s="12">
        <f t="shared" ca="1" si="93"/>
        <v>125269599519.14999</v>
      </c>
      <c r="AJ61" s="12">
        <f t="shared" ca="1" si="93"/>
        <v>121673301916.33</v>
      </c>
      <c r="AK61" s="12">
        <f t="shared" ca="1" si="93"/>
        <v>120605709494.87</v>
      </c>
      <c r="AL61" s="12">
        <f t="shared" ca="1" si="93"/>
        <v>119310911936.32001</v>
      </c>
      <c r="AM61" s="12">
        <f t="shared" ca="1" si="93"/>
        <v>125477147364.45</v>
      </c>
      <c r="AN61" s="12">
        <f t="shared" ca="1" si="93"/>
        <v>123602003977.52</v>
      </c>
      <c r="AO61" s="12">
        <f t="shared" ca="1" si="93"/>
        <v>116643120361.49001</v>
      </c>
      <c r="AP61" s="12">
        <f t="shared" ca="1" si="93"/>
        <v>114156333333.63</v>
      </c>
      <c r="AQ61" s="12">
        <f t="shared" ca="1" si="93"/>
        <v>113384909985.59001</v>
      </c>
      <c r="AR61" s="12">
        <f t="shared" ca="1" si="93"/>
        <v>120840121421.89</v>
      </c>
      <c r="AS61" s="12">
        <f t="shared" ca="1" si="93"/>
        <v>118998917350.16</v>
      </c>
      <c r="AT61" s="12">
        <f t="shared" ca="1" si="93"/>
        <v>113850033985.52</v>
      </c>
      <c r="AU61" s="12">
        <f t="shared" ca="1" si="93"/>
        <v>116454196346.49001</v>
      </c>
      <c r="AV61" s="12">
        <f t="shared" ca="1" si="93"/>
        <v>114889610984.82001</v>
      </c>
      <c r="AW61" s="12">
        <f t="shared" ca="1" si="93"/>
        <v>126358605237.73001</v>
      </c>
      <c r="AX61" s="12">
        <f t="shared" ca="1" si="93"/>
        <v>123414808386.27</v>
      </c>
      <c r="AY61" s="12">
        <f t="shared" ca="1" si="93"/>
        <v>117022996377.84</v>
      </c>
      <c r="AZ61" s="12">
        <f t="shared" ca="1" si="93"/>
        <v>115900707157.75999</v>
      </c>
      <c r="BA61" s="12">
        <f t="shared" ca="1" si="93"/>
        <v>115001733467.8</v>
      </c>
      <c r="BB61" s="12">
        <f t="shared" ca="1" si="93"/>
        <v>114324874392.52998</v>
      </c>
      <c r="BC61" s="12">
        <f t="shared" ca="1" si="93"/>
        <v>113887162120.99001</v>
      </c>
      <c r="BD61" s="12">
        <f t="shared" ca="1" si="93"/>
        <v>114369026291.87</v>
      </c>
      <c r="BE61" s="12">
        <f t="shared" ca="1" si="93"/>
        <v>112867110902.53</v>
      </c>
      <c r="BF61" s="12">
        <f t="shared" ca="1" si="93"/>
        <v>140032870650.35001</v>
      </c>
      <c r="BG61" s="12">
        <f t="shared" ca="1" si="93"/>
        <v>157362301367.23001</v>
      </c>
      <c r="BH61" s="12">
        <f t="shared" ca="1" si="93"/>
        <v>147937979372.96997</v>
      </c>
      <c r="BI61" s="12">
        <f t="shared" ca="1" si="93"/>
        <v>128714385154.86002</v>
      </c>
      <c r="BJ61" s="12">
        <f t="shared" ca="1" si="93"/>
        <v>126143888601.50999</v>
      </c>
      <c r="BK61" s="12">
        <f t="shared" ca="1" si="93"/>
        <v>125025457777.92001</v>
      </c>
      <c r="BL61" s="12">
        <f t="shared" ca="1" si="93"/>
        <v>131464511493.30002</v>
      </c>
      <c r="BM61" s="12">
        <f t="shared" ca="1" si="93"/>
        <v>129154562297.34</v>
      </c>
      <c r="BN61" s="12">
        <f t="shared" ca="1" si="93"/>
        <v>126476097676.28</v>
      </c>
      <c r="BO61" s="12">
        <f t="shared" ca="1" si="93"/>
        <v>124403216043.02</v>
      </c>
      <c r="BP61" s="12">
        <f t="shared" ca="1" si="93"/>
        <v>131753576590.49998</v>
      </c>
      <c r="BQ61" s="12">
        <f t="shared" ca="1" si="93"/>
        <v>129358062054.13</v>
      </c>
      <c r="BR61" s="12">
        <f t="shared" ref="BR61:EC61" ca="1" si="94">IF(BR$5&gt;TODAY(),BQ$61,BQ$60)+SUM(BR24:BR27)-SUM(BR38:BR39)</f>
        <v>123486315009.28</v>
      </c>
      <c r="BS61" s="12">
        <f t="shared" ca="1" si="94"/>
        <v>122851989441.85999</v>
      </c>
      <c r="BT61" s="12">
        <f t="shared" ca="1" si="94"/>
        <v>122926681575.56</v>
      </c>
      <c r="BU61" s="12">
        <f t="shared" ca="1" si="94"/>
        <v>122403227973.16998</v>
      </c>
      <c r="BV61" s="12">
        <f t="shared" ca="1" si="94"/>
        <v>121475315337.54001</v>
      </c>
      <c r="BW61" s="12">
        <f t="shared" ca="1" si="94"/>
        <v>122786858643.02998</v>
      </c>
      <c r="BX61" s="12">
        <f t="shared" ca="1" si="94"/>
        <v>125463497638.22</v>
      </c>
      <c r="BY61" s="12">
        <f t="shared" ca="1" si="94"/>
        <v>123577604527.11</v>
      </c>
      <c r="BZ61" s="12">
        <f t="shared" ca="1" si="94"/>
        <v>118637092907.44</v>
      </c>
      <c r="CA61" s="12">
        <f t="shared" ca="1" si="94"/>
        <v>117383163944.35001</v>
      </c>
      <c r="CB61" s="12">
        <f t="shared" ca="1" si="94"/>
        <v>116339003200.08002</v>
      </c>
      <c r="CC61" s="12">
        <f t="shared" ca="1" si="94"/>
        <v>123419183360.91</v>
      </c>
      <c r="CD61" s="12">
        <f t="shared" ca="1" si="94"/>
        <v>121627786266.26001</v>
      </c>
      <c r="CE61" s="12">
        <f t="shared" ca="1" si="94"/>
        <v>117390375012.56</v>
      </c>
      <c r="CF61" s="12">
        <f t="shared" ca="1" si="94"/>
        <v>116518527806.06</v>
      </c>
      <c r="CG61" s="12">
        <f t="shared" ca="1" si="94"/>
        <v>120913145801.17001</v>
      </c>
      <c r="CH61" s="12">
        <f t="shared" ca="1" si="94"/>
        <v>119277761122.53999</v>
      </c>
      <c r="CI61" s="12">
        <f t="shared" ca="1" si="94"/>
        <v>115779415698.92</v>
      </c>
      <c r="CJ61" s="12">
        <f t="shared" ca="1" si="94"/>
        <v>115226067769.18999</v>
      </c>
      <c r="CK61" s="12">
        <f t="shared" ca="1" si="94"/>
        <v>119141071092.93999</v>
      </c>
      <c r="CL61" s="12">
        <f t="shared" ca="1" si="94"/>
        <v>117868080145.75</v>
      </c>
      <c r="CM61" s="12">
        <f t="shared" ca="1" si="94"/>
        <v>113443918883.38998</v>
      </c>
      <c r="CN61" s="12">
        <f t="shared" ca="1" si="94"/>
        <v>112631605496.75999</v>
      </c>
      <c r="CO61" s="12">
        <f t="shared" ca="1" si="94"/>
        <v>112021977419.32001</v>
      </c>
      <c r="CP61" s="12">
        <f t="shared" ca="1" si="94"/>
        <v>118250581828.95999</v>
      </c>
      <c r="CQ61" s="12">
        <f t="shared" ca="1" si="94"/>
        <v>116603007095.54001</v>
      </c>
      <c r="CR61" s="12">
        <f t="shared" ca="1" si="94"/>
        <v>112163022574.85001</v>
      </c>
      <c r="CS61" s="12">
        <f t="shared" ca="1" si="94"/>
        <v>111158601226.37001</v>
      </c>
      <c r="CT61" s="12">
        <f t="shared" ca="1" si="94"/>
        <v>110425867505.08</v>
      </c>
      <c r="CU61" s="12">
        <f t="shared" ca="1" si="94"/>
        <v>118281848984.00999</v>
      </c>
      <c r="CV61" s="12">
        <f t="shared" ca="1" si="94"/>
        <v>115481182144.89999</v>
      </c>
      <c r="CW61" s="12">
        <f t="shared" ca="1" si="94"/>
        <v>110786793505.70001</v>
      </c>
      <c r="CX61" s="12">
        <f t="shared" ca="1" si="94"/>
        <v>110860764058.13</v>
      </c>
      <c r="CY61" s="12">
        <f t="shared" ca="1" si="94"/>
        <v>109340374194.53001</v>
      </c>
      <c r="CZ61" s="12">
        <f t="shared" ca="1" si="94"/>
        <v>114254707890.66</v>
      </c>
      <c r="DA61" s="12">
        <f t="shared" ca="1" si="94"/>
        <v>112800120300.03999</v>
      </c>
      <c r="DB61" s="12">
        <f t="shared" ca="1" si="94"/>
        <v>108754812708.37999</v>
      </c>
      <c r="DC61" s="12">
        <f t="shared" ca="1" si="94"/>
        <v>107880880394.95</v>
      </c>
      <c r="DD61" s="12">
        <f t="shared" ca="1" si="94"/>
        <v>107237404708.62001</v>
      </c>
      <c r="DE61" s="12">
        <f t="shared" ca="1" si="94"/>
        <v>114003691614.73001</v>
      </c>
      <c r="DF61" s="12">
        <f t="shared" ca="1" si="94"/>
        <v>112461071940.87999</v>
      </c>
      <c r="DG61" s="12">
        <f t="shared" ca="1" si="94"/>
        <v>108007730286.26999</v>
      </c>
      <c r="DH61" s="12">
        <f t="shared" ca="1" si="94"/>
        <v>107242904509.11</v>
      </c>
      <c r="DI61" s="12">
        <f t="shared" ca="1" si="94"/>
        <v>106398946664.53001</v>
      </c>
      <c r="DJ61" s="12">
        <f t="shared" ca="1" si="94"/>
        <v>110627155459.43001</v>
      </c>
      <c r="DK61" s="12">
        <f t="shared" ca="1" si="94"/>
        <v>110629906034.89999</v>
      </c>
      <c r="DL61" s="12">
        <f t="shared" ca="1" si="94"/>
        <v>106737088788.13</v>
      </c>
      <c r="DM61" s="12">
        <f t="shared" ca="1" si="94"/>
        <v>106117812665.23001</v>
      </c>
      <c r="DN61" s="12">
        <f t="shared" ca="1" si="94"/>
        <v>105294084361.71999</v>
      </c>
      <c r="DO61" s="12">
        <f t="shared" ca="1" si="94"/>
        <v>113284793177.44002</v>
      </c>
      <c r="DP61" s="12">
        <f t="shared" ca="1" si="94"/>
        <v>110808242177.41002</v>
      </c>
      <c r="DQ61" s="12">
        <f t="shared" ca="1" si="94"/>
        <v>106778503194.22</v>
      </c>
      <c r="DR61" s="12">
        <f t="shared" ca="1" si="94"/>
        <v>105810315975.44</v>
      </c>
      <c r="DS61" s="12">
        <f t="shared" ca="1" si="94"/>
        <v>105157667380.16</v>
      </c>
      <c r="DT61" s="12">
        <f t="shared" ca="1" si="94"/>
        <v>108993237782.13</v>
      </c>
      <c r="DU61" s="12">
        <f t="shared" ca="1" si="94"/>
        <v>107591165284.10001</v>
      </c>
      <c r="DV61" s="12">
        <f t="shared" ca="1" si="94"/>
        <v>104589406331.68001</v>
      </c>
      <c r="DW61" s="12">
        <f t="shared" ca="1" si="94"/>
        <v>103771497888.18999</v>
      </c>
      <c r="DX61" s="12">
        <f t="shared" ca="1" si="94"/>
        <v>103545566113.19</v>
      </c>
      <c r="DY61" s="12">
        <f t="shared" ca="1" si="94"/>
        <v>112402181099.14</v>
      </c>
      <c r="DZ61" s="12">
        <f t="shared" ca="1" si="94"/>
        <v>110272554858.76999</v>
      </c>
      <c r="EA61" s="12">
        <f t="shared" ca="1" si="94"/>
        <v>105315824213.43001</v>
      </c>
      <c r="EB61" s="12">
        <f t="shared" ca="1" si="94"/>
        <v>104296777846.38</v>
      </c>
      <c r="EC61" s="12">
        <f t="shared" ca="1" si="94"/>
        <v>105976357839.02</v>
      </c>
      <c r="ED61" s="12">
        <f t="shared" ref="ED61:GO61" ca="1" si="95">IF(ED$5&gt;TODAY(),EC$61,EC$60)+SUM(ED24:ED27)-SUM(ED38:ED39)</f>
        <v>105055568887.59999</v>
      </c>
      <c r="EE61" s="12">
        <f t="shared" ca="1" si="95"/>
        <v>102912967071.3</v>
      </c>
      <c r="EF61" s="12">
        <f t="shared" ca="1" si="95"/>
        <v>102013645803.25002</v>
      </c>
      <c r="EG61" s="12">
        <f t="shared" ca="1" si="95"/>
        <v>101468164051.51999</v>
      </c>
      <c r="EH61" s="12">
        <f t="shared" ca="1" si="95"/>
        <v>106788789306.49001</v>
      </c>
      <c r="EI61" s="12">
        <f t="shared" ca="1" si="95"/>
        <v>105534308351.73</v>
      </c>
      <c r="EJ61" s="12">
        <f t="shared" ca="1" si="95"/>
        <v>102539052310.92001</v>
      </c>
      <c r="EK61" s="12">
        <f t="shared" ca="1" si="95"/>
        <v>101780786244.34</v>
      </c>
      <c r="EL61" s="12">
        <f t="shared" ca="1" si="95"/>
        <v>101051735393.16</v>
      </c>
      <c r="EM61" s="12">
        <f t="shared" ca="1" si="95"/>
        <v>107605431660.42</v>
      </c>
      <c r="EN61" s="12">
        <f t="shared" ca="1" si="95"/>
        <v>104459453044.64999</v>
      </c>
      <c r="EO61" s="12">
        <f t="shared" ca="1" si="95"/>
        <v>103463054882.66</v>
      </c>
      <c r="EP61" s="12">
        <f t="shared" ca="1" si="95"/>
        <v>102741524221.52</v>
      </c>
      <c r="EQ61" s="12">
        <f t="shared" ca="1" si="95"/>
        <v>107192731289.58</v>
      </c>
      <c r="ER61" s="12">
        <f t="shared" ca="1" si="95"/>
        <v>105785358217.50999</v>
      </c>
      <c r="ES61" s="12">
        <f t="shared" ca="1" si="95"/>
        <v>102623865414.11</v>
      </c>
      <c r="ET61" s="12">
        <f t="shared" ca="1" si="95"/>
        <v>101826078180.00999</v>
      </c>
      <c r="EU61" s="12">
        <f t="shared" ca="1" si="95"/>
        <v>101368201660.54001</v>
      </c>
      <c r="EV61" s="12">
        <f t="shared" ca="1" si="95"/>
        <v>102582052745.41002</v>
      </c>
      <c r="EW61" s="12">
        <f t="shared" ca="1" si="95"/>
        <v>101719338680.11</v>
      </c>
      <c r="EX61" s="12">
        <f t="shared" ca="1" si="95"/>
        <v>99667911395.440002</v>
      </c>
      <c r="EY61" s="12">
        <f t="shared" ca="1" si="95"/>
        <v>99272751215.119995</v>
      </c>
      <c r="EZ61" s="12">
        <f t="shared" ca="1" si="95"/>
        <v>101707667929.50999</v>
      </c>
      <c r="FA61" s="12">
        <f t="shared" ca="1" si="95"/>
        <v>101150142158.41</v>
      </c>
      <c r="FB61" s="12">
        <f t="shared" ca="1" si="95"/>
        <v>99688720192.079987</v>
      </c>
      <c r="FC61" s="12">
        <f t="shared" ca="1" si="95"/>
        <v>100207173236.68001</v>
      </c>
      <c r="FD61" s="12">
        <f t="shared" ca="1" si="95"/>
        <v>99617225643.389999</v>
      </c>
      <c r="FE61" s="12">
        <f t="shared" ca="1" si="95"/>
        <v>103536090024.99001</v>
      </c>
      <c r="FF61" s="12">
        <f t="shared" ca="1" si="95"/>
        <v>102090965424.77</v>
      </c>
      <c r="FG61" s="12">
        <f t="shared" ca="1" si="95"/>
        <v>99700666864.990005</v>
      </c>
      <c r="FH61" s="12">
        <f t="shared" ca="1" si="95"/>
        <v>99114105575.230011</v>
      </c>
      <c r="FI61" s="12">
        <f t="shared" ca="1" si="95"/>
        <v>98779257822.400009</v>
      </c>
      <c r="FJ61" s="12">
        <f t="shared" ca="1" si="95"/>
        <v>102307280754.42999</v>
      </c>
      <c r="FK61" s="12">
        <f t="shared" ca="1" si="95"/>
        <v>101536470263.12</v>
      </c>
      <c r="FL61" s="12">
        <f t="shared" ca="1" si="95"/>
        <v>99486865452.069992</v>
      </c>
      <c r="FM61" s="12">
        <f t="shared" ca="1" si="95"/>
        <v>99340917111.520004</v>
      </c>
      <c r="FN61" s="12">
        <f t="shared" ca="1" si="95"/>
        <v>98838670009.470001</v>
      </c>
      <c r="FO61" s="12">
        <f t="shared" ca="1" si="95"/>
        <v>98882034757.669998</v>
      </c>
      <c r="FP61" s="12">
        <f t="shared" ca="1" si="95"/>
        <v>101147987293.16</v>
      </c>
      <c r="FQ61" s="12">
        <f t="shared" ca="1" si="95"/>
        <v>99436922900.579987</v>
      </c>
      <c r="FR61" s="12">
        <f t="shared" ca="1" si="95"/>
        <v>98908301059.479996</v>
      </c>
      <c r="FS61" s="12">
        <f t="shared" ca="1" si="95"/>
        <v>98706189269.089996</v>
      </c>
      <c r="FT61" s="12">
        <f t="shared" ca="1" si="95"/>
        <v>101396153569.21999</v>
      </c>
      <c r="FU61" s="12">
        <f t="shared" ca="1" si="95"/>
        <v>100570127700.33002</v>
      </c>
      <c r="FV61" s="12">
        <f t="shared" ca="1" si="95"/>
        <v>99345751964.600006</v>
      </c>
      <c r="FW61" s="12">
        <f t="shared" ca="1" si="95"/>
        <v>98782872073.959991</v>
      </c>
      <c r="FX61" s="12">
        <f t="shared" ca="1" si="95"/>
        <v>101019094370.84001</v>
      </c>
      <c r="FY61" s="12">
        <f t="shared" ca="1" si="95"/>
        <v>100474803383.74001</v>
      </c>
      <c r="FZ61" s="12">
        <f t="shared" ca="1" si="95"/>
        <v>100687528586.37999</v>
      </c>
      <c r="GA61" s="12">
        <f t="shared" ca="1" si="95"/>
        <v>99249685091.429993</v>
      </c>
      <c r="GB61" s="12">
        <f t="shared" ca="1" si="95"/>
        <v>98562555973.5</v>
      </c>
      <c r="GC61" s="12">
        <f t="shared" ca="1" si="95"/>
        <v>98097215318.12999</v>
      </c>
      <c r="GD61" s="12">
        <f t="shared" ca="1" si="95"/>
        <v>99954821506.289993</v>
      </c>
      <c r="GE61" s="12">
        <f t="shared" ca="1" si="95"/>
        <v>99307396315.669998</v>
      </c>
      <c r="GF61" s="12">
        <f t="shared" ca="1" si="95"/>
        <v>98372716553.51001</v>
      </c>
      <c r="GG61" s="12">
        <f t="shared" ca="1" si="95"/>
        <v>97961273977.820023</v>
      </c>
      <c r="GH61" s="12">
        <f t="shared" ca="1" si="95"/>
        <v>97575389884.820007</v>
      </c>
      <c r="GI61" s="12">
        <f t="shared" ca="1" si="95"/>
        <v>96960778403.300003</v>
      </c>
      <c r="GJ61" s="12">
        <f t="shared" ca="1" si="95"/>
        <v>96875761518.569977</v>
      </c>
      <c r="GK61" s="12">
        <f t="shared" ca="1" si="95"/>
        <v>96061827431.189987</v>
      </c>
      <c r="GL61" s="12">
        <f t="shared" ca="1" si="95"/>
        <v>105424051655.3</v>
      </c>
      <c r="GM61" s="12">
        <f t="shared" ca="1" si="95"/>
        <v>102747529351.79999</v>
      </c>
      <c r="GN61" s="12">
        <f t="shared" ca="1" si="95"/>
        <v>101557642615.27</v>
      </c>
      <c r="GO61" s="12">
        <f t="shared" ca="1" si="95"/>
        <v>99299108518.26001</v>
      </c>
      <c r="GP61" s="12">
        <f t="shared" ref="GP61:GW61" ca="1" si="96">IF(GP$5&gt;TODAY(),GO$61,GO$60)+SUM(GP24:GP27)-SUM(GP38:GP39)</f>
        <v>98613366107.560013</v>
      </c>
      <c r="GQ61" s="12">
        <f t="shared" ca="1" si="96"/>
        <v>98301504551.639984</v>
      </c>
      <c r="GR61" s="12">
        <f t="shared" ca="1" si="96"/>
        <v>101735866755.76001</v>
      </c>
      <c r="GS61" s="12">
        <f t="shared" ca="1" si="96"/>
        <v>100480929610.79001</v>
      </c>
      <c r="GT61" s="12">
        <f t="shared" ca="1" si="96"/>
        <v>98404218130.589996</v>
      </c>
      <c r="GU61" s="12">
        <f t="shared" ca="1" si="96"/>
        <v>97954615973.770004</v>
      </c>
      <c r="GV61" s="12">
        <f t="shared" ca="1" si="96"/>
        <v>104944872136.89</v>
      </c>
      <c r="GW61" s="12">
        <f t="shared" ca="1" si="96"/>
        <v>102146209557.09999</v>
      </c>
      <c r="GX61" s="12">
        <f t="shared" ref="GX61:HI61" ca="1" si="97">IF(GX$5&gt;TODAY(),GW$61,GW$60)+SUM(GX24:GX27)-SUM(GX38:GX39)</f>
        <v>100711351736.64</v>
      </c>
      <c r="GY61" s="12">
        <f t="shared" ca="1" si="97"/>
        <v>99883874098.699997</v>
      </c>
      <c r="GZ61" s="12">
        <f t="shared" ca="1" si="97"/>
        <v>103788399250.33</v>
      </c>
      <c r="HA61" s="12">
        <f t="shared" ca="1" si="97"/>
        <v>102250151168.43001</v>
      </c>
      <c r="HB61" s="12">
        <f t="shared" ca="1" si="97"/>
        <v>98483050136.730011</v>
      </c>
      <c r="HC61" s="12">
        <f t="shared" ca="1" si="97"/>
        <v>98089817278.909988</v>
      </c>
      <c r="HD61" s="12">
        <f t="shared" ca="1" si="97"/>
        <v>97647502814.950012</v>
      </c>
      <c r="HE61" s="12">
        <f t="shared" ca="1" si="97"/>
        <v>99896896338.859985</v>
      </c>
      <c r="HF61" s="12">
        <f t="shared" ca="1" si="97"/>
        <v>98779947916.380005</v>
      </c>
      <c r="HG61" s="12">
        <f t="shared" ca="1" si="97"/>
        <v>96480167787.680008</v>
      </c>
      <c r="HH61" s="12">
        <f t="shared" ca="1" si="97"/>
        <v>95850500015.490005</v>
      </c>
      <c r="HI61" s="12">
        <f t="shared" ca="1" si="97"/>
        <v>102030356501.31999</v>
      </c>
      <c r="HJ61" s="12">
        <f t="shared" ref="HJ61:HO61" ca="1" si="98">IF(HJ$5&gt;TODAY(),HI$61,HI$60)+SUM(HJ24:HJ27)-SUM(HJ38:HJ39)</f>
        <v>104097624553.04999</v>
      </c>
      <c r="HK61" s="12">
        <f t="shared" ca="1" si="98"/>
        <v>102882002049.87999</v>
      </c>
      <c r="HL61" s="12">
        <f t="shared" ca="1" si="98"/>
        <v>103113575966.86</v>
      </c>
      <c r="HM61" s="12">
        <f t="shared" ca="1" si="98"/>
        <v>98506218789.939987</v>
      </c>
      <c r="HN61" s="12" t="e">
        <f t="shared" ca="1" si="98"/>
        <v>#NAME?</v>
      </c>
      <c r="HO61" s="12" t="e">
        <f t="shared" ca="1" si="98"/>
        <v>#NAME?</v>
      </c>
      <c r="HP61" s="12" t="e">
        <f t="shared" ref="HP61:IY61" ca="1" si="99">IF(HP$5&gt;TODAY(),HO$61,HO$60)+SUM(HP24:HP27)-SUM(HP38:HP39)</f>
        <v>#NAME?</v>
      </c>
      <c r="HQ61" s="12" t="e">
        <f t="shared" ca="1" si="99"/>
        <v>#NAME?</v>
      </c>
      <c r="HR61" s="12" t="e">
        <f t="shared" ca="1" si="99"/>
        <v>#NAME?</v>
      </c>
      <c r="HS61" s="12" t="e">
        <f t="shared" ca="1" si="99"/>
        <v>#NAME?</v>
      </c>
      <c r="HT61" s="12" t="e">
        <f t="shared" ca="1" si="99"/>
        <v>#NAME?</v>
      </c>
      <c r="HU61" s="12" t="e">
        <f t="shared" ca="1" si="99"/>
        <v>#NAME?</v>
      </c>
      <c r="HV61" s="12" t="e">
        <f t="shared" ca="1" si="99"/>
        <v>#NAME?</v>
      </c>
      <c r="HW61" s="12" t="e">
        <f t="shared" ca="1" si="99"/>
        <v>#NAME?</v>
      </c>
      <c r="HX61" s="12" t="e">
        <f t="shared" ca="1" si="99"/>
        <v>#NAME?</v>
      </c>
      <c r="HY61" s="12" t="e">
        <f t="shared" ca="1" si="99"/>
        <v>#NAME?</v>
      </c>
      <c r="HZ61" s="12" t="e">
        <f t="shared" ca="1" si="99"/>
        <v>#NAME?</v>
      </c>
      <c r="IA61" s="12" t="e">
        <f t="shared" ca="1" si="99"/>
        <v>#NAME?</v>
      </c>
      <c r="IB61" s="12" t="e">
        <f t="shared" ca="1" si="99"/>
        <v>#NAME?</v>
      </c>
      <c r="IC61" s="12" t="e">
        <f t="shared" ca="1" si="99"/>
        <v>#NAME?</v>
      </c>
      <c r="ID61" s="12" t="e">
        <f t="shared" ca="1" si="99"/>
        <v>#NAME?</v>
      </c>
      <c r="IE61" s="12" t="e">
        <f t="shared" ca="1" si="99"/>
        <v>#NAME?</v>
      </c>
      <c r="IF61" s="12" t="e">
        <f t="shared" ca="1" si="99"/>
        <v>#NAME?</v>
      </c>
      <c r="IG61" s="12" t="e">
        <f t="shared" ca="1" si="99"/>
        <v>#NAME?</v>
      </c>
      <c r="IH61" s="12" t="e">
        <f t="shared" ca="1" si="99"/>
        <v>#NAME?</v>
      </c>
      <c r="II61" s="12" t="e">
        <f t="shared" ca="1" si="99"/>
        <v>#NAME?</v>
      </c>
      <c r="IJ61" s="12" t="e">
        <f t="shared" ca="1" si="99"/>
        <v>#NAME?</v>
      </c>
      <c r="IK61" s="12" t="e">
        <f t="shared" ca="1" si="99"/>
        <v>#NAME?</v>
      </c>
      <c r="IL61" s="12" t="e">
        <f t="shared" ca="1" si="99"/>
        <v>#NAME?</v>
      </c>
      <c r="IM61" s="12" t="e">
        <f t="shared" ca="1" si="99"/>
        <v>#NAME?</v>
      </c>
      <c r="IN61" s="12" t="e">
        <f t="shared" ca="1" si="99"/>
        <v>#NAME?</v>
      </c>
      <c r="IO61" s="12" t="e">
        <f t="shared" ca="1" si="99"/>
        <v>#NAME?</v>
      </c>
      <c r="IP61" s="12" t="e">
        <f t="shared" ca="1" si="99"/>
        <v>#NAME?</v>
      </c>
      <c r="IQ61" s="12" t="e">
        <f t="shared" ca="1" si="99"/>
        <v>#NAME?</v>
      </c>
      <c r="IR61" s="12" t="e">
        <f t="shared" ca="1" si="99"/>
        <v>#NAME?</v>
      </c>
      <c r="IS61" s="12" t="e">
        <f t="shared" ca="1" si="99"/>
        <v>#NAME?</v>
      </c>
      <c r="IT61" s="12" t="e">
        <f t="shared" ca="1" si="99"/>
        <v>#NAME?</v>
      </c>
      <c r="IU61" s="12" t="e">
        <f t="shared" ca="1" si="99"/>
        <v>#NAME?</v>
      </c>
      <c r="IV61" s="12" t="e">
        <f t="shared" ca="1" si="99"/>
        <v>#NAME?</v>
      </c>
      <c r="IW61" s="12" t="e">
        <f t="shared" ca="1" si="99"/>
        <v>#NAME?</v>
      </c>
      <c r="IX61" s="12" t="e">
        <f t="shared" ca="1" si="99"/>
        <v>#NAME?</v>
      </c>
      <c r="IY61" s="12" t="e">
        <f t="shared" ca="1" si="99"/>
        <v>#NAME?</v>
      </c>
      <c r="IZ61" s="12" t="e">
        <f t="shared" ref="IZ61:LK61" ca="1" si="100">IF(IZ$5&gt;TODAY(),IY$61,IY$60)+SUM(IZ24:IZ27)-SUM(IZ38:IZ39)</f>
        <v>#NAME?</v>
      </c>
      <c r="JA61" s="12" t="e">
        <f t="shared" ca="1" si="100"/>
        <v>#NAME?</v>
      </c>
      <c r="JB61" s="12" t="e">
        <f t="shared" ca="1" si="100"/>
        <v>#NAME?</v>
      </c>
      <c r="JC61" s="12" t="e">
        <f t="shared" ca="1" si="100"/>
        <v>#NAME?</v>
      </c>
      <c r="JD61" s="12" t="e">
        <f t="shared" ca="1" si="100"/>
        <v>#NAME?</v>
      </c>
      <c r="JE61" s="12" t="e">
        <f t="shared" ca="1" si="100"/>
        <v>#NAME?</v>
      </c>
      <c r="JF61" s="12" t="e">
        <f t="shared" ca="1" si="100"/>
        <v>#NAME?</v>
      </c>
      <c r="JG61" s="12" t="e">
        <f t="shared" ca="1" si="100"/>
        <v>#NAME?</v>
      </c>
      <c r="JH61" s="12" t="e">
        <f t="shared" ca="1" si="100"/>
        <v>#NAME?</v>
      </c>
      <c r="JI61" s="12" t="e">
        <f t="shared" ca="1" si="100"/>
        <v>#NAME?</v>
      </c>
      <c r="JJ61" s="12" t="e">
        <f t="shared" ca="1" si="100"/>
        <v>#NAME?</v>
      </c>
      <c r="JK61" s="12" t="e">
        <f t="shared" ca="1" si="100"/>
        <v>#NAME?</v>
      </c>
      <c r="JL61" s="12" t="e">
        <f t="shared" ca="1" si="100"/>
        <v>#NAME?</v>
      </c>
      <c r="JM61" s="12" t="e">
        <f t="shared" ca="1" si="100"/>
        <v>#NAME?</v>
      </c>
      <c r="JN61" s="12" t="e">
        <f t="shared" ca="1" si="100"/>
        <v>#NAME?</v>
      </c>
      <c r="JO61" s="12" t="e">
        <f t="shared" ca="1" si="100"/>
        <v>#NAME?</v>
      </c>
      <c r="JP61" s="12" t="e">
        <f t="shared" ca="1" si="100"/>
        <v>#NAME?</v>
      </c>
      <c r="JQ61" s="12" t="e">
        <f t="shared" ca="1" si="100"/>
        <v>#NAME?</v>
      </c>
      <c r="JR61" s="12" t="e">
        <f t="shared" ca="1" si="100"/>
        <v>#NAME?</v>
      </c>
      <c r="JS61" s="12" t="e">
        <f t="shared" ca="1" si="100"/>
        <v>#NAME?</v>
      </c>
      <c r="JT61" s="12" t="e">
        <f t="shared" ca="1" si="100"/>
        <v>#NAME?</v>
      </c>
      <c r="JU61" s="12" t="e">
        <f t="shared" ca="1" si="100"/>
        <v>#NAME?</v>
      </c>
      <c r="JV61" s="12" t="e">
        <f t="shared" ca="1" si="100"/>
        <v>#NAME?</v>
      </c>
      <c r="JW61" s="12" t="e">
        <f t="shared" ca="1" si="100"/>
        <v>#NAME?</v>
      </c>
      <c r="JX61" s="12" t="e">
        <f t="shared" ca="1" si="100"/>
        <v>#NAME?</v>
      </c>
      <c r="JY61" s="12" t="e">
        <f t="shared" ca="1" si="100"/>
        <v>#NAME?</v>
      </c>
      <c r="JZ61" s="12" t="e">
        <f t="shared" ca="1" si="100"/>
        <v>#NAME?</v>
      </c>
      <c r="KA61" s="12" t="e">
        <f t="shared" ca="1" si="100"/>
        <v>#NAME?</v>
      </c>
      <c r="KB61" s="12" t="e">
        <f t="shared" ca="1" si="100"/>
        <v>#NAME?</v>
      </c>
      <c r="KC61" s="12" t="e">
        <f t="shared" ca="1" si="100"/>
        <v>#NAME?</v>
      </c>
      <c r="KD61" s="12" t="e">
        <f t="shared" ca="1" si="100"/>
        <v>#NAME?</v>
      </c>
      <c r="KE61" s="12" t="e">
        <f t="shared" ca="1" si="100"/>
        <v>#NAME?</v>
      </c>
      <c r="KF61" s="12" t="e">
        <f t="shared" ca="1" si="100"/>
        <v>#NAME?</v>
      </c>
      <c r="KG61" s="12" t="e">
        <f t="shared" ca="1" si="100"/>
        <v>#NAME?</v>
      </c>
      <c r="KH61" s="12" t="e">
        <f t="shared" ca="1" si="100"/>
        <v>#NAME?</v>
      </c>
      <c r="KI61" s="12" t="e">
        <f t="shared" ca="1" si="100"/>
        <v>#NAME?</v>
      </c>
      <c r="KJ61" s="12" t="e">
        <f t="shared" ca="1" si="100"/>
        <v>#NAME?</v>
      </c>
      <c r="KK61" s="12" t="e">
        <f t="shared" ca="1" si="100"/>
        <v>#NAME?</v>
      </c>
      <c r="KL61" s="12" t="e">
        <f t="shared" ca="1" si="100"/>
        <v>#NAME?</v>
      </c>
      <c r="KM61" s="12" t="e">
        <f t="shared" ca="1" si="100"/>
        <v>#NAME?</v>
      </c>
      <c r="KN61" s="12" t="e">
        <f t="shared" ca="1" si="100"/>
        <v>#NAME?</v>
      </c>
      <c r="KO61" s="12" t="e">
        <f t="shared" ca="1" si="100"/>
        <v>#NAME?</v>
      </c>
      <c r="KP61" s="12" t="e">
        <f t="shared" ca="1" si="100"/>
        <v>#NAME?</v>
      </c>
      <c r="KQ61" s="12" t="e">
        <f t="shared" ca="1" si="100"/>
        <v>#NAME?</v>
      </c>
      <c r="KR61" s="12" t="e">
        <f t="shared" ca="1" si="100"/>
        <v>#NAME?</v>
      </c>
      <c r="KS61" s="12" t="e">
        <f t="shared" ca="1" si="100"/>
        <v>#NAME?</v>
      </c>
      <c r="KT61" s="12" t="e">
        <f t="shared" ca="1" si="100"/>
        <v>#NAME?</v>
      </c>
      <c r="KU61" s="12" t="e">
        <f t="shared" ca="1" si="100"/>
        <v>#NAME?</v>
      </c>
      <c r="KV61" s="12" t="e">
        <f t="shared" ca="1" si="100"/>
        <v>#NAME?</v>
      </c>
      <c r="KW61" s="12" t="e">
        <f t="shared" ca="1" si="100"/>
        <v>#NAME?</v>
      </c>
      <c r="KX61" s="12" t="e">
        <f t="shared" ca="1" si="100"/>
        <v>#NAME?</v>
      </c>
      <c r="KY61" s="12" t="e">
        <f t="shared" ca="1" si="100"/>
        <v>#NAME?</v>
      </c>
      <c r="KZ61" s="12" t="e">
        <f t="shared" ca="1" si="100"/>
        <v>#NAME?</v>
      </c>
      <c r="LA61" s="12" t="e">
        <f t="shared" ca="1" si="100"/>
        <v>#NAME?</v>
      </c>
      <c r="LB61" s="12" t="e">
        <f t="shared" ca="1" si="100"/>
        <v>#NAME?</v>
      </c>
      <c r="LC61" s="12" t="e">
        <f t="shared" ca="1" si="100"/>
        <v>#NAME?</v>
      </c>
      <c r="LD61" s="12" t="e">
        <f t="shared" ca="1" si="100"/>
        <v>#NAME?</v>
      </c>
      <c r="LE61" s="12" t="e">
        <f t="shared" ca="1" si="100"/>
        <v>#NAME?</v>
      </c>
      <c r="LF61" s="12" t="e">
        <f t="shared" ca="1" si="100"/>
        <v>#NAME?</v>
      </c>
      <c r="LG61" s="12" t="e">
        <f t="shared" ca="1" si="100"/>
        <v>#NAME?</v>
      </c>
      <c r="LH61" s="12" t="e">
        <f t="shared" ca="1" si="100"/>
        <v>#NAME?</v>
      </c>
      <c r="LI61" s="12" t="e">
        <f t="shared" ca="1" si="100"/>
        <v>#NAME?</v>
      </c>
      <c r="LJ61" s="12" t="e">
        <f t="shared" ca="1" si="100"/>
        <v>#NAME?</v>
      </c>
      <c r="LK61" s="12" t="e">
        <f t="shared" ca="1" si="100"/>
        <v>#NAME?</v>
      </c>
      <c r="LL61" s="12" t="e">
        <f t="shared" ref="LL61:LU61" ca="1" si="101">IF(LL$5&gt;TODAY(),LK$61,LK$60)+SUM(LL24:LL27)-SUM(LL38:LL39)</f>
        <v>#NAME?</v>
      </c>
      <c r="LM61" s="12" t="e">
        <f t="shared" ca="1" si="101"/>
        <v>#NAME?</v>
      </c>
      <c r="LN61" s="12" t="e">
        <f t="shared" ca="1" si="101"/>
        <v>#NAME?</v>
      </c>
      <c r="LO61" s="12" t="e">
        <f t="shared" ca="1" si="101"/>
        <v>#NAME?</v>
      </c>
      <c r="LP61" s="12" t="e">
        <f t="shared" ca="1" si="101"/>
        <v>#NAME?</v>
      </c>
      <c r="LQ61" s="12" t="e">
        <f t="shared" ca="1" si="101"/>
        <v>#NAME?</v>
      </c>
      <c r="LR61" s="12" t="e">
        <f t="shared" ca="1" si="101"/>
        <v>#NAME?</v>
      </c>
      <c r="LS61" s="12" t="e">
        <f t="shared" ca="1" si="101"/>
        <v>#NAME?</v>
      </c>
      <c r="LT61" s="12" t="e">
        <f t="shared" ca="1" si="101"/>
        <v>#NAME?</v>
      </c>
      <c r="LU61" s="12" t="e">
        <f t="shared" ca="1" si="101"/>
        <v>#NAME?</v>
      </c>
      <c r="LV61" s="12" t="e">
        <f t="shared" ref="LV61:MA61" ca="1" si="102">IF(LV$5&gt;TODAY(),LU$61,LU$60)+SUM(LV24:LV27)-SUM(LV38:LV39)</f>
        <v>#NAME?</v>
      </c>
      <c r="LW61" s="12" t="e">
        <f t="shared" ca="1" si="102"/>
        <v>#NAME?</v>
      </c>
      <c r="LX61" s="12" t="e">
        <f t="shared" ca="1" si="102"/>
        <v>#NAME?</v>
      </c>
      <c r="LY61" s="12" t="e">
        <f t="shared" ca="1" si="102"/>
        <v>#NAME?</v>
      </c>
      <c r="LZ61" s="12" t="e">
        <f t="shared" ca="1" si="102"/>
        <v>#NAME?</v>
      </c>
      <c r="MA61" s="12" t="e">
        <f t="shared" ca="1" si="102"/>
        <v>#NAME?</v>
      </c>
      <c r="MB61" s="12" t="e">
        <f t="shared" ref="MB61:MG61" ca="1" si="103">IF(MB$5&gt;TODAY(),MA$61,MA$60)+SUM(MB24:MB27)-SUM(MB38:MB39)</f>
        <v>#NAME?</v>
      </c>
      <c r="MC61" s="12" t="e">
        <f t="shared" ca="1" si="103"/>
        <v>#NAME?</v>
      </c>
      <c r="MD61" s="12" t="e">
        <f t="shared" ca="1" si="103"/>
        <v>#NAME?</v>
      </c>
      <c r="ME61" s="12" t="e">
        <f t="shared" ca="1" si="103"/>
        <v>#NAME?</v>
      </c>
      <c r="MF61" s="12" t="e">
        <f t="shared" ca="1" si="103"/>
        <v>#NAME?</v>
      </c>
      <c r="MG61" s="12" t="e">
        <f t="shared" ca="1" si="103"/>
        <v>#NAME?</v>
      </c>
      <c r="MH61" s="12" t="e">
        <f t="shared" ref="MH61:MM61" ca="1" si="104">IF(MH$5&gt;TODAY(),MG$61,MG$60)+SUM(MH24:MH27)-SUM(MH38:MH39)</f>
        <v>#NAME?</v>
      </c>
      <c r="MI61" s="12" t="e">
        <f t="shared" ca="1" si="104"/>
        <v>#NAME?</v>
      </c>
      <c r="MJ61" s="12" t="e">
        <f t="shared" ca="1" si="104"/>
        <v>#NAME?</v>
      </c>
      <c r="MK61" s="12" t="e">
        <f t="shared" ca="1" si="104"/>
        <v>#NAME?</v>
      </c>
      <c r="ML61" s="12" t="e">
        <f t="shared" ca="1" si="104"/>
        <v>#NAME?</v>
      </c>
      <c r="MM61" s="12" t="e">
        <f t="shared" ca="1" si="104"/>
        <v>#NAME?</v>
      </c>
      <c r="MN61" s="12" t="e">
        <f t="shared" ref="MN61:NT61" ca="1" si="105">IF(MN$5&gt;TODAY(),MM$61,MM$60)+SUM(MN24:MN27)-SUM(MN38:MN39)</f>
        <v>#NAME?</v>
      </c>
      <c r="MO61" s="12" t="e">
        <f t="shared" ca="1" si="105"/>
        <v>#NAME?</v>
      </c>
      <c r="MP61" s="12" t="e">
        <f t="shared" ca="1" si="105"/>
        <v>#NAME?</v>
      </c>
      <c r="MQ61" s="12" t="e">
        <f t="shared" ca="1" si="105"/>
        <v>#NAME?</v>
      </c>
      <c r="MR61" s="12" t="e">
        <f t="shared" ca="1" si="105"/>
        <v>#NAME?</v>
      </c>
      <c r="MS61" s="12" t="e">
        <f t="shared" ca="1" si="105"/>
        <v>#NAME?</v>
      </c>
      <c r="MT61" s="12" t="e">
        <f t="shared" ca="1" si="105"/>
        <v>#NAME?</v>
      </c>
      <c r="MU61" s="12" t="e">
        <f t="shared" ca="1" si="105"/>
        <v>#NAME?</v>
      </c>
      <c r="MV61" s="12" t="e">
        <f t="shared" ca="1" si="105"/>
        <v>#NAME?</v>
      </c>
      <c r="MW61" s="12" t="e">
        <f t="shared" ca="1" si="105"/>
        <v>#NAME?</v>
      </c>
      <c r="MX61" s="12" t="e">
        <f t="shared" ca="1" si="105"/>
        <v>#NAME?</v>
      </c>
      <c r="MY61" s="12" t="e">
        <f t="shared" ca="1" si="105"/>
        <v>#NAME?</v>
      </c>
      <c r="MZ61" s="12" t="e">
        <f t="shared" ca="1" si="105"/>
        <v>#NAME?</v>
      </c>
      <c r="NA61" s="12" t="e">
        <f t="shared" ca="1" si="105"/>
        <v>#NAME?</v>
      </c>
      <c r="NB61" s="12" t="e">
        <f t="shared" ca="1" si="105"/>
        <v>#NAME?</v>
      </c>
      <c r="NC61" s="12" t="e">
        <f t="shared" ca="1" si="105"/>
        <v>#NAME?</v>
      </c>
      <c r="ND61" s="12" t="e">
        <f t="shared" ca="1" si="105"/>
        <v>#NAME?</v>
      </c>
      <c r="NE61" s="12" t="e">
        <f t="shared" ca="1" si="105"/>
        <v>#NAME?</v>
      </c>
      <c r="NF61" s="12" t="e">
        <f t="shared" ca="1" si="105"/>
        <v>#NAME?</v>
      </c>
      <c r="NG61" s="12" t="e">
        <f t="shared" ca="1" si="105"/>
        <v>#NAME?</v>
      </c>
      <c r="NH61" s="12" t="e">
        <f t="shared" ca="1" si="105"/>
        <v>#NAME?</v>
      </c>
      <c r="NI61" s="12" t="e">
        <f t="shared" ca="1" si="105"/>
        <v>#NAME?</v>
      </c>
      <c r="NJ61" s="12" t="e">
        <f t="shared" ca="1" si="105"/>
        <v>#NAME?</v>
      </c>
      <c r="NK61" s="12" t="e">
        <f t="shared" ca="1" si="105"/>
        <v>#NAME?</v>
      </c>
      <c r="NL61" s="12" t="e">
        <f t="shared" ca="1" si="105"/>
        <v>#NAME?</v>
      </c>
      <c r="NM61" s="12" t="e">
        <f t="shared" ca="1" si="105"/>
        <v>#NAME?</v>
      </c>
      <c r="NN61" s="12" t="e">
        <f t="shared" ca="1" si="105"/>
        <v>#NAME?</v>
      </c>
      <c r="NO61" s="12" t="e">
        <f t="shared" ca="1" si="105"/>
        <v>#NAME?</v>
      </c>
      <c r="NP61" s="12" t="e">
        <f t="shared" ca="1" si="105"/>
        <v>#NAME?</v>
      </c>
      <c r="NQ61" s="12" t="e">
        <f t="shared" ca="1" si="105"/>
        <v>#NAME?</v>
      </c>
      <c r="NR61" s="12" t="e">
        <f t="shared" ca="1" si="105"/>
        <v>#NAME?</v>
      </c>
      <c r="NS61" s="12" t="e">
        <f t="shared" ca="1" si="105"/>
        <v>#NAME?</v>
      </c>
      <c r="NT61" s="12" t="e">
        <f t="shared" ca="1" si="105"/>
        <v>#NAME?</v>
      </c>
      <c r="NU61" s="12" t="e">
        <f t="shared" ref="NU61:OF61" ca="1" si="106">IF(NU$5&gt;TODAY(),NT$61,NT$60)+SUM(NU24:NU27)-SUM(NU38:NU39)</f>
        <v>#NAME?</v>
      </c>
      <c r="NV61" s="12" t="e">
        <f t="shared" ca="1" si="106"/>
        <v>#NAME?</v>
      </c>
      <c r="NW61" s="12" t="e">
        <f t="shared" ca="1" si="106"/>
        <v>#NAME?</v>
      </c>
      <c r="NX61" s="12" t="e">
        <f t="shared" ca="1" si="106"/>
        <v>#NAME?</v>
      </c>
      <c r="NY61" s="12" t="e">
        <f t="shared" ca="1" si="106"/>
        <v>#NAME?</v>
      </c>
      <c r="NZ61" s="12" t="e">
        <f t="shared" ca="1" si="106"/>
        <v>#NAME?</v>
      </c>
      <c r="OA61" s="12" t="e">
        <f t="shared" ca="1" si="106"/>
        <v>#NAME?</v>
      </c>
      <c r="OB61" s="12" t="e">
        <f t="shared" ca="1" si="106"/>
        <v>#NAME?</v>
      </c>
      <c r="OC61" s="12" t="e">
        <f t="shared" ca="1" si="106"/>
        <v>#NAME?</v>
      </c>
      <c r="OD61" s="12" t="e">
        <f t="shared" ca="1" si="106"/>
        <v>#NAME?</v>
      </c>
      <c r="OE61" s="12" t="e">
        <f t="shared" ca="1" si="106"/>
        <v>#NAME?</v>
      </c>
      <c r="OF61" s="12" t="e">
        <f t="shared" ca="1" si="106"/>
        <v>#NAME?</v>
      </c>
      <c r="OG61" s="12" t="e">
        <f t="shared" ref="OG61:OL61" ca="1" si="107">IF(OG$5&gt;TODAY(),OF$61,OF$60)+SUM(OG24:OG27)-SUM(OG38:OG39)</f>
        <v>#NAME?</v>
      </c>
      <c r="OH61" s="12" t="e">
        <f t="shared" ca="1" si="107"/>
        <v>#NAME?</v>
      </c>
      <c r="OI61" s="12" t="e">
        <f t="shared" ca="1" si="107"/>
        <v>#NAME?</v>
      </c>
      <c r="OJ61" s="12" t="e">
        <f t="shared" ca="1" si="107"/>
        <v>#NAME?</v>
      </c>
      <c r="OK61" s="12" t="e">
        <f t="shared" ca="1" si="107"/>
        <v>#NAME?</v>
      </c>
      <c r="OL61" s="12" t="e">
        <f t="shared" ca="1" si="107"/>
        <v>#NAME?</v>
      </c>
      <c r="OM61" s="12" t="e">
        <f t="shared" ref="OM61:OR61" ca="1" si="108">IF(OM$5&gt;TODAY(),OL$61,OL$60)+SUM(OM24:OM27)-SUM(OM38:OM39)</f>
        <v>#NAME?</v>
      </c>
      <c r="ON61" s="12" t="e">
        <f t="shared" ca="1" si="108"/>
        <v>#NAME?</v>
      </c>
      <c r="OO61" s="12" t="e">
        <f t="shared" ca="1" si="108"/>
        <v>#NAME?</v>
      </c>
      <c r="OP61" s="12" t="e">
        <f t="shared" ca="1" si="108"/>
        <v>#NAME?</v>
      </c>
      <c r="OQ61" s="12" t="e">
        <f t="shared" ca="1" si="108"/>
        <v>#NAME?</v>
      </c>
      <c r="OR61" s="12" t="e">
        <f t="shared" ca="1" si="108"/>
        <v>#NAME?</v>
      </c>
      <c r="OS61" s="12" t="e">
        <f t="shared" ref="OS61:OX61" ca="1" si="109">IF(OS$5&gt;TODAY(),OR$61,OR$60)+SUM(OS24:OS27)-SUM(OS38:OS39)</f>
        <v>#NAME?</v>
      </c>
      <c r="OT61" s="12" t="e">
        <f t="shared" ca="1" si="109"/>
        <v>#NAME?</v>
      </c>
      <c r="OU61" s="12" t="e">
        <f t="shared" ca="1" si="109"/>
        <v>#NAME?</v>
      </c>
      <c r="OV61" s="12" t="e">
        <f t="shared" ca="1" si="109"/>
        <v>#NAME?</v>
      </c>
      <c r="OW61" s="12" t="e">
        <f t="shared" ca="1" si="109"/>
        <v>#NAME?</v>
      </c>
      <c r="OX61" s="12" t="e">
        <f t="shared" ca="1" si="109"/>
        <v>#NAME?</v>
      </c>
      <c r="OY61" s="12" t="e">
        <f t="shared" ref="OY61:RJ61" ca="1" si="110">IF(OY$5&gt;TODAY(),OX$61,OX$60)+SUM(OY24:OY27)-SUM(OY38:OY39)</f>
        <v>#NAME?</v>
      </c>
      <c r="OZ61" s="12" t="e">
        <f t="shared" ca="1" si="110"/>
        <v>#NAME?</v>
      </c>
      <c r="PA61" s="12" t="e">
        <f t="shared" ca="1" si="110"/>
        <v>#NAME?</v>
      </c>
      <c r="PB61" s="12" t="e">
        <f t="shared" ca="1" si="110"/>
        <v>#NAME?</v>
      </c>
      <c r="PC61" s="12" t="e">
        <f t="shared" ca="1" si="110"/>
        <v>#NAME?</v>
      </c>
      <c r="PD61" s="12" t="e">
        <f t="shared" ca="1" si="110"/>
        <v>#NAME?</v>
      </c>
      <c r="PE61" s="12" t="e">
        <f t="shared" ca="1" si="110"/>
        <v>#NAME?</v>
      </c>
      <c r="PF61" s="12" t="e">
        <f t="shared" ca="1" si="110"/>
        <v>#NAME?</v>
      </c>
      <c r="PG61" s="12" t="e">
        <f t="shared" ca="1" si="110"/>
        <v>#NAME?</v>
      </c>
      <c r="PH61" s="12" t="e">
        <f t="shared" ca="1" si="110"/>
        <v>#NAME?</v>
      </c>
      <c r="PI61" s="12" t="e">
        <f t="shared" ca="1" si="110"/>
        <v>#NAME?</v>
      </c>
      <c r="PJ61" s="12" t="e">
        <f t="shared" ca="1" si="110"/>
        <v>#NAME?</v>
      </c>
      <c r="PK61" s="12" t="e">
        <f t="shared" ca="1" si="110"/>
        <v>#NAME?</v>
      </c>
      <c r="PL61" s="12" t="e">
        <f t="shared" ca="1" si="110"/>
        <v>#NAME?</v>
      </c>
      <c r="PM61" s="12" t="e">
        <f t="shared" ca="1" si="110"/>
        <v>#NAME?</v>
      </c>
      <c r="PN61" s="12" t="e">
        <f t="shared" ca="1" si="110"/>
        <v>#NAME?</v>
      </c>
      <c r="PO61" s="12" t="e">
        <f t="shared" ca="1" si="110"/>
        <v>#NAME?</v>
      </c>
      <c r="PP61" s="12" t="e">
        <f t="shared" ca="1" si="110"/>
        <v>#NAME?</v>
      </c>
      <c r="PQ61" s="12" t="e">
        <f t="shared" ca="1" si="110"/>
        <v>#NAME?</v>
      </c>
      <c r="PR61" s="12" t="e">
        <f t="shared" ca="1" si="110"/>
        <v>#NAME?</v>
      </c>
      <c r="PS61" s="12" t="e">
        <f t="shared" ca="1" si="110"/>
        <v>#NAME?</v>
      </c>
      <c r="PT61" s="12" t="e">
        <f t="shared" ca="1" si="110"/>
        <v>#NAME?</v>
      </c>
      <c r="PU61" s="12" t="e">
        <f t="shared" ca="1" si="110"/>
        <v>#NAME?</v>
      </c>
      <c r="PV61" s="12" t="e">
        <f t="shared" ca="1" si="110"/>
        <v>#NAME?</v>
      </c>
      <c r="PW61" s="12" t="e">
        <f t="shared" ca="1" si="110"/>
        <v>#NAME?</v>
      </c>
      <c r="PX61" s="12" t="e">
        <f t="shared" ca="1" si="110"/>
        <v>#NAME?</v>
      </c>
      <c r="PY61" s="12" t="e">
        <f t="shared" ca="1" si="110"/>
        <v>#NAME?</v>
      </c>
      <c r="PZ61" s="12" t="e">
        <f t="shared" ca="1" si="110"/>
        <v>#NAME?</v>
      </c>
      <c r="QA61" s="12" t="e">
        <f t="shared" ca="1" si="110"/>
        <v>#NAME?</v>
      </c>
      <c r="QB61" s="12" t="e">
        <f t="shared" ca="1" si="110"/>
        <v>#NAME?</v>
      </c>
      <c r="QC61" s="12" t="e">
        <f t="shared" ca="1" si="110"/>
        <v>#NAME?</v>
      </c>
      <c r="QD61" s="12" t="e">
        <f t="shared" ca="1" si="110"/>
        <v>#NAME?</v>
      </c>
      <c r="QE61" s="12" t="e">
        <f t="shared" ca="1" si="110"/>
        <v>#NAME?</v>
      </c>
      <c r="QF61" s="12" t="e">
        <f t="shared" ca="1" si="110"/>
        <v>#NAME?</v>
      </c>
      <c r="QG61" s="12" t="e">
        <f t="shared" ca="1" si="110"/>
        <v>#NAME?</v>
      </c>
      <c r="QH61" s="12" t="e">
        <f t="shared" ca="1" si="110"/>
        <v>#NAME?</v>
      </c>
      <c r="QI61" s="12" t="e">
        <f t="shared" ca="1" si="110"/>
        <v>#NAME?</v>
      </c>
      <c r="QJ61" s="12" t="e">
        <f t="shared" ca="1" si="110"/>
        <v>#NAME?</v>
      </c>
      <c r="QK61" s="12" t="e">
        <f t="shared" ca="1" si="110"/>
        <v>#NAME?</v>
      </c>
      <c r="QL61" s="12" t="e">
        <f t="shared" ca="1" si="110"/>
        <v>#NAME?</v>
      </c>
      <c r="QM61" s="12" t="e">
        <f t="shared" ca="1" si="110"/>
        <v>#NAME?</v>
      </c>
      <c r="QN61" s="12" t="e">
        <f t="shared" ca="1" si="110"/>
        <v>#NAME?</v>
      </c>
      <c r="QO61" s="12" t="e">
        <f t="shared" ca="1" si="110"/>
        <v>#NAME?</v>
      </c>
      <c r="QP61" s="12" t="e">
        <f t="shared" ca="1" si="110"/>
        <v>#NAME?</v>
      </c>
      <c r="QQ61" s="12" t="e">
        <f t="shared" ca="1" si="110"/>
        <v>#NAME?</v>
      </c>
      <c r="QR61" s="12" t="e">
        <f t="shared" ca="1" si="110"/>
        <v>#NAME?</v>
      </c>
      <c r="QS61" s="12" t="e">
        <f t="shared" ca="1" si="110"/>
        <v>#NAME?</v>
      </c>
      <c r="QT61" s="12" t="e">
        <f t="shared" ca="1" si="110"/>
        <v>#NAME?</v>
      </c>
      <c r="QU61" s="12" t="e">
        <f t="shared" ca="1" si="110"/>
        <v>#NAME?</v>
      </c>
      <c r="QV61" s="12" t="e">
        <f t="shared" ca="1" si="110"/>
        <v>#NAME?</v>
      </c>
      <c r="QW61" s="12" t="e">
        <f t="shared" ca="1" si="110"/>
        <v>#NAME?</v>
      </c>
      <c r="QX61" s="12" t="e">
        <f t="shared" ca="1" si="110"/>
        <v>#NAME?</v>
      </c>
      <c r="QY61" s="12" t="e">
        <f t="shared" ca="1" si="110"/>
        <v>#NAME?</v>
      </c>
      <c r="QZ61" s="12" t="e">
        <f t="shared" ca="1" si="110"/>
        <v>#NAME?</v>
      </c>
      <c r="RA61" s="12" t="e">
        <f t="shared" ca="1" si="110"/>
        <v>#NAME?</v>
      </c>
      <c r="RB61" s="12" t="e">
        <f t="shared" ca="1" si="110"/>
        <v>#NAME?</v>
      </c>
      <c r="RC61" s="12" t="e">
        <f t="shared" ca="1" si="110"/>
        <v>#NAME?</v>
      </c>
      <c r="RD61" s="12" t="e">
        <f t="shared" ca="1" si="110"/>
        <v>#NAME?</v>
      </c>
      <c r="RE61" s="12" t="e">
        <f t="shared" ca="1" si="110"/>
        <v>#NAME?</v>
      </c>
      <c r="RF61" s="12" t="e">
        <f t="shared" ca="1" si="110"/>
        <v>#NAME?</v>
      </c>
      <c r="RG61" s="12" t="e">
        <f t="shared" ca="1" si="110"/>
        <v>#NAME?</v>
      </c>
      <c r="RH61" s="12" t="e">
        <f t="shared" ca="1" si="110"/>
        <v>#NAME?</v>
      </c>
      <c r="RI61" s="12" t="e">
        <f t="shared" ca="1" si="110"/>
        <v>#NAME?</v>
      </c>
      <c r="RJ61" s="12" t="e">
        <f t="shared" ca="1" si="110"/>
        <v>#NAME?</v>
      </c>
      <c r="RK61" s="12" t="e">
        <f t="shared" ref="RK61:SA61" ca="1" si="111">IF(RK$5&gt;TODAY(),RJ$61,RJ$60)+SUM(RK24:RK27)-SUM(RK38:RK39)</f>
        <v>#NAME?</v>
      </c>
      <c r="RL61" s="12" t="e">
        <f t="shared" ca="1" si="111"/>
        <v>#NAME?</v>
      </c>
      <c r="RM61" s="12" t="e">
        <f t="shared" ca="1" si="111"/>
        <v>#NAME?</v>
      </c>
      <c r="RN61" s="12" t="e">
        <f t="shared" ca="1" si="111"/>
        <v>#NAME?</v>
      </c>
      <c r="RO61" s="12" t="e">
        <f t="shared" ca="1" si="111"/>
        <v>#NAME?</v>
      </c>
      <c r="RP61" s="12" t="e">
        <f t="shared" ca="1" si="111"/>
        <v>#NAME?</v>
      </c>
      <c r="RQ61" s="12" t="e">
        <f t="shared" ca="1" si="111"/>
        <v>#NAME?</v>
      </c>
      <c r="RR61" s="12" t="e">
        <f t="shared" ca="1" si="111"/>
        <v>#NAME?</v>
      </c>
      <c r="RS61" s="12" t="e">
        <f t="shared" ca="1" si="111"/>
        <v>#NAME?</v>
      </c>
      <c r="RT61" s="12" t="e">
        <f t="shared" ca="1" si="111"/>
        <v>#NAME?</v>
      </c>
      <c r="RU61" s="12" t="e">
        <f t="shared" ca="1" si="111"/>
        <v>#NAME?</v>
      </c>
      <c r="RV61" s="12" t="e">
        <f t="shared" ca="1" si="111"/>
        <v>#NAME?</v>
      </c>
      <c r="RW61" s="12" t="e">
        <f t="shared" ca="1" si="111"/>
        <v>#NAME?</v>
      </c>
      <c r="RX61" s="12" t="e">
        <f t="shared" ca="1" si="111"/>
        <v>#NAME?</v>
      </c>
      <c r="RY61" s="12" t="e">
        <f t="shared" ca="1" si="111"/>
        <v>#NAME?</v>
      </c>
      <c r="RZ61" s="12" t="e">
        <f t="shared" ca="1" si="111"/>
        <v>#NAME?</v>
      </c>
      <c r="SA61" s="12" t="e">
        <f t="shared" ca="1" si="111"/>
        <v>#NAME?</v>
      </c>
    </row>
    <row r="62" spans="1:495" x14ac:dyDescent="0.2">
      <c r="A62" s="23" t="s">
        <v>1095</v>
      </c>
      <c r="B62" s="11">
        <f ca="1">B$48/IF(B$5&lt;TODAY(),B$60,B$61)</f>
        <v>2.254661246261051E-2</v>
      </c>
      <c r="C62" s="11">
        <f ca="1">C$48/IF(C$5&lt;TODAY(),C$60,C$61)</f>
        <v>2.7687372707061439E-2</v>
      </c>
      <c r="D62" s="11">
        <f ca="1">D$48/IF(D$5&lt;TODAY(),D$60,D$61)</f>
        <v>6.7919640626776759E-2</v>
      </c>
      <c r="E62" s="11">
        <f ca="1">E$48/IF(E$5&lt;TODAY(),E$60,E$61)</f>
        <v>0.11945670462927935</v>
      </c>
      <c r="F62" s="11">
        <f t="shared" ref="F62:BQ62" ca="1" si="112">F$48/IF(F$5&lt;TODAY(),F$60,F$61)</f>
        <v>8.9642415090384897E-2</v>
      </c>
      <c r="G62" s="11">
        <f t="shared" ca="1" si="112"/>
        <v>2.0411019711534573E-2</v>
      </c>
      <c r="H62" s="11">
        <f t="shared" ca="1" si="112"/>
        <v>7.9574335345797742E-4</v>
      </c>
      <c r="I62" s="11">
        <f t="shared" ca="1" si="112"/>
        <v>2.1019002062807362E-2</v>
      </c>
      <c r="J62" s="11">
        <f t="shared" ca="1" si="112"/>
        <v>1.4605525169079958E-2</v>
      </c>
      <c r="K62" s="11">
        <f t="shared" ca="1" si="112"/>
        <v>2.3498988776476156E-2</v>
      </c>
      <c r="L62" s="11">
        <f t="shared" ca="1" si="112"/>
        <v>-5.0938652727430171E-4</v>
      </c>
      <c r="M62" s="11">
        <f t="shared" ca="1" si="112"/>
        <v>1.0941155974637188E-3</v>
      </c>
      <c r="N62" s="11">
        <f t="shared" ca="1" si="112"/>
        <v>3.3404274534807975E-4</v>
      </c>
      <c r="O62" s="11">
        <f t="shared" ca="1" si="112"/>
        <v>5.5264372569951259E-2</v>
      </c>
      <c r="P62" s="11">
        <f t="shared" ca="1" si="112"/>
        <v>4.9685406091527634E-2</v>
      </c>
      <c r="Q62" s="11">
        <f t="shared" ca="1" si="112"/>
        <v>1.8593935730299101E-2</v>
      </c>
      <c r="R62" s="11">
        <f t="shared" ca="1" si="112"/>
        <v>1.6248870819817319E-4</v>
      </c>
      <c r="S62" s="11">
        <f t="shared" ca="1" si="112"/>
        <v>5.5927521389911568E-4</v>
      </c>
      <c r="T62" s="11">
        <f t="shared" ca="1" si="112"/>
        <v>5.7234295660042067E-2</v>
      </c>
      <c r="U62" s="11">
        <f t="shared" ca="1" si="112"/>
        <v>3.7790968407428731E-2</v>
      </c>
      <c r="V62" s="11">
        <f t="shared" ca="1" si="112"/>
        <v>1.6413708496356622E-2</v>
      </c>
      <c r="W62" s="11">
        <f t="shared" ca="1" si="112"/>
        <v>7.565604181211702E-3</v>
      </c>
      <c r="X62" s="11">
        <f t="shared" ca="1" si="112"/>
        <v>1.0872316787093688E-3</v>
      </c>
      <c r="Y62" s="11">
        <f t="shared" ca="1" si="112"/>
        <v>9.9338830187543515E-3</v>
      </c>
      <c r="Z62" s="11">
        <f t="shared" ca="1" si="112"/>
        <v>3.3620281670511787E-2</v>
      </c>
      <c r="AA62" s="11">
        <f t="shared" ca="1" si="112"/>
        <v>1.0975980743782175E-2</v>
      </c>
      <c r="AB62" s="11">
        <f t="shared" ca="1" si="112"/>
        <v>8.2520451579573325E-3</v>
      </c>
      <c r="AC62" s="11">
        <f t="shared" ca="1" si="112"/>
        <v>7.918673835585999E-3</v>
      </c>
      <c r="AD62" s="11">
        <f t="shared" ca="1" si="112"/>
        <v>1.1566253091618236E-3</v>
      </c>
      <c r="AE62" s="11">
        <f t="shared" ca="1" si="112"/>
        <v>-2.2369348302604536E-3</v>
      </c>
      <c r="AF62" s="11">
        <f t="shared" ca="1" si="112"/>
        <v>8.3540061286274084E-4</v>
      </c>
      <c r="AG62" s="11">
        <f t="shared" ca="1" si="112"/>
        <v>2.9351637113304429E-4</v>
      </c>
      <c r="AH62" s="11">
        <f t="shared" ca="1" si="112"/>
        <v>6.0950695544262678E-3</v>
      </c>
      <c r="AI62" s="11">
        <f t="shared" ca="1" si="112"/>
        <v>2.9397986657347843E-4</v>
      </c>
      <c r="AJ62" s="11">
        <f t="shared" ca="1" si="112"/>
        <v>5.3972991345574634E-4</v>
      </c>
      <c r="AK62" s="11">
        <f t="shared" ca="1" si="112"/>
        <v>7.1559659823059406E-4</v>
      </c>
      <c r="AL62" s="11">
        <f t="shared" ca="1" si="112"/>
        <v>4.067992114554087E-3</v>
      </c>
      <c r="AM62" s="11">
        <f t="shared" ca="1" si="112"/>
        <v>1.7566528391180524E-3</v>
      </c>
      <c r="AN62" s="11">
        <f t="shared" ca="1" si="112"/>
        <v>1.1512582198065762E-2</v>
      </c>
      <c r="AO62" s="11">
        <f t="shared" ca="1" si="112"/>
        <v>6.5114466153800242E-4</v>
      </c>
      <c r="AP62" s="11">
        <f t="shared" ca="1" si="112"/>
        <v>3.0351488589208312E-4</v>
      </c>
      <c r="AQ62" s="11">
        <f t="shared" ca="1" si="112"/>
        <v>2.7105093350387438E-2</v>
      </c>
      <c r="AR62" s="11">
        <f t="shared" ca="1" si="112"/>
        <v>5.9523344478056234E-3</v>
      </c>
      <c r="AS62" s="11">
        <f t="shared" ca="1" si="112"/>
        <v>1.0266883303202081E-2</v>
      </c>
      <c r="AT62" s="11">
        <f t="shared" ca="1" si="112"/>
        <v>1.4571304998900737E-2</v>
      </c>
      <c r="AU62" s="11">
        <f t="shared" ca="1" si="112"/>
        <v>1.4833177251839434E-2</v>
      </c>
      <c r="AV62" s="11">
        <f t="shared" ca="1" si="112"/>
        <v>4.6368206211123194E-4</v>
      </c>
      <c r="AW62" s="11">
        <f t="shared" ca="1" si="112"/>
        <v>1.8129564206915746E-2</v>
      </c>
      <c r="AX62" s="11">
        <f t="shared" ca="1" si="112"/>
        <v>3.6692548364529124E-3</v>
      </c>
      <c r="AY62" s="11">
        <f t="shared" ca="1" si="112"/>
        <v>1.2955202207059762E-2</v>
      </c>
      <c r="AZ62" s="11">
        <f t="shared" ca="1" si="112"/>
        <v>3.3986185622811578E-3</v>
      </c>
      <c r="BA62" s="11">
        <f t="shared" ca="1" si="112"/>
        <v>5.1372941398419572E-3</v>
      </c>
      <c r="BB62" s="11">
        <f t="shared" ca="1" si="112"/>
        <v>1.0794768612702684E-3</v>
      </c>
      <c r="BC62" s="11">
        <f t="shared" ca="1" si="112"/>
        <v>4.3326881505119526E-4</v>
      </c>
      <c r="BD62" s="11">
        <f t="shared" ca="1" si="112"/>
        <v>3.9952781633365922E-2</v>
      </c>
      <c r="BE62" s="11">
        <f t="shared" ca="1" si="112"/>
        <v>3.3102827480752085E-2</v>
      </c>
      <c r="BF62" s="11">
        <f t="shared" ca="1" si="112"/>
        <v>3.8362356375024692E-2</v>
      </c>
      <c r="BG62" s="11">
        <f t="shared" ca="1" si="112"/>
        <v>0.12886707075797094</v>
      </c>
      <c r="BH62" s="11">
        <f t="shared" ca="1" si="112"/>
        <v>8.0109056608955342E-2</v>
      </c>
      <c r="BI62" s="11">
        <f t="shared" ca="1" si="112"/>
        <v>5.8529883340261435E-2</v>
      </c>
      <c r="BJ62" s="11">
        <f t="shared" ca="1" si="112"/>
        <v>2.3184841691399245E-2</v>
      </c>
      <c r="BK62" s="11">
        <f t="shared" ca="1" si="112"/>
        <v>3.3783224727732783E-4</v>
      </c>
      <c r="BL62" s="11">
        <f t="shared" ca="1" si="112"/>
        <v>1.5079218815201552E-3</v>
      </c>
      <c r="BM62" s="11">
        <f t="shared" ca="1" si="112"/>
        <v>7.5691573666466692E-4</v>
      </c>
      <c r="BN62" s="11">
        <f t="shared" ca="1" si="112"/>
        <v>4.7610768436263606E-2</v>
      </c>
      <c r="BO62" s="11">
        <f t="shared" ca="1" si="112"/>
        <v>2.003105846575266E-2</v>
      </c>
      <c r="BP62" s="11">
        <f t="shared" ca="1" si="112"/>
        <v>8.2456376660034972E-3</v>
      </c>
      <c r="BQ62" s="11">
        <f t="shared" ca="1" si="112"/>
        <v>3.267172813578825E-3</v>
      </c>
      <c r="BR62" s="11">
        <f t="shared" ref="BR62:EC62" ca="1" si="113">BR$48/IF(BR$5&lt;TODAY(),BR$60,BR$61)</f>
        <v>1.6562325259398755E-4</v>
      </c>
      <c r="BS62" s="11">
        <f t="shared" ca="1" si="113"/>
        <v>7.62708694570385E-4</v>
      </c>
      <c r="BT62" s="11">
        <f t="shared" ca="1" si="113"/>
        <v>1.4577610970575168E-2</v>
      </c>
      <c r="BU62" s="11">
        <f t="shared" ca="1" si="113"/>
        <v>6.5099892208848901E-3</v>
      </c>
      <c r="BV62" s="11">
        <f t="shared" ca="1" si="113"/>
        <v>6.4998019718015406E-3</v>
      </c>
      <c r="BW62" s="11">
        <f t="shared" ca="1" si="113"/>
        <v>1.2975398346903413E-2</v>
      </c>
      <c r="BX62" s="11">
        <f t="shared" ca="1" si="113"/>
        <v>2.0192449646194938E-4</v>
      </c>
      <c r="BY62" s="11">
        <f t="shared" ca="1" si="113"/>
        <v>3.2069949329750591E-3</v>
      </c>
      <c r="BZ62" s="11">
        <f t="shared" ca="1" si="113"/>
        <v>1.1946946650847488E-3</v>
      </c>
      <c r="CA62" s="11">
        <f t="shared" ca="1" si="113"/>
        <v>7.9995616851743691E-3</v>
      </c>
      <c r="CB62" s="11">
        <f t="shared" ca="1" si="113"/>
        <v>1.1367616213700282E-3</v>
      </c>
      <c r="CC62" s="11">
        <f t="shared" ca="1" si="113"/>
        <v>3.6625333310905945E-3</v>
      </c>
      <c r="CD62" s="11">
        <f t="shared" ca="1" si="113"/>
        <v>8.7565171334605101E-3</v>
      </c>
      <c r="CE62" s="11">
        <f t="shared" ca="1" si="113"/>
        <v>5.1366669753318299E-4</v>
      </c>
      <c r="CF62" s="11">
        <f t="shared" ca="1" si="113"/>
        <v>1.3382944359722224E-3</v>
      </c>
      <c r="CG62" s="11">
        <f t="shared" ca="1" si="113"/>
        <v>3.225627664601971E-2</v>
      </c>
      <c r="CH62" s="11">
        <f t="shared" ca="1" si="113"/>
        <v>6.9117228464111334E-3</v>
      </c>
      <c r="CI62" s="11">
        <f t="shared" ca="1" si="113"/>
        <v>2.4474597071027004E-2</v>
      </c>
      <c r="CJ62" s="11">
        <f t="shared" ca="1" si="113"/>
        <v>1.0476569641977474E-2</v>
      </c>
      <c r="CK62" s="11">
        <f t="shared" ca="1" si="113"/>
        <v>4.067833566277477E-3</v>
      </c>
      <c r="CL62" s="11">
        <f t="shared" ca="1" si="113"/>
        <v>6.6691426642584873E-4</v>
      </c>
      <c r="CM62" s="11">
        <f t="shared" ca="1" si="113"/>
        <v>4.6533412377813734E-4</v>
      </c>
      <c r="CN62" s="11">
        <f t="shared" ca="1" si="113"/>
        <v>2.9080067543992571E-2</v>
      </c>
      <c r="CO62" s="11">
        <f t="shared" ca="1" si="113"/>
        <v>1.1448808586554222E-3</v>
      </c>
      <c r="CP62" s="11">
        <f t="shared" ca="1" si="113"/>
        <v>2.7173693475775189E-2</v>
      </c>
      <c r="CQ62" s="11">
        <f t="shared" ca="1" si="113"/>
        <v>1.8638467065731436E-2</v>
      </c>
      <c r="CR62" s="11">
        <f t="shared" ca="1" si="113"/>
        <v>1.0054815169654192E-2</v>
      </c>
      <c r="CS62" s="11">
        <f t="shared" ca="1" si="113"/>
        <v>3.9854981357287291E-3</v>
      </c>
      <c r="CT62" s="11">
        <f t="shared" ca="1" si="113"/>
        <v>1.0030168668106185E-3</v>
      </c>
      <c r="CU62" s="11">
        <f t="shared" ca="1" si="113"/>
        <v>3.0497619502462655E-2</v>
      </c>
      <c r="CV62" s="11">
        <f t="shared" ca="1" si="113"/>
        <v>1.5477329852486279E-2</v>
      </c>
      <c r="CW62" s="11">
        <f t="shared" ca="1" si="113"/>
        <v>1.1500296389358039E-2</v>
      </c>
      <c r="CX62" s="11">
        <f t="shared" ca="1" si="113"/>
        <v>1.6847799918471237E-2</v>
      </c>
      <c r="CY62" s="11">
        <f t="shared" ca="1" si="113"/>
        <v>3.0809194222058641E-4</v>
      </c>
      <c r="CZ62" s="11">
        <f t="shared" ca="1" si="113"/>
        <v>1.8579708273462829E-2</v>
      </c>
      <c r="DA62" s="11">
        <f t="shared" ca="1" si="113"/>
        <v>2.2963883019805256E-2</v>
      </c>
      <c r="DB62" s="11">
        <f t="shared" ca="1" si="113"/>
        <v>7.4675926986678392E-4</v>
      </c>
      <c r="DC62" s="11">
        <f t="shared" ca="1" si="113"/>
        <v>1.2912323325200259E-2</v>
      </c>
      <c r="DD62" s="11">
        <f t="shared" ca="1" si="113"/>
        <v>1.8879876929801448E-2</v>
      </c>
      <c r="DE62" s="11">
        <f t="shared" ca="1" si="113"/>
        <v>4.1172464309674417E-2</v>
      </c>
      <c r="DF62" s="11">
        <f t="shared" ca="1" si="113"/>
        <v>2.7999045571481352E-2</v>
      </c>
      <c r="DG62" s="11">
        <f t="shared" ca="1" si="113"/>
        <v>1.4599879290172313E-2</v>
      </c>
      <c r="DH62" s="11">
        <f t="shared" ca="1" si="113"/>
        <v>7.3310596190349596E-3</v>
      </c>
      <c r="DI62" s="11">
        <f t="shared" ca="1" si="113"/>
        <v>7.6090502581965282E-4</v>
      </c>
      <c r="DJ62" s="11">
        <f t="shared" ca="1" si="113"/>
        <v>1.2654195901498537E-2</v>
      </c>
      <c r="DK62" s="11">
        <f t="shared" ca="1" si="113"/>
        <v>5.1153508618868034E-2</v>
      </c>
      <c r="DL62" s="11">
        <f t="shared" ca="1" si="113"/>
        <v>5.5307410777818966E-4</v>
      </c>
      <c r="DM62" s="11">
        <f t="shared" ca="1" si="113"/>
        <v>1.4928557748393457E-2</v>
      </c>
      <c r="DN62" s="11">
        <f t="shared" ca="1" si="113"/>
        <v>4.5137590794416234E-3</v>
      </c>
      <c r="DO62" s="11">
        <f t="shared" ca="1" si="113"/>
        <v>4.2111005653870555E-2</v>
      </c>
      <c r="DP62" s="11">
        <f t="shared" ca="1" si="113"/>
        <v>6.2855938293380868E-3</v>
      </c>
      <c r="DQ62" s="11">
        <f t="shared" ca="1" si="113"/>
        <v>1.4664638419114169E-2</v>
      </c>
      <c r="DR62" s="11">
        <f t="shared" ca="1" si="113"/>
        <v>8.1945165176580091E-3</v>
      </c>
      <c r="DS62" s="11">
        <f t="shared" ca="1" si="113"/>
        <v>3.7637932640792639E-4</v>
      </c>
      <c r="DT62" s="11">
        <f t="shared" ca="1" si="113"/>
        <v>2.7091660313852274E-2</v>
      </c>
      <c r="DU62" s="11">
        <f t="shared" ca="1" si="113"/>
        <v>4.2690278217885354E-2</v>
      </c>
      <c r="DV62" s="11">
        <f t="shared" ca="1" si="113"/>
        <v>4.1852623572359226E-3</v>
      </c>
      <c r="DW62" s="11">
        <f t="shared" ca="1" si="113"/>
        <v>-2.5386330415214651E-4</v>
      </c>
      <c r="DX62" s="11">
        <f t="shared" ca="1" si="113"/>
        <v>2.3971457507467346E-3</v>
      </c>
      <c r="DY62" s="11">
        <f t="shared" ca="1" si="113"/>
        <v>3.1263852805768419E-2</v>
      </c>
      <c r="DZ62" s="11">
        <f t="shared" ca="1" si="113"/>
        <v>2.0248873529272019E-2</v>
      </c>
      <c r="EA62" s="11">
        <f t="shared" ca="1" si="113"/>
        <v>5.9143784953908799E-3</v>
      </c>
      <c r="EB62" s="11">
        <f t="shared" ca="1" si="113"/>
        <v>5.4143734154743061E-4</v>
      </c>
      <c r="EC62" s="11">
        <f t="shared" ca="1" si="113"/>
        <v>7.8187602663267967E-3</v>
      </c>
      <c r="ED62" s="11">
        <f t="shared" ref="ED62:GO62" ca="1" si="114">ED$48/IF(ED$5&lt;TODAY(),ED$60,ED$61)</f>
        <v>1.0963896085234011E-3</v>
      </c>
      <c r="EE62" s="11">
        <f t="shared" ca="1" si="114"/>
        <v>7.6838856016073773E-4</v>
      </c>
      <c r="EF62" s="11">
        <f t="shared" ca="1" si="114"/>
        <v>2.9613242167102396E-3</v>
      </c>
      <c r="EG62" s="11">
        <f t="shared" ca="1" si="114"/>
        <v>2.1305182847140779E-3</v>
      </c>
      <c r="EH62" s="11">
        <f t="shared" ca="1" si="114"/>
        <v>3.297641450589478E-2</v>
      </c>
      <c r="EI62" s="11">
        <f t="shared" ca="1" si="114"/>
        <v>1.8619516379870926E-2</v>
      </c>
      <c r="EJ62" s="11">
        <f t="shared" ca="1" si="114"/>
        <v>4.5283973598979742E-3</v>
      </c>
      <c r="EK62" s="11">
        <f t="shared" ca="1" si="114"/>
        <v>3.9782967076282862E-4</v>
      </c>
      <c r="EL62" s="11">
        <f t="shared" ca="1" si="114"/>
        <v>8.0218599927840868E-4</v>
      </c>
      <c r="EM62" s="11">
        <f t="shared" ca="1" si="114"/>
        <v>2.1694184984496816E-2</v>
      </c>
      <c r="EN62" s="11">
        <f t="shared" ca="1" si="114"/>
        <v>2.6540681907601234E-2</v>
      </c>
      <c r="EO62" s="11">
        <f t="shared" ca="1" si="114"/>
        <v>1.4040145052483442E-2</v>
      </c>
      <c r="EP62" s="11">
        <f t="shared" ca="1" si="114"/>
        <v>5.4200011905471048E-4</v>
      </c>
      <c r="EQ62" s="11">
        <f t="shared" ca="1" si="114"/>
        <v>2.7499012050153839E-2</v>
      </c>
      <c r="ER62" s="11">
        <f t="shared" ca="1" si="114"/>
        <v>1.5213320101899328E-2</v>
      </c>
      <c r="ES62" s="11">
        <f t="shared" ca="1" si="114"/>
        <v>3.1077920308025358E-4</v>
      </c>
      <c r="ET62" s="11">
        <f t="shared" ca="1" si="114"/>
        <v>3.2634977748403162E-3</v>
      </c>
      <c r="EU62" s="11">
        <f t="shared" ca="1" si="114"/>
        <v>1.9296956818614589E-3</v>
      </c>
      <c r="EV62" s="11">
        <f t="shared" ca="1" si="114"/>
        <v>8.859688667034479E-3</v>
      </c>
      <c r="EW62" s="11">
        <f t="shared" ca="1" si="114"/>
        <v>1.3006272407447559E-2</v>
      </c>
      <c r="EX62" s="11">
        <f t="shared" ca="1" si="114"/>
        <v>4.116043408101234E-3</v>
      </c>
      <c r="EY62" s="11">
        <f t="shared" ca="1" si="114"/>
        <v>2.5683776059001722E-3</v>
      </c>
      <c r="EZ62" s="11">
        <f t="shared" ca="1" si="114"/>
        <v>1.4147376001382295E-2</v>
      </c>
      <c r="FA62" s="11">
        <f t="shared" ca="1" si="114"/>
        <v>3.2979437017411961E-2</v>
      </c>
      <c r="FB62" s="11">
        <f t="shared" ca="1" si="114"/>
        <v>1.2344239438204481E-2</v>
      </c>
      <c r="FC62" s="11">
        <f t="shared" ca="1" si="114"/>
        <v>9.1224499257202261E-4</v>
      </c>
      <c r="FD62" s="11">
        <f t="shared" ca="1" si="114"/>
        <v>1.3004026589781995E-3</v>
      </c>
      <c r="FE62" s="11">
        <f t="shared" ca="1" si="114"/>
        <v>3.3728705229624525E-3</v>
      </c>
      <c r="FF62" s="11">
        <f t="shared" ca="1" si="114"/>
        <v>2.2235033300609101E-2</v>
      </c>
      <c r="FG62" s="11">
        <f t="shared" ca="1" si="114"/>
        <v>1.9536096997936035E-2</v>
      </c>
      <c r="FH62" s="11">
        <f t="shared" ca="1" si="114"/>
        <v>2.3299843081854419E-5</v>
      </c>
      <c r="FI62" s="11">
        <f t="shared" ca="1" si="114"/>
        <v>2.220273774968807E-3</v>
      </c>
      <c r="FJ62" s="11">
        <f t="shared" ca="1" si="114"/>
        <v>6.3988044087329755E-3</v>
      </c>
      <c r="FK62" s="11">
        <f t="shared" ca="1" si="114"/>
        <v>3.7646873689664863E-3</v>
      </c>
      <c r="FL62" s="11">
        <f t="shared" ca="1" si="114"/>
        <v>1.8162885819571245E-3</v>
      </c>
      <c r="FM62" s="11">
        <f t="shared" ca="1" si="114"/>
        <v>1.0186365329287901E-3</v>
      </c>
      <c r="FN62" s="11">
        <f t="shared" ca="1" si="114"/>
        <v>1.2886061624549409E-3</v>
      </c>
      <c r="FO62" s="11">
        <f t="shared" ca="1" si="114"/>
        <v>-2.1924387957148128E-2</v>
      </c>
      <c r="FP62" s="11">
        <f t="shared" ca="1" si="114"/>
        <v>-3.6407144199645684E-2</v>
      </c>
      <c r="FQ62" s="11">
        <f t="shared" ca="1" si="114"/>
        <v>3.2815914638887916E-2</v>
      </c>
      <c r="FR62" s="11">
        <f t="shared" ca="1" si="114"/>
        <v>2.6111690359844807E-2</v>
      </c>
      <c r="FS62" s="11">
        <f t="shared" ca="1" si="114"/>
        <v>1.8047197584157876E-2</v>
      </c>
      <c r="FT62" s="11">
        <f t="shared" ca="1" si="114"/>
        <v>2.1291606955719668E-2</v>
      </c>
      <c r="FU62" s="11">
        <f t="shared" ca="1" si="114"/>
        <v>3.0005349566654935E-2</v>
      </c>
      <c r="FV62" s="11">
        <f t="shared" ca="1" si="114"/>
        <v>2.1096456769268981E-2</v>
      </c>
      <c r="FW62" s="11">
        <f t="shared" ca="1" si="114"/>
        <v>6.9343746308683459E-4</v>
      </c>
      <c r="FX62" s="11">
        <f t="shared" ca="1" si="114"/>
        <v>5.7399508592438607E-3</v>
      </c>
      <c r="FY62" s="11">
        <f t="shared" ca="1" si="114"/>
        <v>3.2190102824090883E-3</v>
      </c>
      <c r="FZ62" s="11">
        <f t="shared" ca="1" si="114"/>
        <v>5.308493949400926E-3</v>
      </c>
      <c r="GA62" s="11">
        <f t="shared" ca="1" si="114"/>
        <v>2.1086933443660933E-2</v>
      </c>
      <c r="GB62" s="11">
        <f t="shared" ca="1" si="114"/>
        <v>5.5517170739581947E-4</v>
      </c>
      <c r="GC62" s="11">
        <f t="shared" ca="1" si="114"/>
        <v>1.2625918231538094E-3</v>
      </c>
      <c r="GD62" s="11">
        <f t="shared" ca="1" si="114"/>
        <v>2.2189628826148697E-3</v>
      </c>
      <c r="GE62" s="11">
        <f t="shared" ca="1" si="114"/>
        <v>4.6007200786006459E-3</v>
      </c>
      <c r="GF62" s="11">
        <f t="shared" ca="1" si="114"/>
        <v>1.3022453702676446E-2</v>
      </c>
      <c r="GG62" s="11">
        <f t="shared" ca="1" si="114"/>
        <v>3.7234207158834479E-2</v>
      </c>
      <c r="GH62" s="11">
        <f t="shared" ca="1" si="114"/>
        <v>1.0623497353099176E-2</v>
      </c>
      <c r="GI62" s="11">
        <f t="shared" ca="1" si="114"/>
        <v>8.2633722571995513E-3</v>
      </c>
      <c r="GJ62" s="11">
        <f t="shared" ca="1" si="114"/>
        <v>3.8941584887898593E-3</v>
      </c>
      <c r="GK62" s="11">
        <f t="shared" ca="1" si="114"/>
        <v>2.837787468748227E-2</v>
      </c>
      <c r="GL62" s="11">
        <f t="shared" ca="1" si="114"/>
        <v>8.2993218326313165E-2</v>
      </c>
      <c r="GM62" s="11">
        <f t="shared" ca="1" si="114"/>
        <v>3.1097043097524772E-3</v>
      </c>
      <c r="GN62" s="11">
        <f t="shared" ca="1" si="114"/>
        <v>2.6262524923673274E-3</v>
      </c>
      <c r="GO62" s="11">
        <f t="shared" ca="1" si="114"/>
        <v>3.9851938189196585E-2</v>
      </c>
      <c r="GP62" s="11">
        <f t="shared" ref="GP62:JA62" ca="1" si="115">GP$48/IF(GP$5&lt;TODAY(),GP$60,GP$61)</f>
        <v>4.4578940773866642E-2</v>
      </c>
      <c r="GQ62" s="11">
        <f t="shared" ca="1" si="115"/>
        <v>8.4981463335193318E-3</v>
      </c>
      <c r="GR62" s="11">
        <f t="shared" ca="1" si="115"/>
        <v>2.1192379513754279E-4</v>
      </c>
      <c r="GS62" s="11">
        <f t="shared" ca="1" si="115"/>
        <v>1.4921384243651531E-2</v>
      </c>
      <c r="GT62" s="11">
        <f t="shared" ca="1" si="115"/>
        <v>5.8060665539946561E-4</v>
      </c>
      <c r="GU62" s="11">
        <f t="shared" ca="1" si="115"/>
        <v>1.1954599177492668E-3</v>
      </c>
      <c r="GV62" s="11">
        <f t="shared" ca="1" si="115"/>
        <v>7.8609945879989568E-2</v>
      </c>
      <c r="GW62" s="11">
        <f t="shared" ca="1" si="115"/>
        <v>8.4109523549391503E-3</v>
      </c>
      <c r="GX62" s="11">
        <f t="shared" ca="1" si="115"/>
        <v>1.5397262610240277E-2</v>
      </c>
      <c r="GY62" s="11">
        <f t="shared" ca="1" si="115"/>
        <v>1.4240776582397897E-3</v>
      </c>
      <c r="GZ62" s="11">
        <f t="shared" ca="1" si="115"/>
        <v>5.5910779353079212E-3</v>
      </c>
      <c r="HA62" s="11">
        <f t="shared" ca="1" si="115"/>
        <v>3.2846712862827834E-3</v>
      </c>
      <c r="HB62" s="11">
        <f t="shared" ca="1" si="115"/>
        <v>1.2339276883455545E-2</v>
      </c>
      <c r="HC62" s="11">
        <f t="shared" ca="1" si="115"/>
        <v>6.3347001744294591E-3</v>
      </c>
      <c r="HD62" s="11">
        <f t="shared" ca="1" si="115"/>
        <v>2.0400592174673253E-3</v>
      </c>
      <c r="HE62" s="11">
        <f t="shared" ca="1" si="115"/>
        <v>4.5303821522347807E-3</v>
      </c>
      <c r="HF62" s="11">
        <f t="shared" ca="1" si="115"/>
        <v>5.3842629200106816E-2</v>
      </c>
      <c r="HG62" s="11">
        <f t="shared" ca="1" si="115"/>
        <v>9.0580140049807863E-3</v>
      </c>
      <c r="HH62" s="11">
        <f t="shared" ca="1" si="115"/>
        <v>4.3241485251516278E-3</v>
      </c>
      <c r="HI62" s="11">
        <f t="shared" ca="1" si="115"/>
        <v>5.3483769422492597E-2</v>
      </c>
      <c r="HJ62" s="11">
        <f t="shared" ca="1" si="115"/>
        <v>5.347022506044416E-2</v>
      </c>
      <c r="HK62" s="11">
        <f t="shared" ca="1" si="115"/>
        <v>4.2138615371552154E-2</v>
      </c>
      <c r="HL62" s="11">
        <f t="shared" ca="1" si="115"/>
        <v>4.5782113626607251E-2</v>
      </c>
      <c r="HM62" s="11" t="e">
        <f t="shared" ca="1" si="115"/>
        <v>#NAME?</v>
      </c>
      <c r="HN62" s="11" t="e">
        <f t="shared" ca="1" si="115"/>
        <v>#NAME?</v>
      </c>
      <c r="HO62" s="11" t="e">
        <f t="shared" ca="1" si="115"/>
        <v>#NAME?</v>
      </c>
      <c r="HP62" s="11" t="e">
        <f t="shared" ca="1" si="115"/>
        <v>#NAME?</v>
      </c>
      <c r="HQ62" s="11" t="e">
        <f t="shared" ca="1" si="115"/>
        <v>#NAME?</v>
      </c>
      <c r="HR62" s="11" t="e">
        <f t="shared" ca="1" si="115"/>
        <v>#NAME?</v>
      </c>
      <c r="HS62" s="11" t="e">
        <f t="shared" ca="1" si="115"/>
        <v>#NAME?</v>
      </c>
      <c r="HT62" s="11" t="e">
        <f t="shared" ca="1" si="115"/>
        <v>#NAME?</v>
      </c>
      <c r="HU62" s="11" t="e">
        <f t="shared" ca="1" si="115"/>
        <v>#NAME?</v>
      </c>
      <c r="HV62" s="11" t="e">
        <f t="shared" ca="1" si="115"/>
        <v>#NAME?</v>
      </c>
      <c r="HW62" s="11" t="e">
        <f t="shared" ca="1" si="115"/>
        <v>#NAME?</v>
      </c>
      <c r="HX62" s="11" t="e">
        <f t="shared" ca="1" si="115"/>
        <v>#NAME?</v>
      </c>
      <c r="HY62" s="11" t="e">
        <f t="shared" ca="1" si="115"/>
        <v>#NAME?</v>
      </c>
      <c r="HZ62" s="11" t="e">
        <f t="shared" ca="1" si="115"/>
        <v>#NAME?</v>
      </c>
      <c r="IA62" s="11" t="e">
        <f t="shared" ca="1" si="115"/>
        <v>#NAME?</v>
      </c>
      <c r="IB62" s="11" t="e">
        <f t="shared" ca="1" si="115"/>
        <v>#NAME?</v>
      </c>
      <c r="IC62" s="11" t="e">
        <f t="shared" ca="1" si="115"/>
        <v>#NAME?</v>
      </c>
      <c r="ID62" s="11" t="e">
        <f t="shared" ca="1" si="115"/>
        <v>#NAME?</v>
      </c>
      <c r="IE62" s="11" t="e">
        <f t="shared" ca="1" si="115"/>
        <v>#NAME?</v>
      </c>
      <c r="IF62" s="11" t="e">
        <f t="shared" ca="1" si="115"/>
        <v>#NAME?</v>
      </c>
      <c r="IG62" s="11" t="e">
        <f t="shared" ca="1" si="115"/>
        <v>#NAME?</v>
      </c>
      <c r="IH62" s="11" t="e">
        <f t="shared" ca="1" si="115"/>
        <v>#NAME?</v>
      </c>
      <c r="II62" s="11" t="e">
        <f t="shared" ca="1" si="115"/>
        <v>#NAME?</v>
      </c>
      <c r="IJ62" s="11" t="e">
        <f t="shared" ca="1" si="115"/>
        <v>#NAME?</v>
      </c>
      <c r="IK62" s="11" t="e">
        <f t="shared" ca="1" si="115"/>
        <v>#NAME?</v>
      </c>
      <c r="IL62" s="11" t="e">
        <f t="shared" ca="1" si="115"/>
        <v>#NAME?</v>
      </c>
      <c r="IM62" s="11" t="e">
        <f t="shared" ca="1" si="115"/>
        <v>#NAME?</v>
      </c>
      <c r="IN62" s="11" t="e">
        <f ca="1">IN$48/IF(IN$5&lt;TODAY(),IN$60,IN$61)</f>
        <v>#NAME?</v>
      </c>
      <c r="IO62" s="11" t="e">
        <f t="shared" ca="1" si="115"/>
        <v>#NAME?</v>
      </c>
      <c r="IP62" s="11" t="e">
        <f t="shared" ca="1" si="115"/>
        <v>#NAME?</v>
      </c>
      <c r="IQ62" s="11" t="e">
        <f t="shared" ca="1" si="115"/>
        <v>#NAME?</v>
      </c>
      <c r="IR62" s="11" t="e">
        <f t="shared" ca="1" si="115"/>
        <v>#NAME?</v>
      </c>
      <c r="IS62" s="11" t="e">
        <f t="shared" ca="1" si="115"/>
        <v>#NAME?</v>
      </c>
      <c r="IT62" s="11" t="e">
        <f t="shared" ca="1" si="115"/>
        <v>#NAME?</v>
      </c>
      <c r="IU62" s="11" t="e">
        <f t="shared" ca="1" si="115"/>
        <v>#NAME?</v>
      </c>
      <c r="IV62" s="11" t="e">
        <f t="shared" ca="1" si="115"/>
        <v>#NAME?</v>
      </c>
      <c r="IW62" s="11" t="e">
        <f t="shared" ca="1" si="115"/>
        <v>#NAME?</v>
      </c>
      <c r="IX62" s="11" t="e">
        <f t="shared" ca="1" si="115"/>
        <v>#NAME?</v>
      </c>
      <c r="IY62" s="11" t="e">
        <f t="shared" ca="1" si="115"/>
        <v>#NAME?</v>
      </c>
      <c r="IZ62" s="11" t="e">
        <f t="shared" ca="1" si="115"/>
        <v>#NAME?</v>
      </c>
      <c r="JA62" s="11" t="e">
        <f t="shared" ca="1" si="115"/>
        <v>#NAME?</v>
      </c>
      <c r="JB62" s="11" t="e">
        <f t="shared" ref="JB62:LL62" ca="1" si="116">JB$48/IF(JB$5&lt;TODAY(),JB$60,JB$61)</f>
        <v>#NAME?</v>
      </c>
      <c r="JC62" s="11" t="e">
        <f t="shared" ca="1" si="116"/>
        <v>#NAME?</v>
      </c>
      <c r="JD62" s="11" t="e">
        <f t="shared" ca="1" si="116"/>
        <v>#NAME?</v>
      </c>
      <c r="JE62" s="11" t="e">
        <f t="shared" ca="1" si="116"/>
        <v>#NAME?</v>
      </c>
      <c r="JF62" s="11" t="e">
        <f t="shared" ca="1" si="116"/>
        <v>#NAME?</v>
      </c>
      <c r="JG62" s="11" t="e">
        <f t="shared" ca="1" si="116"/>
        <v>#NAME?</v>
      </c>
      <c r="JH62" s="11" t="e">
        <f t="shared" ca="1" si="116"/>
        <v>#NAME?</v>
      </c>
      <c r="JI62" s="11" t="e">
        <f t="shared" ca="1" si="116"/>
        <v>#NAME?</v>
      </c>
      <c r="JJ62" s="11" t="e">
        <f t="shared" ca="1" si="116"/>
        <v>#NAME?</v>
      </c>
      <c r="JK62" s="11" t="e">
        <f t="shared" ca="1" si="116"/>
        <v>#NAME?</v>
      </c>
      <c r="JL62" s="11" t="e">
        <f t="shared" ca="1" si="116"/>
        <v>#NAME?</v>
      </c>
      <c r="JM62" s="11" t="e">
        <f t="shared" ca="1" si="116"/>
        <v>#NAME?</v>
      </c>
      <c r="JN62" s="11" t="e">
        <f t="shared" ca="1" si="116"/>
        <v>#NAME?</v>
      </c>
      <c r="JO62" s="11" t="e">
        <f t="shared" ca="1" si="116"/>
        <v>#NAME?</v>
      </c>
      <c r="JP62" s="11" t="e">
        <f t="shared" ca="1" si="116"/>
        <v>#NAME?</v>
      </c>
      <c r="JQ62" s="11" t="e">
        <f t="shared" ca="1" si="116"/>
        <v>#NAME?</v>
      </c>
      <c r="JR62" s="11" t="e">
        <f t="shared" ca="1" si="116"/>
        <v>#NAME?</v>
      </c>
      <c r="JS62" s="11" t="e">
        <f t="shared" ca="1" si="116"/>
        <v>#NAME?</v>
      </c>
      <c r="JT62" s="11" t="e">
        <f t="shared" ca="1" si="116"/>
        <v>#NAME?</v>
      </c>
      <c r="JU62" s="11" t="e">
        <f t="shared" ca="1" si="116"/>
        <v>#NAME?</v>
      </c>
      <c r="JV62" s="11" t="e">
        <f t="shared" ca="1" si="116"/>
        <v>#NAME?</v>
      </c>
      <c r="JW62" s="11" t="e">
        <f t="shared" ca="1" si="116"/>
        <v>#NAME?</v>
      </c>
      <c r="JX62" s="11" t="e">
        <f t="shared" ca="1" si="116"/>
        <v>#NAME?</v>
      </c>
      <c r="JY62" s="11" t="e">
        <f t="shared" ca="1" si="116"/>
        <v>#NAME?</v>
      </c>
      <c r="JZ62" s="11" t="e">
        <f t="shared" ca="1" si="116"/>
        <v>#NAME?</v>
      </c>
      <c r="KA62" s="11" t="e">
        <f t="shared" ca="1" si="116"/>
        <v>#NAME?</v>
      </c>
      <c r="KB62" s="11" t="e">
        <f t="shared" ca="1" si="116"/>
        <v>#NAME?</v>
      </c>
      <c r="KC62" s="11" t="e">
        <f t="shared" ca="1" si="116"/>
        <v>#NAME?</v>
      </c>
      <c r="KD62" s="11" t="e">
        <f t="shared" ca="1" si="116"/>
        <v>#NAME?</v>
      </c>
      <c r="KE62" s="11" t="e">
        <f t="shared" ca="1" si="116"/>
        <v>#NAME?</v>
      </c>
      <c r="KF62" s="11" t="e">
        <f t="shared" ca="1" si="116"/>
        <v>#NAME?</v>
      </c>
      <c r="KG62" s="11" t="e">
        <f t="shared" ca="1" si="116"/>
        <v>#NAME?</v>
      </c>
      <c r="KH62" s="11" t="e">
        <f t="shared" ca="1" si="116"/>
        <v>#NAME?</v>
      </c>
      <c r="KI62" s="11" t="e">
        <f t="shared" ca="1" si="116"/>
        <v>#NAME?</v>
      </c>
      <c r="KJ62" s="11" t="e">
        <f t="shared" ca="1" si="116"/>
        <v>#NAME?</v>
      </c>
      <c r="KK62" s="11" t="e">
        <f t="shared" ca="1" si="116"/>
        <v>#NAME?</v>
      </c>
      <c r="KL62" s="11" t="e">
        <f t="shared" ca="1" si="116"/>
        <v>#NAME?</v>
      </c>
      <c r="KM62" s="11" t="e">
        <f t="shared" ca="1" si="116"/>
        <v>#NAME?</v>
      </c>
      <c r="KN62" s="11" t="e">
        <f t="shared" ca="1" si="116"/>
        <v>#NAME?</v>
      </c>
      <c r="KO62" s="11" t="e">
        <f t="shared" ca="1" si="116"/>
        <v>#NAME?</v>
      </c>
      <c r="KP62" s="11" t="e">
        <f t="shared" ca="1" si="116"/>
        <v>#NAME?</v>
      </c>
      <c r="KQ62" s="11" t="e">
        <f t="shared" ca="1" si="116"/>
        <v>#NAME?</v>
      </c>
      <c r="KR62" s="11" t="e">
        <f t="shared" ca="1" si="116"/>
        <v>#NAME?</v>
      </c>
      <c r="KS62" s="11" t="e">
        <f t="shared" ca="1" si="116"/>
        <v>#NAME?</v>
      </c>
      <c r="KT62" s="11" t="e">
        <f t="shared" ca="1" si="116"/>
        <v>#NAME?</v>
      </c>
      <c r="KU62" s="11" t="e">
        <f t="shared" ca="1" si="116"/>
        <v>#NAME?</v>
      </c>
      <c r="KV62" s="11" t="e">
        <f t="shared" ca="1" si="116"/>
        <v>#NAME?</v>
      </c>
      <c r="KW62" s="11" t="e">
        <f t="shared" ca="1" si="116"/>
        <v>#NAME?</v>
      </c>
      <c r="KX62" s="11" t="e">
        <f t="shared" ca="1" si="116"/>
        <v>#NAME?</v>
      </c>
      <c r="KY62" s="11" t="e">
        <f t="shared" ca="1" si="116"/>
        <v>#NAME?</v>
      </c>
      <c r="KZ62" s="11" t="e">
        <f t="shared" ca="1" si="116"/>
        <v>#NAME?</v>
      </c>
      <c r="LA62" s="11" t="e">
        <f t="shared" ca="1" si="116"/>
        <v>#NAME?</v>
      </c>
      <c r="LB62" s="11" t="e">
        <f t="shared" ca="1" si="116"/>
        <v>#NAME?</v>
      </c>
      <c r="LC62" s="11" t="e">
        <f t="shared" ca="1" si="116"/>
        <v>#NAME?</v>
      </c>
      <c r="LD62" s="11" t="e">
        <f t="shared" ca="1" si="116"/>
        <v>#NAME?</v>
      </c>
      <c r="LE62" s="11" t="e">
        <f t="shared" ca="1" si="116"/>
        <v>#NAME?</v>
      </c>
      <c r="LF62" s="11" t="e">
        <f t="shared" ca="1" si="116"/>
        <v>#NAME?</v>
      </c>
      <c r="LG62" s="11" t="e">
        <f t="shared" ca="1" si="116"/>
        <v>#NAME?</v>
      </c>
      <c r="LH62" s="11" t="e">
        <f t="shared" ca="1" si="116"/>
        <v>#NAME?</v>
      </c>
      <c r="LI62" s="11" t="e">
        <f t="shared" ca="1" si="116"/>
        <v>#NAME?</v>
      </c>
      <c r="LJ62" s="11" t="e">
        <f t="shared" ca="1" si="116"/>
        <v>#NAME?</v>
      </c>
      <c r="LK62" s="11" t="e">
        <f t="shared" ca="1" si="116"/>
        <v>#NAME?</v>
      </c>
      <c r="LL62" s="11" t="e">
        <f t="shared" ca="1" si="116"/>
        <v>#NAME?</v>
      </c>
      <c r="LM62" s="11" t="e">
        <f ca="1">LM$48/IF(LM$5&lt;TODAY(),LM$60,LM$61)</f>
        <v>#NAME?</v>
      </c>
      <c r="LN62" s="11" t="e">
        <f ca="1">LN$48/IF(LN$5&lt;TODAY(),LN$60,LN$61)</f>
        <v>#NAME?</v>
      </c>
      <c r="LO62" s="11" t="e">
        <f ca="1">LO$48/IF(LO$5&lt;TODAY(),LO$60,LO$61)</f>
        <v>#NAME?</v>
      </c>
      <c r="LP62" s="11" t="e">
        <f t="shared" ref="LP62:MA62" ca="1" si="117">LP$48/IF(LP$5&lt;TODAY(),LP$60,LP$61)</f>
        <v>#NAME?</v>
      </c>
      <c r="LQ62" s="11" t="e">
        <f t="shared" ca="1" si="117"/>
        <v>#NAME?</v>
      </c>
      <c r="LR62" s="11" t="e">
        <f t="shared" ca="1" si="117"/>
        <v>#NAME?</v>
      </c>
      <c r="LS62" s="11" t="e">
        <f t="shared" ca="1" si="117"/>
        <v>#NAME?</v>
      </c>
      <c r="LT62" s="11" t="e">
        <f t="shared" ca="1" si="117"/>
        <v>#NAME?</v>
      </c>
      <c r="LU62" s="11" t="e">
        <f t="shared" ca="1" si="117"/>
        <v>#NAME?</v>
      </c>
      <c r="LV62" s="11" t="e">
        <f t="shared" ca="1" si="117"/>
        <v>#NAME?</v>
      </c>
      <c r="LW62" s="11" t="e">
        <f t="shared" ca="1" si="117"/>
        <v>#NAME?</v>
      </c>
      <c r="LX62" s="11" t="e">
        <f t="shared" ca="1" si="117"/>
        <v>#NAME?</v>
      </c>
      <c r="LY62" s="11" t="e">
        <f t="shared" ca="1" si="117"/>
        <v>#NAME?</v>
      </c>
      <c r="LZ62" s="11" t="e">
        <f t="shared" ca="1" si="117"/>
        <v>#NAME?</v>
      </c>
      <c r="MA62" s="11" t="e">
        <f t="shared" ca="1" si="117"/>
        <v>#NAME?</v>
      </c>
      <c r="MB62" s="11" t="e">
        <f ca="1">MB$48/IF(MB$5&lt;TODAY(),MB$60,MB$61)</f>
        <v>#NAME?</v>
      </c>
      <c r="MC62" s="11" t="e">
        <f ca="1">MC$48/IF(MC$5&lt;TODAY(),MC$60,MC$61)</f>
        <v>#NAME?</v>
      </c>
      <c r="MD62" s="11" t="e">
        <f ca="1">MD$48/IF(MD$5&lt;TODAY(),MD$60,MD$61)</f>
        <v>#NAME?</v>
      </c>
      <c r="ME62" s="11" t="e">
        <f t="shared" ref="ME62:OP62" ca="1" si="118">ME$48/IF(ME$5&lt;TODAY(),ME$60,ME$61)</f>
        <v>#NAME?</v>
      </c>
      <c r="MF62" s="11" t="e">
        <f t="shared" ca="1" si="118"/>
        <v>#NAME?</v>
      </c>
      <c r="MG62" s="11" t="e">
        <f t="shared" ca="1" si="118"/>
        <v>#NAME?</v>
      </c>
      <c r="MH62" s="11" t="e">
        <f t="shared" ca="1" si="118"/>
        <v>#NAME?</v>
      </c>
      <c r="MI62" s="11" t="e">
        <f t="shared" ca="1" si="118"/>
        <v>#NAME?</v>
      </c>
      <c r="MJ62" s="11" t="e">
        <f t="shared" ca="1" si="118"/>
        <v>#NAME?</v>
      </c>
      <c r="MK62" s="11" t="e">
        <f t="shared" ca="1" si="118"/>
        <v>#NAME?</v>
      </c>
      <c r="ML62" s="11" t="e">
        <f t="shared" ca="1" si="118"/>
        <v>#NAME?</v>
      </c>
      <c r="MM62" s="11" t="e">
        <f t="shared" ca="1" si="118"/>
        <v>#NAME?</v>
      </c>
      <c r="MN62" s="11" t="e">
        <f t="shared" ca="1" si="118"/>
        <v>#NAME?</v>
      </c>
      <c r="MO62" s="11" t="e">
        <f t="shared" ca="1" si="118"/>
        <v>#NAME?</v>
      </c>
      <c r="MP62" s="11" t="e">
        <f t="shared" ca="1" si="118"/>
        <v>#NAME?</v>
      </c>
      <c r="MQ62" s="11" t="e">
        <f t="shared" ca="1" si="118"/>
        <v>#NAME?</v>
      </c>
      <c r="MR62" s="11" t="e">
        <f t="shared" ca="1" si="118"/>
        <v>#NAME?</v>
      </c>
      <c r="MS62" s="11" t="e">
        <f t="shared" ca="1" si="118"/>
        <v>#NAME?</v>
      </c>
      <c r="MT62" s="11" t="e">
        <f t="shared" ca="1" si="118"/>
        <v>#NAME?</v>
      </c>
      <c r="MU62" s="11" t="e">
        <f t="shared" ca="1" si="118"/>
        <v>#NAME?</v>
      </c>
      <c r="MV62" s="11" t="e">
        <f t="shared" ca="1" si="118"/>
        <v>#NAME?</v>
      </c>
      <c r="MW62" s="11" t="e">
        <f t="shared" ca="1" si="118"/>
        <v>#NAME?</v>
      </c>
      <c r="MX62" s="11" t="e">
        <f t="shared" ca="1" si="118"/>
        <v>#NAME?</v>
      </c>
      <c r="MY62" s="11" t="e">
        <f t="shared" ca="1" si="118"/>
        <v>#NAME?</v>
      </c>
      <c r="MZ62" s="11" t="e">
        <f t="shared" ca="1" si="118"/>
        <v>#NAME?</v>
      </c>
      <c r="NA62" s="11" t="e">
        <f t="shared" ca="1" si="118"/>
        <v>#NAME?</v>
      </c>
      <c r="NB62" s="11" t="e">
        <f t="shared" ca="1" si="118"/>
        <v>#NAME?</v>
      </c>
      <c r="NC62" s="11" t="e">
        <f t="shared" ca="1" si="118"/>
        <v>#NAME?</v>
      </c>
      <c r="ND62" s="11" t="e">
        <f t="shared" ca="1" si="118"/>
        <v>#NAME?</v>
      </c>
      <c r="NE62" s="11" t="e">
        <f t="shared" ca="1" si="118"/>
        <v>#NAME?</v>
      </c>
      <c r="NF62" s="11" t="e">
        <f t="shared" ca="1" si="118"/>
        <v>#NAME?</v>
      </c>
      <c r="NG62" s="11" t="e">
        <f t="shared" ca="1" si="118"/>
        <v>#NAME?</v>
      </c>
      <c r="NH62" s="11" t="e">
        <f t="shared" ca="1" si="118"/>
        <v>#NAME?</v>
      </c>
      <c r="NI62" s="11" t="e">
        <f t="shared" ca="1" si="118"/>
        <v>#NAME?</v>
      </c>
      <c r="NJ62" s="11" t="e">
        <f t="shared" ca="1" si="118"/>
        <v>#NAME?</v>
      </c>
      <c r="NK62" s="11" t="e">
        <f t="shared" ca="1" si="118"/>
        <v>#NAME?</v>
      </c>
      <c r="NL62" s="11" t="e">
        <f t="shared" ca="1" si="118"/>
        <v>#NAME?</v>
      </c>
      <c r="NM62" s="11" t="e">
        <f t="shared" ca="1" si="118"/>
        <v>#NAME?</v>
      </c>
      <c r="NN62" s="11" t="e">
        <f t="shared" ca="1" si="118"/>
        <v>#NAME?</v>
      </c>
      <c r="NO62" s="11" t="e">
        <f t="shared" ca="1" si="118"/>
        <v>#NAME?</v>
      </c>
      <c r="NP62" s="11" t="e">
        <f t="shared" ca="1" si="118"/>
        <v>#NAME?</v>
      </c>
      <c r="NQ62" s="11" t="e">
        <f t="shared" ca="1" si="118"/>
        <v>#NAME?</v>
      </c>
      <c r="NR62" s="11" t="e">
        <f t="shared" ca="1" si="118"/>
        <v>#NAME?</v>
      </c>
      <c r="NS62" s="11" t="e">
        <f t="shared" ca="1" si="118"/>
        <v>#NAME?</v>
      </c>
      <c r="NT62" s="11" t="e">
        <f t="shared" ca="1" si="118"/>
        <v>#NAME?</v>
      </c>
      <c r="NU62" s="11" t="e">
        <f t="shared" ca="1" si="118"/>
        <v>#NAME?</v>
      </c>
      <c r="NV62" s="11" t="e">
        <f t="shared" ca="1" si="118"/>
        <v>#NAME?</v>
      </c>
      <c r="NW62" s="11" t="e">
        <f t="shared" ca="1" si="118"/>
        <v>#NAME?</v>
      </c>
      <c r="NX62" s="11" t="e">
        <f t="shared" ca="1" si="118"/>
        <v>#NAME?</v>
      </c>
      <c r="NY62" s="11" t="e">
        <f t="shared" ca="1" si="118"/>
        <v>#NAME?</v>
      </c>
      <c r="NZ62" s="11" t="e">
        <f t="shared" ca="1" si="118"/>
        <v>#NAME?</v>
      </c>
      <c r="OA62" s="11" t="e">
        <f t="shared" ca="1" si="118"/>
        <v>#NAME?</v>
      </c>
      <c r="OB62" s="11" t="e">
        <f t="shared" ca="1" si="118"/>
        <v>#NAME?</v>
      </c>
      <c r="OC62" s="11" t="e">
        <f t="shared" ca="1" si="118"/>
        <v>#NAME?</v>
      </c>
      <c r="OD62" s="11" t="e">
        <f t="shared" ca="1" si="118"/>
        <v>#NAME?</v>
      </c>
      <c r="OE62" s="11" t="e">
        <f t="shared" ca="1" si="118"/>
        <v>#NAME?</v>
      </c>
      <c r="OF62" s="11" t="e">
        <f t="shared" ca="1" si="118"/>
        <v>#NAME?</v>
      </c>
      <c r="OG62" s="11" t="e">
        <f t="shared" ca="1" si="118"/>
        <v>#NAME?</v>
      </c>
      <c r="OH62" s="11" t="e">
        <f t="shared" ca="1" si="118"/>
        <v>#NAME?</v>
      </c>
      <c r="OI62" s="11" t="e">
        <f t="shared" ca="1" si="118"/>
        <v>#NAME?</v>
      </c>
      <c r="OJ62" s="11" t="e">
        <f t="shared" ca="1" si="118"/>
        <v>#NAME?</v>
      </c>
      <c r="OK62" s="11" t="e">
        <f t="shared" ca="1" si="118"/>
        <v>#NAME?</v>
      </c>
      <c r="OL62" s="11" t="e">
        <f t="shared" ca="1" si="118"/>
        <v>#NAME?</v>
      </c>
      <c r="OM62" s="11" t="e">
        <f t="shared" ca="1" si="118"/>
        <v>#NAME?</v>
      </c>
      <c r="ON62" s="11" t="e">
        <f t="shared" ca="1" si="118"/>
        <v>#NAME?</v>
      </c>
      <c r="OO62" s="11" t="e">
        <f t="shared" ca="1" si="118"/>
        <v>#NAME?</v>
      </c>
      <c r="OP62" s="11" t="e">
        <f t="shared" ca="1" si="118"/>
        <v>#NAME?</v>
      </c>
      <c r="OQ62" s="11" t="e">
        <f t="shared" ref="OQ62:QB62" ca="1" si="119">OQ$48/IF(OQ$5&lt;TODAY(),OQ$60,OQ$61)</f>
        <v>#NAME?</v>
      </c>
      <c r="OR62" s="11" t="e">
        <f t="shared" ca="1" si="119"/>
        <v>#NAME?</v>
      </c>
      <c r="OS62" s="11" t="e">
        <f t="shared" ca="1" si="119"/>
        <v>#NAME?</v>
      </c>
      <c r="OT62" s="11" t="e">
        <f t="shared" ca="1" si="119"/>
        <v>#NAME?</v>
      </c>
      <c r="OU62" s="11" t="e">
        <f t="shared" ca="1" si="119"/>
        <v>#NAME?</v>
      </c>
      <c r="OV62" s="11" t="e">
        <f t="shared" ca="1" si="119"/>
        <v>#NAME?</v>
      </c>
      <c r="OW62" s="11" t="e">
        <f t="shared" ca="1" si="119"/>
        <v>#NAME?</v>
      </c>
      <c r="OX62" s="11" t="e">
        <f t="shared" ca="1" si="119"/>
        <v>#NAME?</v>
      </c>
      <c r="OY62" s="11" t="e">
        <f t="shared" ca="1" si="119"/>
        <v>#NAME?</v>
      </c>
      <c r="OZ62" s="11" t="e">
        <f t="shared" ca="1" si="119"/>
        <v>#NAME?</v>
      </c>
      <c r="PA62" s="11" t="e">
        <f t="shared" ca="1" si="119"/>
        <v>#NAME?</v>
      </c>
      <c r="PB62" s="11" t="e">
        <f t="shared" ca="1" si="119"/>
        <v>#NAME?</v>
      </c>
      <c r="PC62" s="11" t="e">
        <f t="shared" ca="1" si="119"/>
        <v>#NAME?</v>
      </c>
      <c r="PD62" s="11" t="e">
        <f t="shared" ca="1" si="119"/>
        <v>#NAME?</v>
      </c>
      <c r="PE62" s="11" t="e">
        <f t="shared" ca="1" si="119"/>
        <v>#NAME?</v>
      </c>
      <c r="PF62" s="11" t="e">
        <f t="shared" ca="1" si="119"/>
        <v>#NAME?</v>
      </c>
      <c r="PG62" s="11" t="e">
        <f t="shared" ca="1" si="119"/>
        <v>#NAME?</v>
      </c>
      <c r="PH62" s="11" t="e">
        <f t="shared" ca="1" si="119"/>
        <v>#NAME?</v>
      </c>
      <c r="PI62" s="11" t="e">
        <f t="shared" ca="1" si="119"/>
        <v>#NAME?</v>
      </c>
      <c r="PJ62" s="11" t="e">
        <f t="shared" ca="1" si="119"/>
        <v>#NAME?</v>
      </c>
      <c r="PK62" s="11" t="e">
        <f t="shared" ca="1" si="119"/>
        <v>#NAME?</v>
      </c>
      <c r="PL62" s="11" t="e">
        <f t="shared" ca="1" si="119"/>
        <v>#NAME?</v>
      </c>
      <c r="PM62" s="11" t="e">
        <f t="shared" ca="1" si="119"/>
        <v>#NAME?</v>
      </c>
      <c r="PN62" s="11" t="e">
        <f t="shared" ca="1" si="119"/>
        <v>#NAME?</v>
      </c>
      <c r="PO62" s="11" t="e">
        <f t="shared" ca="1" si="119"/>
        <v>#NAME?</v>
      </c>
      <c r="PP62" s="11" t="e">
        <f t="shared" ca="1" si="119"/>
        <v>#NAME?</v>
      </c>
      <c r="PQ62" s="11" t="e">
        <f t="shared" ca="1" si="119"/>
        <v>#NAME?</v>
      </c>
      <c r="PR62" s="11" t="e">
        <f t="shared" ca="1" si="119"/>
        <v>#NAME?</v>
      </c>
      <c r="PS62" s="11" t="e">
        <f t="shared" ca="1" si="119"/>
        <v>#NAME?</v>
      </c>
      <c r="PT62" s="11" t="e">
        <f t="shared" ca="1" si="119"/>
        <v>#NAME?</v>
      </c>
      <c r="PU62" s="11" t="e">
        <f t="shared" ca="1" si="119"/>
        <v>#NAME?</v>
      </c>
      <c r="PV62" s="11" t="e">
        <f t="shared" ca="1" si="119"/>
        <v>#NAME?</v>
      </c>
      <c r="PW62" s="11" t="e">
        <f t="shared" ca="1" si="119"/>
        <v>#NAME?</v>
      </c>
      <c r="PX62" s="11" t="e">
        <f t="shared" ca="1" si="119"/>
        <v>#NAME?</v>
      </c>
      <c r="PY62" s="11" t="e">
        <f t="shared" ca="1" si="119"/>
        <v>#NAME?</v>
      </c>
      <c r="PZ62" s="11" t="e">
        <f t="shared" ca="1" si="119"/>
        <v>#NAME?</v>
      </c>
      <c r="QA62" s="11" t="e">
        <f t="shared" ca="1" si="119"/>
        <v>#NAME?</v>
      </c>
      <c r="QB62" s="11" t="e">
        <f t="shared" ca="1" si="119"/>
        <v>#NAME?</v>
      </c>
      <c r="QC62" s="11" t="e">
        <f ca="1">QC$48/IF(QC$5&lt;TODAY(),QC$60,QC$61)</f>
        <v>#NAME?</v>
      </c>
      <c r="QD62" s="11" t="e">
        <f t="shared" ref="QD62:SA62" ca="1" si="120">QD$48/IF(QD$5&lt;TODAY(),QD$60,QD$61)</f>
        <v>#NAME?</v>
      </c>
      <c r="QE62" s="11" t="e">
        <f t="shared" ca="1" si="120"/>
        <v>#NAME?</v>
      </c>
      <c r="QF62" s="11" t="e">
        <f t="shared" ca="1" si="120"/>
        <v>#NAME?</v>
      </c>
      <c r="QG62" s="11" t="e">
        <f t="shared" ca="1" si="120"/>
        <v>#NAME?</v>
      </c>
      <c r="QH62" s="11" t="e">
        <f t="shared" ca="1" si="120"/>
        <v>#NAME?</v>
      </c>
      <c r="QI62" s="11" t="e">
        <f t="shared" ca="1" si="120"/>
        <v>#NAME?</v>
      </c>
      <c r="QJ62" s="11" t="e">
        <f t="shared" ca="1" si="120"/>
        <v>#NAME?</v>
      </c>
      <c r="QK62" s="11" t="e">
        <f t="shared" ca="1" si="120"/>
        <v>#NAME?</v>
      </c>
      <c r="QL62" s="11" t="e">
        <f t="shared" ca="1" si="120"/>
        <v>#NAME?</v>
      </c>
      <c r="QM62" s="11" t="e">
        <f t="shared" ca="1" si="120"/>
        <v>#NAME?</v>
      </c>
      <c r="QN62" s="11" t="e">
        <f t="shared" ca="1" si="120"/>
        <v>#NAME?</v>
      </c>
      <c r="QO62" s="11" t="e">
        <f t="shared" ca="1" si="120"/>
        <v>#NAME?</v>
      </c>
      <c r="QP62" s="11" t="e">
        <f t="shared" ca="1" si="120"/>
        <v>#NAME?</v>
      </c>
      <c r="QQ62" s="11" t="e">
        <f t="shared" ca="1" si="120"/>
        <v>#NAME?</v>
      </c>
      <c r="QR62" s="11" t="e">
        <f t="shared" ca="1" si="120"/>
        <v>#NAME?</v>
      </c>
      <c r="QS62" s="11" t="e">
        <f t="shared" ca="1" si="120"/>
        <v>#NAME?</v>
      </c>
      <c r="QT62" s="11" t="e">
        <f t="shared" ca="1" si="120"/>
        <v>#NAME?</v>
      </c>
      <c r="QU62" s="11" t="e">
        <f t="shared" ca="1" si="120"/>
        <v>#NAME?</v>
      </c>
      <c r="QV62" s="11" t="e">
        <f t="shared" ca="1" si="120"/>
        <v>#NAME?</v>
      </c>
      <c r="QW62" s="11" t="e">
        <f t="shared" ca="1" si="120"/>
        <v>#NAME?</v>
      </c>
      <c r="QX62" s="11" t="e">
        <f t="shared" ca="1" si="120"/>
        <v>#NAME?</v>
      </c>
      <c r="QY62" s="11" t="e">
        <f t="shared" ca="1" si="120"/>
        <v>#NAME?</v>
      </c>
      <c r="QZ62" s="11" t="e">
        <f t="shared" ca="1" si="120"/>
        <v>#NAME?</v>
      </c>
      <c r="RA62" s="11" t="e">
        <f t="shared" ca="1" si="120"/>
        <v>#NAME?</v>
      </c>
      <c r="RB62" s="11" t="e">
        <f t="shared" ca="1" si="120"/>
        <v>#NAME?</v>
      </c>
      <c r="RC62" s="11" t="e">
        <f t="shared" ca="1" si="120"/>
        <v>#NAME?</v>
      </c>
      <c r="RD62" s="11" t="e">
        <f t="shared" ca="1" si="120"/>
        <v>#NAME?</v>
      </c>
      <c r="RE62" s="11" t="e">
        <f t="shared" ca="1" si="120"/>
        <v>#NAME?</v>
      </c>
      <c r="RF62" s="11" t="e">
        <f t="shared" ca="1" si="120"/>
        <v>#NAME?</v>
      </c>
      <c r="RG62" s="11" t="e">
        <f t="shared" ca="1" si="120"/>
        <v>#NAME?</v>
      </c>
      <c r="RH62" s="11" t="e">
        <f t="shared" ca="1" si="120"/>
        <v>#NAME?</v>
      </c>
      <c r="RI62" s="11" t="e">
        <f t="shared" ca="1" si="120"/>
        <v>#NAME?</v>
      </c>
      <c r="RJ62" s="11" t="e">
        <f t="shared" ca="1" si="120"/>
        <v>#NAME?</v>
      </c>
      <c r="RK62" s="11" t="e">
        <f t="shared" ca="1" si="120"/>
        <v>#NAME?</v>
      </c>
      <c r="RL62" s="11" t="e">
        <f t="shared" ca="1" si="120"/>
        <v>#NAME?</v>
      </c>
      <c r="RM62" s="11" t="e">
        <f t="shared" ca="1" si="120"/>
        <v>#NAME?</v>
      </c>
      <c r="RN62" s="11" t="e">
        <f t="shared" ca="1" si="120"/>
        <v>#NAME?</v>
      </c>
      <c r="RO62" s="11" t="e">
        <f t="shared" ca="1" si="120"/>
        <v>#NAME?</v>
      </c>
      <c r="RP62" s="11" t="e">
        <f t="shared" ca="1" si="120"/>
        <v>#NAME?</v>
      </c>
      <c r="RQ62" s="11" t="e">
        <f t="shared" ca="1" si="120"/>
        <v>#NAME?</v>
      </c>
      <c r="RR62" s="11" t="e">
        <f t="shared" ca="1" si="120"/>
        <v>#NAME?</v>
      </c>
      <c r="RS62" s="11" t="e">
        <f t="shared" ca="1" si="120"/>
        <v>#NAME?</v>
      </c>
      <c r="RT62" s="11" t="e">
        <f t="shared" ca="1" si="120"/>
        <v>#NAME?</v>
      </c>
      <c r="RU62" s="11" t="e">
        <f t="shared" ca="1" si="120"/>
        <v>#NAME?</v>
      </c>
      <c r="RV62" s="11" t="e">
        <f t="shared" ca="1" si="120"/>
        <v>#NAME?</v>
      </c>
      <c r="RW62" s="11" t="e">
        <f t="shared" ca="1" si="120"/>
        <v>#NAME?</v>
      </c>
      <c r="RX62" s="11" t="e">
        <f t="shared" ca="1" si="120"/>
        <v>#NAME?</v>
      </c>
      <c r="RY62" s="11" t="e">
        <f t="shared" ca="1" si="120"/>
        <v>#NAME?</v>
      </c>
      <c r="RZ62" s="11" t="e">
        <f t="shared" ca="1" si="120"/>
        <v>#NAME?</v>
      </c>
      <c r="SA62" s="11" t="e">
        <f t="shared" ca="1" si="120"/>
        <v>#NAME?</v>
      </c>
    </row>
    <row r="65" spans="1:164" x14ac:dyDescent="0.2">
      <c r="CC65" s="92"/>
      <c r="FH65" s="12">
        <v>149884845.61000001</v>
      </c>
    </row>
    <row r="66" spans="1:164" x14ac:dyDescent="0.2">
      <c r="CC66" s="92"/>
      <c r="FH66" s="12">
        <v>30836000</v>
      </c>
    </row>
    <row r="67" spans="1:164" x14ac:dyDescent="0.2">
      <c r="CC67" s="93"/>
      <c r="FH67" s="12">
        <v>444229239.45999998</v>
      </c>
    </row>
    <row r="70" spans="1:164" x14ac:dyDescent="0.2">
      <c r="FH70" s="12">
        <v>640182052.49000001</v>
      </c>
    </row>
    <row r="71" spans="1:164" x14ac:dyDescent="0.2">
      <c r="FH71" s="12">
        <v>569800080.99000001</v>
      </c>
    </row>
    <row r="80" spans="1:164" x14ac:dyDescent="0.2">
      <c r="A80" s="94" t="str">
        <f>+'[2]Cash intraday'!AB2</f>
        <v>1.1. Subscription</v>
      </c>
    </row>
    <row r="81" spans="1:1" x14ac:dyDescent="0.2">
      <c r="A81" s="94" t="str">
        <f>+'[2]Cash intraday'!AE2</f>
        <v>2.1. Redemption</v>
      </c>
    </row>
    <row r="82" spans="1:1" x14ac:dyDescent="0.2">
      <c r="A82" s="94" t="str">
        <f>+'[2]Cash intraday'!AF2</f>
        <v>2.2. Switch-out</v>
      </c>
    </row>
    <row r="83" spans="1:1" x14ac:dyDescent="0.2">
      <c r="A83" s="94" t="str">
        <f>+'[2]Cash intraday'!AC2</f>
        <v>1.1. Subscription (Chq)</v>
      </c>
    </row>
    <row r="84" spans="1:1" x14ac:dyDescent="0.2">
      <c r="A84" s="94" t="str">
        <f>+'[2]Cash intraday'!AD2</f>
        <v>1.2. Switch-in</v>
      </c>
    </row>
  </sheetData>
  <mergeCells count="1">
    <mergeCell ref="NX2:NY2"/>
  </mergeCells>
  <conditionalFormatting sqref="A20">
    <cfRule type="cellIs" dxfId="1744" priority="1745" stopIfTrue="1" operator="equal">
      <formula>TODAY()</formula>
    </cfRule>
  </conditionalFormatting>
  <conditionalFormatting sqref="B15 B12">
    <cfRule type="cellIs" dxfId="1743" priority="1744" stopIfTrue="1" operator="equal">
      <formula>TODAY()</formula>
    </cfRule>
  </conditionalFormatting>
  <conditionalFormatting sqref="B5:B7 B10">
    <cfRule type="cellIs" dxfId="1742" priority="1743" stopIfTrue="1" operator="equal">
      <formula>TODAY()</formula>
    </cfRule>
  </conditionalFormatting>
  <conditionalFormatting sqref="B12 B15 B20">
    <cfRule type="cellIs" dxfId="1741" priority="1742" stopIfTrue="1" operator="equal">
      <formula>TODAY()</formula>
    </cfRule>
  </conditionalFormatting>
  <conditionalFormatting sqref="B18">
    <cfRule type="cellIs" dxfId="1740" priority="1741" stopIfTrue="1" operator="equal">
      <formula>TODAY()</formula>
    </cfRule>
  </conditionalFormatting>
  <conditionalFormatting sqref="C15 C12">
    <cfRule type="cellIs" dxfId="1739" priority="1740" stopIfTrue="1" operator="equal">
      <formula>TODAY()</formula>
    </cfRule>
  </conditionalFormatting>
  <conditionalFormatting sqref="C5:C7 C10">
    <cfRule type="cellIs" dxfId="1738" priority="1739" stopIfTrue="1" operator="equal">
      <formula>TODAY()</formula>
    </cfRule>
  </conditionalFormatting>
  <conditionalFormatting sqref="C12 C15 C20">
    <cfRule type="cellIs" dxfId="1737" priority="1738" stopIfTrue="1" operator="equal">
      <formula>TODAY()</formula>
    </cfRule>
  </conditionalFormatting>
  <conditionalFormatting sqref="C18">
    <cfRule type="cellIs" dxfId="1736" priority="1737" stopIfTrue="1" operator="equal">
      <formula>TODAY()</formula>
    </cfRule>
  </conditionalFormatting>
  <conditionalFormatting sqref="D15 D12">
    <cfRule type="cellIs" dxfId="1735" priority="1736" stopIfTrue="1" operator="equal">
      <formula>TODAY()</formula>
    </cfRule>
  </conditionalFormatting>
  <conditionalFormatting sqref="D5:D7 D10">
    <cfRule type="cellIs" dxfId="1734" priority="1735" stopIfTrue="1" operator="equal">
      <formula>TODAY()</formula>
    </cfRule>
  </conditionalFormatting>
  <conditionalFormatting sqref="D12 D15 D20">
    <cfRule type="cellIs" dxfId="1733" priority="1734" stopIfTrue="1" operator="equal">
      <formula>TODAY()</formula>
    </cfRule>
  </conditionalFormatting>
  <conditionalFormatting sqref="D18">
    <cfRule type="cellIs" dxfId="1732" priority="1733" stopIfTrue="1" operator="equal">
      <formula>TODAY()</formula>
    </cfRule>
  </conditionalFormatting>
  <conditionalFormatting sqref="E15 E12">
    <cfRule type="cellIs" dxfId="1731" priority="1732" stopIfTrue="1" operator="equal">
      <formula>TODAY()</formula>
    </cfRule>
  </conditionalFormatting>
  <conditionalFormatting sqref="E5:E7 E10">
    <cfRule type="cellIs" dxfId="1730" priority="1731" stopIfTrue="1" operator="equal">
      <formula>TODAY()</formula>
    </cfRule>
  </conditionalFormatting>
  <conditionalFormatting sqref="E12 E15 E20">
    <cfRule type="cellIs" dxfId="1729" priority="1730" stopIfTrue="1" operator="equal">
      <formula>TODAY()</formula>
    </cfRule>
  </conditionalFormatting>
  <conditionalFormatting sqref="E18">
    <cfRule type="cellIs" dxfId="1728" priority="1729" stopIfTrue="1" operator="equal">
      <formula>TODAY()</formula>
    </cfRule>
  </conditionalFormatting>
  <conditionalFormatting sqref="F15 F12">
    <cfRule type="cellIs" dxfId="1727" priority="1728" stopIfTrue="1" operator="equal">
      <formula>TODAY()</formula>
    </cfRule>
  </conditionalFormatting>
  <conditionalFormatting sqref="F5:F7 F10">
    <cfRule type="cellIs" dxfId="1726" priority="1727" stopIfTrue="1" operator="equal">
      <formula>TODAY()</formula>
    </cfRule>
  </conditionalFormatting>
  <conditionalFormatting sqref="F12 F15 F20">
    <cfRule type="cellIs" dxfId="1725" priority="1726" stopIfTrue="1" operator="equal">
      <formula>TODAY()</formula>
    </cfRule>
  </conditionalFormatting>
  <conditionalFormatting sqref="F18">
    <cfRule type="cellIs" dxfId="1724" priority="1725" stopIfTrue="1" operator="equal">
      <formula>TODAY()</formula>
    </cfRule>
  </conditionalFormatting>
  <conditionalFormatting sqref="G15 G12">
    <cfRule type="cellIs" dxfId="1723" priority="1724" stopIfTrue="1" operator="equal">
      <formula>TODAY()</formula>
    </cfRule>
  </conditionalFormatting>
  <conditionalFormatting sqref="G5:G7 G10">
    <cfRule type="cellIs" dxfId="1722" priority="1723" stopIfTrue="1" operator="equal">
      <formula>TODAY()</formula>
    </cfRule>
  </conditionalFormatting>
  <conditionalFormatting sqref="G12 G15 G20">
    <cfRule type="cellIs" dxfId="1721" priority="1722" stopIfTrue="1" operator="equal">
      <formula>TODAY()</formula>
    </cfRule>
  </conditionalFormatting>
  <conditionalFormatting sqref="G18">
    <cfRule type="cellIs" dxfId="1720" priority="1721" stopIfTrue="1" operator="equal">
      <formula>TODAY()</formula>
    </cfRule>
  </conditionalFormatting>
  <conditionalFormatting sqref="H15 H12">
    <cfRule type="cellIs" dxfId="1719" priority="1720" stopIfTrue="1" operator="equal">
      <formula>TODAY()</formula>
    </cfRule>
  </conditionalFormatting>
  <conditionalFormatting sqref="H5:H7 H10">
    <cfRule type="cellIs" dxfId="1718" priority="1719" stopIfTrue="1" operator="equal">
      <formula>TODAY()</formula>
    </cfRule>
  </conditionalFormatting>
  <conditionalFormatting sqref="H12 H15 H20">
    <cfRule type="cellIs" dxfId="1717" priority="1718" stopIfTrue="1" operator="equal">
      <formula>TODAY()</formula>
    </cfRule>
  </conditionalFormatting>
  <conditionalFormatting sqref="H18">
    <cfRule type="cellIs" dxfId="1716" priority="1717" stopIfTrue="1" operator="equal">
      <formula>TODAY()</formula>
    </cfRule>
  </conditionalFormatting>
  <conditionalFormatting sqref="I15 I12">
    <cfRule type="cellIs" dxfId="1715" priority="1716" stopIfTrue="1" operator="equal">
      <formula>TODAY()</formula>
    </cfRule>
  </conditionalFormatting>
  <conditionalFormatting sqref="I5:I7 I10">
    <cfRule type="cellIs" dxfId="1714" priority="1715" stopIfTrue="1" operator="equal">
      <formula>TODAY()</formula>
    </cfRule>
  </conditionalFormatting>
  <conditionalFormatting sqref="I12 I15 I20">
    <cfRule type="cellIs" dxfId="1713" priority="1714" stopIfTrue="1" operator="equal">
      <formula>TODAY()</formula>
    </cfRule>
  </conditionalFormatting>
  <conditionalFormatting sqref="I18">
    <cfRule type="cellIs" dxfId="1712" priority="1713" stopIfTrue="1" operator="equal">
      <formula>TODAY()</formula>
    </cfRule>
  </conditionalFormatting>
  <conditionalFormatting sqref="J15 J12">
    <cfRule type="cellIs" dxfId="1711" priority="1712" stopIfTrue="1" operator="equal">
      <formula>TODAY()</formula>
    </cfRule>
  </conditionalFormatting>
  <conditionalFormatting sqref="J5:J7 J10">
    <cfRule type="cellIs" dxfId="1710" priority="1711" stopIfTrue="1" operator="equal">
      <formula>TODAY()</formula>
    </cfRule>
  </conditionalFormatting>
  <conditionalFormatting sqref="J12 J15 J20">
    <cfRule type="cellIs" dxfId="1709" priority="1710" stopIfTrue="1" operator="equal">
      <formula>TODAY()</formula>
    </cfRule>
  </conditionalFormatting>
  <conditionalFormatting sqref="J18">
    <cfRule type="cellIs" dxfId="1708" priority="1709" stopIfTrue="1" operator="equal">
      <formula>TODAY()</formula>
    </cfRule>
  </conditionalFormatting>
  <conditionalFormatting sqref="K15 K12">
    <cfRule type="cellIs" dxfId="1707" priority="1708" stopIfTrue="1" operator="equal">
      <formula>TODAY()</formula>
    </cfRule>
  </conditionalFormatting>
  <conditionalFormatting sqref="K5:K7 K10">
    <cfRule type="cellIs" dxfId="1706" priority="1707" stopIfTrue="1" operator="equal">
      <formula>TODAY()</formula>
    </cfRule>
  </conditionalFormatting>
  <conditionalFormatting sqref="K12 K15 K20">
    <cfRule type="cellIs" dxfId="1705" priority="1706" stopIfTrue="1" operator="equal">
      <formula>TODAY()</formula>
    </cfRule>
  </conditionalFormatting>
  <conditionalFormatting sqref="K18">
    <cfRule type="cellIs" dxfId="1704" priority="1705" stopIfTrue="1" operator="equal">
      <formula>TODAY()</formula>
    </cfRule>
  </conditionalFormatting>
  <conditionalFormatting sqref="L15 L12">
    <cfRule type="cellIs" dxfId="1703" priority="1704" stopIfTrue="1" operator="equal">
      <formula>TODAY()</formula>
    </cfRule>
  </conditionalFormatting>
  <conditionalFormatting sqref="L5:L7 L10">
    <cfRule type="cellIs" dxfId="1702" priority="1703" stopIfTrue="1" operator="equal">
      <formula>TODAY()</formula>
    </cfRule>
  </conditionalFormatting>
  <conditionalFormatting sqref="L12 L15 L20">
    <cfRule type="cellIs" dxfId="1701" priority="1702" stopIfTrue="1" operator="equal">
      <formula>TODAY()</formula>
    </cfRule>
  </conditionalFormatting>
  <conditionalFormatting sqref="L18">
    <cfRule type="cellIs" dxfId="1700" priority="1701" stopIfTrue="1" operator="equal">
      <formula>TODAY()</formula>
    </cfRule>
  </conditionalFormatting>
  <conditionalFormatting sqref="M15 M12">
    <cfRule type="cellIs" dxfId="1699" priority="1700" stopIfTrue="1" operator="equal">
      <formula>TODAY()</formula>
    </cfRule>
  </conditionalFormatting>
  <conditionalFormatting sqref="M5:M7 M10">
    <cfRule type="cellIs" dxfId="1698" priority="1699" stopIfTrue="1" operator="equal">
      <formula>TODAY()</formula>
    </cfRule>
  </conditionalFormatting>
  <conditionalFormatting sqref="M12 M15 M20">
    <cfRule type="cellIs" dxfId="1697" priority="1698" stopIfTrue="1" operator="equal">
      <formula>TODAY()</formula>
    </cfRule>
  </conditionalFormatting>
  <conditionalFormatting sqref="M18">
    <cfRule type="cellIs" dxfId="1696" priority="1697" stopIfTrue="1" operator="equal">
      <formula>TODAY()</formula>
    </cfRule>
  </conditionalFormatting>
  <conditionalFormatting sqref="N15 N12">
    <cfRule type="cellIs" dxfId="1695" priority="1696" stopIfTrue="1" operator="equal">
      <formula>TODAY()</formula>
    </cfRule>
  </conditionalFormatting>
  <conditionalFormatting sqref="N5:N7 N10">
    <cfRule type="cellIs" dxfId="1694" priority="1695" stopIfTrue="1" operator="equal">
      <formula>TODAY()</formula>
    </cfRule>
  </conditionalFormatting>
  <conditionalFormatting sqref="N12 N15 N20">
    <cfRule type="cellIs" dxfId="1693" priority="1694" stopIfTrue="1" operator="equal">
      <formula>TODAY()</formula>
    </cfRule>
  </conditionalFormatting>
  <conditionalFormatting sqref="N18">
    <cfRule type="cellIs" dxfId="1692" priority="1693" stopIfTrue="1" operator="equal">
      <formula>TODAY()</formula>
    </cfRule>
  </conditionalFormatting>
  <conditionalFormatting sqref="O15 O12">
    <cfRule type="cellIs" dxfId="1691" priority="1692" stopIfTrue="1" operator="equal">
      <formula>TODAY()</formula>
    </cfRule>
  </conditionalFormatting>
  <conditionalFormatting sqref="O5:O7 O10">
    <cfRule type="cellIs" dxfId="1690" priority="1691" stopIfTrue="1" operator="equal">
      <formula>TODAY()</formula>
    </cfRule>
  </conditionalFormatting>
  <conditionalFormatting sqref="O12 O15 O20">
    <cfRule type="cellIs" dxfId="1689" priority="1690" stopIfTrue="1" operator="equal">
      <formula>TODAY()</formula>
    </cfRule>
  </conditionalFormatting>
  <conditionalFormatting sqref="O18">
    <cfRule type="cellIs" dxfId="1688" priority="1689" stopIfTrue="1" operator="equal">
      <formula>TODAY()</formula>
    </cfRule>
  </conditionalFormatting>
  <conditionalFormatting sqref="P15 P12">
    <cfRule type="cellIs" dxfId="1687" priority="1688" stopIfTrue="1" operator="equal">
      <formula>TODAY()</formula>
    </cfRule>
  </conditionalFormatting>
  <conditionalFormatting sqref="P5:P7 P10">
    <cfRule type="cellIs" dxfId="1686" priority="1687" stopIfTrue="1" operator="equal">
      <formula>TODAY()</formula>
    </cfRule>
  </conditionalFormatting>
  <conditionalFormatting sqref="P12 P15 P20">
    <cfRule type="cellIs" dxfId="1685" priority="1686" stopIfTrue="1" operator="equal">
      <formula>TODAY()</formula>
    </cfRule>
  </conditionalFormatting>
  <conditionalFormatting sqref="P18">
    <cfRule type="cellIs" dxfId="1684" priority="1685" stopIfTrue="1" operator="equal">
      <formula>TODAY()</formula>
    </cfRule>
  </conditionalFormatting>
  <conditionalFormatting sqref="Q15 Q12">
    <cfRule type="cellIs" dxfId="1683" priority="1684" stopIfTrue="1" operator="equal">
      <formula>TODAY()</formula>
    </cfRule>
  </conditionalFormatting>
  <conditionalFormatting sqref="Q5:Q7 Q10">
    <cfRule type="cellIs" dxfId="1682" priority="1683" stopIfTrue="1" operator="equal">
      <formula>TODAY()</formula>
    </cfRule>
  </conditionalFormatting>
  <conditionalFormatting sqref="Q12 Q15 Q20">
    <cfRule type="cellIs" dxfId="1681" priority="1682" stopIfTrue="1" operator="equal">
      <formula>TODAY()</formula>
    </cfRule>
  </conditionalFormatting>
  <conditionalFormatting sqref="Q18">
    <cfRule type="cellIs" dxfId="1680" priority="1681" stopIfTrue="1" operator="equal">
      <formula>TODAY()</formula>
    </cfRule>
  </conditionalFormatting>
  <conditionalFormatting sqref="R15 R12">
    <cfRule type="cellIs" dxfId="1679" priority="1680" stopIfTrue="1" operator="equal">
      <formula>TODAY()</formula>
    </cfRule>
  </conditionalFormatting>
  <conditionalFormatting sqref="R5:R7 R10">
    <cfRule type="cellIs" dxfId="1678" priority="1679" stopIfTrue="1" operator="equal">
      <formula>TODAY()</formula>
    </cfRule>
  </conditionalFormatting>
  <conditionalFormatting sqref="R12 R15 R20">
    <cfRule type="cellIs" dxfId="1677" priority="1678" stopIfTrue="1" operator="equal">
      <formula>TODAY()</formula>
    </cfRule>
  </conditionalFormatting>
  <conditionalFormatting sqref="R18">
    <cfRule type="cellIs" dxfId="1676" priority="1677" stopIfTrue="1" operator="equal">
      <formula>TODAY()</formula>
    </cfRule>
  </conditionalFormatting>
  <conditionalFormatting sqref="S15 S12">
    <cfRule type="cellIs" dxfId="1675" priority="1676" stopIfTrue="1" operator="equal">
      <formula>TODAY()</formula>
    </cfRule>
  </conditionalFormatting>
  <conditionalFormatting sqref="S5:S7 S10">
    <cfRule type="cellIs" dxfId="1674" priority="1675" stopIfTrue="1" operator="equal">
      <formula>TODAY()</formula>
    </cfRule>
  </conditionalFormatting>
  <conditionalFormatting sqref="S12 S15 S20">
    <cfRule type="cellIs" dxfId="1673" priority="1674" stopIfTrue="1" operator="equal">
      <formula>TODAY()</formula>
    </cfRule>
  </conditionalFormatting>
  <conditionalFormatting sqref="S18">
    <cfRule type="cellIs" dxfId="1672" priority="1673" stopIfTrue="1" operator="equal">
      <formula>TODAY()</formula>
    </cfRule>
  </conditionalFormatting>
  <conditionalFormatting sqref="T15 T12">
    <cfRule type="cellIs" dxfId="1671" priority="1672" stopIfTrue="1" operator="equal">
      <formula>TODAY()</formula>
    </cfRule>
  </conditionalFormatting>
  <conditionalFormatting sqref="T5:T7 T10">
    <cfRule type="cellIs" dxfId="1670" priority="1671" stopIfTrue="1" operator="equal">
      <formula>TODAY()</formula>
    </cfRule>
  </conditionalFormatting>
  <conditionalFormatting sqref="T12 T15 T20">
    <cfRule type="cellIs" dxfId="1669" priority="1670" stopIfTrue="1" operator="equal">
      <formula>TODAY()</formula>
    </cfRule>
  </conditionalFormatting>
  <conditionalFormatting sqref="T18">
    <cfRule type="cellIs" dxfId="1668" priority="1669" stopIfTrue="1" operator="equal">
      <formula>TODAY()</formula>
    </cfRule>
  </conditionalFormatting>
  <conditionalFormatting sqref="U15 U12">
    <cfRule type="cellIs" dxfId="1667" priority="1668" stopIfTrue="1" operator="equal">
      <formula>TODAY()</formula>
    </cfRule>
  </conditionalFormatting>
  <conditionalFormatting sqref="U5:U7 U10">
    <cfRule type="cellIs" dxfId="1666" priority="1667" stopIfTrue="1" operator="equal">
      <formula>TODAY()</formula>
    </cfRule>
  </conditionalFormatting>
  <conditionalFormatting sqref="U12 U15 U20">
    <cfRule type="cellIs" dxfId="1665" priority="1666" stopIfTrue="1" operator="equal">
      <formula>TODAY()</formula>
    </cfRule>
  </conditionalFormatting>
  <conditionalFormatting sqref="U18">
    <cfRule type="cellIs" dxfId="1664" priority="1665" stopIfTrue="1" operator="equal">
      <formula>TODAY()</formula>
    </cfRule>
  </conditionalFormatting>
  <conditionalFormatting sqref="V15 V12">
    <cfRule type="cellIs" dxfId="1663" priority="1664" stopIfTrue="1" operator="equal">
      <formula>TODAY()</formula>
    </cfRule>
  </conditionalFormatting>
  <conditionalFormatting sqref="V5:V7 V10">
    <cfRule type="cellIs" dxfId="1662" priority="1663" stopIfTrue="1" operator="equal">
      <formula>TODAY()</formula>
    </cfRule>
  </conditionalFormatting>
  <conditionalFormatting sqref="V12 V15 V20">
    <cfRule type="cellIs" dxfId="1661" priority="1662" stopIfTrue="1" operator="equal">
      <formula>TODAY()</formula>
    </cfRule>
  </conditionalFormatting>
  <conditionalFormatting sqref="V18">
    <cfRule type="cellIs" dxfId="1660" priority="1661" stopIfTrue="1" operator="equal">
      <formula>TODAY()</formula>
    </cfRule>
  </conditionalFormatting>
  <conditionalFormatting sqref="W15 W12">
    <cfRule type="cellIs" dxfId="1659" priority="1660" stopIfTrue="1" operator="equal">
      <formula>TODAY()</formula>
    </cfRule>
  </conditionalFormatting>
  <conditionalFormatting sqref="W5:W7 W10">
    <cfRule type="cellIs" dxfId="1658" priority="1659" stopIfTrue="1" operator="equal">
      <formula>TODAY()</formula>
    </cfRule>
  </conditionalFormatting>
  <conditionalFormatting sqref="W12 W15 W20">
    <cfRule type="cellIs" dxfId="1657" priority="1658" stopIfTrue="1" operator="equal">
      <formula>TODAY()</formula>
    </cfRule>
  </conditionalFormatting>
  <conditionalFormatting sqref="W18">
    <cfRule type="cellIs" dxfId="1656" priority="1657" stopIfTrue="1" operator="equal">
      <formula>TODAY()</formula>
    </cfRule>
  </conditionalFormatting>
  <conditionalFormatting sqref="X15 X12">
    <cfRule type="cellIs" dxfId="1655" priority="1656" stopIfTrue="1" operator="equal">
      <formula>TODAY()</formula>
    </cfRule>
  </conditionalFormatting>
  <conditionalFormatting sqref="X5:X7 X10">
    <cfRule type="cellIs" dxfId="1654" priority="1655" stopIfTrue="1" operator="equal">
      <formula>TODAY()</formula>
    </cfRule>
  </conditionalFormatting>
  <conditionalFormatting sqref="X12 X15 X20">
    <cfRule type="cellIs" dxfId="1653" priority="1654" stopIfTrue="1" operator="equal">
      <formula>TODAY()</formula>
    </cfRule>
  </conditionalFormatting>
  <conditionalFormatting sqref="X18">
    <cfRule type="cellIs" dxfId="1652" priority="1653" stopIfTrue="1" operator="equal">
      <formula>TODAY()</formula>
    </cfRule>
  </conditionalFormatting>
  <conditionalFormatting sqref="Y15 Y12">
    <cfRule type="cellIs" dxfId="1651" priority="1652" stopIfTrue="1" operator="equal">
      <formula>TODAY()</formula>
    </cfRule>
  </conditionalFormatting>
  <conditionalFormatting sqref="Y5:Y7 Y10">
    <cfRule type="cellIs" dxfId="1650" priority="1651" stopIfTrue="1" operator="equal">
      <formula>TODAY()</formula>
    </cfRule>
  </conditionalFormatting>
  <conditionalFormatting sqref="Y12 Y15 Y20">
    <cfRule type="cellIs" dxfId="1649" priority="1650" stopIfTrue="1" operator="equal">
      <formula>TODAY()</formula>
    </cfRule>
  </conditionalFormatting>
  <conditionalFormatting sqref="Y18">
    <cfRule type="cellIs" dxfId="1648" priority="1649" stopIfTrue="1" operator="equal">
      <formula>TODAY()</formula>
    </cfRule>
  </conditionalFormatting>
  <conditionalFormatting sqref="Z15 Z12">
    <cfRule type="cellIs" dxfId="1647" priority="1648" stopIfTrue="1" operator="equal">
      <formula>TODAY()</formula>
    </cfRule>
  </conditionalFormatting>
  <conditionalFormatting sqref="Z5:Z7 Z10">
    <cfRule type="cellIs" dxfId="1646" priority="1647" stopIfTrue="1" operator="equal">
      <formula>TODAY()</formula>
    </cfRule>
  </conditionalFormatting>
  <conditionalFormatting sqref="Z12 Z15 Z20">
    <cfRule type="cellIs" dxfId="1645" priority="1646" stopIfTrue="1" operator="equal">
      <formula>TODAY()</formula>
    </cfRule>
  </conditionalFormatting>
  <conditionalFormatting sqref="Z18">
    <cfRule type="cellIs" dxfId="1644" priority="1645" stopIfTrue="1" operator="equal">
      <formula>TODAY()</formula>
    </cfRule>
  </conditionalFormatting>
  <conditionalFormatting sqref="AA15 AA12">
    <cfRule type="cellIs" dxfId="1643" priority="1644" stopIfTrue="1" operator="equal">
      <formula>TODAY()</formula>
    </cfRule>
  </conditionalFormatting>
  <conditionalFormatting sqref="AA5:AA7 AA10">
    <cfRule type="cellIs" dxfId="1642" priority="1643" stopIfTrue="1" operator="equal">
      <formula>TODAY()</formula>
    </cfRule>
  </conditionalFormatting>
  <conditionalFormatting sqref="AA12 AA15 AA20">
    <cfRule type="cellIs" dxfId="1641" priority="1642" stopIfTrue="1" operator="equal">
      <formula>TODAY()</formula>
    </cfRule>
  </conditionalFormatting>
  <conditionalFormatting sqref="AA18">
    <cfRule type="cellIs" dxfId="1640" priority="1641" stopIfTrue="1" operator="equal">
      <formula>TODAY()</formula>
    </cfRule>
  </conditionalFormatting>
  <conditionalFormatting sqref="AB15 AB12">
    <cfRule type="cellIs" dxfId="1639" priority="1640" stopIfTrue="1" operator="equal">
      <formula>TODAY()</formula>
    </cfRule>
  </conditionalFormatting>
  <conditionalFormatting sqref="AB5:AB7 AB10">
    <cfRule type="cellIs" dxfId="1638" priority="1639" stopIfTrue="1" operator="equal">
      <formula>TODAY()</formula>
    </cfRule>
  </conditionalFormatting>
  <conditionalFormatting sqref="AB12 AB15 AB20">
    <cfRule type="cellIs" dxfId="1637" priority="1638" stopIfTrue="1" operator="equal">
      <formula>TODAY()</formula>
    </cfRule>
  </conditionalFormatting>
  <conditionalFormatting sqref="AB18">
    <cfRule type="cellIs" dxfId="1636" priority="1637" stopIfTrue="1" operator="equal">
      <formula>TODAY()</formula>
    </cfRule>
  </conditionalFormatting>
  <conditionalFormatting sqref="AC15 AC12">
    <cfRule type="cellIs" dxfId="1635" priority="1636" stopIfTrue="1" operator="equal">
      <formula>TODAY()</formula>
    </cfRule>
  </conditionalFormatting>
  <conditionalFormatting sqref="AC5:AC7 AC10">
    <cfRule type="cellIs" dxfId="1634" priority="1635" stopIfTrue="1" operator="equal">
      <formula>TODAY()</formula>
    </cfRule>
  </conditionalFormatting>
  <conditionalFormatting sqref="AC12 AC15 AC20">
    <cfRule type="cellIs" dxfId="1633" priority="1634" stopIfTrue="1" operator="equal">
      <formula>TODAY()</formula>
    </cfRule>
  </conditionalFormatting>
  <conditionalFormatting sqref="AC18">
    <cfRule type="cellIs" dxfId="1632" priority="1633" stopIfTrue="1" operator="equal">
      <formula>TODAY()</formula>
    </cfRule>
  </conditionalFormatting>
  <conditionalFormatting sqref="AD15 AD12">
    <cfRule type="cellIs" dxfId="1631" priority="1632" stopIfTrue="1" operator="equal">
      <formula>TODAY()</formula>
    </cfRule>
  </conditionalFormatting>
  <conditionalFormatting sqref="AD5:AD7 AD10">
    <cfRule type="cellIs" dxfId="1630" priority="1631" stopIfTrue="1" operator="equal">
      <formula>TODAY()</formula>
    </cfRule>
  </conditionalFormatting>
  <conditionalFormatting sqref="AD12 AD15 AD20">
    <cfRule type="cellIs" dxfId="1629" priority="1630" stopIfTrue="1" operator="equal">
      <formula>TODAY()</formula>
    </cfRule>
  </conditionalFormatting>
  <conditionalFormatting sqref="AD18">
    <cfRule type="cellIs" dxfId="1628" priority="1629" stopIfTrue="1" operator="equal">
      <formula>TODAY()</formula>
    </cfRule>
  </conditionalFormatting>
  <conditionalFormatting sqref="AE15 AE12">
    <cfRule type="cellIs" dxfId="1627" priority="1628" stopIfTrue="1" operator="equal">
      <formula>TODAY()</formula>
    </cfRule>
  </conditionalFormatting>
  <conditionalFormatting sqref="AE5:AE7 AE10">
    <cfRule type="cellIs" dxfId="1626" priority="1627" stopIfTrue="1" operator="equal">
      <formula>TODAY()</formula>
    </cfRule>
  </conditionalFormatting>
  <conditionalFormatting sqref="AE12 AE15 AE20">
    <cfRule type="cellIs" dxfId="1625" priority="1626" stopIfTrue="1" operator="equal">
      <formula>TODAY()</formula>
    </cfRule>
  </conditionalFormatting>
  <conditionalFormatting sqref="AE18">
    <cfRule type="cellIs" dxfId="1624" priority="1625" stopIfTrue="1" operator="equal">
      <formula>TODAY()</formula>
    </cfRule>
  </conditionalFormatting>
  <conditionalFormatting sqref="AF15 AF12">
    <cfRule type="cellIs" dxfId="1623" priority="1624" stopIfTrue="1" operator="equal">
      <formula>TODAY()</formula>
    </cfRule>
  </conditionalFormatting>
  <conditionalFormatting sqref="AF5:AF7 AF10">
    <cfRule type="cellIs" dxfId="1622" priority="1623" stopIfTrue="1" operator="equal">
      <formula>TODAY()</formula>
    </cfRule>
  </conditionalFormatting>
  <conditionalFormatting sqref="AF12 AF15 AF20">
    <cfRule type="cellIs" dxfId="1621" priority="1622" stopIfTrue="1" operator="equal">
      <formula>TODAY()</formula>
    </cfRule>
  </conditionalFormatting>
  <conditionalFormatting sqref="AF18">
    <cfRule type="cellIs" dxfId="1620" priority="1621" stopIfTrue="1" operator="equal">
      <formula>TODAY()</formula>
    </cfRule>
  </conditionalFormatting>
  <conditionalFormatting sqref="AG15 AG12">
    <cfRule type="cellIs" dxfId="1619" priority="1620" stopIfTrue="1" operator="equal">
      <formula>TODAY()</formula>
    </cfRule>
  </conditionalFormatting>
  <conditionalFormatting sqref="AG5:AG7 AG10">
    <cfRule type="cellIs" dxfId="1618" priority="1619" stopIfTrue="1" operator="equal">
      <formula>TODAY()</formula>
    </cfRule>
  </conditionalFormatting>
  <conditionalFormatting sqref="AG12 AG15 AG20">
    <cfRule type="cellIs" dxfId="1617" priority="1618" stopIfTrue="1" operator="equal">
      <formula>TODAY()</formula>
    </cfRule>
  </conditionalFormatting>
  <conditionalFormatting sqref="AG18">
    <cfRule type="cellIs" dxfId="1616" priority="1617" stopIfTrue="1" operator="equal">
      <formula>TODAY()</formula>
    </cfRule>
  </conditionalFormatting>
  <conditionalFormatting sqref="AH15 AH12">
    <cfRule type="cellIs" dxfId="1615" priority="1616" stopIfTrue="1" operator="equal">
      <formula>TODAY()</formula>
    </cfRule>
  </conditionalFormatting>
  <conditionalFormatting sqref="AH5:AH7 AH10">
    <cfRule type="cellIs" dxfId="1614" priority="1615" stopIfTrue="1" operator="equal">
      <formula>TODAY()</formula>
    </cfRule>
  </conditionalFormatting>
  <conditionalFormatting sqref="AH12 AH15 AH20">
    <cfRule type="cellIs" dxfId="1613" priority="1614" stopIfTrue="1" operator="equal">
      <formula>TODAY()</formula>
    </cfRule>
  </conditionalFormatting>
  <conditionalFormatting sqref="AH18">
    <cfRule type="cellIs" dxfId="1612" priority="1613" stopIfTrue="1" operator="equal">
      <formula>TODAY()</formula>
    </cfRule>
  </conditionalFormatting>
  <conditionalFormatting sqref="AI15 AI12">
    <cfRule type="cellIs" dxfId="1611" priority="1612" stopIfTrue="1" operator="equal">
      <formula>TODAY()</formula>
    </cfRule>
  </conditionalFormatting>
  <conditionalFormatting sqref="AI5:AI7 AI10">
    <cfRule type="cellIs" dxfId="1610" priority="1611" stopIfTrue="1" operator="equal">
      <formula>TODAY()</formula>
    </cfRule>
  </conditionalFormatting>
  <conditionalFormatting sqref="AI12 AI15 AI20">
    <cfRule type="cellIs" dxfId="1609" priority="1610" stopIfTrue="1" operator="equal">
      <formula>TODAY()</formula>
    </cfRule>
  </conditionalFormatting>
  <conditionalFormatting sqref="AI18">
    <cfRule type="cellIs" dxfId="1608" priority="1609" stopIfTrue="1" operator="equal">
      <formula>TODAY()</formula>
    </cfRule>
  </conditionalFormatting>
  <conditionalFormatting sqref="AJ15 AJ12">
    <cfRule type="cellIs" dxfId="1607" priority="1608" stopIfTrue="1" operator="equal">
      <formula>TODAY()</formula>
    </cfRule>
  </conditionalFormatting>
  <conditionalFormatting sqref="AJ5:AJ7 AJ10">
    <cfRule type="cellIs" dxfId="1606" priority="1607" stopIfTrue="1" operator="equal">
      <formula>TODAY()</formula>
    </cfRule>
  </conditionalFormatting>
  <conditionalFormatting sqref="AJ12 AJ15 AJ20">
    <cfRule type="cellIs" dxfId="1605" priority="1606" stopIfTrue="1" operator="equal">
      <formula>TODAY()</formula>
    </cfRule>
  </conditionalFormatting>
  <conditionalFormatting sqref="AJ18">
    <cfRule type="cellIs" dxfId="1604" priority="1605" stopIfTrue="1" operator="equal">
      <formula>TODAY()</formula>
    </cfRule>
  </conditionalFormatting>
  <conditionalFormatting sqref="AK15 AK12">
    <cfRule type="cellIs" dxfId="1603" priority="1604" stopIfTrue="1" operator="equal">
      <formula>TODAY()</formula>
    </cfRule>
  </conditionalFormatting>
  <conditionalFormatting sqref="AK5:AK7 AK10">
    <cfRule type="cellIs" dxfId="1602" priority="1603" stopIfTrue="1" operator="equal">
      <formula>TODAY()</formula>
    </cfRule>
  </conditionalFormatting>
  <conditionalFormatting sqref="AK12 AK15 AK20">
    <cfRule type="cellIs" dxfId="1601" priority="1602" stopIfTrue="1" operator="equal">
      <formula>TODAY()</formula>
    </cfRule>
  </conditionalFormatting>
  <conditionalFormatting sqref="AK18">
    <cfRule type="cellIs" dxfId="1600" priority="1601" stopIfTrue="1" operator="equal">
      <formula>TODAY()</formula>
    </cfRule>
  </conditionalFormatting>
  <conditionalFormatting sqref="AL15 AL12">
    <cfRule type="cellIs" dxfId="1599" priority="1600" stopIfTrue="1" operator="equal">
      <formula>TODAY()</formula>
    </cfRule>
  </conditionalFormatting>
  <conditionalFormatting sqref="AL5:AL7 AL10">
    <cfRule type="cellIs" dxfId="1598" priority="1599" stopIfTrue="1" operator="equal">
      <formula>TODAY()</formula>
    </cfRule>
  </conditionalFormatting>
  <conditionalFormatting sqref="AL12 AL15 AL20">
    <cfRule type="cellIs" dxfId="1597" priority="1598" stopIfTrue="1" operator="equal">
      <formula>TODAY()</formula>
    </cfRule>
  </conditionalFormatting>
  <conditionalFormatting sqref="AL18">
    <cfRule type="cellIs" dxfId="1596" priority="1597" stopIfTrue="1" operator="equal">
      <formula>TODAY()</formula>
    </cfRule>
  </conditionalFormatting>
  <conditionalFormatting sqref="AM15 AM12">
    <cfRule type="cellIs" dxfId="1595" priority="1596" stopIfTrue="1" operator="equal">
      <formula>TODAY()</formula>
    </cfRule>
  </conditionalFormatting>
  <conditionalFormatting sqref="AM5:AM7 AM10">
    <cfRule type="cellIs" dxfId="1594" priority="1595" stopIfTrue="1" operator="equal">
      <formula>TODAY()</formula>
    </cfRule>
  </conditionalFormatting>
  <conditionalFormatting sqref="AM12 AM15 AM20">
    <cfRule type="cellIs" dxfId="1593" priority="1594" stopIfTrue="1" operator="equal">
      <formula>TODAY()</formula>
    </cfRule>
  </conditionalFormatting>
  <conditionalFormatting sqref="AM18">
    <cfRule type="cellIs" dxfId="1592" priority="1593" stopIfTrue="1" operator="equal">
      <formula>TODAY()</formula>
    </cfRule>
  </conditionalFormatting>
  <conditionalFormatting sqref="AN15 AN12">
    <cfRule type="cellIs" dxfId="1591" priority="1592" stopIfTrue="1" operator="equal">
      <formula>TODAY()</formula>
    </cfRule>
  </conditionalFormatting>
  <conditionalFormatting sqref="AN5:AN7 AN10">
    <cfRule type="cellIs" dxfId="1590" priority="1591" stopIfTrue="1" operator="equal">
      <formula>TODAY()</formula>
    </cfRule>
  </conditionalFormatting>
  <conditionalFormatting sqref="AN12 AN15 AN20">
    <cfRule type="cellIs" dxfId="1589" priority="1590" stopIfTrue="1" operator="equal">
      <formula>TODAY()</formula>
    </cfRule>
  </conditionalFormatting>
  <conditionalFormatting sqref="AN18">
    <cfRule type="cellIs" dxfId="1588" priority="1589" stopIfTrue="1" operator="equal">
      <formula>TODAY()</formula>
    </cfRule>
  </conditionalFormatting>
  <conditionalFormatting sqref="AO15 AO12">
    <cfRule type="cellIs" dxfId="1587" priority="1588" stopIfTrue="1" operator="equal">
      <formula>TODAY()</formula>
    </cfRule>
  </conditionalFormatting>
  <conditionalFormatting sqref="AO5:AO7 AO10">
    <cfRule type="cellIs" dxfId="1586" priority="1587" stopIfTrue="1" operator="equal">
      <formula>TODAY()</formula>
    </cfRule>
  </conditionalFormatting>
  <conditionalFormatting sqref="AO12 AO15 AO20">
    <cfRule type="cellIs" dxfId="1585" priority="1586" stopIfTrue="1" operator="equal">
      <formula>TODAY()</formula>
    </cfRule>
  </conditionalFormatting>
  <conditionalFormatting sqref="AO18">
    <cfRule type="cellIs" dxfId="1584" priority="1585" stopIfTrue="1" operator="equal">
      <formula>TODAY()</formula>
    </cfRule>
  </conditionalFormatting>
  <conditionalFormatting sqref="AP15 AP12">
    <cfRule type="cellIs" dxfId="1583" priority="1584" stopIfTrue="1" operator="equal">
      <formula>TODAY()</formula>
    </cfRule>
  </conditionalFormatting>
  <conditionalFormatting sqref="AP5:AP7 AP10">
    <cfRule type="cellIs" dxfId="1582" priority="1583" stopIfTrue="1" operator="equal">
      <formula>TODAY()</formula>
    </cfRule>
  </conditionalFormatting>
  <conditionalFormatting sqref="AP12 AP15 AP20">
    <cfRule type="cellIs" dxfId="1581" priority="1582" stopIfTrue="1" operator="equal">
      <formula>TODAY()</formula>
    </cfRule>
  </conditionalFormatting>
  <conditionalFormatting sqref="AP18">
    <cfRule type="cellIs" dxfId="1580" priority="1581" stopIfTrue="1" operator="equal">
      <formula>TODAY()</formula>
    </cfRule>
  </conditionalFormatting>
  <conditionalFormatting sqref="AQ15 AQ12">
    <cfRule type="cellIs" dxfId="1579" priority="1580" stopIfTrue="1" operator="equal">
      <formula>TODAY()</formula>
    </cfRule>
  </conditionalFormatting>
  <conditionalFormatting sqref="AQ5:AQ7 AQ10">
    <cfRule type="cellIs" dxfId="1578" priority="1579" stopIfTrue="1" operator="equal">
      <formula>TODAY()</formula>
    </cfRule>
  </conditionalFormatting>
  <conditionalFormatting sqref="AQ12 AQ15 AQ20">
    <cfRule type="cellIs" dxfId="1577" priority="1578" stopIfTrue="1" operator="equal">
      <formula>TODAY()</formula>
    </cfRule>
  </conditionalFormatting>
  <conditionalFormatting sqref="AQ18">
    <cfRule type="cellIs" dxfId="1576" priority="1577" stopIfTrue="1" operator="equal">
      <formula>TODAY()</formula>
    </cfRule>
  </conditionalFormatting>
  <conditionalFormatting sqref="AR15 AR12">
    <cfRule type="cellIs" dxfId="1575" priority="1576" stopIfTrue="1" operator="equal">
      <formula>TODAY()</formula>
    </cfRule>
  </conditionalFormatting>
  <conditionalFormatting sqref="AR5:AR7 AR10">
    <cfRule type="cellIs" dxfId="1574" priority="1575" stopIfTrue="1" operator="equal">
      <formula>TODAY()</formula>
    </cfRule>
  </conditionalFormatting>
  <conditionalFormatting sqref="AR12 AR15 AR20">
    <cfRule type="cellIs" dxfId="1573" priority="1574" stopIfTrue="1" operator="equal">
      <formula>TODAY()</formula>
    </cfRule>
  </conditionalFormatting>
  <conditionalFormatting sqref="AR18">
    <cfRule type="cellIs" dxfId="1572" priority="1573" stopIfTrue="1" operator="equal">
      <formula>TODAY()</formula>
    </cfRule>
  </conditionalFormatting>
  <conditionalFormatting sqref="AS15 AS12">
    <cfRule type="cellIs" dxfId="1571" priority="1572" stopIfTrue="1" operator="equal">
      <formula>TODAY()</formula>
    </cfRule>
  </conditionalFormatting>
  <conditionalFormatting sqref="AS5:AS7 AS10">
    <cfRule type="cellIs" dxfId="1570" priority="1571" stopIfTrue="1" operator="equal">
      <formula>TODAY()</formula>
    </cfRule>
  </conditionalFormatting>
  <conditionalFormatting sqref="AS12 AS15 AS20">
    <cfRule type="cellIs" dxfId="1569" priority="1570" stopIfTrue="1" operator="equal">
      <formula>TODAY()</formula>
    </cfRule>
  </conditionalFormatting>
  <conditionalFormatting sqref="AS18">
    <cfRule type="cellIs" dxfId="1568" priority="1569" stopIfTrue="1" operator="equal">
      <formula>TODAY()</formula>
    </cfRule>
  </conditionalFormatting>
  <conditionalFormatting sqref="AT15 AT12">
    <cfRule type="cellIs" dxfId="1567" priority="1568" stopIfTrue="1" operator="equal">
      <formula>TODAY()</formula>
    </cfRule>
  </conditionalFormatting>
  <conditionalFormatting sqref="AT5:AT7 AT10">
    <cfRule type="cellIs" dxfId="1566" priority="1567" stopIfTrue="1" operator="equal">
      <formula>TODAY()</formula>
    </cfRule>
  </conditionalFormatting>
  <conditionalFormatting sqref="AT12 AT15 AT20">
    <cfRule type="cellIs" dxfId="1565" priority="1566" stopIfTrue="1" operator="equal">
      <formula>TODAY()</formula>
    </cfRule>
  </conditionalFormatting>
  <conditionalFormatting sqref="AT18">
    <cfRule type="cellIs" dxfId="1564" priority="1565" stopIfTrue="1" operator="equal">
      <formula>TODAY()</formula>
    </cfRule>
  </conditionalFormatting>
  <conditionalFormatting sqref="AU15 AU12">
    <cfRule type="cellIs" dxfId="1563" priority="1564" stopIfTrue="1" operator="equal">
      <formula>TODAY()</formula>
    </cfRule>
  </conditionalFormatting>
  <conditionalFormatting sqref="AU5:AU7 AU10">
    <cfRule type="cellIs" dxfId="1562" priority="1563" stopIfTrue="1" operator="equal">
      <formula>TODAY()</formula>
    </cfRule>
  </conditionalFormatting>
  <conditionalFormatting sqref="AU12 AU15 AU20">
    <cfRule type="cellIs" dxfId="1561" priority="1562" stopIfTrue="1" operator="equal">
      <formula>TODAY()</formula>
    </cfRule>
  </conditionalFormatting>
  <conditionalFormatting sqref="AU18">
    <cfRule type="cellIs" dxfId="1560" priority="1561" stopIfTrue="1" operator="equal">
      <formula>TODAY()</formula>
    </cfRule>
  </conditionalFormatting>
  <conditionalFormatting sqref="AV15 AV12">
    <cfRule type="cellIs" dxfId="1559" priority="1560" stopIfTrue="1" operator="equal">
      <formula>TODAY()</formula>
    </cfRule>
  </conditionalFormatting>
  <conditionalFormatting sqref="AV5:AV7 AV10">
    <cfRule type="cellIs" dxfId="1558" priority="1559" stopIfTrue="1" operator="equal">
      <formula>TODAY()</formula>
    </cfRule>
  </conditionalFormatting>
  <conditionalFormatting sqref="AV12 AV15 AV20">
    <cfRule type="cellIs" dxfId="1557" priority="1558" stopIfTrue="1" operator="equal">
      <formula>TODAY()</formula>
    </cfRule>
  </conditionalFormatting>
  <conditionalFormatting sqref="AV18">
    <cfRule type="cellIs" dxfId="1556" priority="1557" stopIfTrue="1" operator="equal">
      <formula>TODAY()</formula>
    </cfRule>
  </conditionalFormatting>
  <conditionalFormatting sqref="AW15 AW12">
    <cfRule type="cellIs" dxfId="1555" priority="1556" stopIfTrue="1" operator="equal">
      <formula>TODAY()</formula>
    </cfRule>
  </conditionalFormatting>
  <conditionalFormatting sqref="AW5:AW7 AW10">
    <cfRule type="cellIs" dxfId="1554" priority="1555" stopIfTrue="1" operator="equal">
      <formula>TODAY()</formula>
    </cfRule>
  </conditionalFormatting>
  <conditionalFormatting sqref="AW12 AW15 AW20">
    <cfRule type="cellIs" dxfId="1553" priority="1554" stopIfTrue="1" operator="equal">
      <formula>TODAY()</formula>
    </cfRule>
  </conditionalFormatting>
  <conditionalFormatting sqref="AW18">
    <cfRule type="cellIs" dxfId="1552" priority="1553" stopIfTrue="1" operator="equal">
      <formula>TODAY()</formula>
    </cfRule>
  </conditionalFormatting>
  <conditionalFormatting sqref="AX15 AX12">
    <cfRule type="cellIs" dxfId="1551" priority="1552" stopIfTrue="1" operator="equal">
      <formula>TODAY()</formula>
    </cfRule>
  </conditionalFormatting>
  <conditionalFormatting sqref="AX5:AX7 AX10">
    <cfRule type="cellIs" dxfId="1550" priority="1551" stopIfTrue="1" operator="equal">
      <formula>TODAY()</formula>
    </cfRule>
  </conditionalFormatting>
  <conditionalFormatting sqref="AX12 AX15 AX20">
    <cfRule type="cellIs" dxfId="1549" priority="1550" stopIfTrue="1" operator="equal">
      <formula>TODAY()</formula>
    </cfRule>
  </conditionalFormatting>
  <conditionalFormatting sqref="AX18">
    <cfRule type="cellIs" dxfId="1548" priority="1549" stopIfTrue="1" operator="equal">
      <formula>TODAY()</formula>
    </cfRule>
  </conditionalFormatting>
  <conditionalFormatting sqref="AY15 AY12">
    <cfRule type="cellIs" dxfId="1547" priority="1548" stopIfTrue="1" operator="equal">
      <formula>TODAY()</formula>
    </cfRule>
  </conditionalFormatting>
  <conditionalFormatting sqref="AY5:AY7 AY10">
    <cfRule type="cellIs" dxfId="1546" priority="1547" stopIfTrue="1" operator="equal">
      <formula>TODAY()</formula>
    </cfRule>
  </conditionalFormatting>
  <conditionalFormatting sqref="AY12 AY15 AY20">
    <cfRule type="cellIs" dxfId="1545" priority="1546" stopIfTrue="1" operator="equal">
      <formula>TODAY()</formula>
    </cfRule>
  </conditionalFormatting>
  <conditionalFormatting sqref="AY18">
    <cfRule type="cellIs" dxfId="1544" priority="1545" stopIfTrue="1" operator="equal">
      <formula>TODAY()</formula>
    </cfRule>
  </conditionalFormatting>
  <conditionalFormatting sqref="AZ15 AZ12">
    <cfRule type="cellIs" dxfId="1543" priority="1544" stopIfTrue="1" operator="equal">
      <formula>TODAY()</formula>
    </cfRule>
  </conditionalFormatting>
  <conditionalFormatting sqref="AZ5:AZ7 AZ10">
    <cfRule type="cellIs" dxfId="1542" priority="1543" stopIfTrue="1" operator="equal">
      <formula>TODAY()</formula>
    </cfRule>
  </conditionalFormatting>
  <conditionalFormatting sqref="AZ12 AZ15 AZ20">
    <cfRule type="cellIs" dxfId="1541" priority="1542" stopIfTrue="1" operator="equal">
      <formula>TODAY()</formula>
    </cfRule>
  </conditionalFormatting>
  <conditionalFormatting sqref="AZ18">
    <cfRule type="cellIs" dxfId="1540" priority="1541" stopIfTrue="1" operator="equal">
      <formula>TODAY()</formula>
    </cfRule>
  </conditionalFormatting>
  <conditionalFormatting sqref="BA15 BA12">
    <cfRule type="cellIs" dxfId="1539" priority="1540" stopIfTrue="1" operator="equal">
      <formula>TODAY()</formula>
    </cfRule>
  </conditionalFormatting>
  <conditionalFormatting sqref="BA5:BA7 BA10">
    <cfRule type="cellIs" dxfId="1538" priority="1539" stopIfTrue="1" operator="equal">
      <formula>TODAY()</formula>
    </cfRule>
  </conditionalFormatting>
  <conditionalFormatting sqref="BA12 BA15 BA20">
    <cfRule type="cellIs" dxfId="1537" priority="1538" stopIfTrue="1" operator="equal">
      <formula>TODAY()</formula>
    </cfRule>
  </conditionalFormatting>
  <conditionalFormatting sqref="BA18">
    <cfRule type="cellIs" dxfId="1536" priority="1537" stopIfTrue="1" operator="equal">
      <formula>TODAY()</formula>
    </cfRule>
  </conditionalFormatting>
  <conditionalFormatting sqref="BB15 BB12">
    <cfRule type="cellIs" dxfId="1535" priority="1536" stopIfTrue="1" operator="equal">
      <formula>TODAY()</formula>
    </cfRule>
  </conditionalFormatting>
  <conditionalFormatting sqref="BB5:BB7 BB10">
    <cfRule type="cellIs" dxfId="1534" priority="1535" stopIfTrue="1" operator="equal">
      <formula>TODAY()</formula>
    </cfRule>
  </conditionalFormatting>
  <conditionalFormatting sqref="BB12 BB15 BB20">
    <cfRule type="cellIs" dxfId="1533" priority="1534" stopIfTrue="1" operator="equal">
      <formula>TODAY()</formula>
    </cfRule>
  </conditionalFormatting>
  <conditionalFormatting sqref="BB18">
    <cfRule type="cellIs" dxfId="1532" priority="1533" stopIfTrue="1" operator="equal">
      <formula>TODAY()</formula>
    </cfRule>
  </conditionalFormatting>
  <conditionalFormatting sqref="BC15 BC12">
    <cfRule type="cellIs" dxfId="1531" priority="1532" stopIfTrue="1" operator="equal">
      <formula>TODAY()</formula>
    </cfRule>
  </conditionalFormatting>
  <conditionalFormatting sqref="BC5:BC7 BC10">
    <cfRule type="cellIs" dxfId="1530" priority="1531" stopIfTrue="1" operator="equal">
      <formula>TODAY()</formula>
    </cfRule>
  </conditionalFormatting>
  <conditionalFormatting sqref="BC12 BC15 BC20">
    <cfRule type="cellIs" dxfId="1529" priority="1530" stopIfTrue="1" operator="equal">
      <formula>TODAY()</formula>
    </cfRule>
  </conditionalFormatting>
  <conditionalFormatting sqref="BC18">
    <cfRule type="cellIs" dxfId="1528" priority="1529" stopIfTrue="1" operator="equal">
      <formula>TODAY()</formula>
    </cfRule>
  </conditionalFormatting>
  <conditionalFormatting sqref="BD15 BD12">
    <cfRule type="cellIs" dxfId="1527" priority="1528" stopIfTrue="1" operator="equal">
      <formula>TODAY()</formula>
    </cfRule>
  </conditionalFormatting>
  <conditionalFormatting sqref="BD5:BD7 BD10">
    <cfRule type="cellIs" dxfId="1526" priority="1527" stopIfTrue="1" operator="equal">
      <formula>TODAY()</formula>
    </cfRule>
  </conditionalFormatting>
  <conditionalFormatting sqref="BD12 BD15 BD20">
    <cfRule type="cellIs" dxfId="1525" priority="1526" stopIfTrue="1" operator="equal">
      <formula>TODAY()</formula>
    </cfRule>
  </conditionalFormatting>
  <conditionalFormatting sqref="BD18">
    <cfRule type="cellIs" dxfId="1524" priority="1525" stopIfTrue="1" operator="equal">
      <formula>TODAY()</formula>
    </cfRule>
  </conditionalFormatting>
  <conditionalFormatting sqref="BE15 BE12">
    <cfRule type="cellIs" dxfId="1523" priority="1524" stopIfTrue="1" operator="equal">
      <formula>TODAY()</formula>
    </cfRule>
  </conditionalFormatting>
  <conditionalFormatting sqref="BE5:BE7 BE10">
    <cfRule type="cellIs" dxfId="1522" priority="1523" stopIfTrue="1" operator="equal">
      <formula>TODAY()</formula>
    </cfRule>
  </conditionalFormatting>
  <conditionalFormatting sqref="BE12 BE15 BE20">
    <cfRule type="cellIs" dxfId="1521" priority="1522" stopIfTrue="1" operator="equal">
      <formula>TODAY()</formula>
    </cfRule>
  </conditionalFormatting>
  <conditionalFormatting sqref="BE18">
    <cfRule type="cellIs" dxfId="1520" priority="1521" stopIfTrue="1" operator="equal">
      <formula>TODAY()</formula>
    </cfRule>
  </conditionalFormatting>
  <conditionalFormatting sqref="BF15 BF12">
    <cfRule type="cellIs" dxfId="1519" priority="1520" stopIfTrue="1" operator="equal">
      <formula>TODAY()</formula>
    </cfRule>
  </conditionalFormatting>
  <conditionalFormatting sqref="BF5:BF7 BF10">
    <cfRule type="cellIs" dxfId="1518" priority="1519" stopIfTrue="1" operator="equal">
      <formula>TODAY()</formula>
    </cfRule>
  </conditionalFormatting>
  <conditionalFormatting sqref="BF12 BF15 BF20">
    <cfRule type="cellIs" dxfId="1517" priority="1518" stopIfTrue="1" operator="equal">
      <formula>TODAY()</formula>
    </cfRule>
  </conditionalFormatting>
  <conditionalFormatting sqref="BF18">
    <cfRule type="cellIs" dxfId="1516" priority="1517" stopIfTrue="1" operator="equal">
      <formula>TODAY()</formula>
    </cfRule>
  </conditionalFormatting>
  <conditionalFormatting sqref="BG15 BG12">
    <cfRule type="cellIs" dxfId="1515" priority="1516" stopIfTrue="1" operator="equal">
      <formula>TODAY()</formula>
    </cfRule>
  </conditionalFormatting>
  <conditionalFormatting sqref="BG5:BG7 BG10">
    <cfRule type="cellIs" dxfId="1514" priority="1515" stopIfTrue="1" operator="equal">
      <formula>TODAY()</formula>
    </cfRule>
  </conditionalFormatting>
  <conditionalFormatting sqref="BG12 BG15 BG20">
    <cfRule type="cellIs" dxfId="1513" priority="1514" stopIfTrue="1" operator="equal">
      <formula>TODAY()</formula>
    </cfRule>
  </conditionalFormatting>
  <conditionalFormatting sqref="BG18">
    <cfRule type="cellIs" dxfId="1512" priority="1513" stopIfTrue="1" operator="equal">
      <formula>TODAY()</formula>
    </cfRule>
  </conditionalFormatting>
  <conditionalFormatting sqref="BH15 BH12">
    <cfRule type="cellIs" dxfId="1511" priority="1512" stopIfTrue="1" operator="equal">
      <formula>TODAY()</formula>
    </cfRule>
  </conditionalFormatting>
  <conditionalFormatting sqref="BH5:BH7 BH10">
    <cfRule type="cellIs" dxfId="1510" priority="1511" stopIfTrue="1" operator="equal">
      <formula>TODAY()</formula>
    </cfRule>
  </conditionalFormatting>
  <conditionalFormatting sqref="BH12 BH15 BH20">
    <cfRule type="cellIs" dxfId="1509" priority="1510" stopIfTrue="1" operator="equal">
      <formula>TODAY()</formula>
    </cfRule>
  </conditionalFormatting>
  <conditionalFormatting sqref="BH18">
    <cfRule type="cellIs" dxfId="1508" priority="1509" stopIfTrue="1" operator="equal">
      <formula>TODAY()</formula>
    </cfRule>
  </conditionalFormatting>
  <conditionalFormatting sqref="BI15 BI12">
    <cfRule type="cellIs" dxfId="1507" priority="1508" stopIfTrue="1" operator="equal">
      <formula>TODAY()</formula>
    </cfRule>
  </conditionalFormatting>
  <conditionalFormatting sqref="BI5:BI7 BI10">
    <cfRule type="cellIs" dxfId="1506" priority="1507" stopIfTrue="1" operator="equal">
      <formula>TODAY()</formula>
    </cfRule>
  </conditionalFormatting>
  <conditionalFormatting sqref="BI12 BI15 BI20">
    <cfRule type="cellIs" dxfId="1505" priority="1506" stopIfTrue="1" operator="equal">
      <formula>TODAY()</formula>
    </cfRule>
  </conditionalFormatting>
  <conditionalFormatting sqref="BI18">
    <cfRule type="cellIs" dxfId="1504" priority="1505" stopIfTrue="1" operator="equal">
      <formula>TODAY()</formula>
    </cfRule>
  </conditionalFormatting>
  <conditionalFormatting sqref="BJ15 BJ12">
    <cfRule type="cellIs" dxfId="1503" priority="1504" stopIfTrue="1" operator="equal">
      <formula>TODAY()</formula>
    </cfRule>
  </conditionalFormatting>
  <conditionalFormatting sqref="BJ5:BJ7 BJ10">
    <cfRule type="cellIs" dxfId="1502" priority="1503" stopIfTrue="1" operator="equal">
      <formula>TODAY()</formula>
    </cfRule>
  </conditionalFormatting>
  <conditionalFormatting sqref="BJ12 BJ15 BJ20">
    <cfRule type="cellIs" dxfId="1501" priority="1502" stopIfTrue="1" operator="equal">
      <formula>TODAY()</formula>
    </cfRule>
  </conditionalFormatting>
  <conditionalFormatting sqref="BJ18">
    <cfRule type="cellIs" dxfId="1500" priority="1501" stopIfTrue="1" operator="equal">
      <formula>TODAY()</formula>
    </cfRule>
  </conditionalFormatting>
  <conditionalFormatting sqref="BK15 BK12">
    <cfRule type="cellIs" dxfId="1499" priority="1500" stopIfTrue="1" operator="equal">
      <formula>TODAY()</formula>
    </cfRule>
  </conditionalFormatting>
  <conditionalFormatting sqref="BK5:BK7 BK10">
    <cfRule type="cellIs" dxfId="1498" priority="1499" stopIfTrue="1" operator="equal">
      <formula>TODAY()</formula>
    </cfRule>
  </conditionalFormatting>
  <conditionalFormatting sqref="BK12 BK15 BK20">
    <cfRule type="cellIs" dxfId="1497" priority="1498" stopIfTrue="1" operator="equal">
      <formula>TODAY()</formula>
    </cfRule>
  </conditionalFormatting>
  <conditionalFormatting sqref="BK18">
    <cfRule type="cellIs" dxfId="1496" priority="1497" stopIfTrue="1" operator="equal">
      <formula>TODAY()</formula>
    </cfRule>
  </conditionalFormatting>
  <conditionalFormatting sqref="BL15 BL12">
    <cfRule type="cellIs" dxfId="1495" priority="1496" stopIfTrue="1" operator="equal">
      <formula>TODAY()</formula>
    </cfRule>
  </conditionalFormatting>
  <conditionalFormatting sqref="BL5:BL7 BL10">
    <cfRule type="cellIs" dxfId="1494" priority="1495" stopIfTrue="1" operator="equal">
      <formula>TODAY()</formula>
    </cfRule>
  </conditionalFormatting>
  <conditionalFormatting sqref="BL12 BL15 BL20">
    <cfRule type="cellIs" dxfId="1493" priority="1494" stopIfTrue="1" operator="equal">
      <formula>TODAY()</formula>
    </cfRule>
  </conditionalFormatting>
  <conditionalFormatting sqref="BL18">
    <cfRule type="cellIs" dxfId="1492" priority="1493" stopIfTrue="1" operator="equal">
      <formula>TODAY()</formula>
    </cfRule>
  </conditionalFormatting>
  <conditionalFormatting sqref="BM15 BM12">
    <cfRule type="cellIs" dxfId="1491" priority="1492" stopIfTrue="1" operator="equal">
      <formula>TODAY()</formula>
    </cfRule>
  </conditionalFormatting>
  <conditionalFormatting sqref="BM5:BM7 BM10">
    <cfRule type="cellIs" dxfId="1490" priority="1491" stopIfTrue="1" operator="equal">
      <formula>TODAY()</formula>
    </cfRule>
  </conditionalFormatting>
  <conditionalFormatting sqref="BM12 BM15 BM20">
    <cfRule type="cellIs" dxfId="1489" priority="1490" stopIfTrue="1" operator="equal">
      <formula>TODAY()</formula>
    </cfRule>
  </conditionalFormatting>
  <conditionalFormatting sqref="BM18">
    <cfRule type="cellIs" dxfId="1488" priority="1489" stopIfTrue="1" operator="equal">
      <formula>TODAY()</formula>
    </cfRule>
  </conditionalFormatting>
  <conditionalFormatting sqref="BN15 BN12">
    <cfRule type="cellIs" dxfId="1487" priority="1488" stopIfTrue="1" operator="equal">
      <formula>TODAY()</formula>
    </cfRule>
  </conditionalFormatting>
  <conditionalFormatting sqref="BN5:BN7 BN10">
    <cfRule type="cellIs" dxfId="1486" priority="1487" stopIfTrue="1" operator="equal">
      <formula>TODAY()</formula>
    </cfRule>
  </conditionalFormatting>
  <conditionalFormatting sqref="BN12 BN15 BN20">
    <cfRule type="cellIs" dxfId="1485" priority="1486" stopIfTrue="1" operator="equal">
      <formula>TODAY()</formula>
    </cfRule>
  </conditionalFormatting>
  <conditionalFormatting sqref="BN18">
    <cfRule type="cellIs" dxfId="1484" priority="1485" stopIfTrue="1" operator="equal">
      <formula>TODAY()</formula>
    </cfRule>
  </conditionalFormatting>
  <conditionalFormatting sqref="BO15 BO12">
    <cfRule type="cellIs" dxfId="1483" priority="1484" stopIfTrue="1" operator="equal">
      <formula>TODAY()</formula>
    </cfRule>
  </conditionalFormatting>
  <conditionalFormatting sqref="BO5:BO7 BO10">
    <cfRule type="cellIs" dxfId="1482" priority="1483" stopIfTrue="1" operator="equal">
      <formula>TODAY()</formula>
    </cfRule>
  </conditionalFormatting>
  <conditionalFormatting sqref="BO12 BO15 BO20">
    <cfRule type="cellIs" dxfId="1481" priority="1482" stopIfTrue="1" operator="equal">
      <formula>TODAY()</formula>
    </cfRule>
  </conditionalFormatting>
  <conditionalFormatting sqref="BO18">
    <cfRule type="cellIs" dxfId="1480" priority="1481" stopIfTrue="1" operator="equal">
      <formula>TODAY()</formula>
    </cfRule>
  </conditionalFormatting>
  <conditionalFormatting sqref="BP15 BP12">
    <cfRule type="cellIs" dxfId="1479" priority="1480" stopIfTrue="1" operator="equal">
      <formula>TODAY()</formula>
    </cfRule>
  </conditionalFormatting>
  <conditionalFormatting sqref="BP5:BP7 BP10">
    <cfRule type="cellIs" dxfId="1478" priority="1479" stopIfTrue="1" operator="equal">
      <formula>TODAY()</formula>
    </cfRule>
  </conditionalFormatting>
  <conditionalFormatting sqref="BP12 BP15 BP20">
    <cfRule type="cellIs" dxfId="1477" priority="1478" stopIfTrue="1" operator="equal">
      <formula>TODAY()</formula>
    </cfRule>
  </conditionalFormatting>
  <conditionalFormatting sqref="BP18">
    <cfRule type="cellIs" dxfId="1476" priority="1477" stopIfTrue="1" operator="equal">
      <formula>TODAY()</formula>
    </cfRule>
  </conditionalFormatting>
  <conditionalFormatting sqref="BQ15 BQ12">
    <cfRule type="cellIs" dxfId="1475" priority="1476" stopIfTrue="1" operator="equal">
      <formula>TODAY()</formula>
    </cfRule>
  </conditionalFormatting>
  <conditionalFormatting sqref="BQ5:BQ7 BQ10">
    <cfRule type="cellIs" dxfId="1474" priority="1475" stopIfTrue="1" operator="equal">
      <formula>TODAY()</formula>
    </cfRule>
  </conditionalFormatting>
  <conditionalFormatting sqref="BQ12 BQ15 BQ20">
    <cfRule type="cellIs" dxfId="1473" priority="1474" stopIfTrue="1" operator="equal">
      <formula>TODAY()</formula>
    </cfRule>
  </conditionalFormatting>
  <conditionalFormatting sqref="BQ18">
    <cfRule type="cellIs" dxfId="1472" priority="1473" stopIfTrue="1" operator="equal">
      <formula>TODAY()</formula>
    </cfRule>
  </conditionalFormatting>
  <conditionalFormatting sqref="BR15 BR12">
    <cfRule type="cellIs" dxfId="1471" priority="1472" stopIfTrue="1" operator="equal">
      <formula>TODAY()</formula>
    </cfRule>
  </conditionalFormatting>
  <conditionalFormatting sqref="BR5:BR7 BR10">
    <cfRule type="cellIs" dxfId="1470" priority="1471" stopIfTrue="1" operator="equal">
      <formula>TODAY()</formula>
    </cfRule>
  </conditionalFormatting>
  <conditionalFormatting sqref="BR12 BR15 BR20">
    <cfRule type="cellIs" dxfId="1469" priority="1470" stopIfTrue="1" operator="equal">
      <formula>TODAY()</formula>
    </cfRule>
  </conditionalFormatting>
  <conditionalFormatting sqref="BR18">
    <cfRule type="cellIs" dxfId="1468" priority="1469" stopIfTrue="1" operator="equal">
      <formula>TODAY()</formula>
    </cfRule>
  </conditionalFormatting>
  <conditionalFormatting sqref="BS15 BS12">
    <cfRule type="cellIs" dxfId="1467" priority="1468" stopIfTrue="1" operator="equal">
      <formula>TODAY()</formula>
    </cfRule>
  </conditionalFormatting>
  <conditionalFormatting sqref="BS5:BS7 BS10">
    <cfRule type="cellIs" dxfId="1466" priority="1467" stopIfTrue="1" operator="equal">
      <formula>TODAY()</formula>
    </cfRule>
  </conditionalFormatting>
  <conditionalFormatting sqref="BS12 BS15 BS20">
    <cfRule type="cellIs" dxfId="1465" priority="1466" stopIfTrue="1" operator="equal">
      <formula>TODAY()</formula>
    </cfRule>
  </conditionalFormatting>
  <conditionalFormatting sqref="BS18">
    <cfRule type="cellIs" dxfId="1464" priority="1465" stopIfTrue="1" operator="equal">
      <formula>TODAY()</formula>
    </cfRule>
  </conditionalFormatting>
  <conditionalFormatting sqref="BT15 BT12">
    <cfRule type="cellIs" dxfId="1463" priority="1464" stopIfTrue="1" operator="equal">
      <formula>TODAY()</formula>
    </cfRule>
  </conditionalFormatting>
  <conditionalFormatting sqref="BT5:BT7 BT10">
    <cfRule type="cellIs" dxfId="1462" priority="1463" stopIfTrue="1" operator="equal">
      <formula>TODAY()</formula>
    </cfRule>
  </conditionalFormatting>
  <conditionalFormatting sqref="BT12 BT15 BT20">
    <cfRule type="cellIs" dxfId="1461" priority="1462" stopIfTrue="1" operator="equal">
      <formula>TODAY()</formula>
    </cfRule>
  </conditionalFormatting>
  <conditionalFormatting sqref="BT18">
    <cfRule type="cellIs" dxfId="1460" priority="1461" stopIfTrue="1" operator="equal">
      <formula>TODAY()</formula>
    </cfRule>
  </conditionalFormatting>
  <conditionalFormatting sqref="BU15 BU12">
    <cfRule type="cellIs" dxfId="1459" priority="1460" stopIfTrue="1" operator="equal">
      <formula>TODAY()</formula>
    </cfRule>
  </conditionalFormatting>
  <conditionalFormatting sqref="BU5:BU7 BU10">
    <cfRule type="cellIs" dxfId="1458" priority="1459" stopIfTrue="1" operator="equal">
      <formula>TODAY()</formula>
    </cfRule>
  </conditionalFormatting>
  <conditionalFormatting sqref="BU12 BU15 BU20">
    <cfRule type="cellIs" dxfId="1457" priority="1458" stopIfTrue="1" operator="equal">
      <formula>TODAY()</formula>
    </cfRule>
  </conditionalFormatting>
  <conditionalFormatting sqref="BU18">
    <cfRule type="cellIs" dxfId="1456" priority="1457" stopIfTrue="1" operator="equal">
      <formula>TODAY()</formula>
    </cfRule>
  </conditionalFormatting>
  <conditionalFormatting sqref="BV15 BV12">
    <cfRule type="cellIs" dxfId="1455" priority="1456" stopIfTrue="1" operator="equal">
      <formula>TODAY()</formula>
    </cfRule>
  </conditionalFormatting>
  <conditionalFormatting sqref="BV5:BV7 BV10">
    <cfRule type="cellIs" dxfId="1454" priority="1455" stopIfTrue="1" operator="equal">
      <formula>TODAY()</formula>
    </cfRule>
  </conditionalFormatting>
  <conditionalFormatting sqref="BV12 BV15 BV20">
    <cfRule type="cellIs" dxfId="1453" priority="1454" stopIfTrue="1" operator="equal">
      <formula>TODAY()</formula>
    </cfRule>
  </conditionalFormatting>
  <conditionalFormatting sqref="BV18">
    <cfRule type="cellIs" dxfId="1452" priority="1453" stopIfTrue="1" operator="equal">
      <formula>TODAY()</formula>
    </cfRule>
  </conditionalFormatting>
  <conditionalFormatting sqref="BW15 BW12">
    <cfRule type="cellIs" dxfId="1451" priority="1452" stopIfTrue="1" operator="equal">
      <formula>TODAY()</formula>
    </cfRule>
  </conditionalFormatting>
  <conditionalFormatting sqref="BW5:BW7 BW10">
    <cfRule type="cellIs" dxfId="1450" priority="1451" stopIfTrue="1" operator="equal">
      <formula>TODAY()</formula>
    </cfRule>
  </conditionalFormatting>
  <conditionalFormatting sqref="BW12 BW15 BW20">
    <cfRule type="cellIs" dxfId="1449" priority="1450" stopIfTrue="1" operator="equal">
      <formula>TODAY()</formula>
    </cfRule>
  </conditionalFormatting>
  <conditionalFormatting sqref="BW18">
    <cfRule type="cellIs" dxfId="1448" priority="1449" stopIfTrue="1" operator="equal">
      <formula>TODAY()</formula>
    </cfRule>
  </conditionalFormatting>
  <conditionalFormatting sqref="BX15 BX12">
    <cfRule type="cellIs" dxfId="1447" priority="1448" stopIfTrue="1" operator="equal">
      <formula>TODAY()</formula>
    </cfRule>
  </conditionalFormatting>
  <conditionalFormatting sqref="BX5:BX7 BX10">
    <cfRule type="cellIs" dxfId="1446" priority="1447" stopIfTrue="1" operator="equal">
      <formula>TODAY()</formula>
    </cfRule>
  </conditionalFormatting>
  <conditionalFormatting sqref="BX12 BX15 BX20">
    <cfRule type="cellIs" dxfId="1445" priority="1446" stopIfTrue="1" operator="equal">
      <formula>TODAY()</formula>
    </cfRule>
  </conditionalFormatting>
  <conditionalFormatting sqref="BX18">
    <cfRule type="cellIs" dxfId="1444" priority="1445" stopIfTrue="1" operator="equal">
      <formula>TODAY()</formula>
    </cfRule>
  </conditionalFormatting>
  <conditionalFormatting sqref="BY15 BY12">
    <cfRule type="cellIs" dxfId="1443" priority="1444" stopIfTrue="1" operator="equal">
      <formula>TODAY()</formula>
    </cfRule>
  </conditionalFormatting>
  <conditionalFormatting sqref="BY5:BY7 BY10">
    <cfRule type="cellIs" dxfId="1442" priority="1443" stopIfTrue="1" operator="equal">
      <formula>TODAY()</formula>
    </cfRule>
  </conditionalFormatting>
  <conditionalFormatting sqref="BY12 BY15 BY20">
    <cfRule type="cellIs" dxfId="1441" priority="1442" stopIfTrue="1" operator="equal">
      <formula>TODAY()</formula>
    </cfRule>
  </conditionalFormatting>
  <conditionalFormatting sqref="BY18">
    <cfRule type="cellIs" dxfId="1440" priority="1441" stopIfTrue="1" operator="equal">
      <formula>TODAY()</formula>
    </cfRule>
  </conditionalFormatting>
  <conditionalFormatting sqref="BZ15 BZ12">
    <cfRule type="cellIs" dxfId="1439" priority="1440" stopIfTrue="1" operator="equal">
      <formula>TODAY()</formula>
    </cfRule>
  </conditionalFormatting>
  <conditionalFormatting sqref="BZ5:BZ7 BZ10">
    <cfRule type="cellIs" dxfId="1438" priority="1439" stopIfTrue="1" operator="equal">
      <formula>TODAY()</formula>
    </cfRule>
  </conditionalFormatting>
  <conditionalFormatting sqref="BZ12 BZ15 BZ20">
    <cfRule type="cellIs" dxfId="1437" priority="1438" stopIfTrue="1" operator="equal">
      <formula>TODAY()</formula>
    </cfRule>
  </conditionalFormatting>
  <conditionalFormatting sqref="BZ18">
    <cfRule type="cellIs" dxfId="1436" priority="1437" stopIfTrue="1" operator="equal">
      <formula>TODAY()</formula>
    </cfRule>
  </conditionalFormatting>
  <conditionalFormatting sqref="CA15 CA12">
    <cfRule type="cellIs" dxfId="1435" priority="1436" stopIfTrue="1" operator="equal">
      <formula>TODAY()</formula>
    </cfRule>
  </conditionalFormatting>
  <conditionalFormatting sqref="CA5:CA7 CA10">
    <cfRule type="cellIs" dxfId="1434" priority="1435" stopIfTrue="1" operator="equal">
      <formula>TODAY()</formula>
    </cfRule>
  </conditionalFormatting>
  <conditionalFormatting sqref="CA12 CA15 CA20">
    <cfRule type="cellIs" dxfId="1433" priority="1434" stopIfTrue="1" operator="equal">
      <formula>TODAY()</formula>
    </cfRule>
  </conditionalFormatting>
  <conditionalFormatting sqref="CA18">
    <cfRule type="cellIs" dxfId="1432" priority="1433" stopIfTrue="1" operator="equal">
      <formula>TODAY()</formula>
    </cfRule>
  </conditionalFormatting>
  <conditionalFormatting sqref="CB15 CB12">
    <cfRule type="cellIs" dxfId="1431" priority="1432" stopIfTrue="1" operator="equal">
      <formula>TODAY()</formula>
    </cfRule>
  </conditionalFormatting>
  <conditionalFormatting sqref="CB5:CB7 CB10">
    <cfRule type="cellIs" dxfId="1430" priority="1431" stopIfTrue="1" operator="equal">
      <formula>TODAY()</formula>
    </cfRule>
  </conditionalFormatting>
  <conditionalFormatting sqref="CB12 CB15 CB20">
    <cfRule type="cellIs" dxfId="1429" priority="1430" stopIfTrue="1" operator="equal">
      <formula>TODAY()</formula>
    </cfRule>
  </conditionalFormatting>
  <conditionalFormatting sqref="CB18">
    <cfRule type="cellIs" dxfId="1428" priority="1429" stopIfTrue="1" operator="equal">
      <formula>TODAY()</formula>
    </cfRule>
  </conditionalFormatting>
  <conditionalFormatting sqref="CC15 CC12">
    <cfRule type="cellIs" dxfId="1427" priority="1428" stopIfTrue="1" operator="equal">
      <formula>TODAY()</formula>
    </cfRule>
  </conditionalFormatting>
  <conditionalFormatting sqref="CC5:CC7 CC10">
    <cfRule type="cellIs" dxfId="1426" priority="1427" stopIfTrue="1" operator="equal">
      <formula>TODAY()</formula>
    </cfRule>
  </conditionalFormatting>
  <conditionalFormatting sqref="CC12 CC15 CC20">
    <cfRule type="cellIs" dxfId="1425" priority="1426" stopIfTrue="1" operator="equal">
      <formula>TODAY()</formula>
    </cfRule>
  </conditionalFormatting>
  <conditionalFormatting sqref="CC18">
    <cfRule type="cellIs" dxfId="1424" priority="1425" stopIfTrue="1" operator="equal">
      <formula>TODAY()</formula>
    </cfRule>
  </conditionalFormatting>
  <conditionalFormatting sqref="CD15 CD12">
    <cfRule type="cellIs" dxfId="1423" priority="1424" stopIfTrue="1" operator="equal">
      <formula>TODAY()</formula>
    </cfRule>
  </conditionalFormatting>
  <conditionalFormatting sqref="CD5:CD7 CD10">
    <cfRule type="cellIs" dxfId="1422" priority="1423" stopIfTrue="1" operator="equal">
      <formula>TODAY()</formula>
    </cfRule>
  </conditionalFormatting>
  <conditionalFormatting sqref="CD12 CD15 CD20">
    <cfRule type="cellIs" dxfId="1421" priority="1422" stopIfTrue="1" operator="equal">
      <formula>TODAY()</formula>
    </cfRule>
  </conditionalFormatting>
  <conditionalFormatting sqref="CD18">
    <cfRule type="cellIs" dxfId="1420" priority="1421" stopIfTrue="1" operator="equal">
      <formula>TODAY()</formula>
    </cfRule>
  </conditionalFormatting>
  <conditionalFormatting sqref="CE15 CE12">
    <cfRule type="cellIs" dxfId="1419" priority="1420" stopIfTrue="1" operator="equal">
      <formula>TODAY()</formula>
    </cfRule>
  </conditionalFormatting>
  <conditionalFormatting sqref="CE5:CE7 CE10">
    <cfRule type="cellIs" dxfId="1418" priority="1419" stopIfTrue="1" operator="equal">
      <formula>TODAY()</formula>
    </cfRule>
  </conditionalFormatting>
  <conditionalFormatting sqref="CE12 CE15 CE20">
    <cfRule type="cellIs" dxfId="1417" priority="1418" stopIfTrue="1" operator="equal">
      <formula>TODAY()</formula>
    </cfRule>
  </conditionalFormatting>
  <conditionalFormatting sqref="CE18">
    <cfRule type="cellIs" dxfId="1416" priority="1417" stopIfTrue="1" operator="equal">
      <formula>TODAY()</formula>
    </cfRule>
  </conditionalFormatting>
  <conditionalFormatting sqref="CF15 CF12">
    <cfRule type="cellIs" dxfId="1415" priority="1416" stopIfTrue="1" operator="equal">
      <formula>TODAY()</formula>
    </cfRule>
  </conditionalFormatting>
  <conditionalFormatting sqref="CF5:CF7 CF10">
    <cfRule type="cellIs" dxfId="1414" priority="1415" stopIfTrue="1" operator="equal">
      <formula>TODAY()</formula>
    </cfRule>
  </conditionalFormatting>
  <conditionalFormatting sqref="CF12 CF15 CF20">
    <cfRule type="cellIs" dxfId="1413" priority="1414" stopIfTrue="1" operator="equal">
      <formula>TODAY()</formula>
    </cfRule>
  </conditionalFormatting>
  <conditionalFormatting sqref="CF18">
    <cfRule type="cellIs" dxfId="1412" priority="1413" stopIfTrue="1" operator="equal">
      <formula>TODAY()</formula>
    </cfRule>
  </conditionalFormatting>
  <conditionalFormatting sqref="CG15 CG12">
    <cfRule type="cellIs" dxfId="1411" priority="1412" stopIfTrue="1" operator="equal">
      <formula>TODAY()</formula>
    </cfRule>
  </conditionalFormatting>
  <conditionalFormatting sqref="CG5:CG7 CG10">
    <cfRule type="cellIs" dxfId="1410" priority="1411" stopIfTrue="1" operator="equal">
      <formula>TODAY()</formula>
    </cfRule>
  </conditionalFormatting>
  <conditionalFormatting sqref="CG12 CG15 CG20">
    <cfRule type="cellIs" dxfId="1409" priority="1410" stopIfTrue="1" operator="equal">
      <formula>TODAY()</formula>
    </cfRule>
  </conditionalFormatting>
  <conditionalFormatting sqref="CG18">
    <cfRule type="cellIs" dxfId="1408" priority="1409" stopIfTrue="1" operator="equal">
      <formula>TODAY()</formula>
    </cfRule>
  </conditionalFormatting>
  <conditionalFormatting sqref="CH15 CH12">
    <cfRule type="cellIs" dxfId="1407" priority="1408" stopIfTrue="1" operator="equal">
      <formula>TODAY()</formula>
    </cfRule>
  </conditionalFormatting>
  <conditionalFormatting sqref="CH5:CH7 CH10">
    <cfRule type="cellIs" dxfId="1406" priority="1407" stopIfTrue="1" operator="equal">
      <formula>TODAY()</formula>
    </cfRule>
  </conditionalFormatting>
  <conditionalFormatting sqref="CH12 CH15 CH20">
    <cfRule type="cellIs" dxfId="1405" priority="1406" stopIfTrue="1" operator="equal">
      <formula>TODAY()</formula>
    </cfRule>
  </conditionalFormatting>
  <conditionalFormatting sqref="CH18">
    <cfRule type="cellIs" dxfId="1404" priority="1405" stopIfTrue="1" operator="equal">
      <formula>TODAY()</formula>
    </cfRule>
  </conditionalFormatting>
  <conditionalFormatting sqref="CI15 CI12">
    <cfRule type="cellIs" dxfId="1403" priority="1404" stopIfTrue="1" operator="equal">
      <formula>TODAY()</formula>
    </cfRule>
  </conditionalFormatting>
  <conditionalFormatting sqref="CI5:CI7 CI10">
    <cfRule type="cellIs" dxfId="1402" priority="1403" stopIfTrue="1" operator="equal">
      <formula>TODAY()</formula>
    </cfRule>
  </conditionalFormatting>
  <conditionalFormatting sqref="CI12 CI15 CI20">
    <cfRule type="cellIs" dxfId="1401" priority="1402" stopIfTrue="1" operator="equal">
      <formula>TODAY()</formula>
    </cfRule>
  </conditionalFormatting>
  <conditionalFormatting sqref="CI18">
    <cfRule type="cellIs" dxfId="1400" priority="1401" stopIfTrue="1" operator="equal">
      <formula>TODAY()</formula>
    </cfRule>
  </conditionalFormatting>
  <conditionalFormatting sqref="CJ15 CJ12">
    <cfRule type="cellIs" dxfId="1399" priority="1400" stopIfTrue="1" operator="equal">
      <formula>TODAY()</formula>
    </cfRule>
  </conditionalFormatting>
  <conditionalFormatting sqref="CJ5:CJ7 CJ10">
    <cfRule type="cellIs" dxfId="1398" priority="1399" stopIfTrue="1" operator="equal">
      <formula>TODAY()</formula>
    </cfRule>
  </conditionalFormatting>
  <conditionalFormatting sqref="CJ12 CJ15 CJ20">
    <cfRule type="cellIs" dxfId="1397" priority="1398" stopIfTrue="1" operator="equal">
      <formula>TODAY()</formula>
    </cfRule>
  </conditionalFormatting>
  <conditionalFormatting sqref="CJ18">
    <cfRule type="cellIs" dxfId="1396" priority="1397" stopIfTrue="1" operator="equal">
      <formula>TODAY()</formula>
    </cfRule>
  </conditionalFormatting>
  <conditionalFormatting sqref="CK15 CK12">
    <cfRule type="cellIs" dxfId="1395" priority="1396" stopIfTrue="1" operator="equal">
      <formula>TODAY()</formula>
    </cfRule>
  </conditionalFormatting>
  <conditionalFormatting sqref="CK5:CK7 CK10">
    <cfRule type="cellIs" dxfId="1394" priority="1395" stopIfTrue="1" operator="equal">
      <formula>TODAY()</formula>
    </cfRule>
  </conditionalFormatting>
  <conditionalFormatting sqref="CK12 CK15 CK20">
    <cfRule type="cellIs" dxfId="1393" priority="1394" stopIfTrue="1" operator="equal">
      <formula>TODAY()</formula>
    </cfRule>
  </conditionalFormatting>
  <conditionalFormatting sqref="CK18">
    <cfRule type="cellIs" dxfId="1392" priority="1393" stopIfTrue="1" operator="equal">
      <formula>TODAY()</formula>
    </cfRule>
  </conditionalFormatting>
  <conditionalFormatting sqref="CL15 CL12">
    <cfRule type="cellIs" dxfId="1391" priority="1392" stopIfTrue="1" operator="equal">
      <formula>TODAY()</formula>
    </cfRule>
  </conditionalFormatting>
  <conditionalFormatting sqref="CL5:CL7 CL10">
    <cfRule type="cellIs" dxfId="1390" priority="1391" stopIfTrue="1" operator="equal">
      <formula>TODAY()</formula>
    </cfRule>
  </conditionalFormatting>
  <conditionalFormatting sqref="CL12 CL15 CL20">
    <cfRule type="cellIs" dxfId="1389" priority="1390" stopIfTrue="1" operator="equal">
      <formula>TODAY()</formula>
    </cfRule>
  </conditionalFormatting>
  <conditionalFormatting sqref="CL18">
    <cfRule type="cellIs" dxfId="1388" priority="1389" stopIfTrue="1" operator="equal">
      <formula>TODAY()</formula>
    </cfRule>
  </conditionalFormatting>
  <conditionalFormatting sqref="CM15 CM12">
    <cfRule type="cellIs" dxfId="1387" priority="1388" stopIfTrue="1" operator="equal">
      <formula>TODAY()</formula>
    </cfRule>
  </conditionalFormatting>
  <conditionalFormatting sqref="CM5:CM7 CM10">
    <cfRule type="cellIs" dxfId="1386" priority="1387" stopIfTrue="1" operator="equal">
      <formula>TODAY()</formula>
    </cfRule>
  </conditionalFormatting>
  <conditionalFormatting sqref="CM12 CM15 CM20">
    <cfRule type="cellIs" dxfId="1385" priority="1386" stopIfTrue="1" operator="equal">
      <formula>TODAY()</formula>
    </cfRule>
  </conditionalFormatting>
  <conditionalFormatting sqref="CM18">
    <cfRule type="cellIs" dxfId="1384" priority="1385" stopIfTrue="1" operator="equal">
      <formula>TODAY()</formula>
    </cfRule>
  </conditionalFormatting>
  <conditionalFormatting sqref="CN15 CN12">
    <cfRule type="cellIs" dxfId="1383" priority="1384" stopIfTrue="1" operator="equal">
      <formula>TODAY()</formula>
    </cfRule>
  </conditionalFormatting>
  <conditionalFormatting sqref="CN5:CN7 CN10">
    <cfRule type="cellIs" dxfId="1382" priority="1383" stopIfTrue="1" operator="equal">
      <formula>TODAY()</formula>
    </cfRule>
  </conditionalFormatting>
  <conditionalFormatting sqref="CN12 CN15 CN20">
    <cfRule type="cellIs" dxfId="1381" priority="1382" stopIfTrue="1" operator="equal">
      <formula>TODAY()</formula>
    </cfRule>
  </conditionalFormatting>
  <conditionalFormatting sqref="CN18">
    <cfRule type="cellIs" dxfId="1380" priority="1381" stopIfTrue="1" operator="equal">
      <formula>TODAY()</formula>
    </cfRule>
  </conditionalFormatting>
  <conditionalFormatting sqref="CO15 CO12">
    <cfRule type="cellIs" dxfId="1379" priority="1380" stopIfTrue="1" operator="equal">
      <formula>TODAY()</formula>
    </cfRule>
  </conditionalFormatting>
  <conditionalFormatting sqref="CO5:CO7 CO10">
    <cfRule type="cellIs" dxfId="1378" priority="1379" stopIfTrue="1" operator="equal">
      <formula>TODAY()</formula>
    </cfRule>
  </conditionalFormatting>
  <conditionalFormatting sqref="CO12 CO15 CO20">
    <cfRule type="cellIs" dxfId="1377" priority="1378" stopIfTrue="1" operator="equal">
      <formula>TODAY()</formula>
    </cfRule>
  </conditionalFormatting>
  <conditionalFormatting sqref="CO18">
    <cfRule type="cellIs" dxfId="1376" priority="1377" stopIfTrue="1" operator="equal">
      <formula>TODAY()</formula>
    </cfRule>
  </conditionalFormatting>
  <conditionalFormatting sqref="CP15 CP12">
    <cfRule type="cellIs" dxfId="1375" priority="1376" stopIfTrue="1" operator="equal">
      <formula>TODAY()</formula>
    </cfRule>
  </conditionalFormatting>
  <conditionalFormatting sqref="CP5:CP7 CP10">
    <cfRule type="cellIs" dxfId="1374" priority="1375" stopIfTrue="1" operator="equal">
      <formula>TODAY()</formula>
    </cfRule>
  </conditionalFormatting>
  <conditionalFormatting sqref="CP12 CP15 CP20">
    <cfRule type="cellIs" dxfId="1373" priority="1374" stopIfTrue="1" operator="equal">
      <formula>TODAY()</formula>
    </cfRule>
  </conditionalFormatting>
  <conditionalFormatting sqref="CP18">
    <cfRule type="cellIs" dxfId="1372" priority="1373" stopIfTrue="1" operator="equal">
      <formula>TODAY()</formula>
    </cfRule>
  </conditionalFormatting>
  <conditionalFormatting sqref="CQ15 CQ12">
    <cfRule type="cellIs" dxfId="1371" priority="1372" stopIfTrue="1" operator="equal">
      <formula>TODAY()</formula>
    </cfRule>
  </conditionalFormatting>
  <conditionalFormatting sqref="CQ5:CQ7 CQ10">
    <cfRule type="cellIs" dxfId="1370" priority="1371" stopIfTrue="1" operator="equal">
      <formula>TODAY()</formula>
    </cfRule>
  </conditionalFormatting>
  <conditionalFormatting sqref="CQ12 CQ15 CQ20">
    <cfRule type="cellIs" dxfId="1369" priority="1370" stopIfTrue="1" operator="equal">
      <formula>TODAY()</formula>
    </cfRule>
  </conditionalFormatting>
  <conditionalFormatting sqref="CQ18">
    <cfRule type="cellIs" dxfId="1368" priority="1369" stopIfTrue="1" operator="equal">
      <formula>TODAY()</formula>
    </cfRule>
  </conditionalFormatting>
  <conditionalFormatting sqref="CR15 CR12">
    <cfRule type="cellIs" dxfId="1367" priority="1368" stopIfTrue="1" operator="equal">
      <formula>TODAY()</formula>
    </cfRule>
  </conditionalFormatting>
  <conditionalFormatting sqref="CR5:CR7 CR10">
    <cfRule type="cellIs" dxfId="1366" priority="1367" stopIfTrue="1" operator="equal">
      <formula>TODAY()</formula>
    </cfRule>
  </conditionalFormatting>
  <conditionalFormatting sqref="CR12 CR15 CR20">
    <cfRule type="cellIs" dxfId="1365" priority="1366" stopIfTrue="1" operator="equal">
      <formula>TODAY()</formula>
    </cfRule>
  </conditionalFormatting>
  <conditionalFormatting sqref="CR18">
    <cfRule type="cellIs" dxfId="1364" priority="1365" stopIfTrue="1" operator="equal">
      <formula>TODAY()</formula>
    </cfRule>
  </conditionalFormatting>
  <conditionalFormatting sqref="CS15 CS12">
    <cfRule type="cellIs" dxfId="1363" priority="1364" stopIfTrue="1" operator="equal">
      <formula>TODAY()</formula>
    </cfRule>
  </conditionalFormatting>
  <conditionalFormatting sqref="CS5:CS7 CS10">
    <cfRule type="cellIs" dxfId="1362" priority="1363" stopIfTrue="1" operator="equal">
      <formula>TODAY()</formula>
    </cfRule>
  </conditionalFormatting>
  <conditionalFormatting sqref="CS12 CS15 CS20">
    <cfRule type="cellIs" dxfId="1361" priority="1362" stopIfTrue="1" operator="equal">
      <formula>TODAY()</formula>
    </cfRule>
  </conditionalFormatting>
  <conditionalFormatting sqref="CS18">
    <cfRule type="cellIs" dxfId="1360" priority="1361" stopIfTrue="1" operator="equal">
      <formula>TODAY()</formula>
    </cfRule>
  </conditionalFormatting>
  <conditionalFormatting sqref="CT15 CT12">
    <cfRule type="cellIs" dxfId="1359" priority="1360" stopIfTrue="1" operator="equal">
      <formula>TODAY()</formula>
    </cfRule>
  </conditionalFormatting>
  <conditionalFormatting sqref="CT5:CT7 CT10">
    <cfRule type="cellIs" dxfId="1358" priority="1359" stopIfTrue="1" operator="equal">
      <formula>TODAY()</formula>
    </cfRule>
  </conditionalFormatting>
  <conditionalFormatting sqref="CT12 CT15 CT20">
    <cfRule type="cellIs" dxfId="1357" priority="1358" stopIfTrue="1" operator="equal">
      <formula>TODAY()</formula>
    </cfRule>
  </conditionalFormatting>
  <conditionalFormatting sqref="CT18">
    <cfRule type="cellIs" dxfId="1356" priority="1357" stopIfTrue="1" operator="equal">
      <formula>TODAY()</formula>
    </cfRule>
  </conditionalFormatting>
  <conditionalFormatting sqref="CU15 CU12">
    <cfRule type="cellIs" dxfId="1355" priority="1356" stopIfTrue="1" operator="equal">
      <formula>TODAY()</formula>
    </cfRule>
  </conditionalFormatting>
  <conditionalFormatting sqref="CU5:CU7 CU10">
    <cfRule type="cellIs" dxfId="1354" priority="1355" stopIfTrue="1" operator="equal">
      <formula>TODAY()</formula>
    </cfRule>
  </conditionalFormatting>
  <conditionalFormatting sqref="CU12 CU15 CU20">
    <cfRule type="cellIs" dxfId="1353" priority="1354" stopIfTrue="1" operator="equal">
      <formula>TODAY()</formula>
    </cfRule>
  </conditionalFormatting>
  <conditionalFormatting sqref="CU18">
    <cfRule type="cellIs" dxfId="1352" priority="1353" stopIfTrue="1" operator="equal">
      <formula>TODAY()</formula>
    </cfRule>
  </conditionalFormatting>
  <conditionalFormatting sqref="CV15 CV12">
    <cfRule type="cellIs" dxfId="1351" priority="1352" stopIfTrue="1" operator="equal">
      <formula>TODAY()</formula>
    </cfRule>
  </conditionalFormatting>
  <conditionalFormatting sqref="CV5:CV7 CV10">
    <cfRule type="cellIs" dxfId="1350" priority="1351" stopIfTrue="1" operator="equal">
      <formula>TODAY()</formula>
    </cfRule>
  </conditionalFormatting>
  <conditionalFormatting sqref="CV12 CV15 CV20">
    <cfRule type="cellIs" dxfId="1349" priority="1350" stopIfTrue="1" operator="equal">
      <formula>TODAY()</formula>
    </cfRule>
  </conditionalFormatting>
  <conditionalFormatting sqref="CV18">
    <cfRule type="cellIs" dxfId="1348" priority="1349" stopIfTrue="1" operator="equal">
      <formula>TODAY()</formula>
    </cfRule>
  </conditionalFormatting>
  <conditionalFormatting sqref="CW15 CW12">
    <cfRule type="cellIs" dxfId="1347" priority="1348" stopIfTrue="1" operator="equal">
      <formula>TODAY()</formula>
    </cfRule>
  </conditionalFormatting>
  <conditionalFormatting sqref="CW5:CW7 CW10">
    <cfRule type="cellIs" dxfId="1346" priority="1347" stopIfTrue="1" operator="equal">
      <formula>TODAY()</formula>
    </cfRule>
  </conditionalFormatting>
  <conditionalFormatting sqref="CW12 CW15 CW20">
    <cfRule type="cellIs" dxfId="1345" priority="1346" stopIfTrue="1" operator="equal">
      <formula>TODAY()</formula>
    </cfRule>
  </conditionalFormatting>
  <conditionalFormatting sqref="CW18">
    <cfRule type="cellIs" dxfId="1344" priority="1345" stopIfTrue="1" operator="equal">
      <formula>TODAY()</formula>
    </cfRule>
  </conditionalFormatting>
  <conditionalFormatting sqref="CX15 CX12">
    <cfRule type="cellIs" dxfId="1343" priority="1344" stopIfTrue="1" operator="equal">
      <formula>TODAY()</formula>
    </cfRule>
  </conditionalFormatting>
  <conditionalFormatting sqref="CX5:CX7 CX10">
    <cfRule type="cellIs" dxfId="1342" priority="1343" stopIfTrue="1" operator="equal">
      <formula>TODAY()</formula>
    </cfRule>
  </conditionalFormatting>
  <conditionalFormatting sqref="CX12 CX15 CX20">
    <cfRule type="cellIs" dxfId="1341" priority="1342" stopIfTrue="1" operator="equal">
      <formula>TODAY()</formula>
    </cfRule>
  </conditionalFormatting>
  <conditionalFormatting sqref="CX18">
    <cfRule type="cellIs" dxfId="1340" priority="1341" stopIfTrue="1" operator="equal">
      <formula>TODAY()</formula>
    </cfRule>
  </conditionalFormatting>
  <conditionalFormatting sqref="CY15 CY12">
    <cfRule type="cellIs" dxfId="1339" priority="1340" stopIfTrue="1" operator="equal">
      <formula>TODAY()</formula>
    </cfRule>
  </conditionalFormatting>
  <conditionalFormatting sqref="CY5:CY7 CY10">
    <cfRule type="cellIs" dxfId="1338" priority="1339" stopIfTrue="1" operator="equal">
      <formula>TODAY()</formula>
    </cfRule>
  </conditionalFormatting>
  <conditionalFormatting sqref="CY12 CY15 CY20">
    <cfRule type="cellIs" dxfId="1337" priority="1338" stopIfTrue="1" operator="equal">
      <formula>TODAY()</formula>
    </cfRule>
  </conditionalFormatting>
  <conditionalFormatting sqref="CY18">
    <cfRule type="cellIs" dxfId="1336" priority="1337" stopIfTrue="1" operator="equal">
      <formula>TODAY()</formula>
    </cfRule>
  </conditionalFormatting>
  <conditionalFormatting sqref="CZ15 CZ12">
    <cfRule type="cellIs" dxfId="1335" priority="1336" stopIfTrue="1" operator="equal">
      <formula>TODAY()</formula>
    </cfRule>
  </conditionalFormatting>
  <conditionalFormatting sqref="CZ5:CZ7 CZ10">
    <cfRule type="cellIs" dxfId="1334" priority="1335" stopIfTrue="1" operator="equal">
      <formula>TODAY()</formula>
    </cfRule>
  </conditionalFormatting>
  <conditionalFormatting sqref="CZ12 CZ15 CZ20">
    <cfRule type="cellIs" dxfId="1333" priority="1334" stopIfTrue="1" operator="equal">
      <formula>TODAY()</formula>
    </cfRule>
  </conditionalFormatting>
  <conditionalFormatting sqref="CZ18">
    <cfRule type="cellIs" dxfId="1332" priority="1333" stopIfTrue="1" operator="equal">
      <formula>TODAY()</formula>
    </cfRule>
  </conditionalFormatting>
  <conditionalFormatting sqref="DA15 DA12">
    <cfRule type="cellIs" dxfId="1331" priority="1332" stopIfTrue="1" operator="equal">
      <formula>TODAY()</formula>
    </cfRule>
  </conditionalFormatting>
  <conditionalFormatting sqref="DA5:DA7 DA10">
    <cfRule type="cellIs" dxfId="1330" priority="1331" stopIfTrue="1" operator="equal">
      <formula>TODAY()</formula>
    </cfRule>
  </conditionalFormatting>
  <conditionalFormatting sqref="DA12 DA15 DA20">
    <cfRule type="cellIs" dxfId="1329" priority="1330" stopIfTrue="1" operator="equal">
      <formula>TODAY()</formula>
    </cfRule>
  </conditionalFormatting>
  <conditionalFormatting sqref="DA18">
    <cfRule type="cellIs" dxfId="1328" priority="1329" stopIfTrue="1" operator="equal">
      <formula>TODAY()</formula>
    </cfRule>
  </conditionalFormatting>
  <conditionalFormatting sqref="DB15 DB12">
    <cfRule type="cellIs" dxfId="1327" priority="1328" stopIfTrue="1" operator="equal">
      <formula>TODAY()</formula>
    </cfRule>
  </conditionalFormatting>
  <conditionalFormatting sqref="DB5:DB7 DB10">
    <cfRule type="cellIs" dxfId="1326" priority="1327" stopIfTrue="1" operator="equal">
      <formula>TODAY()</formula>
    </cfRule>
  </conditionalFormatting>
  <conditionalFormatting sqref="DB12 DB15 DB20">
    <cfRule type="cellIs" dxfId="1325" priority="1326" stopIfTrue="1" operator="equal">
      <formula>TODAY()</formula>
    </cfRule>
  </conditionalFormatting>
  <conditionalFormatting sqref="DB18">
    <cfRule type="cellIs" dxfId="1324" priority="1325" stopIfTrue="1" operator="equal">
      <formula>TODAY()</formula>
    </cfRule>
  </conditionalFormatting>
  <conditionalFormatting sqref="DC15 DC12">
    <cfRule type="cellIs" dxfId="1323" priority="1324" stopIfTrue="1" operator="equal">
      <formula>TODAY()</formula>
    </cfRule>
  </conditionalFormatting>
  <conditionalFormatting sqref="DC5:DC7 DC10">
    <cfRule type="cellIs" dxfId="1322" priority="1323" stopIfTrue="1" operator="equal">
      <formula>TODAY()</formula>
    </cfRule>
  </conditionalFormatting>
  <conditionalFormatting sqref="DC12 DC15 DC20">
    <cfRule type="cellIs" dxfId="1321" priority="1322" stopIfTrue="1" operator="equal">
      <formula>TODAY()</formula>
    </cfRule>
  </conditionalFormatting>
  <conditionalFormatting sqref="DC18">
    <cfRule type="cellIs" dxfId="1320" priority="1321" stopIfTrue="1" operator="equal">
      <formula>TODAY()</formula>
    </cfRule>
  </conditionalFormatting>
  <conditionalFormatting sqref="DD15 DD12">
    <cfRule type="cellIs" dxfId="1319" priority="1320" stopIfTrue="1" operator="equal">
      <formula>TODAY()</formula>
    </cfRule>
  </conditionalFormatting>
  <conditionalFormatting sqref="DD5:DD7 DD10">
    <cfRule type="cellIs" dxfId="1318" priority="1319" stopIfTrue="1" operator="equal">
      <formula>TODAY()</formula>
    </cfRule>
  </conditionalFormatting>
  <conditionalFormatting sqref="DD12 DD15 DD20">
    <cfRule type="cellIs" dxfId="1317" priority="1318" stopIfTrue="1" operator="equal">
      <formula>TODAY()</formula>
    </cfRule>
  </conditionalFormatting>
  <conditionalFormatting sqref="DD18">
    <cfRule type="cellIs" dxfId="1316" priority="1317" stopIfTrue="1" operator="equal">
      <formula>TODAY()</formula>
    </cfRule>
  </conditionalFormatting>
  <conditionalFormatting sqref="DE15 DE12">
    <cfRule type="cellIs" dxfId="1315" priority="1316" stopIfTrue="1" operator="equal">
      <formula>TODAY()</formula>
    </cfRule>
  </conditionalFormatting>
  <conditionalFormatting sqref="DE5:DE7 DE10">
    <cfRule type="cellIs" dxfId="1314" priority="1315" stopIfTrue="1" operator="equal">
      <formula>TODAY()</formula>
    </cfRule>
  </conditionalFormatting>
  <conditionalFormatting sqref="DE12 DE15 DE20">
    <cfRule type="cellIs" dxfId="1313" priority="1314" stopIfTrue="1" operator="equal">
      <formula>TODAY()</formula>
    </cfRule>
  </conditionalFormatting>
  <conditionalFormatting sqref="DE18">
    <cfRule type="cellIs" dxfId="1312" priority="1313" stopIfTrue="1" operator="equal">
      <formula>TODAY()</formula>
    </cfRule>
  </conditionalFormatting>
  <conditionalFormatting sqref="DF15 DF12">
    <cfRule type="cellIs" dxfId="1311" priority="1312" stopIfTrue="1" operator="equal">
      <formula>TODAY()</formula>
    </cfRule>
  </conditionalFormatting>
  <conditionalFormatting sqref="DF5:DF7 DF10">
    <cfRule type="cellIs" dxfId="1310" priority="1311" stopIfTrue="1" operator="equal">
      <formula>TODAY()</formula>
    </cfRule>
  </conditionalFormatting>
  <conditionalFormatting sqref="DF12 DF15 DF20">
    <cfRule type="cellIs" dxfId="1309" priority="1310" stopIfTrue="1" operator="equal">
      <formula>TODAY()</formula>
    </cfRule>
  </conditionalFormatting>
  <conditionalFormatting sqref="DF18">
    <cfRule type="cellIs" dxfId="1308" priority="1309" stopIfTrue="1" operator="equal">
      <formula>TODAY()</formula>
    </cfRule>
  </conditionalFormatting>
  <conditionalFormatting sqref="DG15 DG12">
    <cfRule type="cellIs" dxfId="1307" priority="1308" stopIfTrue="1" operator="equal">
      <formula>TODAY()</formula>
    </cfRule>
  </conditionalFormatting>
  <conditionalFormatting sqref="DG5:DG7 DG10">
    <cfRule type="cellIs" dxfId="1306" priority="1307" stopIfTrue="1" operator="equal">
      <formula>TODAY()</formula>
    </cfRule>
  </conditionalFormatting>
  <conditionalFormatting sqref="DG12 DG15 DG20">
    <cfRule type="cellIs" dxfId="1305" priority="1306" stopIfTrue="1" operator="equal">
      <formula>TODAY()</formula>
    </cfRule>
  </conditionalFormatting>
  <conditionalFormatting sqref="DG18">
    <cfRule type="cellIs" dxfId="1304" priority="1305" stopIfTrue="1" operator="equal">
      <formula>TODAY()</formula>
    </cfRule>
  </conditionalFormatting>
  <conditionalFormatting sqref="DH15 DH12">
    <cfRule type="cellIs" dxfId="1303" priority="1304" stopIfTrue="1" operator="equal">
      <formula>TODAY()</formula>
    </cfRule>
  </conditionalFormatting>
  <conditionalFormatting sqref="DH5:DH7 DH10">
    <cfRule type="cellIs" dxfId="1302" priority="1303" stopIfTrue="1" operator="equal">
      <formula>TODAY()</formula>
    </cfRule>
  </conditionalFormatting>
  <conditionalFormatting sqref="DH12 DH15 DH20">
    <cfRule type="cellIs" dxfId="1301" priority="1302" stopIfTrue="1" operator="equal">
      <formula>TODAY()</formula>
    </cfRule>
  </conditionalFormatting>
  <conditionalFormatting sqref="DH18">
    <cfRule type="cellIs" dxfId="1300" priority="1301" stopIfTrue="1" operator="equal">
      <formula>TODAY()</formula>
    </cfRule>
  </conditionalFormatting>
  <conditionalFormatting sqref="DI15 DI12">
    <cfRule type="cellIs" dxfId="1299" priority="1300" stopIfTrue="1" operator="equal">
      <formula>TODAY()</formula>
    </cfRule>
  </conditionalFormatting>
  <conditionalFormatting sqref="DI5:DI7 DI10">
    <cfRule type="cellIs" dxfId="1298" priority="1299" stopIfTrue="1" operator="equal">
      <formula>TODAY()</formula>
    </cfRule>
  </conditionalFormatting>
  <conditionalFormatting sqref="DI12 DI15 DI20">
    <cfRule type="cellIs" dxfId="1297" priority="1298" stopIfTrue="1" operator="equal">
      <formula>TODAY()</formula>
    </cfRule>
  </conditionalFormatting>
  <conditionalFormatting sqref="DI18">
    <cfRule type="cellIs" dxfId="1296" priority="1297" stopIfTrue="1" operator="equal">
      <formula>TODAY()</formula>
    </cfRule>
  </conditionalFormatting>
  <conditionalFormatting sqref="DJ15 DJ12">
    <cfRule type="cellIs" dxfId="1295" priority="1296" stopIfTrue="1" operator="equal">
      <formula>TODAY()</formula>
    </cfRule>
  </conditionalFormatting>
  <conditionalFormatting sqref="DJ5:DJ7 DJ10">
    <cfRule type="cellIs" dxfId="1294" priority="1295" stopIfTrue="1" operator="equal">
      <formula>TODAY()</formula>
    </cfRule>
  </conditionalFormatting>
  <conditionalFormatting sqref="DJ12 DJ15 DJ20">
    <cfRule type="cellIs" dxfId="1293" priority="1294" stopIfTrue="1" operator="equal">
      <formula>TODAY()</formula>
    </cfRule>
  </conditionalFormatting>
  <conditionalFormatting sqref="DJ18">
    <cfRule type="cellIs" dxfId="1292" priority="1293" stopIfTrue="1" operator="equal">
      <formula>TODAY()</formula>
    </cfRule>
  </conditionalFormatting>
  <conditionalFormatting sqref="DK15 DK12">
    <cfRule type="cellIs" dxfId="1291" priority="1292" stopIfTrue="1" operator="equal">
      <formula>TODAY()</formula>
    </cfRule>
  </conditionalFormatting>
  <conditionalFormatting sqref="DK5:DK7 DK10">
    <cfRule type="cellIs" dxfId="1290" priority="1291" stopIfTrue="1" operator="equal">
      <formula>TODAY()</formula>
    </cfRule>
  </conditionalFormatting>
  <conditionalFormatting sqref="DK12 DK15 DK20">
    <cfRule type="cellIs" dxfId="1289" priority="1290" stopIfTrue="1" operator="equal">
      <formula>TODAY()</formula>
    </cfRule>
  </conditionalFormatting>
  <conditionalFormatting sqref="DK18">
    <cfRule type="cellIs" dxfId="1288" priority="1289" stopIfTrue="1" operator="equal">
      <formula>TODAY()</formula>
    </cfRule>
  </conditionalFormatting>
  <conditionalFormatting sqref="DL15 DL12">
    <cfRule type="cellIs" dxfId="1287" priority="1288" stopIfTrue="1" operator="equal">
      <formula>TODAY()</formula>
    </cfRule>
  </conditionalFormatting>
  <conditionalFormatting sqref="DL5:DL7 DL10">
    <cfRule type="cellIs" dxfId="1286" priority="1287" stopIfTrue="1" operator="equal">
      <formula>TODAY()</formula>
    </cfRule>
  </conditionalFormatting>
  <conditionalFormatting sqref="DL12 DL15 DL20">
    <cfRule type="cellIs" dxfId="1285" priority="1286" stopIfTrue="1" operator="equal">
      <formula>TODAY()</formula>
    </cfRule>
  </conditionalFormatting>
  <conditionalFormatting sqref="DL18">
    <cfRule type="cellIs" dxfId="1284" priority="1285" stopIfTrue="1" operator="equal">
      <formula>TODAY()</formula>
    </cfRule>
  </conditionalFormatting>
  <conditionalFormatting sqref="DM15 DM12">
    <cfRule type="cellIs" dxfId="1283" priority="1284" stopIfTrue="1" operator="equal">
      <formula>TODAY()</formula>
    </cfRule>
  </conditionalFormatting>
  <conditionalFormatting sqref="DM5:DM7 DM10">
    <cfRule type="cellIs" dxfId="1282" priority="1283" stopIfTrue="1" operator="equal">
      <formula>TODAY()</formula>
    </cfRule>
  </conditionalFormatting>
  <conditionalFormatting sqref="DM12 DM15 DM20">
    <cfRule type="cellIs" dxfId="1281" priority="1282" stopIfTrue="1" operator="equal">
      <formula>TODAY()</formula>
    </cfRule>
  </conditionalFormatting>
  <conditionalFormatting sqref="DM18">
    <cfRule type="cellIs" dxfId="1280" priority="1281" stopIfTrue="1" operator="equal">
      <formula>TODAY()</formula>
    </cfRule>
  </conditionalFormatting>
  <conditionalFormatting sqref="DN15 DN12">
    <cfRule type="cellIs" dxfId="1279" priority="1280" stopIfTrue="1" operator="equal">
      <formula>TODAY()</formula>
    </cfRule>
  </conditionalFormatting>
  <conditionalFormatting sqref="DN5:DN7 DN10">
    <cfRule type="cellIs" dxfId="1278" priority="1279" stopIfTrue="1" operator="equal">
      <formula>TODAY()</formula>
    </cfRule>
  </conditionalFormatting>
  <conditionalFormatting sqref="DN12 DN15 DN20">
    <cfRule type="cellIs" dxfId="1277" priority="1278" stopIfTrue="1" operator="equal">
      <formula>TODAY()</formula>
    </cfRule>
  </conditionalFormatting>
  <conditionalFormatting sqref="DN18">
    <cfRule type="cellIs" dxfId="1276" priority="1277" stopIfTrue="1" operator="equal">
      <formula>TODAY()</formula>
    </cfRule>
  </conditionalFormatting>
  <conditionalFormatting sqref="DO15 DO12">
    <cfRule type="cellIs" dxfId="1275" priority="1276" stopIfTrue="1" operator="equal">
      <formula>TODAY()</formula>
    </cfRule>
  </conditionalFormatting>
  <conditionalFormatting sqref="DO5:DO7 DO10">
    <cfRule type="cellIs" dxfId="1274" priority="1275" stopIfTrue="1" operator="equal">
      <formula>TODAY()</formula>
    </cfRule>
  </conditionalFormatting>
  <conditionalFormatting sqref="DO12 DO15 DO20">
    <cfRule type="cellIs" dxfId="1273" priority="1274" stopIfTrue="1" operator="equal">
      <formula>TODAY()</formula>
    </cfRule>
  </conditionalFormatting>
  <conditionalFormatting sqref="DO18">
    <cfRule type="cellIs" dxfId="1272" priority="1273" stopIfTrue="1" operator="equal">
      <formula>TODAY()</formula>
    </cfRule>
  </conditionalFormatting>
  <conditionalFormatting sqref="DP15 DP12">
    <cfRule type="cellIs" dxfId="1271" priority="1272" stopIfTrue="1" operator="equal">
      <formula>TODAY()</formula>
    </cfRule>
  </conditionalFormatting>
  <conditionalFormatting sqref="DP5:DP7 DP10">
    <cfRule type="cellIs" dxfId="1270" priority="1271" stopIfTrue="1" operator="equal">
      <formula>TODAY()</formula>
    </cfRule>
  </conditionalFormatting>
  <conditionalFormatting sqref="DP12 DP15 DP20">
    <cfRule type="cellIs" dxfId="1269" priority="1270" stopIfTrue="1" operator="equal">
      <formula>TODAY()</formula>
    </cfRule>
  </conditionalFormatting>
  <conditionalFormatting sqref="DP18">
    <cfRule type="cellIs" dxfId="1268" priority="1269" stopIfTrue="1" operator="equal">
      <formula>TODAY()</formula>
    </cfRule>
  </conditionalFormatting>
  <conditionalFormatting sqref="DQ15 DQ12">
    <cfRule type="cellIs" dxfId="1267" priority="1268" stopIfTrue="1" operator="equal">
      <formula>TODAY()</formula>
    </cfRule>
  </conditionalFormatting>
  <conditionalFormatting sqref="DQ5:DQ7 DQ10">
    <cfRule type="cellIs" dxfId="1266" priority="1267" stopIfTrue="1" operator="equal">
      <formula>TODAY()</formula>
    </cfRule>
  </conditionalFormatting>
  <conditionalFormatting sqref="DQ12 DQ15 DQ20">
    <cfRule type="cellIs" dxfId="1265" priority="1266" stopIfTrue="1" operator="equal">
      <formula>TODAY()</formula>
    </cfRule>
  </conditionalFormatting>
  <conditionalFormatting sqref="DQ18">
    <cfRule type="cellIs" dxfId="1264" priority="1265" stopIfTrue="1" operator="equal">
      <formula>TODAY()</formula>
    </cfRule>
  </conditionalFormatting>
  <conditionalFormatting sqref="DR15 DR12">
    <cfRule type="cellIs" dxfId="1263" priority="1264" stopIfTrue="1" operator="equal">
      <formula>TODAY()</formula>
    </cfRule>
  </conditionalFormatting>
  <conditionalFormatting sqref="DR5:DR7 DR10">
    <cfRule type="cellIs" dxfId="1262" priority="1263" stopIfTrue="1" operator="equal">
      <formula>TODAY()</formula>
    </cfRule>
  </conditionalFormatting>
  <conditionalFormatting sqref="DR12 DR15 DR20">
    <cfRule type="cellIs" dxfId="1261" priority="1262" stopIfTrue="1" operator="equal">
      <formula>TODAY()</formula>
    </cfRule>
  </conditionalFormatting>
  <conditionalFormatting sqref="DR18">
    <cfRule type="cellIs" dxfId="1260" priority="1261" stopIfTrue="1" operator="equal">
      <formula>TODAY()</formula>
    </cfRule>
  </conditionalFormatting>
  <conditionalFormatting sqref="DS15 DS12">
    <cfRule type="cellIs" dxfId="1259" priority="1260" stopIfTrue="1" operator="equal">
      <formula>TODAY()</formula>
    </cfRule>
  </conditionalFormatting>
  <conditionalFormatting sqref="DS5:DS7 DS10">
    <cfRule type="cellIs" dxfId="1258" priority="1259" stopIfTrue="1" operator="equal">
      <formula>TODAY()</formula>
    </cfRule>
  </conditionalFormatting>
  <conditionalFormatting sqref="DS12 DS15 DS20">
    <cfRule type="cellIs" dxfId="1257" priority="1258" stopIfTrue="1" operator="equal">
      <formula>TODAY()</formula>
    </cfRule>
  </conditionalFormatting>
  <conditionalFormatting sqref="DS18">
    <cfRule type="cellIs" dxfId="1256" priority="1257" stopIfTrue="1" operator="equal">
      <formula>TODAY()</formula>
    </cfRule>
  </conditionalFormatting>
  <conditionalFormatting sqref="DT15 DT12">
    <cfRule type="cellIs" dxfId="1255" priority="1256" stopIfTrue="1" operator="equal">
      <formula>TODAY()</formula>
    </cfRule>
  </conditionalFormatting>
  <conditionalFormatting sqref="DT5:DT7 DT10">
    <cfRule type="cellIs" dxfId="1254" priority="1255" stopIfTrue="1" operator="equal">
      <formula>TODAY()</formula>
    </cfRule>
  </conditionalFormatting>
  <conditionalFormatting sqref="DT12 DT15 DT20">
    <cfRule type="cellIs" dxfId="1253" priority="1254" stopIfTrue="1" operator="equal">
      <formula>TODAY()</formula>
    </cfRule>
  </conditionalFormatting>
  <conditionalFormatting sqref="DT18">
    <cfRule type="cellIs" dxfId="1252" priority="1253" stopIfTrue="1" operator="equal">
      <formula>TODAY()</formula>
    </cfRule>
  </conditionalFormatting>
  <conditionalFormatting sqref="DU15 DU12">
    <cfRule type="cellIs" dxfId="1251" priority="1252" stopIfTrue="1" operator="equal">
      <formula>TODAY()</formula>
    </cfRule>
  </conditionalFormatting>
  <conditionalFormatting sqref="DU5:DU7 DU10">
    <cfRule type="cellIs" dxfId="1250" priority="1251" stopIfTrue="1" operator="equal">
      <formula>TODAY()</formula>
    </cfRule>
  </conditionalFormatting>
  <conditionalFormatting sqref="DU12 DU15 DU20">
    <cfRule type="cellIs" dxfId="1249" priority="1250" stopIfTrue="1" operator="equal">
      <formula>TODAY()</formula>
    </cfRule>
  </conditionalFormatting>
  <conditionalFormatting sqref="DU18">
    <cfRule type="cellIs" dxfId="1248" priority="1249" stopIfTrue="1" operator="equal">
      <formula>TODAY()</formula>
    </cfRule>
  </conditionalFormatting>
  <conditionalFormatting sqref="DV15 DV12">
    <cfRule type="cellIs" dxfId="1247" priority="1248" stopIfTrue="1" operator="equal">
      <formula>TODAY()</formula>
    </cfRule>
  </conditionalFormatting>
  <conditionalFormatting sqref="DV5:DV7 DV10">
    <cfRule type="cellIs" dxfId="1246" priority="1247" stopIfTrue="1" operator="equal">
      <formula>TODAY()</formula>
    </cfRule>
  </conditionalFormatting>
  <conditionalFormatting sqref="DV12 DV15 DV20">
    <cfRule type="cellIs" dxfId="1245" priority="1246" stopIfTrue="1" operator="equal">
      <formula>TODAY()</formula>
    </cfRule>
  </conditionalFormatting>
  <conditionalFormatting sqref="DV18">
    <cfRule type="cellIs" dxfId="1244" priority="1245" stopIfTrue="1" operator="equal">
      <formula>TODAY()</formula>
    </cfRule>
  </conditionalFormatting>
  <conditionalFormatting sqref="DW15 DW12">
    <cfRule type="cellIs" dxfId="1243" priority="1244" stopIfTrue="1" operator="equal">
      <formula>TODAY()</formula>
    </cfRule>
  </conditionalFormatting>
  <conditionalFormatting sqref="DW5:DW7 DW10">
    <cfRule type="cellIs" dxfId="1242" priority="1243" stopIfTrue="1" operator="equal">
      <formula>TODAY()</formula>
    </cfRule>
  </conditionalFormatting>
  <conditionalFormatting sqref="DW12 DW15 DW20">
    <cfRule type="cellIs" dxfId="1241" priority="1242" stopIfTrue="1" operator="equal">
      <formula>TODAY()</formula>
    </cfRule>
  </conditionalFormatting>
  <conditionalFormatting sqref="DW18">
    <cfRule type="cellIs" dxfId="1240" priority="1241" stopIfTrue="1" operator="equal">
      <formula>TODAY()</formula>
    </cfRule>
  </conditionalFormatting>
  <conditionalFormatting sqref="DX15:EA15 DX12:EA12">
    <cfRule type="cellIs" dxfId="1239" priority="1240" stopIfTrue="1" operator="equal">
      <formula>TODAY()</formula>
    </cfRule>
  </conditionalFormatting>
  <conditionalFormatting sqref="DX5:EA7 DX10:EA10">
    <cfRule type="cellIs" dxfId="1238" priority="1239" stopIfTrue="1" operator="equal">
      <formula>TODAY()</formula>
    </cfRule>
  </conditionalFormatting>
  <conditionalFormatting sqref="DX12:EA12 DX15:EA15 DX20:EA20">
    <cfRule type="cellIs" dxfId="1237" priority="1238" stopIfTrue="1" operator="equal">
      <formula>TODAY()</formula>
    </cfRule>
  </conditionalFormatting>
  <conditionalFormatting sqref="DX18:EA18">
    <cfRule type="cellIs" dxfId="1236" priority="1237" stopIfTrue="1" operator="equal">
      <formula>TODAY()</formula>
    </cfRule>
  </conditionalFormatting>
  <conditionalFormatting sqref="EB15 EB12">
    <cfRule type="cellIs" dxfId="1235" priority="1236" stopIfTrue="1" operator="equal">
      <formula>TODAY()</formula>
    </cfRule>
  </conditionalFormatting>
  <conditionalFormatting sqref="EB5:EB7 EB10">
    <cfRule type="cellIs" dxfId="1234" priority="1235" stopIfTrue="1" operator="equal">
      <formula>TODAY()</formula>
    </cfRule>
  </conditionalFormatting>
  <conditionalFormatting sqref="EB12 EB15 EB20">
    <cfRule type="cellIs" dxfId="1233" priority="1234" stopIfTrue="1" operator="equal">
      <formula>TODAY()</formula>
    </cfRule>
  </conditionalFormatting>
  <conditionalFormatting sqref="EB18">
    <cfRule type="cellIs" dxfId="1232" priority="1233" stopIfTrue="1" operator="equal">
      <formula>TODAY()</formula>
    </cfRule>
  </conditionalFormatting>
  <conditionalFormatting sqref="EC15 EC12">
    <cfRule type="cellIs" dxfId="1231" priority="1232" stopIfTrue="1" operator="equal">
      <formula>TODAY()</formula>
    </cfRule>
  </conditionalFormatting>
  <conditionalFormatting sqref="EC5:EC7 EC10">
    <cfRule type="cellIs" dxfId="1230" priority="1231" stopIfTrue="1" operator="equal">
      <formula>TODAY()</formula>
    </cfRule>
  </conditionalFormatting>
  <conditionalFormatting sqref="EC12 EC15 EC20">
    <cfRule type="cellIs" dxfId="1229" priority="1230" stopIfTrue="1" operator="equal">
      <formula>TODAY()</formula>
    </cfRule>
  </conditionalFormatting>
  <conditionalFormatting sqref="EC18">
    <cfRule type="cellIs" dxfId="1228" priority="1229" stopIfTrue="1" operator="equal">
      <formula>TODAY()</formula>
    </cfRule>
  </conditionalFormatting>
  <conditionalFormatting sqref="ED15 ED12">
    <cfRule type="cellIs" dxfId="1227" priority="1228" stopIfTrue="1" operator="equal">
      <formula>TODAY()</formula>
    </cfRule>
  </conditionalFormatting>
  <conditionalFormatting sqref="ED5:ED7 ED10">
    <cfRule type="cellIs" dxfId="1226" priority="1227" stopIfTrue="1" operator="equal">
      <formula>TODAY()</formula>
    </cfRule>
  </conditionalFormatting>
  <conditionalFormatting sqref="ED12 ED15 ED20">
    <cfRule type="cellIs" dxfId="1225" priority="1226" stopIfTrue="1" operator="equal">
      <formula>TODAY()</formula>
    </cfRule>
  </conditionalFormatting>
  <conditionalFormatting sqref="ED18">
    <cfRule type="cellIs" dxfId="1224" priority="1225" stopIfTrue="1" operator="equal">
      <formula>TODAY()</formula>
    </cfRule>
  </conditionalFormatting>
  <conditionalFormatting sqref="EE15 EE12">
    <cfRule type="cellIs" dxfId="1223" priority="1224" stopIfTrue="1" operator="equal">
      <formula>TODAY()</formula>
    </cfRule>
  </conditionalFormatting>
  <conditionalFormatting sqref="EE5:EE7 EE10">
    <cfRule type="cellIs" dxfId="1222" priority="1223" stopIfTrue="1" operator="equal">
      <formula>TODAY()</formula>
    </cfRule>
  </conditionalFormatting>
  <conditionalFormatting sqref="EE12 EE15 EE20">
    <cfRule type="cellIs" dxfId="1221" priority="1222" stopIfTrue="1" operator="equal">
      <formula>TODAY()</formula>
    </cfRule>
  </conditionalFormatting>
  <conditionalFormatting sqref="EE18">
    <cfRule type="cellIs" dxfId="1220" priority="1221" stopIfTrue="1" operator="equal">
      <formula>TODAY()</formula>
    </cfRule>
  </conditionalFormatting>
  <conditionalFormatting sqref="EF15 EF12">
    <cfRule type="cellIs" dxfId="1219" priority="1220" stopIfTrue="1" operator="equal">
      <formula>TODAY()</formula>
    </cfRule>
  </conditionalFormatting>
  <conditionalFormatting sqref="EF5:EF7 EF10">
    <cfRule type="cellIs" dxfId="1218" priority="1219" stopIfTrue="1" operator="equal">
      <formula>TODAY()</formula>
    </cfRule>
  </conditionalFormatting>
  <conditionalFormatting sqref="EF12 EF15 EF20">
    <cfRule type="cellIs" dxfId="1217" priority="1218" stopIfTrue="1" operator="equal">
      <formula>TODAY()</formula>
    </cfRule>
  </conditionalFormatting>
  <conditionalFormatting sqref="EF18">
    <cfRule type="cellIs" dxfId="1216" priority="1217" stopIfTrue="1" operator="equal">
      <formula>TODAY()</formula>
    </cfRule>
  </conditionalFormatting>
  <conditionalFormatting sqref="EG15 EG12">
    <cfRule type="cellIs" dxfId="1215" priority="1216" stopIfTrue="1" operator="equal">
      <formula>TODAY()</formula>
    </cfRule>
  </conditionalFormatting>
  <conditionalFormatting sqref="EG5:EG7 EG10">
    <cfRule type="cellIs" dxfId="1214" priority="1215" stopIfTrue="1" operator="equal">
      <formula>TODAY()</formula>
    </cfRule>
  </conditionalFormatting>
  <conditionalFormatting sqref="EG12 EG15 EG20">
    <cfRule type="cellIs" dxfId="1213" priority="1214" stopIfTrue="1" operator="equal">
      <formula>TODAY()</formula>
    </cfRule>
  </conditionalFormatting>
  <conditionalFormatting sqref="EG18">
    <cfRule type="cellIs" dxfId="1212" priority="1213" stopIfTrue="1" operator="equal">
      <formula>TODAY()</formula>
    </cfRule>
  </conditionalFormatting>
  <conditionalFormatting sqref="EH15 EH12">
    <cfRule type="cellIs" dxfId="1211" priority="1212" stopIfTrue="1" operator="equal">
      <formula>TODAY()</formula>
    </cfRule>
  </conditionalFormatting>
  <conditionalFormatting sqref="EH5:EH7 EH10">
    <cfRule type="cellIs" dxfId="1210" priority="1211" stopIfTrue="1" operator="equal">
      <formula>TODAY()</formula>
    </cfRule>
  </conditionalFormatting>
  <conditionalFormatting sqref="EH12 EH15 EH20">
    <cfRule type="cellIs" dxfId="1209" priority="1210" stopIfTrue="1" operator="equal">
      <formula>TODAY()</formula>
    </cfRule>
  </conditionalFormatting>
  <conditionalFormatting sqref="EH18">
    <cfRule type="cellIs" dxfId="1208" priority="1209" stopIfTrue="1" operator="equal">
      <formula>TODAY()</formula>
    </cfRule>
  </conditionalFormatting>
  <conditionalFormatting sqref="EI15 EI12">
    <cfRule type="cellIs" dxfId="1207" priority="1208" stopIfTrue="1" operator="equal">
      <formula>TODAY()</formula>
    </cfRule>
  </conditionalFormatting>
  <conditionalFormatting sqref="EI5:EI7 EI10">
    <cfRule type="cellIs" dxfId="1206" priority="1207" stopIfTrue="1" operator="equal">
      <formula>TODAY()</formula>
    </cfRule>
  </conditionalFormatting>
  <conditionalFormatting sqref="EI12 EI15 EI20">
    <cfRule type="cellIs" dxfId="1205" priority="1206" stopIfTrue="1" operator="equal">
      <formula>TODAY()</formula>
    </cfRule>
  </conditionalFormatting>
  <conditionalFormatting sqref="EI18">
    <cfRule type="cellIs" dxfId="1204" priority="1205" stopIfTrue="1" operator="equal">
      <formula>TODAY()</formula>
    </cfRule>
  </conditionalFormatting>
  <conditionalFormatting sqref="EJ15 EJ12">
    <cfRule type="cellIs" dxfId="1203" priority="1204" stopIfTrue="1" operator="equal">
      <formula>TODAY()</formula>
    </cfRule>
  </conditionalFormatting>
  <conditionalFormatting sqref="EJ5:EJ7 EJ10">
    <cfRule type="cellIs" dxfId="1202" priority="1203" stopIfTrue="1" operator="equal">
      <formula>TODAY()</formula>
    </cfRule>
  </conditionalFormatting>
  <conditionalFormatting sqref="EJ12 EJ15 EJ20">
    <cfRule type="cellIs" dxfId="1201" priority="1202" stopIfTrue="1" operator="equal">
      <formula>TODAY()</formula>
    </cfRule>
  </conditionalFormatting>
  <conditionalFormatting sqref="EJ18">
    <cfRule type="cellIs" dxfId="1200" priority="1201" stopIfTrue="1" operator="equal">
      <formula>TODAY()</formula>
    </cfRule>
  </conditionalFormatting>
  <conditionalFormatting sqref="EK15 EK12">
    <cfRule type="cellIs" dxfId="1199" priority="1200" stopIfTrue="1" operator="equal">
      <formula>TODAY()</formula>
    </cfRule>
  </conditionalFormatting>
  <conditionalFormatting sqref="EK5:EK7 EK10">
    <cfRule type="cellIs" dxfId="1198" priority="1199" stopIfTrue="1" operator="equal">
      <formula>TODAY()</formula>
    </cfRule>
  </conditionalFormatting>
  <conditionalFormatting sqref="EK12 EK15 EK20">
    <cfRule type="cellIs" dxfId="1197" priority="1198" stopIfTrue="1" operator="equal">
      <formula>TODAY()</formula>
    </cfRule>
  </conditionalFormatting>
  <conditionalFormatting sqref="EK18">
    <cfRule type="cellIs" dxfId="1196" priority="1197" stopIfTrue="1" operator="equal">
      <formula>TODAY()</formula>
    </cfRule>
  </conditionalFormatting>
  <conditionalFormatting sqref="EL15 EL12">
    <cfRule type="cellIs" dxfId="1195" priority="1196" stopIfTrue="1" operator="equal">
      <formula>TODAY()</formula>
    </cfRule>
  </conditionalFormatting>
  <conditionalFormatting sqref="EL5:EL7 EL10">
    <cfRule type="cellIs" dxfId="1194" priority="1195" stopIfTrue="1" operator="equal">
      <formula>TODAY()</formula>
    </cfRule>
  </conditionalFormatting>
  <conditionalFormatting sqref="EL12 EL15 EL20">
    <cfRule type="cellIs" dxfId="1193" priority="1194" stopIfTrue="1" operator="equal">
      <formula>TODAY()</formula>
    </cfRule>
  </conditionalFormatting>
  <conditionalFormatting sqref="EL18">
    <cfRule type="cellIs" dxfId="1192" priority="1193" stopIfTrue="1" operator="equal">
      <formula>TODAY()</formula>
    </cfRule>
  </conditionalFormatting>
  <conditionalFormatting sqref="EM15 EM12">
    <cfRule type="cellIs" dxfId="1191" priority="1192" stopIfTrue="1" operator="equal">
      <formula>TODAY()</formula>
    </cfRule>
  </conditionalFormatting>
  <conditionalFormatting sqref="EM5:EM7 EM10">
    <cfRule type="cellIs" dxfId="1190" priority="1191" stopIfTrue="1" operator="equal">
      <formula>TODAY()</formula>
    </cfRule>
  </conditionalFormatting>
  <conditionalFormatting sqref="EM12 EM15 EM20">
    <cfRule type="cellIs" dxfId="1189" priority="1190" stopIfTrue="1" operator="equal">
      <formula>TODAY()</formula>
    </cfRule>
  </conditionalFormatting>
  <conditionalFormatting sqref="EM18">
    <cfRule type="cellIs" dxfId="1188" priority="1189" stopIfTrue="1" operator="equal">
      <formula>TODAY()</formula>
    </cfRule>
  </conditionalFormatting>
  <conditionalFormatting sqref="EN15 EN12">
    <cfRule type="cellIs" dxfId="1187" priority="1188" stopIfTrue="1" operator="equal">
      <formula>TODAY()</formula>
    </cfRule>
  </conditionalFormatting>
  <conditionalFormatting sqref="EN5:EN7 EN10">
    <cfRule type="cellIs" dxfId="1186" priority="1187" stopIfTrue="1" operator="equal">
      <formula>TODAY()</formula>
    </cfRule>
  </conditionalFormatting>
  <conditionalFormatting sqref="EN12 EN15 EN20">
    <cfRule type="cellIs" dxfId="1185" priority="1186" stopIfTrue="1" operator="equal">
      <formula>TODAY()</formula>
    </cfRule>
  </conditionalFormatting>
  <conditionalFormatting sqref="EN18">
    <cfRule type="cellIs" dxfId="1184" priority="1185" stopIfTrue="1" operator="equal">
      <formula>TODAY()</formula>
    </cfRule>
  </conditionalFormatting>
  <conditionalFormatting sqref="EO15 EO12">
    <cfRule type="cellIs" dxfId="1183" priority="1184" stopIfTrue="1" operator="equal">
      <formula>TODAY()</formula>
    </cfRule>
  </conditionalFormatting>
  <conditionalFormatting sqref="EO5:EO7 EO10">
    <cfRule type="cellIs" dxfId="1182" priority="1183" stopIfTrue="1" operator="equal">
      <formula>TODAY()</formula>
    </cfRule>
  </conditionalFormatting>
  <conditionalFormatting sqref="EO12 EO15 EO20">
    <cfRule type="cellIs" dxfId="1181" priority="1182" stopIfTrue="1" operator="equal">
      <formula>TODAY()</formula>
    </cfRule>
  </conditionalFormatting>
  <conditionalFormatting sqref="EO18">
    <cfRule type="cellIs" dxfId="1180" priority="1181" stopIfTrue="1" operator="equal">
      <formula>TODAY()</formula>
    </cfRule>
  </conditionalFormatting>
  <conditionalFormatting sqref="EP15 EP12">
    <cfRule type="cellIs" dxfId="1179" priority="1180" stopIfTrue="1" operator="equal">
      <formula>TODAY()</formula>
    </cfRule>
  </conditionalFormatting>
  <conditionalFormatting sqref="EP5:EP7 EP10">
    <cfRule type="cellIs" dxfId="1178" priority="1179" stopIfTrue="1" operator="equal">
      <formula>TODAY()</formula>
    </cfRule>
  </conditionalFormatting>
  <conditionalFormatting sqref="EP12 EP15 EP20">
    <cfRule type="cellIs" dxfId="1177" priority="1178" stopIfTrue="1" operator="equal">
      <formula>TODAY()</formula>
    </cfRule>
  </conditionalFormatting>
  <conditionalFormatting sqref="EP18">
    <cfRule type="cellIs" dxfId="1176" priority="1177" stopIfTrue="1" operator="equal">
      <formula>TODAY()</formula>
    </cfRule>
  </conditionalFormatting>
  <conditionalFormatting sqref="EQ15 EQ12">
    <cfRule type="cellIs" dxfId="1175" priority="1176" stopIfTrue="1" operator="equal">
      <formula>TODAY()</formula>
    </cfRule>
  </conditionalFormatting>
  <conditionalFormatting sqref="EQ5:EQ7 EQ10">
    <cfRule type="cellIs" dxfId="1174" priority="1175" stopIfTrue="1" operator="equal">
      <formula>TODAY()</formula>
    </cfRule>
  </conditionalFormatting>
  <conditionalFormatting sqref="EQ12 EQ15 EQ20">
    <cfRule type="cellIs" dxfId="1173" priority="1174" stopIfTrue="1" operator="equal">
      <formula>TODAY()</formula>
    </cfRule>
  </conditionalFormatting>
  <conditionalFormatting sqref="EQ18">
    <cfRule type="cellIs" dxfId="1172" priority="1173" stopIfTrue="1" operator="equal">
      <formula>TODAY()</formula>
    </cfRule>
  </conditionalFormatting>
  <conditionalFormatting sqref="ER15 ER12">
    <cfRule type="cellIs" dxfId="1171" priority="1172" stopIfTrue="1" operator="equal">
      <formula>TODAY()</formula>
    </cfRule>
  </conditionalFormatting>
  <conditionalFormatting sqref="ER5:ER7 ER10">
    <cfRule type="cellIs" dxfId="1170" priority="1171" stopIfTrue="1" operator="equal">
      <formula>TODAY()</formula>
    </cfRule>
  </conditionalFormatting>
  <conditionalFormatting sqref="ER12 ER15 ER20">
    <cfRule type="cellIs" dxfId="1169" priority="1170" stopIfTrue="1" operator="equal">
      <formula>TODAY()</formula>
    </cfRule>
  </conditionalFormatting>
  <conditionalFormatting sqref="ER18">
    <cfRule type="cellIs" dxfId="1168" priority="1169" stopIfTrue="1" operator="equal">
      <formula>TODAY()</formula>
    </cfRule>
  </conditionalFormatting>
  <conditionalFormatting sqref="ES15 ES12">
    <cfRule type="cellIs" dxfId="1167" priority="1168" stopIfTrue="1" operator="equal">
      <formula>TODAY()</formula>
    </cfRule>
  </conditionalFormatting>
  <conditionalFormatting sqref="ES5:ES7 ES10">
    <cfRule type="cellIs" dxfId="1166" priority="1167" stopIfTrue="1" operator="equal">
      <formula>TODAY()</formula>
    </cfRule>
  </conditionalFormatting>
  <conditionalFormatting sqref="ES12 ES15 ES20">
    <cfRule type="cellIs" dxfId="1165" priority="1166" stopIfTrue="1" operator="equal">
      <formula>TODAY()</formula>
    </cfRule>
  </conditionalFormatting>
  <conditionalFormatting sqref="ES18">
    <cfRule type="cellIs" dxfId="1164" priority="1165" stopIfTrue="1" operator="equal">
      <formula>TODAY()</formula>
    </cfRule>
  </conditionalFormatting>
  <conditionalFormatting sqref="ET15 ET12">
    <cfRule type="cellIs" dxfId="1163" priority="1164" stopIfTrue="1" operator="equal">
      <formula>TODAY()</formula>
    </cfRule>
  </conditionalFormatting>
  <conditionalFormatting sqref="ET5:ET7 ET10">
    <cfRule type="cellIs" dxfId="1162" priority="1163" stopIfTrue="1" operator="equal">
      <formula>TODAY()</formula>
    </cfRule>
  </conditionalFormatting>
  <conditionalFormatting sqref="ET12 ET15 ET20">
    <cfRule type="cellIs" dxfId="1161" priority="1162" stopIfTrue="1" operator="equal">
      <formula>TODAY()</formula>
    </cfRule>
  </conditionalFormatting>
  <conditionalFormatting sqref="ET18">
    <cfRule type="cellIs" dxfId="1160" priority="1161" stopIfTrue="1" operator="equal">
      <formula>TODAY()</formula>
    </cfRule>
  </conditionalFormatting>
  <conditionalFormatting sqref="EU15 EU12">
    <cfRule type="cellIs" dxfId="1159" priority="1160" stopIfTrue="1" operator="equal">
      <formula>TODAY()</formula>
    </cfRule>
  </conditionalFormatting>
  <conditionalFormatting sqref="EU5:EU7 EU10">
    <cfRule type="cellIs" dxfId="1158" priority="1159" stopIfTrue="1" operator="equal">
      <formula>TODAY()</formula>
    </cfRule>
  </conditionalFormatting>
  <conditionalFormatting sqref="EU12 EU15 EU20">
    <cfRule type="cellIs" dxfId="1157" priority="1158" stopIfTrue="1" operator="equal">
      <formula>TODAY()</formula>
    </cfRule>
  </conditionalFormatting>
  <conditionalFormatting sqref="EU18">
    <cfRule type="cellIs" dxfId="1156" priority="1157" stopIfTrue="1" operator="equal">
      <formula>TODAY()</formula>
    </cfRule>
  </conditionalFormatting>
  <conditionalFormatting sqref="EV15 EV12">
    <cfRule type="cellIs" dxfId="1155" priority="1156" stopIfTrue="1" operator="equal">
      <formula>TODAY()</formula>
    </cfRule>
  </conditionalFormatting>
  <conditionalFormatting sqref="EV5:EV7 EV10">
    <cfRule type="cellIs" dxfId="1154" priority="1155" stopIfTrue="1" operator="equal">
      <formula>TODAY()</formula>
    </cfRule>
  </conditionalFormatting>
  <conditionalFormatting sqref="EV12 EV15 EV20">
    <cfRule type="cellIs" dxfId="1153" priority="1154" stopIfTrue="1" operator="equal">
      <formula>TODAY()</formula>
    </cfRule>
  </conditionalFormatting>
  <conditionalFormatting sqref="EV18">
    <cfRule type="cellIs" dxfId="1152" priority="1153" stopIfTrue="1" operator="equal">
      <formula>TODAY()</formula>
    </cfRule>
  </conditionalFormatting>
  <conditionalFormatting sqref="EW15 EW12">
    <cfRule type="cellIs" dxfId="1151" priority="1152" stopIfTrue="1" operator="equal">
      <formula>TODAY()</formula>
    </cfRule>
  </conditionalFormatting>
  <conditionalFormatting sqref="EW5:EW7 EW10">
    <cfRule type="cellIs" dxfId="1150" priority="1151" stopIfTrue="1" operator="equal">
      <formula>TODAY()</formula>
    </cfRule>
  </conditionalFormatting>
  <conditionalFormatting sqref="EW12 EW15 EW20">
    <cfRule type="cellIs" dxfId="1149" priority="1150" stopIfTrue="1" operator="equal">
      <formula>TODAY()</formula>
    </cfRule>
  </conditionalFormatting>
  <conditionalFormatting sqref="EW18">
    <cfRule type="cellIs" dxfId="1148" priority="1149" stopIfTrue="1" operator="equal">
      <formula>TODAY()</formula>
    </cfRule>
  </conditionalFormatting>
  <conditionalFormatting sqref="EX15 EX12">
    <cfRule type="cellIs" dxfId="1147" priority="1148" stopIfTrue="1" operator="equal">
      <formula>TODAY()</formula>
    </cfRule>
  </conditionalFormatting>
  <conditionalFormatting sqref="EX5:EX7 EX10">
    <cfRule type="cellIs" dxfId="1146" priority="1147" stopIfTrue="1" operator="equal">
      <formula>TODAY()</formula>
    </cfRule>
  </conditionalFormatting>
  <conditionalFormatting sqref="EX12 EX15 EX20">
    <cfRule type="cellIs" dxfId="1145" priority="1146" stopIfTrue="1" operator="equal">
      <formula>TODAY()</formula>
    </cfRule>
  </conditionalFormatting>
  <conditionalFormatting sqref="EX18">
    <cfRule type="cellIs" dxfId="1144" priority="1145" stopIfTrue="1" operator="equal">
      <formula>TODAY()</formula>
    </cfRule>
  </conditionalFormatting>
  <conditionalFormatting sqref="EY15 EY12">
    <cfRule type="cellIs" dxfId="1143" priority="1144" stopIfTrue="1" operator="equal">
      <formula>TODAY()</formula>
    </cfRule>
  </conditionalFormatting>
  <conditionalFormatting sqref="EY5:EY7 EY10">
    <cfRule type="cellIs" dxfId="1142" priority="1143" stopIfTrue="1" operator="equal">
      <formula>TODAY()</formula>
    </cfRule>
  </conditionalFormatting>
  <conditionalFormatting sqref="EY12 EY15 EY20">
    <cfRule type="cellIs" dxfId="1141" priority="1142" stopIfTrue="1" operator="equal">
      <formula>TODAY()</formula>
    </cfRule>
  </conditionalFormatting>
  <conditionalFormatting sqref="EY18">
    <cfRule type="cellIs" dxfId="1140" priority="1141" stopIfTrue="1" operator="equal">
      <formula>TODAY()</formula>
    </cfRule>
  </conditionalFormatting>
  <conditionalFormatting sqref="EZ15 EZ12">
    <cfRule type="cellIs" dxfId="1139" priority="1140" stopIfTrue="1" operator="equal">
      <formula>TODAY()</formula>
    </cfRule>
  </conditionalFormatting>
  <conditionalFormatting sqref="EZ5:EZ7 EZ10">
    <cfRule type="cellIs" dxfId="1138" priority="1139" stopIfTrue="1" operator="equal">
      <formula>TODAY()</formula>
    </cfRule>
  </conditionalFormatting>
  <conditionalFormatting sqref="EZ12 EZ15 EZ20">
    <cfRule type="cellIs" dxfId="1137" priority="1138" stopIfTrue="1" operator="equal">
      <formula>TODAY()</formula>
    </cfRule>
  </conditionalFormatting>
  <conditionalFormatting sqref="EZ18">
    <cfRule type="cellIs" dxfId="1136" priority="1137" stopIfTrue="1" operator="equal">
      <formula>TODAY()</formula>
    </cfRule>
  </conditionalFormatting>
  <conditionalFormatting sqref="FA15 FA12">
    <cfRule type="cellIs" dxfId="1135" priority="1136" stopIfTrue="1" operator="equal">
      <formula>TODAY()</formula>
    </cfRule>
  </conditionalFormatting>
  <conditionalFormatting sqref="FA5:FA7 FA10">
    <cfRule type="cellIs" dxfId="1134" priority="1135" stopIfTrue="1" operator="equal">
      <formula>TODAY()</formula>
    </cfRule>
  </conditionalFormatting>
  <conditionalFormatting sqref="FA12 FA15 FA20">
    <cfRule type="cellIs" dxfId="1133" priority="1134" stopIfTrue="1" operator="equal">
      <formula>TODAY()</formula>
    </cfRule>
  </conditionalFormatting>
  <conditionalFormatting sqref="FA18">
    <cfRule type="cellIs" dxfId="1132" priority="1133" stopIfTrue="1" operator="equal">
      <formula>TODAY()</formula>
    </cfRule>
  </conditionalFormatting>
  <conditionalFormatting sqref="FB15 FB12">
    <cfRule type="cellIs" dxfId="1131" priority="1132" stopIfTrue="1" operator="equal">
      <formula>TODAY()</formula>
    </cfRule>
  </conditionalFormatting>
  <conditionalFormatting sqref="FB5:FB7 FB10">
    <cfRule type="cellIs" dxfId="1130" priority="1131" stopIfTrue="1" operator="equal">
      <formula>TODAY()</formula>
    </cfRule>
  </conditionalFormatting>
  <conditionalFormatting sqref="FB12 FB15 FB20">
    <cfRule type="cellIs" dxfId="1129" priority="1130" stopIfTrue="1" operator="equal">
      <formula>TODAY()</formula>
    </cfRule>
  </conditionalFormatting>
  <conditionalFormatting sqref="FB18">
    <cfRule type="cellIs" dxfId="1128" priority="1129" stopIfTrue="1" operator="equal">
      <formula>TODAY()</formula>
    </cfRule>
  </conditionalFormatting>
  <conditionalFormatting sqref="FC15 FC12">
    <cfRule type="cellIs" dxfId="1127" priority="1128" stopIfTrue="1" operator="equal">
      <formula>TODAY()</formula>
    </cfRule>
  </conditionalFormatting>
  <conditionalFormatting sqref="FC5:FC7 FC10">
    <cfRule type="cellIs" dxfId="1126" priority="1127" stopIfTrue="1" operator="equal">
      <formula>TODAY()</formula>
    </cfRule>
  </conditionalFormatting>
  <conditionalFormatting sqref="FC12 FC15 FC20">
    <cfRule type="cellIs" dxfId="1125" priority="1126" stopIfTrue="1" operator="equal">
      <formula>TODAY()</formula>
    </cfRule>
  </conditionalFormatting>
  <conditionalFormatting sqref="FC18">
    <cfRule type="cellIs" dxfId="1124" priority="1125" stopIfTrue="1" operator="equal">
      <formula>TODAY()</formula>
    </cfRule>
  </conditionalFormatting>
  <conditionalFormatting sqref="FD15 FD12">
    <cfRule type="cellIs" dxfId="1123" priority="1124" stopIfTrue="1" operator="equal">
      <formula>TODAY()</formula>
    </cfRule>
  </conditionalFormatting>
  <conditionalFormatting sqref="FD5:FD7 FD10">
    <cfRule type="cellIs" dxfId="1122" priority="1123" stopIfTrue="1" operator="equal">
      <formula>TODAY()</formula>
    </cfRule>
  </conditionalFormatting>
  <conditionalFormatting sqref="FD12 FD15 FD20">
    <cfRule type="cellIs" dxfId="1121" priority="1122" stopIfTrue="1" operator="equal">
      <formula>TODAY()</formula>
    </cfRule>
  </conditionalFormatting>
  <conditionalFormatting sqref="FD18">
    <cfRule type="cellIs" dxfId="1120" priority="1121" stopIfTrue="1" operator="equal">
      <formula>TODAY()</formula>
    </cfRule>
  </conditionalFormatting>
  <conditionalFormatting sqref="FE15 FE12">
    <cfRule type="cellIs" dxfId="1119" priority="1120" stopIfTrue="1" operator="equal">
      <formula>TODAY()</formula>
    </cfRule>
  </conditionalFormatting>
  <conditionalFormatting sqref="FE5:FE7 FE10">
    <cfRule type="cellIs" dxfId="1118" priority="1119" stopIfTrue="1" operator="equal">
      <formula>TODAY()</formula>
    </cfRule>
  </conditionalFormatting>
  <conditionalFormatting sqref="FE12 FE15 FE20">
    <cfRule type="cellIs" dxfId="1117" priority="1118" stopIfTrue="1" operator="equal">
      <formula>TODAY()</formula>
    </cfRule>
  </conditionalFormatting>
  <conditionalFormatting sqref="FE18">
    <cfRule type="cellIs" dxfId="1116" priority="1117" stopIfTrue="1" operator="equal">
      <formula>TODAY()</formula>
    </cfRule>
  </conditionalFormatting>
  <conditionalFormatting sqref="FF15 FF12">
    <cfRule type="cellIs" dxfId="1115" priority="1116" stopIfTrue="1" operator="equal">
      <formula>TODAY()</formula>
    </cfRule>
  </conditionalFormatting>
  <conditionalFormatting sqref="FF5:FF7 FF10">
    <cfRule type="cellIs" dxfId="1114" priority="1115" stopIfTrue="1" operator="equal">
      <formula>TODAY()</formula>
    </cfRule>
  </conditionalFormatting>
  <conditionalFormatting sqref="FF12 FF15 FF20">
    <cfRule type="cellIs" dxfId="1113" priority="1114" stopIfTrue="1" operator="equal">
      <formula>TODAY()</formula>
    </cfRule>
  </conditionalFormatting>
  <conditionalFormatting sqref="FF18">
    <cfRule type="cellIs" dxfId="1112" priority="1113" stopIfTrue="1" operator="equal">
      <formula>TODAY()</formula>
    </cfRule>
  </conditionalFormatting>
  <conditionalFormatting sqref="FG15 FG12">
    <cfRule type="cellIs" dxfId="1111" priority="1112" stopIfTrue="1" operator="equal">
      <formula>TODAY()</formula>
    </cfRule>
  </conditionalFormatting>
  <conditionalFormatting sqref="FG5:FG7 FG10">
    <cfRule type="cellIs" dxfId="1110" priority="1111" stopIfTrue="1" operator="equal">
      <formula>TODAY()</formula>
    </cfRule>
  </conditionalFormatting>
  <conditionalFormatting sqref="FG12 FG15 FG20">
    <cfRule type="cellIs" dxfId="1109" priority="1110" stopIfTrue="1" operator="equal">
      <formula>TODAY()</formula>
    </cfRule>
  </conditionalFormatting>
  <conditionalFormatting sqref="FG18">
    <cfRule type="cellIs" dxfId="1108" priority="1109" stopIfTrue="1" operator="equal">
      <formula>TODAY()</formula>
    </cfRule>
  </conditionalFormatting>
  <conditionalFormatting sqref="FH15 FH12">
    <cfRule type="cellIs" dxfId="1107" priority="1108" stopIfTrue="1" operator="equal">
      <formula>TODAY()</formula>
    </cfRule>
  </conditionalFormatting>
  <conditionalFormatting sqref="FH5:FH7 FH10">
    <cfRule type="cellIs" dxfId="1106" priority="1107" stopIfTrue="1" operator="equal">
      <formula>TODAY()</formula>
    </cfRule>
  </conditionalFormatting>
  <conditionalFormatting sqref="FH12 FH15 FH20">
    <cfRule type="cellIs" dxfId="1105" priority="1106" stopIfTrue="1" operator="equal">
      <formula>TODAY()</formula>
    </cfRule>
  </conditionalFormatting>
  <conditionalFormatting sqref="FH18">
    <cfRule type="cellIs" dxfId="1104" priority="1105" stopIfTrue="1" operator="equal">
      <formula>TODAY()</formula>
    </cfRule>
  </conditionalFormatting>
  <conditionalFormatting sqref="FI15 FI12">
    <cfRule type="cellIs" dxfId="1103" priority="1104" stopIfTrue="1" operator="equal">
      <formula>TODAY()</formula>
    </cfRule>
  </conditionalFormatting>
  <conditionalFormatting sqref="FI5:FI7 FI10">
    <cfRule type="cellIs" dxfId="1102" priority="1103" stopIfTrue="1" operator="equal">
      <formula>TODAY()</formula>
    </cfRule>
  </conditionalFormatting>
  <conditionalFormatting sqref="FI12 FI15 FI20">
    <cfRule type="cellIs" dxfId="1101" priority="1102" stopIfTrue="1" operator="equal">
      <formula>TODAY()</formula>
    </cfRule>
  </conditionalFormatting>
  <conditionalFormatting sqref="FI18">
    <cfRule type="cellIs" dxfId="1100" priority="1101" stopIfTrue="1" operator="equal">
      <formula>TODAY()</formula>
    </cfRule>
  </conditionalFormatting>
  <conditionalFormatting sqref="FJ15 FJ12">
    <cfRule type="cellIs" dxfId="1099" priority="1100" stopIfTrue="1" operator="equal">
      <formula>TODAY()</formula>
    </cfRule>
  </conditionalFormatting>
  <conditionalFormatting sqref="FJ5:FJ7 FJ10">
    <cfRule type="cellIs" dxfId="1098" priority="1099" stopIfTrue="1" operator="equal">
      <formula>TODAY()</formula>
    </cfRule>
  </conditionalFormatting>
  <conditionalFormatting sqref="FJ12 FJ15 FJ20">
    <cfRule type="cellIs" dxfId="1097" priority="1098" stopIfTrue="1" operator="equal">
      <formula>TODAY()</formula>
    </cfRule>
  </conditionalFormatting>
  <conditionalFormatting sqref="FJ18">
    <cfRule type="cellIs" dxfId="1096" priority="1097" stopIfTrue="1" operator="equal">
      <formula>TODAY()</formula>
    </cfRule>
  </conditionalFormatting>
  <conditionalFormatting sqref="FK15 FK12">
    <cfRule type="cellIs" dxfId="1095" priority="1096" stopIfTrue="1" operator="equal">
      <formula>TODAY()</formula>
    </cfRule>
  </conditionalFormatting>
  <conditionalFormatting sqref="FK5:FK7 FK10">
    <cfRule type="cellIs" dxfId="1094" priority="1095" stopIfTrue="1" operator="equal">
      <formula>TODAY()</formula>
    </cfRule>
  </conditionalFormatting>
  <conditionalFormatting sqref="FK12 FK15 FK20">
    <cfRule type="cellIs" dxfId="1093" priority="1094" stopIfTrue="1" operator="equal">
      <formula>TODAY()</formula>
    </cfRule>
  </conditionalFormatting>
  <conditionalFormatting sqref="FK18">
    <cfRule type="cellIs" dxfId="1092" priority="1093" stopIfTrue="1" operator="equal">
      <formula>TODAY()</formula>
    </cfRule>
  </conditionalFormatting>
  <conditionalFormatting sqref="FL15 FL12">
    <cfRule type="cellIs" dxfId="1091" priority="1092" stopIfTrue="1" operator="equal">
      <formula>TODAY()</formula>
    </cfRule>
  </conditionalFormatting>
  <conditionalFormatting sqref="FL5:FL7 FL10">
    <cfRule type="cellIs" dxfId="1090" priority="1091" stopIfTrue="1" operator="equal">
      <formula>TODAY()</formula>
    </cfRule>
  </conditionalFormatting>
  <conditionalFormatting sqref="FL12 FL15 FL20">
    <cfRule type="cellIs" dxfId="1089" priority="1090" stopIfTrue="1" operator="equal">
      <formula>TODAY()</formula>
    </cfRule>
  </conditionalFormatting>
  <conditionalFormatting sqref="FL18">
    <cfRule type="cellIs" dxfId="1088" priority="1089" stopIfTrue="1" operator="equal">
      <formula>TODAY()</formula>
    </cfRule>
  </conditionalFormatting>
  <conditionalFormatting sqref="FM15 FM12">
    <cfRule type="cellIs" dxfId="1087" priority="1088" stopIfTrue="1" operator="equal">
      <formula>TODAY()</formula>
    </cfRule>
  </conditionalFormatting>
  <conditionalFormatting sqref="FM5:FM7 FM10">
    <cfRule type="cellIs" dxfId="1086" priority="1087" stopIfTrue="1" operator="equal">
      <formula>TODAY()</formula>
    </cfRule>
  </conditionalFormatting>
  <conditionalFormatting sqref="FM12 FM15 FM20">
    <cfRule type="cellIs" dxfId="1085" priority="1086" stopIfTrue="1" operator="equal">
      <formula>TODAY()</formula>
    </cfRule>
  </conditionalFormatting>
  <conditionalFormatting sqref="FM18">
    <cfRule type="cellIs" dxfId="1084" priority="1085" stopIfTrue="1" operator="equal">
      <formula>TODAY()</formula>
    </cfRule>
  </conditionalFormatting>
  <conditionalFormatting sqref="FN15 FN12">
    <cfRule type="cellIs" dxfId="1083" priority="1084" stopIfTrue="1" operator="equal">
      <formula>TODAY()</formula>
    </cfRule>
  </conditionalFormatting>
  <conditionalFormatting sqref="FN5:FN7 FN10">
    <cfRule type="cellIs" dxfId="1082" priority="1083" stopIfTrue="1" operator="equal">
      <formula>TODAY()</formula>
    </cfRule>
  </conditionalFormatting>
  <conditionalFormatting sqref="FN12 FN15 FN20">
    <cfRule type="cellIs" dxfId="1081" priority="1082" stopIfTrue="1" operator="equal">
      <formula>TODAY()</formula>
    </cfRule>
  </conditionalFormatting>
  <conditionalFormatting sqref="FN18">
    <cfRule type="cellIs" dxfId="1080" priority="1081" stopIfTrue="1" operator="equal">
      <formula>TODAY()</formula>
    </cfRule>
  </conditionalFormatting>
  <conditionalFormatting sqref="FO15 FO12">
    <cfRule type="cellIs" dxfId="1079" priority="1080" stopIfTrue="1" operator="equal">
      <formula>TODAY()</formula>
    </cfRule>
  </conditionalFormatting>
  <conditionalFormatting sqref="FO5:FO7 FO10">
    <cfRule type="cellIs" dxfId="1078" priority="1079" stopIfTrue="1" operator="equal">
      <formula>TODAY()</formula>
    </cfRule>
  </conditionalFormatting>
  <conditionalFormatting sqref="FO12 FO15 FO20">
    <cfRule type="cellIs" dxfId="1077" priority="1078" stopIfTrue="1" operator="equal">
      <formula>TODAY()</formula>
    </cfRule>
  </conditionalFormatting>
  <conditionalFormatting sqref="FO18">
    <cfRule type="cellIs" dxfId="1076" priority="1077" stopIfTrue="1" operator="equal">
      <formula>TODAY()</formula>
    </cfRule>
  </conditionalFormatting>
  <conditionalFormatting sqref="FP15 FP12">
    <cfRule type="cellIs" dxfId="1075" priority="1076" stopIfTrue="1" operator="equal">
      <formula>TODAY()</formula>
    </cfRule>
  </conditionalFormatting>
  <conditionalFormatting sqref="FP5:FP7 FP10">
    <cfRule type="cellIs" dxfId="1074" priority="1075" stopIfTrue="1" operator="equal">
      <formula>TODAY()</formula>
    </cfRule>
  </conditionalFormatting>
  <conditionalFormatting sqref="FP12 FP15 FP20">
    <cfRule type="cellIs" dxfId="1073" priority="1074" stopIfTrue="1" operator="equal">
      <formula>TODAY()</formula>
    </cfRule>
  </conditionalFormatting>
  <conditionalFormatting sqref="FP18">
    <cfRule type="cellIs" dxfId="1072" priority="1073" stopIfTrue="1" operator="equal">
      <formula>TODAY()</formula>
    </cfRule>
  </conditionalFormatting>
  <conditionalFormatting sqref="FQ15 FQ12">
    <cfRule type="cellIs" dxfId="1071" priority="1072" stopIfTrue="1" operator="equal">
      <formula>TODAY()</formula>
    </cfRule>
  </conditionalFormatting>
  <conditionalFormatting sqref="FQ5:FQ7 FQ10">
    <cfRule type="cellIs" dxfId="1070" priority="1071" stopIfTrue="1" operator="equal">
      <formula>TODAY()</formula>
    </cfRule>
  </conditionalFormatting>
  <conditionalFormatting sqref="FQ12 FQ15 FQ20">
    <cfRule type="cellIs" dxfId="1069" priority="1070" stopIfTrue="1" operator="equal">
      <formula>TODAY()</formula>
    </cfRule>
  </conditionalFormatting>
  <conditionalFormatting sqref="FQ18">
    <cfRule type="cellIs" dxfId="1068" priority="1069" stopIfTrue="1" operator="equal">
      <formula>TODAY()</formula>
    </cfRule>
  </conditionalFormatting>
  <conditionalFormatting sqref="FR15 FR12">
    <cfRule type="cellIs" dxfId="1067" priority="1068" stopIfTrue="1" operator="equal">
      <formula>TODAY()</formula>
    </cfRule>
  </conditionalFormatting>
  <conditionalFormatting sqref="FR5:FR7 FR10">
    <cfRule type="cellIs" dxfId="1066" priority="1067" stopIfTrue="1" operator="equal">
      <formula>TODAY()</formula>
    </cfRule>
  </conditionalFormatting>
  <conditionalFormatting sqref="FR12 FR15 FR20">
    <cfRule type="cellIs" dxfId="1065" priority="1066" stopIfTrue="1" operator="equal">
      <formula>TODAY()</formula>
    </cfRule>
  </conditionalFormatting>
  <conditionalFormatting sqref="FR18">
    <cfRule type="cellIs" dxfId="1064" priority="1065" stopIfTrue="1" operator="equal">
      <formula>TODAY()</formula>
    </cfRule>
  </conditionalFormatting>
  <conditionalFormatting sqref="FS15 FS12">
    <cfRule type="cellIs" dxfId="1063" priority="1064" stopIfTrue="1" operator="equal">
      <formula>TODAY()</formula>
    </cfRule>
  </conditionalFormatting>
  <conditionalFormatting sqref="FS5:FS7 FS10">
    <cfRule type="cellIs" dxfId="1062" priority="1063" stopIfTrue="1" operator="equal">
      <formula>TODAY()</formula>
    </cfRule>
  </conditionalFormatting>
  <conditionalFormatting sqref="FS12 FS15 FS20">
    <cfRule type="cellIs" dxfId="1061" priority="1062" stopIfTrue="1" operator="equal">
      <formula>TODAY()</formula>
    </cfRule>
  </conditionalFormatting>
  <conditionalFormatting sqref="FS18">
    <cfRule type="cellIs" dxfId="1060" priority="1061" stopIfTrue="1" operator="equal">
      <formula>TODAY()</formula>
    </cfRule>
  </conditionalFormatting>
  <conditionalFormatting sqref="FT15 FT12">
    <cfRule type="cellIs" dxfId="1059" priority="1060" stopIfTrue="1" operator="equal">
      <formula>TODAY()</formula>
    </cfRule>
  </conditionalFormatting>
  <conditionalFormatting sqref="FT5:FT7 FT10">
    <cfRule type="cellIs" dxfId="1058" priority="1059" stopIfTrue="1" operator="equal">
      <formula>TODAY()</formula>
    </cfRule>
  </conditionalFormatting>
  <conditionalFormatting sqref="FT12 FT15 FT20">
    <cfRule type="cellIs" dxfId="1057" priority="1058" stopIfTrue="1" operator="equal">
      <formula>TODAY()</formula>
    </cfRule>
  </conditionalFormatting>
  <conditionalFormatting sqref="FT18">
    <cfRule type="cellIs" dxfId="1056" priority="1057" stopIfTrue="1" operator="equal">
      <formula>TODAY()</formula>
    </cfRule>
  </conditionalFormatting>
  <conditionalFormatting sqref="FU15 FU12">
    <cfRule type="cellIs" dxfId="1055" priority="1056" stopIfTrue="1" operator="equal">
      <formula>TODAY()</formula>
    </cfRule>
  </conditionalFormatting>
  <conditionalFormatting sqref="FU5:FU7 FU10">
    <cfRule type="cellIs" dxfId="1054" priority="1055" stopIfTrue="1" operator="equal">
      <formula>TODAY()</formula>
    </cfRule>
  </conditionalFormatting>
  <conditionalFormatting sqref="FU12 FU15 FU20">
    <cfRule type="cellIs" dxfId="1053" priority="1054" stopIfTrue="1" operator="equal">
      <formula>TODAY()</formula>
    </cfRule>
  </conditionalFormatting>
  <conditionalFormatting sqref="FU18">
    <cfRule type="cellIs" dxfId="1052" priority="1053" stopIfTrue="1" operator="equal">
      <formula>TODAY()</formula>
    </cfRule>
  </conditionalFormatting>
  <conditionalFormatting sqref="FV15 FV12">
    <cfRule type="cellIs" dxfId="1051" priority="1052" stopIfTrue="1" operator="equal">
      <formula>TODAY()</formula>
    </cfRule>
  </conditionalFormatting>
  <conditionalFormatting sqref="FV5:FV7 FV10">
    <cfRule type="cellIs" dxfId="1050" priority="1051" stopIfTrue="1" operator="equal">
      <formula>TODAY()</formula>
    </cfRule>
  </conditionalFormatting>
  <conditionalFormatting sqref="FV12 FV15 FV20">
    <cfRule type="cellIs" dxfId="1049" priority="1050" stopIfTrue="1" operator="equal">
      <formula>TODAY()</formula>
    </cfRule>
  </conditionalFormatting>
  <conditionalFormatting sqref="FV18">
    <cfRule type="cellIs" dxfId="1048" priority="1049" stopIfTrue="1" operator="equal">
      <formula>TODAY()</formula>
    </cfRule>
  </conditionalFormatting>
  <conditionalFormatting sqref="FW15 FW12">
    <cfRule type="cellIs" dxfId="1047" priority="1048" stopIfTrue="1" operator="equal">
      <formula>TODAY()</formula>
    </cfRule>
  </conditionalFormatting>
  <conditionalFormatting sqref="FW5:FW7 FW10">
    <cfRule type="cellIs" dxfId="1046" priority="1047" stopIfTrue="1" operator="equal">
      <formula>TODAY()</formula>
    </cfRule>
  </conditionalFormatting>
  <conditionalFormatting sqref="FW12 FW15 FW20">
    <cfRule type="cellIs" dxfId="1045" priority="1046" stopIfTrue="1" operator="equal">
      <formula>TODAY()</formula>
    </cfRule>
  </conditionalFormatting>
  <conditionalFormatting sqref="FW18">
    <cfRule type="cellIs" dxfId="1044" priority="1045" stopIfTrue="1" operator="equal">
      <formula>TODAY()</formula>
    </cfRule>
  </conditionalFormatting>
  <conditionalFormatting sqref="FX15 FX12">
    <cfRule type="cellIs" dxfId="1043" priority="1044" stopIfTrue="1" operator="equal">
      <formula>TODAY()</formula>
    </cfRule>
  </conditionalFormatting>
  <conditionalFormatting sqref="FX5:FX7 FX10">
    <cfRule type="cellIs" dxfId="1042" priority="1043" stopIfTrue="1" operator="equal">
      <formula>TODAY()</formula>
    </cfRule>
  </conditionalFormatting>
  <conditionalFormatting sqref="FX12 FX15 FX20">
    <cfRule type="cellIs" dxfId="1041" priority="1042" stopIfTrue="1" operator="equal">
      <formula>TODAY()</formula>
    </cfRule>
  </conditionalFormatting>
  <conditionalFormatting sqref="FX18">
    <cfRule type="cellIs" dxfId="1040" priority="1041" stopIfTrue="1" operator="equal">
      <formula>TODAY()</formula>
    </cfRule>
  </conditionalFormatting>
  <conditionalFormatting sqref="FY15 FY12">
    <cfRule type="cellIs" dxfId="1039" priority="1040" stopIfTrue="1" operator="equal">
      <formula>TODAY()</formula>
    </cfRule>
  </conditionalFormatting>
  <conditionalFormatting sqref="FY5:FY7 FY10">
    <cfRule type="cellIs" dxfId="1038" priority="1039" stopIfTrue="1" operator="equal">
      <formula>TODAY()</formula>
    </cfRule>
  </conditionalFormatting>
  <conditionalFormatting sqref="FY12 FY15 FY20">
    <cfRule type="cellIs" dxfId="1037" priority="1038" stopIfTrue="1" operator="equal">
      <formula>TODAY()</formula>
    </cfRule>
  </conditionalFormatting>
  <conditionalFormatting sqref="FY18">
    <cfRule type="cellIs" dxfId="1036" priority="1037" stopIfTrue="1" operator="equal">
      <formula>TODAY()</formula>
    </cfRule>
  </conditionalFormatting>
  <conditionalFormatting sqref="FZ15 FZ12">
    <cfRule type="cellIs" dxfId="1035" priority="1036" stopIfTrue="1" operator="equal">
      <formula>TODAY()</formula>
    </cfRule>
  </conditionalFormatting>
  <conditionalFormatting sqref="FZ5:FZ7 FZ10">
    <cfRule type="cellIs" dxfId="1034" priority="1035" stopIfTrue="1" operator="equal">
      <formula>TODAY()</formula>
    </cfRule>
  </conditionalFormatting>
  <conditionalFormatting sqref="FZ12 FZ15 FZ20">
    <cfRule type="cellIs" dxfId="1033" priority="1034" stopIfTrue="1" operator="equal">
      <formula>TODAY()</formula>
    </cfRule>
  </conditionalFormatting>
  <conditionalFormatting sqref="FZ18">
    <cfRule type="cellIs" dxfId="1032" priority="1033" stopIfTrue="1" operator="equal">
      <formula>TODAY()</formula>
    </cfRule>
  </conditionalFormatting>
  <conditionalFormatting sqref="GA15:GE15 GA12:GE12">
    <cfRule type="cellIs" dxfId="1031" priority="1032" stopIfTrue="1" operator="equal">
      <formula>TODAY()</formula>
    </cfRule>
  </conditionalFormatting>
  <conditionalFormatting sqref="GA5:GE7 GA10:GE10">
    <cfRule type="cellIs" dxfId="1030" priority="1031" stopIfTrue="1" operator="equal">
      <formula>TODAY()</formula>
    </cfRule>
  </conditionalFormatting>
  <conditionalFormatting sqref="GA12:GE12 GA15:GE15 GA20:GE20">
    <cfRule type="cellIs" dxfId="1029" priority="1030" stopIfTrue="1" operator="equal">
      <formula>TODAY()</formula>
    </cfRule>
  </conditionalFormatting>
  <conditionalFormatting sqref="GA18:GE18">
    <cfRule type="cellIs" dxfId="1028" priority="1029" stopIfTrue="1" operator="equal">
      <formula>TODAY()</formula>
    </cfRule>
  </conditionalFormatting>
  <conditionalFormatting sqref="GF15 GF12">
    <cfRule type="cellIs" dxfId="1027" priority="1028" stopIfTrue="1" operator="equal">
      <formula>TODAY()</formula>
    </cfRule>
  </conditionalFormatting>
  <conditionalFormatting sqref="GF5:GF7 GF10">
    <cfRule type="cellIs" dxfId="1026" priority="1027" stopIfTrue="1" operator="equal">
      <formula>TODAY()</formula>
    </cfRule>
  </conditionalFormatting>
  <conditionalFormatting sqref="GF12 GF15 GF20">
    <cfRule type="cellIs" dxfId="1025" priority="1026" stopIfTrue="1" operator="equal">
      <formula>TODAY()</formula>
    </cfRule>
  </conditionalFormatting>
  <conditionalFormatting sqref="GF18">
    <cfRule type="cellIs" dxfId="1024" priority="1025" stopIfTrue="1" operator="equal">
      <formula>TODAY()</formula>
    </cfRule>
  </conditionalFormatting>
  <conditionalFormatting sqref="GG15 GG12">
    <cfRule type="cellIs" dxfId="1023" priority="1024" stopIfTrue="1" operator="equal">
      <formula>TODAY()</formula>
    </cfRule>
  </conditionalFormatting>
  <conditionalFormatting sqref="GG5:GG7 GG10">
    <cfRule type="cellIs" dxfId="1022" priority="1023" stopIfTrue="1" operator="equal">
      <formula>TODAY()</formula>
    </cfRule>
  </conditionalFormatting>
  <conditionalFormatting sqref="GG12 GG15 GG20">
    <cfRule type="cellIs" dxfId="1021" priority="1022" stopIfTrue="1" operator="equal">
      <formula>TODAY()</formula>
    </cfRule>
  </conditionalFormatting>
  <conditionalFormatting sqref="GG18">
    <cfRule type="cellIs" dxfId="1020" priority="1021" stopIfTrue="1" operator="equal">
      <formula>TODAY()</formula>
    </cfRule>
  </conditionalFormatting>
  <conditionalFormatting sqref="GH15 GH12">
    <cfRule type="cellIs" dxfId="1019" priority="1020" stopIfTrue="1" operator="equal">
      <formula>TODAY()</formula>
    </cfRule>
  </conditionalFormatting>
  <conditionalFormatting sqref="GH5:GH7 GH10">
    <cfRule type="cellIs" dxfId="1018" priority="1019" stopIfTrue="1" operator="equal">
      <formula>TODAY()</formula>
    </cfRule>
  </conditionalFormatting>
  <conditionalFormatting sqref="GH12 GH15 GH20">
    <cfRule type="cellIs" dxfId="1017" priority="1018" stopIfTrue="1" operator="equal">
      <formula>TODAY()</formula>
    </cfRule>
  </conditionalFormatting>
  <conditionalFormatting sqref="GH18">
    <cfRule type="cellIs" dxfId="1016" priority="1017" stopIfTrue="1" operator="equal">
      <formula>TODAY()</formula>
    </cfRule>
  </conditionalFormatting>
  <conditionalFormatting sqref="GI15 GI12">
    <cfRule type="cellIs" dxfId="1015" priority="1016" stopIfTrue="1" operator="equal">
      <formula>TODAY()</formula>
    </cfRule>
  </conditionalFormatting>
  <conditionalFormatting sqref="GI5:GI7 GI10">
    <cfRule type="cellIs" dxfId="1014" priority="1015" stopIfTrue="1" operator="equal">
      <formula>TODAY()</formula>
    </cfRule>
  </conditionalFormatting>
  <conditionalFormatting sqref="GI12 GI15 GI20">
    <cfRule type="cellIs" dxfId="1013" priority="1014" stopIfTrue="1" operator="equal">
      <formula>TODAY()</formula>
    </cfRule>
  </conditionalFormatting>
  <conditionalFormatting sqref="GI18">
    <cfRule type="cellIs" dxfId="1012" priority="1013" stopIfTrue="1" operator="equal">
      <formula>TODAY()</formula>
    </cfRule>
  </conditionalFormatting>
  <conditionalFormatting sqref="GJ15 GJ12">
    <cfRule type="cellIs" dxfId="1011" priority="1012" stopIfTrue="1" operator="equal">
      <formula>TODAY()</formula>
    </cfRule>
  </conditionalFormatting>
  <conditionalFormatting sqref="GJ5:GJ7 GJ10">
    <cfRule type="cellIs" dxfId="1010" priority="1011" stopIfTrue="1" operator="equal">
      <formula>TODAY()</formula>
    </cfRule>
  </conditionalFormatting>
  <conditionalFormatting sqref="GJ12 GJ15 GJ20">
    <cfRule type="cellIs" dxfId="1009" priority="1010" stopIfTrue="1" operator="equal">
      <formula>TODAY()</formula>
    </cfRule>
  </conditionalFormatting>
  <conditionalFormatting sqref="GJ18">
    <cfRule type="cellIs" dxfId="1008" priority="1009" stopIfTrue="1" operator="equal">
      <formula>TODAY()</formula>
    </cfRule>
  </conditionalFormatting>
  <conditionalFormatting sqref="GK15 GK12">
    <cfRule type="cellIs" dxfId="1007" priority="1008" stopIfTrue="1" operator="equal">
      <formula>TODAY()</formula>
    </cfRule>
  </conditionalFormatting>
  <conditionalFormatting sqref="GK5:GK7 GK10">
    <cfRule type="cellIs" dxfId="1006" priority="1007" stopIfTrue="1" operator="equal">
      <formula>TODAY()</formula>
    </cfRule>
  </conditionalFormatting>
  <conditionalFormatting sqref="GK12 GK15 GK20">
    <cfRule type="cellIs" dxfId="1005" priority="1006" stopIfTrue="1" operator="equal">
      <formula>TODAY()</formula>
    </cfRule>
  </conditionalFormatting>
  <conditionalFormatting sqref="GK18">
    <cfRule type="cellIs" dxfId="1004" priority="1005" stopIfTrue="1" operator="equal">
      <formula>TODAY()</formula>
    </cfRule>
  </conditionalFormatting>
  <conditionalFormatting sqref="GL15 GL12">
    <cfRule type="cellIs" dxfId="1003" priority="1004" stopIfTrue="1" operator="equal">
      <formula>TODAY()</formula>
    </cfRule>
  </conditionalFormatting>
  <conditionalFormatting sqref="GL5:GL7 GL10">
    <cfRule type="cellIs" dxfId="1002" priority="1003" stopIfTrue="1" operator="equal">
      <formula>TODAY()</formula>
    </cfRule>
  </conditionalFormatting>
  <conditionalFormatting sqref="GL12 GL15 GL20">
    <cfRule type="cellIs" dxfId="1001" priority="1002" stopIfTrue="1" operator="equal">
      <formula>TODAY()</formula>
    </cfRule>
  </conditionalFormatting>
  <conditionalFormatting sqref="GL18">
    <cfRule type="cellIs" dxfId="1000" priority="1001" stopIfTrue="1" operator="equal">
      <formula>TODAY()</formula>
    </cfRule>
  </conditionalFormatting>
  <conditionalFormatting sqref="GM15 GM12">
    <cfRule type="cellIs" dxfId="999" priority="1000" stopIfTrue="1" operator="equal">
      <formula>TODAY()</formula>
    </cfRule>
  </conditionalFormatting>
  <conditionalFormatting sqref="GM5:GM7 GM10">
    <cfRule type="cellIs" dxfId="998" priority="999" stopIfTrue="1" operator="equal">
      <formula>TODAY()</formula>
    </cfRule>
  </conditionalFormatting>
  <conditionalFormatting sqref="GM12 GM15 GM20">
    <cfRule type="cellIs" dxfId="997" priority="998" stopIfTrue="1" operator="equal">
      <formula>TODAY()</formula>
    </cfRule>
  </conditionalFormatting>
  <conditionalFormatting sqref="GM18">
    <cfRule type="cellIs" dxfId="996" priority="997" stopIfTrue="1" operator="equal">
      <formula>TODAY()</formula>
    </cfRule>
  </conditionalFormatting>
  <conditionalFormatting sqref="GN15 GN12">
    <cfRule type="cellIs" dxfId="995" priority="996" stopIfTrue="1" operator="equal">
      <formula>TODAY()</formula>
    </cfRule>
  </conditionalFormatting>
  <conditionalFormatting sqref="GN5:GN7 GN10">
    <cfRule type="cellIs" dxfId="994" priority="995" stopIfTrue="1" operator="equal">
      <formula>TODAY()</formula>
    </cfRule>
  </conditionalFormatting>
  <conditionalFormatting sqref="GN12 GN15 GN20">
    <cfRule type="cellIs" dxfId="993" priority="994" stopIfTrue="1" operator="equal">
      <formula>TODAY()</formula>
    </cfRule>
  </conditionalFormatting>
  <conditionalFormatting sqref="GN18">
    <cfRule type="cellIs" dxfId="992" priority="993" stopIfTrue="1" operator="equal">
      <formula>TODAY()</formula>
    </cfRule>
  </conditionalFormatting>
  <conditionalFormatting sqref="GO15 GO12">
    <cfRule type="cellIs" dxfId="991" priority="992" stopIfTrue="1" operator="equal">
      <formula>TODAY()</formula>
    </cfRule>
  </conditionalFormatting>
  <conditionalFormatting sqref="GO5:GO7 GO10">
    <cfRule type="cellIs" dxfId="990" priority="991" stopIfTrue="1" operator="equal">
      <formula>TODAY()</formula>
    </cfRule>
  </conditionalFormatting>
  <conditionalFormatting sqref="GO12 GO15 GO20">
    <cfRule type="cellIs" dxfId="989" priority="990" stopIfTrue="1" operator="equal">
      <formula>TODAY()</formula>
    </cfRule>
  </conditionalFormatting>
  <conditionalFormatting sqref="GO18">
    <cfRule type="cellIs" dxfId="988" priority="989" stopIfTrue="1" operator="equal">
      <formula>TODAY()</formula>
    </cfRule>
  </conditionalFormatting>
  <conditionalFormatting sqref="GP15 GP12">
    <cfRule type="cellIs" dxfId="987" priority="988" stopIfTrue="1" operator="equal">
      <formula>TODAY()</formula>
    </cfRule>
  </conditionalFormatting>
  <conditionalFormatting sqref="GP5:GP7 GP10">
    <cfRule type="cellIs" dxfId="986" priority="987" stopIfTrue="1" operator="equal">
      <formula>TODAY()</formula>
    </cfRule>
  </conditionalFormatting>
  <conditionalFormatting sqref="GP12 GP15 GP20">
    <cfRule type="cellIs" dxfId="985" priority="986" stopIfTrue="1" operator="equal">
      <formula>TODAY()</formula>
    </cfRule>
  </conditionalFormatting>
  <conditionalFormatting sqref="GP18">
    <cfRule type="cellIs" dxfId="984" priority="985" stopIfTrue="1" operator="equal">
      <formula>TODAY()</formula>
    </cfRule>
  </conditionalFormatting>
  <conditionalFormatting sqref="GQ15 GQ12">
    <cfRule type="cellIs" dxfId="983" priority="984" stopIfTrue="1" operator="equal">
      <formula>TODAY()</formula>
    </cfRule>
  </conditionalFormatting>
  <conditionalFormatting sqref="GQ5:GQ7 GQ10">
    <cfRule type="cellIs" dxfId="982" priority="983" stopIfTrue="1" operator="equal">
      <formula>TODAY()</formula>
    </cfRule>
  </conditionalFormatting>
  <conditionalFormatting sqref="GQ12 GQ15 GQ20">
    <cfRule type="cellIs" dxfId="981" priority="982" stopIfTrue="1" operator="equal">
      <formula>TODAY()</formula>
    </cfRule>
  </conditionalFormatting>
  <conditionalFormatting sqref="GQ18">
    <cfRule type="cellIs" dxfId="980" priority="981" stopIfTrue="1" operator="equal">
      <formula>TODAY()</formula>
    </cfRule>
  </conditionalFormatting>
  <conditionalFormatting sqref="GR15 GR12">
    <cfRule type="cellIs" dxfId="979" priority="980" stopIfTrue="1" operator="equal">
      <formula>TODAY()</formula>
    </cfRule>
  </conditionalFormatting>
  <conditionalFormatting sqref="GR5:GR7 GR10">
    <cfRule type="cellIs" dxfId="978" priority="979" stopIfTrue="1" operator="equal">
      <formula>TODAY()</formula>
    </cfRule>
  </conditionalFormatting>
  <conditionalFormatting sqref="GR12 GR15 GR20">
    <cfRule type="cellIs" dxfId="977" priority="978" stopIfTrue="1" operator="equal">
      <formula>TODAY()</formula>
    </cfRule>
  </conditionalFormatting>
  <conditionalFormatting sqref="GR18">
    <cfRule type="cellIs" dxfId="976" priority="977" stopIfTrue="1" operator="equal">
      <formula>TODAY()</formula>
    </cfRule>
  </conditionalFormatting>
  <conditionalFormatting sqref="GS15 GS12">
    <cfRule type="cellIs" dxfId="975" priority="976" stopIfTrue="1" operator="equal">
      <formula>TODAY()</formula>
    </cfRule>
  </conditionalFormatting>
  <conditionalFormatting sqref="GS5:GS7 GS10">
    <cfRule type="cellIs" dxfId="974" priority="975" stopIfTrue="1" operator="equal">
      <formula>TODAY()</formula>
    </cfRule>
  </conditionalFormatting>
  <conditionalFormatting sqref="GS12 GS15 GS20">
    <cfRule type="cellIs" dxfId="973" priority="974" stopIfTrue="1" operator="equal">
      <formula>TODAY()</formula>
    </cfRule>
  </conditionalFormatting>
  <conditionalFormatting sqref="GS18">
    <cfRule type="cellIs" dxfId="972" priority="973" stopIfTrue="1" operator="equal">
      <formula>TODAY()</formula>
    </cfRule>
  </conditionalFormatting>
  <conditionalFormatting sqref="GT15 GT12">
    <cfRule type="cellIs" dxfId="971" priority="972" stopIfTrue="1" operator="equal">
      <formula>TODAY()</formula>
    </cfRule>
  </conditionalFormatting>
  <conditionalFormatting sqref="GT5:GT7 GT10">
    <cfRule type="cellIs" dxfId="970" priority="971" stopIfTrue="1" operator="equal">
      <formula>TODAY()</formula>
    </cfRule>
  </conditionalFormatting>
  <conditionalFormatting sqref="GT12 GT15 GT20">
    <cfRule type="cellIs" dxfId="969" priority="970" stopIfTrue="1" operator="equal">
      <formula>TODAY()</formula>
    </cfRule>
  </conditionalFormatting>
  <conditionalFormatting sqref="GT18">
    <cfRule type="cellIs" dxfId="968" priority="969" stopIfTrue="1" operator="equal">
      <formula>TODAY()</formula>
    </cfRule>
  </conditionalFormatting>
  <conditionalFormatting sqref="GU15 GU12">
    <cfRule type="cellIs" dxfId="967" priority="968" stopIfTrue="1" operator="equal">
      <formula>TODAY()</formula>
    </cfRule>
  </conditionalFormatting>
  <conditionalFormatting sqref="GU5:GU7 GU10">
    <cfRule type="cellIs" dxfId="966" priority="967" stopIfTrue="1" operator="equal">
      <formula>TODAY()</formula>
    </cfRule>
  </conditionalFormatting>
  <conditionalFormatting sqref="GU12 GU15 GU20">
    <cfRule type="cellIs" dxfId="965" priority="966" stopIfTrue="1" operator="equal">
      <formula>TODAY()</formula>
    </cfRule>
  </conditionalFormatting>
  <conditionalFormatting sqref="GU18">
    <cfRule type="cellIs" dxfId="964" priority="965" stopIfTrue="1" operator="equal">
      <formula>TODAY()</formula>
    </cfRule>
  </conditionalFormatting>
  <conditionalFormatting sqref="GV15 GV12">
    <cfRule type="cellIs" dxfId="963" priority="964" stopIfTrue="1" operator="equal">
      <formula>TODAY()</formula>
    </cfRule>
  </conditionalFormatting>
  <conditionalFormatting sqref="GV5:GV7 GV10">
    <cfRule type="cellIs" dxfId="962" priority="963" stopIfTrue="1" operator="equal">
      <formula>TODAY()</formula>
    </cfRule>
  </conditionalFormatting>
  <conditionalFormatting sqref="GV12 GV15 GV20">
    <cfRule type="cellIs" dxfId="961" priority="962" stopIfTrue="1" operator="equal">
      <formula>TODAY()</formula>
    </cfRule>
  </conditionalFormatting>
  <conditionalFormatting sqref="GV18">
    <cfRule type="cellIs" dxfId="960" priority="961" stopIfTrue="1" operator="equal">
      <formula>TODAY()</formula>
    </cfRule>
  </conditionalFormatting>
  <conditionalFormatting sqref="GW15 GW12">
    <cfRule type="cellIs" dxfId="959" priority="960" stopIfTrue="1" operator="equal">
      <formula>TODAY()</formula>
    </cfRule>
  </conditionalFormatting>
  <conditionalFormatting sqref="GW5:GW7 GW10">
    <cfRule type="cellIs" dxfId="958" priority="959" stopIfTrue="1" operator="equal">
      <formula>TODAY()</formula>
    </cfRule>
  </conditionalFormatting>
  <conditionalFormatting sqref="GW12 GW15 GW20">
    <cfRule type="cellIs" dxfId="957" priority="958" stopIfTrue="1" operator="equal">
      <formula>TODAY()</formula>
    </cfRule>
  </conditionalFormatting>
  <conditionalFormatting sqref="GW18">
    <cfRule type="cellIs" dxfId="956" priority="957" stopIfTrue="1" operator="equal">
      <formula>TODAY()</formula>
    </cfRule>
  </conditionalFormatting>
  <conditionalFormatting sqref="GX15 GX12">
    <cfRule type="cellIs" dxfId="955" priority="956" stopIfTrue="1" operator="equal">
      <formula>TODAY()</formula>
    </cfRule>
  </conditionalFormatting>
  <conditionalFormatting sqref="GX5:GX7 GX10">
    <cfRule type="cellIs" dxfId="954" priority="955" stopIfTrue="1" operator="equal">
      <formula>TODAY()</formula>
    </cfRule>
  </conditionalFormatting>
  <conditionalFormatting sqref="GX12 GX15 GX20">
    <cfRule type="cellIs" dxfId="953" priority="954" stopIfTrue="1" operator="equal">
      <formula>TODAY()</formula>
    </cfRule>
  </conditionalFormatting>
  <conditionalFormatting sqref="GX18">
    <cfRule type="cellIs" dxfId="952" priority="953" stopIfTrue="1" operator="equal">
      <formula>TODAY()</formula>
    </cfRule>
  </conditionalFormatting>
  <conditionalFormatting sqref="GY15 GY12">
    <cfRule type="cellIs" dxfId="951" priority="952" stopIfTrue="1" operator="equal">
      <formula>TODAY()</formula>
    </cfRule>
  </conditionalFormatting>
  <conditionalFormatting sqref="GY5:GY7 GY10">
    <cfRule type="cellIs" dxfId="950" priority="951" stopIfTrue="1" operator="equal">
      <formula>TODAY()</formula>
    </cfRule>
  </conditionalFormatting>
  <conditionalFormatting sqref="GY12 GY15 GY20">
    <cfRule type="cellIs" dxfId="949" priority="950" stopIfTrue="1" operator="equal">
      <formula>TODAY()</formula>
    </cfRule>
  </conditionalFormatting>
  <conditionalFormatting sqref="GY18">
    <cfRule type="cellIs" dxfId="948" priority="949" stopIfTrue="1" operator="equal">
      <formula>TODAY()</formula>
    </cfRule>
  </conditionalFormatting>
  <conditionalFormatting sqref="GZ15 GZ12">
    <cfRule type="cellIs" dxfId="947" priority="948" stopIfTrue="1" operator="equal">
      <formula>TODAY()</formula>
    </cfRule>
  </conditionalFormatting>
  <conditionalFormatting sqref="GZ5:GZ7 GZ10">
    <cfRule type="cellIs" dxfId="946" priority="947" stopIfTrue="1" operator="equal">
      <formula>TODAY()</formula>
    </cfRule>
  </conditionalFormatting>
  <conditionalFormatting sqref="GZ12 GZ15 GZ20">
    <cfRule type="cellIs" dxfId="945" priority="946" stopIfTrue="1" operator="equal">
      <formula>TODAY()</formula>
    </cfRule>
  </conditionalFormatting>
  <conditionalFormatting sqref="GZ18">
    <cfRule type="cellIs" dxfId="944" priority="945" stopIfTrue="1" operator="equal">
      <formula>TODAY()</formula>
    </cfRule>
  </conditionalFormatting>
  <conditionalFormatting sqref="HA15 HA12">
    <cfRule type="cellIs" dxfId="943" priority="944" stopIfTrue="1" operator="equal">
      <formula>TODAY()</formula>
    </cfRule>
  </conditionalFormatting>
  <conditionalFormatting sqref="HA5:HA7 HA10">
    <cfRule type="cellIs" dxfId="942" priority="943" stopIfTrue="1" operator="equal">
      <formula>TODAY()</formula>
    </cfRule>
  </conditionalFormatting>
  <conditionalFormatting sqref="HA12 HA15 HA20">
    <cfRule type="cellIs" dxfId="941" priority="942" stopIfTrue="1" operator="equal">
      <formula>TODAY()</formula>
    </cfRule>
  </conditionalFormatting>
  <conditionalFormatting sqref="HA18">
    <cfRule type="cellIs" dxfId="940" priority="941" stopIfTrue="1" operator="equal">
      <formula>TODAY()</formula>
    </cfRule>
  </conditionalFormatting>
  <conditionalFormatting sqref="HB15 HB12">
    <cfRule type="cellIs" dxfId="939" priority="940" stopIfTrue="1" operator="equal">
      <formula>TODAY()</formula>
    </cfRule>
  </conditionalFormatting>
  <conditionalFormatting sqref="HB5:HB7 HB10">
    <cfRule type="cellIs" dxfId="938" priority="939" stopIfTrue="1" operator="equal">
      <formula>TODAY()</formula>
    </cfRule>
  </conditionalFormatting>
  <conditionalFormatting sqref="HB12 HB15 HB20">
    <cfRule type="cellIs" dxfId="937" priority="938" stopIfTrue="1" operator="equal">
      <formula>TODAY()</formula>
    </cfRule>
  </conditionalFormatting>
  <conditionalFormatting sqref="HB18">
    <cfRule type="cellIs" dxfId="936" priority="937" stopIfTrue="1" operator="equal">
      <formula>TODAY()</formula>
    </cfRule>
  </conditionalFormatting>
  <conditionalFormatting sqref="HC15 HC12">
    <cfRule type="cellIs" dxfId="935" priority="936" stopIfTrue="1" operator="equal">
      <formula>TODAY()</formula>
    </cfRule>
  </conditionalFormatting>
  <conditionalFormatting sqref="HC5:HC7 HC10">
    <cfRule type="cellIs" dxfId="934" priority="935" stopIfTrue="1" operator="equal">
      <formula>TODAY()</formula>
    </cfRule>
  </conditionalFormatting>
  <conditionalFormatting sqref="HC12 HC15 HC20">
    <cfRule type="cellIs" dxfId="933" priority="934" stopIfTrue="1" operator="equal">
      <formula>TODAY()</formula>
    </cfRule>
  </conditionalFormatting>
  <conditionalFormatting sqref="HC18">
    <cfRule type="cellIs" dxfId="932" priority="933" stopIfTrue="1" operator="equal">
      <formula>TODAY()</formula>
    </cfRule>
  </conditionalFormatting>
  <conditionalFormatting sqref="HD15 HD12">
    <cfRule type="cellIs" dxfId="931" priority="932" stopIfTrue="1" operator="equal">
      <formula>TODAY()</formula>
    </cfRule>
  </conditionalFormatting>
  <conditionalFormatting sqref="HD5:HD7 HD10">
    <cfRule type="cellIs" dxfId="930" priority="931" stopIfTrue="1" operator="equal">
      <formula>TODAY()</formula>
    </cfRule>
  </conditionalFormatting>
  <conditionalFormatting sqref="HD12 HD15 HD20">
    <cfRule type="cellIs" dxfId="929" priority="930" stopIfTrue="1" operator="equal">
      <formula>TODAY()</formula>
    </cfRule>
  </conditionalFormatting>
  <conditionalFormatting sqref="HD18">
    <cfRule type="cellIs" dxfId="928" priority="929" stopIfTrue="1" operator="equal">
      <formula>TODAY()</formula>
    </cfRule>
  </conditionalFormatting>
  <conditionalFormatting sqref="HE15 HE12">
    <cfRule type="cellIs" dxfId="927" priority="928" stopIfTrue="1" operator="equal">
      <formula>TODAY()</formula>
    </cfRule>
  </conditionalFormatting>
  <conditionalFormatting sqref="HE5:HE7 HE10">
    <cfRule type="cellIs" dxfId="926" priority="927" stopIfTrue="1" operator="equal">
      <formula>TODAY()</formula>
    </cfRule>
  </conditionalFormatting>
  <conditionalFormatting sqref="HE12 HE15 HE20">
    <cfRule type="cellIs" dxfId="925" priority="926" stopIfTrue="1" operator="equal">
      <formula>TODAY()</formula>
    </cfRule>
  </conditionalFormatting>
  <conditionalFormatting sqref="HE18">
    <cfRule type="cellIs" dxfId="924" priority="925" stopIfTrue="1" operator="equal">
      <formula>TODAY()</formula>
    </cfRule>
  </conditionalFormatting>
  <conditionalFormatting sqref="HF15 HF12">
    <cfRule type="cellIs" dxfId="923" priority="924" stopIfTrue="1" operator="equal">
      <formula>TODAY()</formula>
    </cfRule>
  </conditionalFormatting>
  <conditionalFormatting sqref="HF5:HF7 HF10">
    <cfRule type="cellIs" dxfId="922" priority="923" stopIfTrue="1" operator="equal">
      <formula>TODAY()</formula>
    </cfRule>
  </conditionalFormatting>
  <conditionalFormatting sqref="HF12 HF15 HF20">
    <cfRule type="cellIs" dxfId="921" priority="922" stopIfTrue="1" operator="equal">
      <formula>TODAY()</formula>
    </cfRule>
  </conditionalFormatting>
  <conditionalFormatting sqref="HF18">
    <cfRule type="cellIs" dxfId="920" priority="921" stopIfTrue="1" operator="equal">
      <formula>TODAY()</formula>
    </cfRule>
  </conditionalFormatting>
  <conditionalFormatting sqref="HG15 HG12">
    <cfRule type="cellIs" dxfId="919" priority="920" stopIfTrue="1" operator="equal">
      <formula>TODAY()</formula>
    </cfRule>
  </conditionalFormatting>
  <conditionalFormatting sqref="HG5:HG7 HG10">
    <cfRule type="cellIs" dxfId="918" priority="919" stopIfTrue="1" operator="equal">
      <formula>TODAY()</formula>
    </cfRule>
  </conditionalFormatting>
  <conditionalFormatting sqref="HG12 HG15 HG20">
    <cfRule type="cellIs" dxfId="917" priority="918" stopIfTrue="1" operator="equal">
      <formula>TODAY()</formula>
    </cfRule>
  </conditionalFormatting>
  <conditionalFormatting sqref="HG18">
    <cfRule type="cellIs" dxfId="916" priority="917" stopIfTrue="1" operator="equal">
      <formula>TODAY()</formula>
    </cfRule>
  </conditionalFormatting>
  <conditionalFormatting sqref="HH15 HH12">
    <cfRule type="cellIs" dxfId="915" priority="916" stopIfTrue="1" operator="equal">
      <formula>TODAY()</formula>
    </cfRule>
  </conditionalFormatting>
  <conditionalFormatting sqref="HH5:HH7 HH10">
    <cfRule type="cellIs" dxfId="914" priority="915" stopIfTrue="1" operator="equal">
      <formula>TODAY()</formula>
    </cfRule>
  </conditionalFormatting>
  <conditionalFormatting sqref="HH12 HH15 HH20">
    <cfRule type="cellIs" dxfId="913" priority="914" stopIfTrue="1" operator="equal">
      <formula>TODAY()</formula>
    </cfRule>
  </conditionalFormatting>
  <conditionalFormatting sqref="HH18">
    <cfRule type="cellIs" dxfId="912" priority="913" stopIfTrue="1" operator="equal">
      <formula>TODAY()</formula>
    </cfRule>
  </conditionalFormatting>
  <conditionalFormatting sqref="HI15 HI12">
    <cfRule type="cellIs" dxfId="911" priority="912" stopIfTrue="1" operator="equal">
      <formula>TODAY()</formula>
    </cfRule>
  </conditionalFormatting>
  <conditionalFormatting sqref="HI5:HI7 HI10">
    <cfRule type="cellIs" dxfId="910" priority="911" stopIfTrue="1" operator="equal">
      <formula>TODAY()</formula>
    </cfRule>
  </conditionalFormatting>
  <conditionalFormatting sqref="HI12 HI15 HI20">
    <cfRule type="cellIs" dxfId="909" priority="910" stopIfTrue="1" operator="equal">
      <formula>TODAY()</formula>
    </cfRule>
  </conditionalFormatting>
  <conditionalFormatting sqref="HI18">
    <cfRule type="cellIs" dxfId="908" priority="909" stopIfTrue="1" operator="equal">
      <formula>TODAY()</formula>
    </cfRule>
  </conditionalFormatting>
  <conditionalFormatting sqref="HJ15 HJ12">
    <cfRule type="cellIs" dxfId="907" priority="908" stopIfTrue="1" operator="equal">
      <formula>TODAY()</formula>
    </cfRule>
  </conditionalFormatting>
  <conditionalFormatting sqref="HJ5:HJ7 HJ10">
    <cfRule type="cellIs" dxfId="906" priority="907" stopIfTrue="1" operator="equal">
      <formula>TODAY()</formula>
    </cfRule>
  </conditionalFormatting>
  <conditionalFormatting sqref="HJ12 HJ15 HJ20">
    <cfRule type="cellIs" dxfId="905" priority="906" stopIfTrue="1" operator="equal">
      <formula>TODAY()</formula>
    </cfRule>
  </conditionalFormatting>
  <conditionalFormatting sqref="HJ18">
    <cfRule type="cellIs" dxfId="904" priority="905" stopIfTrue="1" operator="equal">
      <formula>TODAY()</formula>
    </cfRule>
  </conditionalFormatting>
  <conditionalFormatting sqref="HK15 HK12">
    <cfRule type="cellIs" dxfId="903" priority="904" stopIfTrue="1" operator="equal">
      <formula>TODAY()</formula>
    </cfRule>
  </conditionalFormatting>
  <conditionalFormatting sqref="HK5:HK7 HK10">
    <cfRule type="cellIs" dxfId="902" priority="903" stopIfTrue="1" operator="equal">
      <formula>TODAY()</formula>
    </cfRule>
  </conditionalFormatting>
  <conditionalFormatting sqref="HK12 HK15 HK20">
    <cfRule type="cellIs" dxfId="901" priority="902" stopIfTrue="1" operator="equal">
      <formula>TODAY()</formula>
    </cfRule>
  </conditionalFormatting>
  <conditionalFormatting sqref="HK18">
    <cfRule type="cellIs" dxfId="900" priority="901" stopIfTrue="1" operator="equal">
      <formula>TODAY()</formula>
    </cfRule>
  </conditionalFormatting>
  <conditionalFormatting sqref="HL15 HL12">
    <cfRule type="cellIs" dxfId="899" priority="900" stopIfTrue="1" operator="equal">
      <formula>TODAY()</formula>
    </cfRule>
  </conditionalFormatting>
  <conditionalFormatting sqref="HL5:HL7 HL10">
    <cfRule type="cellIs" dxfId="898" priority="899" stopIfTrue="1" operator="equal">
      <formula>TODAY()</formula>
    </cfRule>
  </conditionalFormatting>
  <conditionalFormatting sqref="HL12 HL15 HL20">
    <cfRule type="cellIs" dxfId="897" priority="898" stopIfTrue="1" operator="equal">
      <formula>TODAY()</formula>
    </cfRule>
  </conditionalFormatting>
  <conditionalFormatting sqref="HL18">
    <cfRule type="cellIs" dxfId="896" priority="897" stopIfTrue="1" operator="equal">
      <formula>TODAY()</formula>
    </cfRule>
  </conditionalFormatting>
  <conditionalFormatting sqref="HM15 HM12">
    <cfRule type="cellIs" dxfId="895" priority="896" stopIfTrue="1" operator="equal">
      <formula>TODAY()</formula>
    </cfRule>
  </conditionalFormatting>
  <conditionalFormatting sqref="HM5:HM7 HM10">
    <cfRule type="cellIs" dxfId="894" priority="895" stopIfTrue="1" operator="equal">
      <formula>TODAY()</formula>
    </cfRule>
  </conditionalFormatting>
  <conditionalFormatting sqref="HM12 HM15 HM20">
    <cfRule type="cellIs" dxfId="893" priority="894" stopIfTrue="1" operator="equal">
      <formula>TODAY()</formula>
    </cfRule>
  </conditionalFormatting>
  <conditionalFormatting sqref="HM18">
    <cfRule type="cellIs" dxfId="892" priority="893" stopIfTrue="1" operator="equal">
      <formula>TODAY()</formula>
    </cfRule>
  </conditionalFormatting>
  <conditionalFormatting sqref="HN15 HN12">
    <cfRule type="cellIs" dxfId="891" priority="892" stopIfTrue="1" operator="equal">
      <formula>TODAY()</formula>
    </cfRule>
  </conditionalFormatting>
  <conditionalFormatting sqref="HN5:HN7 HN10">
    <cfRule type="cellIs" dxfId="890" priority="891" stopIfTrue="1" operator="equal">
      <formula>TODAY()</formula>
    </cfRule>
  </conditionalFormatting>
  <conditionalFormatting sqref="HN12 HN15 HN20">
    <cfRule type="cellIs" dxfId="889" priority="890" stopIfTrue="1" operator="equal">
      <formula>TODAY()</formula>
    </cfRule>
  </conditionalFormatting>
  <conditionalFormatting sqref="HN18">
    <cfRule type="cellIs" dxfId="888" priority="889" stopIfTrue="1" operator="equal">
      <formula>TODAY()</formula>
    </cfRule>
  </conditionalFormatting>
  <conditionalFormatting sqref="HO15 HO12">
    <cfRule type="cellIs" dxfId="887" priority="888" stopIfTrue="1" operator="equal">
      <formula>TODAY()</formula>
    </cfRule>
  </conditionalFormatting>
  <conditionalFormatting sqref="HO5:HO7 HO10">
    <cfRule type="cellIs" dxfId="886" priority="887" stopIfTrue="1" operator="equal">
      <formula>TODAY()</formula>
    </cfRule>
  </conditionalFormatting>
  <conditionalFormatting sqref="HO12 HO15 HO20">
    <cfRule type="cellIs" dxfId="885" priority="886" stopIfTrue="1" operator="equal">
      <formula>TODAY()</formula>
    </cfRule>
  </conditionalFormatting>
  <conditionalFormatting sqref="HO18">
    <cfRule type="cellIs" dxfId="884" priority="885" stopIfTrue="1" operator="equal">
      <formula>TODAY()</formula>
    </cfRule>
  </conditionalFormatting>
  <conditionalFormatting sqref="HP15 HP12">
    <cfRule type="cellIs" dxfId="883" priority="884" stopIfTrue="1" operator="equal">
      <formula>TODAY()</formula>
    </cfRule>
  </conditionalFormatting>
  <conditionalFormatting sqref="HP5:HP7 HP10">
    <cfRule type="cellIs" dxfId="882" priority="883" stopIfTrue="1" operator="equal">
      <formula>TODAY()</formula>
    </cfRule>
  </conditionalFormatting>
  <conditionalFormatting sqref="HP12 HP15 HP20">
    <cfRule type="cellIs" dxfId="881" priority="882" stopIfTrue="1" operator="equal">
      <formula>TODAY()</formula>
    </cfRule>
  </conditionalFormatting>
  <conditionalFormatting sqref="HP18">
    <cfRule type="cellIs" dxfId="880" priority="881" stopIfTrue="1" operator="equal">
      <formula>TODAY()</formula>
    </cfRule>
  </conditionalFormatting>
  <conditionalFormatting sqref="HQ15 HQ12">
    <cfRule type="cellIs" dxfId="879" priority="880" stopIfTrue="1" operator="equal">
      <formula>TODAY()</formula>
    </cfRule>
  </conditionalFormatting>
  <conditionalFormatting sqref="HQ5:HQ7 HQ10">
    <cfRule type="cellIs" dxfId="878" priority="879" stopIfTrue="1" operator="equal">
      <formula>TODAY()</formula>
    </cfRule>
  </conditionalFormatting>
  <conditionalFormatting sqref="HQ12 HQ15 HQ20">
    <cfRule type="cellIs" dxfId="877" priority="878" stopIfTrue="1" operator="equal">
      <formula>TODAY()</formula>
    </cfRule>
  </conditionalFormatting>
  <conditionalFormatting sqref="HQ18">
    <cfRule type="cellIs" dxfId="876" priority="877" stopIfTrue="1" operator="equal">
      <formula>TODAY()</formula>
    </cfRule>
  </conditionalFormatting>
  <conditionalFormatting sqref="HR15 HR12">
    <cfRule type="cellIs" dxfId="875" priority="876" stopIfTrue="1" operator="equal">
      <formula>TODAY()</formula>
    </cfRule>
  </conditionalFormatting>
  <conditionalFormatting sqref="HR5:HR7 HR10">
    <cfRule type="cellIs" dxfId="874" priority="875" stopIfTrue="1" operator="equal">
      <formula>TODAY()</formula>
    </cfRule>
  </conditionalFormatting>
  <conditionalFormatting sqref="HR12 HR15 HR20">
    <cfRule type="cellIs" dxfId="873" priority="874" stopIfTrue="1" operator="equal">
      <formula>TODAY()</formula>
    </cfRule>
  </conditionalFormatting>
  <conditionalFormatting sqref="HR18">
    <cfRule type="cellIs" dxfId="872" priority="873" stopIfTrue="1" operator="equal">
      <formula>TODAY()</formula>
    </cfRule>
  </conditionalFormatting>
  <conditionalFormatting sqref="HS15 HS12">
    <cfRule type="cellIs" dxfId="871" priority="872" stopIfTrue="1" operator="equal">
      <formula>TODAY()</formula>
    </cfRule>
  </conditionalFormatting>
  <conditionalFormatting sqref="HS5:HS7 HS10">
    <cfRule type="cellIs" dxfId="870" priority="871" stopIfTrue="1" operator="equal">
      <formula>TODAY()</formula>
    </cfRule>
  </conditionalFormatting>
  <conditionalFormatting sqref="HS12 HS15 HS20">
    <cfRule type="cellIs" dxfId="869" priority="870" stopIfTrue="1" operator="equal">
      <formula>TODAY()</formula>
    </cfRule>
  </conditionalFormatting>
  <conditionalFormatting sqref="HS18">
    <cfRule type="cellIs" dxfId="868" priority="869" stopIfTrue="1" operator="equal">
      <formula>TODAY()</formula>
    </cfRule>
  </conditionalFormatting>
  <conditionalFormatting sqref="HT15 HT12">
    <cfRule type="cellIs" dxfId="867" priority="868" stopIfTrue="1" operator="equal">
      <formula>TODAY()</formula>
    </cfRule>
  </conditionalFormatting>
  <conditionalFormatting sqref="HT5:HT7 HT10">
    <cfRule type="cellIs" dxfId="866" priority="867" stopIfTrue="1" operator="equal">
      <formula>TODAY()</formula>
    </cfRule>
  </conditionalFormatting>
  <conditionalFormatting sqref="HT12 HT15 HT20">
    <cfRule type="cellIs" dxfId="865" priority="866" stopIfTrue="1" operator="equal">
      <formula>TODAY()</formula>
    </cfRule>
  </conditionalFormatting>
  <conditionalFormatting sqref="HT18">
    <cfRule type="cellIs" dxfId="864" priority="865" stopIfTrue="1" operator="equal">
      <formula>TODAY()</formula>
    </cfRule>
  </conditionalFormatting>
  <conditionalFormatting sqref="HU15 HU12">
    <cfRule type="cellIs" dxfId="863" priority="864" stopIfTrue="1" operator="equal">
      <formula>TODAY()</formula>
    </cfRule>
  </conditionalFormatting>
  <conditionalFormatting sqref="HU5:HU7 HU10">
    <cfRule type="cellIs" dxfId="862" priority="863" stopIfTrue="1" operator="equal">
      <formula>TODAY()</formula>
    </cfRule>
  </conditionalFormatting>
  <conditionalFormatting sqref="HU12 HU15 HU20">
    <cfRule type="cellIs" dxfId="861" priority="862" stopIfTrue="1" operator="equal">
      <formula>TODAY()</formula>
    </cfRule>
  </conditionalFormatting>
  <conditionalFormatting sqref="HU18">
    <cfRule type="cellIs" dxfId="860" priority="861" stopIfTrue="1" operator="equal">
      <formula>TODAY()</formula>
    </cfRule>
  </conditionalFormatting>
  <conditionalFormatting sqref="HV15 HV12">
    <cfRule type="cellIs" dxfId="859" priority="860" stopIfTrue="1" operator="equal">
      <formula>TODAY()</formula>
    </cfRule>
  </conditionalFormatting>
  <conditionalFormatting sqref="HV5:HV7 HV10">
    <cfRule type="cellIs" dxfId="858" priority="859" stopIfTrue="1" operator="equal">
      <formula>TODAY()</formula>
    </cfRule>
  </conditionalFormatting>
  <conditionalFormatting sqref="HV12 HV15 HV20">
    <cfRule type="cellIs" dxfId="857" priority="858" stopIfTrue="1" operator="equal">
      <formula>TODAY()</formula>
    </cfRule>
  </conditionalFormatting>
  <conditionalFormatting sqref="HV18">
    <cfRule type="cellIs" dxfId="856" priority="857" stopIfTrue="1" operator="equal">
      <formula>TODAY()</formula>
    </cfRule>
  </conditionalFormatting>
  <conditionalFormatting sqref="HW15 HW12">
    <cfRule type="cellIs" dxfId="855" priority="856" stopIfTrue="1" operator="equal">
      <formula>TODAY()</formula>
    </cfRule>
  </conditionalFormatting>
  <conditionalFormatting sqref="HW5:HW7 HW10">
    <cfRule type="cellIs" dxfId="854" priority="855" stopIfTrue="1" operator="equal">
      <formula>TODAY()</formula>
    </cfRule>
  </conditionalFormatting>
  <conditionalFormatting sqref="HW12 HW15 HW20">
    <cfRule type="cellIs" dxfId="853" priority="854" stopIfTrue="1" operator="equal">
      <formula>TODAY()</formula>
    </cfRule>
  </conditionalFormatting>
  <conditionalFormatting sqref="HW18">
    <cfRule type="cellIs" dxfId="852" priority="853" stopIfTrue="1" operator="equal">
      <formula>TODAY()</formula>
    </cfRule>
  </conditionalFormatting>
  <conditionalFormatting sqref="HX15 HX12">
    <cfRule type="cellIs" dxfId="851" priority="852" stopIfTrue="1" operator="equal">
      <formula>TODAY()</formula>
    </cfRule>
  </conditionalFormatting>
  <conditionalFormatting sqref="HX5:HX7 HX10">
    <cfRule type="cellIs" dxfId="850" priority="851" stopIfTrue="1" operator="equal">
      <formula>TODAY()</formula>
    </cfRule>
  </conditionalFormatting>
  <conditionalFormatting sqref="HX12 HX15 HX20">
    <cfRule type="cellIs" dxfId="849" priority="850" stopIfTrue="1" operator="equal">
      <formula>TODAY()</formula>
    </cfRule>
  </conditionalFormatting>
  <conditionalFormatting sqref="HX18">
    <cfRule type="cellIs" dxfId="848" priority="849" stopIfTrue="1" operator="equal">
      <formula>TODAY()</formula>
    </cfRule>
  </conditionalFormatting>
  <conditionalFormatting sqref="HY15 HY12">
    <cfRule type="cellIs" dxfId="847" priority="848" stopIfTrue="1" operator="equal">
      <formula>TODAY()</formula>
    </cfRule>
  </conditionalFormatting>
  <conditionalFormatting sqref="HY5:HY7 HY10">
    <cfRule type="cellIs" dxfId="846" priority="847" stopIfTrue="1" operator="equal">
      <formula>TODAY()</formula>
    </cfRule>
  </conditionalFormatting>
  <conditionalFormatting sqref="HY12 HY15 HY20">
    <cfRule type="cellIs" dxfId="845" priority="846" stopIfTrue="1" operator="equal">
      <formula>TODAY()</formula>
    </cfRule>
  </conditionalFormatting>
  <conditionalFormatting sqref="HY18">
    <cfRule type="cellIs" dxfId="844" priority="845" stopIfTrue="1" operator="equal">
      <formula>TODAY()</formula>
    </cfRule>
  </conditionalFormatting>
  <conditionalFormatting sqref="IA15 IA12">
    <cfRule type="cellIs" dxfId="843" priority="840" stopIfTrue="1" operator="equal">
      <formula>TODAY()</formula>
    </cfRule>
  </conditionalFormatting>
  <conditionalFormatting sqref="IA5:IA7 IA10">
    <cfRule type="cellIs" dxfId="842" priority="839" stopIfTrue="1" operator="equal">
      <formula>TODAY()</formula>
    </cfRule>
  </conditionalFormatting>
  <conditionalFormatting sqref="IA12 IA15 IA20">
    <cfRule type="cellIs" dxfId="841" priority="838" stopIfTrue="1" operator="equal">
      <formula>TODAY()</formula>
    </cfRule>
  </conditionalFormatting>
  <conditionalFormatting sqref="IA18">
    <cfRule type="cellIs" dxfId="840" priority="837" stopIfTrue="1" operator="equal">
      <formula>TODAY()</formula>
    </cfRule>
  </conditionalFormatting>
  <conditionalFormatting sqref="HZ15 HZ12">
    <cfRule type="cellIs" dxfId="839" priority="844" stopIfTrue="1" operator="equal">
      <formula>TODAY()</formula>
    </cfRule>
  </conditionalFormatting>
  <conditionalFormatting sqref="HZ5:HZ7 HZ10">
    <cfRule type="cellIs" dxfId="838" priority="843" stopIfTrue="1" operator="equal">
      <formula>TODAY()</formula>
    </cfRule>
  </conditionalFormatting>
  <conditionalFormatting sqref="HZ12 HZ15 HZ20">
    <cfRule type="cellIs" dxfId="837" priority="842" stopIfTrue="1" operator="equal">
      <formula>TODAY()</formula>
    </cfRule>
  </conditionalFormatting>
  <conditionalFormatting sqref="HZ18">
    <cfRule type="cellIs" dxfId="836" priority="841" stopIfTrue="1" operator="equal">
      <formula>TODAY()</formula>
    </cfRule>
  </conditionalFormatting>
  <conditionalFormatting sqref="IB15 IB12">
    <cfRule type="cellIs" dxfId="835" priority="836" stopIfTrue="1" operator="equal">
      <formula>TODAY()</formula>
    </cfRule>
  </conditionalFormatting>
  <conditionalFormatting sqref="IB5:IB7 IB10">
    <cfRule type="cellIs" dxfId="834" priority="835" stopIfTrue="1" operator="equal">
      <formula>TODAY()</formula>
    </cfRule>
  </conditionalFormatting>
  <conditionalFormatting sqref="IB12 IB15 IB20">
    <cfRule type="cellIs" dxfId="833" priority="834" stopIfTrue="1" operator="equal">
      <formula>TODAY()</formula>
    </cfRule>
  </conditionalFormatting>
  <conditionalFormatting sqref="IB18">
    <cfRule type="cellIs" dxfId="832" priority="833" stopIfTrue="1" operator="equal">
      <formula>TODAY()</formula>
    </cfRule>
  </conditionalFormatting>
  <conditionalFormatting sqref="IC15 IC12">
    <cfRule type="cellIs" dxfId="831" priority="832" stopIfTrue="1" operator="equal">
      <formula>TODAY()</formula>
    </cfRule>
  </conditionalFormatting>
  <conditionalFormatting sqref="IC5:IC7 IC10">
    <cfRule type="cellIs" dxfId="830" priority="831" stopIfTrue="1" operator="equal">
      <formula>TODAY()</formula>
    </cfRule>
  </conditionalFormatting>
  <conditionalFormatting sqref="IC12 IC15 IC20">
    <cfRule type="cellIs" dxfId="829" priority="830" stopIfTrue="1" operator="equal">
      <formula>TODAY()</formula>
    </cfRule>
  </conditionalFormatting>
  <conditionalFormatting sqref="IC18">
    <cfRule type="cellIs" dxfId="828" priority="829" stopIfTrue="1" operator="equal">
      <formula>TODAY()</formula>
    </cfRule>
  </conditionalFormatting>
  <conditionalFormatting sqref="ID15 ID12">
    <cfRule type="cellIs" dxfId="827" priority="828" stopIfTrue="1" operator="equal">
      <formula>TODAY()</formula>
    </cfRule>
  </conditionalFormatting>
  <conditionalFormatting sqref="ID5:ID7 ID10">
    <cfRule type="cellIs" dxfId="826" priority="827" stopIfTrue="1" operator="equal">
      <formula>TODAY()</formula>
    </cfRule>
  </conditionalFormatting>
  <conditionalFormatting sqref="ID12 ID15 ID20">
    <cfRule type="cellIs" dxfId="825" priority="826" stopIfTrue="1" operator="equal">
      <formula>TODAY()</formula>
    </cfRule>
  </conditionalFormatting>
  <conditionalFormatting sqref="ID18">
    <cfRule type="cellIs" dxfId="824" priority="825" stopIfTrue="1" operator="equal">
      <formula>TODAY()</formula>
    </cfRule>
  </conditionalFormatting>
  <conditionalFormatting sqref="IE15 IE12">
    <cfRule type="cellIs" dxfId="823" priority="824" stopIfTrue="1" operator="equal">
      <formula>TODAY()</formula>
    </cfRule>
  </conditionalFormatting>
  <conditionalFormatting sqref="IE5:IE7 IE10">
    <cfRule type="cellIs" dxfId="822" priority="823" stopIfTrue="1" operator="equal">
      <formula>TODAY()</formula>
    </cfRule>
  </conditionalFormatting>
  <conditionalFormatting sqref="IE12 IE15 IE20">
    <cfRule type="cellIs" dxfId="821" priority="822" stopIfTrue="1" operator="equal">
      <formula>TODAY()</formula>
    </cfRule>
  </conditionalFormatting>
  <conditionalFormatting sqref="IE18">
    <cfRule type="cellIs" dxfId="820" priority="821" stopIfTrue="1" operator="equal">
      <formula>TODAY()</formula>
    </cfRule>
  </conditionalFormatting>
  <conditionalFormatting sqref="IF15 IF12">
    <cfRule type="cellIs" dxfId="819" priority="820" stopIfTrue="1" operator="equal">
      <formula>TODAY()</formula>
    </cfRule>
  </conditionalFormatting>
  <conditionalFormatting sqref="IF5:IF7 IF10">
    <cfRule type="cellIs" dxfId="818" priority="819" stopIfTrue="1" operator="equal">
      <formula>TODAY()</formula>
    </cfRule>
  </conditionalFormatting>
  <conditionalFormatting sqref="IF12 IF15 IF20">
    <cfRule type="cellIs" dxfId="817" priority="818" stopIfTrue="1" operator="equal">
      <formula>TODAY()</formula>
    </cfRule>
  </conditionalFormatting>
  <conditionalFormatting sqref="IF18">
    <cfRule type="cellIs" dxfId="816" priority="817" stopIfTrue="1" operator="equal">
      <formula>TODAY()</formula>
    </cfRule>
  </conditionalFormatting>
  <conditionalFormatting sqref="IG15 IG12">
    <cfRule type="cellIs" dxfId="815" priority="816" stopIfTrue="1" operator="equal">
      <formula>TODAY()</formula>
    </cfRule>
  </conditionalFormatting>
  <conditionalFormatting sqref="IG5:IG7 IG10">
    <cfRule type="cellIs" dxfId="814" priority="815" stopIfTrue="1" operator="equal">
      <formula>TODAY()</formula>
    </cfRule>
  </conditionalFormatting>
  <conditionalFormatting sqref="IG12 IG15 IG20">
    <cfRule type="cellIs" dxfId="813" priority="814" stopIfTrue="1" operator="equal">
      <formula>TODAY()</formula>
    </cfRule>
  </conditionalFormatting>
  <conditionalFormatting sqref="IG18">
    <cfRule type="cellIs" dxfId="812" priority="813" stopIfTrue="1" operator="equal">
      <formula>TODAY()</formula>
    </cfRule>
  </conditionalFormatting>
  <conditionalFormatting sqref="IH15 IH12">
    <cfRule type="cellIs" dxfId="811" priority="812" stopIfTrue="1" operator="equal">
      <formula>TODAY()</formula>
    </cfRule>
  </conditionalFormatting>
  <conditionalFormatting sqref="IH5:IH7 IH10">
    <cfRule type="cellIs" dxfId="810" priority="811" stopIfTrue="1" operator="equal">
      <formula>TODAY()</formula>
    </cfRule>
  </conditionalFormatting>
  <conditionalFormatting sqref="IH12 IH15 IH20">
    <cfRule type="cellIs" dxfId="809" priority="810" stopIfTrue="1" operator="equal">
      <formula>TODAY()</formula>
    </cfRule>
  </conditionalFormatting>
  <conditionalFormatting sqref="IH18">
    <cfRule type="cellIs" dxfId="808" priority="809" stopIfTrue="1" operator="equal">
      <formula>TODAY()</formula>
    </cfRule>
  </conditionalFormatting>
  <conditionalFormatting sqref="II15 II12">
    <cfRule type="cellIs" dxfId="807" priority="808" stopIfTrue="1" operator="equal">
      <formula>TODAY()</formula>
    </cfRule>
  </conditionalFormatting>
  <conditionalFormatting sqref="II5:II7 II10">
    <cfRule type="cellIs" dxfId="806" priority="807" stopIfTrue="1" operator="equal">
      <formula>TODAY()</formula>
    </cfRule>
  </conditionalFormatting>
  <conditionalFormatting sqref="II12 II15 II20">
    <cfRule type="cellIs" dxfId="805" priority="806" stopIfTrue="1" operator="equal">
      <formula>TODAY()</formula>
    </cfRule>
  </conditionalFormatting>
  <conditionalFormatting sqref="II18">
    <cfRule type="cellIs" dxfId="804" priority="805" stopIfTrue="1" operator="equal">
      <formula>TODAY()</formula>
    </cfRule>
  </conditionalFormatting>
  <conditionalFormatting sqref="IJ15 IJ12">
    <cfRule type="cellIs" dxfId="803" priority="804" stopIfTrue="1" operator="equal">
      <formula>TODAY()</formula>
    </cfRule>
  </conditionalFormatting>
  <conditionalFormatting sqref="IJ5:IJ7 IJ10">
    <cfRule type="cellIs" dxfId="802" priority="803" stopIfTrue="1" operator="equal">
      <formula>TODAY()</formula>
    </cfRule>
  </conditionalFormatting>
  <conditionalFormatting sqref="IJ12 IJ15 IJ20">
    <cfRule type="cellIs" dxfId="801" priority="802" stopIfTrue="1" operator="equal">
      <formula>TODAY()</formula>
    </cfRule>
  </conditionalFormatting>
  <conditionalFormatting sqref="IJ18">
    <cfRule type="cellIs" dxfId="800" priority="801" stopIfTrue="1" operator="equal">
      <formula>TODAY()</formula>
    </cfRule>
  </conditionalFormatting>
  <conditionalFormatting sqref="IK15 IK12">
    <cfRule type="cellIs" dxfId="799" priority="800" stopIfTrue="1" operator="equal">
      <formula>TODAY()</formula>
    </cfRule>
  </conditionalFormatting>
  <conditionalFormatting sqref="IK5:IK7 IK10">
    <cfRule type="cellIs" dxfId="798" priority="799" stopIfTrue="1" operator="equal">
      <formula>TODAY()</formula>
    </cfRule>
  </conditionalFormatting>
  <conditionalFormatting sqref="IK12 IK15 IK20">
    <cfRule type="cellIs" dxfId="797" priority="798" stopIfTrue="1" operator="equal">
      <formula>TODAY()</formula>
    </cfRule>
  </conditionalFormatting>
  <conditionalFormatting sqref="IK18">
    <cfRule type="cellIs" dxfId="796" priority="797" stopIfTrue="1" operator="equal">
      <formula>TODAY()</formula>
    </cfRule>
  </conditionalFormatting>
  <conditionalFormatting sqref="IL15 IL12">
    <cfRule type="cellIs" dxfId="795" priority="796" stopIfTrue="1" operator="equal">
      <formula>TODAY()</formula>
    </cfRule>
  </conditionalFormatting>
  <conditionalFormatting sqref="IL5:IL7 IL10">
    <cfRule type="cellIs" dxfId="794" priority="795" stopIfTrue="1" operator="equal">
      <formula>TODAY()</formula>
    </cfRule>
  </conditionalFormatting>
  <conditionalFormatting sqref="IL12 IL15 IL20">
    <cfRule type="cellIs" dxfId="793" priority="794" stopIfTrue="1" operator="equal">
      <formula>TODAY()</formula>
    </cfRule>
  </conditionalFormatting>
  <conditionalFormatting sqref="IL18">
    <cfRule type="cellIs" dxfId="792" priority="793" stopIfTrue="1" operator="equal">
      <formula>TODAY()</formula>
    </cfRule>
  </conditionalFormatting>
  <conditionalFormatting sqref="IM15 IM12">
    <cfRule type="cellIs" dxfId="791" priority="792" stopIfTrue="1" operator="equal">
      <formula>TODAY()</formula>
    </cfRule>
  </conditionalFormatting>
  <conditionalFormatting sqref="IM5:IM7 IM10">
    <cfRule type="cellIs" dxfId="790" priority="791" stopIfTrue="1" operator="equal">
      <formula>TODAY()</formula>
    </cfRule>
  </conditionalFormatting>
  <conditionalFormatting sqref="IM12 IM15 IM20">
    <cfRule type="cellIs" dxfId="789" priority="790" stopIfTrue="1" operator="equal">
      <formula>TODAY()</formula>
    </cfRule>
  </conditionalFormatting>
  <conditionalFormatting sqref="IM18">
    <cfRule type="cellIs" dxfId="788" priority="789" stopIfTrue="1" operator="equal">
      <formula>TODAY()</formula>
    </cfRule>
  </conditionalFormatting>
  <conditionalFormatting sqref="IN15 IN12">
    <cfRule type="cellIs" dxfId="787" priority="788" stopIfTrue="1" operator="equal">
      <formula>TODAY()</formula>
    </cfRule>
  </conditionalFormatting>
  <conditionalFormatting sqref="IN5:IN7 IN10">
    <cfRule type="cellIs" dxfId="786" priority="787" stopIfTrue="1" operator="equal">
      <formula>TODAY()</formula>
    </cfRule>
  </conditionalFormatting>
  <conditionalFormatting sqref="IN12 IN15 IN20">
    <cfRule type="cellIs" dxfId="785" priority="786" stopIfTrue="1" operator="equal">
      <formula>TODAY()</formula>
    </cfRule>
  </conditionalFormatting>
  <conditionalFormatting sqref="IN18">
    <cfRule type="cellIs" dxfId="784" priority="785" stopIfTrue="1" operator="equal">
      <formula>TODAY()</formula>
    </cfRule>
  </conditionalFormatting>
  <conditionalFormatting sqref="IO15 IO12">
    <cfRule type="cellIs" dxfId="783" priority="784" stopIfTrue="1" operator="equal">
      <formula>TODAY()</formula>
    </cfRule>
  </conditionalFormatting>
  <conditionalFormatting sqref="IO5:IO7 IO10">
    <cfRule type="cellIs" dxfId="782" priority="783" stopIfTrue="1" operator="equal">
      <formula>TODAY()</formula>
    </cfRule>
  </conditionalFormatting>
  <conditionalFormatting sqref="IO12 IO15 IO20">
    <cfRule type="cellIs" dxfId="781" priority="782" stopIfTrue="1" operator="equal">
      <formula>TODAY()</formula>
    </cfRule>
  </conditionalFormatting>
  <conditionalFormatting sqref="IO18">
    <cfRule type="cellIs" dxfId="780" priority="781" stopIfTrue="1" operator="equal">
      <formula>TODAY()</formula>
    </cfRule>
  </conditionalFormatting>
  <conditionalFormatting sqref="IP15 IP12">
    <cfRule type="cellIs" dxfId="779" priority="780" stopIfTrue="1" operator="equal">
      <formula>TODAY()</formula>
    </cfRule>
  </conditionalFormatting>
  <conditionalFormatting sqref="IP5:IP7 IP10">
    <cfRule type="cellIs" dxfId="778" priority="779" stopIfTrue="1" operator="equal">
      <formula>TODAY()</formula>
    </cfRule>
  </conditionalFormatting>
  <conditionalFormatting sqref="IP12 IP15 IP20">
    <cfRule type="cellIs" dxfId="777" priority="778" stopIfTrue="1" operator="equal">
      <formula>TODAY()</formula>
    </cfRule>
  </conditionalFormatting>
  <conditionalFormatting sqref="IP18">
    <cfRule type="cellIs" dxfId="776" priority="777" stopIfTrue="1" operator="equal">
      <formula>TODAY()</formula>
    </cfRule>
  </conditionalFormatting>
  <conditionalFormatting sqref="IQ15 IQ12">
    <cfRule type="cellIs" dxfId="775" priority="776" stopIfTrue="1" operator="equal">
      <formula>TODAY()</formula>
    </cfRule>
  </conditionalFormatting>
  <conditionalFormatting sqref="IQ5:IQ7 IQ10">
    <cfRule type="cellIs" dxfId="774" priority="775" stopIfTrue="1" operator="equal">
      <formula>TODAY()</formula>
    </cfRule>
  </conditionalFormatting>
  <conditionalFormatting sqref="IQ12 IQ15 IQ20">
    <cfRule type="cellIs" dxfId="773" priority="774" stopIfTrue="1" operator="equal">
      <formula>TODAY()</formula>
    </cfRule>
  </conditionalFormatting>
  <conditionalFormatting sqref="IQ18">
    <cfRule type="cellIs" dxfId="772" priority="773" stopIfTrue="1" operator="equal">
      <formula>TODAY()</formula>
    </cfRule>
  </conditionalFormatting>
  <conditionalFormatting sqref="IR15 IR12">
    <cfRule type="cellIs" dxfId="771" priority="772" stopIfTrue="1" operator="equal">
      <formula>TODAY()</formula>
    </cfRule>
  </conditionalFormatting>
  <conditionalFormatting sqref="IR5:IR7 IR10">
    <cfRule type="cellIs" dxfId="770" priority="771" stopIfTrue="1" operator="equal">
      <formula>TODAY()</formula>
    </cfRule>
  </conditionalFormatting>
  <conditionalFormatting sqref="IR12 IR15 IR20">
    <cfRule type="cellIs" dxfId="769" priority="770" stopIfTrue="1" operator="equal">
      <formula>TODAY()</formula>
    </cfRule>
  </conditionalFormatting>
  <conditionalFormatting sqref="IR18">
    <cfRule type="cellIs" dxfId="768" priority="769" stopIfTrue="1" operator="equal">
      <formula>TODAY()</formula>
    </cfRule>
  </conditionalFormatting>
  <conditionalFormatting sqref="IS15 IS12">
    <cfRule type="cellIs" dxfId="767" priority="768" stopIfTrue="1" operator="equal">
      <formula>TODAY()</formula>
    </cfRule>
  </conditionalFormatting>
  <conditionalFormatting sqref="IS5:IS7 IS10">
    <cfRule type="cellIs" dxfId="766" priority="767" stopIfTrue="1" operator="equal">
      <formula>TODAY()</formula>
    </cfRule>
  </conditionalFormatting>
  <conditionalFormatting sqref="IS12 IS15 IS20">
    <cfRule type="cellIs" dxfId="765" priority="766" stopIfTrue="1" operator="equal">
      <formula>TODAY()</formula>
    </cfRule>
  </conditionalFormatting>
  <conditionalFormatting sqref="IS18">
    <cfRule type="cellIs" dxfId="764" priority="765" stopIfTrue="1" operator="equal">
      <formula>TODAY()</formula>
    </cfRule>
  </conditionalFormatting>
  <conditionalFormatting sqref="IT15 IT12">
    <cfRule type="cellIs" dxfId="763" priority="764" stopIfTrue="1" operator="equal">
      <formula>TODAY()</formula>
    </cfRule>
  </conditionalFormatting>
  <conditionalFormatting sqref="IT5:IT7 IT10">
    <cfRule type="cellIs" dxfId="762" priority="763" stopIfTrue="1" operator="equal">
      <formula>TODAY()</formula>
    </cfRule>
  </conditionalFormatting>
  <conditionalFormatting sqref="IT12 IT15 IT20">
    <cfRule type="cellIs" dxfId="761" priority="762" stopIfTrue="1" operator="equal">
      <formula>TODAY()</formula>
    </cfRule>
  </conditionalFormatting>
  <conditionalFormatting sqref="IT18">
    <cfRule type="cellIs" dxfId="760" priority="761" stopIfTrue="1" operator="equal">
      <formula>TODAY()</formula>
    </cfRule>
  </conditionalFormatting>
  <conditionalFormatting sqref="IU15 IU12">
    <cfRule type="cellIs" dxfId="759" priority="760" stopIfTrue="1" operator="equal">
      <formula>TODAY()</formula>
    </cfRule>
  </conditionalFormatting>
  <conditionalFormatting sqref="IU5:IU7 IU10">
    <cfRule type="cellIs" dxfId="758" priority="759" stopIfTrue="1" operator="equal">
      <formula>TODAY()</formula>
    </cfRule>
  </conditionalFormatting>
  <conditionalFormatting sqref="IU12 IU15 IU20">
    <cfRule type="cellIs" dxfId="757" priority="758" stopIfTrue="1" operator="equal">
      <formula>TODAY()</formula>
    </cfRule>
  </conditionalFormatting>
  <conditionalFormatting sqref="IU18">
    <cfRule type="cellIs" dxfId="756" priority="757" stopIfTrue="1" operator="equal">
      <formula>TODAY()</formula>
    </cfRule>
  </conditionalFormatting>
  <conditionalFormatting sqref="IV15 IV12">
    <cfRule type="cellIs" dxfId="755" priority="756" stopIfTrue="1" operator="equal">
      <formula>TODAY()</formula>
    </cfRule>
  </conditionalFormatting>
  <conditionalFormatting sqref="IV5:IV7 IV10">
    <cfRule type="cellIs" dxfId="754" priority="755" stopIfTrue="1" operator="equal">
      <formula>TODAY()</formula>
    </cfRule>
  </conditionalFormatting>
  <conditionalFormatting sqref="IV12 IV15 IV20">
    <cfRule type="cellIs" dxfId="753" priority="754" stopIfTrue="1" operator="equal">
      <formula>TODAY()</formula>
    </cfRule>
  </conditionalFormatting>
  <conditionalFormatting sqref="IV18">
    <cfRule type="cellIs" dxfId="752" priority="753" stopIfTrue="1" operator="equal">
      <formula>TODAY()</formula>
    </cfRule>
  </conditionalFormatting>
  <conditionalFormatting sqref="IW15 IW12">
    <cfRule type="cellIs" dxfId="751" priority="752" stopIfTrue="1" operator="equal">
      <formula>TODAY()</formula>
    </cfRule>
  </conditionalFormatting>
  <conditionalFormatting sqref="IW5:IW7 IW10">
    <cfRule type="cellIs" dxfId="750" priority="751" stopIfTrue="1" operator="equal">
      <formula>TODAY()</formula>
    </cfRule>
  </conditionalFormatting>
  <conditionalFormatting sqref="IW12 IW15 IW20">
    <cfRule type="cellIs" dxfId="749" priority="750" stopIfTrue="1" operator="equal">
      <formula>TODAY()</formula>
    </cfRule>
  </conditionalFormatting>
  <conditionalFormatting sqref="IW18">
    <cfRule type="cellIs" dxfId="748" priority="749" stopIfTrue="1" operator="equal">
      <formula>TODAY()</formula>
    </cfRule>
  </conditionalFormatting>
  <conditionalFormatting sqref="IX15 IX12">
    <cfRule type="cellIs" dxfId="747" priority="748" stopIfTrue="1" operator="equal">
      <formula>TODAY()</formula>
    </cfRule>
  </conditionalFormatting>
  <conditionalFormatting sqref="IX5:IX7 IX10">
    <cfRule type="cellIs" dxfId="746" priority="747" stopIfTrue="1" operator="equal">
      <formula>TODAY()</formula>
    </cfRule>
  </conditionalFormatting>
  <conditionalFormatting sqref="IX12 IX15 IX20">
    <cfRule type="cellIs" dxfId="745" priority="746" stopIfTrue="1" operator="equal">
      <formula>TODAY()</formula>
    </cfRule>
  </conditionalFormatting>
  <conditionalFormatting sqref="IX18">
    <cfRule type="cellIs" dxfId="744" priority="745" stopIfTrue="1" operator="equal">
      <formula>TODAY()</formula>
    </cfRule>
  </conditionalFormatting>
  <conditionalFormatting sqref="IY15 IY12">
    <cfRule type="cellIs" dxfId="743" priority="744" stopIfTrue="1" operator="equal">
      <formula>TODAY()</formula>
    </cfRule>
  </conditionalFormatting>
  <conditionalFormatting sqref="IY5:IY7 IY10">
    <cfRule type="cellIs" dxfId="742" priority="743" stopIfTrue="1" operator="equal">
      <formula>TODAY()</formula>
    </cfRule>
  </conditionalFormatting>
  <conditionalFormatting sqref="IY12 IY15 IY20">
    <cfRule type="cellIs" dxfId="741" priority="742" stopIfTrue="1" operator="equal">
      <formula>TODAY()</formula>
    </cfRule>
  </conditionalFormatting>
  <conditionalFormatting sqref="IY18">
    <cfRule type="cellIs" dxfId="740" priority="741" stopIfTrue="1" operator="equal">
      <formula>TODAY()</formula>
    </cfRule>
  </conditionalFormatting>
  <conditionalFormatting sqref="IZ15 IZ12">
    <cfRule type="cellIs" dxfId="739" priority="740" stopIfTrue="1" operator="equal">
      <formula>TODAY()</formula>
    </cfRule>
  </conditionalFormatting>
  <conditionalFormatting sqref="IZ5:IZ7 IZ10">
    <cfRule type="cellIs" dxfId="738" priority="739" stopIfTrue="1" operator="equal">
      <formula>TODAY()</formula>
    </cfRule>
  </conditionalFormatting>
  <conditionalFormatting sqref="IZ12 IZ15 IZ20">
    <cfRule type="cellIs" dxfId="737" priority="738" stopIfTrue="1" operator="equal">
      <formula>TODAY()</formula>
    </cfRule>
  </conditionalFormatting>
  <conditionalFormatting sqref="IZ18">
    <cfRule type="cellIs" dxfId="736" priority="737" stopIfTrue="1" operator="equal">
      <formula>TODAY()</formula>
    </cfRule>
  </conditionalFormatting>
  <conditionalFormatting sqref="JA15 JA12">
    <cfRule type="cellIs" dxfId="735" priority="736" stopIfTrue="1" operator="equal">
      <formula>TODAY()</formula>
    </cfRule>
  </conditionalFormatting>
  <conditionalFormatting sqref="JA5:JA7 JA10">
    <cfRule type="cellIs" dxfId="734" priority="735" stopIfTrue="1" operator="equal">
      <formula>TODAY()</formula>
    </cfRule>
  </conditionalFormatting>
  <conditionalFormatting sqref="JA12 JA15 JA20">
    <cfRule type="cellIs" dxfId="733" priority="734" stopIfTrue="1" operator="equal">
      <formula>TODAY()</formula>
    </cfRule>
  </conditionalFormatting>
  <conditionalFormatting sqref="JA18">
    <cfRule type="cellIs" dxfId="732" priority="733" stopIfTrue="1" operator="equal">
      <formula>TODAY()</formula>
    </cfRule>
  </conditionalFormatting>
  <conditionalFormatting sqref="JB15 JB12">
    <cfRule type="cellIs" dxfId="731" priority="732" stopIfTrue="1" operator="equal">
      <formula>TODAY()</formula>
    </cfRule>
  </conditionalFormatting>
  <conditionalFormatting sqref="JB5:JB7 JB10">
    <cfRule type="cellIs" dxfId="730" priority="731" stopIfTrue="1" operator="equal">
      <formula>TODAY()</formula>
    </cfRule>
  </conditionalFormatting>
  <conditionalFormatting sqref="JB12 JB15 JB20">
    <cfRule type="cellIs" dxfId="729" priority="730" stopIfTrue="1" operator="equal">
      <formula>TODAY()</formula>
    </cfRule>
  </conditionalFormatting>
  <conditionalFormatting sqref="JB18">
    <cfRule type="cellIs" dxfId="728" priority="729" stopIfTrue="1" operator="equal">
      <formula>TODAY()</formula>
    </cfRule>
  </conditionalFormatting>
  <conditionalFormatting sqref="JC15 JC12">
    <cfRule type="cellIs" dxfId="727" priority="728" stopIfTrue="1" operator="equal">
      <formula>TODAY()</formula>
    </cfRule>
  </conditionalFormatting>
  <conditionalFormatting sqref="JC5:JC7 JC10">
    <cfRule type="cellIs" dxfId="726" priority="727" stopIfTrue="1" operator="equal">
      <formula>TODAY()</formula>
    </cfRule>
  </conditionalFormatting>
  <conditionalFormatting sqref="JC12 JC15 JC20">
    <cfRule type="cellIs" dxfId="725" priority="726" stopIfTrue="1" operator="equal">
      <formula>TODAY()</formula>
    </cfRule>
  </conditionalFormatting>
  <conditionalFormatting sqref="JC18">
    <cfRule type="cellIs" dxfId="724" priority="725" stopIfTrue="1" operator="equal">
      <formula>TODAY()</formula>
    </cfRule>
  </conditionalFormatting>
  <conditionalFormatting sqref="JD15 JD12">
    <cfRule type="cellIs" dxfId="723" priority="724" stopIfTrue="1" operator="equal">
      <formula>TODAY()</formula>
    </cfRule>
  </conditionalFormatting>
  <conditionalFormatting sqref="JD5:JD7 JD10">
    <cfRule type="cellIs" dxfId="722" priority="723" stopIfTrue="1" operator="equal">
      <formula>TODAY()</formula>
    </cfRule>
  </conditionalFormatting>
  <conditionalFormatting sqref="JD12 JD15 JD20">
    <cfRule type="cellIs" dxfId="721" priority="722" stopIfTrue="1" operator="equal">
      <formula>TODAY()</formula>
    </cfRule>
  </conditionalFormatting>
  <conditionalFormatting sqref="JD18">
    <cfRule type="cellIs" dxfId="720" priority="721" stopIfTrue="1" operator="equal">
      <formula>TODAY()</formula>
    </cfRule>
  </conditionalFormatting>
  <conditionalFormatting sqref="JE15 JE12">
    <cfRule type="cellIs" dxfId="719" priority="720" stopIfTrue="1" operator="equal">
      <formula>TODAY()</formula>
    </cfRule>
  </conditionalFormatting>
  <conditionalFormatting sqref="JE5:JE7 JE10">
    <cfRule type="cellIs" dxfId="718" priority="719" stopIfTrue="1" operator="equal">
      <formula>TODAY()</formula>
    </cfRule>
  </conditionalFormatting>
  <conditionalFormatting sqref="JE12 JE15 JE20">
    <cfRule type="cellIs" dxfId="717" priority="718" stopIfTrue="1" operator="equal">
      <formula>TODAY()</formula>
    </cfRule>
  </conditionalFormatting>
  <conditionalFormatting sqref="JE18">
    <cfRule type="cellIs" dxfId="716" priority="717" stopIfTrue="1" operator="equal">
      <formula>TODAY()</formula>
    </cfRule>
  </conditionalFormatting>
  <conditionalFormatting sqref="JF15 JF12">
    <cfRule type="cellIs" dxfId="715" priority="716" stopIfTrue="1" operator="equal">
      <formula>TODAY()</formula>
    </cfRule>
  </conditionalFormatting>
  <conditionalFormatting sqref="JF5:JF7 JF10">
    <cfRule type="cellIs" dxfId="714" priority="715" stopIfTrue="1" operator="equal">
      <formula>TODAY()</formula>
    </cfRule>
  </conditionalFormatting>
  <conditionalFormatting sqref="JF12 JF15 JF20">
    <cfRule type="cellIs" dxfId="713" priority="714" stopIfTrue="1" operator="equal">
      <formula>TODAY()</formula>
    </cfRule>
  </conditionalFormatting>
  <conditionalFormatting sqref="JF18">
    <cfRule type="cellIs" dxfId="712" priority="713" stopIfTrue="1" operator="equal">
      <formula>TODAY()</formula>
    </cfRule>
  </conditionalFormatting>
  <conditionalFormatting sqref="JG15 JG12">
    <cfRule type="cellIs" dxfId="711" priority="712" stopIfTrue="1" operator="equal">
      <formula>TODAY()</formula>
    </cfRule>
  </conditionalFormatting>
  <conditionalFormatting sqref="JG5:JG7 JG10">
    <cfRule type="cellIs" dxfId="710" priority="711" stopIfTrue="1" operator="equal">
      <formula>TODAY()</formula>
    </cfRule>
  </conditionalFormatting>
  <conditionalFormatting sqref="JG12 JG15 JG20">
    <cfRule type="cellIs" dxfId="709" priority="710" stopIfTrue="1" operator="equal">
      <formula>TODAY()</formula>
    </cfRule>
  </conditionalFormatting>
  <conditionalFormatting sqref="JG18">
    <cfRule type="cellIs" dxfId="708" priority="709" stopIfTrue="1" operator="equal">
      <formula>TODAY()</formula>
    </cfRule>
  </conditionalFormatting>
  <conditionalFormatting sqref="JH15 JH12">
    <cfRule type="cellIs" dxfId="707" priority="708" stopIfTrue="1" operator="equal">
      <formula>TODAY()</formula>
    </cfRule>
  </conditionalFormatting>
  <conditionalFormatting sqref="JH5:JH7 JH10">
    <cfRule type="cellIs" dxfId="706" priority="707" stopIfTrue="1" operator="equal">
      <formula>TODAY()</formula>
    </cfRule>
  </conditionalFormatting>
  <conditionalFormatting sqref="JH12 JH15 JH20">
    <cfRule type="cellIs" dxfId="705" priority="706" stopIfTrue="1" operator="equal">
      <formula>TODAY()</formula>
    </cfRule>
  </conditionalFormatting>
  <conditionalFormatting sqref="JH18">
    <cfRule type="cellIs" dxfId="704" priority="705" stopIfTrue="1" operator="equal">
      <formula>TODAY()</formula>
    </cfRule>
  </conditionalFormatting>
  <conditionalFormatting sqref="JI15 JI12">
    <cfRule type="cellIs" dxfId="703" priority="704" stopIfTrue="1" operator="equal">
      <formula>TODAY()</formula>
    </cfRule>
  </conditionalFormatting>
  <conditionalFormatting sqref="JI5:JI7 JI10">
    <cfRule type="cellIs" dxfId="702" priority="703" stopIfTrue="1" operator="equal">
      <formula>TODAY()</formula>
    </cfRule>
  </conditionalFormatting>
  <conditionalFormatting sqref="JI12 JI15 JI20">
    <cfRule type="cellIs" dxfId="701" priority="702" stopIfTrue="1" operator="equal">
      <formula>TODAY()</formula>
    </cfRule>
  </conditionalFormatting>
  <conditionalFormatting sqref="JI18">
    <cfRule type="cellIs" dxfId="700" priority="701" stopIfTrue="1" operator="equal">
      <formula>TODAY()</formula>
    </cfRule>
  </conditionalFormatting>
  <conditionalFormatting sqref="JJ15 JJ12">
    <cfRule type="cellIs" dxfId="699" priority="700" stopIfTrue="1" operator="equal">
      <formula>TODAY()</formula>
    </cfRule>
  </conditionalFormatting>
  <conditionalFormatting sqref="JJ5:JJ7 JJ10">
    <cfRule type="cellIs" dxfId="698" priority="699" stopIfTrue="1" operator="equal">
      <formula>TODAY()</formula>
    </cfRule>
  </conditionalFormatting>
  <conditionalFormatting sqref="JJ12 JJ15 JJ20">
    <cfRule type="cellIs" dxfId="697" priority="698" stopIfTrue="1" operator="equal">
      <formula>TODAY()</formula>
    </cfRule>
  </conditionalFormatting>
  <conditionalFormatting sqref="JJ18">
    <cfRule type="cellIs" dxfId="696" priority="697" stopIfTrue="1" operator="equal">
      <formula>TODAY()</formula>
    </cfRule>
  </conditionalFormatting>
  <conditionalFormatting sqref="JK15 JK12">
    <cfRule type="cellIs" dxfId="695" priority="696" stopIfTrue="1" operator="equal">
      <formula>TODAY()</formula>
    </cfRule>
  </conditionalFormatting>
  <conditionalFormatting sqref="JK5:JK7 JK10">
    <cfRule type="cellIs" dxfId="694" priority="695" stopIfTrue="1" operator="equal">
      <formula>TODAY()</formula>
    </cfRule>
  </conditionalFormatting>
  <conditionalFormatting sqref="JK12 JK15 JK20">
    <cfRule type="cellIs" dxfId="693" priority="694" stopIfTrue="1" operator="equal">
      <formula>TODAY()</formula>
    </cfRule>
  </conditionalFormatting>
  <conditionalFormatting sqref="JK18">
    <cfRule type="cellIs" dxfId="692" priority="693" stopIfTrue="1" operator="equal">
      <formula>TODAY()</formula>
    </cfRule>
  </conditionalFormatting>
  <conditionalFormatting sqref="JL15 JL12">
    <cfRule type="cellIs" dxfId="691" priority="692" stopIfTrue="1" operator="equal">
      <formula>TODAY()</formula>
    </cfRule>
  </conditionalFormatting>
  <conditionalFormatting sqref="JL5:JL7 JL10">
    <cfRule type="cellIs" dxfId="690" priority="691" stopIfTrue="1" operator="equal">
      <formula>TODAY()</formula>
    </cfRule>
  </conditionalFormatting>
  <conditionalFormatting sqref="JL12 JL15 JL20">
    <cfRule type="cellIs" dxfId="689" priority="690" stopIfTrue="1" operator="equal">
      <formula>TODAY()</formula>
    </cfRule>
  </conditionalFormatting>
  <conditionalFormatting sqref="JL18">
    <cfRule type="cellIs" dxfId="688" priority="689" stopIfTrue="1" operator="equal">
      <formula>TODAY()</formula>
    </cfRule>
  </conditionalFormatting>
  <conditionalFormatting sqref="JM15 JM12">
    <cfRule type="cellIs" dxfId="687" priority="688" stopIfTrue="1" operator="equal">
      <formula>TODAY()</formula>
    </cfRule>
  </conditionalFormatting>
  <conditionalFormatting sqref="JM5:JM7 JM10">
    <cfRule type="cellIs" dxfId="686" priority="687" stopIfTrue="1" operator="equal">
      <formula>TODAY()</formula>
    </cfRule>
  </conditionalFormatting>
  <conditionalFormatting sqref="JM12 JM15 JM20">
    <cfRule type="cellIs" dxfId="685" priority="686" stopIfTrue="1" operator="equal">
      <formula>TODAY()</formula>
    </cfRule>
  </conditionalFormatting>
  <conditionalFormatting sqref="JM18">
    <cfRule type="cellIs" dxfId="684" priority="685" stopIfTrue="1" operator="equal">
      <formula>TODAY()</formula>
    </cfRule>
  </conditionalFormatting>
  <conditionalFormatting sqref="JN15 JN12">
    <cfRule type="cellIs" dxfId="683" priority="684" stopIfTrue="1" operator="equal">
      <formula>TODAY()</formula>
    </cfRule>
  </conditionalFormatting>
  <conditionalFormatting sqref="JN5:JN7 JN10">
    <cfRule type="cellIs" dxfId="682" priority="683" stopIfTrue="1" operator="equal">
      <formula>TODAY()</formula>
    </cfRule>
  </conditionalFormatting>
  <conditionalFormatting sqref="JN12 JN15 JN20">
    <cfRule type="cellIs" dxfId="681" priority="682" stopIfTrue="1" operator="equal">
      <formula>TODAY()</formula>
    </cfRule>
  </conditionalFormatting>
  <conditionalFormatting sqref="JN18">
    <cfRule type="cellIs" dxfId="680" priority="681" stopIfTrue="1" operator="equal">
      <formula>TODAY()</formula>
    </cfRule>
  </conditionalFormatting>
  <conditionalFormatting sqref="JO15 JO12">
    <cfRule type="cellIs" dxfId="679" priority="680" stopIfTrue="1" operator="equal">
      <formula>TODAY()</formula>
    </cfRule>
  </conditionalFormatting>
  <conditionalFormatting sqref="JO5:JO7 JO10">
    <cfRule type="cellIs" dxfId="678" priority="679" stopIfTrue="1" operator="equal">
      <formula>TODAY()</formula>
    </cfRule>
  </conditionalFormatting>
  <conditionalFormatting sqref="JO12 JO15 JO20">
    <cfRule type="cellIs" dxfId="677" priority="678" stopIfTrue="1" operator="equal">
      <formula>TODAY()</formula>
    </cfRule>
  </conditionalFormatting>
  <conditionalFormatting sqref="JO18">
    <cfRule type="cellIs" dxfId="676" priority="677" stopIfTrue="1" operator="equal">
      <formula>TODAY()</formula>
    </cfRule>
  </conditionalFormatting>
  <conditionalFormatting sqref="JP15 JP12">
    <cfRule type="cellIs" dxfId="675" priority="676" stopIfTrue="1" operator="equal">
      <formula>TODAY()</formula>
    </cfRule>
  </conditionalFormatting>
  <conditionalFormatting sqref="JP5:JP7 JP10">
    <cfRule type="cellIs" dxfId="674" priority="675" stopIfTrue="1" operator="equal">
      <formula>TODAY()</formula>
    </cfRule>
  </conditionalFormatting>
  <conditionalFormatting sqref="JP12 JP15 JP20">
    <cfRule type="cellIs" dxfId="673" priority="674" stopIfTrue="1" operator="equal">
      <formula>TODAY()</formula>
    </cfRule>
  </conditionalFormatting>
  <conditionalFormatting sqref="JP18">
    <cfRule type="cellIs" dxfId="672" priority="673" stopIfTrue="1" operator="equal">
      <formula>TODAY()</formula>
    </cfRule>
  </conditionalFormatting>
  <conditionalFormatting sqref="JQ15 JQ12">
    <cfRule type="cellIs" dxfId="671" priority="672" stopIfTrue="1" operator="equal">
      <formula>TODAY()</formula>
    </cfRule>
  </conditionalFormatting>
  <conditionalFormatting sqref="JQ5:JQ7 JQ10">
    <cfRule type="cellIs" dxfId="670" priority="671" stopIfTrue="1" operator="equal">
      <formula>TODAY()</formula>
    </cfRule>
  </conditionalFormatting>
  <conditionalFormatting sqref="JQ12 JQ15 JQ20">
    <cfRule type="cellIs" dxfId="669" priority="670" stopIfTrue="1" operator="equal">
      <formula>TODAY()</formula>
    </cfRule>
  </conditionalFormatting>
  <conditionalFormatting sqref="JQ18">
    <cfRule type="cellIs" dxfId="668" priority="669" stopIfTrue="1" operator="equal">
      <formula>TODAY()</formula>
    </cfRule>
  </conditionalFormatting>
  <conditionalFormatting sqref="JR15 JR12">
    <cfRule type="cellIs" dxfId="667" priority="668" stopIfTrue="1" operator="equal">
      <formula>TODAY()</formula>
    </cfRule>
  </conditionalFormatting>
  <conditionalFormatting sqref="JR5:JR7 JR10">
    <cfRule type="cellIs" dxfId="666" priority="667" stopIfTrue="1" operator="equal">
      <formula>TODAY()</formula>
    </cfRule>
  </conditionalFormatting>
  <conditionalFormatting sqref="JR12 JR15 JR20">
    <cfRule type="cellIs" dxfId="665" priority="666" stopIfTrue="1" operator="equal">
      <formula>TODAY()</formula>
    </cfRule>
  </conditionalFormatting>
  <conditionalFormatting sqref="JR18">
    <cfRule type="cellIs" dxfId="664" priority="665" stopIfTrue="1" operator="equal">
      <formula>TODAY()</formula>
    </cfRule>
  </conditionalFormatting>
  <conditionalFormatting sqref="JS15 JS12">
    <cfRule type="cellIs" dxfId="663" priority="664" stopIfTrue="1" operator="equal">
      <formula>TODAY()</formula>
    </cfRule>
  </conditionalFormatting>
  <conditionalFormatting sqref="JS5:JS7 JS10">
    <cfRule type="cellIs" dxfId="662" priority="663" stopIfTrue="1" operator="equal">
      <formula>TODAY()</formula>
    </cfRule>
  </conditionalFormatting>
  <conditionalFormatting sqref="JS12 JS15 JS20">
    <cfRule type="cellIs" dxfId="661" priority="662" stopIfTrue="1" operator="equal">
      <formula>TODAY()</formula>
    </cfRule>
  </conditionalFormatting>
  <conditionalFormatting sqref="JS18">
    <cfRule type="cellIs" dxfId="660" priority="661" stopIfTrue="1" operator="equal">
      <formula>TODAY()</formula>
    </cfRule>
  </conditionalFormatting>
  <conditionalFormatting sqref="JT15 JT12 JV12 JV15">
    <cfRule type="cellIs" dxfId="659" priority="660" stopIfTrue="1" operator="equal">
      <formula>TODAY()</formula>
    </cfRule>
  </conditionalFormatting>
  <conditionalFormatting sqref="JT5:JT7 JT10 JV10 JV5:JV7">
    <cfRule type="cellIs" dxfId="658" priority="659" stopIfTrue="1" operator="equal">
      <formula>TODAY()</formula>
    </cfRule>
  </conditionalFormatting>
  <conditionalFormatting sqref="JT12 JT15 JT20 JV20 JV15 JV12">
    <cfRule type="cellIs" dxfId="657" priority="658" stopIfTrue="1" operator="equal">
      <formula>TODAY()</formula>
    </cfRule>
  </conditionalFormatting>
  <conditionalFormatting sqref="JT18 JV18">
    <cfRule type="cellIs" dxfId="656" priority="657" stopIfTrue="1" operator="equal">
      <formula>TODAY()</formula>
    </cfRule>
  </conditionalFormatting>
  <conditionalFormatting sqref="JU15 JU12">
    <cfRule type="cellIs" dxfId="655" priority="656" stopIfTrue="1" operator="equal">
      <formula>TODAY()</formula>
    </cfRule>
  </conditionalFormatting>
  <conditionalFormatting sqref="JU5:JU7 JU10">
    <cfRule type="cellIs" dxfId="654" priority="655" stopIfTrue="1" operator="equal">
      <formula>TODAY()</formula>
    </cfRule>
  </conditionalFormatting>
  <conditionalFormatting sqref="JU12 JU15 JU20">
    <cfRule type="cellIs" dxfId="653" priority="654" stopIfTrue="1" operator="equal">
      <formula>TODAY()</formula>
    </cfRule>
  </conditionalFormatting>
  <conditionalFormatting sqref="JU18">
    <cfRule type="cellIs" dxfId="652" priority="653" stopIfTrue="1" operator="equal">
      <formula>TODAY()</formula>
    </cfRule>
  </conditionalFormatting>
  <conditionalFormatting sqref="JW12 JW15">
    <cfRule type="cellIs" dxfId="651" priority="652" stopIfTrue="1" operator="equal">
      <formula>TODAY()</formula>
    </cfRule>
  </conditionalFormatting>
  <conditionalFormatting sqref="JW10 JW5:JW7">
    <cfRule type="cellIs" dxfId="650" priority="651" stopIfTrue="1" operator="equal">
      <formula>TODAY()</formula>
    </cfRule>
  </conditionalFormatting>
  <conditionalFormatting sqref="JW20 JW15 JW12">
    <cfRule type="cellIs" dxfId="649" priority="650" stopIfTrue="1" operator="equal">
      <formula>TODAY()</formula>
    </cfRule>
  </conditionalFormatting>
  <conditionalFormatting sqref="JW18">
    <cfRule type="cellIs" dxfId="648" priority="649" stopIfTrue="1" operator="equal">
      <formula>TODAY()</formula>
    </cfRule>
  </conditionalFormatting>
  <conditionalFormatting sqref="JX12 JX15">
    <cfRule type="cellIs" dxfId="647" priority="648" stopIfTrue="1" operator="equal">
      <formula>TODAY()</formula>
    </cfRule>
  </conditionalFormatting>
  <conditionalFormatting sqref="JX10 JX5:JX7">
    <cfRule type="cellIs" dxfId="646" priority="647" stopIfTrue="1" operator="equal">
      <formula>TODAY()</formula>
    </cfRule>
  </conditionalFormatting>
  <conditionalFormatting sqref="JX20 JX15 JX12">
    <cfRule type="cellIs" dxfId="645" priority="646" stopIfTrue="1" operator="equal">
      <formula>TODAY()</formula>
    </cfRule>
  </conditionalFormatting>
  <conditionalFormatting sqref="JX18">
    <cfRule type="cellIs" dxfId="644" priority="645" stopIfTrue="1" operator="equal">
      <formula>TODAY()</formula>
    </cfRule>
  </conditionalFormatting>
  <conditionalFormatting sqref="JY12 JY15">
    <cfRule type="cellIs" dxfId="643" priority="644" stopIfTrue="1" operator="equal">
      <formula>TODAY()</formula>
    </cfRule>
  </conditionalFormatting>
  <conditionalFormatting sqref="JY10 JY5:JY7">
    <cfRule type="cellIs" dxfId="642" priority="643" stopIfTrue="1" operator="equal">
      <formula>TODAY()</formula>
    </cfRule>
  </conditionalFormatting>
  <conditionalFormatting sqref="JY20 JY15 JY12">
    <cfRule type="cellIs" dxfId="641" priority="642" stopIfTrue="1" operator="equal">
      <formula>TODAY()</formula>
    </cfRule>
  </conditionalFormatting>
  <conditionalFormatting sqref="JY18">
    <cfRule type="cellIs" dxfId="640" priority="641" stopIfTrue="1" operator="equal">
      <formula>TODAY()</formula>
    </cfRule>
  </conditionalFormatting>
  <conditionalFormatting sqref="JZ12 JZ15">
    <cfRule type="cellIs" dxfId="639" priority="640" stopIfTrue="1" operator="equal">
      <formula>TODAY()</formula>
    </cfRule>
  </conditionalFormatting>
  <conditionalFormatting sqref="JZ10 JZ5:JZ7">
    <cfRule type="cellIs" dxfId="638" priority="639" stopIfTrue="1" operator="equal">
      <formula>TODAY()</formula>
    </cfRule>
  </conditionalFormatting>
  <conditionalFormatting sqref="JZ20 JZ15 JZ12">
    <cfRule type="cellIs" dxfId="637" priority="638" stopIfTrue="1" operator="equal">
      <formula>TODAY()</formula>
    </cfRule>
  </conditionalFormatting>
  <conditionalFormatting sqref="JZ18">
    <cfRule type="cellIs" dxfId="636" priority="637" stopIfTrue="1" operator="equal">
      <formula>TODAY()</formula>
    </cfRule>
  </conditionalFormatting>
  <conditionalFormatting sqref="KA12 KA15">
    <cfRule type="cellIs" dxfId="635" priority="636" stopIfTrue="1" operator="equal">
      <formula>TODAY()</formula>
    </cfRule>
  </conditionalFormatting>
  <conditionalFormatting sqref="KA10 KA5:KA7">
    <cfRule type="cellIs" dxfId="634" priority="635" stopIfTrue="1" operator="equal">
      <formula>TODAY()</formula>
    </cfRule>
  </conditionalFormatting>
  <conditionalFormatting sqref="KA20 KA15 KA12">
    <cfRule type="cellIs" dxfId="633" priority="634" stopIfTrue="1" operator="equal">
      <formula>TODAY()</formula>
    </cfRule>
  </conditionalFormatting>
  <conditionalFormatting sqref="KA18">
    <cfRule type="cellIs" dxfId="632" priority="633" stopIfTrue="1" operator="equal">
      <formula>TODAY()</formula>
    </cfRule>
  </conditionalFormatting>
  <conditionalFormatting sqref="KB12 KB15">
    <cfRule type="cellIs" dxfId="631" priority="632" stopIfTrue="1" operator="equal">
      <formula>TODAY()</formula>
    </cfRule>
  </conditionalFormatting>
  <conditionalFormatting sqref="KB10 KB5:KB7">
    <cfRule type="cellIs" dxfId="630" priority="631" stopIfTrue="1" operator="equal">
      <formula>TODAY()</formula>
    </cfRule>
  </conditionalFormatting>
  <conditionalFormatting sqref="KB20 KB15 KB12">
    <cfRule type="cellIs" dxfId="629" priority="630" stopIfTrue="1" operator="equal">
      <formula>TODAY()</formula>
    </cfRule>
  </conditionalFormatting>
  <conditionalFormatting sqref="KB18">
    <cfRule type="cellIs" dxfId="628" priority="629" stopIfTrue="1" operator="equal">
      <formula>TODAY()</formula>
    </cfRule>
  </conditionalFormatting>
  <conditionalFormatting sqref="KC12 KC15">
    <cfRule type="cellIs" dxfId="627" priority="628" stopIfTrue="1" operator="equal">
      <formula>TODAY()</formula>
    </cfRule>
  </conditionalFormatting>
  <conditionalFormatting sqref="KC10 KC5:KC7">
    <cfRule type="cellIs" dxfId="626" priority="627" stopIfTrue="1" operator="equal">
      <formula>TODAY()</formula>
    </cfRule>
  </conditionalFormatting>
  <conditionalFormatting sqref="KC20 KC15 KC12">
    <cfRule type="cellIs" dxfId="625" priority="626" stopIfTrue="1" operator="equal">
      <formula>TODAY()</formula>
    </cfRule>
  </conditionalFormatting>
  <conditionalFormatting sqref="KC18">
    <cfRule type="cellIs" dxfId="624" priority="625" stopIfTrue="1" operator="equal">
      <formula>TODAY()</formula>
    </cfRule>
  </conditionalFormatting>
  <conditionalFormatting sqref="KD12 KD15">
    <cfRule type="cellIs" dxfId="623" priority="624" stopIfTrue="1" operator="equal">
      <formula>TODAY()</formula>
    </cfRule>
  </conditionalFormatting>
  <conditionalFormatting sqref="KD10 KD5:KD7">
    <cfRule type="cellIs" dxfId="622" priority="623" stopIfTrue="1" operator="equal">
      <formula>TODAY()</formula>
    </cfRule>
  </conditionalFormatting>
  <conditionalFormatting sqref="KD20 KD15 KD12">
    <cfRule type="cellIs" dxfId="621" priority="622" stopIfTrue="1" operator="equal">
      <formula>TODAY()</formula>
    </cfRule>
  </conditionalFormatting>
  <conditionalFormatting sqref="KD18">
    <cfRule type="cellIs" dxfId="620" priority="621" stopIfTrue="1" operator="equal">
      <formula>TODAY()</formula>
    </cfRule>
  </conditionalFormatting>
  <conditionalFormatting sqref="KE12 KE15">
    <cfRule type="cellIs" dxfId="619" priority="620" stopIfTrue="1" operator="equal">
      <formula>TODAY()</formula>
    </cfRule>
  </conditionalFormatting>
  <conditionalFormatting sqref="KE10 KE5:KE7">
    <cfRule type="cellIs" dxfId="618" priority="619" stopIfTrue="1" operator="equal">
      <formula>TODAY()</formula>
    </cfRule>
  </conditionalFormatting>
  <conditionalFormatting sqref="KE20 KE15 KE12">
    <cfRule type="cellIs" dxfId="617" priority="618" stopIfTrue="1" operator="equal">
      <formula>TODAY()</formula>
    </cfRule>
  </conditionalFormatting>
  <conditionalFormatting sqref="KE18">
    <cfRule type="cellIs" dxfId="616" priority="617" stopIfTrue="1" operator="equal">
      <formula>TODAY()</formula>
    </cfRule>
  </conditionalFormatting>
  <conditionalFormatting sqref="KF12 KF15">
    <cfRule type="cellIs" dxfId="615" priority="616" stopIfTrue="1" operator="equal">
      <formula>TODAY()</formula>
    </cfRule>
  </conditionalFormatting>
  <conditionalFormatting sqref="KF10 KF5:KF7">
    <cfRule type="cellIs" dxfId="614" priority="615" stopIfTrue="1" operator="equal">
      <formula>TODAY()</formula>
    </cfRule>
  </conditionalFormatting>
  <conditionalFormatting sqref="KF20 KF15 KF12">
    <cfRule type="cellIs" dxfId="613" priority="614" stopIfTrue="1" operator="equal">
      <formula>TODAY()</formula>
    </cfRule>
  </conditionalFormatting>
  <conditionalFormatting sqref="KF18">
    <cfRule type="cellIs" dxfId="612" priority="613" stopIfTrue="1" operator="equal">
      <formula>TODAY()</formula>
    </cfRule>
  </conditionalFormatting>
  <conditionalFormatting sqref="KG12 KG15">
    <cfRule type="cellIs" dxfId="611" priority="612" stopIfTrue="1" operator="equal">
      <formula>TODAY()</formula>
    </cfRule>
  </conditionalFormatting>
  <conditionalFormatting sqref="KG10 KG5:KG7">
    <cfRule type="cellIs" dxfId="610" priority="611" stopIfTrue="1" operator="equal">
      <formula>TODAY()</formula>
    </cfRule>
  </conditionalFormatting>
  <conditionalFormatting sqref="KG20 KG15 KG12">
    <cfRule type="cellIs" dxfId="609" priority="610" stopIfTrue="1" operator="equal">
      <formula>TODAY()</formula>
    </cfRule>
  </conditionalFormatting>
  <conditionalFormatting sqref="KG18">
    <cfRule type="cellIs" dxfId="608" priority="609" stopIfTrue="1" operator="equal">
      <formula>TODAY()</formula>
    </cfRule>
  </conditionalFormatting>
  <conditionalFormatting sqref="KH12 KH15">
    <cfRule type="cellIs" dxfId="607" priority="608" stopIfTrue="1" operator="equal">
      <formula>TODAY()</formula>
    </cfRule>
  </conditionalFormatting>
  <conditionalFormatting sqref="KH10 KH5:KH7">
    <cfRule type="cellIs" dxfId="606" priority="607" stopIfTrue="1" operator="equal">
      <formula>TODAY()</formula>
    </cfRule>
  </conditionalFormatting>
  <conditionalFormatting sqref="KH20 KH15 KH12">
    <cfRule type="cellIs" dxfId="605" priority="606" stopIfTrue="1" operator="equal">
      <formula>TODAY()</formula>
    </cfRule>
  </conditionalFormatting>
  <conditionalFormatting sqref="KH18">
    <cfRule type="cellIs" dxfId="604" priority="605" stopIfTrue="1" operator="equal">
      <formula>TODAY()</formula>
    </cfRule>
  </conditionalFormatting>
  <conditionalFormatting sqref="KI12 KI15">
    <cfRule type="cellIs" dxfId="603" priority="604" stopIfTrue="1" operator="equal">
      <formula>TODAY()</formula>
    </cfRule>
  </conditionalFormatting>
  <conditionalFormatting sqref="KI10 KI5:KI7">
    <cfRule type="cellIs" dxfId="602" priority="603" stopIfTrue="1" operator="equal">
      <formula>TODAY()</formula>
    </cfRule>
  </conditionalFormatting>
  <conditionalFormatting sqref="KI20 KI15 KI12">
    <cfRule type="cellIs" dxfId="601" priority="602" stopIfTrue="1" operator="equal">
      <formula>TODAY()</formula>
    </cfRule>
  </conditionalFormatting>
  <conditionalFormatting sqref="KI18">
    <cfRule type="cellIs" dxfId="600" priority="601" stopIfTrue="1" operator="equal">
      <formula>TODAY()</formula>
    </cfRule>
  </conditionalFormatting>
  <conditionalFormatting sqref="KJ12 KJ15">
    <cfRule type="cellIs" dxfId="599" priority="600" stopIfTrue="1" operator="equal">
      <formula>TODAY()</formula>
    </cfRule>
  </conditionalFormatting>
  <conditionalFormatting sqref="KJ10 KJ5:KJ7">
    <cfRule type="cellIs" dxfId="598" priority="599" stopIfTrue="1" operator="equal">
      <formula>TODAY()</formula>
    </cfRule>
  </conditionalFormatting>
  <conditionalFormatting sqref="KJ20 KJ15 KJ12">
    <cfRule type="cellIs" dxfId="597" priority="598" stopIfTrue="1" operator="equal">
      <formula>TODAY()</formula>
    </cfRule>
  </conditionalFormatting>
  <conditionalFormatting sqref="KJ18">
    <cfRule type="cellIs" dxfId="596" priority="597" stopIfTrue="1" operator="equal">
      <formula>TODAY()</formula>
    </cfRule>
  </conditionalFormatting>
  <conditionalFormatting sqref="KK12 KK15">
    <cfRule type="cellIs" dxfId="595" priority="596" stopIfTrue="1" operator="equal">
      <formula>TODAY()</formula>
    </cfRule>
  </conditionalFormatting>
  <conditionalFormatting sqref="KK10 KK5:KK7">
    <cfRule type="cellIs" dxfId="594" priority="595" stopIfTrue="1" operator="equal">
      <formula>TODAY()</formula>
    </cfRule>
  </conditionalFormatting>
  <conditionalFormatting sqref="KK20 KK15 KK12">
    <cfRule type="cellIs" dxfId="593" priority="594" stopIfTrue="1" operator="equal">
      <formula>TODAY()</formula>
    </cfRule>
  </conditionalFormatting>
  <conditionalFormatting sqref="KK18">
    <cfRule type="cellIs" dxfId="592" priority="593" stopIfTrue="1" operator="equal">
      <formula>TODAY()</formula>
    </cfRule>
  </conditionalFormatting>
  <conditionalFormatting sqref="KL12 KL15">
    <cfRule type="cellIs" dxfId="591" priority="592" stopIfTrue="1" operator="equal">
      <formula>TODAY()</formula>
    </cfRule>
  </conditionalFormatting>
  <conditionalFormatting sqref="KL10 KL5:KL7">
    <cfRule type="cellIs" dxfId="590" priority="591" stopIfTrue="1" operator="equal">
      <formula>TODAY()</formula>
    </cfRule>
  </conditionalFormatting>
  <conditionalFormatting sqref="KL20 KL15 KL12">
    <cfRule type="cellIs" dxfId="589" priority="590" stopIfTrue="1" operator="equal">
      <formula>TODAY()</formula>
    </cfRule>
  </conditionalFormatting>
  <conditionalFormatting sqref="KL18">
    <cfRule type="cellIs" dxfId="588" priority="589" stopIfTrue="1" operator="equal">
      <formula>TODAY()</formula>
    </cfRule>
  </conditionalFormatting>
  <conditionalFormatting sqref="KM12 KM15">
    <cfRule type="cellIs" dxfId="587" priority="588" stopIfTrue="1" operator="equal">
      <formula>TODAY()</formula>
    </cfRule>
  </conditionalFormatting>
  <conditionalFormatting sqref="KM10 KM5:KM7">
    <cfRule type="cellIs" dxfId="586" priority="587" stopIfTrue="1" operator="equal">
      <formula>TODAY()</formula>
    </cfRule>
  </conditionalFormatting>
  <conditionalFormatting sqref="KM20 KM15 KM12">
    <cfRule type="cellIs" dxfId="585" priority="586" stopIfTrue="1" operator="equal">
      <formula>TODAY()</formula>
    </cfRule>
  </conditionalFormatting>
  <conditionalFormatting sqref="KM18">
    <cfRule type="cellIs" dxfId="584" priority="585" stopIfTrue="1" operator="equal">
      <formula>TODAY()</formula>
    </cfRule>
  </conditionalFormatting>
  <conditionalFormatting sqref="KN12 KN15">
    <cfRule type="cellIs" dxfId="583" priority="584" stopIfTrue="1" operator="equal">
      <formula>TODAY()</formula>
    </cfRule>
  </conditionalFormatting>
  <conditionalFormatting sqref="KN10 KN5:KN7">
    <cfRule type="cellIs" dxfId="582" priority="583" stopIfTrue="1" operator="equal">
      <formula>TODAY()</formula>
    </cfRule>
  </conditionalFormatting>
  <conditionalFormatting sqref="KN20 KN15 KN12">
    <cfRule type="cellIs" dxfId="581" priority="582" stopIfTrue="1" operator="equal">
      <formula>TODAY()</formula>
    </cfRule>
  </conditionalFormatting>
  <conditionalFormatting sqref="KN18">
    <cfRule type="cellIs" dxfId="580" priority="581" stopIfTrue="1" operator="equal">
      <formula>TODAY()</formula>
    </cfRule>
  </conditionalFormatting>
  <conditionalFormatting sqref="KO12 KO15">
    <cfRule type="cellIs" dxfId="579" priority="580" stopIfTrue="1" operator="equal">
      <formula>TODAY()</formula>
    </cfRule>
  </conditionalFormatting>
  <conditionalFormatting sqref="KO10 KO5:KO7">
    <cfRule type="cellIs" dxfId="578" priority="579" stopIfTrue="1" operator="equal">
      <formula>TODAY()</formula>
    </cfRule>
  </conditionalFormatting>
  <conditionalFormatting sqref="KO20 KO15 KO12">
    <cfRule type="cellIs" dxfId="577" priority="578" stopIfTrue="1" operator="equal">
      <formula>TODAY()</formula>
    </cfRule>
  </conditionalFormatting>
  <conditionalFormatting sqref="KO18">
    <cfRule type="cellIs" dxfId="576" priority="577" stopIfTrue="1" operator="equal">
      <formula>TODAY()</formula>
    </cfRule>
  </conditionalFormatting>
  <conditionalFormatting sqref="KP12 KP15">
    <cfRule type="cellIs" dxfId="575" priority="576" stopIfTrue="1" operator="equal">
      <formula>TODAY()</formula>
    </cfRule>
  </conditionalFormatting>
  <conditionalFormatting sqref="KP10 KP5:KP7">
    <cfRule type="cellIs" dxfId="574" priority="575" stopIfTrue="1" operator="equal">
      <formula>TODAY()</formula>
    </cfRule>
  </conditionalFormatting>
  <conditionalFormatting sqref="KP20 KP15 KP12">
    <cfRule type="cellIs" dxfId="573" priority="574" stopIfTrue="1" operator="equal">
      <formula>TODAY()</formula>
    </cfRule>
  </conditionalFormatting>
  <conditionalFormatting sqref="KP18">
    <cfRule type="cellIs" dxfId="572" priority="573" stopIfTrue="1" operator="equal">
      <formula>TODAY()</formula>
    </cfRule>
  </conditionalFormatting>
  <conditionalFormatting sqref="KQ12 KQ15">
    <cfRule type="cellIs" dxfId="571" priority="572" stopIfTrue="1" operator="equal">
      <formula>TODAY()</formula>
    </cfRule>
  </conditionalFormatting>
  <conditionalFormatting sqref="KQ10 KQ5:KQ7">
    <cfRule type="cellIs" dxfId="570" priority="571" stopIfTrue="1" operator="equal">
      <formula>TODAY()</formula>
    </cfRule>
  </conditionalFormatting>
  <conditionalFormatting sqref="KQ20 KQ15 KQ12">
    <cfRule type="cellIs" dxfId="569" priority="570" stopIfTrue="1" operator="equal">
      <formula>TODAY()</formula>
    </cfRule>
  </conditionalFormatting>
  <conditionalFormatting sqref="KQ18">
    <cfRule type="cellIs" dxfId="568" priority="569" stopIfTrue="1" operator="equal">
      <formula>TODAY()</formula>
    </cfRule>
  </conditionalFormatting>
  <conditionalFormatting sqref="KR12 KR15">
    <cfRule type="cellIs" dxfId="567" priority="568" stopIfTrue="1" operator="equal">
      <formula>TODAY()</formula>
    </cfRule>
  </conditionalFormatting>
  <conditionalFormatting sqref="KR10 KR5:KR7">
    <cfRule type="cellIs" dxfId="566" priority="567" stopIfTrue="1" operator="equal">
      <formula>TODAY()</formula>
    </cfRule>
  </conditionalFormatting>
  <conditionalFormatting sqref="KR20 KR15 KR12">
    <cfRule type="cellIs" dxfId="565" priority="566" stopIfTrue="1" operator="equal">
      <formula>TODAY()</formula>
    </cfRule>
  </conditionalFormatting>
  <conditionalFormatting sqref="KR18">
    <cfRule type="cellIs" dxfId="564" priority="565" stopIfTrue="1" operator="equal">
      <formula>TODAY()</formula>
    </cfRule>
  </conditionalFormatting>
  <conditionalFormatting sqref="KS12 KS15">
    <cfRule type="cellIs" dxfId="563" priority="564" stopIfTrue="1" operator="equal">
      <formula>TODAY()</formula>
    </cfRule>
  </conditionalFormatting>
  <conditionalFormatting sqref="KS10 KS5:KS7">
    <cfRule type="cellIs" dxfId="562" priority="563" stopIfTrue="1" operator="equal">
      <formula>TODAY()</formula>
    </cfRule>
  </conditionalFormatting>
  <conditionalFormatting sqref="KS20 KS15 KS12">
    <cfRule type="cellIs" dxfId="561" priority="562" stopIfTrue="1" operator="equal">
      <formula>TODAY()</formula>
    </cfRule>
  </conditionalFormatting>
  <conditionalFormatting sqref="KS18">
    <cfRule type="cellIs" dxfId="560" priority="561" stopIfTrue="1" operator="equal">
      <formula>TODAY()</formula>
    </cfRule>
  </conditionalFormatting>
  <conditionalFormatting sqref="KT12 KT15">
    <cfRule type="cellIs" dxfId="559" priority="560" stopIfTrue="1" operator="equal">
      <formula>TODAY()</formula>
    </cfRule>
  </conditionalFormatting>
  <conditionalFormatting sqref="KT10 KT5:KT7">
    <cfRule type="cellIs" dxfId="558" priority="559" stopIfTrue="1" operator="equal">
      <formula>TODAY()</formula>
    </cfRule>
  </conditionalFormatting>
  <conditionalFormatting sqref="KT20 KT15 KT12">
    <cfRule type="cellIs" dxfId="557" priority="558" stopIfTrue="1" operator="equal">
      <formula>TODAY()</formula>
    </cfRule>
  </conditionalFormatting>
  <conditionalFormatting sqref="KT18">
    <cfRule type="cellIs" dxfId="556" priority="557" stopIfTrue="1" operator="equal">
      <formula>TODAY()</formula>
    </cfRule>
  </conditionalFormatting>
  <conditionalFormatting sqref="KU12 KU15">
    <cfRule type="cellIs" dxfId="555" priority="556" stopIfTrue="1" operator="equal">
      <formula>TODAY()</formula>
    </cfRule>
  </conditionalFormatting>
  <conditionalFormatting sqref="KU10 KU5:KU7">
    <cfRule type="cellIs" dxfId="554" priority="555" stopIfTrue="1" operator="equal">
      <formula>TODAY()</formula>
    </cfRule>
  </conditionalFormatting>
  <conditionalFormatting sqref="KU20 KU15 KU12">
    <cfRule type="cellIs" dxfId="553" priority="554" stopIfTrue="1" operator="equal">
      <formula>TODAY()</formula>
    </cfRule>
  </conditionalFormatting>
  <conditionalFormatting sqref="KU18">
    <cfRule type="cellIs" dxfId="552" priority="553" stopIfTrue="1" operator="equal">
      <formula>TODAY()</formula>
    </cfRule>
  </conditionalFormatting>
  <conditionalFormatting sqref="KV12 KV15">
    <cfRule type="cellIs" dxfId="551" priority="552" stopIfTrue="1" operator="equal">
      <formula>TODAY()</formula>
    </cfRule>
  </conditionalFormatting>
  <conditionalFormatting sqref="KV10 KV5:KV7">
    <cfRule type="cellIs" dxfId="550" priority="551" stopIfTrue="1" operator="equal">
      <formula>TODAY()</formula>
    </cfRule>
  </conditionalFormatting>
  <conditionalFormatting sqref="KV20 KV15 KV12">
    <cfRule type="cellIs" dxfId="549" priority="550" stopIfTrue="1" operator="equal">
      <formula>TODAY()</formula>
    </cfRule>
  </conditionalFormatting>
  <conditionalFormatting sqref="KV18">
    <cfRule type="cellIs" dxfId="548" priority="549" stopIfTrue="1" operator="equal">
      <formula>TODAY()</formula>
    </cfRule>
  </conditionalFormatting>
  <conditionalFormatting sqref="KW12 KW15">
    <cfRule type="cellIs" dxfId="547" priority="548" stopIfTrue="1" operator="equal">
      <formula>TODAY()</formula>
    </cfRule>
  </conditionalFormatting>
  <conditionalFormatting sqref="KW10 KW5:KW7">
    <cfRule type="cellIs" dxfId="546" priority="547" stopIfTrue="1" operator="equal">
      <formula>TODAY()</formula>
    </cfRule>
  </conditionalFormatting>
  <conditionalFormatting sqref="KW20 KW15 KW12">
    <cfRule type="cellIs" dxfId="545" priority="546" stopIfTrue="1" operator="equal">
      <formula>TODAY()</formula>
    </cfRule>
  </conditionalFormatting>
  <conditionalFormatting sqref="KW18">
    <cfRule type="cellIs" dxfId="544" priority="545" stopIfTrue="1" operator="equal">
      <formula>TODAY()</formula>
    </cfRule>
  </conditionalFormatting>
  <conditionalFormatting sqref="KX12 KX15">
    <cfRule type="cellIs" dxfId="543" priority="544" stopIfTrue="1" operator="equal">
      <formula>TODAY()</formula>
    </cfRule>
  </conditionalFormatting>
  <conditionalFormatting sqref="KX10 KX5:KX7">
    <cfRule type="cellIs" dxfId="542" priority="543" stopIfTrue="1" operator="equal">
      <formula>TODAY()</formula>
    </cfRule>
  </conditionalFormatting>
  <conditionalFormatting sqref="KX20 KX15 KX12">
    <cfRule type="cellIs" dxfId="541" priority="542" stopIfTrue="1" operator="equal">
      <formula>TODAY()</formula>
    </cfRule>
  </conditionalFormatting>
  <conditionalFormatting sqref="KX18">
    <cfRule type="cellIs" dxfId="540" priority="541" stopIfTrue="1" operator="equal">
      <formula>TODAY()</formula>
    </cfRule>
  </conditionalFormatting>
  <conditionalFormatting sqref="KY12 KY15">
    <cfRule type="cellIs" dxfId="539" priority="540" stopIfTrue="1" operator="equal">
      <formula>TODAY()</formula>
    </cfRule>
  </conditionalFormatting>
  <conditionalFormatting sqref="KY10 KY5:KY7">
    <cfRule type="cellIs" dxfId="538" priority="539" stopIfTrue="1" operator="equal">
      <formula>TODAY()</formula>
    </cfRule>
  </conditionalFormatting>
  <conditionalFormatting sqref="KY20 KY15 KY12">
    <cfRule type="cellIs" dxfId="537" priority="538" stopIfTrue="1" operator="equal">
      <formula>TODAY()</formula>
    </cfRule>
  </conditionalFormatting>
  <conditionalFormatting sqref="KY18">
    <cfRule type="cellIs" dxfId="536" priority="537" stopIfTrue="1" operator="equal">
      <formula>TODAY()</formula>
    </cfRule>
  </conditionalFormatting>
  <conditionalFormatting sqref="KZ12 KZ15">
    <cfRule type="cellIs" dxfId="535" priority="536" stopIfTrue="1" operator="equal">
      <formula>TODAY()</formula>
    </cfRule>
  </conditionalFormatting>
  <conditionalFormatting sqref="KZ10 KZ5:KZ7">
    <cfRule type="cellIs" dxfId="534" priority="535" stopIfTrue="1" operator="equal">
      <formula>TODAY()</formula>
    </cfRule>
  </conditionalFormatting>
  <conditionalFormatting sqref="KZ20 KZ15 KZ12">
    <cfRule type="cellIs" dxfId="533" priority="534" stopIfTrue="1" operator="equal">
      <formula>TODAY()</formula>
    </cfRule>
  </conditionalFormatting>
  <conditionalFormatting sqref="KZ18">
    <cfRule type="cellIs" dxfId="532" priority="533" stopIfTrue="1" operator="equal">
      <formula>TODAY()</formula>
    </cfRule>
  </conditionalFormatting>
  <conditionalFormatting sqref="LA12 LA15">
    <cfRule type="cellIs" dxfId="531" priority="532" stopIfTrue="1" operator="equal">
      <formula>TODAY()</formula>
    </cfRule>
  </conditionalFormatting>
  <conditionalFormatting sqref="LA10 LA5:LA7">
    <cfRule type="cellIs" dxfId="530" priority="531" stopIfTrue="1" operator="equal">
      <formula>TODAY()</formula>
    </cfRule>
  </conditionalFormatting>
  <conditionalFormatting sqref="LA20 LA15 LA12">
    <cfRule type="cellIs" dxfId="529" priority="530" stopIfTrue="1" operator="equal">
      <formula>TODAY()</formula>
    </cfRule>
  </conditionalFormatting>
  <conditionalFormatting sqref="LA18">
    <cfRule type="cellIs" dxfId="528" priority="529" stopIfTrue="1" operator="equal">
      <formula>TODAY()</formula>
    </cfRule>
  </conditionalFormatting>
  <conditionalFormatting sqref="LB12 LB15">
    <cfRule type="cellIs" dxfId="527" priority="528" stopIfTrue="1" operator="equal">
      <formula>TODAY()</formula>
    </cfRule>
  </conditionalFormatting>
  <conditionalFormatting sqref="LB10 LB5:LB7">
    <cfRule type="cellIs" dxfId="526" priority="527" stopIfTrue="1" operator="equal">
      <formula>TODAY()</formula>
    </cfRule>
  </conditionalFormatting>
  <conditionalFormatting sqref="LB20 LB15 LB12">
    <cfRule type="cellIs" dxfId="525" priority="526" stopIfTrue="1" operator="equal">
      <formula>TODAY()</formula>
    </cfRule>
  </conditionalFormatting>
  <conditionalFormatting sqref="LB18">
    <cfRule type="cellIs" dxfId="524" priority="525" stopIfTrue="1" operator="equal">
      <formula>TODAY()</formula>
    </cfRule>
  </conditionalFormatting>
  <conditionalFormatting sqref="LC12 LC15">
    <cfRule type="cellIs" dxfId="523" priority="524" stopIfTrue="1" operator="equal">
      <formula>TODAY()</formula>
    </cfRule>
  </conditionalFormatting>
  <conditionalFormatting sqref="LC10 LC5:LC7">
    <cfRule type="cellIs" dxfId="522" priority="523" stopIfTrue="1" operator="equal">
      <formula>TODAY()</formula>
    </cfRule>
  </conditionalFormatting>
  <conditionalFormatting sqref="LC20 LC15 LC12">
    <cfRule type="cellIs" dxfId="521" priority="522" stopIfTrue="1" operator="equal">
      <formula>TODAY()</formula>
    </cfRule>
  </conditionalFormatting>
  <conditionalFormatting sqref="LC18">
    <cfRule type="cellIs" dxfId="520" priority="521" stopIfTrue="1" operator="equal">
      <formula>TODAY()</formula>
    </cfRule>
  </conditionalFormatting>
  <conditionalFormatting sqref="LD12 LD15">
    <cfRule type="cellIs" dxfId="519" priority="520" stopIfTrue="1" operator="equal">
      <formula>TODAY()</formula>
    </cfRule>
  </conditionalFormatting>
  <conditionalFormatting sqref="LD10 LD5:LD7">
    <cfRule type="cellIs" dxfId="518" priority="519" stopIfTrue="1" operator="equal">
      <formula>TODAY()</formula>
    </cfRule>
  </conditionalFormatting>
  <conditionalFormatting sqref="LD20 LD15 LD12">
    <cfRule type="cellIs" dxfId="517" priority="518" stopIfTrue="1" operator="equal">
      <formula>TODAY()</formula>
    </cfRule>
  </conditionalFormatting>
  <conditionalFormatting sqref="LD18">
    <cfRule type="cellIs" dxfId="516" priority="517" stopIfTrue="1" operator="equal">
      <formula>TODAY()</formula>
    </cfRule>
  </conditionalFormatting>
  <conditionalFormatting sqref="LE12 LE15">
    <cfRule type="cellIs" dxfId="515" priority="516" stopIfTrue="1" operator="equal">
      <formula>TODAY()</formula>
    </cfRule>
  </conditionalFormatting>
  <conditionalFormatting sqref="LE10 LE5:LE7">
    <cfRule type="cellIs" dxfId="514" priority="515" stopIfTrue="1" operator="equal">
      <formula>TODAY()</formula>
    </cfRule>
  </conditionalFormatting>
  <conditionalFormatting sqref="LE20 LE15 LE12">
    <cfRule type="cellIs" dxfId="513" priority="514" stopIfTrue="1" operator="equal">
      <formula>TODAY()</formula>
    </cfRule>
  </conditionalFormatting>
  <conditionalFormatting sqref="LE18">
    <cfRule type="cellIs" dxfId="512" priority="513" stopIfTrue="1" operator="equal">
      <formula>TODAY()</formula>
    </cfRule>
  </conditionalFormatting>
  <conditionalFormatting sqref="LF12 LF15">
    <cfRule type="cellIs" dxfId="511" priority="512" stopIfTrue="1" operator="equal">
      <formula>TODAY()</formula>
    </cfRule>
  </conditionalFormatting>
  <conditionalFormatting sqref="LF10 LF5:LF7">
    <cfRule type="cellIs" dxfId="510" priority="511" stopIfTrue="1" operator="equal">
      <formula>TODAY()</formula>
    </cfRule>
  </conditionalFormatting>
  <conditionalFormatting sqref="LF20 LF15 LF12">
    <cfRule type="cellIs" dxfId="509" priority="510" stopIfTrue="1" operator="equal">
      <formula>TODAY()</formula>
    </cfRule>
  </conditionalFormatting>
  <conditionalFormatting sqref="LF18">
    <cfRule type="cellIs" dxfId="508" priority="509" stopIfTrue="1" operator="equal">
      <formula>TODAY()</formula>
    </cfRule>
  </conditionalFormatting>
  <conditionalFormatting sqref="LG12 LG15">
    <cfRule type="cellIs" dxfId="507" priority="508" stopIfTrue="1" operator="equal">
      <formula>TODAY()</formula>
    </cfRule>
  </conditionalFormatting>
  <conditionalFormatting sqref="LG10 LG5:LG7">
    <cfRule type="cellIs" dxfId="506" priority="507" stopIfTrue="1" operator="equal">
      <formula>TODAY()</formula>
    </cfRule>
  </conditionalFormatting>
  <conditionalFormatting sqref="LG20 LG15 LG12">
    <cfRule type="cellIs" dxfId="505" priority="506" stopIfTrue="1" operator="equal">
      <formula>TODAY()</formula>
    </cfRule>
  </conditionalFormatting>
  <conditionalFormatting sqref="LG18">
    <cfRule type="cellIs" dxfId="504" priority="505" stopIfTrue="1" operator="equal">
      <formula>TODAY()</formula>
    </cfRule>
  </conditionalFormatting>
  <conditionalFormatting sqref="LH12 LH15">
    <cfRule type="cellIs" dxfId="503" priority="504" stopIfTrue="1" operator="equal">
      <formula>TODAY()</formula>
    </cfRule>
  </conditionalFormatting>
  <conditionalFormatting sqref="LH10 LH5:LH7">
    <cfRule type="cellIs" dxfId="502" priority="503" stopIfTrue="1" operator="equal">
      <formula>TODAY()</formula>
    </cfRule>
  </conditionalFormatting>
  <conditionalFormatting sqref="LH20 LH15 LH12">
    <cfRule type="cellIs" dxfId="501" priority="502" stopIfTrue="1" operator="equal">
      <formula>TODAY()</formula>
    </cfRule>
  </conditionalFormatting>
  <conditionalFormatting sqref="LH18">
    <cfRule type="cellIs" dxfId="500" priority="501" stopIfTrue="1" operator="equal">
      <formula>TODAY()</formula>
    </cfRule>
  </conditionalFormatting>
  <conditionalFormatting sqref="LI12 LI15">
    <cfRule type="cellIs" dxfId="499" priority="500" stopIfTrue="1" operator="equal">
      <formula>TODAY()</formula>
    </cfRule>
  </conditionalFormatting>
  <conditionalFormatting sqref="LI10 LI5:LI7">
    <cfRule type="cellIs" dxfId="498" priority="499" stopIfTrue="1" operator="equal">
      <formula>TODAY()</formula>
    </cfRule>
  </conditionalFormatting>
  <conditionalFormatting sqref="LI20 LI15 LI12">
    <cfRule type="cellIs" dxfId="497" priority="498" stopIfTrue="1" operator="equal">
      <formula>TODAY()</formula>
    </cfRule>
  </conditionalFormatting>
  <conditionalFormatting sqref="LI18">
    <cfRule type="cellIs" dxfId="496" priority="497" stopIfTrue="1" operator="equal">
      <formula>TODAY()</formula>
    </cfRule>
  </conditionalFormatting>
  <conditionalFormatting sqref="LJ12 LJ15">
    <cfRule type="cellIs" dxfId="495" priority="496" stopIfTrue="1" operator="equal">
      <formula>TODAY()</formula>
    </cfRule>
  </conditionalFormatting>
  <conditionalFormatting sqref="LJ10 LJ5:LJ7">
    <cfRule type="cellIs" dxfId="494" priority="495" stopIfTrue="1" operator="equal">
      <formula>TODAY()</formula>
    </cfRule>
  </conditionalFormatting>
  <conditionalFormatting sqref="LJ20 LJ15 LJ12">
    <cfRule type="cellIs" dxfId="493" priority="494" stopIfTrue="1" operator="equal">
      <formula>TODAY()</formula>
    </cfRule>
  </conditionalFormatting>
  <conditionalFormatting sqref="LJ18">
    <cfRule type="cellIs" dxfId="492" priority="493" stopIfTrue="1" operator="equal">
      <formula>TODAY()</formula>
    </cfRule>
  </conditionalFormatting>
  <conditionalFormatting sqref="LK12 LK15">
    <cfRule type="cellIs" dxfId="491" priority="492" stopIfTrue="1" operator="equal">
      <formula>TODAY()</formula>
    </cfRule>
  </conditionalFormatting>
  <conditionalFormatting sqref="LK10 LK5:LK7">
    <cfRule type="cellIs" dxfId="490" priority="491" stopIfTrue="1" operator="equal">
      <formula>TODAY()</formula>
    </cfRule>
  </conditionalFormatting>
  <conditionalFormatting sqref="LK20 LK15 LK12">
    <cfRule type="cellIs" dxfId="489" priority="490" stopIfTrue="1" operator="equal">
      <formula>TODAY()</formula>
    </cfRule>
  </conditionalFormatting>
  <conditionalFormatting sqref="LK18">
    <cfRule type="cellIs" dxfId="488" priority="489" stopIfTrue="1" operator="equal">
      <formula>TODAY()</formula>
    </cfRule>
  </conditionalFormatting>
  <conditionalFormatting sqref="LL12 LL15">
    <cfRule type="cellIs" dxfId="487" priority="488" stopIfTrue="1" operator="equal">
      <formula>TODAY()</formula>
    </cfRule>
  </conditionalFormatting>
  <conditionalFormatting sqref="LL10 LL5:LL7">
    <cfRule type="cellIs" dxfId="486" priority="487" stopIfTrue="1" operator="equal">
      <formula>TODAY()</formula>
    </cfRule>
  </conditionalFormatting>
  <conditionalFormatting sqref="LL20 LL15 LL12">
    <cfRule type="cellIs" dxfId="485" priority="486" stopIfTrue="1" operator="equal">
      <formula>TODAY()</formula>
    </cfRule>
  </conditionalFormatting>
  <conditionalFormatting sqref="LL18">
    <cfRule type="cellIs" dxfId="484" priority="485" stopIfTrue="1" operator="equal">
      <formula>TODAY()</formula>
    </cfRule>
  </conditionalFormatting>
  <conditionalFormatting sqref="LM12 LM15">
    <cfRule type="cellIs" dxfId="483" priority="484" stopIfTrue="1" operator="equal">
      <formula>TODAY()</formula>
    </cfRule>
  </conditionalFormatting>
  <conditionalFormatting sqref="LM10 LM5:LM7">
    <cfRule type="cellIs" dxfId="482" priority="483" stopIfTrue="1" operator="equal">
      <formula>TODAY()</formula>
    </cfRule>
  </conditionalFormatting>
  <conditionalFormatting sqref="LM20 LM15 LM12">
    <cfRule type="cellIs" dxfId="481" priority="482" stopIfTrue="1" operator="equal">
      <formula>TODAY()</formula>
    </cfRule>
  </conditionalFormatting>
  <conditionalFormatting sqref="LM18">
    <cfRule type="cellIs" dxfId="480" priority="481" stopIfTrue="1" operator="equal">
      <formula>TODAY()</formula>
    </cfRule>
  </conditionalFormatting>
  <conditionalFormatting sqref="LN12 LN15">
    <cfRule type="cellIs" dxfId="479" priority="480" stopIfTrue="1" operator="equal">
      <formula>TODAY()</formula>
    </cfRule>
  </conditionalFormatting>
  <conditionalFormatting sqref="LN10 LN5:LN7">
    <cfRule type="cellIs" dxfId="478" priority="479" stopIfTrue="1" operator="equal">
      <formula>TODAY()</formula>
    </cfRule>
  </conditionalFormatting>
  <conditionalFormatting sqref="LN20 LN15 LN12">
    <cfRule type="cellIs" dxfId="477" priority="478" stopIfTrue="1" operator="equal">
      <formula>TODAY()</formula>
    </cfRule>
  </conditionalFormatting>
  <conditionalFormatting sqref="LN18">
    <cfRule type="cellIs" dxfId="476" priority="477" stopIfTrue="1" operator="equal">
      <formula>TODAY()</formula>
    </cfRule>
  </conditionalFormatting>
  <conditionalFormatting sqref="LO12 LO15">
    <cfRule type="cellIs" dxfId="475" priority="476" stopIfTrue="1" operator="equal">
      <formula>TODAY()</formula>
    </cfRule>
  </conditionalFormatting>
  <conditionalFormatting sqref="LO10 LO5:LO7">
    <cfRule type="cellIs" dxfId="474" priority="475" stopIfTrue="1" operator="equal">
      <formula>TODAY()</formula>
    </cfRule>
  </conditionalFormatting>
  <conditionalFormatting sqref="LO20 LO15 LO12">
    <cfRule type="cellIs" dxfId="473" priority="474" stopIfTrue="1" operator="equal">
      <formula>TODAY()</formula>
    </cfRule>
  </conditionalFormatting>
  <conditionalFormatting sqref="LO18">
    <cfRule type="cellIs" dxfId="472" priority="473" stopIfTrue="1" operator="equal">
      <formula>TODAY()</formula>
    </cfRule>
  </conditionalFormatting>
  <conditionalFormatting sqref="LP12 LP15">
    <cfRule type="cellIs" dxfId="471" priority="472" stopIfTrue="1" operator="equal">
      <formula>TODAY()</formula>
    </cfRule>
  </conditionalFormatting>
  <conditionalFormatting sqref="LP10 LP5:LP7">
    <cfRule type="cellIs" dxfId="470" priority="471" stopIfTrue="1" operator="equal">
      <formula>TODAY()</formula>
    </cfRule>
  </conditionalFormatting>
  <conditionalFormatting sqref="LP20 LP15 LP12">
    <cfRule type="cellIs" dxfId="469" priority="470" stopIfTrue="1" operator="equal">
      <formula>TODAY()</formula>
    </cfRule>
  </conditionalFormatting>
  <conditionalFormatting sqref="LP18">
    <cfRule type="cellIs" dxfId="468" priority="469" stopIfTrue="1" operator="equal">
      <formula>TODAY()</formula>
    </cfRule>
  </conditionalFormatting>
  <conditionalFormatting sqref="LQ12 LQ15">
    <cfRule type="cellIs" dxfId="467" priority="468" stopIfTrue="1" operator="equal">
      <formula>TODAY()</formula>
    </cfRule>
  </conditionalFormatting>
  <conditionalFormatting sqref="LQ10 LQ5:LQ7">
    <cfRule type="cellIs" dxfId="466" priority="467" stopIfTrue="1" operator="equal">
      <formula>TODAY()</formula>
    </cfRule>
  </conditionalFormatting>
  <conditionalFormatting sqref="LQ20 LQ15 LQ12">
    <cfRule type="cellIs" dxfId="465" priority="466" stopIfTrue="1" operator="equal">
      <formula>TODAY()</formula>
    </cfRule>
  </conditionalFormatting>
  <conditionalFormatting sqref="LQ18">
    <cfRule type="cellIs" dxfId="464" priority="465" stopIfTrue="1" operator="equal">
      <formula>TODAY()</formula>
    </cfRule>
  </conditionalFormatting>
  <conditionalFormatting sqref="LR12 LR15">
    <cfRule type="cellIs" dxfId="463" priority="464" stopIfTrue="1" operator="equal">
      <formula>TODAY()</formula>
    </cfRule>
  </conditionalFormatting>
  <conditionalFormatting sqref="LR10 LR5:LR7">
    <cfRule type="cellIs" dxfId="462" priority="463" stopIfTrue="1" operator="equal">
      <formula>TODAY()</formula>
    </cfRule>
  </conditionalFormatting>
  <conditionalFormatting sqref="LR20 LR15 LR12">
    <cfRule type="cellIs" dxfId="461" priority="462" stopIfTrue="1" operator="equal">
      <formula>TODAY()</formula>
    </cfRule>
  </conditionalFormatting>
  <conditionalFormatting sqref="LR18">
    <cfRule type="cellIs" dxfId="460" priority="461" stopIfTrue="1" operator="equal">
      <formula>TODAY()</formula>
    </cfRule>
  </conditionalFormatting>
  <conditionalFormatting sqref="LS12 LS15">
    <cfRule type="cellIs" dxfId="459" priority="460" stopIfTrue="1" operator="equal">
      <formula>TODAY()</formula>
    </cfRule>
  </conditionalFormatting>
  <conditionalFormatting sqref="LS10 LS5:LS7">
    <cfRule type="cellIs" dxfId="458" priority="459" stopIfTrue="1" operator="equal">
      <formula>TODAY()</formula>
    </cfRule>
  </conditionalFormatting>
  <conditionalFormatting sqref="LS20 LS15 LS12">
    <cfRule type="cellIs" dxfId="457" priority="458" stopIfTrue="1" operator="equal">
      <formula>TODAY()</formula>
    </cfRule>
  </conditionalFormatting>
  <conditionalFormatting sqref="LS18">
    <cfRule type="cellIs" dxfId="456" priority="457" stopIfTrue="1" operator="equal">
      <formula>TODAY()</formula>
    </cfRule>
  </conditionalFormatting>
  <conditionalFormatting sqref="LT12 LT15">
    <cfRule type="cellIs" dxfId="455" priority="456" stopIfTrue="1" operator="equal">
      <formula>TODAY()</formula>
    </cfRule>
  </conditionalFormatting>
  <conditionalFormatting sqref="LT10 LT5:LT7">
    <cfRule type="cellIs" dxfId="454" priority="455" stopIfTrue="1" operator="equal">
      <formula>TODAY()</formula>
    </cfRule>
  </conditionalFormatting>
  <conditionalFormatting sqref="LT20 LT15 LT12">
    <cfRule type="cellIs" dxfId="453" priority="454" stopIfTrue="1" operator="equal">
      <formula>TODAY()</formula>
    </cfRule>
  </conditionalFormatting>
  <conditionalFormatting sqref="LT18">
    <cfRule type="cellIs" dxfId="452" priority="453" stopIfTrue="1" operator="equal">
      <formula>TODAY()</formula>
    </cfRule>
  </conditionalFormatting>
  <conditionalFormatting sqref="LU12 LU15">
    <cfRule type="cellIs" dxfId="451" priority="452" stopIfTrue="1" operator="equal">
      <formula>TODAY()</formula>
    </cfRule>
  </conditionalFormatting>
  <conditionalFormatting sqref="LU10 LU5:LU7">
    <cfRule type="cellIs" dxfId="450" priority="451" stopIfTrue="1" operator="equal">
      <formula>TODAY()</formula>
    </cfRule>
  </conditionalFormatting>
  <conditionalFormatting sqref="LU20 LU15 LU12">
    <cfRule type="cellIs" dxfId="449" priority="450" stopIfTrue="1" operator="equal">
      <formula>TODAY()</formula>
    </cfRule>
  </conditionalFormatting>
  <conditionalFormatting sqref="LU18">
    <cfRule type="cellIs" dxfId="448" priority="449" stopIfTrue="1" operator="equal">
      <formula>TODAY()</formula>
    </cfRule>
  </conditionalFormatting>
  <conditionalFormatting sqref="LV12 LV15">
    <cfRule type="cellIs" dxfId="447" priority="448" stopIfTrue="1" operator="equal">
      <formula>TODAY()</formula>
    </cfRule>
  </conditionalFormatting>
  <conditionalFormatting sqref="LV10 LV5:LV7">
    <cfRule type="cellIs" dxfId="446" priority="447" stopIfTrue="1" operator="equal">
      <formula>TODAY()</formula>
    </cfRule>
  </conditionalFormatting>
  <conditionalFormatting sqref="LV20 LV15 LV12">
    <cfRule type="cellIs" dxfId="445" priority="446" stopIfTrue="1" operator="equal">
      <formula>TODAY()</formula>
    </cfRule>
  </conditionalFormatting>
  <conditionalFormatting sqref="LV18">
    <cfRule type="cellIs" dxfId="444" priority="445" stopIfTrue="1" operator="equal">
      <formula>TODAY()</formula>
    </cfRule>
  </conditionalFormatting>
  <conditionalFormatting sqref="LW12 LW15">
    <cfRule type="cellIs" dxfId="443" priority="444" stopIfTrue="1" operator="equal">
      <formula>TODAY()</formula>
    </cfRule>
  </conditionalFormatting>
  <conditionalFormatting sqref="LW10 LW5:LW7">
    <cfRule type="cellIs" dxfId="442" priority="443" stopIfTrue="1" operator="equal">
      <formula>TODAY()</formula>
    </cfRule>
  </conditionalFormatting>
  <conditionalFormatting sqref="LW20 LW15 LW12">
    <cfRule type="cellIs" dxfId="441" priority="442" stopIfTrue="1" operator="equal">
      <formula>TODAY()</formula>
    </cfRule>
  </conditionalFormatting>
  <conditionalFormatting sqref="LW18">
    <cfRule type="cellIs" dxfId="440" priority="441" stopIfTrue="1" operator="equal">
      <formula>TODAY()</formula>
    </cfRule>
  </conditionalFormatting>
  <conditionalFormatting sqref="LX12 LX15">
    <cfRule type="cellIs" dxfId="439" priority="440" stopIfTrue="1" operator="equal">
      <formula>TODAY()</formula>
    </cfRule>
  </conditionalFormatting>
  <conditionalFormatting sqref="LX10 LX5:LX7">
    <cfRule type="cellIs" dxfId="438" priority="439" stopIfTrue="1" operator="equal">
      <formula>TODAY()</formula>
    </cfRule>
  </conditionalFormatting>
  <conditionalFormatting sqref="LX20 LX15 LX12">
    <cfRule type="cellIs" dxfId="437" priority="438" stopIfTrue="1" operator="equal">
      <formula>TODAY()</formula>
    </cfRule>
  </conditionalFormatting>
  <conditionalFormatting sqref="LX18">
    <cfRule type="cellIs" dxfId="436" priority="437" stopIfTrue="1" operator="equal">
      <formula>TODAY()</formula>
    </cfRule>
  </conditionalFormatting>
  <conditionalFormatting sqref="LY12 LY15">
    <cfRule type="cellIs" dxfId="435" priority="436" stopIfTrue="1" operator="equal">
      <formula>TODAY()</formula>
    </cfRule>
  </conditionalFormatting>
  <conditionalFormatting sqref="LY10 LY5:LY7">
    <cfRule type="cellIs" dxfId="434" priority="435" stopIfTrue="1" operator="equal">
      <formula>TODAY()</formula>
    </cfRule>
  </conditionalFormatting>
  <conditionalFormatting sqref="LY20 LY15 LY12">
    <cfRule type="cellIs" dxfId="433" priority="434" stopIfTrue="1" operator="equal">
      <formula>TODAY()</formula>
    </cfRule>
  </conditionalFormatting>
  <conditionalFormatting sqref="LY18">
    <cfRule type="cellIs" dxfId="432" priority="433" stopIfTrue="1" operator="equal">
      <formula>TODAY()</formula>
    </cfRule>
  </conditionalFormatting>
  <conditionalFormatting sqref="LZ12 LZ15">
    <cfRule type="cellIs" dxfId="431" priority="432" stopIfTrue="1" operator="equal">
      <formula>TODAY()</formula>
    </cfRule>
  </conditionalFormatting>
  <conditionalFormatting sqref="LZ10 LZ5:LZ7">
    <cfRule type="cellIs" dxfId="430" priority="431" stopIfTrue="1" operator="equal">
      <formula>TODAY()</formula>
    </cfRule>
  </conditionalFormatting>
  <conditionalFormatting sqref="LZ20 LZ15 LZ12">
    <cfRule type="cellIs" dxfId="429" priority="430" stopIfTrue="1" operator="equal">
      <formula>TODAY()</formula>
    </cfRule>
  </conditionalFormatting>
  <conditionalFormatting sqref="LZ18">
    <cfRule type="cellIs" dxfId="428" priority="429" stopIfTrue="1" operator="equal">
      <formula>TODAY()</formula>
    </cfRule>
  </conditionalFormatting>
  <conditionalFormatting sqref="MA12 MA15">
    <cfRule type="cellIs" dxfId="427" priority="428" stopIfTrue="1" operator="equal">
      <formula>TODAY()</formula>
    </cfRule>
  </conditionalFormatting>
  <conditionalFormatting sqref="MA10 MA5:MA7">
    <cfRule type="cellIs" dxfId="426" priority="427" stopIfTrue="1" operator="equal">
      <formula>TODAY()</formula>
    </cfRule>
  </conditionalFormatting>
  <conditionalFormatting sqref="MA20 MA15 MA12">
    <cfRule type="cellIs" dxfId="425" priority="426" stopIfTrue="1" operator="equal">
      <formula>TODAY()</formula>
    </cfRule>
  </conditionalFormatting>
  <conditionalFormatting sqref="MA18">
    <cfRule type="cellIs" dxfId="424" priority="425" stopIfTrue="1" operator="equal">
      <formula>TODAY()</formula>
    </cfRule>
  </conditionalFormatting>
  <conditionalFormatting sqref="MB12 MB15">
    <cfRule type="cellIs" dxfId="423" priority="424" stopIfTrue="1" operator="equal">
      <formula>TODAY()</formula>
    </cfRule>
  </conditionalFormatting>
  <conditionalFormatting sqref="MB10 MB5:MB7">
    <cfRule type="cellIs" dxfId="422" priority="423" stopIfTrue="1" operator="equal">
      <formula>TODAY()</formula>
    </cfRule>
  </conditionalFormatting>
  <conditionalFormatting sqref="MB20 MB15 MB12">
    <cfRule type="cellIs" dxfId="421" priority="422" stopIfTrue="1" operator="equal">
      <formula>TODAY()</formula>
    </cfRule>
  </conditionalFormatting>
  <conditionalFormatting sqref="MB18">
    <cfRule type="cellIs" dxfId="420" priority="421" stopIfTrue="1" operator="equal">
      <formula>TODAY()</formula>
    </cfRule>
  </conditionalFormatting>
  <conditionalFormatting sqref="MC12 MC15">
    <cfRule type="cellIs" dxfId="419" priority="420" stopIfTrue="1" operator="equal">
      <formula>TODAY()</formula>
    </cfRule>
  </conditionalFormatting>
  <conditionalFormatting sqref="MC10 MC5:MC7">
    <cfRule type="cellIs" dxfId="418" priority="419" stopIfTrue="1" operator="equal">
      <formula>TODAY()</formula>
    </cfRule>
  </conditionalFormatting>
  <conditionalFormatting sqref="MC20 MC15 MC12">
    <cfRule type="cellIs" dxfId="417" priority="418" stopIfTrue="1" operator="equal">
      <formula>TODAY()</formula>
    </cfRule>
  </conditionalFormatting>
  <conditionalFormatting sqref="MC18">
    <cfRule type="cellIs" dxfId="416" priority="417" stopIfTrue="1" operator="equal">
      <formula>TODAY()</formula>
    </cfRule>
  </conditionalFormatting>
  <conditionalFormatting sqref="MD12 MD15">
    <cfRule type="cellIs" dxfId="415" priority="416" stopIfTrue="1" operator="equal">
      <formula>TODAY()</formula>
    </cfRule>
  </conditionalFormatting>
  <conditionalFormatting sqref="MD10 MD5:MD7">
    <cfRule type="cellIs" dxfId="414" priority="415" stopIfTrue="1" operator="equal">
      <formula>TODAY()</formula>
    </cfRule>
  </conditionalFormatting>
  <conditionalFormatting sqref="MD20 MD15 MD12">
    <cfRule type="cellIs" dxfId="413" priority="414" stopIfTrue="1" operator="equal">
      <formula>TODAY()</formula>
    </cfRule>
  </conditionalFormatting>
  <conditionalFormatting sqref="MD18">
    <cfRule type="cellIs" dxfId="412" priority="413" stopIfTrue="1" operator="equal">
      <formula>TODAY()</formula>
    </cfRule>
  </conditionalFormatting>
  <conditionalFormatting sqref="ME12 ME15">
    <cfRule type="cellIs" dxfId="411" priority="412" stopIfTrue="1" operator="equal">
      <formula>TODAY()</formula>
    </cfRule>
  </conditionalFormatting>
  <conditionalFormatting sqref="ME10 ME5:ME7">
    <cfRule type="cellIs" dxfId="410" priority="411" stopIfTrue="1" operator="equal">
      <formula>TODAY()</formula>
    </cfRule>
  </conditionalFormatting>
  <conditionalFormatting sqref="ME20 ME15 ME12">
    <cfRule type="cellIs" dxfId="409" priority="410" stopIfTrue="1" operator="equal">
      <formula>TODAY()</formula>
    </cfRule>
  </conditionalFormatting>
  <conditionalFormatting sqref="ME18">
    <cfRule type="cellIs" dxfId="408" priority="409" stopIfTrue="1" operator="equal">
      <formula>TODAY()</formula>
    </cfRule>
  </conditionalFormatting>
  <conditionalFormatting sqref="MF12 MF15">
    <cfRule type="cellIs" dxfId="407" priority="408" stopIfTrue="1" operator="equal">
      <formula>TODAY()</formula>
    </cfRule>
  </conditionalFormatting>
  <conditionalFormatting sqref="MF10 MF5:MF7">
    <cfRule type="cellIs" dxfId="406" priority="407" stopIfTrue="1" operator="equal">
      <formula>TODAY()</formula>
    </cfRule>
  </conditionalFormatting>
  <conditionalFormatting sqref="MF20 MF15 MF12">
    <cfRule type="cellIs" dxfId="405" priority="406" stopIfTrue="1" operator="equal">
      <formula>TODAY()</formula>
    </cfRule>
  </conditionalFormatting>
  <conditionalFormatting sqref="MF18">
    <cfRule type="cellIs" dxfId="404" priority="405" stopIfTrue="1" operator="equal">
      <formula>TODAY()</formula>
    </cfRule>
  </conditionalFormatting>
  <conditionalFormatting sqref="MG12 MG15">
    <cfRule type="cellIs" dxfId="403" priority="404" stopIfTrue="1" operator="equal">
      <formula>TODAY()</formula>
    </cfRule>
  </conditionalFormatting>
  <conditionalFormatting sqref="MG10 MG5:MG7">
    <cfRule type="cellIs" dxfId="402" priority="403" stopIfTrue="1" operator="equal">
      <formula>TODAY()</formula>
    </cfRule>
  </conditionalFormatting>
  <conditionalFormatting sqref="MG20 MG15 MG12">
    <cfRule type="cellIs" dxfId="401" priority="402" stopIfTrue="1" operator="equal">
      <formula>TODAY()</formula>
    </cfRule>
  </conditionalFormatting>
  <conditionalFormatting sqref="MG18">
    <cfRule type="cellIs" dxfId="400" priority="401" stopIfTrue="1" operator="equal">
      <formula>TODAY()</formula>
    </cfRule>
  </conditionalFormatting>
  <conditionalFormatting sqref="MH12 MH15">
    <cfRule type="cellIs" dxfId="399" priority="400" stopIfTrue="1" operator="equal">
      <formula>TODAY()</formula>
    </cfRule>
  </conditionalFormatting>
  <conditionalFormatting sqref="MH10 MH5:MH7">
    <cfRule type="cellIs" dxfId="398" priority="399" stopIfTrue="1" operator="equal">
      <formula>TODAY()</formula>
    </cfRule>
  </conditionalFormatting>
  <conditionalFormatting sqref="MH20 MH15 MH12">
    <cfRule type="cellIs" dxfId="397" priority="398" stopIfTrue="1" operator="equal">
      <formula>TODAY()</formula>
    </cfRule>
  </conditionalFormatting>
  <conditionalFormatting sqref="MH18">
    <cfRule type="cellIs" dxfId="396" priority="397" stopIfTrue="1" operator="equal">
      <formula>TODAY()</formula>
    </cfRule>
  </conditionalFormatting>
  <conditionalFormatting sqref="MI12 MI15">
    <cfRule type="cellIs" dxfId="395" priority="396" stopIfTrue="1" operator="equal">
      <formula>TODAY()</formula>
    </cfRule>
  </conditionalFormatting>
  <conditionalFormatting sqref="MI10 MI5:MI7">
    <cfRule type="cellIs" dxfId="394" priority="395" stopIfTrue="1" operator="equal">
      <formula>TODAY()</formula>
    </cfRule>
  </conditionalFormatting>
  <conditionalFormatting sqref="MI20 MI15 MI12">
    <cfRule type="cellIs" dxfId="393" priority="394" stopIfTrue="1" operator="equal">
      <formula>TODAY()</formula>
    </cfRule>
  </conditionalFormatting>
  <conditionalFormatting sqref="MI18">
    <cfRule type="cellIs" dxfId="392" priority="393" stopIfTrue="1" operator="equal">
      <formula>TODAY()</formula>
    </cfRule>
  </conditionalFormatting>
  <conditionalFormatting sqref="MJ12 MJ15">
    <cfRule type="cellIs" dxfId="391" priority="392" stopIfTrue="1" operator="equal">
      <formula>TODAY()</formula>
    </cfRule>
  </conditionalFormatting>
  <conditionalFormatting sqref="MJ10 MJ5:MJ7">
    <cfRule type="cellIs" dxfId="390" priority="391" stopIfTrue="1" operator="equal">
      <formula>TODAY()</formula>
    </cfRule>
  </conditionalFormatting>
  <conditionalFormatting sqref="MJ20 MJ15 MJ12">
    <cfRule type="cellIs" dxfId="389" priority="390" stopIfTrue="1" operator="equal">
      <formula>TODAY()</formula>
    </cfRule>
  </conditionalFormatting>
  <conditionalFormatting sqref="MJ18">
    <cfRule type="cellIs" dxfId="388" priority="389" stopIfTrue="1" operator="equal">
      <formula>TODAY()</formula>
    </cfRule>
  </conditionalFormatting>
  <conditionalFormatting sqref="MK12 MK15">
    <cfRule type="cellIs" dxfId="387" priority="388" stopIfTrue="1" operator="equal">
      <formula>TODAY()</formula>
    </cfRule>
  </conditionalFormatting>
  <conditionalFormatting sqref="MK10 MK5:MK7">
    <cfRule type="cellIs" dxfId="386" priority="387" stopIfTrue="1" operator="equal">
      <formula>TODAY()</formula>
    </cfRule>
  </conditionalFormatting>
  <conditionalFormatting sqref="MK20 MK15 MK12">
    <cfRule type="cellIs" dxfId="385" priority="386" stopIfTrue="1" operator="equal">
      <formula>TODAY()</formula>
    </cfRule>
  </conditionalFormatting>
  <conditionalFormatting sqref="MK18">
    <cfRule type="cellIs" dxfId="384" priority="385" stopIfTrue="1" operator="equal">
      <formula>TODAY()</formula>
    </cfRule>
  </conditionalFormatting>
  <conditionalFormatting sqref="ML12 ML15">
    <cfRule type="cellIs" dxfId="383" priority="384" stopIfTrue="1" operator="equal">
      <formula>TODAY()</formula>
    </cfRule>
  </conditionalFormatting>
  <conditionalFormatting sqref="ML10 ML5:ML7">
    <cfRule type="cellIs" dxfId="382" priority="383" stopIfTrue="1" operator="equal">
      <formula>TODAY()</formula>
    </cfRule>
  </conditionalFormatting>
  <conditionalFormatting sqref="ML20 ML15 ML12">
    <cfRule type="cellIs" dxfId="381" priority="382" stopIfTrue="1" operator="equal">
      <formula>TODAY()</formula>
    </cfRule>
  </conditionalFormatting>
  <conditionalFormatting sqref="ML18">
    <cfRule type="cellIs" dxfId="380" priority="381" stopIfTrue="1" operator="equal">
      <formula>TODAY()</formula>
    </cfRule>
  </conditionalFormatting>
  <conditionalFormatting sqref="MM12 MM15">
    <cfRule type="cellIs" dxfId="379" priority="380" stopIfTrue="1" operator="equal">
      <formula>TODAY()</formula>
    </cfRule>
  </conditionalFormatting>
  <conditionalFormatting sqref="MM10 MM5:MM7">
    <cfRule type="cellIs" dxfId="378" priority="379" stopIfTrue="1" operator="equal">
      <formula>TODAY()</formula>
    </cfRule>
  </conditionalFormatting>
  <conditionalFormatting sqref="MM20 MM15 MM12">
    <cfRule type="cellIs" dxfId="377" priority="378" stopIfTrue="1" operator="equal">
      <formula>TODAY()</formula>
    </cfRule>
  </conditionalFormatting>
  <conditionalFormatting sqref="MM18">
    <cfRule type="cellIs" dxfId="376" priority="377" stopIfTrue="1" operator="equal">
      <formula>TODAY()</formula>
    </cfRule>
  </conditionalFormatting>
  <conditionalFormatting sqref="MN12 MN15">
    <cfRule type="cellIs" dxfId="375" priority="376" stopIfTrue="1" operator="equal">
      <formula>TODAY()</formula>
    </cfRule>
  </conditionalFormatting>
  <conditionalFormatting sqref="MN10 MN5:MN7">
    <cfRule type="cellIs" dxfId="374" priority="375" stopIfTrue="1" operator="equal">
      <formula>TODAY()</formula>
    </cfRule>
  </conditionalFormatting>
  <conditionalFormatting sqref="MN20 MN15 MN12">
    <cfRule type="cellIs" dxfId="373" priority="374" stopIfTrue="1" operator="equal">
      <formula>TODAY()</formula>
    </cfRule>
  </conditionalFormatting>
  <conditionalFormatting sqref="MN18">
    <cfRule type="cellIs" dxfId="372" priority="373" stopIfTrue="1" operator="equal">
      <formula>TODAY()</formula>
    </cfRule>
  </conditionalFormatting>
  <conditionalFormatting sqref="MO12 MO15">
    <cfRule type="cellIs" dxfId="371" priority="372" stopIfTrue="1" operator="equal">
      <formula>TODAY()</formula>
    </cfRule>
  </conditionalFormatting>
  <conditionalFormatting sqref="MO10 MO5:MO7">
    <cfRule type="cellIs" dxfId="370" priority="371" stopIfTrue="1" operator="equal">
      <formula>TODAY()</formula>
    </cfRule>
  </conditionalFormatting>
  <conditionalFormatting sqref="MO20 MO15 MO12">
    <cfRule type="cellIs" dxfId="369" priority="370" stopIfTrue="1" operator="equal">
      <formula>TODAY()</formula>
    </cfRule>
  </conditionalFormatting>
  <conditionalFormatting sqref="MO18">
    <cfRule type="cellIs" dxfId="368" priority="369" stopIfTrue="1" operator="equal">
      <formula>TODAY()</formula>
    </cfRule>
  </conditionalFormatting>
  <conditionalFormatting sqref="MP12 MP15">
    <cfRule type="cellIs" dxfId="367" priority="368" stopIfTrue="1" operator="equal">
      <formula>TODAY()</formula>
    </cfRule>
  </conditionalFormatting>
  <conditionalFormatting sqref="MP10 MP5:MP7">
    <cfRule type="cellIs" dxfId="366" priority="367" stopIfTrue="1" operator="equal">
      <formula>TODAY()</formula>
    </cfRule>
  </conditionalFormatting>
  <conditionalFormatting sqref="MP20 MP15 MP12">
    <cfRule type="cellIs" dxfId="365" priority="366" stopIfTrue="1" operator="equal">
      <formula>TODAY()</formula>
    </cfRule>
  </conditionalFormatting>
  <conditionalFormatting sqref="MP18">
    <cfRule type="cellIs" dxfId="364" priority="365" stopIfTrue="1" operator="equal">
      <formula>TODAY()</formula>
    </cfRule>
  </conditionalFormatting>
  <conditionalFormatting sqref="MQ12 MQ15">
    <cfRule type="cellIs" dxfId="363" priority="364" stopIfTrue="1" operator="equal">
      <formula>TODAY()</formula>
    </cfRule>
  </conditionalFormatting>
  <conditionalFormatting sqref="MQ10 MQ5:MQ7">
    <cfRule type="cellIs" dxfId="362" priority="363" stopIfTrue="1" operator="equal">
      <formula>TODAY()</formula>
    </cfRule>
  </conditionalFormatting>
  <conditionalFormatting sqref="MQ20 MQ15 MQ12">
    <cfRule type="cellIs" dxfId="361" priority="362" stopIfTrue="1" operator="equal">
      <formula>TODAY()</formula>
    </cfRule>
  </conditionalFormatting>
  <conditionalFormatting sqref="MQ18">
    <cfRule type="cellIs" dxfId="360" priority="361" stopIfTrue="1" operator="equal">
      <formula>TODAY()</formula>
    </cfRule>
  </conditionalFormatting>
  <conditionalFormatting sqref="MR12 MR15">
    <cfRule type="cellIs" dxfId="359" priority="360" stopIfTrue="1" operator="equal">
      <formula>TODAY()</formula>
    </cfRule>
  </conditionalFormatting>
  <conditionalFormatting sqref="MR10 MR5:MR7">
    <cfRule type="cellIs" dxfId="358" priority="359" stopIfTrue="1" operator="equal">
      <formula>TODAY()</formula>
    </cfRule>
  </conditionalFormatting>
  <conditionalFormatting sqref="MR20 MR15 MR12">
    <cfRule type="cellIs" dxfId="357" priority="358" stopIfTrue="1" operator="equal">
      <formula>TODAY()</formula>
    </cfRule>
  </conditionalFormatting>
  <conditionalFormatting sqref="MR18">
    <cfRule type="cellIs" dxfId="356" priority="357" stopIfTrue="1" operator="equal">
      <formula>TODAY()</formula>
    </cfRule>
  </conditionalFormatting>
  <conditionalFormatting sqref="MS12 MS15">
    <cfRule type="cellIs" dxfId="355" priority="356" stopIfTrue="1" operator="equal">
      <formula>TODAY()</formula>
    </cfRule>
  </conditionalFormatting>
  <conditionalFormatting sqref="MS10 MS5:MS7">
    <cfRule type="cellIs" dxfId="354" priority="355" stopIfTrue="1" operator="equal">
      <formula>TODAY()</formula>
    </cfRule>
  </conditionalFormatting>
  <conditionalFormatting sqref="MS20 MS15 MS12">
    <cfRule type="cellIs" dxfId="353" priority="354" stopIfTrue="1" operator="equal">
      <formula>TODAY()</formula>
    </cfRule>
  </conditionalFormatting>
  <conditionalFormatting sqref="MS18">
    <cfRule type="cellIs" dxfId="352" priority="353" stopIfTrue="1" operator="equal">
      <formula>TODAY()</formula>
    </cfRule>
  </conditionalFormatting>
  <conditionalFormatting sqref="MT12 MT15">
    <cfRule type="cellIs" dxfId="351" priority="352" stopIfTrue="1" operator="equal">
      <formula>TODAY()</formula>
    </cfRule>
  </conditionalFormatting>
  <conditionalFormatting sqref="MT10 MT5:MT7">
    <cfRule type="cellIs" dxfId="350" priority="351" stopIfTrue="1" operator="equal">
      <formula>TODAY()</formula>
    </cfRule>
  </conditionalFormatting>
  <conditionalFormatting sqref="MT20 MT15 MT12">
    <cfRule type="cellIs" dxfId="349" priority="350" stopIfTrue="1" operator="equal">
      <formula>TODAY()</formula>
    </cfRule>
  </conditionalFormatting>
  <conditionalFormatting sqref="MT18">
    <cfRule type="cellIs" dxfId="348" priority="349" stopIfTrue="1" operator="equal">
      <formula>TODAY()</formula>
    </cfRule>
  </conditionalFormatting>
  <conditionalFormatting sqref="MU12 MU15">
    <cfRule type="cellIs" dxfId="347" priority="348" stopIfTrue="1" operator="equal">
      <formula>TODAY()</formula>
    </cfRule>
  </conditionalFormatting>
  <conditionalFormatting sqref="MU10 MU5:MU7">
    <cfRule type="cellIs" dxfId="346" priority="347" stopIfTrue="1" operator="equal">
      <formula>TODAY()</formula>
    </cfRule>
  </conditionalFormatting>
  <conditionalFormatting sqref="MU20 MU15 MU12">
    <cfRule type="cellIs" dxfId="345" priority="346" stopIfTrue="1" operator="equal">
      <formula>TODAY()</formula>
    </cfRule>
  </conditionalFormatting>
  <conditionalFormatting sqref="MU18">
    <cfRule type="cellIs" dxfId="344" priority="345" stopIfTrue="1" operator="equal">
      <formula>TODAY()</formula>
    </cfRule>
  </conditionalFormatting>
  <conditionalFormatting sqref="MV12 MV15">
    <cfRule type="cellIs" dxfId="343" priority="344" stopIfTrue="1" operator="equal">
      <formula>TODAY()</formula>
    </cfRule>
  </conditionalFormatting>
  <conditionalFormatting sqref="MV10 MV5:MV7">
    <cfRule type="cellIs" dxfId="342" priority="343" stopIfTrue="1" operator="equal">
      <formula>TODAY()</formula>
    </cfRule>
  </conditionalFormatting>
  <conditionalFormatting sqref="MV20 MV15 MV12">
    <cfRule type="cellIs" dxfId="341" priority="342" stopIfTrue="1" operator="equal">
      <formula>TODAY()</formula>
    </cfRule>
  </conditionalFormatting>
  <conditionalFormatting sqref="MV18">
    <cfRule type="cellIs" dxfId="340" priority="341" stopIfTrue="1" operator="equal">
      <formula>TODAY()</formula>
    </cfRule>
  </conditionalFormatting>
  <conditionalFormatting sqref="MW12 MW15">
    <cfRule type="cellIs" dxfId="339" priority="340" stopIfTrue="1" operator="equal">
      <formula>TODAY()</formula>
    </cfRule>
  </conditionalFormatting>
  <conditionalFormatting sqref="MW10 MW5:MW7">
    <cfRule type="cellIs" dxfId="338" priority="339" stopIfTrue="1" operator="equal">
      <formula>TODAY()</formula>
    </cfRule>
  </conditionalFormatting>
  <conditionalFormatting sqref="MW20 MW15 MW12">
    <cfRule type="cellIs" dxfId="337" priority="338" stopIfTrue="1" operator="equal">
      <formula>TODAY()</formula>
    </cfRule>
  </conditionalFormatting>
  <conditionalFormatting sqref="MW18">
    <cfRule type="cellIs" dxfId="336" priority="337" stopIfTrue="1" operator="equal">
      <formula>TODAY()</formula>
    </cfRule>
  </conditionalFormatting>
  <conditionalFormatting sqref="MX12 MX15">
    <cfRule type="cellIs" dxfId="335" priority="336" stopIfTrue="1" operator="equal">
      <formula>TODAY()</formula>
    </cfRule>
  </conditionalFormatting>
  <conditionalFormatting sqref="MX10 MX5:MX7">
    <cfRule type="cellIs" dxfId="334" priority="335" stopIfTrue="1" operator="equal">
      <formula>TODAY()</formula>
    </cfRule>
  </conditionalFormatting>
  <conditionalFormatting sqref="MX20 MX15 MX12">
    <cfRule type="cellIs" dxfId="333" priority="334" stopIfTrue="1" operator="equal">
      <formula>TODAY()</formula>
    </cfRule>
  </conditionalFormatting>
  <conditionalFormatting sqref="MX18">
    <cfRule type="cellIs" dxfId="332" priority="333" stopIfTrue="1" operator="equal">
      <formula>TODAY()</formula>
    </cfRule>
  </conditionalFormatting>
  <conditionalFormatting sqref="MY12 MY15">
    <cfRule type="cellIs" dxfId="331" priority="332" stopIfTrue="1" operator="equal">
      <formula>TODAY()</formula>
    </cfRule>
  </conditionalFormatting>
  <conditionalFormatting sqref="MY10 MY5:MY7">
    <cfRule type="cellIs" dxfId="330" priority="331" stopIfTrue="1" operator="equal">
      <formula>TODAY()</formula>
    </cfRule>
  </conditionalFormatting>
  <conditionalFormatting sqref="MY20 MY15 MY12">
    <cfRule type="cellIs" dxfId="329" priority="330" stopIfTrue="1" operator="equal">
      <formula>TODAY()</formula>
    </cfRule>
  </conditionalFormatting>
  <conditionalFormatting sqref="MY18">
    <cfRule type="cellIs" dxfId="328" priority="329" stopIfTrue="1" operator="equal">
      <formula>TODAY()</formula>
    </cfRule>
  </conditionalFormatting>
  <conditionalFormatting sqref="MZ12 MZ15">
    <cfRule type="cellIs" dxfId="327" priority="328" stopIfTrue="1" operator="equal">
      <formula>TODAY()</formula>
    </cfRule>
  </conditionalFormatting>
  <conditionalFormatting sqref="MZ10 MZ5:MZ7">
    <cfRule type="cellIs" dxfId="326" priority="327" stopIfTrue="1" operator="equal">
      <formula>TODAY()</formula>
    </cfRule>
  </conditionalFormatting>
  <conditionalFormatting sqref="MZ20 MZ15 MZ12">
    <cfRule type="cellIs" dxfId="325" priority="326" stopIfTrue="1" operator="equal">
      <formula>TODAY()</formula>
    </cfRule>
  </conditionalFormatting>
  <conditionalFormatting sqref="MZ18">
    <cfRule type="cellIs" dxfId="324" priority="325" stopIfTrue="1" operator="equal">
      <formula>TODAY()</formula>
    </cfRule>
  </conditionalFormatting>
  <conditionalFormatting sqref="NA12 NA15">
    <cfRule type="cellIs" dxfId="323" priority="324" stopIfTrue="1" operator="equal">
      <formula>TODAY()</formula>
    </cfRule>
  </conditionalFormatting>
  <conditionalFormatting sqref="NA10 NA5:NA7">
    <cfRule type="cellIs" dxfId="322" priority="323" stopIfTrue="1" operator="equal">
      <formula>TODAY()</formula>
    </cfRule>
  </conditionalFormatting>
  <conditionalFormatting sqref="NA20 NA15 NA12">
    <cfRule type="cellIs" dxfId="321" priority="322" stopIfTrue="1" operator="equal">
      <formula>TODAY()</formula>
    </cfRule>
  </conditionalFormatting>
  <conditionalFormatting sqref="NA18">
    <cfRule type="cellIs" dxfId="320" priority="321" stopIfTrue="1" operator="equal">
      <formula>TODAY()</formula>
    </cfRule>
  </conditionalFormatting>
  <conditionalFormatting sqref="NB12 NB15">
    <cfRule type="cellIs" dxfId="319" priority="320" stopIfTrue="1" operator="equal">
      <formula>TODAY()</formula>
    </cfRule>
  </conditionalFormatting>
  <conditionalFormatting sqref="NB10 NB5:NB7">
    <cfRule type="cellIs" dxfId="318" priority="319" stopIfTrue="1" operator="equal">
      <formula>TODAY()</formula>
    </cfRule>
  </conditionalFormatting>
  <conditionalFormatting sqref="NB20 NB15 NB12">
    <cfRule type="cellIs" dxfId="317" priority="318" stopIfTrue="1" operator="equal">
      <formula>TODAY()</formula>
    </cfRule>
  </conditionalFormatting>
  <conditionalFormatting sqref="NB18">
    <cfRule type="cellIs" dxfId="316" priority="317" stopIfTrue="1" operator="equal">
      <formula>TODAY()</formula>
    </cfRule>
  </conditionalFormatting>
  <conditionalFormatting sqref="NC12 NC15">
    <cfRule type="cellIs" dxfId="315" priority="316" stopIfTrue="1" operator="equal">
      <formula>TODAY()</formula>
    </cfRule>
  </conditionalFormatting>
  <conditionalFormatting sqref="NC10 NC5:NC7">
    <cfRule type="cellIs" dxfId="314" priority="315" stopIfTrue="1" operator="equal">
      <formula>TODAY()</formula>
    </cfRule>
  </conditionalFormatting>
  <conditionalFormatting sqref="NC20 NC15 NC12">
    <cfRule type="cellIs" dxfId="313" priority="314" stopIfTrue="1" operator="equal">
      <formula>TODAY()</formula>
    </cfRule>
  </conditionalFormatting>
  <conditionalFormatting sqref="NC18">
    <cfRule type="cellIs" dxfId="312" priority="313" stopIfTrue="1" operator="equal">
      <formula>TODAY()</formula>
    </cfRule>
  </conditionalFormatting>
  <conditionalFormatting sqref="ND12 ND15">
    <cfRule type="cellIs" dxfId="311" priority="312" stopIfTrue="1" operator="equal">
      <formula>TODAY()</formula>
    </cfRule>
  </conditionalFormatting>
  <conditionalFormatting sqref="ND10 ND5:ND7">
    <cfRule type="cellIs" dxfId="310" priority="311" stopIfTrue="1" operator="equal">
      <formula>TODAY()</formula>
    </cfRule>
  </conditionalFormatting>
  <conditionalFormatting sqref="ND20 ND15 ND12">
    <cfRule type="cellIs" dxfId="309" priority="310" stopIfTrue="1" operator="equal">
      <formula>TODAY()</formula>
    </cfRule>
  </conditionalFormatting>
  <conditionalFormatting sqref="ND18">
    <cfRule type="cellIs" dxfId="308" priority="309" stopIfTrue="1" operator="equal">
      <formula>TODAY()</formula>
    </cfRule>
  </conditionalFormatting>
  <conditionalFormatting sqref="NE12 NE15">
    <cfRule type="cellIs" dxfId="307" priority="308" stopIfTrue="1" operator="equal">
      <formula>TODAY()</formula>
    </cfRule>
  </conditionalFormatting>
  <conditionalFormatting sqref="NE10 NE5:NE7">
    <cfRule type="cellIs" dxfId="306" priority="307" stopIfTrue="1" operator="equal">
      <formula>TODAY()</formula>
    </cfRule>
  </conditionalFormatting>
  <conditionalFormatting sqref="NE20 NE15 NE12">
    <cfRule type="cellIs" dxfId="305" priority="306" stopIfTrue="1" operator="equal">
      <formula>TODAY()</formula>
    </cfRule>
  </conditionalFormatting>
  <conditionalFormatting sqref="NE18">
    <cfRule type="cellIs" dxfId="304" priority="305" stopIfTrue="1" operator="equal">
      <formula>TODAY()</formula>
    </cfRule>
  </conditionalFormatting>
  <conditionalFormatting sqref="NF12 NF15">
    <cfRule type="cellIs" dxfId="303" priority="304" stopIfTrue="1" operator="equal">
      <formula>TODAY()</formula>
    </cfRule>
  </conditionalFormatting>
  <conditionalFormatting sqref="NF10 NF5:NF7">
    <cfRule type="cellIs" dxfId="302" priority="303" stopIfTrue="1" operator="equal">
      <formula>TODAY()</formula>
    </cfRule>
  </conditionalFormatting>
  <conditionalFormatting sqref="NF20 NF15 NF12">
    <cfRule type="cellIs" dxfId="301" priority="302" stopIfTrue="1" operator="equal">
      <formula>TODAY()</formula>
    </cfRule>
  </conditionalFormatting>
  <conditionalFormatting sqref="NF18">
    <cfRule type="cellIs" dxfId="300" priority="301" stopIfTrue="1" operator="equal">
      <formula>TODAY()</formula>
    </cfRule>
  </conditionalFormatting>
  <conditionalFormatting sqref="NG12 NG15">
    <cfRule type="cellIs" dxfId="299" priority="300" stopIfTrue="1" operator="equal">
      <formula>TODAY()</formula>
    </cfRule>
  </conditionalFormatting>
  <conditionalFormatting sqref="NG10 NG5:NG7">
    <cfRule type="cellIs" dxfId="298" priority="299" stopIfTrue="1" operator="equal">
      <formula>TODAY()</formula>
    </cfRule>
  </conditionalFormatting>
  <conditionalFormatting sqref="NG20 NG15 NG12">
    <cfRule type="cellIs" dxfId="297" priority="298" stopIfTrue="1" operator="equal">
      <formula>TODAY()</formula>
    </cfRule>
  </conditionalFormatting>
  <conditionalFormatting sqref="NG18">
    <cfRule type="cellIs" dxfId="296" priority="297" stopIfTrue="1" operator="equal">
      <formula>TODAY()</formula>
    </cfRule>
  </conditionalFormatting>
  <conditionalFormatting sqref="NH12 NH15">
    <cfRule type="cellIs" dxfId="295" priority="296" stopIfTrue="1" operator="equal">
      <formula>TODAY()</formula>
    </cfRule>
  </conditionalFormatting>
  <conditionalFormatting sqref="NH10 NH5:NH7">
    <cfRule type="cellIs" dxfId="294" priority="295" stopIfTrue="1" operator="equal">
      <formula>TODAY()</formula>
    </cfRule>
  </conditionalFormatting>
  <conditionalFormatting sqref="NH20 NH15 NH12">
    <cfRule type="cellIs" dxfId="293" priority="294" stopIfTrue="1" operator="equal">
      <formula>TODAY()</formula>
    </cfRule>
  </conditionalFormatting>
  <conditionalFormatting sqref="NH18">
    <cfRule type="cellIs" dxfId="292" priority="293" stopIfTrue="1" operator="equal">
      <formula>TODAY()</formula>
    </cfRule>
  </conditionalFormatting>
  <conditionalFormatting sqref="NI12 NI15">
    <cfRule type="cellIs" dxfId="291" priority="292" stopIfTrue="1" operator="equal">
      <formula>TODAY()</formula>
    </cfRule>
  </conditionalFormatting>
  <conditionalFormatting sqref="NI10 NI5:NI7">
    <cfRule type="cellIs" dxfId="290" priority="291" stopIfTrue="1" operator="equal">
      <formula>TODAY()</formula>
    </cfRule>
  </conditionalFormatting>
  <conditionalFormatting sqref="NI20 NI15 NI12">
    <cfRule type="cellIs" dxfId="289" priority="290" stopIfTrue="1" operator="equal">
      <formula>TODAY()</formula>
    </cfRule>
  </conditionalFormatting>
  <conditionalFormatting sqref="NI18">
    <cfRule type="cellIs" dxfId="288" priority="289" stopIfTrue="1" operator="equal">
      <formula>TODAY()</formula>
    </cfRule>
  </conditionalFormatting>
  <conditionalFormatting sqref="NJ12 NJ15">
    <cfRule type="cellIs" dxfId="287" priority="288" stopIfTrue="1" operator="equal">
      <formula>TODAY()</formula>
    </cfRule>
  </conditionalFormatting>
  <conditionalFormatting sqref="NJ10 NJ5:NJ7">
    <cfRule type="cellIs" dxfId="286" priority="287" stopIfTrue="1" operator="equal">
      <formula>TODAY()</formula>
    </cfRule>
  </conditionalFormatting>
  <conditionalFormatting sqref="NJ20 NJ15 NJ12">
    <cfRule type="cellIs" dxfId="285" priority="286" stopIfTrue="1" operator="equal">
      <formula>TODAY()</formula>
    </cfRule>
  </conditionalFormatting>
  <conditionalFormatting sqref="NJ18">
    <cfRule type="cellIs" dxfId="284" priority="285" stopIfTrue="1" operator="equal">
      <formula>TODAY()</formula>
    </cfRule>
  </conditionalFormatting>
  <conditionalFormatting sqref="NK12 NK15">
    <cfRule type="cellIs" dxfId="283" priority="284" stopIfTrue="1" operator="equal">
      <formula>TODAY()</formula>
    </cfRule>
  </conditionalFormatting>
  <conditionalFormatting sqref="NK10 NK5:NK7">
    <cfRule type="cellIs" dxfId="282" priority="283" stopIfTrue="1" operator="equal">
      <formula>TODAY()</formula>
    </cfRule>
  </conditionalFormatting>
  <conditionalFormatting sqref="NK20 NK15 NK12">
    <cfRule type="cellIs" dxfId="281" priority="282" stopIfTrue="1" operator="equal">
      <formula>TODAY()</formula>
    </cfRule>
  </conditionalFormatting>
  <conditionalFormatting sqref="NK18">
    <cfRule type="cellIs" dxfId="280" priority="281" stopIfTrue="1" operator="equal">
      <formula>TODAY()</formula>
    </cfRule>
  </conditionalFormatting>
  <conditionalFormatting sqref="NL12 NL15">
    <cfRule type="cellIs" dxfId="279" priority="280" stopIfTrue="1" operator="equal">
      <formula>TODAY()</formula>
    </cfRule>
  </conditionalFormatting>
  <conditionalFormatting sqref="NL10 NL5:NL7">
    <cfRule type="cellIs" dxfId="278" priority="279" stopIfTrue="1" operator="equal">
      <formula>TODAY()</formula>
    </cfRule>
  </conditionalFormatting>
  <conditionalFormatting sqref="NL20 NL15 NL12">
    <cfRule type="cellIs" dxfId="277" priority="278" stopIfTrue="1" operator="equal">
      <formula>TODAY()</formula>
    </cfRule>
  </conditionalFormatting>
  <conditionalFormatting sqref="NL18">
    <cfRule type="cellIs" dxfId="276" priority="277" stopIfTrue="1" operator="equal">
      <formula>TODAY()</formula>
    </cfRule>
  </conditionalFormatting>
  <conditionalFormatting sqref="NM12 NM15">
    <cfRule type="cellIs" dxfId="275" priority="276" stopIfTrue="1" operator="equal">
      <formula>TODAY()</formula>
    </cfRule>
  </conditionalFormatting>
  <conditionalFormatting sqref="NM10 NM5:NM7">
    <cfRule type="cellIs" dxfId="274" priority="275" stopIfTrue="1" operator="equal">
      <formula>TODAY()</formula>
    </cfRule>
  </conditionalFormatting>
  <conditionalFormatting sqref="NM20 NM15 NM12">
    <cfRule type="cellIs" dxfId="273" priority="274" stopIfTrue="1" operator="equal">
      <formula>TODAY()</formula>
    </cfRule>
  </conditionalFormatting>
  <conditionalFormatting sqref="NM18">
    <cfRule type="cellIs" dxfId="272" priority="273" stopIfTrue="1" operator="equal">
      <formula>TODAY()</formula>
    </cfRule>
  </conditionalFormatting>
  <conditionalFormatting sqref="NN12 NN15">
    <cfRule type="cellIs" dxfId="271" priority="272" stopIfTrue="1" operator="equal">
      <formula>TODAY()</formula>
    </cfRule>
  </conditionalFormatting>
  <conditionalFormatting sqref="NN10 NN5:NN7">
    <cfRule type="cellIs" dxfId="270" priority="271" stopIfTrue="1" operator="equal">
      <formula>TODAY()</formula>
    </cfRule>
  </conditionalFormatting>
  <conditionalFormatting sqref="NN20 NN15 NN12">
    <cfRule type="cellIs" dxfId="269" priority="270" stopIfTrue="1" operator="equal">
      <formula>TODAY()</formula>
    </cfRule>
  </conditionalFormatting>
  <conditionalFormatting sqref="NN18">
    <cfRule type="cellIs" dxfId="268" priority="269" stopIfTrue="1" operator="equal">
      <formula>TODAY()</formula>
    </cfRule>
  </conditionalFormatting>
  <conditionalFormatting sqref="NO12 NO15">
    <cfRule type="cellIs" dxfId="267" priority="268" stopIfTrue="1" operator="equal">
      <formula>TODAY()</formula>
    </cfRule>
  </conditionalFormatting>
  <conditionalFormatting sqref="NO10 NO5:NO7">
    <cfRule type="cellIs" dxfId="266" priority="267" stopIfTrue="1" operator="equal">
      <formula>TODAY()</formula>
    </cfRule>
  </conditionalFormatting>
  <conditionalFormatting sqref="NO20 NO15 NO12">
    <cfRule type="cellIs" dxfId="265" priority="266" stopIfTrue="1" operator="equal">
      <formula>TODAY()</formula>
    </cfRule>
  </conditionalFormatting>
  <conditionalFormatting sqref="NO18">
    <cfRule type="cellIs" dxfId="264" priority="265" stopIfTrue="1" operator="equal">
      <formula>TODAY()</formula>
    </cfRule>
  </conditionalFormatting>
  <conditionalFormatting sqref="NP12 NP15">
    <cfRule type="cellIs" dxfId="263" priority="264" stopIfTrue="1" operator="equal">
      <formula>TODAY()</formula>
    </cfRule>
  </conditionalFormatting>
  <conditionalFormatting sqref="NP10 NP5:NP7">
    <cfRule type="cellIs" dxfId="262" priority="263" stopIfTrue="1" operator="equal">
      <formula>TODAY()</formula>
    </cfRule>
  </conditionalFormatting>
  <conditionalFormatting sqref="NP20 NP15 NP12">
    <cfRule type="cellIs" dxfId="261" priority="262" stopIfTrue="1" operator="equal">
      <formula>TODAY()</formula>
    </cfRule>
  </conditionalFormatting>
  <conditionalFormatting sqref="NP18">
    <cfRule type="cellIs" dxfId="260" priority="261" stopIfTrue="1" operator="equal">
      <formula>TODAY()</formula>
    </cfRule>
  </conditionalFormatting>
  <conditionalFormatting sqref="NQ12 NQ15">
    <cfRule type="cellIs" dxfId="259" priority="260" stopIfTrue="1" operator="equal">
      <formula>TODAY()</formula>
    </cfRule>
  </conditionalFormatting>
  <conditionalFormatting sqref="NQ10 NQ5:NQ7">
    <cfRule type="cellIs" dxfId="258" priority="259" stopIfTrue="1" operator="equal">
      <formula>TODAY()</formula>
    </cfRule>
  </conditionalFormatting>
  <conditionalFormatting sqref="NQ20 NQ15 NQ12">
    <cfRule type="cellIs" dxfId="257" priority="258" stopIfTrue="1" operator="equal">
      <formula>TODAY()</formula>
    </cfRule>
  </conditionalFormatting>
  <conditionalFormatting sqref="NQ18">
    <cfRule type="cellIs" dxfId="256" priority="257" stopIfTrue="1" operator="equal">
      <formula>TODAY()</formula>
    </cfRule>
  </conditionalFormatting>
  <conditionalFormatting sqref="NR12 NR15">
    <cfRule type="cellIs" dxfId="255" priority="256" stopIfTrue="1" operator="equal">
      <formula>TODAY()</formula>
    </cfRule>
  </conditionalFormatting>
  <conditionalFormatting sqref="NR10 NR5:NR7">
    <cfRule type="cellIs" dxfId="254" priority="255" stopIfTrue="1" operator="equal">
      <formula>TODAY()</formula>
    </cfRule>
  </conditionalFormatting>
  <conditionalFormatting sqref="NR20 NR15 NR12">
    <cfRule type="cellIs" dxfId="253" priority="254" stopIfTrue="1" operator="equal">
      <formula>TODAY()</formula>
    </cfRule>
  </conditionalFormatting>
  <conditionalFormatting sqref="NR18">
    <cfRule type="cellIs" dxfId="252" priority="253" stopIfTrue="1" operator="equal">
      <formula>TODAY()</formula>
    </cfRule>
  </conditionalFormatting>
  <conditionalFormatting sqref="NS12 NS15">
    <cfRule type="cellIs" dxfId="251" priority="252" stopIfTrue="1" operator="equal">
      <formula>TODAY()</formula>
    </cfRule>
  </conditionalFormatting>
  <conditionalFormatting sqref="NS10 NS5:NS7">
    <cfRule type="cellIs" dxfId="250" priority="251" stopIfTrue="1" operator="equal">
      <formula>TODAY()</formula>
    </cfRule>
  </conditionalFormatting>
  <conditionalFormatting sqref="NS20 NS15 NS12">
    <cfRule type="cellIs" dxfId="249" priority="250" stopIfTrue="1" operator="equal">
      <formula>TODAY()</formula>
    </cfRule>
  </conditionalFormatting>
  <conditionalFormatting sqref="NS18">
    <cfRule type="cellIs" dxfId="248" priority="249" stopIfTrue="1" operator="equal">
      <formula>TODAY()</formula>
    </cfRule>
  </conditionalFormatting>
  <conditionalFormatting sqref="NT12 NT15">
    <cfRule type="cellIs" dxfId="247" priority="248" stopIfTrue="1" operator="equal">
      <formula>TODAY()</formula>
    </cfRule>
  </conditionalFormatting>
  <conditionalFormatting sqref="NT10 NT5:NT7">
    <cfRule type="cellIs" dxfId="246" priority="247" stopIfTrue="1" operator="equal">
      <formula>TODAY()</formula>
    </cfRule>
  </conditionalFormatting>
  <conditionalFormatting sqref="NT20 NT15 NT12">
    <cfRule type="cellIs" dxfId="245" priority="246" stopIfTrue="1" operator="equal">
      <formula>TODAY()</formula>
    </cfRule>
  </conditionalFormatting>
  <conditionalFormatting sqref="NT18">
    <cfRule type="cellIs" dxfId="244" priority="245" stopIfTrue="1" operator="equal">
      <formula>TODAY()</formula>
    </cfRule>
  </conditionalFormatting>
  <conditionalFormatting sqref="NU12 NU15 QD15:SA15 QD12:SA12">
    <cfRule type="cellIs" dxfId="243" priority="244" stopIfTrue="1" operator="equal">
      <formula>TODAY()</formula>
    </cfRule>
  </conditionalFormatting>
  <conditionalFormatting sqref="NU10 NU5:NU7 QD5:SA7 QD10:SA10">
    <cfRule type="cellIs" dxfId="242" priority="243" stopIfTrue="1" operator="equal">
      <formula>TODAY()</formula>
    </cfRule>
  </conditionalFormatting>
  <conditionalFormatting sqref="NU20 NU15 NU12 QD12:SA12 QD15:SA15 QD20:SA20">
    <cfRule type="cellIs" dxfId="241" priority="242" stopIfTrue="1" operator="equal">
      <formula>TODAY()</formula>
    </cfRule>
  </conditionalFormatting>
  <conditionalFormatting sqref="NU18 QD18:SA18">
    <cfRule type="cellIs" dxfId="240" priority="241" stopIfTrue="1" operator="equal">
      <formula>TODAY()</formula>
    </cfRule>
  </conditionalFormatting>
  <conditionalFormatting sqref="NV12 NV15">
    <cfRule type="cellIs" dxfId="239" priority="240" stopIfTrue="1" operator="equal">
      <formula>TODAY()</formula>
    </cfRule>
  </conditionalFormatting>
  <conditionalFormatting sqref="NV10 NV5:NV7">
    <cfRule type="cellIs" dxfId="238" priority="239" stopIfTrue="1" operator="equal">
      <formula>TODAY()</formula>
    </cfRule>
  </conditionalFormatting>
  <conditionalFormatting sqref="NV20 NV15 NV12">
    <cfRule type="cellIs" dxfId="237" priority="238" stopIfTrue="1" operator="equal">
      <formula>TODAY()</formula>
    </cfRule>
  </conditionalFormatting>
  <conditionalFormatting sqref="NV18">
    <cfRule type="cellIs" dxfId="236" priority="237" stopIfTrue="1" operator="equal">
      <formula>TODAY()</formula>
    </cfRule>
  </conditionalFormatting>
  <conditionalFormatting sqref="NW12 NW15">
    <cfRule type="cellIs" dxfId="235" priority="236" stopIfTrue="1" operator="equal">
      <formula>TODAY()</formula>
    </cfRule>
  </conditionalFormatting>
  <conditionalFormatting sqref="NW10 NW5:NW7">
    <cfRule type="cellIs" dxfId="234" priority="235" stopIfTrue="1" operator="equal">
      <formula>TODAY()</formula>
    </cfRule>
  </conditionalFormatting>
  <conditionalFormatting sqref="NW20 NW15 NW12">
    <cfRule type="cellIs" dxfId="233" priority="234" stopIfTrue="1" operator="equal">
      <formula>TODAY()</formula>
    </cfRule>
  </conditionalFormatting>
  <conditionalFormatting sqref="NW18">
    <cfRule type="cellIs" dxfId="232" priority="233" stopIfTrue="1" operator="equal">
      <formula>TODAY()</formula>
    </cfRule>
  </conditionalFormatting>
  <conditionalFormatting sqref="NX12 NX15">
    <cfRule type="cellIs" dxfId="231" priority="232" stopIfTrue="1" operator="equal">
      <formula>TODAY()</formula>
    </cfRule>
  </conditionalFormatting>
  <conditionalFormatting sqref="NX10 NX5:NX7">
    <cfRule type="cellIs" dxfId="230" priority="231" stopIfTrue="1" operator="equal">
      <formula>TODAY()</formula>
    </cfRule>
  </conditionalFormatting>
  <conditionalFormatting sqref="NX20 NX15 NX12">
    <cfRule type="cellIs" dxfId="229" priority="230" stopIfTrue="1" operator="equal">
      <formula>TODAY()</formula>
    </cfRule>
  </conditionalFormatting>
  <conditionalFormatting sqref="NX18">
    <cfRule type="cellIs" dxfId="228" priority="229" stopIfTrue="1" operator="equal">
      <formula>TODAY()</formula>
    </cfRule>
  </conditionalFormatting>
  <conditionalFormatting sqref="NY12 NY15">
    <cfRule type="cellIs" dxfId="227" priority="228" stopIfTrue="1" operator="equal">
      <formula>TODAY()</formula>
    </cfRule>
  </conditionalFormatting>
  <conditionalFormatting sqref="NY10 NY5:NY7">
    <cfRule type="cellIs" dxfId="226" priority="227" stopIfTrue="1" operator="equal">
      <formula>TODAY()</formula>
    </cfRule>
  </conditionalFormatting>
  <conditionalFormatting sqref="NY20 NY15 NY12">
    <cfRule type="cellIs" dxfId="225" priority="226" stopIfTrue="1" operator="equal">
      <formula>TODAY()</formula>
    </cfRule>
  </conditionalFormatting>
  <conditionalFormatting sqref="NY18">
    <cfRule type="cellIs" dxfId="224" priority="225" stopIfTrue="1" operator="equal">
      <formula>TODAY()</formula>
    </cfRule>
  </conditionalFormatting>
  <conditionalFormatting sqref="NZ12 NZ15">
    <cfRule type="cellIs" dxfId="223" priority="224" stopIfTrue="1" operator="equal">
      <formula>TODAY()</formula>
    </cfRule>
  </conditionalFormatting>
  <conditionalFormatting sqref="NZ10 NZ5:NZ7">
    <cfRule type="cellIs" dxfId="222" priority="223" stopIfTrue="1" operator="equal">
      <formula>TODAY()</formula>
    </cfRule>
  </conditionalFormatting>
  <conditionalFormatting sqref="NZ20 NZ15 NZ12">
    <cfRule type="cellIs" dxfId="221" priority="222" stopIfTrue="1" operator="equal">
      <formula>TODAY()</formula>
    </cfRule>
  </conditionalFormatting>
  <conditionalFormatting sqref="NZ18">
    <cfRule type="cellIs" dxfId="220" priority="221" stopIfTrue="1" operator="equal">
      <formula>TODAY()</formula>
    </cfRule>
  </conditionalFormatting>
  <conditionalFormatting sqref="OA12 OA15">
    <cfRule type="cellIs" dxfId="219" priority="220" stopIfTrue="1" operator="equal">
      <formula>TODAY()</formula>
    </cfRule>
  </conditionalFormatting>
  <conditionalFormatting sqref="OA10 OA5:OA7">
    <cfRule type="cellIs" dxfId="218" priority="219" stopIfTrue="1" operator="equal">
      <formula>TODAY()</formula>
    </cfRule>
  </conditionalFormatting>
  <conditionalFormatting sqref="OA20 OA15 OA12">
    <cfRule type="cellIs" dxfId="217" priority="218" stopIfTrue="1" operator="equal">
      <formula>TODAY()</formula>
    </cfRule>
  </conditionalFormatting>
  <conditionalFormatting sqref="OA18">
    <cfRule type="cellIs" dxfId="216" priority="217" stopIfTrue="1" operator="equal">
      <formula>TODAY()</formula>
    </cfRule>
  </conditionalFormatting>
  <conditionalFormatting sqref="OB12 OB15">
    <cfRule type="cellIs" dxfId="215" priority="216" stopIfTrue="1" operator="equal">
      <formula>TODAY()</formula>
    </cfRule>
  </conditionalFormatting>
  <conditionalFormatting sqref="OB10 OB5:OB7">
    <cfRule type="cellIs" dxfId="214" priority="215" stopIfTrue="1" operator="equal">
      <formula>TODAY()</formula>
    </cfRule>
  </conditionalFormatting>
  <conditionalFormatting sqref="OB20 OB15 OB12">
    <cfRule type="cellIs" dxfId="213" priority="214" stopIfTrue="1" operator="equal">
      <formula>TODAY()</formula>
    </cfRule>
  </conditionalFormatting>
  <conditionalFormatting sqref="OB18">
    <cfRule type="cellIs" dxfId="212" priority="213" stopIfTrue="1" operator="equal">
      <formula>TODAY()</formula>
    </cfRule>
  </conditionalFormatting>
  <conditionalFormatting sqref="OC12 OC15">
    <cfRule type="cellIs" dxfId="211" priority="212" stopIfTrue="1" operator="equal">
      <formula>TODAY()</formula>
    </cfRule>
  </conditionalFormatting>
  <conditionalFormatting sqref="OC10 OC5:OC7">
    <cfRule type="cellIs" dxfId="210" priority="211" stopIfTrue="1" operator="equal">
      <formula>TODAY()</formula>
    </cfRule>
  </conditionalFormatting>
  <conditionalFormatting sqref="OC20 OC15 OC12">
    <cfRule type="cellIs" dxfId="209" priority="210" stopIfTrue="1" operator="equal">
      <formula>TODAY()</formula>
    </cfRule>
  </conditionalFormatting>
  <conditionalFormatting sqref="OC18">
    <cfRule type="cellIs" dxfId="208" priority="209" stopIfTrue="1" operator="equal">
      <formula>TODAY()</formula>
    </cfRule>
  </conditionalFormatting>
  <conditionalFormatting sqref="OD12 OD15">
    <cfRule type="cellIs" dxfId="207" priority="208" stopIfTrue="1" operator="equal">
      <formula>TODAY()</formula>
    </cfRule>
  </conditionalFormatting>
  <conditionalFormatting sqref="OD10 OD5:OD7">
    <cfRule type="cellIs" dxfId="206" priority="207" stopIfTrue="1" operator="equal">
      <formula>TODAY()</formula>
    </cfRule>
  </conditionalFormatting>
  <conditionalFormatting sqref="OD20 OD15 OD12">
    <cfRule type="cellIs" dxfId="205" priority="206" stopIfTrue="1" operator="equal">
      <formula>TODAY()</formula>
    </cfRule>
  </conditionalFormatting>
  <conditionalFormatting sqref="OD18">
    <cfRule type="cellIs" dxfId="204" priority="205" stopIfTrue="1" operator="equal">
      <formula>TODAY()</formula>
    </cfRule>
  </conditionalFormatting>
  <conditionalFormatting sqref="OE12 OE15">
    <cfRule type="cellIs" dxfId="203" priority="204" stopIfTrue="1" operator="equal">
      <formula>TODAY()</formula>
    </cfRule>
  </conditionalFormatting>
  <conditionalFormatting sqref="OE10 OE5:OE7">
    <cfRule type="cellIs" dxfId="202" priority="203" stopIfTrue="1" operator="equal">
      <formula>TODAY()</formula>
    </cfRule>
  </conditionalFormatting>
  <conditionalFormatting sqref="OE20 OE15 OE12">
    <cfRule type="cellIs" dxfId="201" priority="202" stopIfTrue="1" operator="equal">
      <formula>TODAY()</formula>
    </cfRule>
  </conditionalFormatting>
  <conditionalFormatting sqref="OE18">
    <cfRule type="cellIs" dxfId="200" priority="201" stopIfTrue="1" operator="equal">
      <formula>TODAY()</formula>
    </cfRule>
  </conditionalFormatting>
  <conditionalFormatting sqref="OF12 OF15">
    <cfRule type="cellIs" dxfId="199" priority="200" stopIfTrue="1" operator="equal">
      <formula>TODAY()</formula>
    </cfRule>
  </conditionalFormatting>
  <conditionalFormatting sqref="OF10 OF5:OF7">
    <cfRule type="cellIs" dxfId="198" priority="199" stopIfTrue="1" operator="equal">
      <formula>TODAY()</formula>
    </cfRule>
  </conditionalFormatting>
  <conditionalFormatting sqref="OF20 OF15 OF12">
    <cfRule type="cellIs" dxfId="197" priority="198" stopIfTrue="1" operator="equal">
      <formula>TODAY()</formula>
    </cfRule>
  </conditionalFormatting>
  <conditionalFormatting sqref="OF18">
    <cfRule type="cellIs" dxfId="196" priority="197" stopIfTrue="1" operator="equal">
      <formula>TODAY()</formula>
    </cfRule>
  </conditionalFormatting>
  <conditionalFormatting sqref="OG12 OG15">
    <cfRule type="cellIs" dxfId="195" priority="196" stopIfTrue="1" operator="equal">
      <formula>TODAY()</formula>
    </cfRule>
  </conditionalFormatting>
  <conditionalFormatting sqref="OG10 OG5:OG7">
    <cfRule type="cellIs" dxfId="194" priority="195" stopIfTrue="1" operator="equal">
      <formula>TODAY()</formula>
    </cfRule>
  </conditionalFormatting>
  <conditionalFormatting sqref="OG20 OG15 OG12">
    <cfRule type="cellIs" dxfId="193" priority="194" stopIfTrue="1" operator="equal">
      <formula>TODAY()</formula>
    </cfRule>
  </conditionalFormatting>
  <conditionalFormatting sqref="OG18">
    <cfRule type="cellIs" dxfId="192" priority="193" stopIfTrue="1" operator="equal">
      <formula>TODAY()</formula>
    </cfRule>
  </conditionalFormatting>
  <conditionalFormatting sqref="OH12 OH15">
    <cfRule type="cellIs" dxfId="191" priority="192" stopIfTrue="1" operator="equal">
      <formula>TODAY()</formula>
    </cfRule>
  </conditionalFormatting>
  <conditionalFormatting sqref="OH10 OH5:OH7">
    <cfRule type="cellIs" dxfId="190" priority="191" stopIfTrue="1" operator="equal">
      <formula>TODAY()</formula>
    </cfRule>
  </conditionalFormatting>
  <conditionalFormatting sqref="OH20 OH15 OH12">
    <cfRule type="cellIs" dxfId="189" priority="190" stopIfTrue="1" operator="equal">
      <formula>TODAY()</formula>
    </cfRule>
  </conditionalFormatting>
  <conditionalFormatting sqref="OH18">
    <cfRule type="cellIs" dxfId="188" priority="189" stopIfTrue="1" operator="equal">
      <formula>TODAY()</formula>
    </cfRule>
  </conditionalFormatting>
  <conditionalFormatting sqref="OI12 OI15">
    <cfRule type="cellIs" dxfId="187" priority="188" stopIfTrue="1" operator="equal">
      <formula>TODAY()</formula>
    </cfRule>
  </conditionalFormatting>
  <conditionalFormatting sqref="OI10 OI5:OI7">
    <cfRule type="cellIs" dxfId="186" priority="187" stopIfTrue="1" operator="equal">
      <formula>TODAY()</formula>
    </cfRule>
  </conditionalFormatting>
  <conditionalFormatting sqref="OI20 OI15 OI12">
    <cfRule type="cellIs" dxfId="185" priority="186" stopIfTrue="1" operator="equal">
      <formula>TODAY()</formula>
    </cfRule>
  </conditionalFormatting>
  <conditionalFormatting sqref="OI18">
    <cfRule type="cellIs" dxfId="184" priority="185" stopIfTrue="1" operator="equal">
      <formula>TODAY()</formula>
    </cfRule>
  </conditionalFormatting>
  <conditionalFormatting sqref="OJ12 OJ15">
    <cfRule type="cellIs" dxfId="183" priority="184" stopIfTrue="1" operator="equal">
      <formula>TODAY()</formula>
    </cfRule>
  </conditionalFormatting>
  <conditionalFormatting sqref="OJ10 OJ5:OJ7">
    <cfRule type="cellIs" dxfId="182" priority="183" stopIfTrue="1" operator="equal">
      <formula>TODAY()</formula>
    </cfRule>
  </conditionalFormatting>
  <conditionalFormatting sqref="OJ20 OJ15 OJ12">
    <cfRule type="cellIs" dxfId="181" priority="182" stopIfTrue="1" operator="equal">
      <formula>TODAY()</formula>
    </cfRule>
  </conditionalFormatting>
  <conditionalFormatting sqref="OJ18">
    <cfRule type="cellIs" dxfId="180" priority="181" stopIfTrue="1" operator="equal">
      <formula>TODAY()</formula>
    </cfRule>
  </conditionalFormatting>
  <conditionalFormatting sqref="OK12 OK15">
    <cfRule type="cellIs" dxfId="179" priority="180" stopIfTrue="1" operator="equal">
      <formula>TODAY()</formula>
    </cfRule>
  </conditionalFormatting>
  <conditionalFormatting sqref="OK10 OK5:OK7">
    <cfRule type="cellIs" dxfId="178" priority="179" stopIfTrue="1" operator="equal">
      <formula>TODAY()</formula>
    </cfRule>
  </conditionalFormatting>
  <conditionalFormatting sqref="OK20 OK15 OK12">
    <cfRule type="cellIs" dxfId="177" priority="178" stopIfTrue="1" operator="equal">
      <formula>TODAY()</formula>
    </cfRule>
  </conditionalFormatting>
  <conditionalFormatting sqref="OK18">
    <cfRule type="cellIs" dxfId="176" priority="177" stopIfTrue="1" operator="equal">
      <formula>TODAY()</formula>
    </cfRule>
  </conditionalFormatting>
  <conditionalFormatting sqref="OL12 OL15">
    <cfRule type="cellIs" dxfId="175" priority="176" stopIfTrue="1" operator="equal">
      <formula>TODAY()</formula>
    </cfRule>
  </conditionalFormatting>
  <conditionalFormatting sqref="OL10 OL5:OL7">
    <cfRule type="cellIs" dxfId="174" priority="175" stopIfTrue="1" operator="equal">
      <formula>TODAY()</formula>
    </cfRule>
  </conditionalFormatting>
  <conditionalFormatting sqref="OL20 OL15 OL12">
    <cfRule type="cellIs" dxfId="173" priority="174" stopIfTrue="1" operator="equal">
      <formula>TODAY()</formula>
    </cfRule>
  </conditionalFormatting>
  <conditionalFormatting sqref="OL18">
    <cfRule type="cellIs" dxfId="172" priority="173" stopIfTrue="1" operator="equal">
      <formula>TODAY()</formula>
    </cfRule>
  </conditionalFormatting>
  <conditionalFormatting sqref="OM12 OM15">
    <cfRule type="cellIs" dxfId="171" priority="172" stopIfTrue="1" operator="equal">
      <formula>TODAY()</formula>
    </cfRule>
  </conditionalFormatting>
  <conditionalFormatting sqref="OM10 OM5:OM7">
    <cfRule type="cellIs" dxfId="170" priority="171" stopIfTrue="1" operator="equal">
      <formula>TODAY()</formula>
    </cfRule>
  </conditionalFormatting>
  <conditionalFormatting sqref="OM20 OM15 OM12">
    <cfRule type="cellIs" dxfId="169" priority="170" stopIfTrue="1" operator="equal">
      <formula>TODAY()</formula>
    </cfRule>
  </conditionalFormatting>
  <conditionalFormatting sqref="OM18">
    <cfRule type="cellIs" dxfId="168" priority="169" stopIfTrue="1" operator="equal">
      <formula>TODAY()</formula>
    </cfRule>
  </conditionalFormatting>
  <conditionalFormatting sqref="ON12 ON15">
    <cfRule type="cellIs" dxfId="167" priority="168" stopIfTrue="1" operator="equal">
      <formula>TODAY()</formula>
    </cfRule>
  </conditionalFormatting>
  <conditionalFormatting sqref="ON10 ON5:ON7">
    <cfRule type="cellIs" dxfId="166" priority="167" stopIfTrue="1" operator="equal">
      <formula>TODAY()</formula>
    </cfRule>
  </conditionalFormatting>
  <conditionalFormatting sqref="ON20 ON15 ON12">
    <cfRule type="cellIs" dxfId="165" priority="166" stopIfTrue="1" operator="equal">
      <formula>TODAY()</formula>
    </cfRule>
  </conditionalFormatting>
  <conditionalFormatting sqref="ON18">
    <cfRule type="cellIs" dxfId="164" priority="165" stopIfTrue="1" operator="equal">
      <formula>TODAY()</formula>
    </cfRule>
  </conditionalFormatting>
  <conditionalFormatting sqref="OO12 OO15">
    <cfRule type="cellIs" dxfId="163" priority="164" stopIfTrue="1" operator="equal">
      <formula>TODAY()</formula>
    </cfRule>
  </conditionalFormatting>
  <conditionalFormatting sqref="OO10 OO5:OO7">
    <cfRule type="cellIs" dxfId="162" priority="163" stopIfTrue="1" operator="equal">
      <formula>TODAY()</formula>
    </cfRule>
  </conditionalFormatting>
  <conditionalFormatting sqref="OO20 OO15 OO12">
    <cfRule type="cellIs" dxfId="161" priority="162" stopIfTrue="1" operator="equal">
      <formula>TODAY()</formula>
    </cfRule>
  </conditionalFormatting>
  <conditionalFormatting sqref="OO18">
    <cfRule type="cellIs" dxfId="160" priority="161" stopIfTrue="1" operator="equal">
      <formula>TODAY()</formula>
    </cfRule>
  </conditionalFormatting>
  <conditionalFormatting sqref="OP12 OP15">
    <cfRule type="cellIs" dxfId="159" priority="160" stopIfTrue="1" operator="equal">
      <formula>TODAY()</formula>
    </cfRule>
  </conditionalFormatting>
  <conditionalFormatting sqref="OP10 OP5:OP7">
    <cfRule type="cellIs" dxfId="158" priority="159" stopIfTrue="1" operator="equal">
      <formula>TODAY()</formula>
    </cfRule>
  </conditionalFormatting>
  <conditionalFormatting sqref="OP20 OP15 OP12">
    <cfRule type="cellIs" dxfId="157" priority="158" stopIfTrue="1" operator="equal">
      <formula>TODAY()</formula>
    </cfRule>
  </conditionalFormatting>
  <conditionalFormatting sqref="OP18">
    <cfRule type="cellIs" dxfId="156" priority="157" stopIfTrue="1" operator="equal">
      <formula>TODAY()</formula>
    </cfRule>
  </conditionalFormatting>
  <conditionalFormatting sqref="OQ12 OQ15">
    <cfRule type="cellIs" dxfId="155" priority="156" stopIfTrue="1" operator="equal">
      <formula>TODAY()</formula>
    </cfRule>
  </conditionalFormatting>
  <conditionalFormatting sqref="OQ10 OQ5:OQ7">
    <cfRule type="cellIs" dxfId="154" priority="155" stopIfTrue="1" operator="equal">
      <formula>TODAY()</formula>
    </cfRule>
  </conditionalFormatting>
  <conditionalFormatting sqref="OQ20 OQ15 OQ12">
    <cfRule type="cellIs" dxfId="153" priority="154" stopIfTrue="1" operator="equal">
      <formula>TODAY()</formula>
    </cfRule>
  </conditionalFormatting>
  <conditionalFormatting sqref="OQ18">
    <cfRule type="cellIs" dxfId="152" priority="153" stopIfTrue="1" operator="equal">
      <formula>TODAY()</formula>
    </cfRule>
  </conditionalFormatting>
  <conditionalFormatting sqref="OR12 OR15">
    <cfRule type="cellIs" dxfId="151" priority="152" stopIfTrue="1" operator="equal">
      <formula>TODAY()</formula>
    </cfRule>
  </conditionalFormatting>
  <conditionalFormatting sqref="OR10 OR5:OR7">
    <cfRule type="cellIs" dxfId="150" priority="151" stopIfTrue="1" operator="equal">
      <formula>TODAY()</formula>
    </cfRule>
  </conditionalFormatting>
  <conditionalFormatting sqref="OR20 OR15 OR12">
    <cfRule type="cellIs" dxfId="149" priority="150" stopIfTrue="1" operator="equal">
      <formula>TODAY()</formula>
    </cfRule>
  </conditionalFormatting>
  <conditionalFormatting sqref="OR18">
    <cfRule type="cellIs" dxfId="148" priority="149" stopIfTrue="1" operator="equal">
      <formula>TODAY()</formula>
    </cfRule>
  </conditionalFormatting>
  <conditionalFormatting sqref="OS12 OS15">
    <cfRule type="cellIs" dxfId="147" priority="148" stopIfTrue="1" operator="equal">
      <formula>TODAY()</formula>
    </cfRule>
  </conditionalFormatting>
  <conditionalFormatting sqref="OS10 OS5:OS7">
    <cfRule type="cellIs" dxfId="146" priority="147" stopIfTrue="1" operator="equal">
      <formula>TODAY()</formula>
    </cfRule>
  </conditionalFormatting>
  <conditionalFormatting sqref="OS20 OS15 OS12">
    <cfRule type="cellIs" dxfId="145" priority="146" stopIfTrue="1" operator="equal">
      <formula>TODAY()</formula>
    </cfRule>
  </conditionalFormatting>
  <conditionalFormatting sqref="OS18">
    <cfRule type="cellIs" dxfId="144" priority="145" stopIfTrue="1" operator="equal">
      <formula>TODAY()</formula>
    </cfRule>
  </conditionalFormatting>
  <conditionalFormatting sqref="OT12 OT15">
    <cfRule type="cellIs" dxfId="143" priority="144" stopIfTrue="1" operator="equal">
      <formula>TODAY()</formula>
    </cfRule>
  </conditionalFormatting>
  <conditionalFormatting sqref="OT10 OT5:OT7">
    <cfRule type="cellIs" dxfId="142" priority="143" stopIfTrue="1" operator="equal">
      <formula>TODAY()</formula>
    </cfRule>
  </conditionalFormatting>
  <conditionalFormatting sqref="OT20 OT15 OT12">
    <cfRule type="cellIs" dxfId="141" priority="142" stopIfTrue="1" operator="equal">
      <formula>TODAY()</formula>
    </cfRule>
  </conditionalFormatting>
  <conditionalFormatting sqref="OT18">
    <cfRule type="cellIs" dxfId="140" priority="141" stopIfTrue="1" operator="equal">
      <formula>TODAY()</formula>
    </cfRule>
  </conditionalFormatting>
  <conditionalFormatting sqref="OU12 OU15">
    <cfRule type="cellIs" dxfId="139" priority="140" stopIfTrue="1" operator="equal">
      <formula>TODAY()</formula>
    </cfRule>
  </conditionalFormatting>
  <conditionalFormatting sqref="OU10 OU5:OU7">
    <cfRule type="cellIs" dxfId="138" priority="139" stopIfTrue="1" operator="equal">
      <formula>TODAY()</formula>
    </cfRule>
  </conditionalFormatting>
  <conditionalFormatting sqref="OU20 OU15 OU12">
    <cfRule type="cellIs" dxfId="137" priority="138" stopIfTrue="1" operator="equal">
      <formula>TODAY()</formula>
    </cfRule>
  </conditionalFormatting>
  <conditionalFormatting sqref="OU18">
    <cfRule type="cellIs" dxfId="136" priority="137" stopIfTrue="1" operator="equal">
      <formula>TODAY()</formula>
    </cfRule>
  </conditionalFormatting>
  <conditionalFormatting sqref="OV12 OV15">
    <cfRule type="cellIs" dxfId="135" priority="136" stopIfTrue="1" operator="equal">
      <formula>TODAY()</formula>
    </cfRule>
  </conditionalFormatting>
  <conditionalFormatting sqref="OV10 OV5:OV7">
    <cfRule type="cellIs" dxfId="134" priority="135" stopIfTrue="1" operator="equal">
      <formula>TODAY()</formula>
    </cfRule>
  </conditionalFormatting>
  <conditionalFormatting sqref="OV20 OV15 OV12">
    <cfRule type="cellIs" dxfId="133" priority="134" stopIfTrue="1" operator="equal">
      <formula>TODAY()</formula>
    </cfRule>
  </conditionalFormatting>
  <conditionalFormatting sqref="OV18">
    <cfRule type="cellIs" dxfId="132" priority="133" stopIfTrue="1" operator="equal">
      <formula>TODAY()</formula>
    </cfRule>
  </conditionalFormatting>
  <conditionalFormatting sqref="OW12 OW15">
    <cfRule type="cellIs" dxfId="131" priority="132" stopIfTrue="1" operator="equal">
      <formula>TODAY()</formula>
    </cfRule>
  </conditionalFormatting>
  <conditionalFormatting sqref="OW10 OW5:OW7">
    <cfRule type="cellIs" dxfId="130" priority="131" stopIfTrue="1" operator="equal">
      <formula>TODAY()</formula>
    </cfRule>
  </conditionalFormatting>
  <conditionalFormatting sqref="OW20 OW15 OW12">
    <cfRule type="cellIs" dxfId="129" priority="130" stopIfTrue="1" operator="equal">
      <formula>TODAY()</formula>
    </cfRule>
  </conditionalFormatting>
  <conditionalFormatting sqref="OW18">
    <cfRule type="cellIs" dxfId="128" priority="129" stopIfTrue="1" operator="equal">
      <formula>TODAY()</formula>
    </cfRule>
  </conditionalFormatting>
  <conditionalFormatting sqref="OX12 OX15">
    <cfRule type="cellIs" dxfId="127" priority="128" stopIfTrue="1" operator="equal">
      <formula>TODAY()</formula>
    </cfRule>
  </conditionalFormatting>
  <conditionalFormatting sqref="OX10 OX5:OX7">
    <cfRule type="cellIs" dxfId="126" priority="127" stopIfTrue="1" operator="equal">
      <formula>TODAY()</formula>
    </cfRule>
  </conditionalFormatting>
  <conditionalFormatting sqref="OX20 OX15 OX12">
    <cfRule type="cellIs" dxfId="125" priority="126" stopIfTrue="1" operator="equal">
      <formula>TODAY()</formula>
    </cfRule>
  </conditionalFormatting>
  <conditionalFormatting sqref="OX18">
    <cfRule type="cellIs" dxfId="124" priority="125" stopIfTrue="1" operator="equal">
      <formula>TODAY()</formula>
    </cfRule>
  </conditionalFormatting>
  <conditionalFormatting sqref="OY12 OY15">
    <cfRule type="cellIs" dxfId="123" priority="124" stopIfTrue="1" operator="equal">
      <formula>TODAY()</formula>
    </cfRule>
  </conditionalFormatting>
  <conditionalFormatting sqref="OY10 OY5:OY7">
    <cfRule type="cellIs" dxfId="122" priority="123" stopIfTrue="1" operator="equal">
      <formula>TODAY()</formula>
    </cfRule>
  </conditionalFormatting>
  <conditionalFormatting sqref="OY20 OY15 OY12">
    <cfRule type="cellIs" dxfId="121" priority="122" stopIfTrue="1" operator="equal">
      <formula>TODAY()</formula>
    </cfRule>
  </conditionalFormatting>
  <conditionalFormatting sqref="OY18">
    <cfRule type="cellIs" dxfId="120" priority="121" stopIfTrue="1" operator="equal">
      <formula>TODAY()</formula>
    </cfRule>
  </conditionalFormatting>
  <conditionalFormatting sqref="OZ12 OZ15">
    <cfRule type="cellIs" dxfId="119" priority="120" stopIfTrue="1" operator="equal">
      <formula>TODAY()</formula>
    </cfRule>
  </conditionalFormatting>
  <conditionalFormatting sqref="OZ10 OZ5:OZ7">
    <cfRule type="cellIs" dxfId="118" priority="119" stopIfTrue="1" operator="equal">
      <formula>TODAY()</formula>
    </cfRule>
  </conditionalFormatting>
  <conditionalFormatting sqref="OZ20 OZ15 OZ12">
    <cfRule type="cellIs" dxfId="117" priority="118" stopIfTrue="1" operator="equal">
      <formula>TODAY()</formula>
    </cfRule>
  </conditionalFormatting>
  <conditionalFormatting sqref="OZ18">
    <cfRule type="cellIs" dxfId="116" priority="117" stopIfTrue="1" operator="equal">
      <formula>TODAY()</formula>
    </cfRule>
  </conditionalFormatting>
  <conditionalFormatting sqref="PA12 PA15">
    <cfRule type="cellIs" dxfId="115" priority="116" stopIfTrue="1" operator="equal">
      <formula>TODAY()</formula>
    </cfRule>
  </conditionalFormatting>
  <conditionalFormatting sqref="PA10 PA5:PA7">
    <cfRule type="cellIs" dxfId="114" priority="115" stopIfTrue="1" operator="equal">
      <formula>TODAY()</formula>
    </cfRule>
  </conditionalFormatting>
  <conditionalFormatting sqref="PA20 PA15 PA12">
    <cfRule type="cellIs" dxfId="113" priority="114" stopIfTrue="1" operator="equal">
      <formula>TODAY()</formula>
    </cfRule>
  </conditionalFormatting>
  <conditionalFormatting sqref="PA18">
    <cfRule type="cellIs" dxfId="112" priority="113" stopIfTrue="1" operator="equal">
      <formula>TODAY()</formula>
    </cfRule>
  </conditionalFormatting>
  <conditionalFormatting sqref="PB12 PB15">
    <cfRule type="cellIs" dxfId="111" priority="112" stopIfTrue="1" operator="equal">
      <formula>TODAY()</formula>
    </cfRule>
  </conditionalFormatting>
  <conditionalFormatting sqref="PB10 PB5:PB7">
    <cfRule type="cellIs" dxfId="110" priority="111" stopIfTrue="1" operator="equal">
      <formula>TODAY()</formula>
    </cfRule>
  </conditionalFormatting>
  <conditionalFormatting sqref="PB20 PB15 PB12">
    <cfRule type="cellIs" dxfId="109" priority="110" stopIfTrue="1" operator="equal">
      <formula>TODAY()</formula>
    </cfRule>
  </conditionalFormatting>
  <conditionalFormatting sqref="PB18">
    <cfRule type="cellIs" dxfId="108" priority="109" stopIfTrue="1" operator="equal">
      <formula>TODAY()</formula>
    </cfRule>
  </conditionalFormatting>
  <conditionalFormatting sqref="PC12 PC15">
    <cfRule type="cellIs" dxfId="107" priority="108" stopIfTrue="1" operator="equal">
      <formula>TODAY()</formula>
    </cfRule>
  </conditionalFormatting>
  <conditionalFormatting sqref="PC10 PC5:PC7">
    <cfRule type="cellIs" dxfId="106" priority="107" stopIfTrue="1" operator="equal">
      <formula>TODAY()</formula>
    </cfRule>
  </conditionalFormatting>
  <conditionalFormatting sqref="PC20 PC15 PC12">
    <cfRule type="cellIs" dxfId="105" priority="106" stopIfTrue="1" operator="equal">
      <formula>TODAY()</formula>
    </cfRule>
  </conditionalFormatting>
  <conditionalFormatting sqref="PC18">
    <cfRule type="cellIs" dxfId="104" priority="105" stopIfTrue="1" operator="equal">
      <formula>TODAY()</formula>
    </cfRule>
  </conditionalFormatting>
  <conditionalFormatting sqref="PD12 PD15">
    <cfRule type="cellIs" dxfId="103" priority="104" stopIfTrue="1" operator="equal">
      <formula>TODAY()</formula>
    </cfRule>
  </conditionalFormatting>
  <conditionalFormatting sqref="PD10 PD5:PD7">
    <cfRule type="cellIs" dxfId="102" priority="103" stopIfTrue="1" operator="equal">
      <formula>TODAY()</formula>
    </cfRule>
  </conditionalFormatting>
  <conditionalFormatting sqref="PD20 PD15 PD12">
    <cfRule type="cellIs" dxfId="101" priority="102" stopIfTrue="1" operator="equal">
      <formula>TODAY()</formula>
    </cfRule>
  </conditionalFormatting>
  <conditionalFormatting sqref="PD18">
    <cfRule type="cellIs" dxfId="100" priority="101" stopIfTrue="1" operator="equal">
      <formula>TODAY()</formula>
    </cfRule>
  </conditionalFormatting>
  <conditionalFormatting sqref="PE12 PE15">
    <cfRule type="cellIs" dxfId="99" priority="100" stopIfTrue="1" operator="equal">
      <formula>TODAY()</formula>
    </cfRule>
  </conditionalFormatting>
  <conditionalFormatting sqref="PE10 PE5:PE7">
    <cfRule type="cellIs" dxfId="98" priority="99" stopIfTrue="1" operator="equal">
      <formula>TODAY()</formula>
    </cfRule>
  </conditionalFormatting>
  <conditionalFormatting sqref="PE20 PE15 PE12">
    <cfRule type="cellIs" dxfId="97" priority="98" stopIfTrue="1" operator="equal">
      <formula>TODAY()</formula>
    </cfRule>
  </conditionalFormatting>
  <conditionalFormatting sqref="PE18">
    <cfRule type="cellIs" dxfId="96" priority="97" stopIfTrue="1" operator="equal">
      <formula>TODAY()</formula>
    </cfRule>
  </conditionalFormatting>
  <conditionalFormatting sqref="PF12 PF15">
    <cfRule type="cellIs" dxfId="95" priority="96" stopIfTrue="1" operator="equal">
      <formula>TODAY()</formula>
    </cfRule>
  </conditionalFormatting>
  <conditionalFormatting sqref="PF10 PF5:PF7">
    <cfRule type="cellIs" dxfId="94" priority="95" stopIfTrue="1" operator="equal">
      <formula>TODAY()</formula>
    </cfRule>
  </conditionalFormatting>
  <conditionalFormatting sqref="PF20 PF15 PF12">
    <cfRule type="cellIs" dxfId="93" priority="94" stopIfTrue="1" operator="equal">
      <formula>TODAY()</formula>
    </cfRule>
  </conditionalFormatting>
  <conditionalFormatting sqref="PF18">
    <cfRule type="cellIs" dxfId="92" priority="93" stopIfTrue="1" operator="equal">
      <formula>TODAY()</formula>
    </cfRule>
  </conditionalFormatting>
  <conditionalFormatting sqref="PG12 PG15">
    <cfRule type="cellIs" dxfId="91" priority="92" stopIfTrue="1" operator="equal">
      <formula>TODAY()</formula>
    </cfRule>
  </conditionalFormatting>
  <conditionalFormatting sqref="PG10 PG5:PG7">
    <cfRule type="cellIs" dxfId="90" priority="91" stopIfTrue="1" operator="equal">
      <formula>TODAY()</formula>
    </cfRule>
  </conditionalFormatting>
  <conditionalFormatting sqref="PG20 PG15 PG12">
    <cfRule type="cellIs" dxfId="89" priority="90" stopIfTrue="1" operator="equal">
      <formula>TODAY()</formula>
    </cfRule>
  </conditionalFormatting>
  <conditionalFormatting sqref="PG18">
    <cfRule type="cellIs" dxfId="88" priority="89" stopIfTrue="1" operator="equal">
      <formula>TODAY()</formula>
    </cfRule>
  </conditionalFormatting>
  <conditionalFormatting sqref="PH12 PH15">
    <cfRule type="cellIs" dxfId="87" priority="88" stopIfTrue="1" operator="equal">
      <formula>TODAY()</formula>
    </cfRule>
  </conditionalFormatting>
  <conditionalFormatting sqref="PH10 PH5:PH7">
    <cfRule type="cellIs" dxfId="86" priority="87" stopIfTrue="1" operator="equal">
      <formula>TODAY()</formula>
    </cfRule>
  </conditionalFormatting>
  <conditionalFormatting sqref="PH20 PH15 PH12">
    <cfRule type="cellIs" dxfId="85" priority="86" stopIfTrue="1" operator="equal">
      <formula>TODAY()</formula>
    </cfRule>
  </conditionalFormatting>
  <conditionalFormatting sqref="PH18">
    <cfRule type="cellIs" dxfId="84" priority="85" stopIfTrue="1" operator="equal">
      <formula>TODAY()</formula>
    </cfRule>
  </conditionalFormatting>
  <conditionalFormatting sqref="PI12 PI15">
    <cfRule type="cellIs" dxfId="83" priority="84" stopIfTrue="1" operator="equal">
      <formula>TODAY()</formula>
    </cfRule>
  </conditionalFormatting>
  <conditionalFormatting sqref="PI10 PI5:PI7">
    <cfRule type="cellIs" dxfId="82" priority="83" stopIfTrue="1" operator="equal">
      <formula>TODAY()</formula>
    </cfRule>
  </conditionalFormatting>
  <conditionalFormatting sqref="PI20 PI15 PI12">
    <cfRule type="cellIs" dxfId="81" priority="82" stopIfTrue="1" operator="equal">
      <formula>TODAY()</formula>
    </cfRule>
  </conditionalFormatting>
  <conditionalFormatting sqref="PI18">
    <cfRule type="cellIs" dxfId="80" priority="81" stopIfTrue="1" operator="equal">
      <formula>TODAY()</formula>
    </cfRule>
  </conditionalFormatting>
  <conditionalFormatting sqref="PJ12 PJ15">
    <cfRule type="cellIs" dxfId="79" priority="80" stopIfTrue="1" operator="equal">
      <formula>TODAY()</formula>
    </cfRule>
  </conditionalFormatting>
  <conditionalFormatting sqref="PJ10 PJ5:PJ7">
    <cfRule type="cellIs" dxfId="78" priority="79" stopIfTrue="1" operator="equal">
      <formula>TODAY()</formula>
    </cfRule>
  </conditionalFormatting>
  <conditionalFormatting sqref="PJ20 PJ15 PJ12">
    <cfRule type="cellIs" dxfId="77" priority="78" stopIfTrue="1" operator="equal">
      <formula>TODAY()</formula>
    </cfRule>
  </conditionalFormatting>
  <conditionalFormatting sqref="PJ18">
    <cfRule type="cellIs" dxfId="76" priority="77" stopIfTrue="1" operator="equal">
      <formula>TODAY()</formula>
    </cfRule>
  </conditionalFormatting>
  <conditionalFormatting sqref="PK12 PK15">
    <cfRule type="cellIs" dxfId="75" priority="76" stopIfTrue="1" operator="equal">
      <formula>TODAY()</formula>
    </cfRule>
  </conditionalFormatting>
  <conditionalFormatting sqref="PK10 PK5:PK7">
    <cfRule type="cellIs" dxfId="74" priority="75" stopIfTrue="1" operator="equal">
      <formula>TODAY()</formula>
    </cfRule>
  </conditionalFormatting>
  <conditionalFormatting sqref="PK20 PK15 PK12">
    <cfRule type="cellIs" dxfId="73" priority="74" stopIfTrue="1" operator="equal">
      <formula>TODAY()</formula>
    </cfRule>
  </conditionalFormatting>
  <conditionalFormatting sqref="PK18">
    <cfRule type="cellIs" dxfId="72" priority="73" stopIfTrue="1" operator="equal">
      <formula>TODAY()</formula>
    </cfRule>
  </conditionalFormatting>
  <conditionalFormatting sqref="PL12 PL15">
    <cfRule type="cellIs" dxfId="71" priority="72" stopIfTrue="1" operator="equal">
      <formula>TODAY()</formula>
    </cfRule>
  </conditionalFormatting>
  <conditionalFormatting sqref="PL10 PL5:PL7">
    <cfRule type="cellIs" dxfId="70" priority="71" stopIfTrue="1" operator="equal">
      <formula>TODAY()</formula>
    </cfRule>
  </conditionalFormatting>
  <conditionalFormatting sqref="PL20 PL15 PL12">
    <cfRule type="cellIs" dxfId="69" priority="70" stopIfTrue="1" operator="equal">
      <formula>TODAY()</formula>
    </cfRule>
  </conditionalFormatting>
  <conditionalFormatting sqref="PL18">
    <cfRule type="cellIs" dxfId="68" priority="69" stopIfTrue="1" operator="equal">
      <formula>TODAY()</formula>
    </cfRule>
  </conditionalFormatting>
  <conditionalFormatting sqref="PM12 PM15">
    <cfRule type="cellIs" dxfId="67" priority="68" stopIfTrue="1" operator="equal">
      <formula>TODAY()</formula>
    </cfRule>
  </conditionalFormatting>
  <conditionalFormatting sqref="PM10 PM5:PM7">
    <cfRule type="cellIs" dxfId="66" priority="67" stopIfTrue="1" operator="equal">
      <formula>TODAY()</formula>
    </cfRule>
  </conditionalFormatting>
  <conditionalFormatting sqref="PM20 PM15 PM12">
    <cfRule type="cellIs" dxfId="65" priority="66" stopIfTrue="1" operator="equal">
      <formula>TODAY()</formula>
    </cfRule>
  </conditionalFormatting>
  <conditionalFormatting sqref="PM18">
    <cfRule type="cellIs" dxfId="64" priority="65" stopIfTrue="1" operator="equal">
      <formula>TODAY()</formula>
    </cfRule>
  </conditionalFormatting>
  <conditionalFormatting sqref="PN12 PN15">
    <cfRule type="cellIs" dxfId="63" priority="64" stopIfTrue="1" operator="equal">
      <formula>TODAY()</formula>
    </cfRule>
  </conditionalFormatting>
  <conditionalFormatting sqref="PN10 PN5:PN7">
    <cfRule type="cellIs" dxfId="62" priority="63" stopIfTrue="1" operator="equal">
      <formula>TODAY()</formula>
    </cfRule>
  </conditionalFormatting>
  <conditionalFormatting sqref="PN20 PN15 PN12">
    <cfRule type="cellIs" dxfId="61" priority="62" stopIfTrue="1" operator="equal">
      <formula>TODAY()</formula>
    </cfRule>
  </conditionalFormatting>
  <conditionalFormatting sqref="PN18">
    <cfRule type="cellIs" dxfId="60" priority="61" stopIfTrue="1" operator="equal">
      <formula>TODAY()</formula>
    </cfRule>
  </conditionalFormatting>
  <conditionalFormatting sqref="PO12 PO15">
    <cfRule type="cellIs" dxfId="59" priority="60" stopIfTrue="1" operator="equal">
      <formula>TODAY()</formula>
    </cfRule>
  </conditionalFormatting>
  <conditionalFormatting sqref="PO10 PO5:PO7">
    <cfRule type="cellIs" dxfId="58" priority="59" stopIfTrue="1" operator="equal">
      <formula>TODAY()</formula>
    </cfRule>
  </conditionalFormatting>
  <conditionalFormatting sqref="PO20 PO15 PO12">
    <cfRule type="cellIs" dxfId="57" priority="58" stopIfTrue="1" operator="equal">
      <formula>TODAY()</formula>
    </cfRule>
  </conditionalFormatting>
  <conditionalFormatting sqref="PO18">
    <cfRule type="cellIs" dxfId="56" priority="57" stopIfTrue="1" operator="equal">
      <formula>TODAY()</formula>
    </cfRule>
  </conditionalFormatting>
  <conditionalFormatting sqref="PP12 PP15">
    <cfRule type="cellIs" dxfId="55" priority="56" stopIfTrue="1" operator="equal">
      <formula>TODAY()</formula>
    </cfRule>
  </conditionalFormatting>
  <conditionalFormatting sqref="PP10 PP5:PP7">
    <cfRule type="cellIs" dxfId="54" priority="55" stopIfTrue="1" operator="equal">
      <formula>TODAY()</formula>
    </cfRule>
  </conditionalFormatting>
  <conditionalFormatting sqref="PP20 PP15 PP12">
    <cfRule type="cellIs" dxfId="53" priority="54" stopIfTrue="1" operator="equal">
      <formula>TODAY()</formula>
    </cfRule>
  </conditionalFormatting>
  <conditionalFormatting sqref="PP18">
    <cfRule type="cellIs" dxfId="52" priority="53" stopIfTrue="1" operator="equal">
      <formula>TODAY()</formula>
    </cfRule>
  </conditionalFormatting>
  <conditionalFormatting sqref="PQ12 PQ15">
    <cfRule type="cellIs" dxfId="51" priority="52" stopIfTrue="1" operator="equal">
      <formula>TODAY()</formula>
    </cfRule>
  </conditionalFormatting>
  <conditionalFormatting sqref="PQ10 PQ5:PQ7">
    <cfRule type="cellIs" dxfId="50" priority="51" stopIfTrue="1" operator="equal">
      <formula>TODAY()</formula>
    </cfRule>
  </conditionalFormatting>
  <conditionalFormatting sqref="PQ20 PQ15 PQ12">
    <cfRule type="cellIs" dxfId="49" priority="50" stopIfTrue="1" operator="equal">
      <formula>TODAY()</formula>
    </cfRule>
  </conditionalFormatting>
  <conditionalFormatting sqref="PQ18">
    <cfRule type="cellIs" dxfId="48" priority="49" stopIfTrue="1" operator="equal">
      <formula>TODAY()</formula>
    </cfRule>
  </conditionalFormatting>
  <conditionalFormatting sqref="PR12 PR15">
    <cfRule type="cellIs" dxfId="47" priority="48" stopIfTrue="1" operator="equal">
      <formula>TODAY()</formula>
    </cfRule>
  </conditionalFormatting>
  <conditionalFormatting sqref="PR10 PR5:PR7">
    <cfRule type="cellIs" dxfId="46" priority="47" stopIfTrue="1" operator="equal">
      <formula>TODAY()</formula>
    </cfRule>
  </conditionalFormatting>
  <conditionalFormatting sqref="PR20 PR15 PR12">
    <cfRule type="cellIs" dxfId="45" priority="46" stopIfTrue="1" operator="equal">
      <formula>TODAY()</formula>
    </cfRule>
  </conditionalFormatting>
  <conditionalFormatting sqref="PR18">
    <cfRule type="cellIs" dxfId="44" priority="45" stopIfTrue="1" operator="equal">
      <formula>TODAY()</formula>
    </cfRule>
  </conditionalFormatting>
  <conditionalFormatting sqref="PS12 PS15">
    <cfRule type="cellIs" dxfId="43" priority="44" stopIfTrue="1" operator="equal">
      <formula>TODAY()</formula>
    </cfRule>
  </conditionalFormatting>
  <conditionalFormatting sqref="PS10 PS5:PS7">
    <cfRule type="cellIs" dxfId="42" priority="43" stopIfTrue="1" operator="equal">
      <formula>TODAY()</formula>
    </cfRule>
  </conditionalFormatting>
  <conditionalFormatting sqref="PS20 PS15 PS12">
    <cfRule type="cellIs" dxfId="41" priority="42" stopIfTrue="1" operator="equal">
      <formula>TODAY()</formula>
    </cfRule>
  </conditionalFormatting>
  <conditionalFormatting sqref="PS18">
    <cfRule type="cellIs" dxfId="40" priority="41" stopIfTrue="1" operator="equal">
      <formula>TODAY()</formula>
    </cfRule>
  </conditionalFormatting>
  <conditionalFormatting sqref="PT12 PT15">
    <cfRule type="cellIs" dxfId="39" priority="40" stopIfTrue="1" operator="equal">
      <formula>TODAY()</formula>
    </cfRule>
  </conditionalFormatting>
  <conditionalFormatting sqref="PT10 PT5:PT7">
    <cfRule type="cellIs" dxfId="38" priority="39" stopIfTrue="1" operator="equal">
      <formula>TODAY()</formula>
    </cfRule>
  </conditionalFormatting>
  <conditionalFormatting sqref="PT20 PT15 PT12">
    <cfRule type="cellIs" dxfId="37" priority="38" stopIfTrue="1" operator="equal">
      <formula>TODAY()</formula>
    </cfRule>
  </conditionalFormatting>
  <conditionalFormatting sqref="PT18">
    <cfRule type="cellIs" dxfId="36" priority="37" stopIfTrue="1" operator="equal">
      <formula>TODAY()</formula>
    </cfRule>
  </conditionalFormatting>
  <conditionalFormatting sqref="PU12 PU15">
    <cfRule type="cellIs" dxfId="35" priority="36" stopIfTrue="1" operator="equal">
      <formula>TODAY()</formula>
    </cfRule>
  </conditionalFormatting>
  <conditionalFormatting sqref="PU10 PU5:PU7">
    <cfRule type="cellIs" dxfId="34" priority="35" stopIfTrue="1" operator="equal">
      <formula>TODAY()</formula>
    </cfRule>
  </conditionalFormatting>
  <conditionalFormatting sqref="PU20 PU15 PU12">
    <cfRule type="cellIs" dxfId="33" priority="34" stopIfTrue="1" operator="equal">
      <formula>TODAY()</formula>
    </cfRule>
  </conditionalFormatting>
  <conditionalFormatting sqref="PU18">
    <cfRule type="cellIs" dxfId="32" priority="33" stopIfTrue="1" operator="equal">
      <formula>TODAY()</formula>
    </cfRule>
  </conditionalFormatting>
  <conditionalFormatting sqref="PV12 PV15">
    <cfRule type="cellIs" dxfId="31" priority="32" stopIfTrue="1" operator="equal">
      <formula>TODAY()</formula>
    </cfRule>
  </conditionalFormatting>
  <conditionalFormatting sqref="PV10 PV5:PV7">
    <cfRule type="cellIs" dxfId="30" priority="31" stopIfTrue="1" operator="equal">
      <formula>TODAY()</formula>
    </cfRule>
  </conditionalFormatting>
  <conditionalFormatting sqref="PV20 PV15 PV12">
    <cfRule type="cellIs" dxfId="29" priority="30" stopIfTrue="1" operator="equal">
      <formula>TODAY()</formula>
    </cfRule>
  </conditionalFormatting>
  <conditionalFormatting sqref="PV18">
    <cfRule type="cellIs" dxfId="28" priority="29" stopIfTrue="1" operator="equal">
      <formula>TODAY()</formula>
    </cfRule>
  </conditionalFormatting>
  <conditionalFormatting sqref="PW12 PW15">
    <cfRule type="cellIs" dxfId="27" priority="28" stopIfTrue="1" operator="equal">
      <formula>TODAY()</formula>
    </cfRule>
  </conditionalFormatting>
  <conditionalFormatting sqref="PW10 PW5:PW7">
    <cfRule type="cellIs" dxfId="26" priority="27" stopIfTrue="1" operator="equal">
      <formula>TODAY()</formula>
    </cfRule>
  </conditionalFormatting>
  <conditionalFormatting sqref="PW20 PW15 PW12">
    <cfRule type="cellIs" dxfId="25" priority="26" stopIfTrue="1" operator="equal">
      <formula>TODAY()</formula>
    </cfRule>
  </conditionalFormatting>
  <conditionalFormatting sqref="PW18">
    <cfRule type="cellIs" dxfId="24" priority="25" stopIfTrue="1" operator="equal">
      <formula>TODAY()</formula>
    </cfRule>
  </conditionalFormatting>
  <conditionalFormatting sqref="PX12 PX15">
    <cfRule type="cellIs" dxfId="23" priority="24" stopIfTrue="1" operator="equal">
      <formula>TODAY()</formula>
    </cfRule>
  </conditionalFormatting>
  <conditionalFormatting sqref="PX10 PX5:PX7">
    <cfRule type="cellIs" dxfId="22" priority="23" stopIfTrue="1" operator="equal">
      <formula>TODAY()</formula>
    </cfRule>
  </conditionalFormatting>
  <conditionalFormatting sqref="PX20 PX15 PX12">
    <cfRule type="cellIs" dxfId="21" priority="22" stopIfTrue="1" operator="equal">
      <formula>TODAY()</formula>
    </cfRule>
  </conditionalFormatting>
  <conditionalFormatting sqref="PX18">
    <cfRule type="cellIs" dxfId="20" priority="21" stopIfTrue="1" operator="equal">
      <formula>TODAY()</formula>
    </cfRule>
  </conditionalFormatting>
  <conditionalFormatting sqref="PY12 PY15">
    <cfRule type="cellIs" dxfId="19" priority="20" stopIfTrue="1" operator="equal">
      <formula>TODAY()</formula>
    </cfRule>
  </conditionalFormatting>
  <conditionalFormatting sqref="PY10 PY5:PY7">
    <cfRule type="cellIs" dxfId="18" priority="19" stopIfTrue="1" operator="equal">
      <formula>TODAY()</formula>
    </cfRule>
  </conditionalFormatting>
  <conditionalFormatting sqref="PY20 PY15 PY12">
    <cfRule type="cellIs" dxfId="17" priority="18" stopIfTrue="1" operator="equal">
      <formula>TODAY()</formula>
    </cfRule>
  </conditionalFormatting>
  <conditionalFormatting sqref="PY18">
    <cfRule type="cellIs" dxfId="16" priority="17" stopIfTrue="1" operator="equal">
      <formula>TODAY()</formula>
    </cfRule>
  </conditionalFormatting>
  <conditionalFormatting sqref="PZ12 PZ15">
    <cfRule type="cellIs" dxfId="15" priority="16" stopIfTrue="1" operator="equal">
      <formula>TODAY()</formula>
    </cfRule>
  </conditionalFormatting>
  <conditionalFormatting sqref="PZ10 PZ5:PZ7">
    <cfRule type="cellIs" dxfId="14" priority="15" stopIfTrue="1" operator="equal">
      <formula>TODAY()</formula>
    </cfRule>
  </conditionalFormatting>
  <conditionalFormatting sqref="PZ20 PZ15 PZ12">
    <cfRule type="cellIs" dxfId="13" priority="14" stopIfTrue="1" operator="equal">
      <formula>TODAY()</formula>
    </cfRule>
  </conditionalFormatting>
  <conditionalFormatting sqref="PZ18">
    <cfRule type="cellIs" dxfId="12" priority="13" stopIfTrue="1" operator="equal">
      <formula>TODAY()</formula>
    </cfRule>
  </conditionalFormatting>
  <conditionalFormatting sqref="QA12 QA15">
    <cfRule type="cellIs" dxfId="11" priority="12" stopIfTrue="1" operator="equal">
      <formula>TODAY()</formula>
    </cfRule>
  </conditionalFormatting>
  <conditionalFormatting sqref="QA10 QA5:QA7">
    <cfRule type="cellIs" dxfId="10" priority="11" stopIfTrue="1" operator="equal">
      <formula>TODAY()</formula>
    </cfRule>
  </conditionalFormatting>
  <conditionalFormatting sqref="QA20 QA15 QA12">
    <cfRule type="cellIs" dxfId="9" priority="10" stopIfTrue="1" operator="equal">
      <formula>TODAY()</formula>
    </cfRule>
  </conditionalFormatting>
  <conditionalFormatting sqref="QA18">
    <cfRule type="cellIs" dxfId="8" priority="9" stopIfTrue="1" operator="equal">
      <formula>TODAY()</formula>
    </cfRule>
  </conditionalFormatting>
  <conditionalFormatting sqref="QB12 QB15">
    <cfRule type="cellIs" dxfId="7" priority="8" stopIfTrue="1" operator="equal">
      <formula>TODAY()</formula>
    </cfRule>
  </conditionalFormatting>
  <conditionalFormatting sqref="QB10 QB5:QB7">
    <cfRule type="cellIs" dxfId="6" priority="7" stopIfTrue="1" operator="equal">
      <formula>TODAY()</formula>
    </cfRule>
  </conditionalFormatting>
  <conditionalFormatting sqref="QB20 QB15 QB12">
    <cfRule type="cellIs" dxfId="5" priority="6" stopIfTrue="1" operator="equal">
      <formula>TODAY()</formula>
    </cfRule>
  </conditionalFormatting>
  <conditionalFormatting sqref="QB18">
    <cfRule type="cellIs" dxfId="4" priority="5" stopIfTrue="1" operator="equal">
      <formula>TODAY()</formula>
    </cfRule>
  </conditionalFormatting>
  <conditionalFormatting sqref="QC12 QC15">
    <cfRule type="cellIs" dxfId="3" priority="4" stopIfTrue="1" operator="equal">
      <formula>TODAY()</formula>
    </cfRule>
  </conditionalFormatting>
  <conditionalFormatting sqref="QC10 QC5:QC7">
    <cfRule type="cellIs" dxfId="2" priority="3" stopIfTrue="1" operator="equal">
      <formula>TODAY()</formula>
    </cfRule>
  </conditionalFormatting>
  <conditionalFormatting sqref="QC20 QC15 QC12">
    <cfRule type="cellIs" dxfId="1" priority="2" stopIfTrue="1" operator="equal">
      <formula>TODAY()</formula>
    </cfRule>
  </conditionalFormatting>
  <conditionalFormatting sqref="QC18">
    <cfRule type="cellIs" dxfId="0" priority="1" stopIfTrue="1" operator="equal">
      <formula>TODAY()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26191-E935-4C0B-A3C8-549C2D27497B}">
  <sheetPr codeName="Sheet2"/>
  <dimension ref="A1:F19"/>
  <sheetViews>
    <sheetView topLeftCell="B1" workbookViewId="0">
      <selection activeCell="D22" sqref="D22"/>
    </sheetView>
  </sheetViews>
  <sheetFormatPr defaultRowHeight="14.25" x14ac:dyDescent="0.2"/>
  <cols>
    <col min="1" max="1" width="17.75" hidden="1" customWidth="1"/>
    <col min="2" max="2" width="24.25" customWidth="1"/>
    <col min="3" max="6" width="15.5" customWidth="1"/>
  </cols>
  <sheetData>
    <row r="1" spans="1:6" x14ac:dyDescent="0.2">
      <c r="A1" t="s">
        <v>176</v>
      </c>
      <c r="B1" t="s">
        <v>6</v>
      </c>
      <c r="C1" s="2">
        <f ca="1">TODAY()</f>
        <v>43377</v>
      </c>
      <c r="D1" s="2">
        <f ca="1">SCBAM_NextBusinessDay(C1)</f>
        <v>43378</v>
      </c>
      <c r="E1" s="2">
        <f ca="1">[1]!SCBAM_NextBusinessDay(D1)</f>
        <v>43381</v>
      </c>
      <c r="F1" s="2">
        <f ca="1">[1]!SCBAM_NextBusinessDay(E1)</f>
        <v>43382</v>
      </c>
    </row>
    <row r="2" spans="1:6" x14ac:dyDescent="0.2">
      <c r="A2" t="s">
        <v>6</v>
      </c>
      <c r="B2" s="1" t="s">
        <v>65</v>
      </c>
    </row>
    <row r="3" spans="1:6" x14ac:dyDescent="0.2">
      <c r="A3" t="s">
        <v>46</v>
      </c>
      <c r="B3" t="s">
        <v>66</v>
      </c>
    </row>
    <row r="4" spans="1:6" x14ac:dyDescent="0.2">
      <c r="A4" t="s">
        <v>54</v>
      </c>
      <c r="B4" t="s">
        <v>67</v>
      </c>
    </row>
    <row r="5" spans="1:6" x14ac:dyDescent="0.2">
      <c r="A5" t="s">
        <v>56</v>
      </c>
      <c r="B5" t="s">
        <v>68</v>
      </c>
    </row>
    <row r="6" spans="1:6" x14ac:dyDescent="0.2">
      <c r="B6" t="s">
        <v>69</v>
      </c>
    </row>
    <row r="7" spans="1:6" x14ac:dyDescent="0.2">
      <c r="B7" t="s">
        <v>70</v>
      </c>
    </row>
    <row r="8" spans="1:6" x14ac:dyDescent="0.2">
      <c r="B8" t="s">
        <v>71</v>
      </c>
    </row>
    <row r="9" spans="1:6" x14ac:dyDescent="0.2">
      <c r="B9" t="s">
        <v>72</v>
      </c>
    </row>
    <row r="10" spans="1:6" x14ac:dyDescent="0.2">
      <c r="B10" s="1" t="s">
        <v>73</v>
      </c>
    </row>
    <row r="11" spans="1:6" x14ac:dyDescent="0.2">
      <c r="B11" t="s">
        <v>74</v>
      </c>
    </row>
    <row r="12" spans="1:6" x14ac:dyDescent="0.2">
      <c r="B12" t="s">
        <v>75</v>
      </c>
    </row>
    <row r="13" spans="1:6" x14ac:dyDescent="0.2">
      <c r="B13" t="s">
        <v>76</v>
      </c>
    </row>
    <row r="14" spans="1:6" x14ac:dyDescent="0.2">
      <c r="B14" t="s">
        <v>71</v>
      </c>
    </row>
    <row r="15" spans="1:6" x14ac:dyDescent="0.2">
      <c r="B15" s="3" t="s">
        <v>77</v>
      </c>
    </row>
    <row r="16" spans="1:6" x14ac:dyDescent="0.2">
      <c r="B16" t="s">
        <v>78</v>
      </c>
    </row>
    <row r="17" spans="2:2" x14ac:dyDescent="0.2">
      <c r="B17" t="s">
        <v>79</v>
      </c>
    </row>
    <row r="18" spans="2:2" x14ac:dyDescent="0.2">
      <c r="B18" t="s">
        <v>80</v>
      </c>
    </row>
    <row r="19" spans="2:2" x14ac:dyDescent="0.2">
      <c r="B19" t="s">
        <v>81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9AD90-A6A4-4E2A-81C9-B4F2B9BE111C}">
  <sheetPr codeName="Sheet3"/>
  <dimension ref="A1:E46"/>
  <sheetViews>
    <sheetView workbookViewId="0">
      <selection activeCell="A4" sqref="A4"/>
    </sheetView>
  </sheetViews>
  <sheetFormatPr defaultRowHeight="14.25" x14ac:dyDescent="0.2"/>
  <cols>
    <col min="1" max="1" width="21.75" customWidth="1"/>
    <col min="2" max="2" width="18" bestFit="1" customWidth="1"/>
    <col min="3" max="3" width="13.25" bestFit="1" customWidth="1"/>
    <col min="4" max="4" width="21.75" customWidth="1"/>
  </cols>
  <sheetData>
    <row r="1" spans="1:5" x14ac:dyDescent="0.2">
      <c r="A1" s="1" t="s">
        <v>84</v>
      </c>
      <c r="B1" t="s">
        <v>85</v>
      </c>
      <c r="C1" t="s">
        <v>82</v>
      </c>
      <c r="D1" t="s">
        <v>86</v>
      </c>
      <c r="E1" t="s">
        <v>83</v>
      </c>
    </row>
    <row r="2" spans="1:5" x14ac:dyDescent="0.2">
      <c r="A2" s="3" t="s">
        <v>87</v>
      </c>
      <c r="C2">
        <f>B16</f>
        <v>100</v>
      </c>
    </row>
    <row r="3" spans="1:5" x14ac:dyDescent="0.2">
      <c r="A3" s="1" t="s">
        <v>65</v>
      </c>
      <c r="B3" s="1"/>
    </row>
    <row r="4" spans="1:5" x14ac:dyDescent="0.2">
      <c r="A4" t="s">
        <v>66</v>
      </c>
    </row>
    <row r="5" spans="1:5" x14ac:dyDescent="0.2">
      <c r="A5" t="s">
        <v>67</v>
      </c>
    </row>
    <row r="6" spans="1:5" x14ac:dyDescent="0.2">
      <c r="A6" t="s">
        <v>68</v>
      </c>
    </row>
    <row r="7" spans="1:5" x14ac:dyDescent="0.2">
      <c r="A7" t="s">
        <v>69</v>
      </c>
    </row>
    <row r="8" spans="1:5" x14ac:dyDescent="0.2">
      <c r="A8" t="s">
        <v>70</v>
      </c>
    </row>
    <row r="9" spans="1:5" x14ac:dyDescent="0.2">
      <c r="A9" t="s">
        <v>71</v>
      </c>
    </row>
    <row r="10" spans="1:5" x14ac:dyDescent="0.2">
      <c r="A10" t="s">
        <v>72</v>
      </c>
    </row>
    <row r="11" spans="1:5" x14ac:dyDescent="0.2">
      <c r="A11" s="1" t="s">
        <v>73</v>
      </c>
    </row>
    <row r="12" spans="1:5" x14ac:dyDescent="0.2">
      <c r="A12" t="s">
        <v>74</v>
      </c>
    </row>
    <row r="13" spans="1:5" x14ac:dyDescent="0.2">
      <c r="A13" t="s">
        <v>75</v>
      </c>
    </row>
    <row r="14" spans="1:5" x14ac:dyDescent="0.2">
      <c r="A14" t="s">
        <v>76</v>
      </c>
    </row>
    <row r="15" spans="1:5" x14ac:dyDescent="0.2">
      <c r="A15" t="s">
        <v>71</v>
      </c>
    </row>
    <row r="16" spans="1:5" x14ac:dyDescent="0.2">
      <c r="A16" s="3" t="s">
        <v>77</v>
      </c>
      <c r="B16">
        <v>100</v>
      </c>
      <c r="D16" s="4">
        <v>2000000000</v>
      </c>
    </row>
    <row r="17" spans="1:5" x14ac:dyDescent="0.2">
      <c r="A17" t="s">
        <v>78</v>
      </c>
      <c r="D17" s="4">
        <v>1000000000</v>
      </c>
    </row>
    <row r="18" spans="1:5" x14ac:dyDescent="0.2">
      <c r="A18" t="s">
        <v>79</v>
      </c>
      <c r="D18" s="4">
        <f>(D16-D17)</f>
        <v>1000000000</v>
      </c>
    </row>
    <row r="19" spans="1:5" x14ac:dyDescent="0.2">
      <c r="A19" t="s">
        <v>80</v>
      </c>
      <c r="D19" s="4">
        <f>B24*A23</f>
        <v>1600000000</v>
      </c>
      <c r="E19" t="s">
        <v>88</v>
      </c>
    </row>
    <row r="20" spans="1:5" x14ac:dyDescent="0.2">
      <c r="A20" t="s">
        <v>81</v>
      </c>
      <c r="D20" s="4">
        <f>D18*-A21*$A$22</f>
        <v>-125000</v>
      </c>
    </row>
    <row r="21" spans="1:5" x14ac:dyDescent="0.2">
      <c r="A21">
        <v>0.25</v>
      </c>
    </row>
    <row r="22" spans="1:5" x14ac:dyDescent="0.2">
      <c r="A22" s="5">
        <v>5.0000000000000001E-4</v>
      </c>
    </row>
    <row r="23" spans="1:5" x14ac:dyDescent="0.2">
      <c r="A23" s="6">
        <v>0.02</v>
      </c>
    </row>
    <row r="24" spans="1:5" x14ac:dyDescent="0.2">
      <c r="A24" t="s">
        <v>89</v>
      </c>
      <c r="B24" s="4">
        <v>80000000000</v>
      </c>
      <c r="D24" s="4"/>
    </row>
    <row r="26" spans="1:5" x14ac:dyDescent="0.2">
      <c r="A26" t="s">
        <v>90</v>
      </c>
      <c r="C26" t="s">
        <v>91</v>
      </c>
    </row>
    <row r="27" spans="1:5" x14ac:dyDescent="0.2">
      <c r="A27" t="s">
        <v>6</v>
      </c>
      <c r="B27" s="4">
        <v>1000000</v>
      </c>
      <c r="C27" s="4">
        <v>500000</v>
      </c>
      <c r="D27" t="s">
        <v>92</v>
      </c>
    </row>
    <row r="28" spans="1:5" x14ac:dyDescent="0.2">
      <c r="A28" t="s">
        <v>93</v>
      </c>
      <c r="B28" s="4">
        <v>80000</v>
      </c>
    </row>
    <row r="29" spans="1:5" x14ac:dyDescent="0.2">
      <c r="A29" t="s">
        <v>46</v>
      </c>
      <c r="B29" s="4">
        <v>7200000</v>
      </c>
      <c r="C29" s="4">
        <v>800000</v>
      </c>
    </row>
    <row r="30" spans="1:5" x14ac:dyDescent="0.2">
      <c r="A30" t="s">
        <v>93</v>
      </c>
      <c r="B30" s="4">
        <v>2000000</v>
      </c>
    </row>
    <row r="31" spans="1:5" x14ac:dyDescent="0.2">
      <c r="A31" t="s">
        <v>54</v>
      </c>
      <c r="B31" s="4">
        <v>40000</v>
      </c>
      <c r="C31" s="4">
        <v>30000</v>
      </c>
    </row>
    <row r="32" spans="1:5" x14ac:dyDescent="0.2">
      <c r="A32" t="s">
        <v>93</v>
      </c>
      <c r="B32" s="4">
        <v>3800</v>
      </c>
    </row>
    <row r="33" spans="1:3" x14ac:dyDescent="0.2">
      <c r="A33" t="s">
        <v>56</v>
      </c>
      <c r="B33" s="4">
        <v>300000</v>
      </c>
      <c r="C33" s="4">
        <v>200000</v>
      </c>
    </row>
    <row r="34" spans="1:3" x14ac:dyDescent="0.2">
      <c r="A34" t="s">
        <v>93</v>
      </c>
      <c r="B34" s="4">
        <v>12000</v>
      </c>
    </row>
    <row r="36" spans="1:3" x14ac:dyDescent="0.2">
      <c r="A36" t="s">
        <v>94</v>
      </c>
    </row>
    <row r="37" spans="1:3" x14ac:dyDescent="0.2">
      <c r="A37" t="s">
        <v>6</v>
      </c>
      <c r="B37" s="4">
        <f>C27/(A21*A22)</f>
        <v>4000000000</v>
      </c>
    </row>
    <row r="38" spans="1:3" x14ac:dyDescent="0.2">
      <c r="A38" t="s">
        <v>46</v>
      </c>
      <c r="B38" s="4">
        <f>C29/(A21*A22)</f>
        <v>6400000000</v>
      </c>
    </row>
    <row r="39" spans="1:3" x14ac:dyDescent="0.2">
      <c r="A39" t="s">
        <v>54</v>
      </c>
      <c r="B39" s="4">
        <f>C31/(A21*A22)</f>
        <v>240000000</v>
      </c>
    </row>
    <row r="40" spans="1:3" x14ac:dyDescent="0.2">
      <c r="A40" t="s">
        <v>56</v>
      </c>
      <c r="B40" s="4">
        <f>C33/(A22*A21)</f>
        <v>1600000000</v>
      </c>
    </row>
    <row r="42" spans="1:3" x14ac:dyDescent="0.2">
      <c r="A42" t="s">
        <v>95</v>
      </c>
    </row>
    <row r="43" spans="1:3" x14ac:dyDescent="0.2">
      <c r="A43" t="s">
        <v>96</v>
      </c>
    </row>
    <row r="44" spans="1:3" x14ac:dyDescent="0.2">
      <c r="A44" t="s">
        <v>97</v>
      </c>
    </row>
    <row r="45" spans="1:3" x14ac:dyDescent="0.2">
      <c r="A45" t="s">
        <v>98</v>
      </c>
    </row>
    <row r="46" spans="1:3" x14ac:dyDescent="0.2">
      <c r="A46" t="s">
        <v>99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FCB30-2D31-4E32-B4D8-90D0F695E129}">
  <sheetPr codeName="Sheet5"/>
  <dimension ref="A2:L242"/>
  <sheetViews>
    <sheetView topLeftCell="A4" zoomScale="85" zoomScaleNormal="85" workbookViewId="0">
      <selection activeCell="C15" activeCellId="1" sqref="C8 C10:C35"/>
      <pivotSelection pane="bottomRight" showHeader="1" axis="axisRow" dimension="2" activeRow="14" activeCol="2" previousRow="14" previousCol="2" click="1" r:id="rId1">
        <pivotArea dataOnly="0" labelOnly="1" outline="0" fieldPosition="0">
          <references count="1">
            <reference field="5" count="0"/>
          </references>
        </pivotArea>
      </pivotSelection>
    </sheetView>
  </sheetViews>
  <sheetFormatPr defaultRowHeight="14.25" x14ac:dyDescent="0.2"/>
  <cols>
    <col min="1" max="1" width="18.375" customWidth="1"/>
    <col min="2" max="2" width="29" customWidth="1"/>
    <col min="3" max="3" width="17.875" bestFit="1" customWidth="1"/>
    <col min="4" max="4" width="24.75" bestFit="1" customWidth="1"/>
    <col min="5" max="5" width="26" style="2" bestFit="1" customWidth="1"/>
    <col min="6" max="6" width="18.25" style="2" bestFit="1" customWidth="1"/>
    <col min="7" max="7" width="25.375" style="4" bestFit="1" customWidth="1"/>
    <col min="8" max="8" width="22.5" bestFit="1" customWidth="1"/>
    <col min="9" max="9" width="25.625" bestFit="1" customWidth="1"/>
    <col min="10" max="10" width="21.625" bestFit="1" customWidth="1"/>
    <col min="11" max="11" width="12.75" bestFit="1" customWidth="1"/>
    <col min="12" max="12" width="12.75" style="8" bestFit="1" customWidth="1"/>
    <col min="13" max="13" width="12.75" bestFit="1" customWidth="1"/>
    <col min="14" max="228" width="25.625" bestFit="1" customWidth="1"/>
  </cols>
  <sheetData>
    <row r="2" spans="1:12" x14ac:dyDescent="0.2">
      <c r="A2" s="7" t="s">
        <v>1</v>
      </c>
      <c r="B2" t="s">
        <v>6</v>
      </c>
    </row>
    <row r="3" spans="1:12" x14ac:dyDescent="0.2">
      <c r="A3" s="7" t="s">
        <v>0</v>
      </c>
      <c r="B3" t="s">
        <v>101</v>
      </c>
      <c r="E3"/>
    </row>
    <row r="4" spans="1:12" x14ac:dyDescent="0.2">
      <c r="E4"/>
      <c r="G4"/>
      <c r="L4"/>
    </row>
    <row r="5" spans="1:12" x14ac:dyDescent="0.2">
      <c r="A5" s="7" t="s">
        <v>2</v>
      </c>
      <c r="B5" s="7" t="s">
        <v>3</v>
      </c>
      <c r="C5" s="7" t="s">
        <v>5</v>
      </c>
      <c r="D5" t="s">
        <v>109</v>
      </c>
      <c r="E5" s="2" t="s">
        <v>107</v>
      </c>
      <c r="F5" t="s">
        <v>102</v>
      </c>
      <c r="G5" t="s">
        <v>103</v>
      </c>
      <c r="H5" t="s">
        <v>104</v>
      </c>
      <c r="I5" t="s">
        <v>105</v>
      </c>
      <c r="J5" t="s">
        <v>106</v>
      </c>
      <c r="K5" s="8" t="s">
        <v>108</v>
      </c>
      <c r="L5"/>
    </row>
    <row r="6" spans="1:12" x14ac:dyDescent="0.2">
      <c r="A6" t="s">
        <v>7</v>
      </c>
      <c r="B6" t="s">
        <v>16</v>
      </c>
      <c r="D6" s="8"/>
      <c r="E6" s="2">
        <v>911657</v>
      </c>
      <c r="F6" s="8">
        <v>25.845879999999998</v>
      </c>
      <c r="G6" s="8">
        <v>51683091153.909981</v>
      </c>
      <c r="H6" s="8">
        <v>26.257997999999994</v>
      </c>
      <c r="I6" s="8">
        <v>2.0325710000000003</v>
      </c>
      <c r="J6" s="8"/>
      <c r="K6" s="8">
        <v>2471</v>
      </c>
      <c r="L6"/>
    </row>
    <row r="7" spans="1:12" x14ac:dyDescent="0.2">
      <c r="B7" t="s">
        <v>8</v>
      </c>
      <c r="D7" s="8">
        <v>0.375</v>
      </c>
      <c r="F7" s="8"/>
      <c r="G7" s="8">
        <v>748296337.08000004</v>
      </c>
      <c r="H7" s="8">
        <v>0</v>
      </c>
      <c r="I7" s="8">
        <v>0</v>
      </c>
      <c r="J7" s="8"/>
      <c r="K7" s="8">
        <v>-12</v>
      </c>
      <c r="L7"/>
    </row>
    <row r="8" spans="1:12" x14ac:dyDescent="0.2">
      <c r="B8" t="s">
        <v>36</v>
      </c>
      <c r="C8" t="s">
        <v>516</v>
      </c>
      <c r="D8" s="8">
        <v>4.7</v>
      </c>
      <c r="E8" s="2">
        <v>43404</v>
      </c>
      <c r="F8" s="8">
        <v>1.5</v>
      </c>
      <c r="G8" s="8">
        <v>100215276</v>
      </c>
      <c r="H8" s="8">
        <v>1.5</v>
      </c>
      <c r="I8" s="8">
        <v>7.3421E-2</v>
      </c>
      <c r="J8" s="8">
        <v>100000</v>
      </c>
      <c r="K8" s="8">
        <v>1826</v>
      </c>
      <c r="L8"/>
    </row>
    <row r="9" spans="1:12" x14ac:dyDescent="0.2">
      <c r="B9" t="s">
        <v>11</v>
      </c>
      <c r="D9" s="8">
        <v>39.811700000000002</v>
      </c>
      <c r="E9" s="2">
        <v>1046730</v>
      </c>
      <c r="F9" s="8"/>
      <c r="G9" s="8">
        <v>21813478300.060001</v>
      </c>
      <c r="H9" s="8">
        <v>37.8367</v>
      </c>
      <c r="I9" s="8">
        <v>8.8512640000000005</v>
      </c>
      <c r="J9" s="8"/>
      <c r="K9" s="8">
        <v>19064</v>
      </c>
      <c r="L9"/>
    </row>
    <row r="10" spans="1:12" x14ac:dyDescent="0.2">
      <c r="B10" t="s">
        <v>15</v>
      </c>
      <c r="C10" t="s">
        <v>461</v>
      </c>
      <c r="D10" s="8"/>
      <c r="E10" s="2">
        <v>43558</v>
      </c>
      <c r="F10" s="8">
        <v>1.5805450000000001</v>
      </c>
      <c r="G10" s="8">
        <v>9922231.8000000007</v>
      </c>
      <c r="H10" s="8">
        <v>1.6</v>
      </c>
      <c r="I10" s="8">
        <v>0.49203400000000003</v>
      </c>
      <c r="J10" s="8"/>
      <c r="K10" s="8">
        <v>364</v>
      </c>
      <c r="L10"/>
    </row>
    <row r="11" spans="1:12" x14ac:dyDescent="0.2">
      <c r="B11" t="s">
        <v>424</v>
      </c>
      <c r="C11" t="s">
        <v>425</v>
      </c>
      <c r="D11" s="8"/>
      <c r="E11" s="2">
        <v>43452</v>
      </c>
      <c r="F11" s="8">
        <v>1.7</v>
      </c>
      <c r="G11" s="8">
        <v>996519010</v>
      </c>
      <c r="H11" s="8">
        <v>1.7</v>
      </c>
      <c r="I11" s="8">
        <v>0.204764</v>
      </c>
      <c r="J11" s="8"/>
      <c r="K11" s="8">
        <v>89</v>
      </c>
      <c r="L11"/>
    </row>
    <row r="12" spans="1:12" x14ac:dyDescent="0.2">
      <c r="C12" t="s">
        <v>440</v>
      </c>
      <c r="D12" s="8"/>
      <c r="E12" s="2">
        <v>43382</v>
      </c>
      <c r="F12" s="8">
        <v>1.58</v>
      </c>
      <c r="G12" s="8">
        <v>1199740332</v>
      </c>
      <c r="H12" s="8">
        <v>1.58</v>
      </c>
      <c r="I12" s="8">
        <v>1.3696E-2</v>
      </c>
      <c r="J12" s="8"/>
      <c r="K12" s="8">
        <v>62</v>
      </c>
      <c r="L12"/>
    </row>
    <row r="13" spans="1:12" x14ac:dyDescent="0.2">
      <c r="C13" t="s">
        <v>450</v>
      </c>
      <c r="D13" s="8"/>
      <c r="E13" s="2">
        <v>43382</v>
      </c>
      <c r="F13" s="8">
        <v>1.58</v>
      </c>
      <c r="G13" s="8">
        <v>499891805</v>
      </c>
      <c r="H13" s="8">
        <v>1.58</v>
      </c>
      <c r="I13" s="8">
        <v>1.3696E-2</v>
      </c>
      <c r="J13" s="8"/>
      <c r="K13" s="8">
        <v>61</v>
      </c>
      <c r="L13"/>
    </row>
    <row r="14" spans="1:12" x14ac:dyDescent="0.2">
      <c r="C14" t="s">
        <v>453</v>
      </c>
      <c r="D14" s="8"/>
      <c r="E14" s="2">
        <v>43514</v>
      </c>
      <c r="F14" s="8">
        <v>1.5995360000000001</v>
      </c>
      <c r="G14" s="8">
        <v>149104813.5</v>
      </c>
      <c r="H14" s="8">
        <v>1.68</v>
      </c>
      <c r="I14" s="8">
        <v>0.37310199999999999</v>
      </c>
      <c r="J14" s="8"/>
      <c r="K14" s="8">
        <v>270</v>
      </c>
      <c r="L14"/>
    </row>
    <row r="15" spans="1:12" x14ac:dyDescent="0.2">
      <c r="A15" t="s">
        <v>45</v>
      </c>
      <c r="B15" t="s">
        <v>44</v>
      </c>
      <c r="C15" t="s">
        <v>100</v>
      </c>
      <c r="D15" s="8"/>
      <c r="F15" s="8"/>
      <c r="G15" s="8">
        <v>-21918.31</v>
      </c>
      <c r="H15" s="8">
        <v>0</v>
      </c>
      <c r="I15" s="8"/>
      <c r="J15" s="8"/>
      <c r="K15" s="8">
        <v>0</v>
      </c>
      <c r="L15"/>
    </row>
    <row r="16" spans="1:12" x14ac:dyDescent="0.2">
      <c r="B16" t="s">
        <v>43</v>
      </c>
      <c r="C16" t="s">
        <v>100</v>
      </c>
      <c r="D16" s="8"/>
      <c r="F16" s="8"/>
      <c r="G16" s="8">
        <v>-1706955.23</v>
      </c>
      <c r="H16" s="8">
        <v>0</v>
      </c>
      <c r="I16" s="8"/>
      <c r="J16" s="8"/>
      <c r="K16" s="8">
        <v>0</v>
      </c>
      <c r="L16"/>
    </row>
    <row r="17" spans="1:12" x14ac:dyDescent="0.2">
      <c r="B17" t="s">
        <v>554</v>
      </c>
      <c r="C17" t="s">
        <v>100</v>
      </c>
      <c r="D17" s="8"/>
      <c r="F17" s="8"/>
      <c r="G17" s="8">
        <v>0</v>
      </c>
      <c r="H17" s="8">
        <v>0</v>
      </c>
      <c r="I17" s="8"/>
      <c r="J17" s="8"/>
      <c r="K17" s="8">
        <v>0</v>
      </c>
      <c r="L17"/>
    </row>
    <row r="18" spans="1:12" x14ac:dyDescent="0.2">
      <c r="A18" t="s">
        <v>528</v>
      </c>
      <c r="B18" t="s">
        <v>529</v>
      </c>
      <c r="C18" t="s">
        <v>530</v>
      </c>
      <c r="D18" s="8"/>
      <c r="E18" s="2">
        <v>43559</v>
      </c>
      <c r="F18" s="8"/>
      <c r="G18" s="8">
        <v>101261719.17</v>
      </c>
      <c r="H18" s="8">
        <v>0</v>
      </c>
      <c r="I18" s="8">
        <v>0</v>
      </c>
      <c r="J18" s="8">
        <v>1</v>
      </c>
      <c r="K18" s="8">
        <v>43557</v>
      </c>
      <c r="L18"/>
    </row>
    <row r="19" spans="1:12" x14ac:dyDescent="0.2">
      <c r="C19" t="s">
        <v>535</v>
      </c>
      <c r="D19" s="8"/>
      <c r="E19" s="2">
        <v>43566</v>
      </c>
      <c r="F19" s="8"/>
      <c r="G19" s="8">
        <v>81495728.969999999</v>
      </c>
      <c r="H19" s="8">
        <v>0</v>
      </c>
      <c r="I19" s="8">
        <v>0</v>
      </c>
      <c r="J19" s="8">
        <v>1</v>
      </c>
      <c r="K19" s="8">
        <v>43564</v>
      </c>
      <c r="L19"/>
    </row>
    <row r="20" spans="1:12" x14ac:dyDescent="0.2">
      <c r="C20" t="s">
        <v>536</v>
      </c>
      <c r="D20" s="8"/>
      <c r="E20" s="2">
        <v>43409</v>
      </c>
      <c r="F20" s="8"/>
      <c r="G20" s="8">
        <v>20330625.530000001</v>
      </c>
      <c r="H20" s="8">
        <v>0</v>
      </c>
      <c r="I20" s="8">
        <v>0</v>
      </c>
      <c r="J20" s="8">
        <v>1</v>
      </c>
      <c r="K20" s="8">
        <v>43407</v>
      </c>
      <c r="L20"/>
    </row>
    <row r="21" spans="1:12" x14ac:dyDescent="0.2">
      <c r="C21" t="s">
        <v>537</v>
      </c>
      <c r="D21" s="8"/>
      <c r="E21" s="2">
        <v>43543</v>
      </c>
      <c r="F21" s="8"/>
      <c r="G21" s="8">
        <v>5824622.46</v>
      </c>
      <c r="H21" s="8">
        <v>0</v>
      </c>
      <c r="I21" s="8">
        <v>0</v>
      </c>
      <c r="J21" s="8">
        <v>1</v>
      </c>
      <c r="K21" s="8">
        <v>43541</v>
      </c>
      <c r="L21"/>
    </row>
    <row r="22" spans="1:12" x14ac:dyDescent="0.2">
      <c r="C22" t="s">
        <v>538</v>
      </c>
      <c r="D22" s="8"/>
      <c r="E22" s="2">
        <v>43580</v>
      </c>
      <c r="F22" s="8"/>
      <c r="G22" s="8">
        <v>90651663.579999998</v>
      </c>
      <c r="H22" s="8">
        <v>0</v>
      </c>
      <c r="I22" s="8">
        <v>0</v>
      </c>
      <c r="J22" s="8">
        <v>1</v>
      </c>
      <c r="K22" s="8">
        <v>43578</v>
      </c>
      <c r="L22"/>
    </row>
    <row r="23" spans="1:12" x14ac:dyDescent="0.2">
      <c r="C23" t="s">
        <v>539</v>
      </c>
      <c r="D23" s="8"/>
      <c r="E23" s="2">
        <v>43595</v>
      </c>
      <c r="F23" s="8"/>
      <c r="G23" s="8">
        <v>40398812.969999999</v>
      </c>
      <c r="H23" s="8">
        <v>0</v>
      </c>
      <c r="I23" s="8">
        <v>0</v>
      </c>
      <c r="J23" s="8">
        <v>1</v>
      </c>
      <c r="K23" s="8">
        <v>43593</v>
      </c>
      <c r="L23"/>
    </row>
    <row r="24" spans="1:12" x14ac:dyDescent="0.2">
      <c r="C24" t="s">
        <v>545</v>
      </c>
      <c r="D24" s="8"/>
      <c r="E24" s="2">
        <v>43410</v>
      </c>
      <c r="F24" s="8"/>
      <c r="G24" s="8">
        <v>22154907.289999999</v>
      </c>
      <c r="H24" s="8">
        <v>0</v>
      </c>
      <c r="I24" s="8">
        <v>0</v>
      </c>
      <c r="J24" s="8">
        <v>1</v>
      </c>
      <c r="K24" s="8">
        <v>43408</v>
      </c>
      <c r="L24"/>
    </row>
    <row r="25" spans="1:12" x14ac:dyDescent="0.2">
      <c r="C25" t="s">
        <v>547</v>
      </c>
      <c r="D25" s="8"/>
      <c r="E25" s="2">
        <v>43389</v>
      </c>
      <c r="F25" s="8"/>
      <c r="G25" s="8">
        <v>30809014.390000001</v>
      </c>
      <c r="H25" s="8">
        <v>0</v>
      </c>
      <c r="I25" s="8">
        <v>0</v>
      </c>
      <c r="J25" s="8">
        <v>1</v>
      </c>
      <c r="K25" s="8">
        <v>43387</v>
      </c>
      <c r="L25"/>
    </row>
    <row r="26" spans="1:12" x14ac:dyDescent="0.2">
      <c r="C26" t="s">
        <v>549</v>
      </c>
      <c r="D26" s="8"/>
      <c r="E26" s="2">
        <v>43389</v>
      </c>
      <c r="F26" s="8"/>
      <c r="G26" s="8">
        <v>28982560.719999999</v>
      </c>
      <c r="H26" s="8">
        <v>0</v>
      </c>
      <c r="I26" s="8">
        <v>0</v>
      </c>
      <c r="J26" s="8">
        <v>1</v>
      </c>
      <c r="K26" s="8">
        <v>43387</v>
      </c>
      <c r="L26"/>
    </row>
    <row r="27" spans="1:12" x14ac:dyDescent="0.2">
      <c r="C27" t="s">
        <v>550</v>
      </c>
      <c r="D27" s="8"/>
      <c r="E27" s="2">
        <v>43580</v>
      </c>
      <c r="F27" s="8"/>
      <c r="G27" s="8">
        <v>-30803789.23</v>
      </c>
      <c r="H27" s="8">
        <v>0</v>
      </c>
      <c r="I27" s="8">
        <v>0</v>
      </c>
      <c r="J27" s="8">
        <v>1</v>
      </c>
      <c r="K27" s="8">
        <v>43578</v>
      </c>
      <c r="L27"/>
    </row>
    <row r="28" spans="1:12" x14ac:dyDescent="0.2">
      <c r="A28" t="s">
        <v>551</v>
      </c>
      <c r="B28" t="s">
        <v>552</v>
      </c>
      <c r="C28" t="s">
        <v>10</v>
      </c>
      <c r="D28" s="8"/>
      <c r="F28" s="8"/>
      <c r="G28" s="8">
        <v>7248223.9100000001</v>
      </c>
      <c r="H28" s="8">
        <v>0</v>
      </c>
      <c r="I28" s="8">
        <v>0</v>
      </c>
      <c r="J28" s="8">
        <v>0</v>
      </c>
      <c r="K28" s="8">
        <v>-2</v>
      </c>
      <c r="L28"/>
    </row>
    <row r="29" spans="1:12" x14ac:dyDescent="0.2">
      <c r="A29" t="s">
        <v>38</v>
      </c>
      <c r="B29" t="s">
        <v>41</v>
      </c>
      <c r="C29" t="s">
        <v>41</v>
      </c>
      <c r="D29" s="8"/>
      <c r="F29" s="8"/>
      <c r="G29" s="8">
        <v>-175012.74</v>
      </c>
      <c r="H29" s="8">
        <v>0</v>
      </c>
      <c r="I29" s="8"/>
      <c r="J29" s="8"/>
      <c r="K29" s="8">
        <v>0</v>
      </c>
      <c r="L29"/>
    </row>
    <row r="30" spans="1:12" x14ac:dyDescent="0.2">
      <c r="B30" t="s">
        <v>39</v>
      </c>
      <c r="C30" t="s">
        <v>35</v>
      </c>
      <c r="D30" s="8"/>
      <c r="F30" s="8"/>
      <c r="G30" s="8">
        <v>-2988934109.27</v>
      </c>
      <c r="H30" s="8">
        <v>0</v>
      </c>
      <c r="I30" s="8"/>
      <c r="J30" s="8">
        <v>0</v>
      </c>
      <c r="K30" s="8">
        <v>-86754</v>
      </c>
      <c r="L30"/>
    </row>
    <row r="31" spans="1:12" x14ac:dyDescent="0.2">
      <c r="B31" t="s">
        <v>44</v>
      </c>
      <c r="C31" t="s">
        <v>100</v>
      </c>
      <c r="D31" s="8"/>
      <c r="F31" s="8"/>
      <c r="G31" s="8">
        <v>-740029.92</v>
      </c>
      <c r="H31" s="8">
        <v>0</v>
      </c>
      <c r="I31" s="8"/>
      <c r="J31" s="8"/>
      <c r="K31" s="8">
        <v>0</v>
      </c>
      <c r="L31"/>
    </row>
    <row r="32" spans="1:12" x14ac:dyDescent="0.2">
      <c r="B32" t="s">
        <v>43</v>
      </c>
      <c r="C32" t="s">
        <v>100</v>
      </c>
      <c r="D32" s="8"/>
      <c r="F32" s="8"/>
      <c r="G32" s="8">
        <v>-57632079.109999999</v>
      </c>
      <c r="H32" s="8">
        <v>0</v>
      </c>
      <c r="I32" s="8"/>
      <c r="J32" s="8"/>
      <c r="K32" s="8">
        <v>0</v>
      </c>
      <c r="L32"/>
    </row>
    <row r="33" spans="2:12" x14ac:dyDescent="0.2">
      <c r="B33" t="s">
        <v>42</v>
      </c>
      <c r="C33" t="s">
        <v>100</v>
      </c>
      <c r="D33" s="8"/>
      <c r="F33" s="8"/>
      <c r="G33" s="8">
        <v>-1628535.17</v>
      </c>
      <c r="H33" s="8">
        <v>0</v>
      </c>
      <c r="I33" s="8"/>
      <c r="J33" s="8"/>
      <c r="K33" s="8">
        <v>0</v>
      </c>
      <c r="L33"/>
    </row>
    <row r="34" spans="2:12" x14ac:dyDescent="0.2">
      <c r="B34" t="s">
        <v>554</v>
      </c>
      <c r="C34" t="s">
        <v>100</v>
      </c>
      <c r="D34" s="8"/>
      <c r="F34" s="8"/>
      <c r="G34" s="8">
        <v>0</v>
      </c>
      <c r="H34" s="8">
        <v>0</v>
      </c>
      <c r="I34" s="8"/>
      <c r="J34" s="8"/>
      <c r="K34" s="8">
        <v>0</v>
      </c>
      <c r="L34"/>
    </row>
    <row r="35" spans="2:12" x14ac:dyDescent="0.2">
      <c r="B35" t="s">
        <v>555</v>
      </c>
      <c r="C35" t="s">
        <v>555</v>
      </c>
      <c r="D35" s="8"/>
      <c r="F35" s="8"/>
      <c r="G35" s="8">
        <v>-4607.12</v>
      </c>
      <c r="H35" s="8">
        <v>0</v>
      </c>
      <c r="I35" s="8"/>
      <c r="J35" s="8"/>
      <c r="K35" s="8">
        <v>0</v>
      </c>
      <c r="L35"/>
    </row>
    <row r="36" spans="2:12" x14ac:dyDescent="0.2">
      <c r="E36"/>
      <c r="F36"/>
      <c r="G36"/>
      <c r="L36"/>
    </row>
    <row r="37" spans="2:12" x14ac:dyDescent="0.2">
      <c r="E37"/>
      <c r="F37"/>
      <c r="G37"/>
      <c r="L37"/>
    </row>
    <row r="38" spans="2:12" x14ac:dyDescent="0.2">
      <c r="E38"/>
      <c r="F38"/>
      <c r="G38"/>
      <c r="L38"/>
    </row>
    <row r="39" spans="2:12" x14ac:dyDescent="0.2">
      <c r="E39"/>
      <c r="F39"/>
      <c r="G39"/>
      <c r="L39"/>
    </row>
    <row r="40" spans="2:12" x14ac:dyDescent="0.2">
      <c r="E40"/>
      <c r="F40"/>
      <c r="G40"/>
      <c r="L40"/>
    </row>
    <row r="41" spans="2:12" x14ac:dyDescent="0.2">
      <c r="E41"/>
      <c r="F41"/>
      <c r="G41"/>
      <c r="L41"/>
    </row>
    <row r="42" spans="2:12" x14ac:dyDescent="0.2">
      <c r="E42"/>
      <c r="F42"/>
      <c r="G42"/>
      <c r="L42"/>
    </row>
    <row r="43" spans="2:12" x14ac:dyDescent="0.2">
      <c r="E43"/>
      <c r="F43"/>
      <c r="G43"/>
      <c r="L43"/>
    </row>
    <row r="44" spans="2:12" x14ac:dyDescent="0.2">
      <c r="E44"/>
      <c r="F44"/>
      <c r="G44"/>
      <c r="L44"/>
    </row>
    <row r="45" spans="2:12" x14ac:dyDescent="0.2">
      <c r="E45"/>
      <c r="F45"/>
      <c r="G45"/>
      <c r="L45"/>
    </row>
    <row r="46" spans="2:12" x14ac:dyDescent="0.2">
      <c r="E46"/>
      <c r="F46"/>
      <c r="G46"/>
      <c r="L46"/>
    </row>
    <row r="47" spans="2:12" x14ac:dyDescent="0.2">
      <c r="E47"/>
      <c r="F47"/>
      <c r="G47"/>
      <c r="L47"/>
    </row>
    <row r="48" spans="2:12" x14ac:dyDescent="0.2">
      <c r="E48"/>
      <c r="F48"/>
      <c r="G48"/>
      <c r="L48"/>
    </row>
    <row r="49" spans="5:12" x14ac:dyDescent="0.2">
      <c r="E49"/>
      <c r="F49"/>
      <c r="G49"/>
      <c r="L49"/>
    </row>
    <row r="50" spans="5:12" x14ac:dyDescent="0.2">
      <c r="E50"/>
      <c r="F50"/>
      <c r="G50"/>
      <c r="L50"/>
    </row>
    <row r="51" spans="5:12" x14ac:dyDescent="0.2">
      <c r="E51"/>
      <c r="F51"/>
      <c r="G51"/>
      <c r="L51"/>
    </row>
    <row r="52" spans="5:12" x14ac:dyDescent="0.2">
      <c r="E52"/>
      <c r="F52"/>
      <c r="G52"/>
      <c r="L52"/>
    </row>
    <row r="53" spans="5:12" x14ac:dyDescent="0.2">
      <c r="E53"/>
      <c r="F53"/>
      <c r="G53"/>
      <c r="L53"/>
    </row>
    <row r="54" spans="5:12" x14ac:dyDescent="0.2">
      <c r="E54"/>
      <c r="F54"/>
      <c r="G54"/>
      <c r="L54"/>
    </row>
    <row r="55" spans="5:12" x14ac:dyDescent="0.2">
      <c r="E55"/>
      <c r="F55"/>
      <c r="G55"/>
      <c r="L55"/>
    </row>
    <row r="56" spans="5:12" x14ac:dyDescent="0.2">
      <c r="E56"/>
      <c r="F56"/>
      <c r="G56"/>
      <c r="L56"/>
    </row>
    <row r="57" spans="5:12" x14ac:dyDescent="0.2">
      <c r="E57"/>
      <c r="F57"/>
      <c r="G57"/>
      <c r="L57"/>
    </row>
    <row r="58" spans="5:12" x14ac:dyDescent="0.2">
      <c r="E58"/>
      <c r="F58"/>
      <c r="G58"/>
      <c r="L58"/>
    </row>
    <row r="59" spans="5:12" x14ac:dyDescent="0.2">
      <c r="E59"/>
      <c r="F59"/>
      <c r="G59"/>
      <c r="L59"/>
    </row>
    <row r="60" spans="5:12" x14ac:dyDescent="0.2">
      <c r="E60"/>
      <c r="F60"/>
      <c r="G60"/>
      <c r="L60"/>
    </row>
    <row r="61" spans="5:12" x14ac:dyDescent="0.2">
      <c r="E61"/>
      <c r="F61"/>
      <c r="G61"/>
      <c r="L61"/>
    </row>
    <row r="62" spans="5:12" x14ac:dyDescent="0.2">
      <c r="E62"/>
      <c r="F62"/>
      <c r="G62"/>
      <c r="L62"/>
    </row>
    <row r="63" spans="5:12" x14ac:dyDescent="0.2">
      <c r="E63"/>
      <c r="F63"/>
      <c r="G63"/>
      <c r="L63"/>
    </row>
    <row r="64" spans="5:12" x14ac:dyDescent="0.2">
      <c r="E64"/>
      <c r="F64"/>
      <c r="G64"/>
      <c r="L64"/>
    </row>
    <row r="65" spans="5:12" x14ac:dyDescent="0.2">
      <c r="E65"/>
      <c r="F65"/>
      <c r="G65"/>
      <c r="L65"/>
    </row>
    <row r="66" spans="5:12" x14ac:dyDescent="0.2">
      <c r="E66"/>
      <c r="F66"/>
      <c r="G66"/>
      <c r="L66"/>
    </row>
    <row r="67" spans="5:12" x14ac:dyDescent="0.2">
      <c r="E67"/>
      <c r="F67"/>
      <c r="G67"/>
      <c r="L67"/>
    </row>
    <row r="68" spans="5:12" x14ac:dyDescent="0.2">
      <c r="E68"/>
      <c r="F68"/>
      <c r="G68"/>
      <c r="L68"/>
    </row>
    <row r="69" spans="5:12" x14ac:dyDescent="0.2">
      <c r="E69"/>
      <c r="F69"/>
      <c r="G69"/>
      <c r="L69"/>
    </row>
    <row r="70" spans="5:12" x14ac:dyDescent="0.2">
      <c r="E70"/>
      <c r="F70"/>
      <c r="G70"/>
      <c r="L70"/>
    </row>
    <row r="71" spans="5:12" x14ac:dyDescent="0.2">
      <c r="E71"/>
      <c r="F71"/>
      <c r="G71"/>
      <c r="L71"/>
    </row>
    <row r="72" spans="5:12" x14ac:dyDescent="0.2">
      <c r="E72"/>
      <c r="F72"/>
      <c r="G72"/>
      <c r="L72"/>
    </row>
    <row r="73" spans="5:12" x14ac:dyDescent="0.2">
      <c r="E73"/>
      <c r="F73"/>
      <c r="G73"/>
      <c r="L73"/>
    </row>
    <row r="74" spans="5:12" x14ac:dyDescent="0.2">
      <c r="E74"/>
      <c r="F74"/>
      <c r="G74"/>
      <c r="L74"/>
    </row>
    <row r="75" spans="5:12" x14ac:dyDescent="0.2">
      <c r="E75"/>
      <c r="F75"/>
      <c r="G75"/>
      <c r="L75"/>
    </row>
    <row r="76" spans="5:12" x14ac:dyDescent="0.2">
      <c r="E76"/>
      <c r="F76"/>
      <c r="G76"/>
      <c r="L76"/>
    </row>
    <row r="77" spans="5:12" x14ac:dyDescent="0.2">
      <c r="E77"/>
      <c r="F77"/>
      <c r="G77"/>
      <c r="L77"/>
    </row>
    <row r="78" spans="5:12" x14ac:dyDescent="0.2">
      <c r="E78"/>
      <c r="F78"/>
      <c r="G78"/>
      <c r="L78"/>
    </row>
    <row r="79" spans="5:12" x14ac:dyDescent="0.2">
      <c r="E79"/>
      <c r="F79"/>
      <c r="G79"/>
      <c r="L79"/>
    </row>
    <row r="80" spans="5:12" x14ac:dyDescent="0.2">
      <c r="E80"/>
      <c r="F80"/>
      <c r="G80"/>
      <c r="L80"/>
    </row>
    <row r="81" spans="5:12" x14ac:dyDescent="0.2">
      <c r="E81"/>
      <c r="F81"/>
      <c r="G81"/>
      <c r="L81"/>
    </row>
    <row r="82" spans="5:12" x14ac:dyDescent="0.2">
      <c r="E82"/>
      <c r="F82"/>
      <c r="G82"/>
      <c r="L82"/>
    </row>
    <row r="83" spans="5:12" x14ac:dyDescent="0.2">
      <c r="E83"/>
      <c r="F83"/>
      <c r="G83"/>
      <c r="L83"/>
    </row>
    <row r="84" spans="5:12" x14ac:dyDescent="0.2">
      <c r="E84"/>
      <c r="F84"/>
      <c r="G84"/>
      <c r="L84"/>
    </row>
    <row r="85" spans="5:12" x14ac:dyDescent="0.2">
      <c r="E85"/>
      <c r="F85"/>
      <c r="G85"/>
      <c r="L85"/>
    </row>
    <row r="86" spans="5:12" x14ac:dyDescent="0.2">
      <c r="E86"/>
      <c r="F86"/>
      <c r="G86"/>
      <c r="L86"/>
    </row>
    <row r="87" spans="5:12" x14ac:dyDescent="0.2">
      <c r="E87"/>
      <c r="F87"/>
      <c r="G87"/>
      <c r="L87"/>
    </row>
    <row r="88" spans="5:12" x14ac:dyDescent="0.2">
      <c r="E88"/>
      <c r="F88"/>
      <c r="G88"/>
      <c r="L88"/>
    </row>
    <row r="89" spans="5:12" x14ac:dyDescent="0.2">
      <c r="E89"/>
      <c r="F89"/>
      <c r="G89"/>
      <c r="L89"/>
    </row>
    <row r="90" spans="5:12" x14ac:dyDescent="0.2">
      <c r="E90"/>
      <c r="F90"/>
      <c r="G90"/>
      <c r="L90"/>
    </row>
    <row r="91" spans="5:12" x14ac:dyDescent="0.2">
      <c r="E91"/>
      <c r="F91"/>
      <c r="G91"/>
      <c r="L91"/>
    </row>
    <row r="92" spans="5:12" x14ac:dyDescent="0.2">
      <c r="E92"/>
      <c r="F92"/>
      <c r="G92"/>
      <c r="L92"/>
    </row>
    <row r="93" spans="5:12" x14ac:dyDescent="0.2">
      <c r="E93"/>
      <c r="F93"/>
      <c r="G93"/>
      <c r="L93"/>
    </row>
    <row r="94" spans="5:12" x14ac:dyDescent="0.2">
      <c r="E94"/>
      <c r="F94"/>
      <c r="G94"/>
      <c r="L94"/>
    </row>
    <row r="95" spans="5:12" x14ac:dyDescent="0.2">
      <c r="E95"/>
      <c r="F95"/>
      <c r="G95"/>
      <c r="L95"/>
    </row>
    <row r="96" spans="5:12" x14ac:dyDescent="0.2">
      <c r="E96"/>
      <c r="F96"/>
      <c r="G96"/>
      <c r="L96"/>
    </row>
    <row r="97" spans="5:12" x14ac:dyDescent="0.2">
      <c r="E97"/>
      <c r="F97"/>
      <c r="G97"/>
      <c r="L97"/>
    </row>
    <row r="98" spans="5:12" x14ac:dyDescent="0.2">
      <c r="E98"/>
      <c r="F98"/>
      <c r="G98"/>
      <c r="L98"/>
    </row>
    <row r="99" spans="5:12" x14ac:dyDescent="0.2">
      <c r="E99"/>
      <c r="F99"/>
      <c r="G99"/>
      <c r="L99"/>
    </row>
    <row r="100" spans="5:12" x14ac:dyDescent="0.2">
      <c r="E100"/>
      <c r="F100"/>
      <c r="G100"/>
      <c r="L100"/>
    </row>
    <row r="101" spans="5:12" x14ac:dyDescent="0.2">
      <c r="E101"/>
      <c r="F101"/>
      <c r="G101"/>
      <c r="L101"/>
    </row>
    <row r="102" spans="5:12" x14ac:dyDescent="0.2">
      <c r="E102"/>
      <c r="F102"/>
      <c r="G102"/>
      <c r="L102"/>
    </row>
    <row r="103" spans="5:12" x14ac:dyDescent="0.2">
      <c r="E103"/>
      <c r="F103"/>
      <c r="G103"/>
      <c r="L103"/>
    </row>
    <row r="104" spans="5:12" x14ac:dyDescent="0.2">
      <c r="E104"/>
      <c r="F104"/>
      <c r="G104"/>
      <c r="L104"/>
    </row>
    <row r="105" spans="5:12" x14ac:dyDescent="0.2">
      <c r="E105"/>
      <c r="F105"/>
      <c r="G105"/>
      <c r="L105"/>
    </row>
    <row r="106" spans="5:12" x14ac:dyDescent="0.2">
      <c r="E106"/>
      <c r="F106"/>
      <c r="G106"/>
      <c r="L106"/>
    </row>
    <row r="107" spans="5:12" x14ac:dyDescent="0.2">
      <c r="E107"/>
      <c r="F107"/>
      <c r="G107"/>
      <c r="L107"/>
    </row>
    <row r="108" spans="5:12" x14ac:dyDescent="0.2">
      <c r="E108"/>
      <c r="F108"/>
      <c r="G108"/>
      <c r="L108"/>
    </row>
    <row r="109" spans="5:12" x14ac:dyDescent="0.2">
      <c r="E109"/>
      <c r="F109"/>
      <c r="G109"/>
      <c r="L109"/>
    </row>
    <row r="110" spans="5:12" x14ac:dyDescent="0.2">
      <c r="E110"/>
      <c r="F110"/>
      <c r="G110"/>
      <c r="L110"/>
    </row>
    <row r="111" spans="5:12" x14ac:dyDescent="0.2">
      <c r="E111"/>
      <c r="F111"/>
      <c r="G111"/>
      <c r="L111"/>
    </row>
    <row r="112" spans="5:12" x14ac:dyDescent="0.2">
      <c r="E112"/>
      <c r="F112"/>
      <c r="G112"/>
      <c r="L112"/>
    </row>
    <row r="113" spans="5:12" x14ac:dyDescent="0.2">
      <c r="E113"/>
      <c r="F113"/>
      <c r="G113"/>
      <c r="L113"/>
    </row>
    <row r="114" spans="5:12" x14ac:dyDescent="0.2">
      <c r="E114"/>
      <c r="F114"/>
      <c r="G114"/>
      <c r="L114"/>
    </row>
    <row r="115" spans="5:12" x14ac:dyDescent="0.2">
      <c r="E115"/>
      <c r="F115"/>
      <c r="G115"/>
      <c r="L115"/>
    </row>
    <row r="116" spans="5:12" x14ac:dyDescent="0.2">
      <c r="E116"/>
      <c r="F116"/>
      <c r="G116"/>
      <c r="L116"/>
    </row>
    <row r="117" spans="5:12" x14ac:dyDescent="0.2">
      <c r="E117"/>
      <c r="F117"/>
      <c r="G117"/>
      <c r="L117"/>
    </row>
    <row r="118" spans="5:12" x14ac:dyDescent="0.2">
      <c r="E118"/>
      <c r="F118"/>
      <c r="G118"/>
      <c r="L118"/>
    </row>
    <row r="119" spans="5:12" x14ac:dyDescent="0.2">
      <c r="E119"/>
      <c r="F119"/>
      <c r="G119"/>
      <c r="L119"/>
    </row>
    <row r="120" spans="5:12" x14ac:dyDescent="0.2">
      <c r="E120"/>
      <c r="F120"/>
      <c r="G120"/>
      <c r="L120"/>
    </row>
    <row r="121" spans="5:12" x14ac:dyDescent="0.2">
      <c r="E121"/>
      <c r="F121"/>
      <c r="G121"/>
      <c r="L121"/>
    </row>
    <row r="122" spans="5:12" x14ac:dyDescent="0.2">
      <c r="E122"/>
      <c r="F122"/>
      <c r="G122"/>
      <c r="L122"/>
    </row>
    <row r="123" spans="5:12" x14ac:dyDescent="0.2">
      <c r="E123"/>
      <c r="F123"/>
      <c r="G123"/>
      <c r="L123"/>
    </row>
    <row r="124" spans="5:12" x14ac:dyDescent="0.2">
      <c r="E124"/>
      <c r="F124"/>
      <c r="G124"/>
      <c r="L124"/>
    </row>
    <row r="125" spans="5:12" x14ac:dyDescent="0.2">
      <c r="E125"/>
      <c r="F125"/>
      <c r="G125"/>
      <c r="L125"/>
    </row>
    <row r="126" spans="5:12" x14ac:dyDescent="0.2">
      <c r="E126"/>
      <c r="F126"/>
      <c r="G126"/>
      <c r="L126"/>
    </row>
    <row r="127" spans="5:12" x14ac:dyDescent="0.2">
      <c r="E127"/>
      <c r="F127"/>
      <c r="G127"/>
      <c r="L127"/>
    </row>
    <row r="128" spans="5:12" x14ac:dyDescent="0.2">
      <c r="E128"/>
      <c r="F128"/>
      <c r="G128"/>
      <c r="L128"/>
    </row>
    <row r="129" spans="5:12" x14ac:dyDescent="0.2">
      <c r="E129"/>
      <c r="F129"/>
      <c r="G129"/>
      <c r="L129"/>
    </row>
    <row r="130" spans="5:12" x14ac:dyDescent="0.2">
      <c r="E130"/>
      <c r="F130"/>
      <c r="G130"/>
      <c r="L130"/>
    </row>
    <row r="131" spans="5:12" x14ac:dyDescent="0.2">
      <c r="E131"/>
      <c r="F131"/>
      <c r="G131"/>
      <c r="L131"/>
    </row>
    <row r="132" spans="5:12" x14ac:dyDescent="0.2">
      <c r="E132"/>
      <c r="F132"/>
      <c r="G132"/>
      <c r="L132"/>
    </row>
    <row r="133" spans="5:12" x14ac:dyDescent="0.2">
      <c r="E133"/>
      <c r="F133"/>
      <c r="G133"/>
      <c r="L133"/>
    </row>
    <row r="134" spans="5:12" x14ac:dyDescent="0.2">
      <c r="E134"/>
      <c r="F134"/>
      <c r="G134"/>
      <c r="L134"/>
    </row>
    <row r="135" spans="5:12" x14ac:dyDescent="0.2">
      <c r="E135"/>
      <c r="F135"/>
      <c r="G135"/>
      <c r="L135"/>
    </row>
    <row r="136" spans="5:12" x14ac:dyDescent="0.2">
      <c r="E136"/>
      <c r="F136"/>
      <c r="G136"/>
      <c r="L136"/>
    </row>
    <row r="137" spans="5:12" x14ac:dyDescent="0.2">
      <c r="E137"/>
      <c r="F137"/>
      <c r="G137"/>
      <c r="L137"/>
    </row>
    <row r="138" spans="5:12" x14ac:dyDescent="0.2">
      <c r="E138"/>
      <c r="F138"/>
      <c r="G138"/>
      <c r="L138"/>
    </row>
    <row r="139" spans="5:12" x14ac:dyDescent="0.2">
      <c r="E139"/>
      <c r="F139"/>
      <c r="G139"/>
      <c r="L139"/>
    </row>
    <row r="140" spans="5:12" x14ac:dyDescent="0.2">
      <c r="E140"/>
      <c r="F140"/>
      <c r="G140"/>
      <c r="L140"/>
    </row>
    <row r="141" spans="5:12" x14ac:dyDescent="0.2">
      <c r="E141"/>
      <c r="F141"/>
      <c r="G141"/>
      <c r="L141"/>
    </row>
    <row r="142" spans="5:12" x14ac:dyDescent="0.2">
      <c r="E142"/>
      <c r="F142"/>
      <c r="G142"/>
      <c r="L142"/>
    </row>
    <row r="143" spans="5:12" x14ac:dyDescent="0.2">
      <c r="E143"/>
      <c r="F143"/>
      <c r="G143"/>
      <c r="L143"/>
    </row>
    <row r="144" spans="5:12" x14ac:dyDescent="0.2">
      <c r="E144"/>
      <c r="F144"/>
      <c r="G144"/>
      <c r="L144"/>
    </row>
    <row r="145" spans="5:12" x14ac:dyDescent="0.2">
      <c r="E145"/>
      <c r="F145"/>
      <c r="G145"/>
      <c r="L145"/>
    </row>
    <row r="146" spans="5:12" x14ac:dyDescent="0.2">
      <c r="E146"/>
      <c r="F146"/>
      <c r="G146"/>
      <c r="L146"/>
    </row>
    <row r="147" spans="5:12" x14ac:dyDescent="0.2">
      <c r="E147"/>
      <c r="F147"/>
      <c r="G147"/>
      <c r="L147"/>
    </row>
    <row r="148" spans="5:12" x14ac:dyDescent="0.2">
      <c r="E148"/>
      <c r="F148"/>
      <c r="G148"/>
      <c r="L148"/>
    </row>
    <row r="149" spans="5:12" x14ac:dyDescent="0.2">
      <c r="E149"/>
      <c r="F149"/>
      <c r="G149"/>
      <c r="L149"/>
    </row>
    <row r="150" spans="5:12" x14ac:dyDescent="0.2">
      <c r="E150"/>
      <c r="F150"/>
      <c r="G150"/>
      <c r="L150"/>
    </row>
    <row r="151" spans="5:12" x14ac:dyDescent="0.2">
      <c r="E151"/>
      <c r="F151"/>
      <c r="G151"/>
      <c r="L151"/>
    </row>
    <row r="152" spans="5:12" x14ac:dyDescent="0.2">
      <c r="E152"/>
      <c r="F152"/>
      <c r="G152"/>
      <c r="L152"/>
    </row>
    <row r="153" spans="5:12" x14ac:dyDescent="0.2">
      <c r="E153"/>
      <c r="F153"/>
      <c r="G153"/>
      <c r="L153"/>
    </row>
    <row r="154" spans="5:12" x14ac:dyDescent="0.2">
      <c r="E154"/>
      <c r="F154"/>
      <c r="G154"/>
      <c r="L154"/>
    </row>
    <row r="155" spans="5:12" x14ac:dyDescent="0.2">
      <c r="E155"/>
      <c r="F155"/>
      <c r="G155"/>
      <c r="L155"/>
    </row>
    <row r="156" spans="5:12" x14ac:dyDescent="0.2">
      <c r="E156"/>
      <c r="F156"/>
      <c r="G156"/>
      <c r="L156"/>
    </row>
    <row r="157" spans="5:12" x14ac:dyDescent="0.2">
      <c r="E157"/>
      <c r="F157"/>
      <c r="G157"/>
      <c r="L157"/>
    </row>
    <row r="158" spans="5:12" x14ac:dyDescent="0.2">
      <c r="E158"/>
      <c r="F158"/>
      <c r="G158"/>
      <c r="L158"/>
    </row>
    <row r="159" spans="5:12" x14ac:dyDescent="0.2">
      <c r="E159"/>
      <c r="F159"/>
      <c r="G159"/>
      <c r="L159"/>
    </row>
    <row r="160" spans="5:12" x14ac:dyDescent="0.2">
      <c r="E160"/>
      <c r="F160"/>
      <c r="G160"/>
      <c r="L160"/>
    </row>
    <row r="161" spans="5:12" x14ac:dyDescent="0.2">
      <c r="E161"/>
      <c r="F161"/>
      <c r="G161"/>
      <c r="L161"/>
    </row>
    <row r="162" spans="5:12" x14ac:dyDescent="0.2">
      <c r="E162"/>
      <c r="F162"/>
      <c r="G162"/>
      <c r="L162"/>
    </row>
    <row r="163" spans="5:12" x14ac:dyDescent="0.2">
      <c r="E163"/>
      <c r="F163"/>
      <c r="G163"/>
      <c r="L163"/>
    </row>
    <row r="164" spans="5:12" x14ac:dyDescent="0.2">
      <c r="E164"/>
      <c r="F164"/>
      <c r="G164"/>
      <c r="L164"/>
    </row>
    <row r="165" spans="5:12" x14ac:dyDescent="0.2">
      <c r="E165"/>
      <c r="F165"/>
      <c r="G165"/>
      <c r="L165"/>
    </row>
    <row r="166" spans="5:12" x14ac:dyDescent="0.2">
      <c r="E166"/>
      <c r="F166"/>
      <c r="G166"/>
      <c r="L166"/>
    </row>
    <row r="167" spans="5:12" x14ac:dyDescent="0.2">
      <c r="E167"/>
      <c r="F167"/>
      <c r="G167"/>
      <c r="L167"/>
    </row>
    <row r="168" spans="5:12" x14ac:dyDescent="0.2">
      <c r="E168"/>
      <c r="F168"/>
      <c r="G168"/>
      <c r="L168"/>
    </row>
    <row r="169" spans="5:12" x14ac:dyDescent="0.2">
      <c r="E169"/>
      <c r="F169"/>
      <c r="G169"/>
      <c r="L169"/>
    </row>
    <row r="170" spans="5:12" x14ac:dyDescent="0.2">
      <c r="E170"/>
      <c r="F170"/>
      <c r="G170"/>
      <c r="L170"/>
    </row>
    <row r="171" spans="5:12" x14ac:dyDescent="0.2">
      <c r="E171"/>
      <c r="F171"/>
      <c r="G171"/>
      <c r="L171"/>
    </row>
    <row r="172" spans="5:12" x14ac:dyDescent="0.2">
      <c r="E172"/>
      <c r="F172"/>
      <c r="G172"/>
      <c r="L172"/>
    </row>
    <row r="173" spans="5:12" x14ac:dyDescent="0.2">
      <c r="E173"/>
      <c r="F173"/>
      <c r="G173"/>
      <c r="L173"/>
    </row>
    <row r="174" spans="5:12" x14ac:dyDescent="0.2">
      <c r="E174"/>
      <c r="F174"/>
      <c r="G174"/>
      <c r="L174"/>
    </row>
    <row r="175" spans="5:12" x14ac:dyDescent="0.2">
      <c r="E175"/>
      <c r="F175"/>
      <c r="G175"/>
      <c r="L175"/>
    </row>
    <row r="176" spans="5:12" x14ac:dyDescent="0.2">
      <c r="E176"/>
      <c r="F176"/>
      <c r="G176"/>
      <c r="L176"/>
    </row>
    <row r="177" spans="5:12" x14ac:dyDescent="0.2">
      <c r="E177"/>
      <c r="F177"/>
      <c r="G177"/>
      <c r="L177"/>
    </row>
    <row r="178" spans="5:12" x14ac:dyDescent="0.2">
      <c r="E178"/>
      <c r="F178"/>
      <c r="G178"/>
      <c r="L178"/>
    </row>
    <row r="179" spans="5:12" x14ac:dyDescent="0.2">
      <c r="E179"/>
      <c r="F179"/>
      <c r="G179"/>
      <c r="L179"/>
    </row>
    <row r="180" spans="5:12" x14ac:dyDescent="0.2">
      <c r="E180"/>
      <c r="F180"/>
      <c r="G180"/>
      <c r="L180"/>
    </row>
    <row r="181" spans="5:12" x14ac:dyDescent="0.2">
      <c r="E181"/>
      <c r="F181"/>
      <c r="G181"/>
      <c r="L181"/>
    </row>
    <row r="182" spans="5:12" x14ac:dyDescent="0.2">
      <c r="E182"/>
      <c r="F182"/>
      <c r="G182"/>
      <c r="L182"/>
    </row>
    <row r="183" spans="5:12" x14ac:dyDescent="0.2">
      <c r="E183"/>
      <c r="F183"/>
      <c r="G183"/>
      <c r="L183"/>
    </row>
    <row r="184" spans="5:12" x14ac:dyDescent="0.2">
      <c r="E184"/>
      <c r="F184"/>
      <c r="G184"/>
      <c r="L184"/>
    </row>
    <row r="185" spans="5:12" x14ac:dyDescent="0.2">
      <c r="E185"/>
      <c r="F185"/>
      <c r="G185"/>
      <c r="L185"/>
    </row>
    <row r="186" spans="5:12" x14ac:dyDescent="0.2">
      <c r="E186"/>
      <c r="F186"/>
      <c r="G186"/>
      <c r="L186"/>
    </row>
    <row r="187" spans="5:12" x14ac:dyDescent="0.2">
      <c r="E187"/>
      <c r="F187"/>
      <c r="G187"/>
      <c r="L187"/>
    </row>
    <row r="188" spans="5:12" x14ac:dyDescent="0.2">
      <c r="E188"/>
      <c r="F188"/>
      <c r="G188"/>
      <c r="L188"/>
    </row>
    <row r="189" spans="5:12" x14ac:dyDescent="0.2">
      <c r="E189"/>
      <c r="F189"/>
      <c r="G189"/>
      <c r="L189"/>
    </row>
    <row r="190" spans="5:12" x14ac:dyDescent="0.2">
      <c r="E190"/>
      <c r="F190"/>
      <c r="G190"/>
      <c r="L190"/>
    </row>
    <row r="191" spans="5:12" x14ac:dyDescent="0.2">
      <c r="E191"/>
      <c r="F191"/>
      <c r="G191"/>
      <c r="L191"/>
    </row>
    <row r="192" spans="5:12" x14ac:dyDescent="0.2">
      <c r="E192"/>
      <c r="F192"/>
      <c r="G192"/>
      <c r="L192"/>
    </row>
    <row r="193" spans="5:12" x14ac:dyDescent="0.2">
      <c r="E193"/>
      <c r="F193"/>
      <c r="G193"/>
      <c r="L193"/>
    </row>
    <row r="194" spans="5:12" x14ac:dyDescent="0.2">
      <c r="E194"/>
      <c r="F194"/>
      <c r="G194"/>
      <c r="L194"/>
    </row>
    <row r="195" spans="5:12" x14ac:dyDescent="0.2">
      <c r="E195"/>
      <c r="F195"/>
      <c r="G195"/>
      <c r="L195"/>
    </row>
    <row r="196" spans="5:12" x14ac:dyDescent="0.2">
      <c r="E196"/>
      <c r="F196"/>
      <c r="G196"/>
      <c r="L196"/>
    </row>
    <row r="197" spans="5:12" x14ac:dyDescent="0.2">
      <c r="E197"/>
      <c r="F197"/>
      <c r="G197"/>
      <c r="L197"/>
    </row>
    <row r="198" spans="5:12" x14ac:dyDescent="0.2">
      <c r="E198"/>
      <c r="F198"/>
      <c r="G198"/>
      <c r="L198"/>
    </row>
    <row r="199" spans="5:12" x14ac:dyDescent="0.2">
      <c r="E199"/>
      <c r="F199"/>
      <c r="G199"/>
      <c r="L199"/>
    </row>
    <row r="200" spans="5:12" x14ac:dyDescent="0.2">
      <c r="E200"/>
      <c r="F200"/>
      <c r="G200"/>
      <c r="L200"/>
    </row>
    <row r="201" spans="5:12" x14ac:dyDescent="0.2">
      <c r="E201"/>
      <c r="F201"/>
      <c r="G201"/>
      <c r="L201"/>
    </row>
    <row r="202" spans="5:12" x14ac:dyDescent="0.2">
      <c r="E202"/>
      <c r="F202"/>
      <c r="G202"/>
      <c r="L202"/>
    </row>
    <row r="203" spans="5:12" x14ac:dyDescent="0.2">
      <c r="E203"/>
      <c r="F203"/>
      <c r="G203"/>
      <c r="L203"/>
    </row>
    <row r="204" spans="5:12" x14ac:dyDescent="0.2">
      <c r="E204"/>
      <c r="F204"/>
      <c r="G204"/>
      <c r="L204"/>
    </row>
    <row r="205" spans="5:12" x14ac:dyDescent="0.2">
      <c r="E205"/>
      <c r="F205"/>
      <c r="G205"/>
      <c r="L205"/>
    </row>
    <row r="206" spans="5:12" x14ac:dyDescent="0.2">
      <c r="E206"/>
      <c r="F206"/>
      <c r="G206"/>
      <c r="L206"/>
    </row>
    <row r="207" spans="5:12" x14ac:dyDescent="0.2">
      <c r="E207"/>
      <c r="F207"/>
      <c r="G207"/>
      <c r="L207"/>
    </row>
    <row r="208" spans="5:12" x14ac:dyDescent="0.2">
      <c r="E208"/>
      <c r="F208"/>
      <c r="G208"/>
      <c r="L208"/>
    </row>
    <row r="209" spans="5:12" x14ac:dyDescent="0.2">
      <c r="E209"/>
      <c r="F209"/>
      <c r="G209"/>
      <c r="L209"/>
    </row>
    <row r="210" spans="5:12" x14ac:dyDescent="0.2">
      <c r="E210"/>
      <c r="F210"/>
      <c r="G210"/>
      <c r="L210"/>
    </row>
    <row r="211" spans="5:12" x14ac:dyDescent="0.2">
      <c r="E211"/>
      <c r="F211"/>
      <c r="G211"/>
      <c r="L211"/>
    </row>
    <row r="212" spans="5:12" x14ac:dyDescent="0.2">
      <c r="E212"/>
      <c r="F212"/>
      <c r="G212"/>
      <c r="L212"/>
    </row>
    <row r="213" spans="5:12" x14ac:dyDescent="0.2">
      <c r="E213"/>
      <c r="F213"/>
      <c r="G213"/>
      <c r="L213"/>
    </row>
    <row r="214" spans="5:12" x14ac:dyDescent="0.2">
      <c r="E214"/>
      <c r="F214"/>
      <c r="G214"/>
      <c r="L214"/>
    </row>
    <row r="215" spans="5:12" x14ac:dyDescent="0.2">
      <c r="E215"/>
      <c r="F215"/>
      <c r="G215"/>
      <c r="L215"/>
    </row>
    <row r="216" spans="5:12" x14ac:dyDescent="0.2">
      <c r="E216"/>
      <c r="F216"/>
      <c r="G216"/>
      <c r="L216"/>
    </row>
    <row r="217" spans="5:12" x14ac:dyDescent="0.2">
      <c r="E217"/>
      <c r="F217"/>
      <c r="G217"/>
      <c r="L217"/>
    </row>
    <row r="218" spans="5:12" x14ac:dyDescent="0.2">
      <c r="E218"/>
      <c r="F218"/>
      <c r="G218"/>
      <c r="L218"/>
    </row>
    <row r="219" spans="5:12" x14ac:dyDescent="0.2">
      <c r="E219"/>
      <c r="F219"/>
      <c r="G219"/>
      <c r="L219"/>
    </row>
    <row r="220" spans="5:12" x14ac:dyDescent="0.2">
      <c r="E220"/>
      <c r="F220"/>
      <c r="G220"/>
      <c r="L220"/>
    </row>
    <row r="221" spans="5:12" x14ac:dyDescent="0.2">
      <c r="E221"/>
      <c r="F221"/>
      <c r="G221"/>
      <c r="L221"/>
    </row>
    <row r="222" spans="5:12" x14ac:dyDescent="0.2">
      <c r="E222"/>
      <c r="F222"/>
      <c r="G222"/>
      <c r="L222"/>
    </row>
    <row r="223" spans="5:12" x14ac:dyDescent="0.2">
      <c r="E223"/>
      <c r="F223"/>
      <c r="G223"/>
      <c r="L223"/>
    </row>
    <row r="224" spans="5:12" x14ac:dyDescent="0.2">
      <c r="E224"/>
      <c r="F224"/>
      <c r="G224"/>
      <c r="L224"/>
    </row>
    <row r="225" spans="5:12" x14ac:dyDescent="0.2">
      <c r="E225"/>
      <c r="F225"/>
      <c r="G225"/>
      <c r="L225"/>
    </row>
    <row r="226" spans="5:12" x14ac:dyDescent="0.2">
      <c r="E226"/>
      <c r="F226"/>
      <c r="G226"/>
      <c r="L226"/>
    </row>
    <row r="227" spans="5:12" x14ac:dyDescent="0.2">
      <c r="E227"/>
      <c r="F227"/>
      <c r="G227"/>
      <c r="L227"/>
    </row>
    <row r="228" spans="5:12" x14ac:dyDescent="0.2">
      <c r="E228"/>
      <c r="F228"/>
      <c r="G228"/>
      <c r="L228"/>
    </row>
    <row r="229" spans="5:12" x14ac:dyDescent="0.2">
      <c r="E229"/>
      <c r="F229"/>
      <c r="G229"/>
      <c r="L229"/>
    </row>
    <row r="230" spans="5:12" x14ac:dyDescent="0.2">
      <c r="E230"/>
      <c r="F230"/>
      <c r="G230"/>
      <c r="L230"/>
    </row>
    <row r="231" spans="5:12" x14ac:dyDescent="0.2">
      <c r="E231"/>
      <c r="F231"/>
      <c r="G231"/>
      <c r="L231"/>
    </row>
    <row r="232" spans="5:12" x14ac:dyDescent="0.2">
      <c r="E232"/>
      <c r="F232"/>
      <c r="G232"/>
      <c r="L232"/>
    </row>
    <row r="233" spans="5:12" x14ac:dyDescent="0.2">
      <c r="E233"/>
      <c r="F233"/>
      <c r="G233"/>
      <c r="L233"/>
    </row>
    <row r="234" spans="5:12" x14ac:dyDescent="0.2">
      <c r="E234"/>
      <c r="F234"/>
      <c r="G234"/>
      <c r="L234"/>
    </row>
    <row r="235" spans="5:12" x14ac:dyDescent="0.2">
      <c r="E235"/>
      <c r="F235"/>
      <c r="G235"/>
      <c r="L235"/>
    </row>
    <row r="236" spans="5:12" x14ac:dyDescent="0.2">
      <c r="E236"/>
      <c r="F236"/>
      <c r="G236"/>
      <c r="L236"/>
    </row>
    <row r="237" spans="5:12" x14ac:dyDescent="0.2">
      <c r="E237"/>
      <c r="F237"/>
      <c r="G237"/>
      <c r="L237"/>
    </row>
    <row r="238" spans="5:12" x14ac:dyDescent="0.2">
      <c r="E238"/>
      <c r="F238"/>
      <c r="G238"/>
      <c r="L238"/>
    </row>
    <row r="239" spans="5:12" x14ac:dyDescent="0.2">
      <c r="E239"/>
      <c r="F239"/>
      <c r="G239"/>
      <c r="L239"/>
    </row>
    <row r="240" spans="5:12" x14ac:dyDescent="0.2">
      <c r="E240"/>
      <c r="F240"/>
      <c r="G240"/>
      <c r="L240"/>
    </row>
    <row r="241" spans="5:12" x14ac:dyDescent="0.2">
      <c r="E241"/>
      <c r="F241"/>
      <c r="G241"/>
      <c r="L241"/>
    </row>
    <row r="242" spans="5:12" x14ac:dyDescent="0.2">
      <c r="E242"/>
      <c r="F242"/>
      <c r="G242"/>
      <c r="L2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DDE</vt:lpstr>
      <vt:lpstr>Data</vt:lpstr>
      <vt:lpstr>Cash Projection</vt:lpstr>
      <vt:lpstr>SCBSFF</vt:lpstr>
      <vt:lpstr>Auction_3M</vt:lpstr>
      <vt:lpstr>Sheet3</vt:lpstr>
      <vt:lpstr>Portfolio 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2018-10-03T10:47:45Z</dcterms:created>
  <dcterms:modified xsi:type="dcterms:W3CDTF">2018-10-04T10:59:35Z</dcterms:modified>
</cp:coreProperties>
</file>