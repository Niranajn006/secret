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 files\"/>
    </mc:Choice>
  </mc:AlternateContent>
  <xr:revisionPtr revIDLastSave="0" documentId="10_ncr:100000_{E9A1C0B5-B07F-4001-9F58-1D8764DFC454}" xr6:coauthVersionLast="31" xr6:coauthVersionMax="31" xr10:uidLastSave="{00000000-0000-0000-0000-000000000000}"/>
  <bookViews>
    <workbookView xWindow="0" yWindow="0" windowWidth="20490" windowHeight="7245" xr2:uid="{E08E77EE-9924-47FE-AAE7-6DCE3B0B614C}"/>
  </bookViews>
  <sheets>
    <sheet name="Main" sheetId="4" r:id="rId1"/>
    <sheet name="Raw" sheetId="6" r:id="rId2"/>
    <sheet name="Data" sheetId="2" r:id="rId3"/>
    <sheet name="DDE" sheetId="1" r:id="rId4"/>
    <sheet name="Cash Projection" sheetId="3" r:id="rId5"/>
    <sheet name="SCBRM1" sheetId="7" r:id="rId6"/>
    <sheet name="SCBSFF" sheetId="8" r:id="rId7"/>
  </sheets>
  <externalReferences>
    <externalReference r:id="rId8"/>
  </externalReferences>
  <definedNames>
    <definedName name="_xlnm._FilterDatabase" localSheetId="1" hidden="1">Raw!$A$1:$H$880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4" l="1" a="1"/>
  <c r="H10" i="4" s="1"/>
  <c r="I10" i="4" a="1"/>
  <c r="I10" i="4" s="1"/>
  <c r="J10" i="4" a="1"/>
  <c r="J10" i="4" s="1"/>
  <c r="K10" i="4" a="1"/>
  <c r="K10" i="4" s="1"/>
  <c r="L10" i="4" a="1"/>
  <c r="L10" i="4" s="1"/>
  <c r="H11" i="4" a="1"/>
  <c r="H11" i="4" s="1"/>
  <c r="I11" i="4" a="1"/>
  <c r="I11" i="4" s="1"/>
  <c r="J11" i="4" a="1"/>
  <c r="J11" i="4" s="1"/>
  <c r="K11" i="4" a="1"/>
  <c r="K11" i="4" s="1"/>
  <c r="L11" i="4" a="1"/>
  <c r="L11" i="4" s="1"/>
  <c r="H12" i="4" a="1"/>
  <c r="H12" i="4" s="1"/>
  <c r="I12" i="4" a="1"/>
  <c r="I12" i="4" s="1"/>
  <c r="J12" i="4" a="1"/>
  <c r="J12" i="4" s="1"/>
  <c r="K12" i="4" a="1"/>
  <c r="K12" i="4" s="1"/>
  <c r="L12" i="4" a="1"/>
  <c r="L12" i="4" s="1"/>
  <c r="I9" i="4" a="1"/>
  <c r="I9" i="4" s="1"/>
  <c r="J9" i="4" a="1"/>
  <c r="J9" i="4" s="1"/>
  <c r="K9" i="4" a="1"/>
  <c r="K9" i="4" s="1"/>
  <c r="L9" i="4" a="1"/>
  <c r="L9" i="4" s="1"/>
  <c r="H9" i="4" a="1"/>
  <c r="H9" i="4" s="1"/>
  <c r="K777" i="6"/>
  <c r="G9" i="4" l="1" a="1"/>
  <c r="G9" i="4" s="1"/>
  <c r="G12" i="4" l="1"/>
  <c r="G11" i="4"/>
  <c r="G10" i="4"/>
  <c r="B5" i="7"/>
  <c r="D2" i="4"/>
  <c r="C5" i="7"/>
  <c r="A2" i="7" l="1"/>
</calcChain>
</file>

<file path=xl/sharedStrings.xml><?xml version="1.0" encoding="utf-8"?>
<sst xmlns="http://schemas.openxmlformats.org/spreadsheetml/2006/main" count="7537" uniqueCount="564">
  <si>
    <t>HLD_Date</t>
  </si>
  <si>
    <t>HLD_Portfolio</t>
  </si>
  <si>
    <t>Group1</t>
  </si>
  <si>
    <t>Group2</t>
  </si>
  <si>
    <t>Group3</t>
  </si>
  <si>
    <t>HLD_SecCode</t>
  </si>
  <si>
    <t>HLD_Issuer</t>
  </si>
  <si>
    <t>HLD_Rating</t>
  </si>
  <si>
    <t>HLD_MaturityDate</t>
  </si>
  <si>
    <t>HLD_MarketValue</t>
  </si>
  <si>
    <t>HLD_AI</t>
  </si>
  <si>
    <t>HLD_Cost</t>
  </si>
  <si>
    <t>HLD_ModDuration</t>
  </si>
  <si>
    <t>HLD_YieldCost</t>
  </si>
  <si>
    <t>SEC_Class</t>
  </si>
  <si>
    <t>SEC_Currency</t>
  </si>
  <si>
    <t>SEC_Issue_Date</t>
  </si>
  <si>
    <t>SCBSFF</t>
  </si>
  <si>
    <t>FIXED INCOME</t>
  </si>
  <si>
    <t>CUSTODIAN BANK</t>
  </si>
  <si>
    <t>CASH</t>
  </si>
  <si>
    <t>BAY</t>
  </si>
  <si>
    <t>Cash Bal</t>
  </si>
  <si>
    <t>THB</t>
  </si>
  <si>
    <t>MTF</t>
  </si>
  <si>
    <t>-CNY CASH-</t>
  </si>
  <si>
    <t>SCB</t>
  </si>
  <si>
    <t>AA+(tha)</t>
  </si>
  <si>
    <t>CNHbb</t>
  </si>
  <si>
    <t>BBB+</t>
  </si>
  <si>
    <t>-EUR CASH-</t>
  </si>
  <si>
    <t>EURbb</t>
  </si>
  <si>
    <t>-HKD CASH-</t>
  </si>
  <si>
    <t>HKDbb</t>
  </si>
  <si>
    <t>-SACON SFF</t>
  </si>
  <si>
    <t>BBB</t>
  </si>
  <si>
    <t>-US CASH-</t>
  </si>
  <si>
    <t>USDbb</t>
  </si>
  <si>
    <t>TERM &amp; SAVING DEPOSIT</t>
  </si>
  <si>
    <t>CD12MTBANK14519</t>
  </si>
  <si>
    <t>TBANK</t>
  </si>
  <si>
    <t>AA-</t>
  </si>
  <si>
    <t>Bond</t>
  </si>
  <si>
    <t>AA-(tha)</t>
  </si>
  <si>
    <t>CD9MTBANK11619</t>
  </si>
  <si>
    <t>F12MABCHK100519</t>
  </si>
  <si>
    <t>ABCHK</t>
  </si>
  <si>
    <t>A</t>
  </si>
  <si>
    <t>F12MABCHK250419</t>
  </si>
  <si>
    <t>F12MADCB061118b</t>
  </si>
  <si>
    <t>ADCB</t>
  </si>
  <si>
    <t>A+</t>
  </si>
  <si>
    <t>F12MADCB161018</t>
  </si>
  <si>
    <t>F12MBOCMC040419</t>
  </si>
  <si>
    <t>BOC MACAU</t>
  </si>
  <si>
    <t>F12MBOCMC110419</t>
  </si>
  <si>
    <t>F12MBOCMC250419</t>
  </si>
  <si>
    <t>F12MGHB020819a</t>
  </si>
  <si>
    <t>GHB</t>
  </si>
  <si>
    <t>AAA(tha)</t>
  </si>
  <si>
    <t>F12MGHB060819</t>
  </si>
  <si>
    <t>F12MGHB090819</t>
  </si>
  <si>
    <t>F12MGHB141218</t>
  </si>
  <si>
    <t>F12MGHB160119</t>
  </si>
  <si>
    <t>F12MGHB170119</t>
  </si>
  <si>
    <t>F12MGHB180119</t>
  </si>
  <si>
    <t>F12MGHB210119</t>
  </si>
  <si>
    <t>F3MABCHK161018</t>
  </si>
  <si>
    <t>F6MBOCMC051118</t>
  </si>
  <si>
    <t>F6MBOCMC190319</t>
  </si>
  <si>
    <t>INVCTISCOsff1</t>
  </si>
  <si>
    <t>TISCOB</t>
  </si>
  <si>
    <t>INVSKTBsff</t>
  </si>
  <si>
    <t>KTB</t>
  </si>
  <si>
    <t>INVSUOBTsff</t>
  </si>
  <si>
    <t>UOBT</t>
  </si>
  <si>
    <t>S4MSCB030119</t>
  </si>
  <si>
    <t>BILL OF EXCHANGE</t>
  </si>
  <si>
    <t>MBKET18D18A</t>
  </si>
  <si>
    <t>MBKET</t>
  </si>
  <si>
    <t>MPSC18O09B</t>
  </si>
  <si>
    <t>MP</t>
  </si>
  <si>
    <t>MPSC18O09C</t>
  </si>
  <si>
    <t>SPALI19218A</t>
  </si>
  <si>
    <t>SPALI</t>
  </si>
  <si>
    <t>TREASURY BILL</t>
  </si>
  <si>
    <t>TB18N14A</t>
  </si>
  <si>
    <t>GOVERNMENT</t>
  </si>
  <si>
    <t>TB19403A</t>
  </si>
  <si>
    <t>BOT BOND</t>
  </si>
  <si>
    <t>CB18D06C</t>
  </si>
  <si>
    <t>BOT</t>
  </si>
  <si>
    <t>CB18D13B</t>
  </si>
  <si>
    <t>CB18D20B</t>
  </si>
  <si>
    <t>CB18N01B</t>
  </si>
  <si>
    <t>CB18N08A</t>
  </si>
  <si>
    <t>CB18N08B</t>
  </si>
  <si>
    <t>CB18N15A</t>
  </si>
  <si>
    <t>CB18N15B</t>
  </si>
  <si>
    <t>CB18N22A</t>
  </si>
  <si>
    <t>CB18N22B</t>
  </si>
  <si>
    <t>CB18N29A</t>
  </si>
  <si>
    <t>CB18N29B</t>
  </si>
  <si>
    <t>CB18O09A</t>
  </si>
  <si>
    <t>CB18O11A</t>
  </si>
  <si>
    <t>CB18O11B</t>
  </si>
  <si>
    <t>CB18O16A</t>
  </si>
  <si>
    <t>CB18O18A</t>
  </si>
  <si>
    <t>CB18O18B</t>
  </si>
  <si>
    <t>CB18O25A</t>
  </si>
  <si>
    <t>CB18O25B</t>
  </si>
  <si>
    <t>CB19103B</t>
  </si>
  <si>
    <t>DEBENTURE</t>
  </si>
  <si>
    <t>CPALL18OB</t>
  </si>
  <si>
    <t>CPALL</t>
  </si>
  <si>
    <t>BOND</t>
  </si>
  <si>
    <t>DERIVATIVE</t>
  </si>
  <si>
    <t>FORWARD</t>
  </si>
  <si>
    <t>FWCNHTHB19404A</t>
  </si>
  <si>
    <t>Future</t>
  </si>
  <si>
    <t>FWCNHTHB19411A</t>
  </si>
  <si>
    <t>FWEURTHB18N05B</t>
  </si>
  <si>
    <t>FWEURTHB19319B</t>
  </si>
  <si>
    <t>FWEURTHB19425A</t>
  </si>
  <si>
    <t>FWEURTHB19510A</t>
  </si>
  <si>
    <t>KKP</t>
  </si>
  <si>
    <t>A-</t>
  </si>
  <si>
    <t>FWUSDTHB18N06C</t>
  </si>
  <si>
    <t>FWUSDTHB18O16A</t>
  </si>
  <si>
    <t>FWUSDTHB18O16C</t>
  </si>
  <si>
    <t>FWUSDTHB19425A</t>
  </si>
  <si>
    <t>ACCRUED RECEIVE</t>
  </si>
  <si>
    <t>UNSETTLE AMOR.</t>
  </si>
  <si>
    <t>AR/AP</t>
  </si>
  <si>
    <t>SCBAM</t>
  </si>
  <si>
    <t>ACCRUED PAYABLE</t>
  </si>
  <si>
    <t>BUY SECURITY</t>
  </si>
  <si>
    <t>Settle Date :08/10/2018</t>
  </si>
  <si>
    <t>AUDITING FEE</t>
  </si>
  <si>
    <t>TAX</t>
  </si>
  <si>
    <t>A NEWSPAPER_NAV</t>
  </si>
  <si>
    <t>CUSTODIAN FEE</t>
  </si>
  <si>
    <t>MANAGEMENT FEE</t>
  </si>
  <si>
    <t>REGISTRAR FEE</t>
  </si>
  <si>
    <t>FEES</t>
  </si>
  <si>
    <t>Portfolio List</t>
  </si>
  <si>
    <t>SCBSFFPLUS</t>
  </si>
  <si>
    <t>SCBTMF</t>
  </si>
  <si>
    <t>SCBTMFPLUS</t>
  </si>
  <si>
    <t>-AED CASH-</t>
  </si>
  <si>
    <t>-CASH-</t>
  </si>
  <si>
    <t>AEDbb</t>
  </si>
  <si>
    <t>-GBP CASH-</t>
  </si>
  <si>
    <t>KBANK</t>
  </si>
  <si>
    <t>GBPbb</t>
  </si>
  <si>
    <t>-JPY CASH-</t>
  </si>
  <si>
    <t>JPYbb</t>
  </si>
  <si>
    <t>CD12MCMBL010219</t>
  </si>
  <si>
    <t>CMBLUX</t>
  </si>
  <si>
    <t>CD12MICBCD16119</t>
  </si>
  <si>
    <t>ICBCDUBAI</t>
  </si>
  <si>
    <t>CD12MTBANK17519</t>
  </si>
  <si>
    <t>CD1YBOCHK060319</t>
  </si>
  <si>
    <t>BOC HK</t>
  </si>
  <si>
    <t>CD1YBOCHK071218</t>
  </si>
  <si>
    <t>CD1YICBCSE08219</t>
  </si>
  <si>
    <t>ICBCSEOUL</t>
  </si>
  <si>
    <t>F12MABCHK130219</t>
  </si>
  <si>
    <t>F12MABCHK220319</t>
  </si>
  <si>
    <t>F12MABCHK230519</t>
  </si>
  <si>
    <t>F12MABCHK250619</t>
  </si>
  <si>
    <t>F12MABCHK260419</t>
  </si>
  <si>
    <t>F12MABCHK270319</t>
  </si>
  <si>
    <t>F12MABCHK280319</t>
  </si>
  <si>
    <t>F12MABCHK310119</t>
  </si>
  <si>
    <t>F12MABCHK310519</t>
  </si>
  <si>
    <t>F12MADCB181218a</t>
  </si>
  <si>
    <t>F12MBOCMC02519b</t>
  </si>
  <si>
    <t>F12MBOCMC080119</t>
  </si>
  <si>
    <t>F12MBOCMC090119</t>
  </si>
  <si>
    <t>F12MBOCMC181218</t>
  </si>
  <si>
    <t>F12MBOCMC280619</t>
  </si>
  <si>
    <t>F12MGHB010819</t>
  </si>
  <si>
    <t>F12MGHB020819</t>
  </si>
  <si>
    <t>F12MGHB260719</t>
  </si>
  <si>
    <t>F12MUNB011019</t>
  </si>
  <si>
    <t>UNB</t>
  </si>
  <si>
    <t>F12MUNB021019a</t>
  </si>
  <si>
    <t>F3MABCHK221018</t>
  </si>
  <si>
    <t>F6MABCHK120319</t>
  </si>
  <si>
    <t>F6MADCB251018</t>
  </si>
  <si>
    <t>F6MADCB261118</t>
  </si>
  <si>
    <t>F6MBOCMC191118</t>
  </si>
  <si>
    <t>F6MBOCMC201118</t>
  </si>
  <si>
    <t>INVSKTBsffplus</t>
  </si>
  <si>
    <t>INVSSCBCYsffp</t>
  </si>
  <si>
    <t>INVSSCBUSsffp</t>
  </si>
  <si>
    <t>INVSUOBTsffplus</t>
  </si>
  <si>
    <t>BANPU19206A</t>
  </si>
  <si>
    <t>BANPU</t>
  </si>
  <si>
    <t>BTSG18N20A</t>
  </si>
  <si>
    <t>BTS</t>
  </si>
  <si>
    <t>CPF18D13A</t>
  </si>
  <si>
    <t>CPF</t>
  </si>
  <si>
    <t>CPF19129A</t>
  </si>
  <si>
    <t>CPFTH18D06A</t>
  </si>
  <si>
    <t>CPFTH</t>
  </si>
  <si>
    <t>CPFTH19326B</t>
  </si>
  <si>
    <t>CPN18N13A</t>
  </si>
  <si>
    <t>CPN</t>
  </si>
  <si>
    <t>AA</t>
  </si>
  <si>
    <t>SIRI18O24A</t>
  </si>
  <si>
    <t>SIRI</t>
  </si>
  <si>
    <t>SPALI19131A</t>
  </si>
  <si>
    <t>TISCOG18O08A</t>
  </si>
  <si>
    <t>TISCO</t>
  </si>
  <si>
    <t>CB18D13A</t>
  </si>
  <si>
    <t>CB18D27B</t>
  </si>
  <si>
    <t>CB18N01A</t>
  </si>
  <si>
    <t>CB19103A</t>
  </si>
  <si>
    <t>GOLD19NA</t>
  </si>
  <si>
    <t>GOLD</t>
  </si>
  <si>
    <t>ICBCTL19NA</t>
  </si>
  <si>
    <t>ICBCTL</t>
  </si>
  <si>
    <t>KK18N15A</t>
  </si>
  <si>
    <t>KK18N20A</t>
  </si>
  <si>
    <t>KK18N22A</t>
  </si>
  <si>
    <t>KK18N23A</t>
  </si>
  <si>
    <t>KK18N30B</t>
  </si>
  <si>
    <t>KK19118A</t>
  </si>
  <si>
    <t>KK19118B</t>
  </si>
  <si>
    <t>KK203A</t>
  </si>
  <si>
    <t>LHBANK199A</t>
  </si>
  <si>
    <t>LHB</t>
  </si>
  <si>
    <t>LHBANK203A</t>
  </si>
  <si>
    <t>MPSC18OA</t>
  </si>
  <si>
    <t>PS18NA</t>
  </si>
  <si>
    <t>PS</t>
  </si>
  <si>
    <t>QH213A</t>
  </si>
  <si>
    <t>QH</t>
  </si>
  <si>
    <t>SCB19218A</t>
  </si>
  <si>
    <t>SPALI213A</t>
  </si>
  <si>
    <t>TBEV203A</t>
  </si>
  <si>
    <t>THBEV</t>
  </si>
  <si>
    <t>TBEV213A</t>
  </si>
  <si>
    <t>THCOM19OB</t>
  </si>
  <si>
    <t>THCOM</t>
  </si>
  <si>
    <t>TISCO18NA</t>
  </si>
  <si>
    <t>TISCO198A</t>
  </si>
  <si>
    <t>TISCO205B</t>
  </si>
  <si>
    <t>TRUE192B</t>
  </si>
  <si>
    <t>TRUE</t>
  </si>
  <si>
    <t>TUC19129B</t>
  </si>
  <si>
    <t>TUC</t>
  </si>
  <si>
    <t>TUC218A</t>
  </si>
  <si>
    <t>WHA214A</t>
  </si>
  <si>
    <t>WHA</t>
  </si>
  <si>
    <t>WHART213A</t>
  </si>
  <si>
    <t>WHART</t>
  </si>
  <si>
    <t>WHAUP208A</t>
  </si>
  <si>
    <t>WHAUP</t>
  </si>
  <si>
    <t>BH18DA</t>
  </si>
  <si>
    <t>BH</t>
  </si>
  <si>
    <t>BJC206A</t>
  </si>
  <si>
    <t>BJC</t>
  </si>
  <si>
    <t>BTG19NA</t>
  </si>
  <si>
    <t>BTG</t>
  </si>
  <si>
    <t>CPALL193A</t>
  </si>
  <si>
    <t>DMT18NB</t>
  </si>
  <si>
    <t>DMT</t>
  </si>
  <si>
    <t>DMT20NA</t>
  </si>
  <si>
    <t>COMMERCIAL PAPER</t>
  </si>
  <si>
    <t>EMTNMASQ070319</t>
  </si>
  <si>
    <t>MASQ</t>
  </si>
  <si>
    <t>EMTNMASQ080519</t>
  </si>
  <si>
    <t>EMTNMASQ090419</t>
  </si>
  <si>
    <t>EMTNMASQ130519</t>
  </si>
  <si>
    <t>EMTNMASQ210319</t>
  </si>
  <si>
    <t>FWAEDTHB18D18A</t>
  </si>
  <si>
    <t>FWEURTHB18D07B</t>
  </si>
  <si>
    <t>FWEURTHB18N05A</t>
  </si>
  <si>
    <t>FWEURTHB19131A</t>
  </si>
  <si>
    <t>FWEURTHB19201A</t>
  </si>
  <si>
    <t>FWEURTHB19213A</t>
  </si>
  <si>
    <t>FWEURTHB19306A</t>
  </si>
  <si>
    <t>FWEURTHB19321A</t>
  </si>
  <si>
    <t>FWEURTHB19322A</t>
  </si>
  <si>
    <t>FWEURTHB19327A</t>
  </si>
  <si>
    <t>FWEURTHB19328A</t>
  </si>
  <si>
    <t>FWEURTHB19502B</t>
  </si>
  <si>
    <t>FWEURTHB19523A</t>
  </si>
  <si>
    <t>FWEURTHB19531A</t>
  </si>
  <si>
    <t>FWHKDTHB18O22A</t>
  </si>
  <si>
    <t>FWHKDTHB19312A</t>
  </si>
  <si>
    <t>FWUSDTHB18D18B</t>
  </si>
  <si>
    <t>CIMBT</t>
  </si>
  <si>
    <t>FWUSDTHB18N06D</t>
  </si>
  <si>
    <t>FWUSDTHB18N19A</t>
  </si>
  <si>
    <t>FWUSDTHB18N20A</t>
  </si>
  <si>
    <t>FWUSDTHB18N26A</t>
  </si>
  <si>
    <t>FWUSDTHB18O16B</t>
  </si>
  <si>
    <t>FWUSDTHB18O16D</t>
  </si>
  <si>
    <t>FWUSDTHB18O25A</t>
  </si>
  <si>
    <t>FWUSDTHB19108A</t>
  </si>
  <si>
    <t>FWUSDTHB19109A</t>
  </si>
  <si>
    <t>FWUSDTHB19116B</t>
  </si>
  <si>
    <t>FWUSDTHB19208A</t>
  </si>
  <si>
    <t>FWUSDTHB19307A</t>
  </si>
  <si>
    <t>FWUSDTHB19409A</t>
  </si>
  <si>
    <t>FWUSDTHB19426A</t>
  </si>
  <si>
    <t>FWUSDTHB19508A</t>
  </si>
  <si>
    <t>FWUSDTHB19513B</t>
  </si>
  <si>
    <t>FWUSDTHB19625A</t>
  </si>
  <si>
    <t>FWUSDTHB19628A</t>
  </si>
  <si>
    <t>FWUSDTHB19O01A</t>
  </si>
  <si>
    <t>FWUSDTHB19O02B</t>
  </si>
  <si>
    <t>A/R FROM SUB.</t>
  </si>
  <si>
    <t>F12MGHB090419</t>
  </si>
  <si>
    <t>INVSUOBTtmf</t>
  </si>
  <si>
    <t>SELL SECURITY</t>
  </si>
  <si>
    <t>กองทุนเปิดไทยพาณิชย์ตราสารรัฐตลาดเงิน พลัส</t>
  </si>
  <si>
    <t>SCB TREASURY MONEY PLUS OPEN END FUND</t>
  </si>
  <si>
    <t>F12MGHB071218</t>
  </si>
  <si>
    <t>INVSKTBtmfplus</t>
  </si>
  <si>
    <t>INVSUOBTtmfplus</t>
  </si>
  <si>
    <t>CB18D06A</t>
  </si>
  <si>
    <t>GHB18DA</t>
  </si>
  <si>
    <t>BAY193A</t>
  </si>
  <si>
    <t>AAA</t>
  </si>
  <si>
    <t>Portfolio</t>
  </si>
  <si>
    <t>DescTh</t>
  </si>
  <si>
    <t>DescEng</t>
  </si>
  <si>
    <t>Custodian</t>
  </si>
  <si>
    <t>CusFullName</t>
  </si>
  <si>
    <t>CustCurAcct</t>
  </si>
  <si>
    <t>CustSavAcct</t>
  </si>
  <si>
    <t>SCBCurAcct</t>
  </si>
  <si>
    <t>SCBSavAcct</t>
  </si>
  <si>
    <t>ProjDate</t>
  </si>
  <si>
    <t>EquityBuy</t>
  </si>
  <si>
    <t>EquitySell</t>
  </si>
  <si>
    <t>EquityDividend</t>
  </si>
  <si>
    <t>DebtBuy</t>
  </si>
  <si>
    <t>DebtSell</t>
  </si>
  <si>
    <t>DebtInterest</t>
  </si>
  <si>
    <t>CashEqBuy</t>
  </si>
  <si>
    <t>CashEqSell</t>
  </si>
  <si>
    <t>CashEqInterest</t>
  </si>
  <si>
    <t>Expense</t>
  </si>
  <si>
    <t>Application</t>
  </si>
  <si>
    <t>Redemtion</t>
  </si>
  <si>
    <t>SwitchIn</t>
  </si>
  <si>
    <t>SwitchOut</t>
  </si>
  <si>
    <t>CashBal</t>
  </si>
  <si>
    <t>CashEqBal</t>
  </si>
  <si>
    <t>Remark</t>
  </si>
  <si>
    <t>FundManager</t>
  </si>
  <si>
    <t>FundNameTh</t>
  </si>
  <si>
    <t>FundNameEng</t>
  </si>
  <si>
    <t>DataIndex</t>
  </si>
  <si>
    <t>StatusT</t>
  </si>
  <si>
    <t>EquityBuy_BahtNet</t>
  </si>
  <si>
    <t>EquitySell_BahtNet</t>
  </si>
  <si>
    <t>DebtBuy_BahtNet</t>
  </si>
  <si>
    <t>DebtSell_BahtNet</t>
  </si>
  <si>
    <t>CashEqBuy_BahtNet</t>
  </si>
  <si>
    <t>CashEqSell_BahtNet</t>
  </si>
  <si>
    <t>App_SCB_BahtNet</t>
  </si>
  <si>
    <t>App_Other_BahtNet</t>
  </si>
  <si>
    <t>App_SCB_Cheque</t>
  </si>
  <si>
    <t>App_Other_Cheque</t>
  </si>
  <si>
    <t>CashForUse</t>
  </si>
  <si>
    <t>CashForBahtNet</t>
  </si>
  <si>
    <t>SwIn_SCB_BahtNet</t>
  </si>
  <si>
    <t>SwIn_Other_BahtNet</t>
  </si>
  <si>
    <t>SwIn_SCB_Cheque</t>
  </si>
  <si>
    <t>SwIn_Other_Cheque</t>
  </si>
  <si>
    <t>OPSECCODE</t>
  </si>
  <si>
    <t>OPSECNAME</t>
  </si>
  <si>
    <t>OPSECDATE</t>
  </si>
  <si>
    <t>OPSECTIME</t>
  </si>
  <si>
    <t>CashForBahtNet1</t>
  </si>
  <si>
    <t>CashBal_SCB</t>
  </si>
  <si>
    <t>PortClass</t>
  </si>
  <si>
    <t>ธนาคารกสิกรไทย จำกัด (มหาชน)</t>
  </si>
  <si>
    <t xml:space="preserve">   </t>
  </si>
  <si>
    <t>745-2-67119-5</t>
  </si>
  <si>
    <t>086-3-02242-9</t>
  </si>
  <si>
    <t>Pawaret</t>
  </si>
  <si>
    <t>ปวเรศร์ ตั้งอภิชาติเจริญ</t>
  </si>
  <si>
    <t>Pawaret Tangaphichartcharoen</t>
  </si>
  <si>
    <t>SCB2566</t>
  </si>
  <si>
    <t>FTC</t>
  </si>
  <si>
    <t>1.1. Subscription</t>
  </si>
  <si>
    <t>R</t>
  </si>
  <si>
    <t>1.2. Switch-in</t>
  </si>
  <si>
    <t>2.1. Redemption</t>
  </si>
  <si>
    <t>2.2. Switch-out</t>
  </si>
  <si>
    <t>SCB2576</t>
  </si>
  <si>
    <t>SCB2586</t>
  </si>
  <si>
    <t>SCBABSFUND</t>
  </si>
  <si>
    <t>SCBAEM</t>
  </si>
  <si>
    <t>SCBAEMH</t>
  </si>
  <si>
    <t>SCBAPLUSFUND</t>
  </si>
  <si>
    <t>SCBAUD</t>
  </si>
  <si>
    <t>SCBBANKINGFUND</t>
  </si>
  <si>
    <t>SCBBLN</t>
  </si>
  <si>
    <t>SCBCE</t>
  </si>
  <si>
    <t>SCBCEH</t>
  </si>
  <si>
    <t>SCBCHA</t>
  </si>
  <si>
    <t>SCBCHEQ</t>
  </si>
  <si>
    <t>SCBCOMP</t>
  </si>
  <si>
    <t>SCBDAFUND</t>
  </si>
  <si>
    <t>SCBDIGI</t>
  </si>
  <si>
    <t>SCBDVFUND</t>
  </si>
  <si>
    <t>SCBEMBOND</t>
  </si>
  <si>
    <t>SCBEMEQFUND</t>
  </si>
  <si>
    <t>SCBENERGYFUND</t>
  </si>
  <si>
    <t>SCBEUEQ</t>
  </si>
  <si>
    <t>SCBEUSM</t>
  </si>
  <si>
    <t>SCBFF1YG8</t>
  </si>
  <si>
    <t>SCBFF1YG9</t>
  </si>
  <si>
    <t>SCBFF1YK1</t>
  </si>
  <si>
    <t>1.1. Subscription (Chq)</t>
  </si>
  <si>
    <t>SCBFF6MJ9</t>
  </si>
  <si>
    <t>SCBFI6MA6</t>
  </si>
  <si>
    <t>SCBFIN</t>
  </si>
  <si>
    <t>SCBFIXED</t>
  </si>
  <si>
    <t>SCBFLX</t>
  </si>
  <si>
    <t>SCBFPFUND</t>
  </si>
  <si>
    <t>SCBFST</t>
  </si>
  <si>
    <t>SCBGEQFUND</t>
  </si>
  <si>
    <t>SCBGHC</t>
  </si>
  <si>
    <t>SCBGIF</t>
  </si>
  <si>
    <t>SCBGIN</t>
  </si>
  <si>
    <t>SCBGLOWP</t>
  </si>
  <si>
    <t>SCBGMT</t>
  </si>
  <si>
    <t>SCBGOLD</t>
  </si>
  <si>
    <t>SCBGOLDHFUND</t>
  </si>
  <si>
    <t>SCBGOLDHRMF</t>
  </si>
  <si>
    <t>SCBGPLUS</t>
  </si>
  <si>
    <t>SCBGPROP</t>
  </si>
  <si>
    <t>SCBGSIFUND</t>
  </si>
  <si>
    <t>SCBINC</t>
  </si>
  <si>
    <t>SCBINDIA</t>
  </si>
  <si>
    <t>SCBJPSM</t>
  </si>
  <si>
    <t>SCBKEQTG</t>
  </si>
  <si>
    <t>SCBLEQFUND</t>
  </si>
  <si>
    <t>SCBLT1</t>
  </si>
  <si>
    <t>SCBLT2</t>
  </si>
  <si>
    <t>SCBLT3</t>
  </si>
  <si>
    <t>SCBLT4</t>
  </si>
  <si>
    <t>SCBLTS</t>
  </si>
  <si>
    <t>SCBLTSE</t>
  </si>
  <si>
    <t>SCBLTSET</t>
  </si>
  <si>
    <t>SCBLTT</t>
  </si>
  <si>
    <t>SCBMLT</t>
  </si>
  <si>
    <t>SCBMPLUS</t>
  </si>
  <si>
    <t>SCBMSEFUND</t>
  </si>
  <si>
    <t>SCBNKY225</t>
  </si>
  <si>
    <t>SCBOILFUND</t>
  </si>
  <si>
    <t>SCBOPP</t>
  </si>
  <si>
    <t>SCBPGF</t>
  </si>
  <si>
    <t>SCBPIN</t>
  </si>
  <si>
    <t>SCBPLUS</t>
  </si>
  <si>
    <t>SCBPMOFUND</t>
  </si>
  <si>
    <t>SCBPOP</t>
  </si>
  <si>
    <t>SCBRF</t>
  </si>
  <si>
    <t>SCBRM1</t>
  </si>
  <si>
    <t>SCBRM2</t>
  </si>
  <si>
    <t>SCBRM3</t>
  </si>
  <si>
    <t>SCBRM4</t>
  </si>
  <si>
    <t>SCBRMEU</t>
  </si>
  <si>
    <t>SCBRMGHC</t>
  </si>
  <si>
    <t>SCBRMGIF</t>
  </si>
  <si>
    <t>SCBRMGWP</t>
  </si>
  <si>
    <t>SCBRMJP</t>
  </si>
  <si>
    <t>SCBRMPOP</t>
  </si>
  <si>
    <t>SCBRMS50</t>
  </si>
  <si>
    <t>SCBROBO</t>
  </si>
  <si>
    <t>SCBS&amp;P500</t>
  </si>
  <si>
    <t>SCBSEFUND</t>
  </si>
  <si>
    <t>SCBSET50FUND</t>
  </si>
  <si>
    <t>SCBSETFUND</t>
  </si>
  <si>
    <t>SCBSMART2FUND</t>
  </si>
  <si>
    <t>SCBSMART3</t>
  </si>
  <si>
    <t>SCBSMART4</t>
  </si>
  <si>
    <t>SCBST555A</t>
  </si>
  <si>
    <t>SCBST555B</t>
  </si>
  <si>
    <t>SCBTEQFUND</t>
  </si>
  <si>
    <t>SCBTHAICG</t>
  </si>
  <si>
    <t>SCBUSHY</t>
  </si>
  <si>
    <t>SCBUSSM</t>
  </si>
  <si>
    <t>SCBWIN</t>
  </si>
  <si>
    <t>CB18O24A</t>
  </si>
  <si>
    <t>Settle Date :09/10/2018</t>
  </si>
  <si>
    <t>s82810</t>
  </si>
  <si>
    <t>05/10/2018</t>
  </si>
  <si>
    <t>08:38:15 PM</t>
  </si>
  <si>
    <t>DAILY CASH PROJECTION</t>
  </si>
  <si>
    <t>Previouse business day</t>
  </si>
  <si>
    <t>DATE</t>
  </si>
  <si>
    <t>TRANSACTION</t>
  </si>
  <si>
    <t>SAVING</t>
  </si>
  <si>
    <t>BEGINNING</t>
  </si>
  <si>
    <t>ENDING</t>
  </si>
  <si>
    <t>BEGINNING BALANCE</t>
  </si>
  <si>
    <t>CASH INFLOW</t>
  </si>
  <si>
    <t>APPLICATION (BN)</t>
  </si>
  <si>
    <t>APPLICATION (Non BN)</t>
  </si>
  <si>
    <t>SWITCH IN (T+1)</t>
  </si>
  <si>
    <t>SWITCH IN (OTHER)</t>
  </si>
  <si>
    <t>DEBT MATURE &amp; SELL (BN)</t>
  </si>
  <si>
    <t>DEBT MATURE &amp; SELL (Non BN)</t>
  </si>
  <si>
    <t>DEPOSIT (BN)</t>
  </si>
  <si>
    <t>DEPOSIT (Non BN)</t>
  </si>
  <si>
    <t>INTEREST on DEPOSIT</t>
  </si>
  <si>
    <t>COUPON on BOND</t>
  </si>
  <si>
    <t>PROPOSED TRANSACTION</t>
  </si>
  <si>
    <t>TOTAL CASH INFLOW</t>
  </si>
  <si>
    <t>CASH OUTFLOW</t>
  </si>
  <si>
    <t>REDEMPTION</t>
  </si>
  <si>
    <t>SWITCH-OUT</t>
  </si>
  <si>
    <t>DEBT BUY (BN)</t>
  </si>
  <si>
    <t>DEBT BUY (Non BN)</t>
  </si>
  <si>
    <t>FEE &amp; EXPENSES</t>
  </si>
  <si>
    <t>TOTAL CASH OUTFLOW</t>
  </si>
  <si>
    <t>ENDING CASH BALANCE (Intra)</t>
  </si>
  <si>
    <t>CASH BALANCE (BOS)</t>
  </si>
  <si>
    <t>DIFFERENCE AMOUNT</t>
  </si>
  <si>
    <t>CASH USE (PROJECTION)</t>
  </si>
  <si>
    <t>CASH for BN (PROJECTION)</t>
  </si>
  <si>
    <t>TOTAL BUY-SELL</t>
  </si>
  <si>
    <t>DATASTREAM  NAV</t>
  </si>
  <si>
    <t>EXPECTED NAV</t>
  </si>
  <si>
    <t>% CASH  at FUND ACCOUNT</t>
  </si>
  <si>
    <t>Last Date Cash CRD</t>
  </si>
  <si>
    <t>If get cash crd file only</t>
  </si>
  <si>
    <t>Temp Cash CRD</t>
  </si>
  <si>
    <t>Fund List</t>
  </si>
  <si>
    <t>Lasted open file</t>
  </si>
  <si>
    <t>K:\Investment_Management\Share\Worksheet\auction\Mockup_Auction.xlsm</t>
  </si>
  <si>
    <t>K:\Investment_Management\Share\Worksheet\auction</t>
  </si>
  <si>
    <t>181008_1101CashCRD.xls</t>
  </si>
  <si>
    <t>181008_1101CashCRDDetail.xls</t>
  </si>
  <si>
    <t>181008_1101CashReport.xls</t>
  </si>
  <si>
    <t>181008_1117CashCRD.xls</t>
  </si>
  <si>
    <t>181008_1117CashCRDDetail.xls</t>
  </si>
  <si>
    <t>181008_1206CashCRD.xls</t>
  </si>
  <si>
    <t>181008_1206CashCRDDetail.xls</t>
  </si>
  <si>
    <t>181008_1206CashReport.xls</t>
  </si>
  <si>
    <t>181008_1431CashCRD.xls</t>
  </si>
  <si>
    <t>181008_1431CashCRDDetail.xls</t>
  </si>
  <si>
    <t>181008_1431CashReport.xls</t>
  </si>
  <si>
    <t>181008_1501CashCRD.xls</t>
  </si>
  <si>
    <t>181008_1501CashCRDDetail.xls</t>
  </si>
  <si>
    <t>181008_1501CashReport.xls</t>
  </si>
  <si>
    <t>181008_1531CashCRD.xls</t>
  </si>
  <si>
    <t>181008_1531CashCRDDetail.xls</t>
  </si>
  <si>
    <t>181008_1531CashReport.xls</t>
  </si>
  <si>
    <t>181008_1601CashCRD.xls</t>
  </si>
  <si>
    <t>181008_1601CashCRDDetail.xls</t>
  </si>
  <si>
    <t>181008_1601CashReport.xls</t>
  </si>
  <si>
    <t>e3e7572c.tmp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</si>
</sst>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rgb="FF3F3F76"/>
      <name val="Tahoma"/>
      <family val="2"/>
      <scheme val="minor"/>
    </font>
    <font>
      <b/>
      <sz val="11"/>
      <color theme="0"/>
      <name val="Tahoma"/>
      <family val="2"/>
      <scheme val="minor"/>
    </font>
    <font>
      <sz val="11"/>
      <color theme="0"/>
      <name val="Tahom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00CC"/>
        <bgColor indexed="64"/>
      </patternFill>
    </fill>
    <fill>
      <patternFill patternType="solid">
        <fgColor rgb="FFB17ED8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2" borderId="1" applyNumberFormat="0" applyAlignment="0" applyProtection="0"/>
  </cellStyleXfs>
  <cellXfs count="16">
    <xf numFmtId="0" fontId="0" fillId="0" borderId="0" xfId="0"/>
    <xf numFmtId="0" fontId="2" fillId="0" borderId="0" xfId="0" applyFont="1"/>
    <xf numFmtId="14" fontId="0" fillId="0" borderId="0" xfId="0" applyNumberFormat="1"/>
    <xf numFmtId="43" fontId="0" fillId="0" borderId="0" xfId="1" applyFont="1"/>
    <xf numFmtId="14" fontId="0" fillId="0" borderId="0" xfId="0" applyNumberFormat="1" applyAlignment="1">
      <alignment horizontal="center"/>
    </xf>
    <xf numFmtId="0" fontId="2" fillId="3" borderId="0" xfId="0" applyFont="1" applyFill="1"/>
    <xf numFmtId="0" fontId="0" fillId="3" borderId="0" xfId="0" applyFill="1"/>
    <xf numFmtId="0" fontId="4" fillId="4" borderId="0" xfId="0" applyFont="1" applyFill="1" applyAlignment="1">
      <alignment horizontal="center"/>
    </xf>
    <xf numFmtId="14" fontId="4" fillId="4" borderId="0" xfId="0" applyNumberFormat="1" applyFont="1" applyFill="1"/>
    <xf numFmtId="0" fontId="4" fillId="4" borderId="0" xfId="0" applyFont="1" applyFill="1"/>
    <xf numFmtId="0" fontId="4" fillId="5" borderId="0" xfId="0" applyFont="1" applyFill="1"/>
    <xf numFmtId="0" fontId="5" fillId="5" borderId="0" xfId="0" applyFont="1" applyFill="1"/>
    <xf numFmtId="0" fontId="2" fillId="0" borderId="0" xfId="0" applyFont="1" applyAlignment="1">
      <alignment horizontal="center"/>
    </xf>
    <xf numFmtId="0" fontId="3" fillId="2" borderId="1" xfId="2"/>
    <xf numFmtId="22" fontId="0" fillId="0" borderId="0" xfId="0" applyNumberFormat="1"/>
    <xf numFmtId="0" fontId="0" fillId="0" borderId="0" xfId="0" quotePrefix="1"/>
  </cellXfs>
  <cellStyles count="3">
    <cellStyle name="Comma" xfId="1" builtinId="3"/>
    <cellStyle name="Input" xfId="2" builtinId="20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minor"/>
      </font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colors>
    <mruColors>
      <color rgb="FFB17ED8"/>
      <color rgb="FF66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\Office10\Addins\SCBAM_CON2SPCD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out"/>
    </sheetNames>
    <definedNames>
      <definedName name="SCBAM_NextBusinessDay"/>
      <definedName name="SCBAM_PreviousBusinessDay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5C87F4-445E-4783-BE82-9860852A812A}" name="DataTable" displayName="DataTable" ref="A1:Q354" totalsRowShown="0">
  <autoFilter ref="A1:Q354" xr:uid="{D5D7DF5C-1843-4E61-8188-68EBA345D2D6}"/>
  <tableColumns count="17">
    <tableColumn id="1" xr3:uid="{C54EFA6D-5A92-4AB9-986C-985C4B70844C}" name="HLD_Date" dataDxfId="4"/>
    <tableColumn id="2" xr3:uid="{7EE5B24D-6DC2-48F1-BD6C-816AD2E6C7CF}" name="HLD_Portfolio"/>
    <tableColumn id="3" xr3:uid="{79B41279-E917-410D-89FA-7F4D665735DD}" name="Group1"/>
    <tableColumn id="4" xr3:uid="{FD02C605-C9BD-4F8E-BEEE-DA276D043E55}" name="Group2"/>
    <tableColumn id="5" xr3:uid="{4375F8FA-BD1B-4E3D-B95E-DC0228A67ED6}" name="Group3"/>
    <tableColumn id="6" xr3:uid="{1422EBB4-49A0-4B59-9A5A-5DDF22CA0488}" name="HLD_SecCode"/>
    <tableColumn id="7" xr3:uid="{868248AD-293B-4E8E-8D5B-82627EFF9E2F}" name="HLD_Issuer"/>
    <tableColumn id="8" xr3:uid="{62C1AD74-DE86-4313-8E74-EE8BCA8673C5}" name="HLD_Rating"/>
    <tableColumn id="9" xr3:uid="{12CAA332-E637-47E3-95B9-883666FD9E86}" name="HLD_MaturityDate" dataDxfId="3"/>
    <tableColumn id="10" xr3:uid="{CD46F803-8996-43C4-9F05-A790F13571AD}" name="HLD_MarketValue"/>
    <tableColumn id="11" xr3:uid="{847DE1DC-720F-488C-80D0-4CCC7F49A19A}" name="HLD_AI"/>
    <tableColumn id="12" xr3:uid="{7DCDB556-DBBE-47AA-8781-2B1664C23A64}" name="HLD_Cost"/>
    <tableColumn id="13" xr3:uid="{AD5FF06B-3437-4ABB-AAD4-679910A1B84D}" name="HLD_ModDuration"/>
    <tableColumn id="14" xr3:uid="{3DC20CCC-D4CB-4390-BDE1-3B35D9316287}" name="HLD_YieldCost"/>
    <tableColumn id="15" xr3:uid="{A7D56A68-5E87-402A-9D48-14A95BC9923D}" name="SEC_Class"/>
    <tableColumn id="16" xr3:uid="{8651F1FE-2045-499F-A085-9A3D099A1E22}" name="SEC_Currency"/>
    <tableColumn id="17" xr3:uid="{B8185A4A-E1A0-4397-999F-F06AA8DBEB82}" name="SEC_Issue_Date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F61069-C8F8-4072-AD22-98FD7ECFA1DB}" name="CashProjTable" displayName="CashProjTable" ref="A1:Z65" totalsRowShown="0">
  <autoFilter ref="A1:Z65" xr:uid="{CA07C2C3-C5FA-4030-B398-97E201D898E3}"/>
  <tableColumns count="26">
    <tableColumn id="1" xr3:uid="{217E5370-BACC-42C9-BD1E-6EBC51952B15}" name="Portfolio"/>
    <tableColumn id="2" xr3:uid="{1950B960-AB81-461F-AB44-F2CC8E9829B5}" name="Custodian"/>
    <tableColumn id="3" xr3:uid="{16FFC77B-4896-44B0-853F-34DF9F13878F}" name="ProjDate" dataDxfId="1"/>
    <tableColumn id="4" xr3:uid="{577EDBAE-568C-44B5-9167-16CC43CA10B7}" name="DebtBuy"/>
    <tableColumn id="5" xr3:uid="{5FB5673E-C267-436E-923A-79BBC5F948F3}" name="DebtSell"/>
    <tableColumn id="6" xr3:uid="{97546DD7-B94A-4169-B8B9-BB3EFD805A07}" name="DebtInterest"/>
    <tableColumn id="7" xr3:uid="{E568E611-56D7-4ABA-BEC0-21A40B28AF9D}" name="CashEqBuy"/>
    <tableColumn id="8" xr3:uid="{128830C7-524A-4A67-9DDD-BD0246B12EFC}" name="CashEqSell"/>
    <tableColumn id="9" xr3:uid="{14F08856-9A39-44FC-9D58-1ADD5C21EA30}" name="CashEqInterest"/>
    <tableColumn id="10" xr3:uid="{73574872-9D78-481B-82E6-42A40A66EF38}" name="Expense"/>
    <tableColumn id="11" xr3:uid="{BBA8A2E5-10F3-4509-8640-59C425E03D6F}" name="Application"/>
    <tableColumn id="12" xr3:uid="{52DD6C74-8A89-4CA9-A39F-9F29496DE362}" name="Redemtion"/>
    <tableColumn id="13" xr3:uid="{91295F60-FC34-4C47-AC0B-05A1B2F2A6FE}" name="SwitchIn"/>
    <tableColumn id="14" xr3:uid="{F18D7AE1-AA0B-4F0D-A530-0B6B295D9C6B}" name="SwitchOut"/>
    <tableColumn id="15" xr3:uid="{9BEA6191-78A5-4FE2-80BE-5444A2D478F1}" name="CashBal"/>
    <tableColumn id="16" xr3:uid="{95DCF43A-8D6E-49ED-A1DC-E3E24FCB7719}" name="CashEqBal" dataDxfId="0" dataCellStyle="Comma"/>
    <tableColumn id="17" xr3:uid="{F0511133-F704-49E8-AEA3-BD219BC87ADD}" name="DebtBuy_BahtNet"/>
    <tableColumn id="18" xr3:uid="{CC1C081A-FEE5-433C-A6BE-F69DBD0CD9A5}" name="DebtSell_BahtNet"/>
    <tableColumn id="19" xr3:uid="{AF3DE690-AC3A-484B-9FD2-F87805BE1D51}" name="CashEqBuy_BahtNet"/>
    <tableColumn id="20" xr3:uid="{6A407DFE-67B1-403C-BB55-9E5C8B73AD4A}" name="CashEqSell_BahtNet"/>
    <tableColumn id="21" xr3:uid="{1B5DAC1E-BE29-400D-A32B-8FE21913113C}" name="App_SCB_BahtNet"/>
    <tableColumn id="22" xr3:uid="{50B0FDEA-5987-44BD-9696-7F03FC6B8736}" name="App_Other_BahtNet"/>
    <tableColumn id="23" xr3:uid="{31A5BE07-4F75-49FB-B502-46B5468A4236}" name="App_SCB_Cheque"/>
    <tableColumn id="24" xr3:uid="{9F9CC5C4-F881-4E36-B695-488FB7377F96}" name="App_Other_Cheque"/>
    <tableColumn id="25" xr3:uid="{8783401A-C53B-4BF8-A0C5-FAD555E22AC0}" name="CashForUse"/>
    <tableColumn id="26" xr3:uid="{D78FC1C1-EA4A-4C6F-9DE2-3B096C866884}" name="CashForBahtNe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0689C-8678-46E1-BC5A-DD4783CB7976}">
  <sheetPr codeName="Sheet4"/>
  <dimension ref="A1:L28"/>
  <sheetViews>
    <sheetView tabSelected="1" topLeftCell="B1" workbookViewId="0">
      <selection activeCell="E9" sqref="E9"/>
    </sheetView>
  </sheetViews>
  <sheetFormatPr defaultRowHeight="14.25" x14ac:dyDescent="0.2"/>
  <cols>
    <col min="1" max="1" width="12.25" hidden="1" customWidth="1"/>
    <col min="2" max="2" width="29" customWidth="1"/>
    <col min="3" max="3" width="19.25" customWidth="1"/>
    <col min="4" max="4" width="15.75" customWidth="1"/>
    <col min="5" max="5" width="15" customWidth="1"/>
    <col min="6" max="6" width="21.125" customWidth="1"/>
    <col min="7" max="7" width="19.5" customWidth="1"/>
    <col min="8" max="8" width="15.875" customWidth="1"/>
    <col min="9" max="9" width="15.625" customWidth="1"/>
    <col min="10" max="10" width="21.125" customWidth="1"/>
    <col min="11" max="11" width="16.25" customWidth="1"/>
    <col min="12" max="12" width="24.625" customWidth="1"/>
  </cols>
  <sheetData>
    <row r="1" spans="1:12" x14ac:dyDescent="0.2">
      <c r="A1" t="s">
        <v>145</v>
      </c>
    </row>
    <row r="2" spans="1:12" x14ac:dyDescent="0.2">
      <c r="A2" t="s">
        <v>17</v>
      </c>
      <c r="B2" t="s">
        <v>500</v>
      </c>
      <c r="D2" s="4">
        <f ca="1">[1]!SCBAM_PreviousBusinessDay(TODAY())</f>
        <v>43378</v>
      </c>
    </row>
    <row r="3" spans="1:12" x14ac:dyDescent="0.2">
      <c r="A3" t="s">
        <v>146</v>
      </c>
    </row>
    <row r="4" spans="1:12" x14ac:dyDescent="0.2">
      <c r="A4" t="s">
        <v>147</v>
      </c>
    </row>
    <row r="5" spans="1:12" x14ac:dyDescent="0.2">
      <c r="A5" t="s">
        <v>148</v>
      </c>
      <c r="B5" t="s">
        <v>540</v>
      </c>
      <c r="D5" t="s">
        <v>537</v>
      </c>
      <c r="H5" s="15"/>
    </row>
    <row r="6" spans="1:12" x14ac:dyDescent="0.2">
      <c r="D6" t="s">
        <v>541</v>
      </c>
    </row>
    <row r="7" spans="1:12" x14ac:dyDescent="0.2">
      <c r="D7" s="14"/>
      <c r="G7" s="1" t="s">
        <v>536</v>
      </c>
      <c r="H7" s="2">
        <v>43381</v>
      </c>
      <c r="I7" t="s">
        <v>542</v>
      </c>
    </row>
    <row r="8" spans="1:12" x14ac:dyDescent="0.2">
      <c r="B8" t="s">
        <v>543</v>
      </c>
      <c r="C8" s="14">
        <v>43381.460439814815</v>
      </c>
      <c r="G8" s="1" t="s">
        <v>539</v>
      </c>
      <c r="H8" s="1" t="s">
        <v>393</v>
      </c>
      <c r="I8" s="1" t="s">
        <v>395</v>
      </c>
      <c r="J8" s="1" t="s">
        <v>396</v>
      </c>
      <c r="K8" s="1" t="s">
        <v>397</v>
      </c>
      <c r="L8" s="1" t="s">
        <v>423</v>
      </c>
    </row>
    <row r="9" spans="1:12" x14ac:dyDescent="0.2">
      <c r="B9" t="s">
        <v>544</v>
      </c>
      <c r="C9" s="14">
        <v>43381.460474537038</v>
      </c>
      <c r="G9" s="1" t="str">
        <f t="array" ref="G9:G12">A2:A5</f>
        <v>SCBSFF</v>
      </c>
      <c r="H9">
        <f t="array" ref="H9">IFERROR(INDEX(Raw!$E:$E,MATCH(1,(Main!$G9=Raw!$A:$A)*(Main!$H$7=Raw!$C:$C)*(Main!H$8=Raw!$F:$F),0)),0)</f>
        <v>102485563.48</v>
      </c>
      <c r="I9">
        <f t="array" ref="I9">IFERROR(INDEX(Raw!$E:$E,MATCH(1,(Main!$G9=Raw!$A:$A)*(Main!$H$7=Raw!$C:$C)*(Main!I$8=Raw!$F:$F),0)),0)</f>
        <v>48938899.32</v>
      </c>
      <c r="J9">
        <f t="array" ref="J9">IFERROR(INDEX(Raw!$E:$E,MATCH(1,(Main!$G9=Raw!$A:$A)*(Main!$H$7=Raw!$C:$C)*(Main!J$8=Raw!$F:$F),0)),0)</f>
        <v>-267774822.88</v>
      </c>
      <c r="K9">
        <f t="array" ref="K9">IFERROR(INDEX(Raw!$E:$E,MATCH(1,(Main!$G9=Raw!$A:$A)*(Main!$H$7=Raw!$C:$C)*(Main!K$8=Raw!$F:$F),0)),0)</f>
        <v>-961301489.50999999</v>
      </c>
      <c r="L9">
        <f t="array" ref="L9">IFERROR(INDEX(Raw!$E:$E,MATCH(1,(Main!$G9=Raw!$A:$A)*(Main!$H$7=Raw!$C:$C)*(Main!L$8=Raw!$F:$F),0)),0)</f>
        <v>3700000</v>
      </c>
    </row>
    <row r="10" spans="1:12" x14ac:dyDescent="0.2">
      <c r="B10" t="s">
        <v>545</v>
      </c>
      <c r="C10" s="14">
        <v>43381.46707175926</v>
      </c>
      <c r="G10" s="1" t="str">
        <v>SCBSFFPLUS</v>
      </c>
      <c r="H10">
        <f t="array" ref="H10">IFERROR(INDEX(Raw!$E:$E,MATCH(1,(Main!$G10=Raw!$A:$A)*(Main!$H$7=Raw!$C:$C)*(Main!H$8=Raw!$F:$F),0)),0)</f>
        <v>928186136.30999994</v>
      </c>
      <c r="I10">
        <f t="array" ref="I10">IFERROR(INDEX(Raw!$E:$E,MATCH(1,(Main!$G10=Raw!$A:$A)*(Main!$H$7=Raw!$C:$C)*(Main!I$8=Raw!$F:$F),0)),0)</f>
        <v>151857921.19999999</v>
      </c>
      <c r="J10">
        <f t="array" ref="J10">IFERROR(INDEX(Raw!$E:$E,MATCH(1,(Main!$G10=Raw!$A:$A)*(Main!$H$7=Raw!$C:$C)*(Main!J$8=Raw!$F:$F),0)),0)</f>
        <v>-400924530.91000003</v>
      </c>
      <c r="K10">
        <f t="array" ref="K10">IFERROR(INDEX(Raw!$E:$E,MATCH(1,(Main!$G10=Raw!$A:$A)*(Main!$H$7=Raw!$C:$C)*(Main!K$8=Raw!$F:$F),0)),0)</f>
        <v>-417294605.24000001</v>
      </c>
      <c r="L10">
        <f t="array" ref="L10">IFERROR(INDEX(Raw!$E:$E,MATCH(1,(Main!$G10=Raw!$A:$A)*(Main!$H$7=Raw!$C:$C)*(Main!L$8=Raw!$F:$F),0)),0)</f>
        <v>37416873</v>
      </c>
    </row>
    <row r="11" spans="1:12" x14ac:dyDescent="0.2">
      <c r="B11" t="s">
        <v>546</v>
      </c>
      <c r="C11" s="14">
        <v>43381.471238425926</v>
      </c>
      <c r="G11" s="1" t="str">
        <v>SCBTMF</v>
      </c>
      <c r="H11">
        <f t="array" ref="H11">IFERROR(INDEX(Raw!$E:$E,MATCH(1,(Main!$G11=Raw!$A:$A)*(Main!$H$7=Raw!$C:$C)*(Main!H$8=Raw!$F:$F),0)),0)</f>
        <v>728400</v>
      </c>
      <c r="I11">
        <f t="array" ref="I11">IFERROR(INDEX(Raw!$E:$E,MATCH(1,(Main!$G11=Raw!$A:$A)*(Main!$H$7=Raw!$C:$C)*(Main!I$8=Raw!$F:$F),0)),0)</f>
        <v>3152358.11</v>
      </c>
      <c r="J11">
        <f t="array" ref="J11">IFERROR(INDEX(Raw!$E:$E,MATCH(1,(Main!$G11=Raw!$A:$A)*(Main!$H$7=Raw!$C:$C)*(Main!J$8=Raw!$F:$F),0)),0)</f>
        <v>-34580937.759999998</v>
      </c>
      <c r="K11">
        <f t="array" ref="K11">IFERROR(INDEX(Raw!$E:$E,MATCH(1,(Main!$G11=Raw!$A:$A)*(Main!$H$7=Raw!$C:$C)*(Main!K$8=Raw!$F:$F),0)),0)</f>
        <v>-4578950.49</v>
      </c>
      <c r="L11">
        <f t="array" ref="L11">IFERROR(INDEX(Raw!$E:$E,MATCH(1,(Main!$G11=Raw!$A:$A)*(Main!$H$7=Raw!$C:$C)*(Main!L$8=Raw!$F:$F),0)),0)</f>
        <v>0</v>
      </c>
    </row>
    <row r="12" spans="1:12" x14ac:dyDescent="0.2">
      <c r="B12" t="s">
        <v>547</v>
      </c>
      <c r="C12" s="14">
        <v>43381.471273148149</v>
      </c>
      <c r="G12" s="1" t="str">
        <v>SCBTMFPLUS</v>
      </c>
      <c r="H12">
        <f t="array" ref="H12">IFERROR(INDEX(Raw!$E:$E,MATCH(1,(Main!$G12=Raw!$A:$A)*(Main!$H$7=Raw!$C:$C)*(Main!H$8=Raw!$F:$F),0)),0)</f>
        <v>8817393.7100000009</v>
      </c>
      <c r="I12">
        <f t="array" ref="I12">IFERROR(INDEX(Raw!$E:$E,MATCH(1,(Main!$G12=Raw!$A:$A)*(Main!$H$7=Raw!$C:$C)*(Main!I$8=Raw!$F:$F),0)),0)</f>
        <v>12000</v>
      </c>
      <c r="J12">
        <f t="array" ref="J12">IFERROR(INDEX(Raw!$E:$E,MATCH(1,(Main!$G12=Raw!$A:$A)*(Main!$H$7=Raw!$C:$C)*(Main!J$8=Raw!$F:$F),0)),0)</f>
        <v>-25402592.510000002</v>
      </c>
      <c r="K12">
        <f t="array" ref="K12">IFERROR(INDEX(Raw!$E:$E,MATCH(1,(Main!$G12=Raw!$A:$A)*(Main!$H$7=Raw!$C:$C)*(Main!K$8=Raw!$F:$F),0)),0)</f>
        <v>-3031650.83</v>
      </c>
      <c r="L12">
        <f t="array" ref="L12">IFERROR(INDEX(Raw!$E:$E,MATCH(1,(Main!$G12=Raw!$A:$A)*(Main!$H$7=Raw!$C:$C)*(Main!L$8=Raw!$F:$F),0)),0)</f>
        <v>0</v>
      </c>
    </row>
    <row r="13" spans="1:12" x14ac:dyDescent="0.2">
      <c r="B13" t="s">
        <v>548</v>
      </c>
      <c r="C13" s="14">
        <v>43381.505185185182</v>
      </c>
    </row>
    <row r="14" spans="1:12" x14ac:dyDescent="0.2">
      <c r="B14" t="s">
        <v>549</v>
      </c>
      <c r="C14" s="14">
        <v>43381.505219907405</v>
      </c>
    </row>
    <row r="15" spans="1:12" x14ac:dyDescent="0.2">
      <c r="B15" t="s">
        <v>550</v>
      </c>
      <c r="C15" s="14">
        <v>43381.507164351853</v>
      </c>
      <c r="G15" s="1" t="s">
        <v>538</v>
      </c>
    </row>
    <row r="16" spans="1:12" x14ac:dyDescent="0.2">
      <c r="B16" t="s">
        <v>551</v>
      </c>
      <c r="C16" s="14">
        <v>43381.606493055559</v>
      </c>
    </row>
    <row r="17" spans="2:3" x14ac:dyDescent="0.2">
      <c r="B17" t="s">
        <v>552</v>
      </c>
      <c r="C17" s="14">
        <v>43381.606527777774</v>
      </c>
    </row>
    <row r="18" spans="2:3" x14ac:dyDescent="0.2">
      <c r="B18" t="s">
        <v>553</v>
      </c>
      <c r="C18" s="14">
        <v>43381.607743055552</v>
      </c>
    </row>
    <row r="19" spans="2:3" x14ac:dyDescent="0.2">
      <c r="B19" t="s">
        <v>554</v>
      </c>
      <c r="C19" s="14">
        <v>43381.626898148148</v>
      </c>
    </row>
    <row r="20" spans="2:3" x14ac:dyDescent="0.2">
      <c r="B20" t="s">
        <v>555</v>
      </c>
      <c r="C20" s="14">
        <v>43381.626944444448</v>
      </c>
    </row>
    <row r="21" spans="2:3" x14ac:dyDescent="0.2">
      <c r="B21" t="s">
        <v>556</v>
      </c>
      <c r="C21" s="14">
        <v>43381.628078703703</v>
      </c>
    </row>
    <row r="22" spans="2:3" x14ac:dyDescent="0.2">
      <c r="B22" t="s">
        <v>557</v>
      </c>
      <c r="C22" s="14">
        <v>43381.64770833333</v>
      </c>
    </row>
    <row r="23" spans="2:3" x14ac:dyDescent="0.2">
      <c r="B23" t="s">
        <v>558</v>
      </c>
      <c r="C23" s="14">
        <v>43381.64775462963</v>
      </c>
    </row>
    <row r="24" spans="2:3" x14ac:dyDescent="0.2">
      <c r="B24" t="s">
        <v>559</v>
      </c>
      <c r="C24" s="14">
        <v>43381.649189814816</v>
      </c>
    </row>
    <row r="25" spans="2:3" x14ac:dyDescent="0.2">
      <c r="B25" t="s">
        <v>560</v>
      </c>
      <c r="C25" s="14">
        <v>43381.669166666667</v>
      </c>
    </row>
    <row r="26" spans="2:3" x14ac:dyDescent="0.2">
      <c r="B26" t="s">
        <v>561</v>
      </c>
      <c r="C26" s="14">
        <v>43381.66920138889</v>
      </c>
    </row>
    <row r="27" spans="2:3" x14ac:dyDescent="0.2">
      <c r="B27" t="s">
        <v>562</v>
      </c>
      <c r="C27" s="14">
        <v>43381.670335648145</v>
      </c>
    </row>
    <row r="28" spans="2:3" x14ac:dyDescent="0.2">
      <c r="B28" t="s">
        <v>563</v>
      </c>
      <c r="C28" s="14">
        <v>43381.46707175926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A1FFF-7143-4210-8513-B4332E8CF333}">
  <sheetPr codeName="Sheet6"/>
  <dimension ref="A1:K880"/>
  <sheetViews>
    <sheetView topLeftCell="A812" workbookViewId="0">
      <selection activeCell="A880" sqref="A880"/>
    </sheetView>
  </sheetViews>
  <sheetFormatPr defaultRowHeight="14.25" x14ac:dyDescent="0.2"/>
  <cols>
    <col min="1" max="1" width="12" customWidth="1"/>
    <col min="3" max="3" width="12.125" customWidth="1"/>
    <col min="5" max="5" width="14.5" customWidth="1"/>
    <col min="6" max="6" width="19.875" customWidth="1"/>
  </cols>
  <sheetData>
    <row r="1" spans="1:11" x14ac:dyDescent="0.2">
      <c r="A1" t="s">
        <v>391</v>
      </c>
      <c r="B1" t="s">
        <v>23</v>
      </c>
      <c r="C1" s="2">
        <v>43378</v>
      </c>
      <c r="D1" t="s">
        <v>392</v>
      </c>
      <c r="E1">
        <v>1507.97</v>
      </c>
      <c r="F1" t="s">
        <v>393</v>
      </c>
      <c r="G1" t="s">
        <v>394</v>
      </c>
      <c r="H1">
        <v>181005160116</v>
      </c>
      <c r="K1" t="s">
        <v>393</v>
      </c>
    </row>
    <row r="2" spans="1:11" x14ac:dyDescent="0.2">
      <c r="A2" t="s">
        <v>391</v>
      </c>
      <c r="B2" t="s">
        <v>23</v>
      </c>
      <c r="C2" s="2">
        <v>43381</v>
      </c>
      <c r="D2" t="s">
        <v>392</v>
      </c>
      <c r="E2">
        <v>11000</v>
      </c>
      <c r="F2" t="s">
        <v>393</v>
      </c>
      <c r="G2" t="s">
        <v>394</v>
      </c>
      <c r="H2">
        <v>181005160116</v>
      </c>
      <c r="K2" t="s">
        <v>395</v>
      </c>
    </row>
    <row r="3" spans="1:11" x14ac:dyDescent="0.2">
      <c r="A3" t="s">
        <v>391</v>
      </c>
      <c r="B3" t="s">
        <v>23</v>
      </c>
      <c r="C3" s="2">
        <v>43378</v>
      </c>
      <c r="D3" t="s">
        <v>392</v>
      </c>
      <c r="E3">
        <v>1500</v>
      </c>
      <c r="F3" t="s">
        <v>395</v>
      </c>
      <c r="G3" t="s">
        <v>394</v>
      </c>
      <c r="H3">
        <v>181005160116</v>
      </c>
      <c r="K3" t="s">
        <v>396</v>
      </c>
    </row>
    <row r="4" spans="1:11" x14ac:dyDescent="0.2">
      <c r="A4" t="s">
        <v>391</v>
      </c>
      <c r="B4" t="s">
        <v>23</v>
      </c>
      <c r="C4" s="2">
        <v>43378</v>
      </c>
      <c r="D4" t="s">
        <v>392</v>
      </c>
      <c r="E4">
        <v>-999.77</v>
      </c>
      <c r="F4" t="s">
        <v>396</v>
      </c>
      <c r="G4" t="s">
        <v>394</v>
      </c>
      <c r="H4">
        <v>181005160116</v>
      </c>
      <c r="K4" t="s">
        <v>397</v>
      </c>
    </row>
    <row r="5" spans="1:11" x14ac:dyDescent="0.2">
      <c r="A5" t="s">
        <v>391</v>
      </c>
      <c r="B5" t="s">
        <v>23</v>
      </c>
      <c r="C5" s="2">
        <v>43381</v>
      </c>
      <c r="D5" t="s">
        <v>392</v>
      </c>
      <c r="E5">
        <v>-997.3</v>
      </c>
      <c r="F5" t="s">
        <v>397</v>
      </c>
      <c r="G5" t="s">
        <v>394</v>
      </c>
      <c r="H5">
        <v>181005160116</v>
      </c>
      <c r="K5" t="s">
        <v>423</v>
      </c>
    </row>
    <row r="6" spans="1:11" x14ac:dyDescent="0.2">
      <c r="A6" t="s">
        <v>391</v>
      </c>
      <c r="B6" t="s">
        <v>23</v>
      </c>
      <c r="C6" s="2">
        <v>43382</v>
      </c>
      <c r="D6" t="s">
        <v>392</v>
      </c>
      <c r="E6">
        <v>-30791.11</v>
      </c>
      <c r="F6" t="s">
        <v>397</v>
      </c>
      <c r="G6" t="s">
        <v>394</v>
      </c>
      <c r="H6">
        <v>181005160116</v>
      </c>
    </row>
    <row r="7" spans="1:11" x14ac:dyDescent="0.2">
      <c r="A7" t="s">
        <v>398</v>
      </c>
      <c r="B7" t="s">
        <v>23</v>
      </c>
      <c r="C7" s="2">
        <v>43378</v>
      </c>
      <c r="D7" t="s">
        <v>392</v>
      </c>
      <c r="E7">
        <v>5529.23</v>
      </c>
      <c r="F7" t="s">
        <v>393</v>
      </c>
      <c r="G7" t="s">
        <v>394</v>
      </c>
      <c r="H7">
        <v>181005160116</v>
      </c>
    </row>
    <row r="8" spans="1:11" x14ac:dyDescent="0.2">
      <c r="A8" t="s">
        <v>398</v>
      </c>
      <c r="B8" t="s">
        <v>23</v>
      </c>
      <c r="C8" s="2">
        <v>43381</v>
      </c>
      <c r="D8" t="s">
        <v>392</v>
      </c>
      <c r="E8">
        <v>3000</v>
      </c>
      <c r="F8" t="s">
        <v>393</v>
      </c>
      <c r="G8" t="s">
        <v>394</v>
      </c>
      <c r="H8">
        <v>181005160116</v>
      </c>
    </row>
    <row r="9" spans="1:11" x14ac:dyDescent="0.2">
      <c r="A9" t="s">
        <v>398</v>
      </c>
      <c r="B9" t="s">
        <v>23</v>
      </c>
      <c r="C9" s="2">
        <v>43378</v>
      </c>
      <c r="D9" t="s">
        <v>392</v>
      </c>
      <c r="E9">
        <v>1500</v>
      </c>
      <c r="F9" t="s">
        <v>395</v>
      </c>
      <c r="G9" t="s">
        <v>394</v>
      </c>
      <c r="H9">
        <v>181005160116</v>
      </c>
    </row>
    <row r="10" spans="1:11" x14ac:dyDescent="0.2">
      <c r="A10" t="s">
        <v>398</v>
      </c>
      <c r="B10" t="s">
        <v>23</v>
      </c>
      <c r="C10" s="2">
        <v>43382</v>
      </c>
      <c r="D10" t="s">
        <v>392</v>
      </c>
      <c r="E10">
        <v>-10188.18</v>
      </c>
      <c r="F10" t="s">
        <v>397</v>
      </c>
      <c r="G10" t="s">
        <v>394</v>
      </c>
      <c r="H10">
        <v>181005160116</v>
      </c>
    </row>
    <row r="11" spans="1:11" x14ac:dyDescent="0.2">
      <c r="A11" t="s">
        <v>399</v>
      </c>
      <c r="B11" t="s">
        <v>23</v>
      </c>
      <c r="C11" s="2">
        <v>43378</v>
      </c>
      <c r="D11" t="s">
        <v>392</v>
      </c>
      <c r="E11">
        <v>2513.2800000000002</v>
      </c>
      <c r="F11" t="s">
        <v>393</v>
      </c>
      <c r="G11" t="s">
        <v>394</v>
      </c>
      <c r="H11">
        <v>181005160116</v>
      </c>
    </row>
    <row r="12" spans="1:11" x14ac:dyDescent="0.2">
      <c r="A12" t="s">
        <v>399</v>
      </c>
      <c r="B12" t="s">
        <v>23</v>
      </c>
      <c r="C12" s="2">
        <v>43381</v>
      </c>
      <c r="D12" t="s">
        <v>392</v>
      </c>
      <c r="E12">
        <v>3000</v>
      </c>
      <c r="F12" t="s">
        <v>393</v>
      </c>
      <c r="G12" t="s">
        <v>394</v>
      </c>
      <c r="H12">
        <v>181005160116</v>
      </c>
    </row>
    <row r="13" spans="1:11" x14ac:dyDescent="0.2">
      <c r="A13" t="s">
        <v>399</v>
      </c>
      <c r="B13" t="s">
        <v>23</v>
      </c>
      <c r="C13" s="2">
        <v>43378</v>
      </c>
      <c r="D13" t="s">
        <v>392</v>
      </c>
      <c r="E13">
        <v>1500</v>
      </c>
      <c r="F13" t="s">
        <v>395</v>
      </c>
      <c r="G13" t="s">
        <v>394</v>
      </c>
      <c r="H13">
        <v>181005160116</v>
      </c>
    </row>
    <row r="14" spans="1:11" x14ac:dyDescent="0.2">
      <c r="A14" t="s">
        <v>399</v>
      </c>
      <c r="B14" t="s">
        <v>23</v>
      </c>
      <c r="C14" s="2">
        <v>43383</v>
      </c>
      <c r="D14" t="s">
        <v>392</v>
      </c>
      <c r="E14">
        <v>-393195.76</v>
      </c>
      <c r="F14" t="s">
        <v>396</v>
      </c>
      <c r="G14" t="s">
        <v>394</v>
      </c>
      <c r="H14">
        <v>181005160116</v>
      </c>
    </row>
    <row r="15" spans="1:11" x14ac:dyDescent="0.2">
      <c r="A15" t="s">
        <v>400</v>
      </c>
      <c r="B15" t="s">
        <v>23</v>
      </c>
      <c r="C15" s="2">
        <v>43378</v>
      </c>
      <c r="D15" t="s">
        <v>392</v>
      </c>
      <c r="E15">
        <v>1015.8</v>
      </c>
      <c r="F15" t="s">
        <v>393</v>
      </c>
      <c r="G15" t="s">
        <v>394</v>
      </c>
      <c r="H15">
        <v>181005160116</v>
      </c>
    </row>
    <row r="16" spans="1:11" x14ac:dyDescent="0.2">
      <c r="A16" t="s">
        <v>400</v>
      </c>
      <c r="B16" t="s">
        <v>23</v>
      </c>
      <c r="C16" s="2">
        <v>43381</v>
      </c>
      <c r="D16" t="s">
        <v>392</v>
      </c>
      <c r="E16">
        <v>20000</v>
      </c>
      <c r="F16" t="s">
        <v>393</v>
      </c>
      <c r="G16" t="s">
        <v>394</v>
      </c>
      <c r="H16">
        <v>181005160116</v>
      </c>
    </row>
    <row r="17" spans="1:8" x14ac:dyDescent="0.2">
      <c r="A17" t="s">
        <v>400</v>
      </c>
      <c r="B17" t="s">
        <v>23</v>
      </c>
      <c r="C17" s="2">
        <v>43378</v>
      </c>
      <c r="D17" t="s">
        <v>392</v>
      </c>
      <c r="E17">
        <v>-6893.11</v>
      </c>
      <c r="F17" t="s">
        <v>397</v>
      </c>
      <c r="G17" t="s">
        <v>394</v>
      </c>
      <c r="H17">
        <v>181005160116</v>
      </c>
    </row>
    <row r="18" spans="1:8" x14ac:dyDescent="0.2">
      <c r="A18" t="s">
        <v>401</v>
      </c>
      <c r="B18" t="s">
        <v>23</v>
      </c>
      <c r="C18" s="2">
        <v>43378</v>
      </c>
      <c r="D18" t="s">
        <v>392</v>
      </c>
      <c r="E18">
        <v>144000</v>
      </c>
      <c r="F18" t="s">
        <v>393</v>
      </c>
      <c r="G18" t="s">
        <v>394</v>
      </c>
      <c r="H18">
        <v>181005160116</v>
      </c>
    </row>
    <row r="19" spans="1:8" x14ac:dyDescent="0.2">
      <c r="A19" t="s">
        <v>401</v>
      </c>
      <c r="B19" t="s">
        <v>23</v>
      </c>
      <c r="C19" s="2">
        <v>43381</v>
      </c>
      <c r="D19" t="s">
        <v>392</v>
      </c>
      <c r="E19">
        <v>49000</v>
      </c>
      <c r="F19" t="s">
        <v>393</v>
      </c>
      <c r="G19" t="s">
        <v>394</v>
      </c>
      <c r="H19">
        <v>181005160116</v>
      </c>
    </row>
    <row r="20" spans="1:8" x14ac:dyDescent="0.2">
      <c r="A20" t="s">
        <v>401</v>
      </c>
      <c r="B20" t="s">
        <v>23</v>
      </c>
      <c r="C20" s="2">
        <v>43378</v>
      </c>
      <c r="D20" t="s">
        <v>392</v>
      </c>
      <c r="E20">
        <v>-40000</v>
      </c>
      <c r="F20" t="s">
        <v>396</v>
      </c>
      <c r="G20" t="s">
        <v>394</v>
      </c>
      <c r="H20">
        <v>181005160116</v>
      </c>
    </row>
    <row r="21" spans="1:8" x14ac:dyDescent="0.2">
      <c r="A21" t="s">
        <v>401</v>
      </c>
      <c r="B21" t="s">
        <v>23</v>
      </c>
      <c r="C21" s="2">
        <v>43382</v>
      </c>
      <c r="D21" t="s">
        <v>392</v>
      </c>
      <c r="E21">
        <v>-1950429.3</v>
      </c>
      <c r="F21" t="s">
        <v>396</v>
      </c>
      <c r="G21" t="s">
        <v>394</v>
      </c>
      <c r="H21">
        <v>181005160116</v>
      </c>
    </row>
    <row r="22" spans="1:8" x14ac:dyDescent="0.2">
      <c r="A22" t="s">
        <v>401</v>
      </c>
      <c r="B22" t="s">
        <v>23</v>
      </c>
      <c r="C22" s="2">
        <v>43383</v>
      </c>
      <c r="D22" t="s">
        <v>392</v>
      </c>
      <c r="E22">
        <v>-62968.52</v>
      </c>
      <c r="F22" t="s">
        <v>396</v>
      </c>
      <c r="G22" t="s">
        <v>394</v>
      </c>
      <c r="H22">
        <v>181005160116</v>
      </c>
    </row>
    <row r="23" spans="1:8" x14ac:dyDescent="0.2">
      <c r="A23" t="s">
        <v>401</v>
      </c>
      <c r="B23" t="s">
        <v>23</v>
      </c>
      <c r="C23" s="2">
        <v>43384</v>
      </c>
      <c r="D23" t="s">
        <v>392</v>
      </c>
      <c r="E23">
        <v>-25029.37</v>
      </c>
      <c r="F23" t="s">
        <v>396</v>
      </c>
      <c r="G23" t="s">
        <v>394</v>
      </c>
      <c r="H23">
        <v>181005160116</v>
      </c>
    </row>
    <row r="24" spans="1:8" x14ac:dyDescent="0.2">
      <c r="A24" t="s">
        <v>401</v>
      </c>
      <c r="B24" t="s">
        <v>23</v>
      </c>
      <c r="C24" s="2">
        <v>43385</v>
      </c>
      <c r="D24" t="s">
        <v>392</v>
      </c>
      <c r="E24">
        <v>-241329.54</v>
      </c>
      <c r="F24" t="s">
        <v>396</v>
      </c>
      <c r="G24" t="s">
        <v>394</v>
      </c>
      <c r="H24">
        <v>181005160116</v>
      </c>
    </row>
    <row r="25" spans="1:8" x14ac:dyDescent="0.2">
      <c r="A25" t="s">
        <v>401</v>
      </c>
      <c r="B25" t="s">
        <v>23</v>
      </c>
      <c r="C25" s="2">
        <v>43382</v>
      </c>
      <c r="D25" t="s">
        <v>392</v>
      </c>
      <c r="E25">
        <v>-684869.6</v>
      </c>
      <c r="F25" t="s">
        <v>397</v>
      </c>
      <c r="G25" t="s">
        <v>394</v>
      </c>
      <c r="H25">
        <v>181005160116</v>
      </c>
    </row>
    <row r="26" spans="1:8" x14ac:dyDescent="0.2">
      <c r="A26" t="s">
        <v>401</v>
      </c>
      <c r="B26" t="s">
        <v>23</v>
      </c>
      <c r="C26" s="2">
        <v>43383</v>
      </c>
      <c r="D26" t="s">
        <v>392</v>
      </c>
      <c r="E26">
        <v>-4113239.61</v>
      </c>
      <c r="F26" t="s">
        <v>397</v>
      </c>
      <c r="G26" t="s">
        <v>394</v>
      </c>
      <c r="H26">
        <v>181005160116</v>
      </c>
    </row>
    <row r="27" spans="1:8" x14ac:dyDescent="0.2">
      <c r="A27" t="s">
        <v>401</v>
      </c>
      <c r="B27" t="s">
        <v>23</v>
      </c>
      <c r="C27" s="2">
        <v>43384</v>
      </c>
      <c r="D27" t="s">
        <v>392</v>
      </c>
      <c r="E27">
        <v>-5110515.96</v>
      </c>
      <c r="F27" t="s">
        <v>397</v>
      </c>
      <c r="G27" t="s">
        <v>394</v>
      </c>
      <c r="H27">
        <v>181005160116</v>
      </c>
    </row>
    <row r="28" spans="1:8" x14ac:dyDescent="0.2">
      <c r="A28" t="s">
        <v>401</v>
      </c>
      <c r="B28" t="s">
        <v>23</v>
      </c>
      <c r="C28" s="2">
        <v>43385</v>
      </c>
      <c r="D28" t="s">
        <v>392</v>
      </c>
      <c r="E28">
        <v>-1421783.89</v>
      </c>
      <c r="F28" t="s">
        <v>397</v>
      </c>
      <c r="G28" t="s">
        <v>394</v>
      </c>
      <c r="H28">
        <v>181005160116</v>
      </c>
    </row>
    <row r="29" spans="1:8" x14ac:dyDescent="0.2">
      <c r="A29" t="s">
        <v>402</v>
      </c>
      <c r="B29" t="s">
        <v>23</v>
      </c>
      <c r="C29" s="2">
        <v>43378</v>
      </c>
      <c r="D29" t="s">
        <v>392</v>
      </c>
      <c r="E29">
        <v>4270000</v>
      </c>
      <c r="F29" t="s">
        <v>393</v>
      </c>
      <c r="G29" t="s">
        <v>394</v>
      </c>
      <c r="H29">
        <v>181005160116</v>
      </c>
    </row>
    <row r="30" spans="1:8" x14ac:dyDescent="0.2">
      <c r="A30" t="s">
        <v>402</v>
      </c>
      <c r="B30" t="s">
        <v>23</v>
      </c>
      <c r="C30" s="2">
        <v>43381</v>
      </c>
      <c r="D30" t="s">
        <v>392</v>
      </c>
      <c r="E30">
        <v>2333000</v>
      </c>
      <c r="F30" t="s">
        <v>393</v>
      </c>
      <c r="G30" t="s">
        <v>394</v>
      </c>
      <c r="H30">
        <v>181005160116</v>
      </c>
    </row>
    <row r="31" spans="1:8" x14ac:dyDescent="0.2">
      <c r="A31" t="s">
        <v>402</v>
      </c>
      <c r="B31" t="s">
        <v>23</v>
      </c>
      <c r="C31" s="2">
        <v>43378</v>
      </c>
      <c r="D31" t="s">
        <v>392</v>
      </c>
      <c r="E31">
        <v>1035009.55</v>
      </c>
      <c r="F31" t="s">
        <v>395</v>
      </c>
      <c r="G31" t="s">
        <v>394</v>
      </c>
      <c r="H31">
        <v>181005160116</v>
      </c>
    </row>
    <row r="32" spans="1:8" x14ac:dyDescent="0.2">
      <c r="A32" t="s">
        <v>402</v>
      </c>
      <c r="B32" t="s">
        <v>23</v>
      </c>
      <c r="C32" s="2">
        <v>43381</v>
      </c>
      <c r="D32" t="s">
        <v>392</v>
      </c>
      <c r="E32">
        <v>1000000</v>
      </c>
      <c r="F32" t="s">
        <v>395</v>
      </c>
      <c r="G32" t="s">
        <v>394</v>
      </c>
      <c r="H32">
        <v>181005160116</v>
      </c>
    </row>
    <row r="33" spans="1:8" x14ac:dyDescent="0.2">
      <c r="A33" t="s">
        <v>402</v>
      </c>
      <c r="B33" t="s">
        <v>23</v>
      </c>
      <c r="C33" s="2">
        <v>43378</v>
      </c>
      <c r="D33" t="s">
        <v>392</v>
      </c>
      <c r="E33">
        <v>-1262080.31</v>
      </c>
      <c r="F33" t="s">
        <v>396</v>
      </c>
      <c r="G33" t="s">
        <v>394</v>
      </c>
      <c r="H33">
        <v>181005160116</v>
      </c>
    </row>
    <row r="34" spans="1:8" x14ac:dyDescent="0.2">
      <c r="A34" t="s">
        <v>402</v>
      </c>
      <c r="B34" t="s">
        <v>23</v>
      </c>
      <c r="C34" s="2">
        <v>43382</v>
      </c>
      <c r="D34" t="s">
        <v>392</v>
      </c>
      <c r="E34">
        <v>-802575.88</v>
      </c>
      <c r="F34" t="s">
        <v>396</v>
      </c>
      <c r="G34" t="s">
        <v>394</v>
      </c>
      <c r="H34">
        <v>181005160116</v>
      </c>
    </row>
    <row r="35" spans="1:8" x14ac:dyDescent="0.2">
      <c r="A35" t="s">
        <v>402</v>
      </c>
      <c r="B35" t="s">
        <v>23</v>
      </c>
      <c r="C35" s="2">
        <v>43383</v>
      </c>
      <c r="D35" t="s">
        <v>392</v>
      </c>
      <c r="E35">
        <v>-37534.9</v>
      </c>
      <c r="F35" t="s">
        <v>396</v>
      </c>
      <c r="G35" t="s">
        <v>394</v>
      </c>
      <c r="H35">
        <v>181005160116</v>
      </c>
    </row>
    <row r="36" spans="1:8" x14ac:dyDescent="0.2">
      <c r="A36" t="s">
        <v>402</v>
      </c>
      <c r="B36" t="s">
        <v>23</v>
      </c>
      <c r="C36" s="2">
        <v>43384</v>
      </c>
      <c r="D36" t="s">
        <v>392</v>
      </c>
      <c r="E36">
        <v>-722442.17</v>
      </c>
      <c r="F36" t="s">
        <v>396</v>
      </c>
      <c r="G36" t="s">
        <v>394</v>
      </c>
      <c r="H36">
        <v>181005160116</v>
      </c>
    </row>
    <row r="37" spans="1:8" x14ac:dyDescent="0.2">
      <c r="A37" t="s">
        <v>402</v>
      </c>
      <c r="B37" t="s">
        <v>23</v>
      </c>
      <c r="C37" s="2">
        <v>43385</v>
      </c>
      <c r="D37" t="s">
        <v>392</v>
      </c>
      <c r="E37">
        <v>-9804.16</v>
      </c>
      <c r="F37" t="s">
        <v>396</v>
      </c>
      <c r="G37" t="s">
        <v>394</v>
      </c>
      <c r="H37">
        <v>181005160116</v>
      </c>
    </row>
    <row r="38" spans="1:8" x14ac:dyDescent="0.2">
      <c r="A38" t="s">
        <v>402</v>
      </c>
      <c r="B38" t="s">
        <v>23</v>
      </c>
      <c r="C38" s="2">
        <v>43389</v>
      </c>
      <c r="D38" t="s">
        <v>392</v>
      </c>
      <c r="E38">
        <v>-1130312.5</v>
      </c>
      <c r="F38" t="s">
        <v>396</v>
      </c>
      <c r="G38" t="s">
        <v>394</v>
      </c>
      <c r="H38">
        <v>181005160116</v>
      </c>
    </row>
    <row r="39" spans="1:8" x14ac:dyDescent="0.2">
      <c r="A39" t="s">
        <v>402</v>
      </c>
      <c r="B39" t="s">
        <v>23</v>
      </c>
      <c r="C39" s="2">
        <v>43378</v>
      </c>
      <c r="D39" t="s">
        <v>392</v>
      </c>
      <c r="E39">
        <v>-2585576.33</v>
      </c>
      <c r="F39" t="s">
        <v>397</v>
      </c>
      <c r="G39" t="s">
        <v>394</v>
      </c>
      <c r="H39">
        <v>181005160116</v>
      </c>
    </row>
    <row r="40" spans="1:8" x14ac:dyDescent="0.2">
      <c r="A40" t="s">
        <v>402</v>
      </c>
      <c r="B40" t="s">
        <v>23</v>
      </c>
      <c r="C40" s="2">
        <v>43382</v>
      </c>
      <c r="D40" t="s">
        <v>392</v>
      </c>
      <c r="E40">
        <v>-1667327.88</v>
      </c>
      <c r="F40" t="s">
        <v>397</v>
      </c>
      <c r="G40" t="s">
        <v>394</v>
      </c>
      <c r="H40">
        <v>181005160116</v>
      </c>
    </row>
    <row r="41" spans="1:8" x14ac:dyDescent="0.2">
      <c r="A41" t="s">
        <v>402</v>
      </c>
      <c r="B41" t="s">
        <v>23</v>
      </c>
      <c r="C41" s="2">
        <v>43383</v>
      </c>
      <c r="D41" t="s">
        <v>392</v>
      </c>
      <c r="E41">
        <v>-2946664.87</v>
      </c>
      <c r="F41" t="s">
        <v>397</v>
      </c>
      <c r="G41" t="s">
        <v>394</v>
      </c>
      <c r="H41">
        <v>181005160116</v>
      </c>
    </row>
    <row r="42" spans="1:8" x14ac:dyDescent="0.2">
      <c r="A42" t="s">
        <v>402</v>
      </c>
      <c r="B42" t="s">
        <v>23</v>
      </c>
      <c r="C42" s="2">
        <v>43384</v>
      </c>
      <c r="D42" t="s">
        <v>392</v>
      </c>
      <c r="E42">
        <v>-915521.15</v>
      </c>
      <c r="F42" t="s">
        <v>397</v>
      </c>
      <c r="G42" t="s">
        <v>394</v>
      </c>
      <c r="H42">
        <v>181005160116</v>
      </c>
    </row>
    <row r="43" spans="1:8" x14ac:dyDescent="0.2">
      <c r="A43" t="s">
        <v>402</v>
      </c>
      <c r="B43" t="s">
        <v>23</v>
      </c>
      <c r="C43" s="2">
        <v>43385</v>
      </c>
      <c r="D43" t="s">
        <v>392</v>
      </c>
      <c r="E43">
        <v>-2159246.85</v>
      </c>
      <c r="F43" t="s">
        <v>397</v>
      </c>
      <c r="G43" t="s">
        <v>394</v>
      </c>
      <c r="H43">
        <v>181005160116</v>
      </c>
    </row>
    <row r="44" spans="1:8" x14ac:dyDescent="0.2">
      <c r="A44" t="s">
        <v>403</v>
      </c>
      <c r="B44" t="s">
        <v>23</v>
      </c>
      <c r="C44" s="2">
        <v>43381</v>
      </c>
      <c r="D44" t="s">
        <v>392</v>
      </c>
      <c r="E44">
        <v>190000</v>
      </c>
      <c r="F44" t="s">
        <v>393</v>
      </c>
      <c r="G44" t="s">
        <v>394</v>
      </c>
      <c r="H44">
        <v>181005160116</v>
      </c>
    </row>
    <row r="45" spans="1:8" x14ac:dyDescent="0.2">
      <c r="A45" t="s">
        <v>403</v>
      </c>
      <c r="B45" t="s">
        <v>23</v>
      </c>
      <c r="C45" s="2">
        <v>43378</v>
      </c>
      <c r="D45" t="s">
        <v>392</v>
      </c>
      <c r="E45">
        <v>-9175234.5399999991</v>
      </c>
      <c r="F45" t="s">
        <v>396</v>
      </c>
      <c r="G45" t="s">
        <v>394</v>
      </c>
      <c r="H45">
        <v>181005160116</v>
      </c>
    </row>
    <row r="46" spans="1:8" x14ac:dyDescent="0.2">
      <c r="A46" t="s">
        <v>403</v>
      </c>
      <c r="B46" t="s">
        <v>23</v>
      </c>
      <c r="C46" s="2">
        <v>43382</v>
      </c>
      <c r="D46" t="s">
        <v>392</v>
      </c>
      <c r="E46">
        <v>-200000</v>
      </c>
      <c r="F46" t="s">
        <v>396</v>
      </c>
      <c r="G46" t="s">
        <v>394</v>
      </c>
      <c r="H46">
        <v>181005160116</v>
      </c>
    </row>
    <row r="47" spans="1:8" x14ac:dyDescent="0.2">
      <c r="A47" t="s">
        <v>403</v>
      </c>
      <c r="B47" t="s">
        <v>23</v>
      </c>
      <c r="C47" s="2">
        <v>43383</v>
      </c>
      <c r="D47" t="s">
        <v>392</v>
      </c>
      <c r="E47">
        <v>-2350955.52</v>
      </c>
      <c r="F47" t="s">
        <v>396</v>
      </c>
      <c r="G47" t="s">
        <v>394</v>
      </c>
      <c r="H47">
        <v>181005160116</v>
      </c>
    </row>
    <row r="48" spans="1:8" x14ac:dyDescent="0.2">
      <c r="A48" t="s">
        <v>403</v>
      </c>
      <c r="B48" t="s">
        <v>23</v>
      </c>
      <c r="C48" s="2">
        <v>43384</v>
      </c>
      <c r="D48" t="s">
        <v>392</v>
      </c>
      <c r="E48">
        <v>-925486.45</v>
      </c>
      <c r="F48" t="s">
        <v>396</v>
      </c>
      <c r="G48" t="s">
        <v>394</v>
      </c>
      <c r="H48">
        <v>181005160116</v>
      </c>
    </row>
    <row r="49" spans="1:8" x14ac:dyDescent="0.2">
      <c r="A49" t="s">
        <v>403</v>
      </c>
      <c r="B49" t="s">
        <v>23</v>
      </c>
      <c r="C49" s="2">
        <v>43378</v>
      </c>
      <c r="D49" t="s">
        <v>392</v>
      </c>
      <c r="E49">
        <v>-7503228.6799999997</v>
      </c>
      <c r="F49" t="s">
        <v>397</v>
      </c>
      <c r="G49" t="s">
        <v>394</v>
      </c>
      <c r="H49">
        <v>181005160116</v>
      </c>
    </row>
    <row r="50" spans="1:8" x14ac:dyDescent="0.2">
      <c r="A50" t="s">
        <v>403</v>
      </c>
      <c r="B50" t="s">
        <v>23</v>
      </c>
      <c r="C50" s="2">
        <v>43382</v>
      </c>
      <c r="D50" t="s">
        <v>392</v>
      </c>
      <c r="E50">
        <v>-932099.47</v>
      </c>
      <c r="F50" t="s">
        <v>397</v>
      </c>
      <c r="G50" t="s">
        <v>394</v>
      </c>
      <c r="H50">
        <v>181005160116</v>
      </c>
    </row>
    <row r="51" spans="1:8" x14ac:dyDescent="0.2">
      <c r="A51" t="s">
        <v>403</v>
      </c>
      <c r="B51" t="s">
        <v>23</v>
      </c>
      <c r="C51" s="2">
        <v>43383</v>
      </c>
      <c r="D51" t="s">
        <v>392</v>
      </c>
      <c r="E51">
        <v>-523789.4</v>
      </c>
      <c r="F51" t="s">
        <v>397</v>
      </c>
      <c r="G51" t="s">
        <v>394</v>
      </c>
      <c r="H51">
        <v>181005160116</v>
      </c>
    </row>
    <row r="52" spans="1:8" x14ac:dyDescent="0.2">
      <c r="A52" t="s">
        <v>403</v>
      </c>
      <c r="B52" t="s">
        <v>23</v>
      </c>
      <c r="C52" s="2">
        <v>43384</v>
      </c>
      <c r="D52" t="s">
        <v>392</v>
      </c>
      <c r="E52">
        <v>-1508536.52</v>
      </c>
      <c r="F52" t="s">
        <v>397</v>
      </c>
      <c r="G52" t="s">
        <v>394</v>
      </c>
      <c r="H52">
        <v>181005160116</v>
      </c>
    </row>
    <row r="53" spans="1:8" x14ac:dyDescent="0.2">
      <c r="A53" t="s">
        <v>404</v>
      </c>
      <c r="B53" t="s">
        <v>23</v>
      </c>
      <c r="C53" s="2">
        <v>43378</v>
      </c>
      <c r="D53" t="s">
        <v>392</v>
      </c>
      <c r="E53">
        <v>16085.04</v>
      </c>
      <c r="F53" t="s">
        <v>393</v>
      </c>
      <c r="G53" t="s">
        <v>394</v>
      </c>
      <c r="H53">
        <v>181005160116</v>
      </c>
    </row>
    <row r="54" spans="1:8" x14ac:dyDescent="0.2">
      <c r="A54" t="s">
        <v>404</v>
      </c>
      <c r="B54" t="s">
        <v>23</v>
      </c>
      <c r="C54" s="2">
        <v>43381</v>
      </c>
      <c r="D54" t="s">
        <v>392</v>
      </c>
      <c r="E54">
        <v>12000</v>
      </c>
      <c r="F54" t="s">
        <v>393</v>
      </c>
      <c r="G54" t="s">
        <v>394</v>
      </c>
      <c r="H54">
        <v>181005160116</v>
      </c>
    </row>
    <row r="55" spans="1:8" x14ac:dyDescent="0.2">
      <c r="A55" t="s">
        <v>404</v>
      </c>
      <c r="B55" t="s">
        <v>23</v>
      </c>
      <c r="C55" s="2">
        <v>43378</v>
      </c>
      <c r="D55" t="s">
        <v>392</v>
      </c>
      <c r="E55">
        <v>40000</v>
      </c>
      <c r="F55" t="s">
        <v>395</v>
      </c>
      <c r="G55" t="s">
        <v>394</v>
      </c>
      <c r="H55">
        <v>181005160116</v>
      </c>
    </row>
    <row r="56" spans="1:8" x14ac:dyDescent="0.2">
      <c r="A56" t="s">
        <v>404</v>
      </c>
      <c r="B56" t="s">
        <v>23</v>
      </c>
      <c r="C56" s="2">
        <v>43381</v>
      </c>
      <c r="D56" t="s">
        <v>392</v>
      </c>
      <c r="E56">
        <v>20000</v>
      </c>
      <c r="F56" t="s">
        <v>395</v>
      </c>
      <c r="G56" t="s">
        <v>394</v>
      </c>
      <c r="H56">
        <v>181005160116</v>
      </c>
    </row>
    <row r="57" spans="1:8" x14ac:dyDescent="0.2">
      <c r="A57" t="s">
        <v>404</v>
      </c>
      <c r="B57" t="s">
        <v>23</v>
      </c>
      <c r="C57" s="2">
        <v>43378</v>
      </c>
      <c r="D57" t="s">
        <v>392</v>
      </c>
      <c r="E57">
        <v>-15874.51</v>
      </c>
      <c r="F57" t="s">
        <v>396</v>
      </c>
      <c r="G57" t="s">
        <v>394</v>
      </c>
      <c r="H57">
        <v>181005160116</v>
      </c>
    </row>
    <row r="58" spans="1:8" x14ac:dyDescent="0.2">
      <c r="A58" t="s">
        <v>405</v>
      </c>
      <c r="B58" t="s">
        <v>23</v>
      </c>
      <c r="C58" s="2">
        <v>43378</v>
      </c>
      <c r="D58" t="s">
        <v>392</v>
      </c>
      <c r="E58">
        <v>219594.02</v>
      </c>
      <c r="F58" t="s">
        <v>393</v>
      </c>
      <c r="G58" t="s">
        <v>394</v>
      </c>
      <c r="H58">
        <v>181005160116</v>
      </c>
    </row>
    <row r="59" spans="1:8" x14ac:dyDescent="0.2">
      <c r="A59" t="s">
        <v>405</v>
      </c>
      <c r="B59" t="s">
        <v>23</v>
      </c>
      <c r="C59" s="2">
        <v>43381</v>
      </c>
      <c r="D59" t="s">
        <v>392</v>
      </c>
      <c r="E59">
        <v>251024</v>
      </c>
      <c r="F59" t="s">
        <v>393</v>
      </c>
      <c r="G59" t="s">
        <v>394</v>
      </c>
      <c r="H59">
        <v>181005160116</v>
      </c>
    </row>
    <row r="60" spans="1:8" x14ac:dyDescent="0.2">
      <c r="A60" t="s">
        <v>405</v>
      </c>
      <c r="B60" t="s">
        <v>23</v>
      </c>
      <c r="C60" s="2">
        <v>43378</v>
      </c>
      <c r="D60" t="s">
        <v>392</v>
      </c>
      <c r="E60">
        <v>5603886.5800000001</v>
      </c>
      <c r="F60" t="s">
        <v>395</v>
      </c>
      <c r="G60" t="s">
        <v>394</v>
      </c>
      <c r="H60">
        <v>181005160116</v>
      </c>
    </row>
    <row r="61" spans="1:8" x14ac:dyDescent="0.2">
      <c r="A61" t="s">
        <v>405</v>
      </c>
      <c r="B61" t="s">
        <v>23</v>
      </c>
      <c r="C61" s="2">
        <v>43381</v>
      </c>
      <c r="D61" t="s">
        <v>392</v>
      </c>
      <c r="E61">
        <v>330000</v>
      </c>
      <c r="F61" t="s">
        <v>395</v>
      </c>
      <c r="G61" t="s">
        <v>394</v>
      </c>
      <c r="H61">
        <v>181005160116</v>
      </c>
    </row>
    <row r="62" spans="1:8" x14ac:dyDescent="0.2">
      <c r="A62" t="s">
        <v>405</v>
      </c>
      <c r="B62" t="s">
        <v>23</v>
      </c>
      <c r="C62" s="2">
        <v>43383</v>
      </c>
      <c r="D62" t="s">
        <v>392</v>
      </c>
      <c r="E62">
        <v>1294.32</v>
      </c>
      <c r="F62" t="s">
        <v>395</v>
      </c>
      <c r="G62" t="s">
        <v>394</v>
      </c>
      <c r="H62">
        <v>181005160116</v>
      </c>
    </row>
    <row r="63" spans="1:8" x14ac:dyDescent="0.2">
      <c r="A63" t="s">
        <v>405</v>
      </c>
      <c r="B63" t="s">
        <v>23</v>
      </c>
      <c r="C63" s="2">
        <v>43389</v>
      </c>
      <c r="D63" t="s">
        <v>392</v>
      </c>
      <c r="E63">
        <v>19641.830000000002</v>
      </c>
      <c r="F63" t="s">
        <v>395</v>
      </c>
      <c r="G63" t="s">
        <v>394</v>
      </c>
      <c r="H63">
        <v>181005160116</v>
      </c>
    </row>
    <row r="64" spans="1:8" x14ac:dyDescent="0.2">
      <c r="A64" t="s">
        <v>405</v>
      </c>
      <c r="B64" t="s">
        <v>23</v>
      </c>
      <c r="C64" s="2">
        <v>43378</v>
      </c>
      <c r="D64" t="s">
        <v>392</v>
      </c>
      <c r="E64">
        <v>-213823.45</v>
      </c>
      <c r="F64" t="s">
        <v>396</v>
      </c>
      <c r="G64" t="s">
        <v>394</v>
      </c>
      <c r="H64">
        <v>181005160116</v>
      </c>
    </row>
    <row r="65" spans="1:8" x14ac:dyDescent="0.2">
      <c r="A65" t="s">
        <v>405</v>
      </c>
      <c r="B65" t="s">
        <v>23</v>
      </c>
      <c r="C65" s="2">
        <v>43381</v>
      </c>
      <c r="D65" t="s">
        <v>392</v>
      </c>
      <c r="E65">
        <v>-372506.51</v>
      </c>
      <c r="F65" t="s">
        <v>396</v>
      </c>
      <c r="G65" t="s">
        <v>394</v>
      </c>
      <c r="H65">
        <v>181005160116</v>
      </c>
    </row>
    <row r="66" spans="1:8" x14ac:dyDescent="0.2">
      <c r="A66" t="s">
        <v>405</v>
      </c>
      <c r="B66" t="s">
        <v>23</v>
      </c>
      <c r="C66" s="2">
        <v>43382</v>
      </c>
      <c r="D66" t="s">
        <v>392</v>
      </c>
      <c r="E66">
        <v>-23439.85</v>
      </c>
      <c r="F66" t="s">
        <v>396</v>
      </c>
      <c r="G66" t="s">
        <v>394</v>
      </c>
      <c r="H66">
        <v>181005160116</v>
      </c>
    </row>
    <row r="67" spans="1:8" x14ac:dyDescent="0.2">
      <c r="A67" t="s">
        <v>405</v>
      </c>
      <c r="B67" t="s">
        <v>23</v>
      </c>
      <c r="C67" s="2">
        <v>43378</v>
      </c>
      <c r="D67" t="s">
        <v>392</v>
      </c>
      <c r="E67">
        <v>-118428.43</v>
      </c>
      <c r="F67" t="s">
        <v>397</v>
      </c>
      <c r="G67" t="s">
        <v>394</v>
      </c>
      <c r="H67">
        <v>181005160116</v>
      </c>
    </row>
    <row r="68" spans="1:8" x14ac:dyDescent="0.2">
      <c r="A68" t="s">
        <v>405</v>
      </c>
      <c r="B68" t="s">
        <v>23</v>
      </c>
      <c r="C68" s="2">
        <v>43381</v>
      </c>
      <c r="D68" t="s">
        <v>392</v>
      </c>
      <c r="E68">
        <v>-104054.77</v>
      </c>
      <c r="F68" t="s">
        <v>397</v>
      </c>
      <c r="G68" t="s">
        <v>394</v>
      </c>
      <c r="H68">
        <v>181005160116</v>
      </c>
    </row>
    <row r="69" spans="1:8" x14ac:dyDescent="0.2">
      <c r="A69" t="s">
        <v>405</v>
      </c>
      <c r="B69" t="s">
        <v>23</v>
      </c>
      <c r="C69" s="2">
        <v>43382</v>
      </c>
      <c r="D69" t="s">
        <v>392</v>
      </c>
      <c r="E69">
        <v>-1000984.22</v>
      </c>
      <c r="F69" t="s">
        <v>397</v>
      </c>
      <c r="G69" t="s">
        <v>394</v>
      </c>
      <c r="H69">
        <v>181005160116</v>
      </c>
    </row>
    <row r="70" spans="1:8" x14ac:dyDescent="0.2">
      <c r="A70" t="s">
        <v>406</v>
      </c>
      <c r="B70" t="s">
        <v>23</v>
      </c>
      <c r="C70" s="2">
        <v>43378</v>
      </c>
      <c r="D70" t="s">
        <v>392</v>
      </c>
      <c r="E70">
        <v>24301.200000000001</v>
      </c>
      <c r="F70" t="s">
        <v>393</v>
      </c>
      <c r="G70" t="s">
        <v>394</v>
      </c>
      <c r="H70">
        <v>181005160116</v>
      </c>
    </row>
    <row r="71" spans="1:8" x14ac:dyDescent="0.2">
      <c r="A71" t="s">
        <v>406</v>
      </c>
      <c r="B71" t="s">
        <v>23</v>
      </c>
      <c r="C71" s="2">
        <v>43381</v>
      </c>
      <c r="D71" t="s">
        <v>392</v>
      </c>
      <c r="E71">
        <v>27000</v>
      </c>
      <c r="F71" t="s">
        <v>393</v>
      </c>
      <c r="G71" t="s">
        <v>394</v>
      </c>
      <c r="H71">
        <v>181005160116</v>
      </c>
    </row>
    <row r="72" spans="1:8" x14ac:dyDescent="0.2">
      <c r="A72" t="s">
        <v>406</v>
      </c>
      <c r="B72" t="s">
        <v>23</v>
      </c>
      <c r="C72" s="2">
        <v>43381</v>
      </c>
      <c r="D72" t="s">
        <v>392</v>
      </c>
      <c r="E72">
        <v>1776032.11</v>
      </c>
      <c r="F72" t="s">
        <v>395</v>
      </c>
      <c r="G72" t="s">
        <v>394</v>
      </c>
      <c r="H72">
        <v>181005160116</v>
      </c>
    </row>
    <row r="73" spans="1:8" x14ac:dyDescent="0.2">
      <c r="A73" t="s">
        <v>406</v>
      </c>
      <c r="B73" t="s">
        <v>23</v>
      </c>
      <c r="C73" s="2">
        <v>43378</v>
      </c>
      <c r="D73" t="s">
        <v>392</v>
      </c>
      <c r="E73">
        <v>-145144.95000000001</v>
      </c>
      <c r="F73" t="s">
        <v>396</v>
      </c>
      <c r="G73" t="s">
        <v>394</v>
      </c>
      <c r="H73">
        <v>181005160116</v>
      </c>
    </row>
    <row r="74" spans="1:8" x14ac:dyDescent="0.2">
      <c r="A74" t="s">
        <v>406</v>
      </c>
      <c r="B74" t="s">
        <v>23</v>
      </c>
      <c r="C74" s="2">
        <v>43383</v>
      </c>
      <c r="D74" t="s">
        <v>392</v>
      </c>
      <c r="E74">
        <v>-60605.63</v>
      </c>
      <c r="F74" t="s">
        <v>396</v>
      </c>
      <c r="G74" t="s">
        <v>394</v>
      </c>
      <c r="H74">
        <v>181005160116</v>
      </c>
    </row>
    <row r="75" spans="1:8" x14ac:dyDescent="0.2">
      <c r="A75" t="s">
        <v>406</v>
      </c>
      <c r="B75" t="s">
        <v>23</v>
      </c>
      <c r="C75" s="2">
        <v>43384</v>
      </c>
      <c r="D75" t="s">
        <v>392</v>
      </c>
      <c r="E75">
        <v>-5595.32</v>
      </c>
      <c r="F75" t="s">
        <v>396</v>
      </c>
      <c r="G75" t="s">
        <v>394</v>
      </c>
      <c r="H75">
        <v>181005160116</v>
      </c>
    </row>
    <row r="76" spans="1:8" x14ac:dyDescent="0.2">
      <c r="A76" t="s">
        <v>406</v>
      </c>
      <c r="B76" t="s">
        <v>23</v>
      </c>
      <c r="C76" s="2">
        <v>43378</v>
      </c>
      <c r="D76" t="s">
        <v>392</v>
      </c>
      <c r="E76">
        <v>-1563380.63</v>
      </c>
      <c r="F76" t="s">
        <v>397</v>
      </c>
      <c r="G76" t="s">
        <v>394</v>
      </c>
      <c r="H76">
        <v>181005160116</v>
      </c>
    </row>
    <row r="77" spans="1:8" x14ac:dyDescent="0.2">
      <c r="A77" t="s">
        <v>406</v>
      </c>
      <c r="B77" t="s">
        <v>23</v>
      </c>
      <c r="C77" s="2">
        <v>43384</v>
      </c>
      <c r="D77" t="s">
        <v>392</v>
      </c>
      <c r="E77">
        <v>-300000</v>
      </c>
      <c r="F77" t="s">
        <v>397</v>
      </c>
      <c r="G77" t="s">
        <v>394</v>
      </c>
      <c r="H77">
        <v>181005160116</v>
      </c>
    </row>
    <row r="78" spans="1:8" x14ac:dyDescent="0.2">
      <c r="A78" t="s">
        <v>407</v>
      </c>
      <c r="B78" t="s">
        <v>23</v>
      </c>
      <c r="C78" s="2">
        <v>43378</v>
      </c>
      <c r="D78" t="s">
        <v>392</v>
      </c>
      <c r="E78">
        <v>295661.90000000002</v>
      </c>
      <c r="F78" t="s">
        <v>393</v>
      </c>
      <c r="G78" t="s">
        <v>394</v>
      </c>
      <c r="H78">
        <v>181005160116</v>
      </c>
    </row>
    <row r="79" spans="1:8" x14ac:dyDescent="0.2">
      <c r="A79" t="s">
        <v>407</v>
      </c>
      <c r="B79" t="s">
        <v>23</v>
      </c>
      <c r="C79" s="2">
        <v>43381</v>
      </c>
      <c r="D79" t="s">
        <v>392</v>
      </c>
      <c r="E79">
        <v>37500</v>
      </c>
      <c r="F79" t="s">
        <v>393</v>
      </c>
      <c r="G79" t="s">
        <v>394</v>
      </c>
      <c r="H79">
        <v>181005160116</v>
      </c>
    </row>
    <row r="80" spans="1:8" x14ac:dyDescent="0.2">
      <c r="A80" t="s">
        <v>407</v>
      </c>
      <c r="B80" t="s">
        <v>23</v>
      </c>
      <c r="C80" s="2">
        <v>43378</v>
      </c>
      <c r="D80" t="s">
        <v>392</v>
      </c>
      <c r="E80">
        <v>401455.56</v>
      </c>
      <c r="F80" t="s">
        <v>395</v>
      </c>
      <c r="G80" t="s">
        <v>394</v>
      </c>
      <c r="H80">
        <v>181005160116</v>
      </c>
    </row>
    <row r="81" spans="1:8" x14ac:dyDescent="0.2">
      <c r="A81" t="s">
        <v>407</v>
      </c>
      <c r="B81" t="s">
        <v>23</v>
      </c>
      <c r="C81" s="2">
        <v>43381</v>
      </c>
      <c r="D81" t="s">
        <v>392</v>
      </c>
      <c r="E81">
        <v>73200.23</v>
      </c>
      <c r="F81" t="s">
        <v>395</v>
      </c>
      <c r="G81" t="s">
        <v>394</v>
      </c>
      <c r="H81">
        <v>181005160116</v>
      </c>
    </row>
    <row r="82" spans="1:8" x14ac:dyDescent="0.2">
      <c r="A82" t="s">
        <v>407</v>
      </c>
      <c r="B82" t="s">
        <v>23</v>
      </c>
      <c r="C82" s="2">
        <v>43382</v>
      </c>
      <c r="D82" t="s">
        <v>392</v>
      </c>
      <c r="E82">
        <v>7000</v>
      </c>
      <c r="F82" t="s">
        <v>395</v>
      </c>
      <c r="G82" t="s">
        <v>394</v>
      </c>
      <c r="H82">
        <v>181005160116</v>
      </c>
    </row>
    <row r="83" spans="1:8" x14ac:dyDescent="0.2">
      <c r="A83" t="s">
        <v>407</v>
      </c>
      <c r="B83" t="s">
        <v>23</v>
      </c>
      <c r="C83" s="2">
        <v>43378</v>
      </c>
      <c r="D83" t="s">
        <v>392</v>
      </c>
      <c r="E83">
        <v>-1029.51</v>
      </c>
      <c r="F83" t="s">
        <v>396</v>
      </c>
      <c r="G83" t="s">
        <v>394</v>
      </c>
      <c r="H83">
        <v>181005160116</v>
      </c>
    </row>
    <row r="84" spans="1:8" x14ac:dyDescent="0.2">
      <c r="A84" t="s">
        <v>407</v>
      </c>
      <c r="B84" t="s">
        <v>23</v>
      </c>
      <c r="C84" s="2">
        <v>43381</v>
      </c>
      <c r="D84" t="s">
        <v>392</v>
      </c>
      <c r="E84">
        <v>-380692.72</v>
      </c>
      <c r="F84" t="s">
        <v>396</v>
      </c>
      <c r="G84" t="s">
        <v>394</v>
      </c>
      <c r="H84">
        <v>181005160116</v>
      </c>
    </row>
    <row r="85" spans="1:8" x14ac:dyDescent="0.2">
      <c r="A85" t="s">
        <v>407</v>
      </c>
      <c r="B85" t="s">
        <v>23</v>
      </c>
      <c r="C85" s="2">
        <v>43382</v>
      </c>
      <c r="D85" t="s">
        <v>392</v>
      </c>
      <c r="E85">
        <v>-993.43</v>
      </c>
      <c r="F85" t="s">
        <v>396</v>
      </c>
      <c r="G85" t="s">
        <v>394</v>
      </c>
      <c r="H85">
        <v>181005160116</v>
      </c>
    </row>
    <row r="86" spans="1:8" x14ac:dyDescent="0.2">
      <c r="A86" t="s">
        <v>407</v>
      </c>
      <c r="B86" t="s">
        <v>23</v>
      </c>
      <c r="C86" s="2">
        <v>43378</v>
      </c>
      <c r="D86" t="s">
        <v>392</v>
      </c>
      <c r="E86">
        <v>-10000</v>
      </c>
      <c r="F86" t="s">
        <v>397</v>
      </c>
      <c r="G86" t="s">
        <v>394</v>
      </c>
      <c r="H86">
        <v>181005160116</v>
      </c>
    </row>
    <row r="87" spans="1:8" x14ac:dyDescent="0.2">
      <c r="A87" t="s">
        <v>407</v>
      </c>
      <c r="B87" t="s">
        <v>23</v>
      </c>
      <c r="C87" s="2">
        <v>43381</v>
      </c>
      <c r="D87" t="s">
        <v>392</v>
      </c>
      <c r="E87">
        <v>-2260770.63</v>
      </c>
      <c r="F87" t="s">
        <v>397</v>
      </c>
      <c r="G87" t="s">
        <v>394</v>
      </c>
      <c r="H87">
        <v>181005160116</v>
      </c>
    </row>
    <row r="88" spans="1:8" x14ac:dyDescent="0.2">
      <c r="A88" t="s">
        <v>407</v>
      </c>
      <c r="B88" t="s">
        <v>23</v>
      </c>
      <c r="C88" s="2">
        <v>43382</v>
      </c>
      <c r="D88" t="s">
        <v>392</v>
      </c>
      <c r="E88">
        <v>-10000</v>
      </c>
      <c r="F88" t="s">
        <v>397</v>
      </c>
      <c r="G88" t="s">
        <v>394</v>
      </c>
      <c r="H88">
        <v>181005160116</v>
      </c>
    </row>
    <row r="89" spans="1:8" x14ac:dyDescent="0.2">
      <c r="A89" t="s">
        <v>408</v>
      </c>
      <c r="B89" t="s">
        <v>23</v>
      </c>
      <c r="C89" s="2">
        <v>43378</v>
      </c>
      <c r="D89" t="s">
        <v>392</v>
      </c>
      <c r="E89">
        <v>1614992.09</v>
      </c>
      <c r="F89" t="s">
        <v>393</v>
      </c>
      <c r="G89" t="s">
        <v>394</v>
      </c>
      <c r="H89">
        <v>181005160116</v>
      </c>
    </row>
    <row r="90" spans="1:8" x14ac:dyDescent="0.2">
      <c r="A90" t="s">
        <v>408</v>
      </c>
      <c r="B90" t="s">
        <v>23</v>
      </c>
      <c r="C90" s="2">
        <v>43381</v>
      </c>
      <c r="D90" t="s">
        <v>392</v>
      </c>
      <c r="E90">
        <v>20515600</v>
      </c>
      <c r="F90" t="s">
        <v>393</v>
      </c>
      <c r="G90" t="s">
        <v>394</v>
      </c>
      <c r="H90">
        <v>181005160116</v>
      </c>
    </row>
    <row r="91" spans="1:8" x14ac:dyDescent="0.2">
      <c r="A91" t="s">
        <v>408</v>
      </c>
      <c r="B91" t="s">
        <v>23</v>
      </c>
      <c r="C91" s="2">
        <v>43378</v>
      </c>
      <c r="D91" t="s">
        <v>392</v>
      </c>
      <c r="E91">
        <v>2150774.41</v>
      </c>
      <c r="F91" t="s">
        <v>395</v>
      </c>
      <c r="G91" t="s">
        <v>394</v>
      </c>
      <c r="H91">
        <v>181005160116</v>
      </c>
    </row>
    <row r="92" spans="1:8" x14ac:dyDescent="0.2">
      <c r="A92" t="s">
        <v>408</v>
      </c>
      <c r="B92" t="s">
        <v>23</v>
      </c>
      <c r="C92" s="2">
        <v>43381</v>
      </c>
      <c r="D92" t="s">
        <v>392</v>
      </c>
      <c r="E92">
        <v>3598857.08</v>
      </c>
      <c r="F92" t="s">
        <v>395</v>
      </c>
      <c r="G92" t="s">
        <v>394</v>
      </c>
      <c r="H92">
        <v>181005160116</v>
      </c>
    </row>
    <row r="93" spans="1:8" x14ac:dyDescent="0.2">
      <c r="A93" t="s">
        <v>408</v>
      </c>
      <c r="B93" t="s">
        <v>23</v>
      </c>
      <c r="C93" s="2">
        <v>43378</v>
      </c>
      <c r="D93" t="s">
        <v>392</v>
      </c>
      <c r="E93">
        <v>-706438.76</v>
      </c>
      <c r="F93" t="s">
        <v>396</v>
      </c>
      <c r="G93" t="s">
        <v>394</v>
      </c>
      <c r="H93">
        <v>181005160116</v>
      </c>
    </row>
    <row r="94" spans="1:8" x14ac:dyDescent="0.2">
      <c r="A94" t="s">
        <v>408</v>
      </c>
      <c r="B94" t="s">
        <v>23</v>
      </c>
      <c r="C94" s="2">
        <v>43381</v>
      </c>
      <c r="D94" t="s">
        <v>392</v>
      </c>
      <c r="E94">
        <v>-1366418.89</v>
      </c>
      <c r="F94" t="s">
        <v>396</v>
      </c>
      <c r="G94" t="s">
        <v>394</v>
      </c>
      <c r="H94">
        <v>181005160116</v>
      </c>
    </row>
    <row r="95" spans="1:8" x14ac:dyDescent="0.2">
      <c r="A95" t="s">
        <v>408</v>
      </c>
      <c r="B95" t="s">
        <v>23</v>
      </c>
      <c r="C95" s="2">
        <v>43378</v>
      </c>
      <c r="D95" t="s">
        <v>392</v>
      </c>
      <c r="E95">
        <v>-888498.19</v>
      </c>
      <c r="F95" t="s">
        <v>397</v>
      </c>
      <c r="G95" t="s">
        <v>394</v>
      </c>
      <c r="H95">
        <v>181005160116</v>
      </c>
    </row>
    <row r="96" spans="1:8" x14ac:dyDescent="0.2">
      <c r="A96" t="s">
        <v>408</v>
      </c>
      <c r="B96" t="s">
        <v>23</v>
      </c>
      <c r="C96" s="2">
        <v>43382</v>
      </c>
      <c r="D96" t="s">
        <v>392</v>
      </c>
      <c r="E96">
        <v>-1302866.69</v>
      </c>
      <c r="F96" t="s">
        <v>397</v>
      </c>
      <c r="G96" t="s">
        <v>394</v>
      </c>
      <c r="H96">
        <v>181005160116</v>
      </c>
    </row>
    <row r="97" spans="1:8" x14ac:dyDescent="0.2">
      <c r="A97" t="s">
        <v>409</v>
      </c>
      <c r="B97" t="s">
        <v>23</v>
      </c>
      <c r="C97" s="2">
        <v>43385</v>
      </c>
      <c r="D97" t="s">
        <v>392</v>
      </c>
      <c r="E97">
        <v>3007.3</v>
      </c>
      <c r="F97" t="s">
        <v>395</v>
      </c>
      <c r="G97" t="s">
        <v>394</v>
      </c>
      <c r="H97">
        <v>181005160116</v>
      </c>
    </row>
    <row r="98" spans="1:8" x14ac:dyDescent="0.2">
      <c r="A98" t="s">
        <v>409</v>
      </c>
      <c r="B98" t="s">
        <v>23</v>
      </c>
      <c r="C98" s="2">
        <v>43381</v>
      </c>
      <c r="D98" t="s">
        <v>392</v>
      </c>
      <c r="E98">
        <v>-2754564.22</v>
      </c>
      <c r="F98" t="s">
        <v>396</v>
      </c>
      <c r="G98" t="s">
        <v>394</v>
      </c>
      <c r="H98">
        <v>181005160116</v>
      </c>
    </row>
    <row r="99" spans="1:8" x14ac:dyDescent="0.2">
      <c r="A99" t="s">
        <v>409</v>
      </c>
      <c r="B99" t="s">
        <v>23</v>
      </c>
      <c r="C99" s="2">
        <v>43382</v>
      </c>
      <c r="D99" t="s">
        <v>392</v>
      </c>
      <c r="E99">
        <v>-1095832.3899999999</v>
      </c>
      <c r="F99" t="s">
        <v>396</v>
      </c>
      <c r="G99" t="s">
        <v>394</v>
      </c>
      <c r="H99">
        <v>181005160116</v>
      </c>
    </row>
    <row r="100" spans="1:8" x14ac:dyDescent="0.2">
      <c r="A100" t="s">
        <v>409</v>
      </c>
      <c r="B100" t="s">
        <v>23</v>
      </c>
      <c r="C100" s="2">
        <v>43381</v>
      </c>
      <c r="D100" t="s">
        <v>392</v>
      </c>
      <c r="E100">
        <v>-3536739.35</v>
      </c>
      <c r="F100" t="s">
        <v>397</v>
      </c>
      <c r="G100" t="s">
        <v>394</v>
      </c>
      <c r="H100">
        <v>181005160116</v>
      </c>
    </row>
    <row r="101" spans="1:8" x14ac:dyDescent="0.2">
      <c r="A101" t="s">
        <v>409</v>
      </c>
      <c r="B101" t="s">
        <v>23</v>
      </c>
      <c r="C101" s="2">
        <v>43382</v>
      </c>
      <c r="D101" t="s">
        <v>392</v>
      </c>
      <c r="E101">
        <v>-422214.06</v>
      </c>
      <c r="F101" t="s">
        <v>397</v>
      </c>
      <c r="G101" t="s">
        <v>394</v>
      </c>
      <c r="H101">
        <v>181005160116</v>
      </c>
    </row>
    <row r="102" spans="1:8" x14ac:dyDescent="0.2">
      <c r="A102" t="s">
        <v>410</v>
      </c>
      <c r="B102" t="s">
        <v>23</v>
      </c>
      <c r="C102" s="2">
        <v>43381</v>
      </c>
      <c r="D102" t="s">
        <v>392</v>
      </c>
      <c r="E102">
        <v>10000</v>
      </c>
      <c r="F102" t="s">
        <v>395</v>
      </c>
      <c r="G102" t="s">
        <v>394</v>
      </c>
      <c r="H102">
        <v>181005160116</v>
      </c>
    </row>
    <row r="103" spans="1:8" x14ac:dyDescent="0.2">
      <c r="A103" t="s">
        <v>410</v>
      </c>
      <c r="B103" t="s">
        <v>23</v>
      </c>
      <c r="C103" s="2">
        <v>43382</v>
      </c>
      <c r="D103" t="s">
        <v>392</v>
      </c>
      <c r="E103">
        <v>-99548.83</v>
      </c>
      <c r="F103" t="s">
        <v>396</v>
      </c>
      <c r="G103" t="s">
        <v>394</v>
      </c>
      <c r="H103">
        <v>181005160116</v>
      </c>
    </row>
    <row r="104" spans="1:8" x14ac:dyDescent="0.2">
      <c r="A104" t="s">
        <v>410</v>
      </c>
      <c r="B104" t="s">
        <v>23</v>
      </c>
      <c r="C104" s="2">
        <v>43383</v>
      </c>
      <c r="D104" t="s">
        <v>392</v>
      </c>
      <c r="E104">
        <v>-13050981.85</v>
      </c>
      <c r="F104" t="s">
        <v>396</v>
      </c>
      <c r="G104" t="s">
        <v>394</v>
      </c>
      <c r="H104">
        <v>181005160116</v>
      </c>
    </row>
    <row r="105" spans="1:8" x14ac:dyDescent="0.2">
      <c r="A105" t="s">
        <v>410</v>
      </c>
      <c r="B105" t="s">
        <v>23</v>
      </c>
      <c r="C105" s="2">
        <v>43384</v>
      </c>
      <c r="D105" t="s">
        <v>392</v>
      </c>
      <c r="E105">
        <v>-181639.31</v>
      </c>
      <c r="F105" t="s">
        <v>396</v>
      </c>
      <c r="G105" t="s">
        <v>394</v>
      </c>
      <c r="H105">
        <v>181005160116</v>
      </c>
    </row>
    <row r="106" spans="1:8" x14ac:dyDescent="0.2">
      <c r="A106" t="s">
        <v>410</v>
      </c>
      <c r="B106" t="s">
        <v>23</v>
      </c>
      <c r="C106" s="2">
        <v>43383</v>
      </c>
      <c r="D106" t="s">
        <v>392</v>
      </c>
      <c r="E106">
        <v>-30000</v>
      </c>
      <c r="F106" t="s">
        <v>397</v>
      </c>
      <c r="G106" t="s">
        <v>394</v>
      </c>
      <c r="H106">
        <v>181005160116</v>
      </c>
    </row>
    <row r="107" spans="1:8" x14ac:dyDescent="0.2">
      <c r="A107" t="s">
        <v>410</v>
      </c>
      <c r="B107" t="s">
        <v>23</v>
      </c>
      <c r="C107" s="2">
        <v>43384</v>
      </c>
      <c r="D107" t="s">
        <v>392</v>
      </c>
      <c r="E107">
        <v>-4921.29</v>
      </c>
      <c r="F107" t="s">
        <v>397</v>
      </c>
      <c r="G107" t="s">
        <v>394</v>
      </c>
      <c r="H107">
        <v>181005160116</v>
      </c>
    </row>
    <row r="108" spans="1:8" x14ac:dyDescent="0.2">
      <c r="A108" t="s">
        <v>411</v>
      </c>
      <c r="B108" t="s">
        <v>23</v>
      </c>
      <c r="C108" s="2">
        <v>43378</v>
      </c>
      <c r="D108" t="s">
        <v>392</v>
      </c>
      <c r="E108">
        <v>-5043.18</v>
      </c>
      <c r="F108" t="s">
        <v>396</v>
      </c>
      <c r="G108" t="s">
        <v>394</v>
      </c>
      <c r="H108">
        <v>181005160116</v>
      </c>
    </row>
    <row r="109" spans="1:8" x14ac:dyDescent="0.2">
      <c r="A109" t="s">
        <v>412</v>
      </c>
      <c r="B109" t="s">
        <v>23</v>
      </c>
      <c r="C109" s="2">
        <v>43378</v>
      </c>
      <c r="D109" t="s">
        <v>392</v>
      </c>
      <c r="E109">
        <v>2120.7800000000002</v>
      </c>
      <c r="F109" t="s">
        <v>393</v>
      </c>
      <c r="G109" t="s">
        <v>394</v>
      </c>
      <c r="H109">
        <v>181005160116</v>
      </c>
    </row>
    <row r="110" spans="1:8" x14ac:dyDescent="0.2">
      <c r="A110" t="s">
        <v>412</v>
      </c>
      <c r="B110" t="s">
        <v>23</v>
      </c>
      <c r="C110" s="2">
        <v>43381</v>
      </c>
      <c r="D110" t="s">
        <v>392</v>
      </c>
      <c r="E110">
        <v>1000</v>
      </c>
      <c r="F110" t="s">
        <v>393</v>
      </c>
      <c r="G110" t="s">
        <v>394</v>
      </c>
      <c r="H110">
        <v>181005160116</v>
      </c>
    </row>
    <row r="111" spans="1:8" x14ac:dyDescent="0.2">
      <c r="A111" t="s">
        <v>412</v>
      </c>
      <c r="B111" t="s">
        <v>23</v>
      </c>
      <c r="C111" s="2">
        <v>43381</v>
      </c>
      <c r="D111" t="s">
        <v>392</v>
      </c>
      <c r="E111">
        <v>966.39</v>
      </c>
      <c r="F111" t="s">
        <v>395</v>
      </c>
      <c r="G111" t="s">
        <v>394</v>
      </c>
      <c r="H111">
        <v>181005160116</v>
      </c>
    </row>
    <row r="112" spans="1:8" x14ac:dyDescent="0.2">
      <c r="A112" t="s">
        <v>412</v>
      </c>
      <c r="B112" t="s">
        <v>23</v>
      </c>
      <c r="C112" s="2">
        <v>43378</v>
      </c>
      <c r="D112" t="s">
        <v>392</v>
      </c>
      <c r="E112">
        <v>-14055.52</v>
      </c>
      <c r="F112" t="s">
        <v>396</v>
      </c>
      <c r="G112" t="s">
        <v>394</v>
      </c>
      <c r="H112">
        <v>181005160116</v>
      </c>
    </row>
    <row r="113" spans="1:8" x14ac:dyDescent="0.2">
      <c r="A113" t="s">
        <v>413</v>
      </c>
      <c r="B113" t="s">
        <v>23</v>
      </c>
      <c r="C113" s="2">
        <v>43378</v>
      </c>
      <c r="D113" t="s">
        <v>392</v>
      </c>
      <c r="E113">
        <v>2168513.86</v>
      </c>
      <c r="F113" t="s">
        <v>393</v>
      </c>
      <c r="G113" t="s">
        <v>394</v>
      </c>
      <c r="H113">
        <v>181005160116</v>
      </c>
    </row>
    <row r="114" spans="1:8" x14ac:dyDescent="0.2">
      <c r="A114" t="s">
        <v>413</v>
      </c>
      <c r="B114" t="s">
        <v>23</v>
      </c>
      <c r="C114" s="2">
        <v>43381</v>
      </c>
      <c r="D114" t="s">
        <v>392</v>
      </c>
      <c r="E114">
        <v>3185178.42</v>
      </c>
      <c r="F114" t="s">
        <v>393</v>
      </c>
      <c r="G114" t="s">
        <v>394</v>
      </c>
      <c r="H114">
        <v>181005160116</v>
      </c>
    </row>
    <row r="115" spans="1:8" x14ac:dyDescent="0.2">
      <c r="A115" t="s">
        <v>413</v>
      </c>
      <c r="B115" t="s">
        <v>23</v>
      </c>
      <c r="C115" s="2">
        <v>43378</v>
      </c>
      <c r="D115" t="s">
        <v>392</v>
      </c>
      <c r="E115">
        <v>1019595.38</v>
      </c>
      <c r="F115" t="s">
        <v>395</v>
      </c>
      <c r="G115" t="s">
        <v>394</v>
      </c>
      <c r="H115">
        <v>181005160116</v>
      </c>
    </row>
    <row r="116" spans="1:8" x14ac:dyDescent="0.2">
      <c r="A116" t="s">
        <v>413</v>
      </c>
      <c r="B116" t="s">
        <v>23</v>
      </c>
      <c r="C116" s="2">
        <v>43381</v>
      </c>
      <c r="D116" t="s">
        <v>392</v>
      </c>
      <c r="E116">
        <v>11000</v>
      </c>
      <c r="F116" t="s">
        <v>395</v>
      </c>
      <c r="G116" t="s">
        <v>394</v>
      </c>
      <c r="H116">
        <v>181005160116</v>
      </c>
    </row>
    <row r="117" spans="1:8" x14ac:dyDescent="0.2">
      <c r="A117" t="s">
        <v>413</v>
      </c>
      <c r="B117" t="s">
        <v>23</v>
      </c>
      <c r="C117" s="2">
        <v>43383</v>
      </c>
      <c r="D117" t="s">
        <v>392</v>
      </c>
      <c r="E117">
        <v>2050095.37</v>
      </c>
      <c r="F117" t="s">
        <v>395</v>
      </c>
      <c r="G117" t="s">
        <v>394</v>
      </c>
      <c r="H117">
        <v>181005160116</v>
      </c>
    </row>
    <row r="118" spans="1:8" x14ac:dyDescent="0.2">
      <c r="A118" t="s">
        <v>413</v>
      </c>
      <c r="B118" t="s">
        <v>23</v>
      </c>
      <c r="C118" s="2">
        <v>43384</v>
      </c>
      <c r="D118" t="s">
        <v>392</v>
      </c>
      <c r="E118">
        <v>2005000</v>
      </c>
      <c r="F118" t="s">
        <v>395</v>
      </c>
      <c r="G118" t="s">
        <v>394</v>
      </c>
      <c r="H118">
        <v>181005160116</v>
      </c>
    </row>
    <row r="119" spans="1:8" x14ac:dyDescent="0.2">
      <c r="A119" t="s">
        <v>413</v>
      </c>
      <c r="B119" t="s">
        <v>23</v>
      </c>
      <c r="C119" s="2">
        <v>43378</v>
      </c>
      <c r="D119" t="s">
        <v>392</v>
      </c>
      <c r="E119">
        <v>-323771.95</v>
      </c>
      <c r="F119" t="s">
        <v>396</v>
      </c>
      <c r="G119" t="s">
        <v>394</v>
      </c>
      <c r="H119">
        <v>181005160116</v>
      </c>
    </row>
    <row r="120" spans="1:8" x14ac:dyDescent="0.2">
      <c r="A120" t="s">
        <v>413</v>
      </c>
      <c r="B120" t="s">
        <v>23</v>
      </c>
      <c r="C120" s="2">
        <v>43382</v>
      </c>
      <c r="D120" t="s">
        <v>392</v>
      </c>
      <c r="E120">
        <v>-6543247.0899999999</v>
      </c>
      <c r="F120" t="s">
        <v>396</v>
      </c>
      <c r="G120" t="s">
        <v>394</v>
      </c>
      <c r="H120">
        <v>181005160116</v>
      </c>
    </row>
    <row r="121" spans="1:8" x14ac:dyDescent="0.2">
      <c r="A121" t="s">
        <v>413</v>
      </c>
      <c r="B121" t="s">
        <v>23</v>
      </c>
      <c r="C121" s="2">
        <v>43383</v>
      </c>
      <c r="D121" t="s">
        <v>392</v>
      </c>
      <c r="E121">
        <v>-200162.74</v>
      </c>
      <c r="F121" t="s">
        <v>396</v>
      </c>
      <c r="G121" t="s">
        <v>394</v>
      </c>
      <c r="H121">
        <v>181005160116</v>
      </c>
    </row>
    <row r="122" spans="1:8" x14ac:dyDescent="0.2">
      <c r="A122" t="s">
        <v>413</v>
      </c>
      <c r="B122" t="s">
        <v>23</v>
      </c>
      <c r="C122" s="2">
        <v>43384</v>
      </c>
      <c r="D122" t="s">
        <v>392</v>
      </c>
      <c r="E122">
        <v>-566765.63</v>
      </c>
      <c r="F122" t="s">
        <v>396</v>
      </c>
      <c r="G122" t="s">
        <v>394</v>
      </c>
      <c r="H122">
        <v>181005160116</v>
      </c>
    </row>
    <row r="123" spans="1:8" x14ac:dyDescent="0.2">
      <c r="A123" t="s">
        <v>413</v>
      </c>
      <c r="B123" t="s">
        <v>23</v>
      </c>
      <c r="C123" s="2">
        <v>43385</v>
      </c>
      <c r="D123" t="s">
        <v>392</v>
      </c>
      <c r="E123">
        <v>-1800096.5</v>
      </c>
      <c r="F123" t="s">
        <v>396</v>
      </c>
      <c r="G123" t="s">
        <v>394</v>
      </c>
      <c r="H123">
        <v>181005160116</v>
      </c>
    </row>
    <row r="124" spans="1:8" x14ac:dyDescent="0.2">
      <c r="A124" t="s">
        <v>413</v>
      </c>
      <c r="B124" t="s">
        <v>23</v>
      </c>
      <c r="C124" s="2">
        <v>43378</v>
      </c>
      <c r="D124" t="s">
        <v>392</v>
      </c>
      <c r="E124">
        <v>-6973.35</v>
      </c>
      <c r="F124" t="s">
        <v>397</v>
      </c>
      <c r="G124" t="s">
        <v>394</v>
      </c>
      <c r="H124">
        <v>181005160116</v>
      </c>
    </row>
    <row r="125" spans="1:8" x14ac:dyDescent="0.2">
      <c r="A125" t="s">
        <v>413</v>
      </c>
      <c r="B125" t="s">
        <v>23</v>
      </c>
      <c r="C125" s="2">
        <v>43382</v>
      </c>
      <c r="D125" t="s">
        <v>392</v>
      </c>
      <c r="E125">
        <v>-677813.48</v>
      </c>
      <c r="F125" t="s">
        <v>397</v>
      </c>
      <c r="G125" t="s">
        <v>394</v>
      </c>
      <c r="H125">
        <v>181005160116</v>
      </c>
    </row>
    <row r="126" spans="1:8" x14ac:dyDescent="0.2">
      <c r="A126" t="s">
        <v>413</v>
      </c>
      <c r="B126" t="s">
        <v>23</v>
      </c>
      <c r="C126" s="2">
        <v>43383</v>
      </c>
      <c r="D126" t="s">
        <v>392</v>
      </c>
      <c r="E126">
        <v>-3579446.07</v>
      </c>
      <c r="F126" t="s">
        <v>397</v>
      </c>
      <c r="G126" t="s">
        <v>394</v>
      </c>
      <c r="H126">
        <v>181005160116</v>
      </c>
    </row>
    <row r="127" spans="1:8" x14ac:dyDescent="0.2">
      <c r="A127" t="s">
        <v>413</v>
      </c>
      <c r="B127" t="s">
        <v>23</v>
      </c>
      <c r="C127" s="2">
        <v>43384</v>
      </c>
      <c r="D127" t="s">
        <v>392</v>
      </c>
      <c r="E127">
        <v>-1994818.06</v>
      </c>
      <c r="F127" t="s">
        <v>397</v>
      </c>
      <c r="G127" t="s">
        <v>394</v>
      </c>
      <c r="H127">
        <v>181005160116</v>
      </c>
    </row>
    <row r="128" spans="1:8" x14ac:dyDescent="0.2">
      <c r="A128" t="s">
        <v>414</v>
      </c>
      <c r="B128" t="s">
        <v>23</v>
      </c>
      <c r="C128" s="2">
        <v>43378</v>
      </c>
      <c r="D128" t="s">
        <v>392</v>
      </c>
      <c r="E128">
        <v>17987423.719999999</v>
      </c>
      <c r="F128" t="s">
        <v>393</v>
      </c>
      <c r="G128" t="s">
        <v>394</v>
      </c>
      <c r="H128">
        <v>181005160116</v>
      </c>
    </row>
    <row r="129" spans="1:8" x14ac:dyDescent="0.2">
      <c r="A129" t="s">
        <v>414</v>
      </c>
      <c r="B129" t="s">
        <v>23</v>
      </c>
      <c r="C129" s="2">
        <v>43381</v>
      </c>
      <c r="D129" t="s">
        <v>392</v>
      </c>
      <c r="E129">
        <v>49236689.469999999</v>
      </c>
      <c r="F129" t="s">
        <v>393</v>
      </c>
      <c r="G129" t="s">
        <v>394</v>
      </c>
      <c r="H129">
        <v>181005160116</v>
      </c>
    </row>
    <row r="130" spans="1:8" x14ac:dyDescent="0.2">
      <c r="A130" t="s">
        <v>414</v>
      </c>
      <c r="B130" t="s">
        <v>23</v>
      </c>
      <c r="C130" s="2">
        <v>43378</v>
      </c>
      <c r="D130" t="s">
        <v>392</v>
      </c>
      <c r="E130">
        <v>44119830.759999998</v>
      </c>
      <c r="F130" t="s">
        <v>395</v>
      </c>
      <c r="G130" t="s">
        <v>394</v>
      </c>
      <c r="H130">
        <v>181005160116</v>
      </c>
    </row>
    <row r="131" spans="1:8" x14ac:dyDescent="0.2">
      <c r="A131" t="s">
        <v>414</v>
      </c>
      <c r="B131" t="s">
        <v>23</v>
      </c>
      <c r="C131" s="2">
        <v>43381</v>
      </c>
      <c r="D131" t="s">
        <v>392</v>
      </c>
      <c r="E131">
        <v>22950231.059999999</v>
      </c>
      <c r="F131" t="s">
        <v>395</v>
      </c>
      <c r="G131" t="s">
        <v>394</v>
      </c>
      <c r="H131">
        <v>181005160116</v>
      </c>
    </row>
    <row r="132" spans="1:8" x14ac:dyDescent="0.2">
      <c r="A132" t="s">
        <v>414</v>
      </c>
      <c r="B132" t="s">
        <v>23</v>
      </c>
      <c r="C132" s="2">
        <v>43382</v>
      </c>
      <c r="D132" t="s">
        <v>392</v>
      </c>
      <c r="E132">
        <v>4175450.95</v>
      </c>
      <c r="F132" t="s">
        <v>395</v>
      </c>
      <c r="G132" t="s">
        <v>394</v>
      </c>
      <c r="H132">
        <v>181005160116</v>
      </c>
    </row>
    <row r="133" spans="1:8" x14ac:dyDescent="0.2">
      <c r="A133" t="s">
        <v>414</v>
      </c>
      <c r="B133" t="s">
        <v>23</v>
      </c>
      <c r="C133" s="2">
        <v>43383</v>
      </c>
      <c r="D133" t="s">
        <v>392</v>
      </c>
      <c r="E133">
        <v>1698426.76</v>
      </c>
      <c r="F133" t="s">
        <v>395</v>
      </c>
      <c r="G133" t="s">
        <v>394</v>
      </c>
      <c r="H133">
        <v>181005160116</v>
      </c>
    </row>
    <row r="134" spans="1:8" x14ac:dyDescent="0.2">
      <c r="A134" t="s">
        <v>414</v>
      </c>
      <c r="B134" t="s">
        <v>23</v>
      </c>
      <c r="C134" s="2">
        <v>43384</v>
      </c>
      <c r="D134" t="s">
        <v>392</v>
      </c>
      <c r="E134">
        <v>2054941.97</v>
      </c>
      <c r="F134" t="s">
        <v>395</v>
      </c>
      <c r="G134" t="s">
        <v>394</v>
      </c>
      <c r="H134">
        <v>181005160116</v>
      </c>
    </row>
    <row r="135" spans="1:8" x14ac:dyDescent="0.2">
      <c r="A135" t="s">
        <v>414</v>
      </c>
      <c r="B135" t="s">
        <v>23</v>
      </c>
      <c r="C135" s="2">
        <v>43385</v>
      </c>
      <c r="D135" t="s">
        <v>392</v>
      </c>
      <c r="E135">
        <v>3446529.41</v>
      </c>
      <c r="F135" t="s">
        <v>395</v>
      </c>
      <c r="G135" t="s">
        <v>394</v>
      </c>
      <c r="H135">
        <v>181005160116</v>
      </c>
    </row>
    <row r="136" spans="1:8" x14ac:dyDescent="0.2">
      <c r="A136" t="s">
        <v>414</v>
      </c>
      <c r="B136" t="s">
        <v>23</v>
      </c>
      <c r="C136" s="2">
        <v>43378</v>
      </c>
      <c r="D136" t="s">
        <v>392</v>
      </c>
      <c r="E136">
        <v>-413338</v>
      </c>
      <c r="F136" t="s">
        <v>396</v>
      </c>
      <c r="G136" t="s">
        <v>394</v>
      </c>
      <c r="H136">
        <v>181005160116</v>
      </c>
    </row>
    <row r="137" spans="1:8" x14ac:dyDescent="0.2">
      <c r="A137" t="s">
        <v>414</v>
      </c>
      <c r="B137" t="s">
        <v>23</v>
      </c>
      <c r="C137" s="2">
        <v>43381</v>
      </c>
      <c r="D137" t="s">
        <v>392</v>
      </c>
      <c r="E137">
        <v>-4159726.5</v>
      </c>
      <c r="F137" t="s">
        <v>396</v>
      </c>
      <c r="G137" t="s">
        <v>394</v>
      </c>
      <c r="H137">
        <v>181005160116</v>
      </c>
    </row>
    <row r="138" spans="1:8" x14ac:dyDescent="0.2">
      <c r="A138" t="s">
        <v>414</v>
      </c>
      <c r="B138" t="s">
        <v>23</v>
      </c>
      <c r="C138" s="2">
        <v>43382</v>
      </c>
      <c r="D138" t="s">
        <v>392</v>
      </c>
      <c r="E138">
        <v>-770500.29</v>
      </c>
      <c r="F138" t="s">
        <v>396</v>
      </c>
      <c r="G138" t="s">
        <v>394</v>
      </c>
      <c r="H138">
        <v>181005160116</v>
      </c>
    </row>
    <row r="139" spans="1:8" x14ac:dyDescent="0.2">
      <c r="A139" t="s">
        <v>414</v>
      </c>
      <c r="B139" t="s">
        <v>23</v>
      </c>
      <c r="C139" s="2">
        <v>43378</v>
      </c>
      <c r="D139" t="s">
        <v>392</v>
      </c>
      <c r="E139">
        <v>-4067290.25</v>
      </c>
      <c r="F139" t="s">
        <v>397</v>
      </c>
      <c r="G139" t="s">
        <v>394</v>
      </c>
      <c r="H139">
        <v>181005160116</v>
      </c>
    </row>
    <row r="140" spans="1:8" x14ac:dyDescent="0.2">
      <c r="A140" t="s">
        <v>414</v>
      </c>
      <c r="B140" t="s">
        <v>23</v>
      </c>
      <c r="C140" s="2">
        <v>43381</v>
      </c>
      <c r="D140" t="s">
        <v>392</v>
      </c>
      <c r="E140">
        <v>-46178.57</v>
      </c>
      <c r="F140" t="s">
        <v>397</v>
      </c>
      <c r="G140" t="s">
        <v>394</v>
      </c>
      <c r="H140">
        <v>181005160116</v>
      </c>
    </row>
    <row r="141" spans="1:8" x14ac:dyDescent="0.2">
      <c r="A141" t="s">
        <v>414</v>
      </c>
      <c r="B141" t="s">
        <v>23</v>
      </c>
      <c r="C141" s="2">
        <v>43382</v>
      </c>
      <c r="D141" t="s">
        <v>392</v>
      </c>
      <c r="E141">
        <v>-4451.38</v>
      </c>
      <c r="F141" t="s">
        <v>397</v>
      </c>
      <c r="G141" t="s">
        <v>394</v>
      </c>
      <c r="H141">
        <v>181005160116</v>
      </c>
    </row>
    <row r="142" spans="1:8" x14ac:dyDescent="0.2">
      <c r="A142" t="s">
        <v>415</v>
      </c>
      <c r="B142" t="s">
        <v>23</v>
      </c>
      <c r="C142" s="2">
        <v>43381</v>
      </c>
      <c r="D142" t="s">
        <v>392</v>
      </c>
      <c r="E142">
        <v>5000</v>
      </c>
      <c r="F142" t="s">
        <v>393</v>
      </c>
      <c r="G142" t="s">
        <v>394</v>
      </c>
      <c r="H142">
        <v>181005160116</v>
      </c>
    </row>
    <row r="143" spans="1:8" x14ac:dyDescent="0.2">
      <c r="A143" t="s">
        <v>415</v>
      </c>
      <c r="B143" t="s">
        <v>23</v>
      </c>
      <c r="C143" s="2">
        <v>43378</v>
      </c>
      <c r="D143" t="s">
        <v>392</v>
      </c>
      <c r="E143">
        <v>1494.29</v>
      </c>
      <c r="F143" t="s">
        <v>395</v>
      </c>
      <c r="G143" t="s">
        <v>394</v>
      </c>
      <c r="H143">
        <v>181005160116</v>
      </c>
    </row>
    <row r="144" spans="1:8" x14ac:dyDescent="0.2">
      <c r="A144" t="s">
        <v>415</v>
      </c>
      <c r="B144" t="s">
        <v>23</v>
      </c>
      <c r="C144" s="2">
        <v>43383</v>
      </c>
      <c r="D144" t="s">
        <v>392</v>
      </c>
      <c r="E144">
        <v>-994.68</v>
      </c>
      <c r="F144" t="s">
        <v>397</v>
      </c>
      <c r="G144" t="s">
        <v>394</v>
      </c>
      <c r="H144">
        <v>181005160116</v>
      </c>
    </row>
    <row r="145" spans="1:8" x14ac:dyDescent="0.2">
      <c r="A145" t="s">
        <v>415</v>
      </c>
      <c r="B145" t="s">
        <v>23</v>
      </c>
      <c r="C145" s="2">
        <v>43384</v>
      </c>
      <c r="D145" t="s">
        <v>392</v>
      </c>
      <c r="E145">
        <v>-1946232.06</v>
      </c>
      <c r="F145" t="s">
        <v>397</v>
      </c>
      <c r="G145" t="s">
        <v>394</v>
      </c>
      <c r="H145">
        <v>181005160116</v>
      </c>
    </row>
    <row r="146" spans="1:8" x14ac:dyDescent="0.2">
      <c r="A146" t="s">
        <v>416</v>
      </c>
      <c r="B146" t="s">
        <v>23</v>
      </c>
      <c r="C146" s="2">
        <v>43378</v>
      </c>
      <c r="D146" t="s">
        <v>392</v>
      </c>
      <c r="E146">
        <v>6000</v>
      </c>
      <c r="F146" t="s">
        <v>393</v>
      </c>
      <c r="G146" t="s">
        <v>394</v>
      </c>
      <c r="H146">
        <v>181005160116</v>
      </c>
    </row>
    <row r="147" spans="1:8" x14ac:dyDescent="0.2">
      <c r="A147" t="s">
        <v>416</v>
      </c>
      <c r="B147" t="s">
        <v>23</v>
      </c>
      <c r="C147" s="2">
        <v>43381</v>
      </c>
      <c r="D147" t="s">
        <v>392</v>
      </c>
      <c r="E147">
        <v>21000</v>
      </c>
      <c r="F147" t="s">
        <v>393</v>
      </c>
      <c r="G147" t="s">
        <v>394</v>
      </c>
      <c r="H147">
        <v>181005160116</v>
      </c>
    </row>
    <row r="148" spans="1:8" x14ac:dyDescent="0.2">
      <c r="A148" t="s">
        <v>416</v>
      </c>
      <c r="B148" t="s">
        <v>23</v>
      </c>
      <c r="C148" s="2">
        <v>43378</v>
      </c>
      <c r="D148" t="s">
        <v>392</v>
      </c>
      <c r="E148">
        <v>1000</v>
      </c>
      <c r="F148" t="s">
        <v>395</v>
      </c>
      <c r="G148" t="s">
        <v>394</v>
      </c>
      <c r="H148">
        <v>181005160116</v>
      </c>
    </row>
    <row r="149" spans="1:8" x14ac:dyDescent="0.2">
      <c r="A149" t="s">
        <v>416</v>
      </c>
      <c r="B149" t="s">
        <v>23</v>
      </c>
      <c r="C149" s="2">
        <v>43381</v>
      </c>
      <c r="D149" t="s">
        <v>392</v>
      </c>
      <c r="E149">
        <v>101955.96</v>
      </c>
      <c r="F149" t="s">
        <v>395</v>
      </c>
      <c r="G149" t="s">
        <v>394</v>
      </c>
      <c r="H149">
        <v>181005160116</v>
      </c>
    </row>
    <row r="150" spans="1:8" x14ac:dyDescent="0.2">
      <c r="A150" t="s">
        <v>416</v>
      </c>
      <c r="B150" t="s">
        <v>23</v>
      </c>
      <c r="C150" s="2">
        <v>43384</v>
      </c>
      <c r="D150" t="s">
        <v>392</v>
      </c>
      <c r="E150">
        <v>994.68</v>
      </c>
      <c r="F150" t="s">
        <v>395</v>
      </c>
      <c r="G150" t="s">
        <v>394</v>
      </c>
      <c r="H150">
        <v>181005160116</v>
      </c>
    </row>
    <row r="151" spans="1:8" x14ac:dyDescent="0.2">
      <c r="A151" t="s">
        <v>416</v>
      </c>
      <c r="B151" t="s">
        <v>23</v>
      </c>
      <c r="C151" s="2">
        <v>43378</v>
      </c>
      <c r="D151" t="s">
        <v>392</v>
      </c>
      <c r="E151">
        <v>-12438.12</v>
      </c>
      <c r="F151" t="s">
        <v>396</v>
      </c>
      <c r="G151" t="s">
        <v>394</v>
      </c>
      <c r="H151">
        <v>181005160116</v>
      </c>
    </row>
    <row r="152" spans="1:8" x14ac:dyDescent="0.2">
      <c r="A152" t="s">
        <v>416</v>
      </c>
      <c r="B152" t="s">
        <v>23</v>
      </c>
      <c r="C152" s="2">
        <v>43382</v>
      </c>
      <c r="D152" t="s">
        <v>392</v>
      </c>
      <c r="E152">
        <v>-25000</v>
      </c>
      <c r="F152" t="s">
        <v>396</v>
      </c>
      <c r="G152" t="s">
        <v>394</v>
      </c>
      <c r="H152">
        <v>181005160116</v>
      </c>
    </row>
    <row r="153" spans="1:8" x14ac:dyDescent="0.2">
      <c r="A153" t="s">
        <v>416</v>
      </c>
      <c r="B153" t="s">
        <v>23</v>
      </c>
      <c r="C153" s="2">
        <v>43383</v>
      </c>
      <c r="D153" t="s">
        <v>392</v>
      </c>
      <c r="E153">
        <v>-21999.42</v>
      </c>
      <c r="F153" t="s">
        <v>396</v>
      </c>
      <c r="G153" t="s">
        <v>394</v>
      </c>
      <c r="H153">
        <v>181005160116</v>
      </c>
    </row>
    <row r="154" spans="1:8" x14ac:dyDescent="0.2">
      <c r="A154" t="s">
        <v>416</v>
      </c>
      <c r="B154" t="s">
        <v>23</v>
      </c>
      <c r="C154" s="2">
        <v>43384</v>
      </c>
      <c r="D154" t="s">
        <v>392</v>
      </c>
      <c r="E154">
        <v>-724141.94</v>
      </c>
      <c r="F154" t="s">
        <v>396</v>
      </c>
      <c r="G154" t="s">
        <v>394</v>
      </c>
      <c r="H154">
        <v>181005160116</v>
      </c>
    </row>
    <row r="155" spans="1:8" x14ac:dyDescent="0.2">
      <c r="A155" t="s">
        <v>416</v>
      </c>
      <c r="B155" t="s">
        <v>23</v>
      </c>
      <c r="C155" s="2">
        <v>43378</v>
      </c>
      <c r="D155" t="s">
        <v>392</v>
      </c>
      <c r="E155">
        <v>-4650.22</v>
      </c>
      <c r="F155" t="s">
        <v>397</v>
      </c>
      <c r="G155" t="s">
        <v>394</v>
      </c>
      <c r="H155">
        <v>181005160116</v>
      </c>
    </row>
    <row r="156" spans="1:8" x14ac:dyDescent="0.2">
      <c r="A156" t="s">
        <v>416</v>
      </c>
      <c r="B156" t="s">
        <v>23</v>
      </c>
      <c r="C156" s="2">
        <v>43385</v>
      </c>
      <c r="D156" t="s">
        <v>392</v>
      </c>
      <c r="E156">
        <v>-19641.830000000002</v>
      </c>
      <c r="F156" t="s">
        <v>397</v>
      </c>
      <c r="G156" t="s">
        <v>394</v>
      </c>
      <c r="H156">
        <v>181005160116</v>
      </c>
    </row>
    <row r="157" spans="1:8" x14ac:dyDescent="0.2">
      <c r="A157" t="s">
        <v>417</v>
      </c>
      <c r="B157" t="s">
        <v>23</v>
      </c>
      <c r="C157" s="2">
        <v>43378</v>
      </c>
      <c r="D157" t="s">
        <v>392</v>
      </c>
      <c r="E157">
        <v>2620453.02</v>
      </c>
      <c r="F157" t="s">
        <v>393</v>
      </c>
      <c r="G157" t="s">
        <v>394</v>
      </c>
      <c r="H157">
        <v>181005160116</v>
      </c>
    </row>
    <row r="158" spans="1:8" x14ac:dyDescent="0.2">
      <c r="A158" t="s">
        <v>417</v>
      </c>
      <c r="B158" t="s">
        <v>23</v>
      </c>
      <c r="C158" s="2">
        <v>43381</v>
      </c>
      <c r="D158" t="s">
        <v>392</v>
      </c>
      <c r="E158">
        <v>2229600</v>
      </c>
      <c r="F158" t="s">
        <v>393</v>
      </c>
      <c r="G158" t="s">
        <v>394</v>
      </c>
      <c r="H158">
        <v>181005160116</v>
      </c>
    </row>
    <row r="159" spans="1:8" x14ac:dyDescent="0.2">
      <c r="A159" t="s">
        <v>417</v>
      </c>
      <c r="B159" t="s">
        <v>23</v>
      </c>
      <c r="C159" s="2">
        <v>43378</v>
      </c>
      <c r="D159" t="s">
        <v>392</v>
      </c>
      <c r="E159">
        <v>8931679.2599999998</v>
      </c>
      <c r="F159" t="s">
        <v>395</v>
      </c>
      <c r="G159" t="s">
        <v>394</v>
      </c>
      <c r="H159">
        <v>181005160116</v>
      </c>
    </row>
    <row r="160" spans="1:8" x14ac:dyDescent="0.2">
      <c r="A160" t="s">
        <v>417</v>
      </c>
      <c r="B160" t="s">
        <v>23</v>
      </c>
      <c r="C160" s="2">
        <v>43381</v>
      </c>
      <c r="D160" t="s">
        <v>392</v>
      </c>
      <c r="E160">
        <v>1307609.3</v>
      </c>
      <c r="F160" t="s">
        <v>395</v>
      </c>
      <c r="G160" t="s">
        <v>394</v>
      </c>
      <c r="H160">
        <v>181005160116</v>
      </c>
    </row>
    <row r="161" spans="1:8" x14ac:dyDescent="0.2">
      <c r="A161" t="s">
        <v>417</v>
      </c>
      <c r="B161" t="s">
        <v>23</v>
      </c>
      <c r="C161" s="2">
        <v>43382</v>
      </c>
      <c r="D161" t="s">
        <v>392</v>
      </c>
      <c r="E161">
        <v>988.08</v>
      </c>
      <c r="F161" t="s">
        <v>395</v>
      </c>
      <c r="G161" t="s">
        <v>394</v>
      </c>
      <c r="H161">
        <v>181005160116</v>
      </c>
    </row>
    <row r="162" spans="1:8" x14ac:dyDescent="0.2">
      <c r="A162" t="s">
        <v>417</v>
      </c>
      <c r="B162" t="s">
        <v>23</v>
      </c>
      <c r="C162" s="2">
        <v>43383</v>
      </c>
      <c r="D162" t="s">
        <v>392</v>
      </c>
      <c r="E162">
        <v>19726.330000000002</v>
      </c>
      <c r="F162" t="s">
        <v>395</v>
      </c>
      <c r="G162" t="s">
        <v>394</v>
      </c>
      <c r="H162">
        <v>181005160116</v>
      </c>
    </row>
    <row r="163" spans="1:8" x14ac:dyDescent="0.2">
      <c r="A163" t="s">
        <v>417</v>
      </c>
      <c r="B163" t="s">
        <v>23</v>
      </c>
      <c r="C163" s="2">
        <v>43384</v>
      </c>
      <c r="D163" t="s">
        <v>392</v>
      </c>
      <c r="E163">
        <v>9923.24</v>
      </c>
      <c r="F163" t="s">
        <v>395</v>
      </c>
      <c r="G163" t="s">
        <v>394</v>
      </c>
      <c r="H163">
        <v>181005160116</v>
      </c>
    </row>
    <row r="164" spans="1:8" x14ac:dyDescent="0.2">
      <c r="A164" t="s">
        <v>417</v>
      </c>
      <c r="B164" t="s">
        <v>23</v>
      </c>
      <c r="C164" s="2">
        <v>43385</v>
      </c>
      <c r="D164" t="s">
        <v>392</v>
      </c>
      <c r="E164">
        <v>209471.48</v>
      </c>
      <c r="F164" t="s">
        <v>395</v>
      </c>
      <c r="G164" t="s">
        <v>394</v>
      </c>
      <c r="H164">
        <v>181005160116</v>
      </c>
    </row>
    <row r="165" spans="1:8" x14ac:dyDescent="0.2">
      <c r="A165" t="s">
        <v>417</v>
      </c>
      <c r="B165" t="s">
        <v>23</v>
      </c>
      <c r="C165" s="2">
        <v>43378</v>
      </c>
      <c r="D165" t="s">
        <v>392</v>
      </c>
      <c r="E165">
        <v>-909494.01</v>
      </c>
      <c r="F165" t="s">
        <v>396</v>
      </c>
      <c r="G165" t="s">
        <v>394</v>
      </c>
      <c r="H165">
        <v>181005160116</v>
      </c>
    </row>
    <row r="166" spans="1:8" x14ac:dyDescent="0.2">
      <c r="A166" t="s">
        <v>417</v>
      </c>
      <c r="B166" t="s">
        <v>23</v>
      </c>
      <c r="C166" s="2">
        <v>43381</v>
      </c>
      <c r="D166" t="s">
        <v>392</v>
      </c>
      <c r="E166">
        <v>-841300.79</v>
      </c>
      <c r="F166" t="s">
        <v>396</v>
      </c>
      <c r="G166" t="s">
        <v>394</v>
      </c>
      <c r="H166">
        <v>181005160116</v>
      </c>
    </row>
    <row r="167" spans="1:8" x14ac:dyDescent="0.2">
      <c r="A167" t="s">
        <v>417</v>
      </c>
      <c r="B167" t="s">
        <v>23</v>
      </c>
      <c r="C167" s="2">
        <v>43382</v>
      </c>
      <c r="D167" t="s">
        <v>392</v>
      </c>
      <c r="E167">
        <v>-2811669.38</v>
      </c>
      <c r="F167" t="s">
        <v>396</v>
      </c>
      <c r="G167" t="s">
        <v>394</v>
      </c>
      <c r="H167">
        <v>181005160116</v>
      </c>
    </row>
    <row r="168" spans="1:8" x14ac:dyDescent="0.2">
      <c r="A168" t="s">
        <v>417</v>
      </c>
      <c r="B168" t="s">
        <v>23</v>
      </c>
      <c r="C168" s="2">
        <v>43378</v>
      </c>
      <c r="D168" t="s">
        <v>392</v>
      </c>
      <c r="E168">
        <v>-552090.48</v>
      </c>
      <c r="F168" t="s">
        <v>397</v>
      </c>
      <c r="G168" t="s">
        <v>394</v>
      </c>
      <c r="H168">
        <v>181005160116</v>
      </c>
    </row>
    <row r="169" spans="1:8" x14ac:dyDescent="0.2">
      <c r="A169" t="s">
        <v>417</v>
      </c>
      <c r="B169" t="s">
        <v>23</v>
      </c>
      <c r="C169" s="2">
        <v>43381</v>
      </c>
      <c r="D169" t="s">
        <v>392</v>
      </c>
      <c r="E169">
        <v>-2201055.08</v>
      </c>
      <c r="F169" t="s">
        <v>397</v>
      </c>
      <c r="G169" t="s">
        <v>394</v>
      </c>
      <c r="H169">
        <v>181005160116</v>
      </c>
    </row>
    <row r="170" spans="1:8" x14ac:dyDescent="0.2">
      <c r="A170" t="s">
        <v>417</v>
      </c>
      <c r="B170" t="s">
        <v>23</v>
      </c>
      <c r="C170" s="2">
        <v>43382</v>
      </c>
      <c r="D170" t="s">
        <v>392</v>
      </c>
      <c r="E170">
        <v>-531407.57999999996</v>
      </c>
      <c r="F170" t="s">
        <v>397</v>
      </c>
      <c r="G170" t="s">
        <v>394</v>
      </c>
      <c r="H170">
        <v>181005160116</v>
      </c>
    </row>
    <row r="171" spans="1:8" x14ac:dyDescent="0.2">
      <c r="A171" t="s">
        <v>418</v>
      </c>
      <c r="B171" t="s">
        <v>23</v>
      </c>
      <c r="C171" s="2">
        <v>43378</v>
      </c>
      <c r="D171" t="s">
        <v>392</v>
      </c>
      <c r="E171">
        <v>258610</v>
      </c>
      <c r="F171" t="s">
        <v>393</v>
      </c>
      <c r="G171" t="s">
        <v>394</v>
      </c>
      <c r="H171">
        <v>181005160116</v>
      </c>
    </row>
    <row r="172" spans="1:8" x14ac:dyDescent="0.2">
      <c r="A172" t="s">
        <v>418</v>
      </c>
      <c r="B172" t="s">
        <v>23</v>
      </c>
      <c r="C172" s="2">
        <v>43381</v>
      </c>
      <c r="D172" t="s">
        <v>392</v>
      </c>
      <c r="E172">
        <v>869000</v>
      </c>
      <c r="F172" t="s">
        <v>393</v>
      </c>
      <c r="G172" t="s">
        <v>394</v>
      </c>
      <c r="H172">
        <v>181005160116</v>
      </c>
    </row>
    <row r="173" spans="1:8" x14ac:dyDescent="0.2">
      <c r="A173" t="s">
        <v>418</v>
      </c>
      <c r="B173" t="s">
        <v>23</v>
      </c>
      <c r="C173" s="2">
        <v>43381</v>
      </c>
      <c r="D173" t="s">
        <v>392</v>
      </c>
      <c r="E173">
        <v>1200</v>
      </c>
      <c r="F173" t="s">
        <v>395</v>
      </c>
      <c r="G173" t="s">
        <v>394</v>
      </c>
      <c r="H173">
        <v>181005160116</v>
      </c>
    </row>
    <row r="174" spans="1:8" x14ac:dyDescent="0.2">
      <c r="A174" t="s">
        <v>418</v>
      </c>
      <c r="B174" t="s">
        <v>23</v>
      </c>
      <c r="C174" s="2">
        <v>43381</v>
      </c>
      <c r="D174" t="s">
        <v>392</v>
      </c>
      <c r="E174">
        <v>-48151.09</v>
      </c>
      <c r="F174" t="s">
        <v>396</v>
      </c>
      <c r="G174" t="s">
        <v>394</v>
      </c>
      <c r="H174">
        <v>181005160116</v>
      </c>
    </row>
    <row r="175" spans="1:8" x14ac:dyDescent="0.2">
      <c r="A175" t="s">
        <v>418</v>
      </c>
      <c r="B175" t="s">
        <v>23</v>
      </c>
      <c r="C175" s="2">
        <v>43381</v>
      </c>
      <c r="D175" t="s">
        <v>392</v>
      </c>
      <c r="E175">
        <v>-1427.21</v>
      </c>
      <c r="F175" t="s">
        <v>397</v>
      </c>
      <c r="G175" t="s">
        <v>394</v>
      </c>
      <c r="H175">
        <v>181005160116</v>
      </c>
    </row>
    <row r="176" spans="1:8" x14ac:dyDescent="0.2">
      <c r="A176" t="s">
        <v>418</v>
      </c>
      <c r="B176" t="s">
        <v>23</v>
      </c>
      <c r="C176" s="2">
        <v>43382</v>
      </c>
      <c r="D176" t="s">
        <v>392</v>
      </c>
      <c r="E176">
        <v>-159874.97</v>
      </c>
      <c r="F176" t="s">
        <v>397</v>
      </c>
      <c r="G176" t="s">
        <v>394</v>
      </c>
      <c r="H176">
        <v>181005160116</v>
      </c>
    </row>
    <row r="177" spans="1:8" x14ac:dyDescent="0.2">
      <c r="A177" t="s">
        <v>419</v>
      </c>
      <c r="B177" t="s">
        <v>23</v>
      </c>
      <c r="C177" s="2">
        <v>43378</v>
      </c>
      <c r="D177" t="s">
        <v>392</v>
      </c>
      <c r="E177">
        <v>219668.89</v>
      </c>
      <c r="F177" t="s">
        <v>393</v>
      </c>
      <c r="G177" t="s">
        <v>394</v>
      </c>
      <c r="H177">
        <v>181005160116</v>
      </c>
    </row>
    <row r="178" spans="1:8" x14ac:dyDescent="0.2">
      <c r="A178" t="s">
        <v>419</v>
      </c>
      <c r="B178" t="s">
        <v>23</v>
      </c>
      <c r="C178" s="2">
        <v>43381</v>
      </c>
      <c r="D178" t="s">
        <v>392</v>
      </c>
      <c r="E178">
        <v>407400</v>
      </c>
      <c r="F178" t="s">
        <v>393</v>
      </c>
      <c r="G178" t="s">
        <v>394</v>
      </c>
      <c r="H178">
        <v>181005160116</v>
      </c>
    </row>
    <row r="179" spans="1:8" x14ac:dyDescent="0.2">
      <c r="A179" t="s">
        <v>419</v>
      </c>
      <c r="B179" t="s">
        <v>23</v>
      </c>
      <c r="C179" s="2">
        <v>43383</v>
      </c>
      <c r="D179" t="s">
        <v>392</v>
      </c>
      <c r="E179">
        <v>400000</v>
      </c>
      <c r="F179" t="s">
        <v>395</v>
      </c>
      <c r="G179" t="s">
        <v>394</v>
      </c>
      <c r="H179">
        <v>181005160116</v>
      </c>
    </row>
    <row r="180" spans="1:8" x14ac:dyDescent="0.2">
      <c r="A180" t="s">
        <v>419</v>
      </c>
      <c r="B180" t="s">
        <v>23</v>
      </c>
      <c r="C180" s="2">
        <v>43385</v>
      </c>
      <c r="D180" t="s">
        <v>392</v>
      </c>
      <c r="E180">
        <v>951.63</v>
      </c>
      <c r="F180" t="s">
        <v>395</v>
      </c>
      <c r="G180" t="s">
        <v>394</v>
      </c>
      <c r="H180">
        <v>181005160116</v>
      </c>
    </row>
    <row r="181" spans="1:8" x14ac:dyDescent="0.2">
      <c r="A181" t="s">
        <v>419</v>
      </c>
      <c r="B181" t="s">
        <v>23</v>
      </c>
      <c r="C181" s="2">
        <v>43378</v>
      </c>
      <c r="D181" t="s">
        <v>392</v>
      </c>
      <c r="E181">
        <v>-32906.89</v>
      </c>
      <c r="F181" t="s">
        <v>396</v>
      </c>
      <c r="G181" t="s">
        <v>394</v>
      </c>
      <c r="H181">
        <v>181005160116</v>
      </c>
    </row>
    <row r="182" spans="1:8" x14ac:dyDescent="0.2">
      <c r="A182" t="s">
        <v>419</v>
      </c>
      <c r="B182" t="s">
        <v>23</v>
      </c>
      <c r="C182" s="2">
        <v>43381</v>
      </c>
      <c r="D182" t="s">
        <v>392</v>
      </c>
      <c r="E182">
        <v>-10.55</v>
      </c>
      <c r="F182" t="s">
        <v>396</v>
      </c>
      <c r="G182" t="s">
        <v>394</v>
      </c>
      <c r="H182">
        <v>181005160116</v>
      </c>
    </row>
    <row r="183" spans="1:8" x14ac:dyDescent="0.2">
      <c r="A183" t="s">
        <v>419</v>
      </c>
      <c r="B183" t="s">
        <v>23</v>
      </c>
      <c r="C183" s="2">
        <v>43382</v>
      </c>
      <c r="D183" t="s">
        <v>392</v>
      </c>
      <c r="E183">
        <v>-48174.05</v>
      </c>
      <c r="F183" t="s">
        <v>396</v>
      </c>
      <c r="G183" t="s">
        <v>394</v>
      </c>
      <c r="H183">
        <v>181005160116</v>
      </c>
    </row>
    <row r="184" spans="1:8" x14ac:dyDescent="0.2">
      <c r="A184" t="s">
        <v>419</v>
      </c>
      <c r="B184" t="s">
        <v>23</v>
      </c>
      <c r="C184" s="2">
        <v>43381</v>
      </c>
      <c r="D184" t="s">
        <v>392</v>
      </c>
      <c r="E184">
        <v>-3149293.5</v>
      </c>
      <c r="F184" t="s">
        <v>397</v>
      </c>
      <c r="G184" t="s">
        <v>394</v>
      </c>
      <c r="H184">
        <v>181005160116</v>
      </c>
    </row>
    <row r="185" spans="1:8" x14ac:dyDescent="0.2">
      <c r="A185" t="s">
        <v>419</v>
      </c>
      <c r="B185" t="s">
        <v>23</v>
      </c>
      <c r="C185" s="2">
        <v>43382</v>
      </c>
      <c r="D185" t="s">
        <v>392</v>
      </c>
      <c r="E185">
        <v>-1058057.26</v>
      </c>
      <c r="F185" t="s">
        <v>397</v>
      </c>
      <c r="G185" t="s">
        <v>394</v>
      </c>
      <c r="H185">
        <v>181005160116</v>
      </c>
    </row>
    <row r="186" spans="1:8" x14ac:dyDescent="0.2">
      <c r="A186" t="s">
        <v>419</v>
      </c>
      <c r="B186" t="s">
        <v>23</v>
      </c>
      <c r="C186" s="2">
        <v>43383</v>
      </c>
      <c r="D186" t="s">
        <v>392</v>
      </c>
      <c r="E186">
        <v>-19726.330000000002</v>
      </c>
      <c r="F186" t="s">
        <v>397</v>
      </c>
      <c r="G186" t="s">
        <v>394</v>
      </c>
      <c r="H186">
        <v>181005160116</v>
      </c>
    </row>
    <row r="187" spans="1:8" x14ac:dyDescent="0.2">
      <c r="A187" t="s">
        <v>420</v>
      </c>
      <c r="B187" t="s">
        <v>23</v>
      </c>
      <c r="C187" s="2">
        <v>43378</v>
      </c>
      <c r="D187" t="s">
        <v>392</v>
      </c>
      <c r="E187">
        <v>-1010243650.14</v>
      </c>
      <c r="F187" t="s">
        <v>396</v>
      </c>
      <c r="G187" t="s">
        <v>394</v>
      </c>
      <c r="H187">
        <v>181005160116</v>
      </c>
    </row>
    <row r="188" spans="1:8" x14ac:dyDescent="0.2">
      <c r="A188" t="s">
        <v>421</v>
      </c>
      <c r="B188" t="s">
        <v>23</v>
      </c>
      <c r="C188" s="2">
        <v>43378</v>
      </c>
      <c r="D188" t="s">
        <v>392</v>
      </c>
      <c r="E188">
        <v>-437371573.19</v>
      </c>
      <c r="F188" t="s">
        <v>396</v>
      </c>
      <c r="G188" t="s">
        <v>394</v>
      </c>
      <c r="H188">
        <v>181005160116</v>
      </c>
    </row>
    <row r="189" spans="1:8" x14ac:dyDescent="0.2">
      <c r="A189" t="s">
        <v>422</v>
      </c>
      <c r="B189" t="s">
        <v>23</v>
      </c>
      <c r="C189" s="2">
        <v>43382</v>
      </c>
      <c r="D189" t="s">
        <v>392</v>
      </c>
      <c r="E189">
        <v>598139926.88</v>
      </c>
      <c r="F189" t="s">
        <v>393</v>
      </c>
      <c r="G189" t="s">
        <v>394</v>
      </c>
      <c r="H189">
        <v>181005160116</v>
      </c>
    </row>
    <row r="190" spans="1:8" x14ac:dyDescent="0.2">
      <c r="A190" t="s">
        <v>422</v>
      </c>
      <c r="B190" t="s">
        <v>23</v>
      </c>
      <c r="C190" s="2">
        <v>43382</v>
      </c>
      <c r="D190" t="s">
        <v>392</v>
      </c>
      <c r="E190">
        <v>54040069.049999997</v>
      </c>
      <c r="F190" t="s">
        <v>423</v>
      </c>
      <c r="G190" t="s">
        <v>394</v>
      </c>
      <c r="H190">
        <v>181005160116</v>
      </c>
    </row>
    <row r="191" spans="1:8" x14ac:dyDescent="0.2">
      <c r="A191" t="s">
        <v>422</v>
      </c>
      <c r="B191" t="s">
        <v>23</v>
      </c>
      <c r="C191" s="2">
        <v>43378</v>
      </c>
      <c r="D191" t="s">
        <v>392</v>
      </c>
      <c r="E191">
        <v>183920780.91</v>
      </c>
      <c r="F191" t="s">
        <v>395</v>
      </c>
      <c r="G191" t="s">
        <v>394</v>
      </c>
      <c r="H191">
        <v>181005160116</v>
      </c>
    </row>
    <row r="192" spans="1:8" x14ac:dyDescent="0.2">
      <c r="A192" t="s">
        <v>422</v>
      </c>
      <c r="B192" t="s">
        <v>23</v>
      </c>
      <c r="C192" s="2">
        <v>43381</v>
      </c>
      <c r="D192" t="s">
        <v>392</v>
      </c>
      <c r="E192">
        <v>644337666.13999999</v>
      </c>
      <c r="F192" t="s">
        <v>395</v>
      </c>
      <c r="G192" t="s">
        <v>394</v>
      </c>
      <c r="H192">
        <v>181005160116</v>
      </c>
    </row>
    <row r="193" spans="1:8" x14ac:dyDescent="0.2">
      <c r="A193" t="s">
        <v>424</v>
      </c>
      <c r="B193" t="s">
        <v>23</v>
      </c>
      <c r="C193" s="2">
        <v>43382</v>
      </c>
      <c r="D193" t="s">
        <v>392</v>
      </c>
      <c r="E193">
        <v>362513304.80000001</v>
      </c>
      <c r="F193" t="s">
        <v>393</v>
      </c>
      <c r="G193" t="s">
        <v>394</v>
      </c>
      <c r="H193">
        <v>181005160116</v>
      </c>
    </row>
    <row r="194" spans="1:8" x14ac:dyDescent="0.2">
      <c r="A194" t="s">
        <v>424</v>
      </c>
      <c r="B194" t="s">
        <v>23</v>
      </c>
      <c r="C194" s="2">
        <v>43382</v>
      </c>
      <c r="D194" t="s">
        <v>392</v>
      </c>
      <c r="E194">
        <v>44502844.539999999</v>
      </c>
      <c r="F194" t="s">
        <v>423</v>
      </c>
      <c r="G194" t="s">
        <v>394</v>
      </c>
      <c r="H194">
        <v>181005160116</v>
      </c>
    </row>
    <row r="195" spans="1:8" x14ac:dyDescent="0.2">
      <c r="A195" t="s">
        <v>424</v>
      </c>
      <c r="B195" t="s">
        <v>23</v>
      </c>
      <c r="C195" s="2">
        <v>43378</v>
      </c>
      <c r="D195" t="s">
        <v>392</v>
      </c>
      <c r="E195">
        <v>137794223</v>
      </c>
      <c r="F195" t="s">
        <v>395</v>
      </c>
      <c r="G195" t="s">
        <v>394</v>
      </c>
      <c r="H195">
        <v>181005160116</v>
      </c>
    </row>
    <row r="196" spans="1:8" x14ac:dyDescent="0.2">
      <c r="A196" t="s">
        <v>424</v>
      </c>
      <c r="B196" t="s">
        <v>23</v>
      </c>
      <c r="C196" s="2">
        <v>43381</v>
      </c>
      <c r="D196" t="s">
        <v>392</v>
      </c>
      <c r="E196">
        <v>353293124.81999999</v>
      </c>
      <c r="F196" t="s">
        <v>395</v>
      </c>
      <c r="G196" t="s">
        <v>394</v>
      </c>
      <c r="H196">
        <v>181005160116</v>
      </c>
    </row>
    <row r="197" spans="1:8" x14ac:dyDescent="0.2">
      <c r="A197" t="s">
        <v>425</v>
      </c>
      <c r="B197" t="s">
        <v>23</v>
      </c>
      <c r="C197" s="2">
        <v>43378</v>
      </c>
      <c r="D197" t="s">
        <v>392</v>
      </c>
      <c r="E197">
        <v>-1990963235.8099999</v>
      </c>
      <c r="F197" t="s">
        <v>396</v>
      </c>
      <c r="G197" t="s">
        <v>394</v>
      </c>
      <c r="H197">
        <v>181005160116</v>
      </c>
    </row>
    <row r="198" spans="1:8" x14ac:dyDescent="0.2">
      <c r="A198" t="s">
        <v>426</v>
      </c>
      <c r="B198" t="s">
        <v>23</v>
      </c>
      <c r="C198" s="2">
        <v>43378</v>
      </c>
      <c r="D198" t="s">
        <v>392</v>
      </c>
      <c r="E198">
        <v>1000</v>
      </c>
      <c r="F198" t="s">
        <v>393</v>
      </c>
      <c r="G198" t="s">
        <v>394</v>
      </c>
      <c r="H198">
        <v>181005160116</v>
      </c>
    </row>
    <row r="199" spans="1:8" x14ac:dyDescent="0.2">
      <c r="A199" t="s">
        <v>426</v>
      </c>
      <c r="B199" t="s">
        <v>23</v>
      </c>
      <c r="C199" s="2">
        <v>43384</v>
      </c>
      <c r="D199" t="s">
        <v>392</v>
      </c>
      <c r="E199">
        <v>-1000000</v>
      </c>
      <c r="F199" t="s">
        <v>396</v>
      </c>
      <c r="G199" t="s">
        <v>394</v>
      </c>
      <c r="H199">
        <v>181005160116</v>
      </c>
    </row>
    <row r="200" spans="1:8" x14ac:dyDescent="0.2">
      <c r="A200" t="s">
        <v>426</v>
      </c>
      <c r="B200" t="s">
        <v>23</v>
      </c>
      <c r="C200" s="2">
        <v>43378</v>
      </c>
      <c r="D200" t="s">
        <v>392</v>
      </c>
      <c r="E200">
        <v>-935374.25</v>
      </c>
      <c r="F200" t="s">
        <v>397</v>
      </c>
      <c r="G200" t="s">
        <v>394</v>
      </c>
      <c r="H200">
        <v>181005160116</v>
      </c>
    </row>
    <row r="201" spans="1:8" x14ac:dyDescent="0.2">
      <c r="A201" t="s">
        <v>426</v>
      </c>
      <c r="B201" t="s">
        <v>23</v>
      </c>
      <c r="C201" s="2">
        <v>43383</v>
      </c>
      <c r="D201" t="s">
        <v>392</v>
      </c>
      <c r="E201">
        <v>-4995982.07</v>
      </c>
      <c r="F201" t="s">
        <v>397</v>
      </c>
      <c r="G201" t="s">
        <v>394</v>
      </c>
      <c r="H201">
        <v>181005160116</v>
      </c>
    </row>
    <row r="202" spans="1:8" x14ac:dyDescent="0.2">
      <c r="A202" t="s">
        <v>427</v>
      </c>
      <c r="B202" t="s">
        <v>23</v>
      </c>
      <c r="C202" s="2">
        <v>43378</v>
      </c>
      <c r="D202" t="s">
        <v>392</v>
      </c>
      <c r="E202">
        <v>451850</v>
      </c>
      <c r="F202" t="s">
        <v>393</v>
      </c>
      <c r="G202" t="s">
        <v>394</v>
      </c>
      <c r="H202">
        <v>181005160116</v>
      </c>
    </row>
    <row r="203" spans="1:8" x14ac:dyDescent="0.2">
      <c r="A203" t="s">
        <v>427</v>
      </c>
      <c r="B203" t="s">
        <v>23</v>
      </c>
      <c r="C203" s="2">
        <v>43381</v>
      </c>
      <c r="D203" t="s">
        <v>392</v>
      </c>
      <c r="E203">
        <v>20837</v>
      </c>
      <c r="F203" t="s">
        <v>393</v>
      </c>
      <c r="G203" t="s">
        <v>394</v>
      </c>
      <c r="H203">
        <v>181005160116</v>
      </c>
    </row>
    <row r="204" spans="1:8" x14ac:dyDescent="0.2">
      <c r="A204" t="s">
        <v>427</v>
      </c>
      <c r="B204" t="s">
        <v>23</v>
      </c>
      <c r="C204" s="2">
        <v>43378</v>
      </c>
      <c r="D204" t="s">
        <v>392</v>
      </c>
      <c r="E204">
        <v>966184.18</v>
      </c>
      <c r="F204" t="s">
        <v>395</v>
      </c>
      <c r="G204" t="s">
        <v>394</v>
      </c>
      <c r="H204">
        <v>181005160116</v>
      </c>
    </row>
    <row r="205" spans="1:8" x14ac:dyDescent="0.2">
      <c r="A205" t="s">
        <v>427</v>
      </c>
      <c r="B205" t="s">
        <v>23</v>
      </c>
      <c r="C205" s="2">
        <v>43381</v>
      </c>
      <c r="D205" t="s">
        <v>392</v>
      </c>
      <c r="E205">
        <v>3900.04</v>
      </c>
      <c r="F205" t="s">
        <v>395</v>
      </c>
      <c r="G205" t="s">
        <v>394</v>
      </c>
      <c r="H205">
        <v>181005160116</v>
      </c>
    </row>
    <row r="206" spans="1:8" x14ac:dyDescent="0.2">
      <c r="A206" t="s">
        <v>427</v>
      </c>
      <c r="B206" t="s">
        <v>23</v>
      </c>
      <c r="C206" s="2">
        <v>43382</v>
      </c>
      <c r="D206" t="s">
        <v>392</v>
      </c>
      <c r="E206">
        <v>1999.98</v>
      </c>
      <c r="F206" t="s">
        <v>395</v>
      </c>
      <c r="G206" t="s">
        <v>394</v>
      </c>
      <c r="H206">
        <v>181005160116</v>
      </c>
    </row>
    <row r="207" spans="1:8" x14ac:dyDescent="0.2">
      <c r="A207" t="s">
        <v>427</v>
      </c>
      <c r="B207" t="s">
        <v>23</v>
      </c>
      <c r="C207" s="2">
        <v>43383</v>
      </c>
      <c r="D207" t="s">
        <v>392</v>
      </c>
      <c r="E207">
        <v>10000</v>
      </c>
      <c r="F207" t="s">
        <v>395</v>
      </c>
      <c r="G207" t="s">
        <v>394</v>
      </c>
      <c r="H207">
        <v>181005160116</v>
      </c>
    </row>
    <row r="208" spans="1:8" x14ac:dyDescent="0.2">
      <c r="A208" t="s">
        <v>427</v>
      </c>
      <c r="B208" t="s">
        <v>23</v>
      </c>
      <c r="C208" s="2">
        <v>43389</v>
      </c>
      <c r="D208" t="s">
        <v>392</v>
      </c>
      <c r="E208">
        <v>999.99</v>
      </c>
      <c r="F208" t="s">
        <v>395</v>
      </c>
      <c r="G208" t="s">
        <v>394</v>
      </c>
      <c r="H208">
        <v>181005160116</v>
      </c>
    </row>
    <row r="209" spans="1:8" x14ac:dyDescent="0.2">
      <c r="A209" t="s">
        <v>427</v>
      </c>
      <c r="B209" t="s">
        <v>23</v>
      </c>
      <c r="C209" s="2">
        <v>43378</v>
      </c>
      <c r="D209" t="s">
        <v>392</v>
      </c>
      <c r="E209">
        <v>-96918.48</v>
      </c>
      <c r="F209" t="s">
        <v>396</v>
      </c>
      <c r="G209" t="s">
        <v>394</v>
      </c>
      <c r="H209">
        <v>181005160116</v>
      </c>
    </row>
    <row r="210" spans="1:8" x14ac:dyDescent="0.2">
      <c r="A210" t="s">
        <v>427</v>
      </c>
      <c r="B210" t="s">
        <v>23</v>
      </c>
      <c r="C210" s="2">
        <v>43381</v>
      </c>
      <c r="D210" t="s">
        <v>392</v>
      </c>
      <c r="E210">
        <v>-5014000</v>
      </c>
      <c r="F210" t="s">
        <v>396</v>
      </c>
      <c r="G210" t="s">
        <v>394</v>
      </c>
      <c r="H210">
        <v>181005160116</v>
      </c>
    </row>
    <row r="211" spans="1:8" x14ac:dyDescent="0.2">
      <c r="A211" t="s">
        <v>427</v>
      </c>
      <c r="B211" t="s">
        <v>23</v>
      </c>
      <c r="C211" s="2">
        <v>43378</v>
      </c>
      <c r="D211" t="s">
        <v>392</v>
      </c>
      <c r="E211">
        <v>-25000</v>
      </c>
      <c r="F211" t="s">
        <v>397</v>
      </c>
      <c r="G211" t="s">
        <v>394</v>
      </c>
      <c r="H211">
        <v>181005160116</v>
      </c>
    </row>
    <row r="212" spans="1:8" x14ac:dyDescent="0.2">
      <c r="A212" t="s">
        <v>427</v>
      </c>
      <c r="B212" t="s">
        <v>23</v>
      </c>
      <c r="C212" s="2">
        <v>43381</v>
      </c>
      <c r="D212" t="s">
        <v>392</v>
      </c>
      <c r="E212">
        <v>-6001000.0099999998</v>
      </c>
      <c r="F212" t="s">
        <v>397</v>
      </c>
      <c r="G212" t="s">
        <v>394</v>
      </c>
      <c r="H212">
        <v>181005160116</v>
      </c>
    </row>
    <row r="213" spans="1:8" x14ac:dyDescent="0.2">
      <c r="A213" t="s">
        <v>428</v>
      </c>
      <c r="B213" t="s">
        <v>23</v>
      </c>
      <c r="C213" s="2">
        <v>43378</v>
      </c>
      <c r="D213" t="s">
        <v>392</v>
      </c>
      <c r="E213">
        <v>7037.26</v>
      </c>
      <c r="F213" t="s">
        <v>393</v>
      </c>
      <c r="G213" t="s">
        <v>394</v>
      </c>
      <c r="H213">
        <v>181005160116</v>
      </c>
    </row>
    <row r="214" spans="1:8" x14ac:dyDescent="0.2">
      <c r="A214" t="s">
        <v>428</v>
      </c>
      <c r="B214" t="s">
        <v>23</v>
      </c>
      <c r="C214" s="2">
        <v>43381</v>
      </c>
      <c r="D214" t="s">
        <v>392</v>
      </c>
      <c r="E214">
        <v>12000</v>
      </c>
      <c r="F214" t="s">
        <v>393</v>
      </c>
      <c r="G214" t="s">
        <v>394</v>
      </c>
      <c r="H214">
        <v>181005160116</v>
      </c>
    </row>
    <row r="215" spans="1:8" x14ac:dyDescent="0.2">
      <c r="A215" t="s">
        <v>428</v>
      </c>
      <c r="B215" t="s">
        <v>23</v>
      </c>
      <c r="C215" s="2">
        <v>43381</v>
      </c>
      <c r="D215" t="s">
        <v>392</v>
      </c>
      <c r="E215">
        <v>-325079.84000000003</v>
      </c>
      <c r="F215" t="s">
        <v>396</v>
      </c>
      <c r="G215" t="s">
        <v>394</v>
      </c>
      <c r="H215">
        <v>181005160116</v>
      </c>
    </row>
    <row r="216" spans="1:8" x14ac:dyDescent="0.2">
      <c r="A216" t="s">
        <v>428</v>
      </c>
      <c r="B216" t="s">
        <v>23</v>
      </c>
      <c r="C216" s="2">
        <v>43381</v>
      </c>
      <c r="D216" t="s">
        <v>392</v>
      </c>
      <c r="E216">
        <v>-9929.44</v>
      </c>
      <c r="F216" t="s">
        <v>397</v>
      </c>
      <c r="G216" t="s">
        <v>394</v>
      </c>
      <c r="H216">
        <v>181005160116</v>
      </c>
    </row>
    <row r="217" spans="1:8" x14ac:dyDescent="0.2">
      <c r="A217" t="s">
        <v>429</v>
      </c>
      <c r="B217" t="s">
        <v>23</v>
      </c>
      <c r="C217" s="2">
        <v>43378</v>
      </c>
      <c r="D217" t="s">
        <v>392</v>
      </c>
      <c r="E217">
        <v>2172546.2000000002</v>
      </c>
      <c r="F217" t="s">
        <v>393</v>
      </c>
      <c r="G217" t="s">
        <v>394</v>
      </c>
      <c r="H217">
        <v>181005160116</v>
      </c>
    </row>
    <row r="218" spans="1:8" x14ac:dyDescent="0.2">
      <c r="A218" t="s">
        <v>429</v>
      </c>
      <c r="B218" t="s">
        <v>23</v>
      </c>
      <c r="C218" s="2">
        <v>43381</v>
      </c>
      <c r="D218" t="s">
        <v>392</v>
      </c>
      <c r="E218">
        <v>8973071.4900000002</v>
      </c>
      <c r="F218" t="s">
        <v>393</v>
      </c>
      <c r="G218" t="s">
        <v>394</v>
      </c>
      <c r="H218">
        <v>181005160116</v>
      </c>
    </row>
    <row r="219" spans="1:8" x14ac:dyDescent="0.2">
      <c r="A219" t="s">
        <v>429</v>
      </c>
      <c r="B219" t="s">
        <v>23</v>
      </c>
      <c r="C219" s="2">
        <v>43378</v>
      </c>
      <c r="D219" t="s">
        <v>392</v>
      </c>
      <c r="E219">
        <v>396291.28</v>
      </c>
      <c r="F219" t="s">
        <v>395</v>
      </c>
      <c r="G219" t="s">
        <v>394</v>
      </c>
      <c r="H219">
        <v>181005160116</v>
      </c>
    </row>
    <row r="220" spans="1:8" x14ac:dyDescent="0.2">
      <c r="A220" t="s">
        <v>429</v>
      </c>
      <c r="B220" t="s">
        <v>23</v>
      </c>
      <c r="C220" s="2">
        <v>43381</v>
      </c>
      <c r="D220" t="s">
        <v>392</v>
      </c>
      <c r="E220">
        <v>1036145.91</v>
      </c>
      <c r="F220" t="s">
        <v>395</v>
      </c>
      <c r="G220" t="s">
        <v>394</v>
      </c>
      <c r="H220">
        <v>181005160116</v>
      </c>
    </row>
    <row r="221" spans="1:8" x14ac:dyDescent="0.2">
      <c r="A221" t="s">
        <v>429</v>
      </c>
      <c r="B221" t="s">
        <v>23</v>
      </c>
      <c r="C221" s="2">
        <v>43382</v>
      </c>
      <c r="D221" t="s">
        <v>392</v>
      </c>
      <c r="E221">
        <v>31779519</v>
      </c>
      <c r="F221" t="s">
        <v>395</v>
      </c>
      <c r="G221" t="s">
        <v>394</v>
      </c>
      <c r="H221">
        <v>181005160116</v>
      </c>
    </row>
    <row r="222" spans="1:8" x14ac:dyDescent="0.2">
      <c r="A222" t="s">
        <v>429</v>
      </c>
      <c r="B222" t="s">
        <v>23</v>
      </c>
      <c r="C222" s="2">
        <v>43383</v>
      </c>
      <c r="D222" t="s">
        <v>392</v>
      </c>
      <c r="E222">
        <v>20000</v>
      </c>
      <c r="F222" t="s">
        <v>395</v>
      </c>
      <c r="G222" t="s">
        <v>394</v>
      </c>
      <c r="H222">
        <v>181005160116</v>
      </c>
    </row>
    <row r="223" spans="1:8" x14ac:dyDescent="0.2">
      <c r="A223" t="s">
        <v>429</v>
      </c>
      <c r="B223" t="s">
        <v>23</v>
      </c>
      <c r="C223" s="2">
        <v>43384</v>
      </c>
      <c r="D223" t="s">
        <v>392</v>
      </c>
      <c r="E223">
        <v>20000</v>
      </c>
      <c r="F223" t="s">
        <v>395</v>
      </c>
      <c r="G223" t="s">
        <v>394</v>
      </c>
      <c r="H223">
        <v>181005160116</v>
      </c>
    </row>
    <row r="224" spans="1:8" x14ac:dyDescent="0.2">
      <c r="A224" t="s">
        <v>429</v>
      </c>
      <c r="B224" t="s">
        <v>23</v>
      </c>
      <c r="C224" s="2">
        <v>43385</v>
      </c>
      <c r="D224" t="s">
        <v>392</v>
      </c>
      <c r="E224">
        <v>60195.39</v>
      </c>
      <c r="F224" t="s">
        <v>395</v>
      </c>
      <c r="G224" t="s">
        <v>394</v>
      </c>
      <c r="H224">
        <v>181005160116</v>
      </c>
    </row>
    <row r="225" spans="1:8" x14ac:dyDescent="0.2">
      <c r="A225" t="s">
        <v>429</v>
      </c>
      <c r="B225" t="s">
        <v>23</v>
      </c>
      <c r="C225" s="2">
        <v>43378</v>
      </c>
      <c r="D225" t="s">
        <v>392</v>
      </c>
      <c r="E225">
        <v>-117559368.3</v>
      </c>
      <c r="F225" t="s">
        <v>396</v>
      </c>
      <c r="G225" t="s">
        <v>394</v>
      </c>
      <c r="H225">
        <v>181005160116</v>
      </c>
    </row>
    <row r="226" spans="1:8" x14ac:dyDescent="0.2">
      <c r="A226" t="s">
        <v>429</v>
      </c>
      <c r="B226" t="s">
        <v>23</v>
      </c>
      <c r="C226" s="2">
        <v>43381</v>
      </c>
      <c r="D226" t="s">
        <v>392</v>
      </c>
      <c r="E226">
        <v>-83327550.180000007</v>
      </c>
      <c r="F226" t="s">
        <v>396</v>
      </c>
      <c r="G226" t="s">
        <v>394</v>
      </c>
      <c r="H226">
        <v>181005160116</v>
      </c>
    </row>
    <row r="227" spans="1:8" x14ac:dyDescent="0.2">
      <c r="A227" t="s">
        <v>429</v>
      </c>
      <c r="B227" t="s">
        <v>23</v>
      </c>
      <c r="C227" s="2">
        <v>43378</v>
      </c>
      <c r="D227" t="s">
        <v>392</v>
      </c>
      <c r="E227">
        <v>-98008421.959999993</v>
      </c>
      <c r="F227" t="s">
        <v>397</v>
      </c>
      <c r="G227" t="s">
        <v>394</v>
      </c>
      <c r="H227">
        <v>181005160116</v>
      </c>
    </row>
    <row r="228" spans="1:8" x14ac:dyDescent="0.2">
      <c r="A228" t="s">
        <v>429</v>
      </c>
      <c r="B228" t="s">
        <v>23</v>
      </c>
      <c r="C228" s="2">
        <v>43381</v>
      </c>
      <c r="D228" t="s">
        <v>392</v>
      </c>
      <c r="E228">
        <v>-102737662.90000001</v>
      </c>
      <c r="F228" t="s">
        <v>397</v>
      </c>
      <c r="G228" t="s">
        <v>394</v>
      </c>
      <c r="H228">
        <v>181005160116</v>
      </c>
    </row>
    <row r="229" spans="1:8" x14ac:dyDescent="0.2">
      <c r="A229" t="s">
        <v>430</v>
      </c>
      <c r="B229" t="s">
        <v>23</v>
      </c>
      <c r="C229" s="2">
        <v>43381</v>
      </c>
      <c r="D229" t="s">
        <v>392</v>
      </c>
      <c r="E229">
        <v>12000</v>
      </c>
      <c r="F229" t="s">
        <v>393</v>
      </c>
      <c r="G229" t="s">
        <v>394</v>
      </c>
      <c r="H229">
        <v>181005160116</v>
      </c>
    </row>
    <row r="230" spans="1:8" x14ac:dyDescent="0.2">
      <c r="A230" t="s">
        <v>430</v>
      </c>
      <c r="B230" t="s">
        <v>23</v>
      </c>
      <c r="C230" s="2">
        <v>43381</v>
      </c>
      <c r="D230" t="s">
        <v>392</v>
      </c>
      <c r="E230">
        <v>1100000</v>
      </c>
      <c r="F230" t="s">
        <v>395</v>
      </c>
      <c r="G230" t="s">
        <v>394</v>
      </c>
      <c r="H230">
        <v>181005160116</v>
      </c>
    </row>
    <row r="231" spans="1:8" x14ac:dyDescent="0.2">
      <c r="A231" t="s">
        <v>430</v>
      </c>
      <c r="B231" t="s">
        <v>23</v>
      </c>
      <c r="C231" s="2">
        <v>43378</v>
      </c>
      <c r="D231" t="s">
        <v>392</v>
      </c>
      <c r="E231">
        <v>-1484023.98</v>
      </c>
      <c r="F231" t="s">
        <v>397</v>
      </c>
      <c r="G231" t="s">
        <v>394</v>
      </c>
      <c r="H231">
        <v>181005160116</v>
      </c>
    </row>
    <row r="232" spans="1:8" x14ac:dyDescent="0.2">
      <c r="A232" t="s">
        <v>430</v>
      </c>
      <c r="B232" t="s">
        <v>23</v>
      </c>
      <c r="C232" s="2">
        <v>43382</v>
      </c>
      <c r="D232" t="s">
        <v>392</v>
      </c>
      <c r="E232">
        <v>-1712323.48</v>
      </c>
      <c r="F232" t="s">
        <v>397</v>
      </c>
      <c r="G232" t="s">
        <v>394</v>
      </c>
      <c r="H232">
        <v>181005160116</v>
      </c>
    </row>
    <row r="233" spans="1:8" x14ac:dyDescent="0.2">
      <c r="A233" t="s">
        <v>430</v>
      </c>
      <c r="B233" t="s">
        <v>23</v>
      </c>
      <c r="C233" s="2">
        <v>43383</v>
      </c>
      <c r="D233" t="s">
        <v>392</v>
      </c>
      <c r="E233">
        <v>-292276.03000000003</v>
      </c>
      <c r="F233" t="s">
        <v>397</v>
      </c>
      <c r="G233" t="s">
        <v>394</v>
      </c>
      <c r="H233">
        <v>181005160116</v>
      </c>
    </row>
    <row r="234" spans="1:8" x14ac:dyDescent="0.2">
      <c r="A234" t="s">
        <v>431</v>
      </c>
      <c r="B234" t="s">
        <v>23</v>
      </c>
      <c r="C234" s="2">
        <v>43378</v>
      </c>
      <c r="D234" t="s">
        <v>392</v>
      </c>
      <c r="E234">
        <v>55500</v>
      </c>
      <c r="F234" t="s">
        <v>393</v>
      </c>
      <c r="G234" t="s">
        <v>394</v>
      </c>
      <c r="H234">
        <v>181005160116</v>
      </c>
    </row>
    <row r="235" spans="1:8" x14ac:dyDescent="0.2">
      <c r="A235" t="s">
        <v>431</v>
      </c>
      <c r="B235" t="s">
        <v>23</v>
      </c>
      <c r="C235" s="2">
        <v>43381</v>
      </c>
      <c r="D235" t="s">
        <v>392</v>
      </c>
      <c r="E235">
        <v>768850</v>
      </c>
      <c r="F235" t="s">
        <v>393</v>
      </c>
      <c r="G235" t="s">
        <v>394</v>
      </c>
      <c r="H235">
        <v>181005160116</v>
      </c>
    </row>
    <row r="236" spans="1:8" x14ac:dyDescent="0.2">
      <c r="A236" t="s">
        <v>431</v>
      </c>
      <c r="B236" t="s">
        <v>23</v>
      </c>
      <c r="C236" s="2">
        <v>43384</v>
      </c>
      <c r="D236" t="s">
        <v>392</v>
      </c>
      <c r="E236">
        <v>103650.43</v>
      </c>
      <c r="F236" t="s">
        <v>395</v>
      </c>
      <c r="G236" t="s">
        <v>394</v>
      </c>
      <c r="H236">
        <v>181005160116</v>
      </c>
    </row>
    <row r="237" spans="1:8" x14ac:dyDescent="0.2">
      <c r="A237" t="s">
        <v>431</v>
      </c>
      <c r="B237" t="s">
        <v>23</v>
      </c>
      <c r="C237" s="2">
        <v>43378</v>
      </c>
      <c r="D237" t="s">
        <v>392</v>
      </c>
      <c r="E237">
        <v>-1589464.05</v>
      </c>
      <c r="F237" t="s">
        <v>396</v>
      </c>
      <c r="G237" t="s">
        <v>394</v>
      </c>
      <c r="H237">
        <v>181005160116</v>
      </c>
    </row>
    <row r="238" spans="1:8" x14ac:dyDescent="0.2">
      <c r="A238" t="s">
        <v>431</v>
      </c>
      <c r="B238" t="s">
        <v>23</v>
      </c>
      <c r="C238" s="2">
        <v>43382</v>
      </c>
      <c r="D238" t="s">
        <v>392</v>
      </c>
      <c r="E238">
        <v>-39083.360000000001</v>
      </c>
      <c r="F238" t="s">
        <v>396</v>
      </c>
      <c r="G238" t="s">
        <v>394</v>
      </c>
      <c r="H238">
        <v>181005160116</v>
      </c>
    </row>
    <row r="239" spans="1:8" x14ac:dyDescent="0.2">
      <c r="A239" t="s">
        <v>431</v>
      </c>
      <c r="B239" t="s">
        <v>23</v>
      </c>
      <c r="C239" s="2">
        <v>43383</v>
      </c>
      <c r="D239" t="s">
        <v>392</v>
      </c>
      <c r="E239">
        <v>-10000</v>
      </c>
      <c r="F239" t="s">
        <v>396</v>
      </c>
      <c r="G239" t="s">
        <v>394</v>
      </c>
      <c r="H239">
        <v>181005160116</v>
      </c>
    </row>
    <row r="240" spans="1:8" x14ac:dyDescent="0.2">
      <c r="A240" t="s">
        <v>431</v>
      </c>
      <c r="B240" t="s">
        <v>23</v>
      </c>
      <c r="C240" s="2">
        <v>43384</v>
      </c>
      <c r="D240" t="s">
        <v>392</v>
      </c>
      <c r="E240">
        <v>-102613.6</v>
      </c>
      <c r="F240" t="s">
        <v>396</v>
      </c>
      <c r="G240" t="s">
        <v>394</v>
      </c>
      <c r="H240">
        <v>181005160116</v>
      </c>
    </row>
    <row r="241" spans="1:8" x14ac:dyDescent="0.2">
      <c r="A241" t="s">
        <v>431</v>
      </c>
      <c r="B241" t="s">
        <v>23</v>
      </c>
      <c r="C241" s="2">
        <v>43378</v>
      </c>
      <c r="D241" t="s">
        <v>392</v>
      </c>
      <c r="E241">
        <v>-1032406.77</v>
      </c>
      <c r="F241" t="s">
        <v>397</v>
      </c>
      <c r="G241" t="s">
        <v>394</v>
      </c>
      <c r="H241">
        <v>181005160116</v>
      </c>
    </row>
    <row r="242" spans="1:8" x14ac:dyDescent="0.2">
      <c r="A242" t="s">
        <v>431</v>
      </c>
      <c r="B242" t="s">
        <v>23</v>
      </c>
      <c r="C242" s="2">
        <v>43382</v>
      </c>
      <c r="D242" t="s">
        <v>392</v>
      </c>
      <c r="E242">
        <v>-667714.61</v>
      </c>
      <c r="F242" t="s">
        <v>397</v>
      </c>
      <c r="G242" t="s">
        <v>394</v>
      </c>
      <c r="H242">
        <v>181005160116</v>
      </c>
    </row>
    <row r="243" spans="1:8" x14ac:dyDescent="0.2">
      <c r="A243" t="s">
        <v>431</v>
      </c>
      <c r="B243" t="s">
        <v>23</v>
      </c>
      <c r="C243" s="2">
        <v>43383</v>
      </c>
      <c r="D243" t="s">
        <v>392</v>
      </c>
      <c r="E243">
        <v>-502958.04</v>
      </c>
      <c r="F243" t="s">
        <v>397</v>
      </c>
      <c r="G243" t="s">
        <v>394</v>
      </c>
      <c r="H243">
        <v>181005160116</v>
      </c>
    </row>
    <row r="244" spans="1:8" x14ac:dyDescent="0.2">
      <c r="A244" t="s">
        <v>431</v>
      </c>
      <c r="B244" t="s">
        <v>23</v>
      </c>
      <c r="C244" s="2">
        <v>43384</v>
      </c>
      <c r="D244" t="s">
        <v>392</v>
      </c>
      <c r="E244">
        <v>-516993.7</v>
      </c>
      <c r="F244" t="s">
        <v>397</v>
      </c>
      <c r="G244" t="s">
        <v>394</v>
      </c>
      <c r="H244">
        <v>181005160116</v>
      </c>
    </row>
    <row r="245" spans="1:8" x14ac:dyDescent="0.2">
      <c r="A245" t="s">
        <v>431</v>
      </c>
      <c r="B245" t="s">
        <v>23</v>
      </c>
      <c r="C245" s="2">
        <v>43385</v>
      </c>
      <c r="D245" t="s">
        <v>392</v>
      </c>
      <c r="E245">
        <v>-3051366.66</v>
      </c>
      <c r="F245" t="s">
        <v>397</v>
      </c>
      <c r="G245" t="s">
        <v>394</v>
      </c>
      <c r="H245">
        <v>181005160116</v>
      </c>
    </row>
    <row r="246" spans="1:8" x14ac:dyDescent="0.2">
      <c r="A246" t="s">
        <v>432</v>
      </c>
      <c r="B246" t="s">
        <v>23</v>
      </c>
      <c r="C246" s="2">
        <v>43378</v>
      </c>
      <c r="D246" t="s">
        <v>392</v>
      </c>
      <c r="E246">
        <v>2023000</v>
      </c>
      <c r="F246" t="s">
        <v>393</v>
      </c>
      <c r="G246" t="s">
        <v>394</v>
      </c>
      <c r="H246">
        <v>181005160116</v>
      </c>
    </row>
    <row r="247" spans="1:8" x14ac:dyDescent="0.2">
      <c r="A247" t="s">
        <v>432</v>
      </c>
      <c r="B247" t="s">
        <v>23</v>
      </c>
      <c r="C247" s="2">
        <v>43381</v>
      </c>
      <c r="D247" t="s">
        <v>392</v>
      </c>
      <c r="E247">
        <v>534200</v>
      </c>
      <c r="F247" t="s">
        <v>393</v>
      </c>
      <c r="G247" t="s">
        <v>394</v>
      </c>
      <c r="H247">
        <v>181005160116</v>
      </c>
    </row>
    <row r="248" spans="1:8" x14ac:dyDescent="0.2">
      <c r="A248" t="s">
        <v>432</v>
      </c>
      <c r="B248" t="s">
        <v>23</v>
      </c>
      <c r="C248" s="2">
        <v>43381</v>
      </c>
      <c r="D248" t="s">
        <v>392</v>
      </c>
      <c r="E248">
        <v>500000</v>
      </c>
      <c r="F248" t="s">
        <v>395</v>
      </c>
      <c r="G248" t="s">
        <v>394</v>
      </c>
      <c r="H248">
        <v>181005160116</v>
      </c>
    </row>
    <row r="249" spans="1:8" x14ac:dyDescent="0.2">
      <c r="A249" t="s">
        <v>432</v>
      </c>
      <c r="B249" t="s">
        <v>23</v>
      </c>
      <c r="C249" s="2">
        <v>43382</v>
      </c>
      <c r="D249" t="s">
        <v>392</v>
      </c>
      <c r="E249">
        <v>200000</v>
      </c>
      <c r="F249" t="s">
        <v>395</v>
      </c>
      <c r="G249" t="s">
        <v>394</v>
      </c>
      <c r="H249">
        <v>181005160116</v>
      </c>
    </row>
    <row r="250" spans="1:8" x14ac:dyDescent="0.2">
      <c r="A250" t="s">
        <v>432</v>
      </c>
      <c r="B250" t="s">
        <v>23</v>
      </c>
      <c r="C250" s="2">
        <v>43378</v>
      </c>
      <c r="D250" t="s">
        <v>392</v>
      </c>
      <c r="E250">
        <v>-52123448.93</v>
      </c>
      <c r="F250" t="s">
        <v>396</v>
      </c>
      <c r="G250" t="s">
        <v>394</v>
      </c>
      <c r="H250">
        <v>181005160116</v>
      </c>
    </row>
    <row r="251" spans="1:8" x14ac:dyDescent="0.2">
      <c r="A251" t="s">
        <v>432</v>
      </c>
      <c r="B251" t="s">
        <v>23</v>
      </c>
      <c r="C251" s="2">
        <v>43382</v>
      </c>
      <c r="D251" t="s">
        <v>392</v>
      </c>
      <c r="E251">
        <v>-41097.449999999997</v>
      </c>
      <c r="F251" t="s">
        <v>396</v>
      </c>
      <c r="G251" t="s">
        <v>394</v>
      </c>
      <c r="H251">
        <v>181005160116</v>
      </c>
    </row>
    <row r="252" spans="1:8" x14ac:dyDescent="0.2">
      <c r="A252" t="s">
        <v>432</v>
      </c>
      <c r="B252" t="s">
        <v>23</v>
      </c>
      <c r="C252" s="2">
        <v>43383</v>
      </c>
      <c r="D252" t="s">
        <v>392</v>
      </c>
      <c r="E252">
        <v>-301413.81</v>
      </c>
      <c r="F252" t="s">
        <v>396</v>
      </c>
      <c r="G252" t="s">
        <v>394</v>
      </c>
      <c r="H252">
        <v>181005160116</v>
      </c>
    </row>
    <row r="253" spans="1:8" x14ac:dyDescent="0.2">
      <c r="A253" t="s">
        <v>432</v>
      </c>
      <c r="B253" t="s">
        <v>23</v>
      </c>
      <c r="C253" s="2">
        <v>43384</v>
      </c>
      <c r="D253" t="s">
        <v>392</v>
      </c>
      <c r="E253">
        <v>-2315131.96</v>
      </c>
      <c r="F253" t="s">
        <v>396</v>
      </c>
      <c r="G253" t="s">
        <v>394</v>
      </c>
      <c r="H253">
        <v>181005160116</v>
      </c>
    </row>
    <row r="254" spans="1:8" x14ac:dyDescent="0.2">
      <c r="A254" t="s">
        <v>432</v>
      </c>
      <c r="B254" t="s">
        <v>23</v>
      </c>
      <c r="C254" s="2">
        <v>43385</v>
      </c>
      <c r="D254" t="s">
        <v>392</v>
      </c>
      <c r="E254">
        <v>-1035619.85</v>
      </c>
      <c r="F254" t="s">
        <v>396</v>
      </c>
      <c r="G254" t="s">
        <v>394</v>
      </c>
      <c r="H254">
        <v>181005160116</v>
      </c>
    </row>
    <row r="255" spans="1:8" x14ac:dyDescent="0.2">
      <c r="A255" t="s">
        <v>432</v>
      </c>
      <c r="B255" t="s">
        <v>23</v>
      </c>
      <c r="C255" s="2">
        <v>43378</v>
      </c>
      <c r="D255" t="s">
        <v>392</v>
      </c>
      <c r="E255">
        <v>-1000000</v>
      </c>
      <c r="F255" t="s">
        <v>397</v>
      </c>
      <c r="G255" t="s">
        <v>394</v>
      </c>
      <c r="H255">
        <v>181005160116</v>
      </c>
    </row>
    <row r="256" spans="1:8" x14ac:dyDescent="0.2">
      <c r="A256" t="s">
        <v>432</v>
      </c>
      <c r="B256" t="s">
        <v>23</v>
      </c>
      <c r="C256" s="2">
        <v>43383</v>
      </c>
      <c r="D256" t="s">
        <v>392</v>
      </c>
      <c r="E256">
        <v>-4839975.53</v>
      </c>
      <c r="F256" t="s">
        <v>397</v>
      </c>
      <c r="G256" t="s">
        <v>394</v>
      </c>
      <c r="H256">
        <v>181005160116</v>
      </c>
    </row>
    <row r="257" spans="1:8" x14ac:dyDescent="0.2">
      <c r="A257" t="s">
        <v>432</v>
      </c>
      <c r="B257" t="s">
        <v>23</v>
      </c>
      <c r="C257" s="2">
        <v>43384</v>
      </c>
      <c r="D257" t="s">
        <v>392</v>
      </c>
      <c r="E257">
        <v>-1513042.16</v>
      </c>
      <c r="F257" t="s">
        <v>397</v>
      </c>
      <c r="G257" t="s">
        <v>394</v>
      </c>
      <c r="H257">
        <v>181005160116</v>
      </c>
    </row>
    <row r="258" spans="1:8" x14ac:dyDescent="0.2">
      <c r="A258" t="s">
        <v>433</v>
      </c>
      <c r="B258" t="s">
        <v>23</v>
      </c>
      <c r="C258" s="2">
        <v>43378</v>
      </c>
      <c r="D258" t="s">
        <v>392</v>
      </c>
      <c r="E258">
        <v>3000</v>
      </c>
      <c r="F258" t="s">
        <v>393</v>
      </c>
      <c r="G258" t="s">
        <v>394</v>
      </c>
      <c r="H258">
        <v>181005160116</v>
      </c>
    </row>
    <row r="259" spans="1:8" x14ac:dyDescent="0.2">
      <c r="A259" t="s">
        <v>433</v>
      </c>
      <c r="B259" t="s">
        <v>23</v>
      </c>
      <c r="C259" s="2">
        <v>43381</v>
      </c>
      <c r="D259" t="s">
        <v>392</v>
      </c>
      <c r="E259">
        <v>25000</v>
      </c>
      <c r="F259" t="s">
        <v>393</v>
      </c>
      <c r="G259" t="s">
        <v>394</v>
      </c>
      <c r="H259">
        <v>181005160116</v>
      </c>
    </row>
    <row r="260" spans="1:8" x14ac:dyDescent="0.2">
      <c r="A260" t="s">
        <v>433</v>
      </c>
      <c r="B260" t="s">
        <v>23</v>
      </c>
      <c r="C260" s="2">
        <v>43378</v>
      </c>
      <c r="D260" t="s">
        <v>392</v>
      </c>
      <c r="E260">
        <v>-793214.91</v>
      </c>
      <c r="F260" t="s">
        <v>396</v>
      </c>
      <c r="G260" t="s">
        <v>394</v>
      </c>
      <c r="H260">
        <v>181005160116</v>
      </c>
    </row>
    <row r="261" spans="1:8" x14ac:dyDescent="0.2">
      <c r="A261" t="s">
        <v>433</v>
      </c>
      <c r="B261" t="s">
        <v>23</v>
      </c>
      <c r="C261" s="2">
        <v>43381</v>
      </c>
      <c r="D261" t="s">
        <v>392</v>
      </c>
      <c r="E261">
        <v>-9626.56</v>
      </c>
      <c r="F261" t="s">
        <v>396</v>
      </c>
      <c r="G261" t="s">
        <v>394</v>
      </c>
      <c r="H261">
        <v>181005160116</v>
      </c>
    </row>
    <row r="262" spans="1:8" x14ac:dyDescent="0.2">
      <c r="A262" t="s">
        <v>433</v>
      </c>
      <c r="B262" t="s">
        <v>23</v>
      </c>
      <c r="C262" s="2">
        <v>43383</v>
      </c>
      <c r="D262" t="s">
        <v>392</v>
      </c>
      <c r="E262">
        <v>-8835.84</v>
      </c>
      <c r="F262" t="s">
        <v>396</v>
      </c>
      <c r="G262" t="s">
        <v>394</v>
      </c>
      <c r="H262">
        <v>181005160116</v>
      </c>
    </row>
    <row r="263" spans="1:8" x14ac:dyDescent="0.2">
      <c r="A263" t="s">
        <v>433</v>
      </c>
      <c r="B263" t="s">
        <v>23</v>
      </c>
      <c r="C263" s="2">
        <v>43382</v>
      </c>
      <c r="D263" t="s">
        <v>392</v>
      </c>
      <c r="E263">
        <v>-2093.9299999999998</v>
      </c>
      <c r="F263" t="s">
        <v>397</v>
      </c>
      <c r="G263" t="s">
        <v>394</v>
      </c>
      <c r="H263">
        <v>181005160116</v>
      </c>
    </row>
    <row r="264" spans="1:8" x14ac:dyDescent="0.2">
      <c r="A264" t="s">
        <v>434</v>
      </c>
      <c r="B264" t="s">
        <v>23</v>
      </c>
      <c r="C264" s="2">
        <v>43378</v>
      </c>
      <c r="D264" t="s">
        <v>392</v>
      </c>
      <c r="E264">
        <v>2000</v>
      </c>
      <c r="F264" t="s">
        <v>393</v>
      </c>
      <c r="G264" t="s">
        <v>394</v>
      </c>
      <c r="H264">
        <v>181005160116</v>
      </c>
    </row>
    <row r="265" spans="1:8" x14ac:dyDescent="0.2">
      <c r="A265" t="s">
        <v>434</v>
      </c>
      <c r="B265" t="s">
        <v>23</v>
      </c>
      <c r="C265" s="2">
        <v>43381</v>
      </c>
      <c r="D265" t="s">
        <v>392</v>
      </c>
      <c r="E265">
        <v>1666</v>
      </c>
      <c r="F265" t="s">
        <v>393</v>
      </c>
      <c r="G265" t="s">
        <v>394</v>
      </c>
      <c r="H265">
        <v>181005160116</v>
      </c>
    </row>
    <row r="266" spans="1:8" x14ac:dyDescent="0.2">
      <c r="A266" t="s">
        <v>434</v>
      </c>
      <c r="B266" t="s">
        <v>23</v>
      </c>
      <c r="C266" s="2">
        <v>43378</v>
      </c>
      <c r="D266" t="s">
        <v>392</v>
      </c>
      <c r="E266">
        <v>983.65</v>
      </c>
      <c r="F266" t="s">
        <v>395</v>
      </c>
      <c r="G266" t="s">
        <v>394</v>
      </c>
      <c r="H266">
        <v>181005160116</v>
      </c>
    </row>
    <row r="267" spans="1:8" x14ac:dyDescent="0.2">
      <c r="A267" t="s">
        <v>434</v>
      </c>
      <c r="B267" t="s">
        <v>23</v>
      </c>
      <c r="C267" s="2">
        <v>43381</v>
      </c>
      <c r="D267" t="s">
        <v>392</v>
      </c>
      <c r="E267">
        <v>7252.36</v>
      </c>
      <c r="F267" t="s">
        <v>395</v>
      </c>
      <c r="G267" t="s">
        <v>394</v>
      </c>
      <c r="H267">
        <v>181005160116</v>
      </c>
    </row>
    <row r="268" spans="1:8" x14ac:dyDescent="0.2">
      <c r="A268" t="s">
        <v>434</v>
      </c>
      <c r="B268" t="s">
        <v>23</v>
      </c>
      <c r="C268" s="2">
        <v>43378</v>
      </c>
      <c r="D268" t="s">
        <v>392</v>
      </c>
      <c r="E268">
        <v>-1165916.08</v>
      </c>
      <c r="F268" t="s">
        <v>396</v>
      </c>
      <c r="G268" t="s">
        <v>394</v>
      </c>
      <c r="H268">
        <v>181005160116</v>
      </c>
    </row>
    <row r="269" spans="1:8" x14ac:dyDescent="0.2">
      <c r="A269" t="s">
        <v>434</v>
      </c>
      <c r="B269" t="s">
        <v>23</v>
      </c>
      <c r="C269" s="2">
        <v>43382</v>
      </c>
      <c r="D269" t="s">
        <v>392</v>
      </c>
      <c r="E269">
        <v>-15767081.26</v>
      </c>
      <c r="F269" t="s">
        <v>396</v>
      </c>
      <c r="G269" t="s">
        <v>394</v>
      </c>
      <c r="H269">
        <v>181005160116</v>
      </c>
    </row>
    <row r="270" spans="1:8" x14ac:dyDescent="0.2">
      <c r="A270" t="s">
        <v>434</v>
      </c>
      <c r="B270" t="s">
        <v>23</v>
      </c>
      <c r="C270" s="2">
        <v>43383</v>
      </c>
      <c r="D270" t="s">
        <v>392</v>
      </c>
      <c r="E270">
        <v>-9090741.5899999999</v>
      </c>
      <c r="F270" t="s">
        <v>396</v>
      </c>
      <c r="G270" t="s">
        <v>394</v>
      </c>
      <c r="H270">
        <v>181005160116</v>
      </c>
    </row>
    <row r="271" spans="1:8" x14ac:dyDescent="0.2">
      <c r="A271" t="s">
        <v>434</v>
      </c>
      <c r="B271" t="s">
        <v>23</v>
      </c>
      <c r="C271" s="2">
        <v>43384</v>
      </c>
      <c r="D271" t="s">
        <v>392</v>
      </c>
      <c r="E271">
        <v>-41328418.170000002</v>
      </c>
      <c r="F271" t="s">
        <v>396</v>
      </c>
      <c r="G271" t="s">
        <v>394</v>
      </c>
      <c r="H271">
        <v>181005160116</v>
      </c>
    </row>
    <row r="272" spans="1:8" x14ac:dyDescent="0.2">
      <c r="A272" t="s">
        <v>434</v>
      </c>
      <c r="B272" t="s">
        <v>23</v>
      </c>
      <c r="C272" s="2">
        <v>43385</v>
      </c>
      <c r="D272" t="s">
        <v>392</v>
      </c>
      <c r="E272">
        <v>-14523229.93</v>
      </c>
      <c r="F272" t="s">
        <v>396</v>
      </c>
      <c r="G272" t="s">
        <v>394</v>
      </c>
      <c r="H272">
        <v>181005160116</v>
      </c>
    </row>
    <row r="273" spans="1:8" x14ac:dyDescent="0.2">
      <c r="A273" t="s">
        <v>434</v>
      </c>
      <c r="B273" t="s">
        <v>23</v>
      </c>
      <c r="C273" s="2">
        <v>43378</v>
      </c>
      <c r="D273" t="s">
        <v>392</v>
      </c>
      <c r="E273">
        <v>-12214303.98</v>
      </c>
      <c r="F273" t="s">
        <v>397</v>
      </c>
      <c r="G273" t="s">
        <v>394</v>
      </c>
      <c r="H273">
        <v>181005160116</v>
      </c>
    </row>
    <row r="274" spans="1:8" x14ac:dyDescent="0.2">
      <c r="A274" t="s">
        <v>434</v>
      </c>
      <c r="B274" t="s">
        <v>23</v>
      </c>
      <c r="C274" s="2">
        <v>43382</v>
      </c>
      <c r="D274" t="s">
        <v>392</v>
      </c>
      <c r="E274">
        <v>-11448626.74</v>
      </c>
      <c r="F274" t="s">
        <v>397</v>
      </c>
      <c r="G274" t="s">
        <v>394</v>
      </c>
      <c r="H274">
        <v>181005160116</v>
      </c>
    </row>
    <row r="275" spans="1:8" x14ac:dyDescent="0.2">
      <c r="A275" t="s">
        <v>434</v>
      </c>
      <c r="B275" t="s">
        <v>23</v>
      </c>
      <c r="C275" s="2">
        <v>43383</v>
      </c>
      <c r="D275" t="s">
        <v>392</v>
      </c>
      <c r="E275">
        <v>-7090184.8799999999</v>
      </c>
      <c r="F275" t="s">
        <v>397</v>
      </c>
      <c r="G275" t="s">
        <v>394</v>
      </c>
      <c r="H275">
        <v>181005160116</v>
      </c>
    </row>
    <row r="276" spans="1:8" x14ac:dyDescent="0.2">
      <c r="A276" t="s">
        <v>434</v>
      </c>
      <c r="B276" t="s">
        <v>23</v>
      </c>
      <c r="C276" s="2">
        <v>43384</v>
      </c>
      <c r="D276" t="s">
        <v>392</v>
      </c>
      <c r="E276">
        <v>-31128093.100000001</v>
      </c>
      <c r="F276" t="s">
        <v>397</v>
      </c>
      <c r="G276" t="s">
        <v>394</v>
      </c>
      <c r="H276">
        <v>181005160116</v>
      </c>
    </row>
    <row r="277" spans="1:8" x14ac:dyDescent="0.2">
      <c r="A277" t="s">
        <v>434</v>
      </c>
      <c r="B277" t="s">
        <v>23</v>
      </c>
      <c r="C277" s="2">
        <v>43385</v>
      </c>
      <c r="D277" t="s">
        <v>392</v>
      </c>
      <c r="E277">
        <v>-5047425.47</v>
      </c>
      <c r="F277" t="s">
        <v>397</v>
      </c>
      <c r="G277" t="s">
        <v>394</v>
      </c>
      <c r="H277">
        <v>181005160116</v>
      </c>
    </row>
    <row r="278" spans="1:8" x14ac:dyDescent="0.2">
      <c r="A278" t="s">
        <v>435</v>
      </c>
      <c r="B278" t="s">
        <v>23</v>
      </c>
      <c r="C278" s="2">
        <v>43383</v>
      </c>
      <c r="D278" t="s">
        <v>392</v>
      </c>
      <c r="E278">
        <v>-971868.2</v>
      </c>
      <c r="F278" t="s">
        <v>397</v>
      </c>
      <c r="G278" t="s">
        <v>394</v>
      </c>
      <c r="H278">
        <v>181005160116</v>
      </c>
    </row>
    <row r="279" spans="1:8" x14ac:dyDescent="0.2">
      <c r="A279" t="s">
        <v>436</v>
      </c>
      <c r="B279" t="s">
        <v>23</v>
      </c>
      <c r="C279" s="2">
        <v>43398</v>
      </c>
      <c r="D279" t="s">
        <v>392</v>
      </c>
      <c r="E279">
        <v>1000</v>
      </c>
      <c r="F279" t="s">
        <v>393</v>
      </c>
      <c r="G279" t="s">
        <v>394</v>
      </c>
      <c r="H279">
        <v>181005160116</v>
      </c>
    </row>
    <row r="280" spans="1:8" x14ac:dyDescent="0.2">
      <c r="A280" t="s">
        <v>436</v>
      </c>
      <c r="B280" t="s">
        <v>23</v>
      </c>
      <c r="C280" s="2">
        <v>43404</v>
      </c>
      <c r="D280" t="s">
        <v>392</v>
      </c>
      <c r="E280">
        <v>-1360151.37</v>
      </c>
      <c r="F280" t="s">
        <v>396</v>
      </c>
      <c r="G280" t="s">
        <v>394</v>
      </c>
      <c r="H280">
        <v>181005160116</v>
      </c>
    </row>
    <row r="281" spans="1:8" x14ac:dyDescent="0.2">
      <c r="A281" t="s">
        <v>436</v>
      </c>
      <c r="B281" t="s">
        <v>23</v>
      </c>
      <c r="C281" s="2">
        <v>43404</v>
      </c>
      <c r="D281" t="s">
        <v>392</v>
      </c>
      <c r="E281">
        <v>-498722.17</v>
      </c>
      <c r="F281" t="s">
        <v>397</v>
      </c>
      <c r="G281" t="s">
        <v>394</v>
      </c>
      <c r="H281">
        <v>181005160116</v>
      </c>
    </row>
    <row r="282" spans="1:8" x14ac:dyDescent="0.2">
      <c r="A282" t="s">
        <v>437</v>
      </c>
      <c r="B282" t="s">
        <v>23</v>
      </c>
      <c r="C282" s="2">
        <v>43378</v>
      </c>
      <c r="D282" t="s">
        <v>392</v>
      </c>
      <c r="E282">
        <v>463446.42</v>
      </c>
      <c r="F282" t="s">
        <v>393</v>
      </c>
      <c r="G282" t="s">
        <v>394</v>
      </c>
      <c r="H282">
        <v>181005160116</v>
      </c>
    </row>
    <row r="283" spans="1:8" x14ac:dyDescent="0.2">
      <c r="A283" t="s">
        <v>437</v>
      </c>
      <c r="B283" t="s">
        <v>23</v>
      </c>
      <c r="C283" s="2">
        <v>43381</v>
      </c>
      <c r="D283" t="s">
        <v>392</v>
      </c>
      <c r="E283">
        <v>567555</v>
      </c>
      <c r="F283" t="s">
        <v>393</v>
      </c>
      <c r="G283" t="s">
        <v>394</v>
      </c>
      <c r="H283">
        <v>181005160116</v>
      </c>
    </row>
    <row r="284" spans="1:8" x14ac:dyDescent="0.2">
      <c r="A284" t="s">
        <v>437</v>
      </c>
      <c r="B284" t="s">
        <v>23</v>
      </c>
      <c r="C284" s="2">
        <v>43378</v>
      </c>
      <c r="D284" t="s">
        <v>392</v>
      </c>
      <c r="E284">
        <v>51956.05</v>
      </c>
      <c r="F284" t="s">
        <v>395</v>
      </c>
      <c r="G284" t="s">
        <v>394</v>
      </c>
      <c r="H284">
        <v>181005160116</v>
      </c>
    </row>
    <row r="285" spans="1:8" x14ac:dyDescent="0.2">
      <c r="A285" t="s">
        <v>437</v>
      </c>
      <c r="B285" t="s">
        <v>23</v>
      </c>
      <c r="C285" s="2">
        <v>43381</v>
      </c>
      <c r="D285" t="s">
        <v>392</v>
      </c>
      <c r="E285">
        <v>15021.68</v>
      </c>
      <c r="F285" t="s">
        <v>395</v>
      </c>
      <c r="G285" t="s">
        <v>394</v>
      </c>
      <c r="H285">
        <v>181005160116</v>
      </c>
    </row>
    <row r="286" spans="1:8" x14ac:dyDescent="0.2">
      <c r="A286" t="s">
        <v>437</v>
      </c>
      <c r="B286" t="s">
        <v>23</v>
      </c>
      <c r="C286" s="2">
        <v>43385</v>
      </c>
      <c r="D286" t="s">
        <v>392</v>
      </c>
      <c r="E286">
        <v>6256.17</v>
      </c>
      <c r="F286" t="s">
        <v>395</v>
      </c>
      <c r="G286" t="s">
        <v>394</v>
      </c>
      <c r="H286">
        <v>181005160116</v>
      </c>
    </row>
    <row r="287" spans="1:8" x14ac:dyDescent="0.2">
      <c r="A287" t="s">
        <v>437</v>
      </c>
      <c r="B287" t="s">
        <v>23</v>
      </c>
      <c r="C287" s="2">
        <v>43378</v>
      </c>
      <c r="D287" t="s">
        <v>392</v>
      </c>
      <c r="E287">
        <v>-37114.78</v>
      </c>
      <c r="F287" t="s">
        <v>396</v>
      </c>
      <c r="G287" t="s">
        <v>394</v>
      </c>
      <c r="H287">
        <v>181005160116</v>
      </c>
    </row>
    <row r="288" spans="1:8" x14ac:dyDescent="0.2">
      <c r="A288" t="s">
        <v>437</v>
      </c>
      <c r="B288" t="s">
        <v>23</v>
      </c>
      <c r="C288" s="2">
        <v>43382</v>
      </c>
      <c r="D288" t="s">
        <v>392</v>
      </c>
      <c r="E288">
        <v>-504024</v>
      </c>
      <c r="F288" t="s">
        <v>396</v>
      </c>
      <c r="G288" t="s">
        <v>394</v>
      </c>
      <c r="H288">
        <v>181005160116</v>
      </c>
    </row>
    <row r="289" spans="1:8" x14ac:dyDescent="0.2">
      <c r="A289" t="s">
        <v>437</v>
      </c>
      <c r="B289" t="s">
        <v>23</v>
      </c>
      <c r="C289" s="2">
        <v>43383</v>
      </c>
      <c r="D289" t="s">
        <v>392</v>
      </c>
      <c r="E289">
        <v>-21837.8</v>
      </c>
      <c r="F289" t="s">
        <v>396</v>
      </c>
      <c r="G289" t="s">
        <v>394</v>
      </c>
      <c r="H289">
        <v>181005160116</v>
      </c>
    </row>
    <row r="290" spans="1:8" x14ac:dyDescent="0.2">
      <c r="A290" t="s">
        <v>437</v>
      </c>
      <c r="B290" t="s">
        <v>23</v>
      </c>
      <c r="C290" s="2">
        <v>43382</v>
      </c>
      <c r="D290" t="s">
        <v>392</v>
      </c>
      <c r="E290">
        <v>-7896.56</v>
      </c>
      <c r="F290" t="s">
        <v>397</v>
      </c>
      <c r="G290" t="s">
        <v>394</v>
      </c>
      <c r="H290">
        <v>181005160116</v>
      </c>
    </row>
    <row r="291" spans="1:8" x14ac:dyDescent="0.2">
      <c r="A291" t="s">
        <v>437</v>
      </c>
      <c r="B291" t="s">
        <v>23</v>
      </c>
      <c r="C291" s="2">
        <v>43383</v>
      </c>
      <c r="D291" t="s">
        <v>392</v>
      </c>
      <c r="E291">
        <v>-12995.69</v>
      </c>
      <c r="F291" t="s">
        <v>397</v>
      </c>
      <c r="G291" t="s">
        <v>394</v>
      </c>
      <c r="H291">
        <v>181005160116</v>
      </c>
    </row>
    <row r="292" spans="1:8" x14ac:dyDescent="0.2">
      <c r="A292" t="s">
        <v>437</v>
      </c>
      <c r="B292" t="s">
        <v>23</v>
      </c>
      <c r="C292" s="2">
        <v>43384</v>
      </c>
      <c r="D292" t="s">
        <v>392</v>
      </c>
      <c r="E292">
        <v>-508645.69</v>
      </c>
      <c r="F292" t="s">
        <v>397</v>
      </c>
      <c r="G292" t="s">
        <v>394</v>
      </c>
      <c r="H292">
        <v>181005160116</v>
      </c>
    </row>
    <row r="293" spans="1:8" x14ac:dyDescent="0.2">
      <c r="A293" t="s">
        <v>438</v>
      </c>
      <c r="B293" t="s">
        <v>23</v>
      </c>
      <c r="C293" s="2">
        <v>43378</v>
      </c>
      <c r="D293" t="s">
        <v>392</v>
      </c>
      <c r="E293">
        <v>42222.89</v>
      </c>
      <c r="F293" t="s">
        <v>393</v>
      </c>
      <c r="G293" t="s">
        <v>394</v>
      </c>
      <c r="H293">
        <v>181005160116</v>
      </c>
    </row>
    <row r="294" spans="1:8" x14ac:dyDescent="0.2">
      <c r="A294" t="s">
        <v>438</v>
      </c>
      <c r="B294" t="s">
        <v>23</v>
      </c>
      <c r="C294" s="2">
        <v>43381</v>
      </c>
      <c r="D294" t="s">
        <v>392</v>
      </c>
      <c r="E294">
        <v>219000</v>
      </c>
      <c r="F294" t="s">
        <v>393</v>
      </c>
      <c r="G294" t="s">
        <v>394</v>
      </c>
      <c r="H294">
        <v>181005160116</v>
      </c>
    </row>
    <row r="295" spans="1:8" x14ac:dyDescent="0.2">
      <c r="A295" t="s">
        <v>438</v>
      </c>
      <c r="B295" t="s">
        <v>23</v>
      </c>
      <c r="C295" s="2">
        <v>43378</v>
      </c>
      <c r="D295" t="s">
        <v>392</v>
      </c>
      <c r="E295">
        <v>263367.34999999998</v>
      </c>
      <c r="F295" t="s">
        <v>395</v>
      </c>
      <c r="G295" t="s">
        <v>394</v>
      </c>
      <c r="H295">
        <v>181005160116</v>
      </c>
    </row>
    <row r="296" spans="1:8" x14ac:dyDescent="0.2">
      <c r="A296" t="s">
        <v>438</v>
      </c>
      <c r="B296" t="s">
        <v>23</v>
      </c>
      <c r="C296" s="2">
        <v>43381</v>
      </c>
      <c r="D296" t="s">
        <v>392</v>
      </c>
      <c r="E296">
        <v>611.13</v>
      </c>
      <c r="F296" t="s">
        <v>395</v>
      </c>
      <c r="G296" t="s">
        <v>394</v>
      </c>
      <c r="H296">
        <v>181005160116</v>
      </c>
    </row>
    <row r="297" spans="1:8" x14ac:dyDescent="0.2">
      <c r="A297" t="s">
        <v>438</v>
      </c>
      <c r="B297" t="s">
        <v>23</v>
      </c>
      <c r="C297" s="2">
        <v>43378</v>
      </c>
      <c r="D297" t="s">
        <v>392</v>
      </c>
      <c r="E297">
        <v>-214709.47</v>
      </c>
      <c r="F297" t="s">
        <v>396</v>
      </c>
      <c r="G297" t="s">
        <v>394</v>
      </c>
      <c r="H297">
        <v>181005160116</v>
      </c>
    </row>
    <row r="298" spans="1:8" x14ac:dyDescent="0.2">
      <c r="A298" t="s">
        <v>438</v>
      </c>
      <c r="B298" t="s">
        <v>23</v>
      </c>
      <c r="C298" s="2">
        <v>43382</v>
      </c>
      <c r="D298" t="s">
        <v>392</v>
      </c>
      <c r="E298">
        <v>-103170.67</v>
      </c>
      <c r="F298" t="s">
        <v>396</v>
      </c>
      <c r="G298" t="s">
        <v>394</v>
      </c>
      <c r="H298">
        <v>181005160116</v>
      </c>
    </row>
    <row r="299" spans="1:8" x14ac:dyDescent="0.2">
      <c r="A299" t="s">
        <v>438</v>
      </c>
      <c r="B299" t="s">
        <v>23</v>
      </c>
      <c r="C299" s="2">
        <v>43383</v>
      </c>
      <c r="D299" t="s">
        <v>392</v>
      </c>
      <c r="E299">
        <v>-230053.48</v>
      </c>
      <c r="F299" t="s">
        <v>396</v>
      </c>
      <c r="G299" t="s">
        <v>394</v>
      </c>
      <c r="H299">
        <v>181005160116</v>
      </c>
    </row>
    <row r="300" spans="1:8" x14ac:dyDescent="0.2">
      <c r="A300" t="s">
        <v>438</v>
      </c>
      <c r="B300" t="s">
        <v>23</v>
      </c>
      <c r="C300" s="2">
        <v>43384</v>
      </c>
      <c r="D300" t="s">
        <v>392</v>
      </c>
      <c r="E300">
        <v>-55882.98</v>
      </c>
      <c r="F300" t="s">
        <v>396</v>
      </c>
      <c r="G300" t="s">
        <v>394</v>
      </c>
      <c r="H300">
        <v>181005160116</v>
      </c>
    </row>
    <row r="301" spans="1:8" x14ac:dyDescent="0.2">
      <c r="A301" t="s">
        <v>438</v>
      </c>
      <c r="B301" t="s">
        <v>23</v>
      </c>
      <c r="C301" s="2">
        <v>43378</v>
      </c>
      <c r="D301" t="s">
        <v>392</v>
      </c>
      <c r="E301">
        <v>-66359.929999999993</v>
      </c>
      <c r="F301" t="s">
        <v>397</v>
      </c>
      <c r="G301" t="s">
        <v>394</v>
      </c>
      <c r="H301">
        <v>181005160116</v>
      </c>
    </row>
    <row r="302" spans="1:8" x14ac:dyDescent="0.2">
      <c r="A302" t="s">
        <v>438</v>
      </c>
      <c r="B302" t="s">
        <v>23</v>
      </c>
      <c r="C302" s="2">
        <v>43382</v>
      </c>
      <c r="D302" t="s">
        <v>392</v>
      </c>
      <c r="E302">
        <v>-18273.650000000001</v>
      </c>
      <c r="F302" t="s">
        <v>397</v>
      </c>
      <c r="G302" t="s">
        <v>394</v>
      </c>
      <c r="H302">
        <v>181005160116</v>
      </c>
    </row>
    <row r="303" spans="1:8" x14ac:dyDescent="0.2">
      <c r="A303" t="s">
        <v>438</v>
      </c>
      <c r="B303" t="s">
        <v>23</v>
      </c>
      <c r="C303" s="2">
        <v>43383</v>
      </c>
      <c r="D303" t="s">
        <v>392</v>
      </c>
      <c r="E303">
        <v>-6822.72</v>
      </c>
      <c r="F303" t="s">
        <v>397</v>
      </c>
      <c r="G303" t="s">
        <v>394</v>
      </c>
      <c r="H303">
        <v>181005160116</v>
      </c>
    </row>
    <row r="304" spans="1:8" x14ac:dyDescent="0.2">
      <c r="A304" t="s">
        <v>438</v>
      </c>
      <c r="B304" t="s">
        <v>23</v>
      </c>
      <c r="C304" s="2">
        <v>43384</v>
      </c>
      <c r="D304" t="s">
        <v>392</v>
      </c>
      <c r="E304">
        <v>-8277.4</v>
      </c>
      <c r="F304" t="s">
        <v>397</v>
      </c>
      <c r="G304" t="s">
        <v>394</v>
      </c>
      <c r="H304">
        <v>181005160116</v>
      </c>
    </row>
    <row r="305" spans="1:8" x14ac:dyDescent="0.2">
      <c r="A305" t="s">
        <v>439</v>
      </c>
      <c r="B305" t="s">
        <v>23</v>
      </c>
      <c r="C305" s="2">
        <v>43381</v>
      </c>
      <c r="D305" t="s">
        <v>392</v>
      </c>
      <c r="E305">
        <v>50000</v>
      </c>
      <c r="F305" t="s">
        <v>393</v>
      </c>
      <c r="G305" t="s">
        <v>394</v>
      </c>
      <c r="H305">
        <v>181005160116</v>
      </c>
    </row>
    <row r="306" spans="1:8" x14ac:dyDescent="0.2">
      <c r="A306" t="s">
        <v>439</v>
      </c>
      <c r="B306" t="s">
        <v>23</v>
      </c>
      <c r="C306" s="2">
        <v>43378</v>
      </c>
      <c r="D306" t="s">
        <v>392</v>
      </c>
      <c r="E306">
        <v>106500</v>
      </c>
      <c r="F306" t="s">
        <v>423</v>
      </c>
      <c r="G306" t="s">
        <v>394</v>
      </c>
      <c r="H306">
        <v>181005160116</v>
      </c>
    </row>
    <row r="307" spans="1:8" x14ac:dyDescent="0.2">
      <c r="A307" t="s">
        <v>439</v>
      </c>
      <c r="B307" t="s">
        <v>23</v>
      </c>
      <c r="C307" s="2">
        <v>43381</v>
      </c>
      <c r="D307" t="s">
        <v>392</v>
      </c>
      <c r="E307">
        <v>104000</v>
      </c>
      <c r="F307" t="s">
        <v>423</v>
      </c>
      <c r="G307" t="s">
        <v>394</v>
      </c>
      <c r="H307">
        <v>181005160116</v>
      </c>
    </row>
    <row r="308" spans="1:8" x14ac:dyDescent="0.2">
      <c r="A308" t="s">
        <v>439</v>
      </c>
      <c r="B308" t="s">
        <v>23</v>
      </c>
      <c r="C308" s="2">
        <v>43378</v>
      </c>
      <c r="D308" t="s">
        <v>392</v>
      </c>
      <c r="E308">
        <v>470611.18</v>
      </c>
      <c r="F308" t="s">
        <v>395</v>
      </c>
      <c r="G308" t="s">
        <v>394</v>
      </c>
      <c r="H308">
        <v>181005160116</v>
      </c>
    </row>
    <row r="309" spans="1:8" x14ac:dyDescent="0.2">
      <c r="A309" t="s">
        <v>439</v>
      </c>
      <c r="B309" t="s">
        <v>23</v>
      </c>
      <c r="C309" s="2">
        <v>43381</v>
      </c>
      <c r="D309" t="s">
        <v>392</v>
      </c>
      <c r="E309">
        <v>332367.59999999998</v>
      </c>
      <c r="F309" t="s">
        <v>395</v>
      </c>
      <c r="G309" t="s">
        <v>394</v>
      </c>
      <c r="H309">
        <v>181005160116</v>
      </c>
    </row>
    <row r="310" spans="1:8" x14ac:dyDescent="0.2">
      <c r="A310" t="s">
        <v>439</v>
      </c>
      <c r="B310" t="s">
        <v>23</v>
      </c>
      <c r="C310" s="2">
        <v>43382</v>
      </c>
      <c r="D310" t="s">
        <v>392</v>
      </c>
      <c r="E310">
        <v>39367.599999999999</v>
      </c>
      <c r="F310" t="s">
        <v>395</v>
      </c>
      <c r="G310" t="s">
        <v>394</v>
      </c>
      <c r="H310">
        <v>181005160116</v>
      </c>
    </row>
    <row r="311" spans="1:8" x14ac:dyDescent="0.2">
      <c r="A311" t="s">
        <v>439</v>
      </c>
      <c r="B311" t="s">
        <v>23</v>
      </c>
      <c r="C311" s="2">
        <v>43378</v>
      </c>
      <c r="D311" t="s">
        <v>392</v>
      </c>
      <c r="E311">
        <v>-1996.57</v>
      </c>
      <c r="F311" t="s">
        <v>396</v>
      </c>
      <c r="G311" t="s">
        <v>394</v>
      </c>
      <c r="H311">
        <v>181005160116</v>
      </c>
    </row>
    <row r="312" spans="1:8" x14ac:dyDescent="0.2">
      <c r="A312" t="s">
        <v>439</v>
      </c>
      <c r="B312" t="s">
        <v>23</v>
      </c>
      <c r="C312" s="2">
        <v>43382</v>
      </c>
      <c r="D312" t="s">
        <v>392</v>
      </c>
      <c r="E312">
        <v>-10023.65</v>
      </c>
      <c r="F312" t="s">
        <v>396</v>
      </c>
      <c r="G312" t="s">
        <v>394</v>
      </c>
      <c r="H312">
        <v>181005160116</v>
      </c>
    </row>
    <row r="313" spans="1:8" x14ac:dyDescent="0.2">
      <c r="A313" t="s">
        <v>439</v>
      </c>
      <c r="B313" t="s">
        <v>23</v>
      </c>
      <c r="C313" s="2">
        <v>43384</v>
      </c>
      <c r="D313" t="s">
        <v>392</v>
      </c>
      <c r="E313">
        <v>-1998.18</v>
      </c>
      <c r="F313" t="s">
        <v>396</v>
      </c>
      <c r="G313" t="s">
        <v>394</v>
      </c>
      <c r="H313">
        <v>181005160116</v>
      </c>
    </row>
    <row r="314" spans="1:8" x14ac:dyDescent="0.2">
      <c r="A314" t="s">
        <v>439</v>
      </c>
      <c r="B314" t="s">
        <v>23</v>
      </c>
      <c r="C314" s="2">
        <v>43378</v>
      </c>
      <c r="D314" t="s">
        <v>392</v>
      </c>
      <c r="E314">
        <v>-124000</v>
      </c>
      <c r="F314" t="s">
        <v>397</v>
      </c>
      <c r="G314" t="s">
        <v>394</v>
      </c>
      <c r="H314">
        <v>181005160116</v>
      </c>
    </row>
    <row r="315" spans="1:8" x14ac:dyDescent="0.2">
      <c r="A315" t="s">
        <v>439</v>
      </c>
      <c r="B315" t="s">
        <v>23</v>
      </c>
      <c r="C315" s="2">
        <v>43382</v>
      </c>
      <c r="D315" t="s">
        <v>392</v>
      </c>
      <c r="E315">
        <v>-2371127.5699999998</v>
      </c>
      <c r="F315" t="s">
        <v>397</v>
      </c>
      <c r="G315" t="s">
        <v>394</v>
      </c>
      <c r="H315">
        <v>181005160116</v>
      </c>
    </row>
    <row r="316" spans="1:8" x14ac:dyDescent="0.2">
      <c r="A316" t="s">
        <v>439</v>
      </c>
      <c r="B316" t="s">
        <v>23</v>
      </c>
      <c r="C316" s="2">
        <v>43383</v>
      </c>
      <c r="D316" t="s">
        <v>392</v>
      </c>
      <c r="E316">
        <v>-685698.2</v>
      </c>
      <c r="F316" t="s">
        <v>397</v>
      </c>
      <c r="G316" t="s">
        <v>394</v>
      </c>
      <c r="H316">
        <v>181005160116</v>
      </c>
    </row>
    <row r="317" spans="1:8" x14ac:dyDescent="0.2">
      <c r="A317" t="s">
        <v>439</v>
      </c>
      <c r="B317" t="s">
        <v>23</v>
      </c>
      <c r="C317" s="2">
        <v>43384</v>
      </c>
      <c r="D317" t="s">
        <v>392</v>
      </c>
      <c r="E317">
        <v>-867728.52</v>
      </c>
      <c r="F317" t="s">
        <v>397</v>
      </c>
      <c r="G317" t="s">
        <v>394</v>
      </c>
      <c r="H317">
        <v>181005160116</v>
      </c>
    </row>
    <row r="318" spans="1:8" x14ac:dyDescent="0.2">
      <c r="A318" t="s">
        <v>440</v>
      </c>
      <c r="B318" t="s">
        <v>23</v>
      </c>
      <c r="C318" s="2">
        <v>43378</v>
      </c>
      <c r="D318" t="s">
        <v>392</v>
      </c>
      <c r="E318">
        <v>100000</v>
      </c>
      <c r="F318" t="s">
        <v>393</v>
      </c>
      <c r="G318" t="s">
        <v>394</v>
      </c>
      <c r="H318">
        <v>181005160116</v>
      </c>
    </row>
    <row r="319" spans="1:8" x14ac:dyDescent="0.2">
      <c r="A319" t="s">
        <v>440</v>
      </c>
      <c r="B319" t="s">
        <v>23</v>
      </c>
      <c r="C319" s="2">
        <v>43382</v>
      </c>
      <c r="D319" t="s">
        <v>392</v>
      </c>
      <c r="E319">
        <v>-5000000</v>
      </c>
      <c r="F319" t="s">
        <v>396</v>
      </c>
      <c r="G319" t="s">
        <v>394</v>
      </c>
      <c r="H319">
        <v>181005160116</v>
      </c>
    </row>
    <row r="320" spans="1:8" x14ac:dyDescent="0.2">
      <c r="A320" t="s">
        <v>440</v>
      </c>
      <c r="B320" t="s">
        <v>23</v>
      </c>
      <c r="C320" s="2">
        <v>43383</v>
      </c>
      <c r="D320" t="s">
        <v>392</v>
      </c>
      <c r="E320">
        <v>-31322128.440000001</v>
      </c>
      <c r="F320" t="s">
        <v>396</v>
      </c>
      <c r="G320" t="s">
        <v>394</v>
      </c>
      <c r="H320">
        <v>181005160116</v>
      </c>
    </row>
    <row r="321" spans="1:8" x14ac:dyDescent="0.2">
      <c r="A321" t="s">
        <v>440</v>
      </c>
      <c r="B321" t="s">
        <v>23</v>
      </c>
      <c r="C321" s="2">
        <v>43384</v>
      </c>
      <c r="D321" t="s">
        <v>392</v>
      </c>
      <c r="E321">
        <v>-23287574.030000001</v>
      </c>
      <c r="F321" t="s">
        <v>396</v>
      </c>
      <c r="G321" t="s">
        <v>394</v>
      </c>
      <c r="H321">
        <v>181005160116</v>
      </c>
    </row>
    <row r="322" spans="1:8" x14ac:dyDescent="0.2">
      <c r="A322" t="s">
        <v>440</v>
      </c>
      <c r="B322" t="s">
        <v>23</v>
      </c>
      <c r="C322" s="2">
        <v>43385</v>
      </c>
      <c r="D322" t="s">
        <v>392</v>
      </c>
      <c r="E322">
        <v>-14492782.880000001</v>
      </c>
      <c r="F322" t="s">
        <v>396</v>
      </c>
      <c r="G322" t="s">
        <v>394</v>
      </c>
      <c r="H322">
        <v>181005160116</v>
      </c>
    </row>
    <row r="323" spans="1:8" x14ac:dyDescent="0.2">
      <c r="A323" t="s">
        <v>440</v>
      </c>
      <c r="B323" t="s">
        <v>23</v>
      </c>
      <c r="C323" s="2">
        <v>43378</v>
      </c>
      <c r="D323" t="s">
        <v>392</v>
      </c>
      <c r="E323">
        <v>-899871.32</v>
      </c>
      <c r="F323" t="s">
        <v>397</v>
      </c>
      <c r="G323" t="s">
        <v>394</v>
      </c>
      <c r="H323">
        <v>181005160116</v>
      </c>
    </row>
    <row r="324" spans="1:8" x14ac:dyDescent="0.2">
      <c r="A324" t="s">
        <v>440</v>
      </c>
      <c r="B324" t="s">
        <v>23</v>
      </c>
      <c r="C324" s="2">
        <v>43382</v>
      </c>
      <c r="D324" t="s">
        <v>392</v>
      </c>
      <c r="E324">
        <v>-8163108.7999999998</v>
      </c>
      <c r="F324" t="s">
        <v>397</v>
      </c>
      <c r="G324" t="s">
        <v>394</v>
      </c>
      <c r="H324">
        <v>181005160116</v>
      </c>
    </row>
    <row r="325" spans="1:8" x14ac:dyDescent="0.2">
      <c r="A325" t="s">
        <v>440</v>
      </c>
      <c r="B325" t="s">
        <v>23</v>
      </c>
      <c r="C325" s="2">
        <v>43383</v>
      </c>
      <c r="D325" t="s">
        <v>392</v>
      </c>
      <c r="E325">
        <v>-1760031.9</v>
      </c>
      <c r="F325" t="s">
        <v>397</v>
      </c>
      <c r="G325" t="s">
        <v>394</v>
      </c>
      <c r="H325">
        <v>181005160116</v>
      </c>
    </row>
    <row r="326" spans="1:8" x14ac:dyDescent="0.2">
      <c r="A326" t="s">
        <v>440</v>
      </c>
      <c r="B326" t="s">
        <v>23</v>
      </c>
      <c r="C326" s="2">
        <v>43384</v>
      </c>
      <c r="D326" t="s">
        <v>392</v>
      </c>
      <c r="E326">
        <v>-30241810.02</v>
      </c>
      <c r="F326" t="s">
        <v>397</v>
      </c>
      <c r="G326" t="s">
        <v>394</v>
      </c>
      <c r="H326">
        <v>181005160116</v>
      </c>
    </row>
    <row r="327" spans="1:8" x14ac:dyDescent="0.2">
      <c r="A327" t="s">
        <v>440</v>
      </c>
      <c r="B327" t="s">
        <v>23</v>
      </c>
      <c r="C327" s="2">
        <v>43385</v>
      </c>
      <c r="D327" t="s">
        <v>392</v>
      </c>
      <c r="E327">
        <v>-8223872.4400000004</v>
      </c>
      <c r="F327" t="s">
        <v>397</v>
      </c>
      <c r="G327" t="s">
        <v>394</v>
      </c>
      <c r="H327">
        <v>181005160116</v>
      </c>
    </row>
    <row r="328" spans="1:8" x14ac:dyDescent="0.2">
      <c r="A328" t="s">
        <v>441</v>
      </c>
      <c r="B328" t="s">
        <v>23</v>
      </c>
      <c r="C328" s="2">
        <v>43378</v>
      </c>
      <c r="D328" t="s">
        <v>392</v>
      </c>
      <c r="E328">
        <v>6000</v>
      </c>
      <c r="F328" t="s">
        <v>393</v>
      </c>
      <c r="G328" t="s">
        <v>394</v>
      </c>
      <c r="H328">
        <v>181005160116</v>
      </c>
    </row>
    <row r="329" spans="1:8" x14ac:dyDescent="0.2">
      <c r="A329" t="s">
        <v>441</v>
      </c>
      <c r="B329" t="s">
        <v>23</v>
      </c>
      <c r="C329" s="2">
        <v>43381</v>
      </c>
      <c r="D329" t="s">
        <v>392</v>
      </c>
      <c r="E329">
        <v>2000</v>
      </c>
      <c r="F329" t="s">
        <v>393</v>
      </c>
      <c r="G329" t="s">
        <v>394</v>
      </c>
      <c r="H329">
        <v>181005160116</v>
      </c>
    </row>
    <row r="330" spans="1:8" x14ac:dyDescent="0.2">
      <c r="A330" t="s">
        <v>441</v>
      </c>
      <c r="B330" t="s">
        <v>23</v>
      </c>
      <c r="C330" s="2">
        <v>43382</v>
      </c>
      <c r="D330" t="s">
        <v>392</v>
      </c>
      <c r="E330">
        <v>-19816.96</v>
      </c>
      <c r="F330" t="s">
        <v>396</v>
      </c>
      <c r="G330" t="s">
        <v>394</v>
      </c>
      <c r="H330">
        <v>181005160116</v>
      </c>
    </row>
    <row r="331" spans="1:8" x14ac:dyDescent="0.2">
      <c r="A331" t="s">
        <v>441</v>
      </c>
      <c r="B331" t="s">
        <v>23</v>
      </c>
      <c r="C331" s="2">
        <v>43384</v>
      </c>
      <c r="D331" t="s">
        <v>392</v>
      </c>
      <c r="E331">
        <v>-9519.48</v>
      </c>
      <c r="F331" t="s">
        <v>396</v>
      </c>
      <c r="G331" t="s">
        <v>394</v>
      </c>
      <c r="H331">
        <v>181005160116</v>
      </c>
    </row>
    <row r="332" spans="1:8" x14ac:dyDescent="0.2">
      <c r="A332" t="s">
        <v>442</v>
      </c>
      <c r="B332" t="s">
        <v>23</v>
      </c>
      <c r="C332" s="2">
        <v>43378</v>
      </c>
      <c r="D332" t="s">
        <v>392</v>
      </c>
      <c r="E332">
        <v>10000</v>
      </c>
      <c r="F332" t="s">
        <v>393</v>
      </c>
      <c r="G332" t="s">
        <v>394</v>
      </c>
      <c r="H332">
        <v>181005160116</v>
      </c>
    </row>
    <row r="333" spans="1:8" x14ac:dyDescent="0.2">
      <c r="A333" t="s">
        <v>442</v>
      </c>
      <c r="B333" t="s">
        <v>23</v>
      </c>
      <c r="C333" s="2">
        <v>43381</v>
      </c>
      <c r="D333" t="s">
        <v>392</v>
      </c>
      <c r="E333">
        <v>125000</v>
      </c>
      <c r="F333" t="s">
        <v>393</v>
      </c>
      <c r="G333" t="s">
        <v>394</v>
      </c>
      <c r="H333">
        <v>181005160116</v>
      </c>
    </row>
    <row r="334" spans="1:8" x14ac:dyDescent="0.2">
      <c r="A334" t="s">
        <v>442</v>
      </c>
      <c r="B334" t="s">
        <v>23</v>
      </c>
      <c r="C334" s="2">
        <v>43378</v>
      </c>
      <c r="D334" t="s">
        <v>392</v>
      </c>
      <c r="E334">
        <v>10980.3</v>
      </c>
      <c r="F334" t="s">
        <v>395</v>
      </c>
      <c r="G334" t="s">
        <v>394</v>
      </c>
      <c r="H334">
        <v>181005160116</v>
      </c>
    </row>
    <row r="335" spans="1:8" x14ac:dyDescent="0.2">
      <c r="A335" t="s">
        <v>442</v>
      </c>
      <c r="B335" t="s">
        <v>23</v>
      </c>
      <c r="C335" s="2">
        <v>43381</v>
      </c>
      <c r="D335" t="s">
        <v>392</v>
      </c>
      <c r="E335">
        <v>10000</v>
      </c>
      <c r="F335" t="s">
        <v>395</v>
      </c>
      <c r="G335" t="s">
        <v>394</v>
      </c>
      <c r="H335">
        <v>181005160116</v>
      </c>
    </row>
    <row r="336" spans="1:8" x14ac:dyDescent="0.2">
      <c r="A336" t="s">
        <v>442</v>
      </c>
      <c r="B336" t="s">
        <v>23</v>
      </c>
      <c r="C336" s="2">
        <v>43378</v>
      </c>
      <c r="D336" t="s">
        <v>392</v>
      </c>
      <c r="E336">
        <v>-995.19</v>
      </c>
      <c r="F336" t="s">
        <v>396</v>
      </c>
      <c r="G336" t="s">
        <v>394</v>
      </c>
      <c r="H336">
        <v>181005160116</v>
      </c>
    </row>
    <row r="337" spans="1:8" x14ac:dyDescent="0.2">
      <c r="A337" t="s">
        <v>442</v>
      </c>
      <c r="B337" t="s">
        <v>23</v>
      </c>
      <c r="C337" s="2">
        <v>43382</v>
      </c>
      <c r="D337" t="s">
        <v>392</v>
      </c>
      <c r="E337">
        <v>-2121.81</v>
      </c>
      <c r="F337" t="s">
        <v>396</v>
      </c>
      <c r="G337" t="s">
        <v>394</v>
      </c>
      <c r="H337">
        <v>181005160116</v>
      </c>
    </row>
    <row r="338" spans="1:8" x14ac:dyDescent="0.2">
      <c r="A338" t="s">
        <v>442</v>
      </c>
      <c r="B338" t="s">
        <v>23</v>
      </c>
      <c r="C338" s="2">
        <v>43383</v>
      </c>
      <c r="D338" t="s">
        <v>392</v>
      </c>
      <c r="E338">
        <v>-4989555.2300000004</v>
      </c>
      <c r="F338" t="s">
        <v>396</v>
      </c>
      <c r="G338" t="s">
        <v>394</v>
      </c>
      <c r="H338">
        <v>181005160116</v>
      </c>
    </row>
    <row r="339" spans="1:8" x14ac:dyDescent="0.2">
      <c r="A339" t="s">
        <v>442</v>
      </c>
      <c r="B339" t="s">
        <v>23</v>
      </c>
      <c r="C339" s="2">
        <v>43384</v>
      </c>
      <c r="D339" t="s">
        <v>392</v>
      </c>
      <c r="E339">
        <v>-197895.35</v>
      </c>
      <c r="F339" t="s">
        <v>396</v>
      </c>
      <c r="G339" t="s">
        <v>394</v>
      </c>
      <c r="H339">
        <v>181005160116</v>
      </c>
    </row>
    <row r="340" spans="1:8" x14ac:dyDescent="0.2">
      <c r="A340" t="s">
        <v>442</v>
      </c>
      <c r="B340" t="s">
        <v>23</v>
      </c>
      <c r="C340" s="2">
        <v>43385</v>
      </c>
      <c r="D340" t="s">
        <v>392</v>
      </c>
      <c r="E340">
        <v>-3002528.55</v>
      </c>
      <c r="F340" t="s">
        <v>396</v>
      </c>
      <c r="G340" t="s">
        <v>394</v>
      </c>
      <c r="H340">
        <v>181005160116</v>
      </c>
    </row>
    <row r="341" spans="1:8" x14ac:dyDescent="0.2">
      <c r="A341" t="s">
        <v>442</v>
      </c>
      <c r="B341" t="s">
        <v>23</v>
      </c>
      <c r="C341" s="2">
        <v>43378</v>
      </c>
      <c r="D341" t="s">
        <v>392</v>
      </c>
      <c r="E341">
        <v>-215481.26</v>
      </c>
      <c r="F341" t="s">
        <v>397</v>
      </c>
      <c r="G341" t="s">
        <v>394</v>
      </c>
      <c r="H341">
        <v>181005160116</v>
      </c>
    </row>
    <row r="342" spans="1:8" x14ac:dyDescent="0.2">
      <c r="A342" t="s">
        <v>442</v>
      </c>
      <c r="B342" t="s">
        <v>23</v>
      </c>
      <c r="C342" s="2">
        <v>43382</v>
      </c>
      <c r="D342" t="s">
        <v>392</v>
      </c>
      <c r="E342">
        <v>-3011294.32</v>
      </c>
      <c r="F342" t="s">
        <v>397</v>
      </c>
      <c r="G342" t="s">
        <v>394</v>
      </c>
      <c r="H342">
        <v>181005160116</v>
      </c>
    </row>
    <row r="343" spans="1:8" x14ac:dyDescent="0.2">
      <c r="A343" t="s">
        <v>442</v>
      </c>
      <c r="B343" t="s">
        <v>23</v>
      </c>
      <c r="C343" s="2">
        <v>43384</v>
      </c>
      <c r="D343" t="s">
        <v>392</v>
      </c>
      <c r="E343">
        <v>-20513.02</v>
      </c>
      <c r="F343" t="s">
        <v>397</v>
      </c>
      <c r="G343" t="s">
        <v>394</v>
      </c>
      <c r="H343">
        <v>181005160116</v>
      </c>
    </row>
    <row r="344" spans="1:8" x14ac:dyDescent="0.2">
      <c r="A344" t="s">
        <v>442</v>
      </c>
      <c r="B344" t="s">
        <v>23</v>
      </c>
      <c r="C344" s="2">
        <v>43385</v>
      </c>
      <c r="D344" t="s">
        <v>392</v>
      </c>
      <c r="E344">
        <v>-1004906.3</v>
      </c>
      <c r="F344" t="s">
        <v>397</v>
      </c>
      <c r="G344" t="s">
        <v>394</v>
      </c>
      <c r="H344">
        <v>181005160116</v>
      </c>
    </row>
    <row r="345" spans="1:8" x14ac:dyDescent="0.2">
      <c r="A345" t="s">
        <v>443</v>
      </c>
      <c r="B345" t="s">
        <v>23</v>
      </c>
      <c r="C345" s="2">
        <v>43378</v>
      </c>
      <c r="D345" t="s">
        <v>392</v>
      </c>
      <c r="E345">
        <v>-507743.5</v>
      </c>
      <c r="F345" t="s">
        <v>396</v>
      </c>
      <c r="G345" t="s">
        <v>394</v>
      </c>
      <c r="H345">
        <v>181005160116</v>
      </c>
    </row>
    <row r="346" spans="1:8" x14ac:dyDescent="0.2">
      <c r="A346" t="s">
        <v>443</v>
      </c>
      <c r="B346" t="s">
        <v>23</v>
      </c>
      <c r="C346" s="2">
        <v>43383</v>
      </c>
      <c r="D346" t="s">
        <v>392</v>
      </c>
      <c r="E346">
        <v>-3458181.27</v>
      </c>
      <c r="F346" t="s">
        <v>396</v>
      </c>
      <c r="G346" t="s">
        <v>394</v>
      </c>
      <c r="H346">
        <v>181005160116</v>
      </c>
    </row>
    <row r="347" spans="1:8" x14ac:dyDescent="0.2">
      <c r="A347" t="s">
        <v>443</v>
      </c>
      <c r="B347" t="s">
        <v>23</v>
      </c>
      <c r="C347" s="2">
        <v>43384</v>
      </c>
      <c r="D347" t="s">
        <v>392</v>
      </c>
      <c r="E347">
        <v>-2000000</v>
      </c>
      <c r="F347" t="s">
        <v>396</v>
      </c>
      <c r="G347" t="s">
        <v>394</v>
      </c>
      <c r="H347">
        <v>181005160116</v>
      </c>
    </row>
    <row r="348" spans="1:8" x14ac:dyDescent="0.2">
      <c r="A348" t="s">
        <v>443</v>
      </c>
      <c r="B348" t="s">
        <v>23</v>
      </c>
      <c r="C348" s="2">
        <v>43378</v>
      </c>
      <c r="D348" t="s">
        <v>392</v>
      </c>
      <c r="E348">
        <v>-3943315.26</v>
      </c>
      <c r="F348" t="s">
        <v>397</v>
      </c>
      <c r="G348" t="s">
        <v>394</v>
      </c>
      <c r="H348">
        <v>181005160116</v>
      </c>
    </row>
    <row r="349" spans="1:8" x14ac:dyDescent="0.2">
      <c r="A349" t="s">
        <v>443</v>
      </c>
      <c r="B349" t="s">
        <v>23</v>
      </c>
      <c r="C349" s="2">
        <v>43383</v>
      </c>
      <c r="D349" t="s">
        <v>392</v>
      </c>
      <c r="E349">
        <v>-4185163.16</v>
      </c>
      <c r="F349" t="s">
        <v>397</v>
      </c>
      <c r="G349" t="s">
        <v>394</v>
      </c>
      <c r="H349">
        <v>181005160116</v>
      </c>
    </row>
    <row r="350" spans="1:8" x14ac:dyDescent="0.2">
      <c r="A350" t="s">
        <v>444</v>
      </c>
      <c r="B350" t="s">
        <v>23</v>
      </c>
      <c r="C350" s="2">
        <v>43378</v>
      </c>
      <c r="D350" t="s">
        <v>392</v>
      </c>
      <c r="E350">
        <v>1061660</v>
      </c>
      <c r="F350" t="s">
        <v>393</v>
      </c>
      <c r="G350" t="s">
        <v>394</v>
      </c>
      <c r="H350">
        <v>181005160116</v>
      </c>
    </row>
    <row r="351" spans="1:8" x14ac:dyDescent="0.2">
      <c r="A351" t="s">
        <v>444</v>
      </c>
      <c r="B351" t="s">
        <v>23</v>
      </c>
      <c r="C351" s="2">
        <v>43381</v>
      </c>
      <c r="D351" t="s">
        <v>392</v>
      </c>
      <c r="E351">
        <v>610700</v>
      </c>
      <c r="F351" t="s">
        <v>393</v>
      </c>
      <c r="G351" t="s">
        <v>394</v>
      </c>
      <c r="H351">
        <v>181005160116</v>
      </c>
    </row>
    <row r="352" spans="1:8" x14ac:dyDescent="0.2">
      <c r="A352" t="s">
        <v>444</v>
      </c>
      <c r="B352" t="s">
        <v>23</v>
      </c>
      <c r="C352" s="2">
        <v>43378</v>
      </c>
      <c r="D352" t="s">
        <v>392</v>
      </c>
      <c r="E352">
        <v>5164466.1100000003</v>
      </c>
      <c r="F352" t="s">
        <v>395</v>
      </c>
      <c r="G352" t="s">
        <v>394</v>
      </c>
      <c r="H352">
        <v>181005160116</v>
      </c>
    </row>
    <row r="353" spans="1:8" x14ac:dyDescent="0.2">
      <c r="A353" t="s">
        <v>444</v>
      </c>
      <c r="B353" t="s">
        <v>23</v>
      </c>
      <c r="C353" s="2">
        <v>43381</v>
      </c>
      <c r="D353" t="s">
        <v>392</v>
      </c>
      <c r="E353">
        <v>139000</v>
      </c>
      <c r="F353" t="s">
        <v>395</v>
      </c>
      <c r="G353" t="s">
        <v>394</v>
      </c>
      <c r="H353">
        <v>181005160116</v>
      </c>
    </row>
    <row r="354" spans="1:8" x14ac:dyDescent="0.2">
      <c r="A354" t="s">
        <v>444</v>
      </c>
      <c r="B354" t="s">
        <v>23</v>
      </c>
      <c r="C354" s="2">
        <v>43382</v>
      </c>
      <c r="D354" t="s">
        <v>392</v>
      </c>
      <c r="E354">
        <v>1250000</v>
      </c>
      <c r="F354" t="s">
        <v>395</v>
      </c>
      <c r="G354" t="s">
        <v>394</v>
      </c>
      <c r="H354">
        <v>181005160116</v>
      </c>
    </row>
    <row r="355" spans="1:8" x14ac:dyDescent="0.2">
      <c r="A355" t="s">
        <v>444</v>
      </c>
      <c r="B355" t="s">
        <v>23</v>
      </c>
      <c r="C355" s="2">
        <v>43378</v>
      </c>
      <c r="D355" t="s">
        <v>392</v>
      </c>
      <c r="E355">
        <v>-41880.800000000003</v>
      </c>
      <c r="F355" t="s">
        <v>396</v>
      </c>
      <c r="G355" t="s">
        <v>394</v>
      </c>
      <c r="H355">
        <v>181005160116</v>
      </c>
    </row>
    <row r="356" spans="1:8" x14ac:dyDescent="0.2">
      <c r="A356" t="s">
        <v>444</v>
      </c>
      <c r="B356" t="s">
        <v>23</v>
      </c>
      <c r="C356" s="2">
        <v>43383</v>
      </c>
      <c r="D356" t="s">
        <v>392</v>
      </c>
      <c r="E356">
        <v>-95460.99</v>
      </c>
      <c r="F356" t="s">
        <v>396</v>
      </c>
      <c r="G356" t="s">
        <v>394</v>
      </c>
      <c r="H356">
        <v>181005160116</v>
      </c>
    </row>
    <row r="357" spans="1:8" x14ac:dyDescent="0.2">
      <c r="A357" t="s">
        <v>444</v>
      </c>
      <c r="B357" t="s">
        <v>23</v>
      </c>
      <c r="C357" s="2">
        <v>43384</v>
      </c>
      <c r="D357" t="s">
        <v>392</v>
      </c>
      <c r="E357">
        <v>-1772802.85</v>
      </c>
      <c r="F357" t="s">
        <v>396</v>
      </c>
      <c r="G357" t="s">
        <v>394</v>
      </c>
      <c r="H357">
        <v>181005160116</v>
      </c>
    </row>
    <row r="358" spans="1:8" x14ac:dyDescent="0.2">
      <c r="A358" t="s">
        <v>444</v>
      </c>
      <c r="B358" t="s">
        <v>23</v>
      </c>
      <c r="C358" s="2">
        <v>43384</v>
      </c>
      <c r="D358" t="s">
        <v>392</v>
      </c>
      <c r="E358">
        <v>-24473.57</v>
      </c>
      <c r="F358" t="s">
        <v>397</v>
      </c>
      <c r="G358" t="s">
        <v>394</v>
      </c>
      <c r="H358">
        <v>181005160116</v>
      </c>
    </row>
    <row r="359" spans="1:8" x14ac:dyDescent="0.2">
      <c r="A359" t="s">
        <v>445</v>
      </c>
      <c r="B359" t="s">
        <v>23</v>
      </c>
      <c r="C359" s="2">
        <v>43378</v>
      </c>
      <c r="D359" t="s">
        <v>392</v>
      </c>
      <c r="E359">
        <v>2200</v>
      </c>
      <c r="F359" t="s">
        <v>393</v>
      </c>
      <c r="G359" t="s">
        <v>394</v>
      </c>
      <c r="H359">
        <v>181005160116</v>
      </c>
    </row>
    <row r="360" spans="1:8" x14ac:dyDescent="0.2">
      <c r="A360" t="s">
        <v>445</v>
      </c>
      <c r="B360" t="s">
        <v>23</v>
      </c>
      <c r="C360" s="2">
        <v>43381</v>
      </c>
      <c r="D360" t="s">
        <v>392</v>
      </c>
      <c r="E360">
        <v>3019878</v>
      </c>
      <c r="F360" t="s">
        <v>393</v>
      </c>
      <c r="G360" t="s">
        <v>394</v>
      </c>
      <c r="H360">
        <v>181005160116</v>
      </c>
    </row>
    <row r="361" spans="1:8" x14ac:dyDescent="0.2">
      <c r="A361" t="s">
        <v>445</v>
      </c>
      <c r="B361" t="s">
        <v>23</v>
      </c>
      <c r="C361" s="2">
        <v>43378</v>
      </c>
      <c r="D361" t="s">
        <v>392</v>
      </c>
      <c r="E361">
        <v>500000</v>
      </c>
      <c r="F361" t="s">
        <v>395</v>
      </c>
      <c r="G361" t="s">
        <v>394</v>
      </c>
      <c r="H361">
        <v>181005160116</v>
      </c>
    </row>
    <row r="362" spans="1:8" x14ac:dyDescent="0.2">
      <c r="A362" t="s">
        <v>445</v>
      </c>
      <c r="B362" t="s">
        <v>23</v>
      </c>
      <c r="C362" s="2">
        <v>43381</v>
      </c>
      <c r="D362" t="s">
        <v>392</v>
      </c>
      <c r="E362">
        <v>50000</v>
      </c>
      <c r="F362" t="s">
        <v>395</v>
      </c>
      <c r="G362" t="s">
        <v>394</v>
      </c>
      <c r="H362">
        <v>181005160116</v>
      </c>
    </row>
    <row r="363" spans="1:8" x14ac:dyDescent="0.2">
      <c r="A363" t="s">
        <v>445</v>
      </c>
      <c r="B363" t="s">
        <v>23</v>
      </c>
      <c r="C363" s="2">
        <v>43384</v>
      </c>
      <c r="D363" t="s">
        <v>392</v>
      </c>
      <c r="E363">
        <v>1000000</v>
      </c>
      <c r="F363" t="s">
        <v>395</v>
      </c>
      <c r="G363" t="s">
        <v>394</v>
      </c>
      <c r="H363">
        <v>181005160116</v>
      </c>
    </row>
    <row r="364" spans="1:8" x14ac:dyDescent="0.2">
      <c r="A364" t="s">
        <v>445</v>
      </c>
      <c r="B364" t="s">
        <v>23</v>
      </c>
      <c r="C364" s="2">
        <v>43378</v>
      </c>
      <c r="D364" t="s">
        <v>392</v>
      </c>
      <c r="E364">
        <v>-3039.55</v>
      </c>
      <c r="F364" t="s">
        <v>396</v>
      </c>
      <c r="G364" t="s">
        <v>394</v>
      </c>
      <c r="H364">
        <v>181005160116</v>
      </c>
    </row>
    <row r="365" spans="1:8" x14ac:dyDescent="0.2">
      <c r="A365" t="s">
        <v>445</v>
      </c>
      <c r="B365" t="s">
        <v>23</v>
      </c>
      <c r="C365" s="2">
        <v>43382</v>
      </c>
      <c r="D365" t="s">
        <v>392</v>
      </c>
      <c r="E365">
        <v>-3171340.93</v>
      </c>
      <c r="F365" t="s">
        <v>396</v>
      </c>
      <c r="G365" t="s">
        <v>394</v>
      </c>
      <c r="H365">
        <v>181005160116</v>
      </c>
    </row>
    <row r="366" spans="1:8" x14ac:dyDescent="0.2">
      <c r="A366" t="s">
        <v>445</v>
      </c>
      <c r="B366" t="s">
        <v>23</v>
      </c>
      <c r="C366" s="2">
        <v>43383</v>
      </c>
      <c r="D366" t="s">
        <v>392</v>
      </c>
      <c r="E366">
        <v>-3037194.9</v>
      </c>
      <c r="F366" t="s">
        <v>396</v>
      </c>
      <c r="G366" t="s">
        <v>394</v>
      </c>
      <c r="H366">
        <v>181005160116</v>
      </c>
    </row>
    <row r="367" spans="1:8" x14ac:dyDescent="0.2">
      <c r="A367" t="s">
        <v>445</v>
      </c>
      <c r="B367" t="s">
        <v>23</v>
      </c>
      <c r="C367" s="2">
        <v>43384</v>
      </c>
      <c r="D367" t="s">
        <v>392</v>
      </c>
      <c r="E367">
        <v>-178518.51</v>
      </c>
      <c r="F367" t="s">
        <v>396</v>
      </c>
      <c r="G367" t="s">
        <v>394</v>
      </c>
      <c r="H367">
        <v>181005160116</v>
      </c>
    </row>
    <row r="368" spans="1:8" x14ac:dyDescent="0.2">
      <c r="A368" t="s">
        <v>445</v>
      </c>
      <c r="B368" t="s">
        <v>23</v>
      </c>
      <c r="C368" s="2">
        <v>43389</v>
      </c>
      <c r="D368" t="s">
        <v>392</v>
      </c>
      <c r="E368">
        <v>-500975.7</v>
      </c>
      <c r="F368" t="s">
        <v>396</v>
      </c>
      <c r="G368" t="s">
        <v>394</v>
      </c>
      <c r="H368">
        <v>181005160116</v>
      </c>
    </row>
    <row r="369" spans="1:8" x14ac:dyDescent="0.2">
      <c r="A369" t="s">
        <v>445</v>
      </c>
      <c r="B369" t="s">
        <v>23</v>
      </c>
      <c r="C369" s="2">
        <v>43390</v>
      </c>
      <c r="D369" t="s">
        <v>392</v>
      </c>
      <c r="E369">
        <v>-6802.51</v>
      </c>
      <c r="F369" t="s">
        <v>396</v>
      </c>
      <c r="G369" t="s">
        <v>394</v>
      </c>
      <c r="H369">
        <v>181005160116</v>
      </c>
    </row>
    <row r="370" spans="1:8" x14ac:dyDescent="0.2">
      <c r="A370" t="s">
        <v>445</v>
      </c>
      <c r="B370" t="s">
        <v>23</v>
      </c>
      <c r="C370" s="2">
        <v>43378</v>
      </c>
      <c r="D370" t="s">
        <v>392</v>
      </c>
      <c r="E370">
        <v>-2542101.15</v>
      </c>
      <c r="F370" t="s">
        <v>397</v>
      </c>
      <c r="G370" t="s">
        <v>394</v>
      </c>
      <c r="H370">
        <v>181005160116</v>
      </c>
    </row>
    <row r="371" spans="1:8" x14ac:dyDescent="0.2">
      <c r="A371" t="s">
        <v>445</v>
      </c>
      <c r="B371" t="s">
        <v>23</v>
      </c>
      <c r="C371" s="2">
        <v>43382</v>
      </c>
      <c r="D371" t="s">
        <v>392</v>
      </c>
      <c r="E371">
        <v>-5533031.7000000002</v>
      </c>
      <c r="F371" t="s">
        <v>397</v>
      </c>
      <c r="G371" t="s">
        <v>394</v>
      </c>
      <c r="H371">
        <v>181005160116</v>
      </c>
    </row>
    <row r="372" spans="1:8" x14ac:dyDescent="0.2">
      <c r="A372" t="s">
        <v>445</v>
      </c>
      <c r="B372" t="s">
        <v>23</v>
      </c>
      <c r="C372" s="2">
        <v>43383</v>
      </c>
      <c r="D372" t="s">
        <v>392</v>
      </c>
      <c r="E372">
        <v>-426071.67</v>
      </c>
      <c r="F372" t="s">
        <v>397</v>
      </c>
      <c r="G372" t="s">
        <v>394</v>
      </c>
      <c r="H372">
        <v>181005160116</v>
      </c>
    </row>
    <row r="373" spans="1:8" x14ac:dyDescent="0.2">
      <c r="A373" t="s">
        <v>445</v>
      </c>
      <c r="B373" t="s">
        <v>23</v>
      </c>
      <c r="C373" s="2">
        <v>43384</v>
      </c>
      <c r="D373" t="s">
        <v>392</v>
      </c>
      <c r="E373">
        <v>-1277828.77</v>
      </c>
      <c r="F373" t="s">
        <v>397</v>
      </c>
      <c r="G373" t="s">
        <v>394</v>
      </c>
      <c r="H373">
        <v>181005160116</v>
      </c>
    </row>
    <row r="374" spans="1:8" x14ac:dyDescent="0.2">
      <c r="A374" t="s">
        <v>445</v>
      </c>
      <c r="B374" t="s">
        <v>23</v>
      </c>
      <c r="C374" s="2">
        <v>43385</v>
      </c>
      <c r="D374" t="s">
        <v>392</v>
      </c>
      <c r="E374">
        <v>-962.61</v>
      </c>
      <c r="F374" t="s">
        <v>397</v>
      </c>
      <c r="G374" t="s">
        <v>394</v>
      </c>
      <c r="H374">
        <v>181005160116</v>
      </c>
    </row>
    <row r="375" spans="1:8" x14ac:dyDescent="0.2">
      <c r="A375" t="s">
        <v>445</v>
      </c>
      <c r="B375" t="s">
        <v>23</v>
      </c>
      <c r="C375" s="2">
        <v>43389</v>
      </c>
      <c r="D375" t="s">
        <v>392</v>
      </c>
      <c r="E375">
        <v>-2257.54</v>
      </c>
      <c r="F375" t="s">
        <v>397</v>
      </c>
      <c r="G375" t="s">
        <v>394</v>
      </c>
      <c r="H375">
        <v>181005160116</v>
      </c>
    </row>
    <row r="376" spans="1:8" x14ac:dyDescent="0.2">
      <c r="A376" t="s">
        <v>446</v>
      </c>
      <c r="B376" t="s">
        <v>23</v>
      </c>
      <c r="C376" s="2">
        <v>43378</v>
      </c>
      <c r="D376" t="s">
        <v>392</v>
      </c>
      <c r="E376">
        <v>1847085.77</v>
      </c>
      <c r="F376" t="s">
        <v>393</v>
      </c>
      <c r="G376" t="s">
        <v>394</v>
      </c>
      <c r="H376">
        <v>181005160116</v>
      </c>
    </row>
    <row r="377" spans="1:8" x14ac:dyDescent="0.2">
      <c r="A377" t="s">
        <v>446</v>
      </c>
      <c r="B377" t="s">
        <v>23</v>
      </c>
      <c r="C377" s="2">
        <v>43381</v>
      </c>
      <c r="D377" t="s">
        <v>392</v>
      </c>
      <c r="E377">
        <v>1581939.57</v>
      </c>
      <c r="F377" t="s">
        <v>393</v>
      </c>
      <c r="G377" t="s">
        <v>394</v>
      </c>
      <c r="H377">
        <v>181005160116</v>
      </c>
    </row>
    <row r="378" spans="1:8" x14ac:dyDescent="0.2">
      <c r="A378" t="s">
        <v>446</v>
      </c>
      <c r="B378" t="s">
        <v>23</v>
      </c>
      <c r="C378" s="2">
        <v>43378</v>
      </c>
      <c r="D378" t="s">
        <v>392</v>
      </c>
      <c r="E378">
        <v>252997.07</v>
      </c>
      <c r="F378" t="s">
        <v>395</v>
      </c>
      <c r="G378" t="s">
        <v>394</v>
      </c>
      <c r="H378">
        <v>181005160116</v>
      </c>
    </row>
    <row r="379" spans="1:8" x14ac:dyDescent="0.2">
      <c r="A379" t="s">
        <v>446</v>
      </c>
      <c r="B379" t="s">
        <v>23</v>
      </c>
      <c r="C379" s="2">
        <v>43381</v>
      </c>
      <c r="D379" t="s">
        <v>392</v>
      </c>
      <c r="E379">
        <v>1167999.51</v>
      </c>
      <c r="F379" t="s">
        <v>395</v>
      </c>
      <c r="G379" t="s">
        <v>394</v>
      </c>
      <c r="H379">
        <v>181005160116</v>
      </c>
    </row>
    <row r="380" spans="1:8" x14ac:dyDescent="0.2">
      <c r="A380" t="s">
        <v>446</v>
      </c>
      <c r="B380" t="s">
        <v>23</v>
      </c>
      <c r="C380" s="2">
        <v>43385</v>
      </c>
      <c r="D380" t="s">
        <v>392</v>
      </c>
      <c r="E380">
        <v>962.61</v>
      </c>
      <c r="F380" t="s">
        <v>395</v>
      </c>
      <c r="G380" t="s">
        <v>394</v>
      </c>
      <c r="H380">
        <v>181005160116</v>
      </c>
    </row>
    <row r="381" spans="1:8" x14ac:dyDescent="0.2">
      <c r="A381" t="s">
        <v>446</v>
      </c>
      <c r="B381" t="s">
        <v>23</v>
      </c>
      <c r="C381" s="2">
        <v>43378</v>
      </c>
      <c r="D381" t="s">
        <v>392</v>
      </c>
      <c r="E381">
        <v>-144846.15</v>
      </c>
      <c r="F381" t="s">
        <v>396</v>
      </c>
      <c r="G381" t="s">
        <v>394</v>
      </c>
      <c r="H381">
        <v>181005160116</v>
      </c>
    </row>
    <row r="382" spans="1:8" x14ac:dyDescent="0.2">
      <c r="A382" t="s">
        <v>446</v>
      </c>
      <c r="B382" t="s">
        <v>23</v>
      </c>
      <c r="C382" s="2">
        <v>43382</v>
      </c>
      <c r="D382" t="s">
        <v>392</v>
      </c>
      <c r="E382">
        <v>-8326381.4100000001</v>
      </c>
      <c r="F382" t="s">
        <v>396</v>
      </c>
      <c r="G382" t="s">
        <v>394</v>
      </c>
      <c r="H382">
        <v>181005160116</v>
      </c>
    </row>
    <row r="383" spans="1:8" x14ac:dyDescent="0.2">
      <c r="A383" t="s">
        <v>446</v>
      </c>
      <c r="B383" t="s">
        <v>23</v>
      </c>
      <c r="C383" s="2">
        <v>43383</v>
      </c>
      <c r="D383" t="s">
        <v>392</v>
      </c>
      <c r="E383">
        <v>-1197489.1000000001</v>
      </c>
      <c r="F383" t="s">
        <v>396</v>
      </c>
      <c r="G383" t="s">
        <v>394</v>
      </c>
      <c r="H383">
        <v>181005160116</v>
      </c>
    </row>
    <row r="384" spans="1:8" x14ac:dyDescent="0.2">
      <c r="A384" t="s">
        <v>446</v>
      </c>
      <c r="B384" t="s">
        <v>23</v>
      </c>
      <c r="C384" s="2">
        <v>43384</v>
      </c>
      <c r="D384" t="s">
        <v>392</v>
      </c>
      <c r="E384">
        <v>-330909.37</v>
      </c>
      <c r="F384" t="s">
        <v>396</v>
      </c>
      <c r="G384" t="s">
        <v>394</v>
      </c>
      <c r="H384">
        <v>181005160116</v>
      </c>
    </row>
    <row r="385" spans="1:8" x14ac:dyDescent="0.2">
      <c r="A385" t="s">
        <v>446</v>
      </c>
      <c r="B385" t="s">
        <v>23</v>
      </c>
      <c r="C385" s="2">
        <v>43378</v>
      </c>
      <c r="D385" t="s">
        <v>392</v>
      </c>
      <c r="E385">
        <v>-984.41</v>
      </c>
      <c r="F385" t="s">
        <v>397</v>
      </c>
      <c r="G385" t="s">
        <v>394</v>
      </c>
      <c r="H385">
        <v>181005160116</v>
      </c>
    </row>
    <row r="386" spans="1:8" x14ac:dyDescent="0.2">
      <c r="A386" t="s">
        <v>446</v>
      </c>
      <c r="B386" t="s">
        <v>23</v>
      </c>
      <c r="C386" s="2">
        <v>43382</v>
      </c>
      <c r="D386" t="s">
        <v>392</v>
      </c>
      <c r="E386">
        <v>-16935.12</v>
      </c>
      <c r="F386" t="s">
        <v>397</v>
      </c>
      <c r="G386" t="s">
        <v>394</v>
      </c>
      <c r="H386">
        <v>181005160116</v>
      </c>
    </row>
    <row r="387" spans="1:8" x14ac:dyDescent="0.2">
      <c r="A387" t="s">
        <v>446</v>
      </c>
      <c r="B387" t="s">
        <v>23</v>
      </c>
      <c r="C387" s="2">
        <v>43383</v>
      </c>
      <c r="D387" t="s">
        <v>392</v>
      </c>
      <c r="E387">
        <v>-2279645.2999999998</v>
      </c>
      <c r="F387" t="s">
        <v>397</v>
      </c>
      <c r="G387" t="s">
        <v>394</v>
      </c>
      <c r="H387">
        <v>181005160116</v>
      </c>
    </row>
    <row r="388" spans="1:8" x14ac:dyDescent="0.2">
      <c r="A388" t="s">
        <v>447</v>
      </c>
      <c r="B388" t="s">
        <v>23</v>
      </c>
      <c r="C388" s="2">
        <v>43378</v>
      </c>
      <c r="D388" t="s">
        <v>392</v>
      </c>
      <c r="E388">
        <v>13982316.619999999</v>
      </c>
      <c r="F388" t="s">
        <v>393</v>
      </c>
      <c r="G388" t="s">
        <v>394</v>
      </c>
      <c r="H388">
        <v>181005160116</v>
      </c>
    </row>
    <row r="389" spans="1:8" x14ac:dyDescent="0.2">
      <c r="A389" t="s">
        <v>447</v>
      </c>
      <c r="B389" t="s">
        <v>23</v>
      </c>
      <c r="C389" s="2">
        <v>43381</v>
      </c>
      <c r="D389" t="s">
        <v>392</v>
      </c>
      <c r="E389">
        <v>4059147.08</v>
      </c>
      <c r="F389" t="s">
        <v>393</v>
      </c>
      <c r="G389" t="s">
        <v>394</v>
      </c>
      <c r="H389">
        <v>181005160116</v>
      </c>
    </row>
    <row r="390" spans="1:8" x14ac:dyDescent="0.2">
      <c r="A390" t="s">
        <v>447</v>
      </c>
      <c r="B390" t="s">
        <v>23</v>
      </c>
      <c r="C390" s="2">
        <v>43378</v>
      </c>
      <c r="D390" t="s">
        <v>392</v>
      </c>
      <c r="E390">
        <v>105061.26</v>
      </c>
      <c r="F390" t="s">
        <v>395</v>
      </c>
      <c r="G390" t="s">
        <v>394</v>
      </c>
      <c r="H390">
        <v>181005160116</v>
      </c>
    </row>
    <row r="391" spans="1:8" x14ac:dyDescent="0.2">
      <c r="A391" t="s">
        <v>447</v>
      </c>
      <c r="B391" t="s">
        <v>23</v>
      </c>
      <c r="C391" s="2">
        <v>43381</v>
      </c>
      <c r="D391" t="s">
        <v>392</v>
      </c>
      <c r="E391">
        <v>10000</v>
      </c>
      <c r="F391" t="s">
        <v>395</v>
      </c>
      <c r="G391" t="s">
        <v>394</v>
      </c>
      <c r="H391">
        <v>181005160116</v>
      </c>
    </row>
    <row r="392" spans="1:8" x14ac:dyDescent="0.2">
      <c r="A392" t="s">
        <v>447</v>
      </c>
      <c r="B392" t="s">
        <v>23</v>
      </c>
      <c r="C392" s="2">
        <v>43382</v>
      </c>
      <c r="D392" t="s">
        <v>392</v>
      </c>
      <c r="E392">
        <v>203036.07</v>
      </c>
      <c r="F392" t="s">
        <v>395</v>
      </c>
      <c r="G392" t="s">
        <v>394</v>
      </c>
      <c r="H392">
        <v>181005160116</v>
      </c>
    </row>
    <row r="393" spans="1:8" x14ac:dyDescent="0.2">
      <c r="A393" t="s">
        <v>447</v>
      </c>
      <c r="B393" t="s">
        <v>23</v>
      </c>
      <c r="C393" s="2">
        <v>43378</v>
      </c>
      <c r="D393" t="s">
        <v>392</v>
      </c>
      <c r="E393">
        <v>-5089912.18</v>
      </c>
      <c r="F393" t="s">
        <v>396</v>
      </c>
      <c r="G393" t="s">
        <v>394</v>
      </c>
      <c r="H393">
        <v>181005160116</v>
      </c>
    </row>
    <row r="394" spans="1:8" x14ac:dyDescent="0.2">
      <c r="A394" t="s">
        <v>447</v>
      </c>
      <c r="B394" t="s">
        <v>23</v>
      </c>
      <c r="C394" s="2">
        <v>43383</v>
      </c>
      <c r="D394" t="s">
        <v>392</v>
      </c>
      <c r="E394">
        <v>-10972332.300000001</v>
      </c>
      <c r="F394" t="s">
        <v>396</v>
      </c>
      <c r="G394" t="s">
        <v>394</v>
      </c>
      <c r="H394">
        <v>181005160116</v>
      </c>
    </row>
    <row r="395" spans="1:8" x14ac:dyDescent="0.2">
      <c r="A395" t="s">
        <v>447</v>
      </c>
      <c r="B395" t="s">
        <v>23</v>
      </c>
      <c r="C395" s="2">
        <v>43384</v>
      </c>
      <c r="D395" t="s">
        <v>392</v>
      </c>
      <c r="E395">
        <v>-2090934.89</v>
      </c>
      <c r="F395" t="s">
        <v>396</v>
      </c>
      <c r="G395" t="s">
        <v>394</v>
      </c>
      <c r="H395">
        <v>181005160116</v>
      </c>
    </row>
    <row r="396" spans="1:8" x14ac:dyDescent="0.2">
      <c r="A396" t="s">
        <v>447</v>
      </c>
      <c r="B396" t="s">
        <v>23</v>
      </c>
      <c r="C396" s="2">
        <v>43382</v>
      </c>
      <c r="D396" t="s">
        <v>392</v>
      </c>
      <c r="E396">
        <v>-3993544.49</v>
      </c>
      <c r="F396" t="s">
        <v>397</v>
      </c>
      <c r="G396" t="s">
        <v>394</v>
      </c>
      <c r="H396">
        <v>181005160116</v>
      </c>
    </row>
    <row r="397" spans="1:8" x14ac:dyDescent="0.2">
      <c r="A397" t="s">
        <v>448</v>
      </c>
      <c r="B397" t="s">
        <v>23</v>
      </c>
      <c r="C397" s="2">
        <v>43378</v>
      </c>
      <c r="D397" t="s">
        <v>392</v>
      </c>
      <c r="E397">
        <v>4407215</v>
      </c>
      <c r="F397" t="s">
        <v>393</v>
      </c>
      <c r="G397" t="s">
        <v>394</v>
      </c>
      <c r="H397">
        <v>181005160116</v>
      </c>
    </row>
    <row r="398" spans="1:8" x14ac:dyDescent="0.2">
      <c r="A398" t="s">
        <v>448</v>
      </c>
      <c r="B398" t="s">
        <v>23</v>
      </c>
      <c r="C398" s="2">
        <v>43381</v>
      </c>
      <c r="D398" t="s">
        <v>392</v>
      </c>
      <c r="E398">
        <v>5277400</v>
      </c>
      <c r="F398" t="s">
        <v>393</v>
      </c>
      <c r="G398" t="s">
        <v>394</v>
      </c>
      <c r="H398">
        <v>181005160116</v>
      </c>
    </row>
    <row r="399" spans="1:8" x14ac:dyDescent="0.2">
      <c r="A399" t="s">
        <v>448</v>
      </c>
      <c r="B399" t="s">
        <v>23</v>
      </c>
      <c r="C399" s="2">
        <v>43378</v>
      </c>
      <c r="D399" t="s">
        <v>392</v>
      </c>
      <c r="E399">
        <v>6192800</v>
      </c>
      <c r="F399" t="s">
        <v>423</v>
      </c>
      <c r="G399" t="s">
        <v>394</v>
      </c>
      <c r="H399">
        <v>181005160116</v>
      </c>
    </row>
    <row r="400" spans="1:8" x14ac:dyDescent="0.2">
      <c r="A400" t="s">
        <v>448</v>
      </c>
      <c r="B400" t="s">
        <v>23</v>
      </c>
      <c r="C400" s="2">
        <v>43381</v>
      </c>
      <c r="D400" t="s">
        <v>392</v>
      </c>
      <c r="E400">
        <v>7807600</v>
      </c>
      <c r="F400" t="s">
        <v>423</v>
      </c>
      <c r="G400" t="s">
        <v>394</v>
      </c>
      <c r="H400">
        <v>181005160116</v>
      </c>
    </row>
    <row r="401" spans="1:8" x14ac:dyDescent="0.2">
      <c r="A401" t="s">
        <v>448</v>
      </c>
      <c r="B401" t="s">
        <v>23</v>
      </c>
      <c r="C401" s="2">
        <v>43378</v>
      </c>
      <c r="D401" t="s">
        <v>392</v>
      </c>
      <c r="E401">
        <v>965828.28</v>
      </c>
      <c r="F401" t="s">
        <v>395</v>
      </c>
      <c r="G401" t="s">
        <v>394</v>
      </c>
      <c r="H401">
        <v>181005160116</v>
      </c>
    </row>
    <row r="402" spans="1:8" x14ac:dyDescent="0.2">
      <c r="A402" t="s">
        <v>448</v>
      </c>
      <c r="B402" t="s">
        <v>23</v>
      </c>
      <c r="C402" s="2">
        <v>43381</v>
      </c>
      <c r="D402" t="s">
        <v>392</v>
      </c>
      <c r="E402">
        <v>10885822.41</v>
      </c>
      <c r="F402" t="s">
        <v>395</v>
      </c>
      <c r="G402" t="s">
        <v>394</v>
      </c>
      <c r="H402">
        <v>181005160116</v>
      </c>
    </row>
    <row r="403" spans="1:8" x14ac:dyDescent="0.2">
      <c r="A403" t="s">
        <v>448</v>
      </c>
      <c r="B403" t="s">
        <v>23</v>
      </c>
      <c r="C403" s="2">
        <v>43382</v>
      </c>
      <c r="D403" t="s">
        <v>392</v>
      </c>
      <c r="E403">
        <v>1119178.18</v>
      </c>
      <c r="F403" t="s">
        <v>395</v>
      </c>
      <c r="G403" t="s">
        <v>394</v>
      </c>
      <c r="H403">
        <v>181005160116</v>
      </c>
    </row>
    <row r="404" spans="1:8" x14ac:dyDescent="0.2">
      <c r="A404" t="s">
        <v>448</v>
      </c>
      <c r="B404" t="s">
        <v>23</v>
      </c>
      <c r="C404" s="2">
        <v>43383</v>
      </c>
      <c r="D404" t="s">
        <v>392</v>
      </c>
      <c r="E404">
        <v>1093.6300000000001</v>
      </c>
      <c r="F404" t="s">
        <v>395</v>
      </c>
      <c r="G404" t="s">
        <v>394</v>
      </c>
      <c r="H404">
        <v>181005160116</v>
      </c>
    </row>
    <row r="405" spans="1:8" x14ac:dyDescent="0.2">
      <c r="A405" t="s">
        <v>448</v>
      </c>
      <c r="B405" t="s">
        <v>23</v>
      </c>
      <c r="C405" s="2">
        <v>43384</v>
      </c>
      <c r="D405" t="s">
        <v>392</v>
      </c>
      <c r="E405">
        <v>5863.27</v>
      </c>
      <c r="F405" t="s">
        <v>395</v>
      </c>
      <c r="G405" t="s">
        <v>394</v>
      </c>
      <c r="H405">
        <v>181005160116</v>
      </c>
    </row>
    <row r="406" spans="1:8" x14ac:dyDescent="0.2">
      <c r="A406" t="s">
        <v>448</v>
      </c>
      <c r="B406" t="s">
        <v>23</v>
      </c>
      <c r="C406" s="2">
        <v>43378</v>
      </c>
      <c r="D406" t="s">
        <v>392</v>
      </c>
      <c r="E406">
        <v>-9970766.2300000004</v>
      </c>
      <c r="F406" t="s">
        <v>396</v>
      </c>
      <c r="G406" t="s">
        <v>394</v>
      </c>
      <c r="H406">
        <v>181005160116</v>
      </c>
    </row>
    <row r="407" spans="1:8" x14ac:dyDescent="0.2">
      <c r="A407" t="s">
        <v>448</v>
      </c>
      <c r="B407" t="s">
        <v>23</v>
      </c>
      <c r="C407" s="2">
        <v>43381</v>
      </c>
      <c r="D407" t="s">
        <v>392</v>
      </c>
      <c r="E407">
        <v>-4755068.6900000004</v>
      </c>
      <c r="F407" t="s">
        <v>396</v>
      </c>
      <c r="G407" t="s">
        <v>394</v>
      </c>
      <c r="H407">
        <v>181005160116</v>
      </c>
    </row>
    <row r="408" spans="1:8" x14ac:dyDescent="0.2">
      <c r="A408" t="s">
        <v>448</v>
      </c>
      <c r="B408" t="s">
        <v>23</v>
      </c>
      <c r="C408" s="2">
        <v>43382</v>
      </c>
      <c r="D408" t="s">
        <v>392</v>
      </c>
      <c r="E408">
        <v>-1946008.75</v>
      </c>
      <c r="F408" t="s">
        <v>396</v>
      </c>
      <c r="G408" t="s">
        <v>394</v>
      </c>
      <c r="H408">
        <v>181005160116</v>
      </c>
    </row>
    <row r="409" spans="1:8" x14ac:dyDescent="0.2">
      <c r="A409" t="s">
        <v>448</v>
      </c>
      <c r="B409" t="s">
        <v>23</v>
      </c>
      <c r="C409" s="2">
        <v>43378</v>
      </c>
      <c r="D409" t="s">
        <v>392</v>
      </c>
      <c r="E409">
        <v>-1871431.63</v>
      </c>
      <c r="F409" t="s">
        <v>397</v>
      </c>
      <c r="G409" t="s">
        <v>394</v>
      </c>
      <c r="H409">
        <v>181005160116</v>
      </c>
    </row>
    <row r="410" spans="1:8" x14ac:dyDescent="0.2">
      <c r="A410" t="s">
        <v>448</v>
      </c>
      <c r="B410" t="s">
        <v>23</v>
      </c>
      <c r="C410" s="2">
        <v>43381</v>
      </c>
      <c r="D410" t="s">
        <v>392</v>
      </c>
      <c r="E410">
        <v>-2925738.25</v>
      </c>
      <c r="F410" t="s">
        <v>397</v>
      </c>
      <c r="G410" t="s">
        <v>394</v>
      </c>
      <c r="H410">
        <v>181005160116</v>
      </c>
    </row>
    <row r="411" spans="1:8" x14ac:dyDescent="0.2">
      <c r="A411" t="s">
        <v>448</v>
      </c>
      <c r="B411" t="s">
        <v>23</v>
      </c>
      <c r="C411" s="2">
        <v>43382</v>
      </c>
      <c r="D411" t="s">
        <v>392</v>
      </c>
      <c r="E411">
        <v>-1550114.28</v>
      </c>
      <c r="F411" t="s">
        <v>397</v>
      </c>
      <c r="G411" t="s">
        <v>394</v>
      </c>
      <c r="H411">
        <v>181005160116</v>
      </c>
    </row>
    <row r="412" spans="1:8" x14ac:dyDescent="0.2">
      <c r="A412" t="s">
        <v>449</v>
      </c>
      <c r="B412" t="s">
        <v>23</v>
      </c>
      <c r="C412" s="2">
        <v>43378</v>
      </c>
      <c r="D412" t="s">
        <v>392</v>
      </c>
      <c r="E412">
        <v>1340800</v>
      </c>
      <c r="F412" t="s">
        <v>393</v>
      </c>
      <c r="G412" t="s">
        <v>394</v>
      </c>
      <c r="H412">
        <v>181005160116</v>
      </c>
    </row>
    <row r="413" spans="1:8" x14ac:dyDescent="0.2">
      <c r="A413" t="s">
        <v>449</v>
      </c>
      <c r="B413" t="s">
        <v>23</v>
      </c>
      <c r="C413" s="2">
        <v>43381</v>
      </c>
      <c r="D413" t="s">
        <v>392</v>
      </c>
      <c r="E413">
        <v>1215000</v>
      </c>
      <c r="F413" t="s">
        <v>393</v>
      </c>
      <c r="G413" t="s">
        <v>394</v>
      </c>
      <c r="H413">
        <v>181005160116</v>
      </c>
    </row>
    <row r="414" spans="1:8" x14ac:dyDescent="0.2">
      <c r="A414" t="s">
        <v>449</v>
      </c>
      <c r="B414" t="s">
        <v>23</v>
      </c>
      <c r="C414" s="2">
        <v>43378</v>
      </c>
      <c r="D414" t="s">
        <v>392</v>
      </c>
      <c r="E414">
        <v>1319140</v>
      </c>
      <c r="F414" t="s">
        <v>423</v>
      </c>
      <c r="G414" t="s">
        <v>394</v>
      </c>
      <c r="H414">
        <v>181005160116</v>
      </c>
    </row>
    <row r="415" spans="1:8" x14ac:dyDescent="0.2">
      <c r="A415" t="s">
        <v>449</v>
      </c>
      <c r="B415" t="s">
        <v>23</v>
      </c>
      <c r="C415" s="2">
        <v>43381</v>
      </c>
      <c r="D415" t="s">
        <v>392</v>
      </c>
      <c r="E415">
        <v>2260760</v>
      </c>
      <c r="F415" t="s">
        <v>423</v>
      </c>
      <c r="G415" t="s">
        <v>394</v>
      </c>
      <c r="H415">
        <v>181005160116</v>
      </c>
    </row>
    <row r="416" spans="1:8" x14ac:dyDescent="0.2">
      <c r="A416" t="s">
        <v>449</v>
      </c>
      <c r="B416" t="s">
        <v>23</v>
      </c>
      <c r="C416" s="2">
        <v>43378</v>
      </c>
      <c r="D416" t="s">
        <v>392</v>
      </c>
      <c r="E416">
        <v>80809.59</v>
      </c>
      <c r="F416" t="s">
        <v>395</v>
      </c>
      <c r="G416" t="s">
        <v>394</v>
      </c>
      <c r="H416">
        <v>181005160116</v>
      </c>
    </row>
    <row r="417" spans="1:8" x14ac:dyDescent="0.2">
      <c r="A417" t="s">
        <v>449</v>
      </c>
      <c r="B417" t="s">
        <v>23</v>
      </c>
      <c r="C417" s="2">
        <v>43381</v>
      </c>
      <c r="D417" t="s">
        <v>392</v>
      </c>
      <c r="E417">
        <v>1791187.17</v>
      </c>
      <c r="F417" t="s">
        <v>395</v>
      </c>
      <c r="G417" t="s">
        <v>394</v>
      </c>
      <c r="H417">
        <v>181005160116</v>
      </c>
    </row>
    <row r="418" spans="1:8" x14ac:dyDescent="0.2">
      <c r="A418" t="s">
        <v>449</v>
      </c>
      <c r="B418" t="s">
        <v>23</v>
      </c>
      <c r="C418" s="2">
        <v>43382</v>
      </c>
      <c r="D418" t="s">
        <v>392</v>
      </c>
      <c r="E418">
        <v>1252804.71</v>
      </c>
      <c r="F418" t="s">
        <v>395</v>
      </c>
      <c r="G418" t="s">
        <v>394</v>
      </c>
      <c r="H418">
        <v>181005160116</v>
      </c>
    </row>
    <row r="419" spans="1:8" x14ac:dyDescent="0.2">
      <c r="A419" t="s">
        <v>449</v>
      </c>
      <c r="B419" t="s">
        <v>23</v>
      </c>
      <c r="C419" s="2">
        <v>43384</v>
      </c>
      <c r="D419" t="s">
        <v>392</v>
      </c>
      <c r="E419">
        <v>361.05</v>
      </c>
      <c r="F419" t="s">
        <v>395</v>
      </c>
      <c r="G419" t="s">
        <v>394</v>
      </c>
      <c r="H419">
        <v>181005160116</v>
      </c>
    </row>
    <row r="420" spans="1:8" x14ac:dyDescent="0.2">
      <c r="A420" t="s">
        <v>449</v>
      </c>
      <c r="B420" t="s">
        <v>23</v>
      </c>
      <c r="C420" s="2">
        <v>43378</v>
      </c>
      <c r="D420" t="s">
        <v>392</v>
      </c>
      <c r="E420">
        <v>-5947985.0899999999</v>
      </c>
      <c r="F420" t="s">
        <v>396</v>
      </c>
      <c r="G420" t="s">
        <v>394</v>
      </c>
      <c r="H420">
        <v>181005160116</v>
      </c>
    </row>
    <row r="421" spans="1:8" x14ac:dyDescent="0.2">
      <c r="A421" t="s">
        <v>449</v>
      </c>
      <c r="B421" t="s">
        <v>23</v>
      </c>
      <c r="C421" s="2">
        <v>43381</v>
      </c>
      <c r="D421" t="s">
        <v>392</v>
      </c>
      <c r="E421">
        <v>-285516.62</v>
      </c>
      <c r="F421" t="s">
        <v>396</v>
      </c>
      <c r="G421" t="s">
        <v>394</v>
      </c>
      <c r="H421">
        <v>181005160116</v>
      </c>
    </row>
    <row r="422" spans="1:8" x14ac:dyDescent="0.2">
      <c r="A422" t="s">
        <v>449</v>
      </c>
      <c r="B422" t="s">
        <v>23</v>
      </c>
      <c r="C422" s="2">
        <v>43382</v>
      </c>
      <c r="D422" t="s">
        <v>392</v>
      </c>
      <c r="E422">
        <v>-507759.37</v>
      </c>
      <c r="F422" t="s">
        <v>396</v>
      </c>
      <c r="G422" t="s">
        <v>394</v>
      </c>
      <c r="H422">
        <v>181005160116</v>
      </c>
    </row>
    <row r="423" spans="1:8" x14ac:dyDescent="0.2">
      <c r="A423" t="s">
        <v>449</v>
      </c>
      <c r="B423" t="s">
        <v>23</v>
      </c>
      <c r="C423" s="2">
        <v>43381</v>
      </c>
      <c r="D423" t="s">
        <v>392</v>
      </c>
      <c r="E423">
        <v>-1094628.52</v>
      </c>
      <c r="F423" t="s">
        <v>397</v>
      </c>
      <c r="G423" t="s">
        <v>394</v>
      </c>
      <c r="H423">
        <v>181005160116</v>
      </c>
    </row>
    <row r="424" spans="1:8" x14ac:dyDescent="0.2">
      <c r="A424" t="s">
        <v>449</v>
      </c>
      <c r="B424" t="s">
        <v>23</v>
      </c>
      <c r="C424" s="2">
        <v>43382</v>
      </c>
      <c r="D424" t="s">
        <v>392</v>
      </c>
      <c r="E424">
        <v>-837793.62</v>
      </c>
      <c r="F424" t="s">
        <v>397</v>
      </c>
      <c r="G424" t="s">
        <v>394</v>
      </c>
      <c r="H424">
        <v>181005160116</v>
      </c>
    </row>
    <row r="425" spans="1:8" x14ac:dyDescent="0.2">
      <c r="A425" t="s">
        <v>450</v>
      </c>
      <c r="B425" t="s">
        <v>23</v>
      </c>
      <c r="C425" s="2">
        <v>43378</v>
      </c>
      <c r="D425" t="s">
        <v>392</v>
      </c>
      <c r="E425">
        <v>538000</v>
      </c>
      <c r="F425" t="s">
        <v>393</v>
      </c>
      <c r="G425" t="s">
        <v>394</v>
      </c>
      <c r="H425">
        <v>181005160116</v>
      </c>
    </row>
    <row r="426" spans="1:8" x14ac:dyDescent="0.2">
      <c r="A426" t="s">
        <v>450</v>
      </c>
      <c r="B426" t="s">
        <v>23</v>
      </c>
      <c r="C426" s="2">
        <v>43381</v>
      </c>
      <c r="D426" t="s">
        <v>392</v>
      </c>
      <c r="E426">
        <v>436200</v>
      </c>
      <c r="F426" t="s">
        <v>393</v>
      </c>
      <c r="G426" t="s">
        <v>394</v>
      </c>
      <c r="H426">
        <v>181005160116</v>
      </c>
    </row>
    <row r="427" spans="1:8" x14ac:dyDescent="0.2">
      <c r="A427" t="s">
        <v>450</v>
      </c>
      <c r="B427" t="s">
        <v>23</v>
      </c>
      <c r="C427" s="2">
        <v>43378</v>
      </c>
      <c r="D427" t="s">
        <v>392</v>
      </c>
      <c r="E427">
        <v>859000</v>
      </c>
      <c r="F427" t="s">
        <v>423</v>
      </c>
      <c r="G427" t="s">
        <v>394</v>
      </c>
      <c r="H427">
        <v>181005160116</v>
      </c>
    </row>
    <row r="428" spans="1:8" x14ac:dyDescent="0.2">
      <c r="A428" t="s">
        <v>450</v>
      </c>
      <c r="B428" t="s">
        <v>23</v>
      </c>
      <c r="C428" s="2">
        <v>43381</v>
      </c>
      <c r="D428" t="s">
        <v>392</v>
      </c>
      <c r="E428">
        <v>1007500</v>
      </c>
      <c r="F428" t="s">
        <v>423</v>
      </c>
      <c r="G428" t="s">
        <v>394</v>
      </c>
      <c r="H428">
        <v>181005160116</v>
      </c>
    </row>
    <row r="429" spans="1:8" x14ac:dyDescent="0.2">
      <c r="A429" t="s">
        <v>450</v>
      </c>
      <c r="B429" t="s">
        <v>23</v>
      </c>
      <c r="C429" s="2">
        <v>43378</v>
      </c>
      <c r="D429" t="s">
        <v>392</v>
      </c>
      <c r="E429">
        <v>1115876.17</v>
      </c>
      <c r="F429" t="s">
        <v>395</v>
      </c>
      <c r="G429" t="s">
        <v>394</v>
      </c>
      <c r="H429">
        <v>181005160116</v>
      </c>
    </row>
    <row r="430" spans="1:8" x14ac:dyDescent="0.2">
      <c r="A430" t="s">
        <v>450</v>
      </c>
      <c r="B430" t="s">
        <v>23</v>
      </c>
      <c r="C430" s="2">
        <v>43381</v>
      </c>
      <c r="D430" t="s">
        <v>392</v>
      </c>
      <c r="E430">
        <v>1107905.19</v>
      </c>
      <c r="F430" t="s">
        <v>395</v>
      </c>
      <c r="G430" t="s">
        <v>394</v>
      </c>
      <c r="H430">
        <v>181005160116</v>
      </c>
    </row>
    <row r="431" spans="1:8" x14ac:dyDescent="0.2">
      <c r="A431" t="s">
        <v>450</v>
      </c>
      <c r="B431" t="s">
        <v>23</v>
      </c>
      <c r="C431" s="2">
        <v>43378</v>
      </c>
      <c r="D431" t="s">
        <v>392</v>
      </c>
      <c r="E431">
        <v>-1361653.24</v>
      </c>
      <c r="F431" t="s">
        <v>396</v>
      </c>
      <c r="G431" t="s">
        <v>394</v>
      </c>
      <c r="H431">
        <v>181005160116</v>
      </c>
    </row>
    <row r="432" spans="1:8" x14ac:dyDescent="0.2">
      <c r="A432" t="s">
        <v>450</v>
      </c>
      <c r="B432" t="s">
        <v>23</v>
      </c>
      <c r="C432" s="2">
        <v>43381</v>
      </c>
      <c r="D432" t="s">
        <v>392</v>
      </c>
      <c r="E432">
        <v>-1028993.96</v>
      </c>
      <c r="F432" t="s">
        <v>396</v>
      </c>
      <c r="G432" t="s">
        <v>394</v>
      </c>
      <c r="H432">
        <v>181005160116</v>
      </c>
    </row>
    <row r="433" spans="1:8" x14ac:dyDescent="0.2">
      <c r="A433" t="s">
        <v>450</v>
      </c>
      <c r="B433" t="s">
        <v>23</v>
      </c>
      <c r="C433" s="2">
        <v>43382</v>
      </c>
      <c r="D433" t="s">
        <v>392</v>
      </c>
      <c r="E433">
        <v>-419550.95</v>
      </c>
      <c r="F433" t="s">
        <v>396</v>
      </c>
      <c r="G433" t="s">
        <v>394</v>
      </c>
      <c r="H433">
        <v>181005160116</v>
      </c>
    </row>
    <row r="434" spans="1:8" x14ac:dyDescent="0.2">
      <c r="A434" t="s">
        <v>450</v>
      </c>
      <c r="B434" t="s">
        <v>23</v>
      </c>
      <c r="C434" s="2">
        <v>43378</v>
      </c>
      <c r="D434" t="s">
        <v>392</v>
      </c>
      <c r="E434">
        <v>-686828.72</v>
      </c>
      <c r="F434" t="s">
        <v>397</v>
      </c>
      <c r="G434" t="s">
        <v>394</v>
      </c>
      <c r="H434">
        <v>181005160116</v>
      </c>
    </row>
    <row r="435" spans="1:8" x14ac:dyDescent="0.2">
      <c r="A435" t="s">
        <v>450</v>
      </c>
      <c r="B435" t="s">
        <v>23</v>
      </c>
      <c r="C435" s="2">
        <v>43381</v>
      </c>
      <c r="D435" t="s">
        <v>392</v>
      </c>
      <c r="E435">
        <v>-510124.98</v>
      </c>
      <c r="F435" t="s">
        <v>397</v>
      </c>
      <c r="G435" t="s">
        <v>394</v>
      </c>
      <c r="H435">
        <v>181005160116</v>
      </c>
    </row>
    <row r="436" spans="1:8" x14ac:dyDescent="0.2">
      <c r="A436" t="s">
        <v>450</v>
      </c>
      <c r="B436" t="s">
        <v>23</v>
      </c>
      <c r="C436" s="2">
        <v>43382</v>
      </c>
      <c r="D436" t="s">
        <v>392</v>
      </c>
      <c r="E436">
        <v>-796962.12</v>
      </c>
      <c r="F436" t="s">
        <v>397</v>
      </c>
      <c r="G436" t="s">
        <v>394</v>
      </c>
      <c r="H436">
        <v>181005160116</v>
      </c>
    </row>
    <row r="437" spans="1:8" x14ac:dyDescent="0.2">
      <c r="A437" t="s">
        <v>451</v>
      </c>
      <c r="B437" t="s">
        <v>23</v>
      </c>
      <c r="C437" s="2">
        <v>43378</v>
      </c>
      <c r="D437" t="s">
        <v>392</v>
      </c>
      <c r="E437">
        <v>29000</v>
      </c>
      <c r="F437" t="s">
        <v>393</v>
      </c>
      <c r="G437" t="s">
        <v>394</v>
      </c>
      <c r="H437">
        <v>181005160116</v>
      </c>
    </row>
    <row r="438" spans="1:8" x14ac:dyDescent="0.2">
      <c r="A438" t="s">
        <v>451</v>
      </c>
      <c r="B438" t="s">
        <v>23</v>
      </c>
      <c r="C438" s="2">
        <v>43381</v>
      </c>
      <c r="D438" t="s">
        <v>392</v>
      </c>
      <c r="E438">
        <v>427000</v>
      </c>
      <c r="F438" t="s">
        <v>393</v>
      </c>
      <c r="G438" t="s">
        <v>394</v>
      </c>
      <c r="H438">
        <v>181005160116</v>
      </c>
    </row>
    <row r="439" spans="1:8" x14ac:dyDescent="0.2">
      <c r="A439" t="s">
        <v>451</v>
      </c>
      <c r="B439" t="s">
        <v>23</v>
      </c>
      <c r="C439" s="2">
        <v>43378</v>
      </c>
      <c r="D439" t="s">
        <v>392</v>
      </c>
      <c r="E439">
        <v>573500</v>
      </c>
      <c r="F439" t="s">
        <v>423</v>
      </c>
      <c r="G439" t="s">
        <v>394</v>
      </c>
      <c r="H439">
        <v>181005160116</v>
      </c>
    </row>
    <row r="440" spans="1:8" x14ac:dyDescent="0.2">
      <c r="A440" t="s">
        <v>451</v>
      </c>
      <c r="B440" t="s">
        <v>23</v>
      </c>
      <c r="C440" s="2">
        <v>43381</v>
      </c>
      <c r="D440" t="s">
        <v>392</v>
      </c>
      <c r="E440">
        <v>144100</v>
      </c>
      <c r="F440" t="s">
        <v>423</v>
      </c>
      <c r="G440" t="s">
        <v>394</v>
      </c>
      <c r="H440">
        <v>181005160116</v>
      </c>
    </row>
    <row r="441" spans="1:8" x14ac:dyDescent="0.2">
      <c r="A441" t="s">
        <v>451</v>
      </c>
      <c r="B441" t="s">
        <v>23</v>
      </c>
      <c r="C441" s="2">
        <v>43378</v>
      </c>
      <c r="D441" t="s">
        <v>392</v>
      </c>
      <c r="E441">
        <v>18588.23</v>
      </c>
      <c r="F441" t="s">
        <v>395</v>
      </c>
      <c r="G441" t="s">
        <v>394</v>
      </c>
      <c r="H441">
        <v>181005160116</v>
      </c>
    </row>
    <row r="442" spans="1:8" x14ac:dyDescent="0.2">
      <c r="A442" t="s">
        <v>451</v>
      </c>
      <c r="B442" t="s">
        <v>23</v>
      </c>
      <c r="C442" s="2">
        <v>43381</v>
      </c>
      <c r="D442" t="s">
        <v>392</v>
      </c>
      <c r="E442">
        <v>4000</v>
      </c>
      <c r="F442" t="s">
        <v>395</v>
      </c>
      <c r="G442" t="s">
        <v>394</v>
      </c>
      <c r="H442">
        <v>181005160116</v>
      </c>
    </row>
    <row r="443" spans="1:8" x14ac:dyDescent="0.2">
      <c r="A443" t="s">
        <v>451</v>
      </c>
      <c r="B443" t="s">
        <v>23</v>
      </c>
      <c r="C443" s="2">
        <v>43378</v>
      </c>
      <c r="D443" t="s">
        <v>392</v>
      </c>
      <c r="E443">
        <v>-427081.25</v>
      </c>
      <c r="F443" t="s">
        <v>396</v>
      </c>
      <c r="G443" t="s">
        <v>394</v>
      </c>
      <c r="H443">
        <v>181005160116</v>
      </c>
    </row>
    <row r="444" spans="1:8" x14ac:dyDescent="0.2">
      <c r="A444" t="s">
        <v>451</v>
      </c>
      <c r="B444" t="s">
        <v>23</v>
      </c>
      <c r="C444" s="2">
        <v>43381</v>
      </c>
      <c r="D444" t="s">
        <v>392</v>
      </c>
      <c r="E444">
        <v>-112595.12</v>
      </c>
      <c r="F444" t="s">
        <v>396</v>
      </c>
      <c r="G444" t="s">
        <v>394</v>
      </c>
      <c r="H444">
        <v>181005160116</v>
      </c>
    </row>
    <row r="445" spans="1:8" x14ac:dyDescent="0.2">
      <c r="A445" t="s">
        <v>451</v>
      </c>
      <c r="B445" t="s">
        <v>23</v>
      </c>
      <c r="C445" s="2">
        <v>43382</v>
      </c>
      <c r="D445" t="s">
        <v>392</v>
      </c>
      <c r="E445">
        <v>-15190.21</v>
      </c>
      <c r="F445" t="s">
        <v>396</v>
      </c>
      <c r="G445" t="s">
        <v>394</v>
      </c>
      <c r="H445">
        <v>181005160116</v>
      </c>
    </row>
    <row r="446" spans="1:8" x14ac:dyDescent="0.2">
      <c r="A446" t="s">
        <v>451</v>
      </c>
      <c r="B446" t="s">
        <v>23</v>
      </c>
      <c r="C446" s="2">
        <v>43378</v>
      </c>
      <c r="D446" t="s">
        <v>392</v>
      </c>
      <c r="E446">
        <v>-111606.81</v>
      </c>
      <c r="F446" t="s">
        <v>397</v>
      </c>
      <c r="G446" t="s">
        <v>394</v>
      </c>
      <c r="H446">
        <v>181005160116</v>
      </c>
    </row>
    <row r="447" spans="1:8" x14ac:dyDescent="0.2">
      <c r="A447" t="s">
        <v>451</v>
      </c>
      <c r="B447" t="s">
        <v>23</v>
      </c>
      <c r="C447" s="2">
        <v>43381</v>
      </c>
      <c r="D447" t="s">
        <v>392</v>
      </c>
      <c r="E447">
        <v>-258110</v>
      </c>
      <c r="F447" t="s">
        <v>397</v>
      </c>
      <c r="G447" t="s">
        <v>394</v>
      </c>
      <c r="H447">
        <v>181005160116</v>
      </c>
    </row>
    <row r="448" spans="1:8" x14ac:dyDescent="0.2">
      <c r="A448" t="s">
        <v>452</v>
      </c>
      <c r="B448" t="s">
        <v>23</v>
      </c>
      <c r="C448" s="2">
        <v>43378</v>
      </c>
      <c r="D448" t="s">
        <v>392</v>
      </c>
      <c r="E448">
        <v>-366008.03</v>
      </c>
      <c r="F448" t="s">
        <v>396</v>
      </c>
      <c r="G448" t="s">
        <v>394</v>
      </c>
      <c r="H448">
        <v>181005160116</v>
      </c>
    </row>
    <row r="449" spans="1:8" x14ac:dyDescent="0.2">
      <c r="A449" t="s">
        <v>452</v>
      </c>
      <c r="B449" t="s">
        <v>23</v>
      </c>
      <c r="C449" s="2">
        <v>43381</v>
      </c>
      <c r="D449" t="s">
        <v>392</v>
      </c>
      <c r="E449">
        <v>-921636.21</v>
      </c>
      <c r="F449" t="s">
        <v>396</v>
      </c>
      <c r="G449" t="s">
        <v>394</v>
      </c>
      <c r="H449">
        <v>181005160116</v>
      </c>
    </row>
    <row r="450" spans="1:8" x14ac:dyDescent="0.2">
      <c r="A450" t="s">
        <v>452</v>
      </c>
      <c r="B450" t="s">
        <v>23</v>
      </c>
      <c r="C450" s="2">
        <v>43382</v>
      </c>
      <c r="D450" t="s">
        <v>392</v>
      </c>
      <c r="E450">
        <v>-274293.44</v>
      </c>
      <c r="F450" t="s">
        <v>396</v>
      </c>
      <c r="G450" t="s">
        <v>394</v>
      </c>
      <c r="H450">
        <v>181005160116</v>
      </c>
    </row>
    <row r="451" spans="1:8" x14ac:dyDescent="0.2">
      <c r="A451" t="s">
        <v>452</v>
      </c>
      <c r="B451" t="s">
        <v>23</v>
      </c>
      <c r="C451" s="2">
        <v>43381</v>
      </c>
      <c r="D451" t="s">
        <v>392</v>
      </c>
      <c r="E451">
        <v>-19278.349999999999</v>
      </c>
      <c r="F451" t="s">
        <v>397</v>
      </c>
      <c r="G451" t="s">
        <v>394</v>
      </c>
      <c r="H451">
        <v>181005160116</v>
      </c>
    </row>
    <row r="452" spans="1:8" x14ac:dyDescent="0.2">
      <c r="A452" t="s">
        <v>453</v>
      </c>
      <c r="B452" t="s">
        <v>23</v>
      </c>
      <c r="C452" s="2">
        <v>43378</v>
      </c>
      <c r="D452" t="s">
        <v>392</v>
      </c>
      <c r="E452">
        <v>475002.32</v>
      </c>
      <c r="F452" t="s">
        <v>393</v>
      </c>
      <c r="G452" t="s">
        <v>394</v>
      </c>
      <c r="H452">
        <v>181005160116</v>
      </c>
    </row>
    <row r="453" spans="1:8" x14ac:dyDescent="0.2">
      <c r="A453" t="s">
        <v>453</v>
      </c>
      <c r="B453" t="s">
        <v>23</v>
      </c>
      <c r="C453" s="2">
        <v>43381</v>
      </c>
      <c r="D453" t="s">
        <v>392</v>
      </c>
      <c r="E453">
        <v>1808820</v>
      </c>
      <c r="F453" t="s">
        <v>393</v>
      </c>
      <c r="G453" t="s">
        <v>394</v>
      </c>
      <c r="H453">
        <v>181005160116</v>
      </c>
    </row>
    <row r="454" spans="1:8" x14ac:dyDescent="0.2">
      <c r="A454" t="s">
        <v>453</v>
      </c>
      <c r="B454" t="s">
        <v>23</v>
      </c>
      <c r="C454" s="2">
        <v>43378</v>
      </c>
      <c r="D454" t="s">
        <v>392</v>
      </c>
      <c r="E454">
        <v>642008</v>
      </c>
      <c r="F454" t="s">
        <v>423</v>
      </c>
      <c r="G454" t="s">
        <v>394</v>
      </c>
      <c r="H454">
        <v>181005160116</v>
      </c>
    </row>
    <row r="455" spans="1:8" x14ac:dyDescent="0.2">
      <c r="A455" t="s">
        <v>453</v>
      </c>
      <c r="B455" t="s">
        <v>23</v>
      </c>
      <c r="C455" s="2">
        <v>43381</v>
      </c>
      <c r="D455" t="s">
        <v>392</v>
      </c>
      <c r="E455">
        <v>2389000</v>
      </c>
      <c r="F455" t="s">
        <v>423</v>
      </c>
      <c r="G455" t="s">
        <v>394</v>
      </c>
      <c r="H455">
        <v>181005160116</v>
      </c>
    </row>
    <row r="456" spans="1:8" x14ac:dyDescent="0.2">
      <c r="A456" t="s">
        <v>453</v>
      </c>
      <c r="B456" t="s">
        <v>23</v>
      </c>
      <c r="C456" s="2">
        <v>43378</v>
      </c>
      <c r="D456" t="s">
        <v>392</v>
      </c>
      <c r="E456">
        <v>618876.93999999994</v>
      </c>
      <c r="F456" t="s">
        <v>395</v>
      </c>
      <c r="G456" t="s">
        <v>394</v>
      </c>
      <c r="H456">
        <v>181005160116</v>
      </c>
    </row>
    <row r="457" spans="1:8" x14ac:dyDescent="0.2">
      <c r="A457" t="s">
        <v>453</v>
      </c>
      <c r="B457" t="s">
        <v>23</v>
      </c>
      <c r="C457" s="2">
        <v>43381</v>
      </c>
      <c r="D457" t="s">
        <v>392</v>
      </c>
      <c r="E457">
        <v>34560.69</v>
      </c>
      <c r="F457" t="s">
        <v>395</v>
      </c>
      <c r="G457" t="s">
        <v>394</v>
      </c>
      <c r="H457">
        <v>181005160116</v>
      </c>
    </row>
    <row r="458" spans="1:8" x14ac:dyDescent="0.2">
      <c r="A458" t="s">
        <v>453</v>
      </c>
      <c r="B458" t="s">
        <v>23</v>
      </c>
      <c r="C458" s="2">
        <v>43382</v>
      </c>
      <c r="D458" t="s">
        <v>392</v>
      </c>
      <c r="E458">
        <v>984.22</v>
      </c>
      <c r="F458" t="s">
        <v>395</v>
      </c>
      <c r="G458" t="s">
        <v>394</v>
      </c>
      <c r="H458">
        <v>181005160116</v>
      </c>
    </row>
    <row r="459" spans="1:8" x14ac:dyDescent="0.2">
      <c r="A459" t="s">
        <v>453</v>
      </c>
      <c r="B459" t="s">
        <v>23</v>
      </c>
      <c r="C459" s="2">
        <v>43378</v>
      </c>
      <c r="D459" t="s">
        <v>392</v>
      </c>
      <c r="E459">
        <v>-41913.980000000003</v>
      </c>
      <c r="F459" t="s">
        <v>396</v>
      </c>
      <c r="G459" t="s">
        <v>394</v>
      </c>
      <c r="H459">
        <v>181005160116</v>
      </c>
    </row>
    <row r="460" spans="1:8" x14ac:dyDescent="0.2">
      <c r="A460" t="s">
        <v>453</v>
      </c>
      <c r="B460" t="s">
        <v>23</v>
      </c>
      <c r="C460" s="2">
        <v>43382</v>
      </c>
      <c r="D460" t="s">
        <v>392</v>
      </c>
      <c r="E460">
        <v>-2082.7600000000002</v>
      </c>
      <c r="F460" t="s">
        <v>396</v>
      </c>
      <c r="G460" t="s">
        <v>394</v>
      </c>
      <c r="H460">
        <v>181005160116</v>
      </c>
    </row>
    <row r="461" spans="1:8" x14ac:dyDescent="0.2">
      <c r="A461" t="s">
        <v>453</v>
      </c>
      <c r="B461" t="s">
        <v>23</v>
      </c>
      <c r="C461" s="2">
        <v>43378</v>
      </c>
      <c r="D461" t="s">
        <v>392</v>
      </c>
      <c r="E461">
        <v>-51157.9</v>
      </c>
      <c r="F461" t="s">
        <v>397</v>
      </c>
      <c r="G461" t="s">
        <v>394</v>
      </c>
      <c r="H461">
        <v>181005160116</v>
      </c>
    </row>
    <row r="462" spans="1:8" x14ac:dyDescent="0.2">
      <c r="A462" t="s">
        <v>453</v>
      </c>
      <c r="B462" t="s">
        <v>23</v>
      </c>
      <c r="C462" s="2">
        <v>43381</v>
      </c>
      <c r="D462" t="s">
        <v>392</v>
      </c>
      <c r="E462">
        <v>-3148789.87</v>
      </c>
      <c r="F462" t="s">
        <v>397</v>
      </c>
      <c r="G462" t="s">
        <v>394</v>
      </c>
      <c r="H462">
        <v>181005160116</v>
      </c>
    </row>
    <row r="463" spans="1:8" x14ac:dyDescent="0.2">
      <c r="A463" t="s">
        <v>453</v>
      </c>
      <c r="B463" t="s">
        <v>23</v>
      </c>
      <c r="C463" s="2">
        <v>43382</v>
      </c>
      <c r="D463" t="s">
        <v>392</v>
      </c>
      <c r="E463">
        <v>-1968.21</v>
      </c>
      <c r="F463" t="s">
        <v>397</v>
      </c>
      <c r="G463" t="s">
        <v>394</v>
      </c>
      <c r="H463">
        <v>181005160116</v>
      </c>
    </row>
    <row r="464" spans="1:8" x14ac:dyDescent="0.2">
      <c r="A464" t="s">
        <v>454</v>
      </c>
      <c r="B464" t="s">
        <v>23</v>
      </c>
      <c r="C464" s="2">
        <v>43378</v>
      </c>
      <c r="D464" t="s">
        <v>392</v>
      </c>
      <c r="E464">
        <v>748300</v>
      </c>
      <c r="F464" t="s">
        <v>393</v>
      </c>
      <c r="G464" t="s">
        <v>394</v>
      </c>
      <c r="H464">
        <v>181005160116</v>
      </c>
    </row>
    <row r="465" spans="1:8" x14ac:dyDescent="0.2">
      <c r="A465" t="s">
        <v>454</v>
      </c>
      <c r="B465" t="s">
        <v>23</v>
      </c>
      <c r="C465" s="2">
        <v>43381</v>
      </c>
      <c r="D465" t="s">
        <v>392</v>
      </c>
      <c r="E465">
        <v>1725000</v>
      </c>
      <c r="F465" t="s">
        <v>393</v>
      </c>
      <c r="G465" t="s">
        <v>394</v>
      </c>
      <c r="H465">
        <v>181005160116</v>
      </c>
    </row>
    <row r="466" spans="1:8" x14ac:dyDescent="0.2">
      <c r="A466" t="s">
        <v>454</v>
      </c>
      <c r="B466" t="s">
        <v>23</v>
      </c>
      <c r="C466" s="2">
        <v>43378</v>
      </c>
      <c r="D466" t="s">
        <v>392</v>
      </c>
      <c r="E466">
        <v>2923000</v>
      </c>
      <c r="F466" t="s">
        <v>423</v>
      </c>
      <c r="G466" t="s">
        <v>394</v>
      </c>
      <c r="H466">
        <v>181005160116</v>
      </c>
    </row>
    <row r="467" spans="1:8" x14ac:dyDescent="0.2">
      <c r="A467" t="s">
        <v>454</v>
      </c>
      <c r="B467" t="s">
        <v>23</v>
      </c>
      <c r="C467" s="2">
        <v>43381</v>
      </c>
      <c r="D467" t="s">
        <v>392</v>
      </c>
      <c r="E467">
        <v>1797000</v>
      </c>
      <c r="F467" t="s">
        <v>423</v>
      </c>
      <c r="G467" t="s">
        <v>394</v>
      </c>
      <c r="H467">
        <v>181005160116</v>
      </c>
    </row>
    <row r="468" spans="1:8" x14ac:dyDescent="0.2">
      <c r="A468" t="s">
        <v>454</v>
      </c>
      <c r="B468" t="s">
        <v>23</v>
      </c>
      <c r="C468" s="2">
        <v>43378</v>
      </c>
      <c r="D468" t="s">
        <v>392</v>
      </c>
      <c r="E468">
        <v>2115711.5</v>
      </c>
      <c r="F468" t="s">
        <v>395</v>
      </c>
      <c r="G468" t="s">
        <v>394</v>
      </c>
      <c r="H468">
        <v>181005160116</v>
      </c>
    </row>
    <row r="469" spans="1:8" x14ac:dyDescent="0.2">
      <c r="A469" t="s">
        <v>454</v>
      </c>
      <c r="B469" t="s">
        <v>23</v>
      </c>
      <c r="C469" s="2">
        <v>43381</v>
      </c>
      <c r="D469" t="s">
        <v>392</v>
      </c>
      <c r="E469">
        <v>744413.13</v>
      </c>
      <c r="F469" t="s">
        <v>395</v>
      </c>
      <c r="G469" t="s">
        <v>394</v>
      </c>
      <c r="H469">
        <v>181005160116</v>
      </c>
    </row>
    <row r="470" spans="1:8" x14ac:dyDescent="0.2">
      <c r="A470" t="s">
        <v>454</v>
      </c>
      <c r="B470" t="s">
        <v>23</v>
      </c>
      <c r="C470" s="2">
        <v>43382</v>
      </c>
      <c r="D470" t="s">
        <v>392</v>
      </c>
      <c r="E470">
        <v>1020981.87</v>
      </c>
      <c r="F470" t="s">
        <v>395</v>
      </c>
      <c r="G470" t="s">
        <v>394</v>
      </c>
      <c r="H470">
        <v>181005160116</v>
      </c>
    </row>
    <row r="471" spans="1:8" x14ac:dyDescent="0.2">
      <c r="A471" t="s">
        <v>454</v>
      </c>
      <c r="B471" t="s">
        <v>23</v>
      </c>
      <c r="C471" s="2">
        <v>43385</v>
      </c>
      <c r="D471" t="s">
        <v>392</v>
      </c>
      <c r="E471">
        <v>42010.42</v>
      </c>
      <c r="F471" t="s">
        <v>395</v>
      </c>
      <c r="G471" t="s">
        <v>394</v>
      </c>
      <c r="H471">
        <v>181005160116</v>
      </c>
    </row>
    <row r="472" spans="1:8" x14ac:dyDescent="0.2">
      <c r="A472" t="s">
        <v>454</v>
      </c>
      <c r="B472" t="s">
        <v>23</v>
      </c>
      <c r="C472" s="2">
        <v>43378</v>
      </c>
      <c r="D472" t="s">
        <v>392</v>
      </c>
      <c r="E472">
        <v>-11953.49</v>
      </c>
      <c r="F472" t="s">
        <v>396</v>
      </c>
      <c r="G472" t="s">
        <v>394</v>
      </c>
      <c r="H472">
        <v>181005160116</v>
      </c>
    </row>
    <row r="473" spans="1:8" x14ac:dyDescent="0.2">
      <c r="A473" t="s">
        <v>454</v>
      </c>
      <c r="B473" t="s">
        <v>23</v>
      </c>
      <c r="C473" s="2">
        <v>43382</v>
      </c>
      <c r="D473" t="s">
        <v>392</v>
      </c>
      <c r="E473">
        <v>-3680.75</v>
      </c>
      <c r="F473" t="s">
        <v>396</v>
      </c>
      <c r="G473" t="s">
        <v>394</v>
      </c>
      <c r="H473">
        <v>181005160116</v>
      </c>
    </row>
    <row r="474" spans="1:8" x14ac:dyDescent="0.2">
      <c r="A474" t="s">
        <v>455</v>
      </c>
      <c r="B474" t="s">
        <v>23</v>
      </c>
      <c r="C474" s="2">
        <v>43378</v>
      </c>
      <c r="D474" t="s">
        <v>392</v>
      </c>
      <c r="E474">
        <v>1683500</v>
      </c>
      <c r="F474" t="s">
        <v>393</v>
      </c>
      <c r="G474" t="s">
        <v>394</v>
      </c>
      <c r="H474">
        <v>181005160116</v>
      </c>
    </row>
    <row r="475" spans="1:8" x14ac:dyDescent="0.2">
      <c r="A475" t="s">
        <v>455</v>
      </c>
      <c r="B475" t="s">
        <v>23</v>
      </c>
      <c r="C475" s="2">
        <v>43381</v>
      </c>
      <c r="D475" t="s">
        <v>392</v>
      </c>
      <c r="E475">
        <v>1424550</v>
      </c>
      <c r="F475" t="s">
        <v>393</v>
      </c>
      <c r="G475" t="s">
        <v>394</v>
      </c>
      <c r="H475">
        <v>181005160116</v>
      </c>
    </row>
    <row r="476" spans="1:8" x14ac:dyDescent="0.2">
      <c r="A476" t="s">
        <v>455</v>
      </c>
      <c r="B476" t="s">
        <v>23</v>
      </c>
      <c r="C476" s="2">
        <v>43378</v>
      </c>
      <c r="D476" t="s">
        <v>392</v>
      </c>
      <c r="E476">
        <v>2820500</v>
      </c>
      <c r="F476" t="s">
        <v>423</v>
      </c>
      <c r="G476" t="s">
        <v>394</v>
      </c>
      <c r="H476">
        <v>181005160116</v>
      </c>
    </row>
    <row r="477" spans="1:8" x14ac:dyDescent="0.2">
      <c r="A477" t="s">
        <v>455</v>
      </c>
      <c r="B477" t="s">
        <v>23</v>
      </c>
      <c r="C477" s="2">
        <v>43381</v>
      </c>
      <c r="D477" t="s">
        <v>392</v>
      </c>
      <c r="E477">
        <v>2148500</v>
      </c>
      <c r="F477" t="s">
        <v>423</v>
      </c>
      <c r="G477" t="s">
        <v>394</v>
      </c>
      <c r="H477">
        <v>181005160116</v>
      </c>
    </row>
    <row r="478" spans="1:8" x14ac:dyDescent="0.2">
      <c r="A478" t="s">
        <v>455</v>
      </c>
      <c r="B478" t="s">
        <v>23</v>
      </c>
      <c r="C478" s="2">
        <v>43378</v>
      </c>
      <c r="D478" t="s">
        <v>392</v>
      </c>
      <c r="E478">
        <v>500498.3</v>
      </c>
      <c r="F478" t="s">
        <v>395</v>
      </c>
      <c r="G478" t="s">
        <v>394</v>
      </c>
      <c r="H478">
        <v>181005160116</v>
      </c>
    </row>
    <row r="479" spans="1:8" x14ac:dyDescent="0.2">
      <c r="A479" t="s">
        <v>455</v>
      </c>
      <c r="B479" t="s">
        <v>23</v>
      </c>
      <c r="C479" s="2">
        <v>43381</v>
      </c>
      <c r="D479" t="s">
        <v>392</v>
      </c>
      <c r="E479">
        <v>588141.51</v>
      </c>
      <c r="F479" t="s">
        <v>395</v>
      </c>
      <c r="G479" t="s">
        <v>394</v>
      </c>
      <c r="H479">
        <v>181005160116</v>
      </c>
    </row>
    <row r="480" spans="1:8" x14ac:dyDescent="0.2">
      <c r="A480" t="s">
        <v>455</v>
      </c>
      <c r="B480" t="s">
        <v>23</v>
      </c>
      <c r="C480" s="2">
        <v>43382</v>
      </c>
      <c r="D480" t="s">
        <v>392</v>
      </c>
      <c r="E480">
        <v>377801.75</v>
      </c>
      <c r="F480" t="s">
        <v>395</v>
      </c>
      <c r="G480" t="s">
        <v>394</v>
      </c>
      <c r="H480">
        <v>181005160116</v>
      </c>
    </row>
    <row r="481" spans="1:8" x14ac:dyDescent="0.2">
      <c r="A481" t="s">
        <v>455</v>
      </c>
      <c r="B481" t="s">
        <v>23</v>
      </c>
      <c r="C481" s="2">
        <v>43384</v>
      </c>
      <c r="D481" t="s">
        <v>392</v>
      </c>
      <c r="E481">
        <v>10000</v>
      </c>
      <c r="F481" t="s">
        <v>395</v>
      </c>
      <c r="G481" t="s">
        <v>394</v>
      </c>
      <c r="H481">
        <v>181005160116</v>
      </c>
    </row>
    <row r="482" spans="1:8" x14ac:dyDescent="0.2">
      <c r="A482" t="s">
        <v>455</v>
      </c>
      <c r="B482" t="s">
        <v>23</v>
      </c>
      <c r="C482" s="2">
        <v>43378</v>
      </c>
      <c r="D482" t="s">
        <v>392</v>
      </c>
      <c r="E482">
        <v>-433842.3</v>
      </c>
      <c r="F482" t="s">
        <v>396</v>
      </c>
      <c r="G482" t="s">
        <v>394</v>
      </c>
      <c r="H482">
        <v>181005160116</v>
      </c>
    </row>
    <row r="483" spans="1:8" x14ac:dyDescent="0.2">
      <c r="A483" t="s">
        <v>455</v>
      </c>
      <c r="B483" t="s">
        <v>23</v>
      </c>
      <c r="C483" s="2">
        <v>43381</v>
      </c>
      <c r="D483" t="s">
        <v>392</v>
      </c>
      <c r="E483">
        <v>-44212.32</v>
      </c>
      <c r="F483" t="s">
        <v>396</v>
      </c>
      <c r="G483" t="s">
        <v>394</v>
      </c>
      <c r="H483">
        <v>181005160116</v>
      </c>
    </row>
    <row r="484" spans="1:8" x14ac:dyDescent="0.2">
      <c r="A484" t="s">
        <v>455</v>
      </c>
      <c r="B484" t="s">
        <v>23</v>
      </c>
      <c r="C484" s="2">
        <v>43382</v>
      </c>
      <c r="D484" t="s">
        <v>392</v>
      </c>
      <c r="E484">
        <v>-920457.21</v>
      </c>
      <c r="F484" t="s">
        <v>396</v>
      </c>
      <c r="G484" t="s">
        <v>394</v>
      </c>
      <c r="H484">
        <v>181005160116</v>
      </c>
    </row>
    <row r="485" spans="1:8" x14ac:dyDescent="0.2">
      <c r="A485" t="s">
        <v>455</v>
      </c>
      <c r="B485" t="s">
        <v>23</v>
      </c>
      <c r="C485" s="2">
        <v>43378</v>
      </c>
      <c r="D485" t="s">
        <v>392</v>
      </c>
      <c r="E485">
        <v>-410791.45</v>
      </c>
      <c r="F485" t="s">
        <v>397</v>
      </c>
      <c r="G485" t="s">
        <v>394</v>
      </c>
      <c r="H485">
        <v>181005160116</v>
      </c>
    </row>
    <row r="486" spans="1:8" x14ac:dyDescent="0.2">
      <c r="A486" t="s">
        <v>455</v>
      </c>
      <c r="B486" t="s">
        <v>23</v>
      </c>
      <c r="C486" s="2">
        <v>43381</v>
      </c>
      <c r="D486" t="s">
        <v>392</v>
      </c>
      <c r="E486">
        <v>-5939196.6200000001</v>
      </c>
      <c r="F486" t="s">
        <v>397</v>
      </c>
      <c r="G486" t="s">
        <v>394</v>
      </c>
      <c r="H486">
        <v>181005160116</v>
      </c>
    </row>
    <row r="487" spans="1:8" x14ac:dyDescent="0.2">
      <c r="A487" t="s">
        <v>455</v>
      </c>
      <c r="B487" t="s">
        <v>23</v>
      </c>
      <c r="C487" s="2">
        <v>43382</v>
      </c>
      <c r="D487" t="s">
        <v>392</v>
      </c>
      <c r="E487">
        <v>-528792.1</v>
      </c>
      <c r="F487" t="s">
        <v>397</v>
      </c>
      <c r="G487" t="s">
        <v>394</v>
      </c>
      <c r="H487">
        <v>181005160116</v>
      </c>
    </row>
    <row r="488" spans="1:8" x14ac:dyDescent="0.2">
      <c r="A488" t="s">
        <v>456</v>
      </c>
      <c r="B488" t="s">
        <v>23</v>
      </c>
      <c r="C488" s="2">
        <v>43378</v>
      </c>
      <c r="D488" t="s">
        <v>392</v>
      </c>
      <c r="E488">
        <v>620497.62</v>
      </c>
      <c r="F488" t="s">
        <v>393</v>
      </c>
      <c r="G488" t="s">
        <v>394</v>
      </c>
      <c r="H488">
        <v>181005160116</v>
      </c>
    </row>
    <row r="489" spans="1:8" x14ac:dyDescent="0.2">
      <c r="A489" t="s">
        <v>456</v>
      </c>
      <c r="B489" t="s">
        <v>23</v>
      </c>
      <c r="C489" s="2">
        <v>43381</v>
      </c>
      <c r="D489" t="s">
        <v>392</v>
      </c>
      <c r="E489">
        <v>85000</v>
      </c>
      <c r="F489" t="s">
        <v>393</v>
      </c>
      <c r="G489" t="s">
        <v>394</v>
      </c>
      <c r="H489">
        <v>181005160116</v>
      </c>
    </row>
    <row r="490" spans="1:8" x14ac:dyDescent="0.2">
      <c r="A490" t="s">
        <v>456</v>
      </c>
      <c r="B490" t="s">
        <v>23</v>
      </c>
      <c r="C490" s="2">
        <v>43378</v>
      </c>
      <c r="D490" t="s">
        <v>392</v>
      </c>
      <c r="E490">
        <v>1790000</v>
      </c>
      <c r="F490" t="s">
        <v>395</v>
      </c>
      <c r="G490" t="s">
        <v>394</v>
      </c>
      <c r="H490">
        <v>181005160116</v>
      </c>
    </row>
    <row r="491" spans="1:8" x14ac:dyDescent="0.2">
      <c r="A491" t="s">
        <v>456</v>
      </c>
      <c r="B491" t="s">
        <v>23</v>
      </c>
      <c r="C491" s="2">
        <v>43381</v>
      </c>
      <c r="D491" t="s">
        <v>392</v>
      </c>
      <c r="E491">
        <v>2413000</v>
      </c>
      <c r="F491" t="s">
        <v>395</v>
      </c>
      <c r="G491" t="s">
        <v>394</v>
      </c>
      <c r="H491">
        <v>181005160116</v>
      </c>
    </row>
    <row r="492" spans="1:8" x14ac:dyDescent="0.2">
      <c r="A492" t="s">
        <v>456</v>
      </c>
      <c r="B492" t="s">
        <v>23</v>
      </c>
      <c r="C492" s="2">
        <v>43384</v>
      </c>
      <c r="D492" t="s">
        <v>392</v>
      </c>
      <c r="E492">
        <v>500000</v>
      </c>
      <c r="F492" t="s">
        <v>395</v>
      </c>
      <c r="G492" t="s">
        <v>394</v>
      </c>
      <c r="H492">
        <v>181005160116</v>
      </c>
    </row>
    <row r="493" spans="1:8" x14ac:dyDescent="0.2">
      <c r="A493" t="s">
        <v>456</v>
      </c>
      <c r="B493" t="s">
        <v>23</v>
      </c>
      <c r="C493" s="2">
        <v>43378</v>
      </c>
      <c r="D493" t="s">
        <v>392</v>
      </c>
      <c r="E493">
        <v>-1142185.6599999999</v>
      </c>
      <c r="F493" t="s">
        <v>396</v>
      </c>
      <c r="G493" t="s">
        <v>394</v>
      </c>
      <c r="H493">
        <v>181005160116</v>
      </c>
    </row>
    <row r="494" spans="1:8" x14ac:dyDescent="0.2">
      <c r="A494" t="s">
        <v>456</v>
      </c>
      <c r="B494" t="s">
        <v>23</v>
      </c>
      <c r="C494" s="2">
        <v>43381</v>
      </c>
      <c r="D494" t="s">
        <v>392</v>
      </c>
      <c r="E494">
        <v>-137442.76999999999</v>
      </c>
      <c r="F494" t="s">
        <v>396</v>
      </c>
      <c r="G494" t="s">
        <v>394</v>
      </c>
      <c r="H494">
        <v>181005160116</v>
      </c>
    </row>
    <row r="495" spans="1:8" x14ac:dyDescent="0.2">
      <c r="A495" t="s">
        <v>456</v>
      </c>
      <c r="B495" t="s">
        <v>23</v>
      </c>
      <c r="C495" s="2">
        <v>43382</v>
      </c>
      <c r="D495" t="s">
        <v>392</v>
      </c>
      <c r="E495">
        <v>-90784.54</v>
      </c>
      <c r="F495" t="s">
        <v>396</v>
      </c>
      <c r="G495" t="s">
        <v>394</v>
      </c>
      <c r="H495">
        <v>181005160116</v>
      </c>
    </row>
    <row r="496" spans="1:8" x14ac:dyDescent="0.2">
      <c r="A496" t="s">
        <v>456</v>
      </c>
      <c r="B496" t="s">
        <v>23</v>
      </c>
      <c r="C496" s="2">
        <v>43378</v>
      </c>
      <c r="D496" t="s">
        <v>392</v>
      </c>
      <c r="E496">
        <v>-510993.47</v>
      </c>
      <c r="F496" t="s">
        <v>397</v>
      </c>
      <c r="G496" t="s">
        <v>394</v>
      </c>
      <c r="H496">
        <v>181005160116</v>
      </c>
    </row>
    <row r="497" spans="1:8" x14ac:dyDescent="0.2">
      <c r="A497" t="s">
        <v>456</v>
      </c>
      <c r="B497" t="s">
        <v>23</v>
      </c>
      <c r="C497" s="2">
        <v>43381</v>
      </c>
      <c r="D497" t="s">
        <v>392</v>
      </c>
      <c r="E497">
        <v>-2047504.81</v>
      </c>
      <c r="F497" t="s">
        <v>397</v>
      </c>
      <c r="G497" t="s">
        <v>394</v>
      </c>
      <c r="H497">
        <v>181005160116</v>
      </c>
    </row>
    <row r="498" spans="1:8" x14ac:dyDescent="0.2">
      <c r="A498" t="s">
        <v>456</v>
      </c>
      <c r="B498" t="s">
        <v>23</v>
      </c>
      <c r="C498" s="2">
        <v>43382</v>
      </c>
      <c r="D498" t="s">
        <v>392</v>
      </c>
      <c r="E498">
        <v>-999.99</v>
      </c>
      <c r="F498" t="s">
        <v>397</v>
      </c>
      <c r="G498" t="s">
        <v>394</v>
      </c>
      <c r="H498">
        <v>181005160116</v>
      </c>
    </row>
    <row r="499" spans="1:8" x14ac:dyDescent="0.2">
      <c r="A499" t="s">
        <v>457</v>
      </c>
      <c r="B499" t="s">
        <v>23</v>
      </c>
      <c r="C499" s="2">
        <v>43378</v>
      </c>
      <c r="D499" t="s">
        <v>392</v>
      </c>
      <c r="E499">
        <v>1000</v>
      </c>
      <c r="F499" t="s">
        <v>393</v>
      </c>
      <c r="G499" t="s">
        <v>394</v>
      </c>
      <c r="H499">
        <v>181005160116</v>
      </c>
    </row>
    <row r="500" spans="1:8" x14ac:dyDescent="0.2">
      <c r="A500" t="s">
        <v>457</v>
      </c>
      <c r="B500" t="s">
        <v>23</v>
      </c>
      <c r="C500" s="2">
        <v>43381</v>
      </c>
      <c r="D500" t="s">
        <v>392</v>
      </c>
      <c r="E500">
        <v>1000</v>
      </c>
      <c r="F500" t="s">
        <v>393</v>
      </c>
      <c r="G500" t="s">
        <v>394</v>
      </c>
      <c r="H500">
        <v>181005160116</v>
      </c>
    </row>
    <row r="501" spans="1:8" x14ac:dyDescent="0.2">
      <c r="A501" t="s">
        <v>458</v>
      </c>
      <c r="B501" t="s">
        <v>23</v>
      </c>
      <c r="C501" s="2">
        <v>43378</v>
      </c>
      <c r="D501" t="s">
        <v>392</v>
      </c>
      <c r="E501">
        <v>918117.3</v>
      </c>
      <c r="F501" t="s">
        <v>393</v>
      </c>
      <c r="G501" t="s">
        <v>394</v>
      </c>
      <c r="H501">
        <v>181005160116</v>
      </c>
    </row>
    <row r="502" spans="1:8" x14ac:dyDescent="0.2">
      <c r="A502" t="s">
        <v>458</v>
      </c>
      <c r="B502" t="s">
        <v>23</v>
      </c>
      <c r="C502" s="2">
        <v>43381</v>
      </c>
      <c r="D502" t="s">
        <v>392</v>
      </c>
      <c r="E502">
        <v>499410.31</v>
      </c>
      <c r="F502" t="s">
        <v>393</v>
      </c>
      <c r="G502" t="s">
        <v>394</v>
      </c>
      <c r="H502">
        <v>181005160116</v>
      </c>
    </row>
    <row r="503" spans="1:8" x14ac:dyDescent="0.2">
      <c r="A503" t="s">
        <v>458</v>
      </c>
      <c r="B503" t="s">
        <v>23</v>
      </c>
      <c r="C503" s="2">
        <v>43378</v>
      </c>
      <c r="D503" t="s">
        <v>392</v>
      </c>
      <c r="E503">
        <v>220915.04</v>
      </c>
      <c r="F503" t="s">
        <v>395</v>
      </c>
      <c r="G503" t="s">
        <v>394</v>
      </c>
      <c r="H503">
        <v>181005160116</v>
      </c>
    </row>
    <row r="504" spans="1:8" x14ac:dyDescent="0.2">
      <c r="A504" t="s">
        <v>458</v>
      </c>
      <c r="B504" t="s">
        <v>23</v>
      </c>
      <c r="C504" s="2">
        <v>43381</v>
      </c>
      <c r="D504" t="s">
        <v>392</v>
      </c>
      <c r="E504">
        <v>754000</v>
      </c>
      <c r="F504" t="s">
        <v>395</v>
      </c>
      <c r="G504" t="s">
        <v>394</v>
      </c>
      <c r="H504">
        <v>181005160116</v>
      </c>
    </row>
    <row r="505" spans="1:8" x14ac:dyDescent="0.2">
      <c r="A505" t="s">
        <v>458</v>
      </c>
      <c r="B505" t="s">
        <v>23</v>
      </c>
      <c r="C505" s="2">
        <v>43382</v>
      </c>
      <c r="D505" t="s">
        <v>392</v>
      </c>
      <c r="E505">
        <v>4816.66</v>
      </c>
      <c r="F505" t="s">
        <v>395</v>
      </c>
      <c r="G505" t="s">
        <v>394</v>
      </c>
      <c r="H505">
        <v>181005160116</v>
      </c>
    </row>
    <row r="506" spans="1:8" x14ac:dyDescent="0.2">
      <c r="A506" t="s">
        <v>458</v>
      </c>
      <c r="B506" t="s">
        <v>23</v>
      </c>
      <c r="C506" s="2">
        <v>43378</v>
      </c>
      <c r="D506" t="s">
        <v>392</v>
      </c>
      <c r="E506">
        <v>-58269.75</v>
      </c>
      <c r="F506" t="s">
        <v>396</v>
      </c>
      <c r="G506" t="s">
        <v>394</v>
      </c>
      <c r="H506">
        <v>181005160116</v>
      </c>
    </row>
    <row r="507" spans="1:8" x14ac:dyDescent="0.2">
      <c r="A507" t="s">
        <v>458</v>
      </c>
      <c r="B507" t="s">
        <v>23</v>
      </c>
      <c r="C507" s="2">
        <v>43381</v>
      </c>
      <c r="D507" t="s">
        <v>392</v>
      </c>
      <c r="E507">
        <v>-1700384.94</v>
      </c>
      <c r="F507" t="s">
        <v>396</v>
      </c>
      <c r="G507" t="s">
        <v>394</v>
      </c>
      <c r="H507">
        <v>181005160116</v>
      </c>
    </row>
    <row r="508" spans="1:8" x14ac:dyDescent="0.2">
      <c r="A508" t="s">
        <v>458</v>
      </c>
      <c r="B508" t="s">
        <v>23</v>
      </c>
      <c r="C508" s="2">
        <v>43382</v>
      </c>
      <c r="D508" t="s">
        <v>392</v>
      </c>
      <c r="E508">
        <v>-278303.75</v>
      </c>
      <c r="F508" t="s">
        <v>396</v>
      </c>
      <c r="G508" t="s">
        <v>394</v>
      </c>
      <c r="H508">
        <v>181005160116</v>
      </c>
    </row>
    <row r="509" spans="1:8" x14ac:dyDescent="0.2">
      <c r="A509" t="s">
        <v>458</v>
      </c>
      <c r="B509" t="s">
        <v>23</v>
      </c>
      <c r="C509" s="2">
        <v>43378</v>
      </c>
      <c r="D509" t="s">
        <v>392</v>
      </c>
      <c r="E509">
        <v>-4949.1400000000003</v>
      </c>
      <c r="F509" t="s">
        <v>397</v>
      </c>
      <c r="G509" t="s">
        <v>394</v>
      </c>
      <c r="H509">
        <v>181005160116</v>
      </c>
    </row>
    <row r="510" spans="1:8" x14ac:dyDescent="0.2">
      <c r="A510" t="s">
        <v>458</v>
      </c>
      <c r="B510" t="s">
        <v>23</v>
      </c>
      <c r="C510" s="2">
        <v>43381</v>
      </c>
      <c r="D510" t="s">
        <v>392</v>
      </c>
      <c r="E510">
        <v>-16266.29</v>
      </c>
      <c r="F510" t="s">
        <v>397</v>
      </c>
      <c r="G510" t="s">
        <v>394</v>
      </c>
      <c r="H510">
        <v>181005160116</v>
      </c>
    </row>
    <row r="511" spans="1:8" x14ac:dyDescent="0.2">
      <c r="A511" t="s">
        <v>458</v>
      </c>
      <c r="B511" t="s">
        <v>23</v>
      </c>
      <c r="C511" s="2">
        <v>43382</v>
      </c>
      <c r="D511" t="s">
        <v>392</v>
      </c>
      <c r="E511">
        <v>-1005816.98</v>
      </c>
      <c r="F511" t="s">
        <v>397</v>
      </c>
      <c r="G511" t="s">
        <v>394</v>
      </c>
      <c r="H511">
        <v>181005160116</v>
      </c>
    </row>
    <row r="512" spans="1:8" x14ac:dyDescent="0.2">
      <c r="A512" t="s">
        <v>459</v>
      </c>
      <c r="B512" t="s">
        <v>23</v>
      </c>
      <c r="C512" s="2">
        <v>43378</v>
      </c>
      <c r="D512" t="s">
        <v>392</v>
      </c>
      <c r="E512">
        <v>469710.32</v>
      </c>
      <c r="F512" t="s">
        <v>393</v>
      </c>
      <c r="G512" t="s">
        <v>394</v>
      </c>
      <c r="H512">
        <v>181005160116</v>
      </c>
    </row>
    <row r="513" spans="1:8" x14ac:dyDescent="0.2">
      <c r="A513" t="s">
        <v>459</v>
      </c>
      <c r="B513" t="s">
        <v>23</v>
      </c>
      <c r="C513" s="2">
        <v>43381</v>
      </c>
      <c r="D513" t="s">
        <v>392</v>
      </c>
      <c r="E513">
        <v>6453276.3300000001</v>
      </c>
      <c r="F513" t="s">
        <v>393</v>
      </c>
      <c r="G513" t="s">
        <v>394</v>
      </c>
      <c r="H513">
        <v>181005160116</v>
      </c>
    </row>
    <row r="514" spans="1:8" x14ac:dyDescent="0.2">
      <c r="A514" t="s">
        <v>459</v>
      </c>
      <c r="B514" t="s">
        <v>23</v>
      </c>
      <c r="C514" s="2">
        <v>43378</v>
      </c>
      <c r="D514" t="s">
        <v>392</v>
      </c>
      <c r="E514">
        <v>2446228.0499999998</v>
      </c>
      <c r="F514" t="s">
        <v>395</v>
      </c>
      <c r="G514" t="s">
        <v>394</v>
      </c>
      <c r="H514">
        <v>181005160116</v>
      </c>
    </row>
    <row r="515" spans="1:8" x14ac:dyDescent="0.2">
      <c r="A515" t="s">
        <v>459</v>
      </c>
      <c r="B515" t="s">
        <v>23</v>
      </c>
      <c r="C515" s="2">
        <v>43381</v>
      </c>
      <c r="D515" t="s">
        <v>392</v>
      </c>
      <c r="E515">
        <v>379208.55</v>
      </c>
      <c r="F515" t="s">
        <v>395</v>
      </c>
      <c r="G515" t="s">
        <v>394</v>
      </c>
      <c r="H515">
        <v>181005160116</v>
      </c>
    </row>
    <row r="516" spans="1:8" x14ac:dyDescent="0.2">
      <c r="A516" t="s">
        <v>459</v>
      </c>
      <c r="B516" t="s">
        <v>23</v>
      </c>
      <c r="C516" s="2">
        <v>43382</v>
      </c>
      <c r="D516" t="s">
        <v>392</v>
      </c>
      <c r="E516">
        <v>8890.8799999999992</v>
      </c>
      <c r="F516" t="s">
        <v>395</v>
      </c>
      <c r="G516" t="s">
        <v>394</v>
      </c>
      <c r="H516">
        <v>181005160116</v>
      </c>
    </row>
    <row r="517" spans="1:8" x14ac:dyDescent="0.2">
      <c r="A517" t="s">
        <v>459</v>
      </c>
      <c r="B517" t="s">
        <v>23</v>
      </c>
      <c r="C517" s="2">
        <v>43383</v>
      </c>
      <c r="D517" t="s">
        <v>392</v>
      </c>
      <c r="E517">
        <v>151971.63</v>
      </c>
      <c r="F517" t="s">
        <v>395</v>
      </c>
      <c r="G517" t="s">
        <v>394</v>
      </c>
      <c r="H517">
        <v>181005160116</v>
      </c>
    </row>
    <row r="518" spans="1:8" x14ac:dyDescent="0.2">
      <c r="A518" t="s">
        <v>459</v>
      </c>
      <c r="B518" t="s">
        <v>23</v>
      </c>
      <c r="C518" s="2">
        <v>43384</v>
      </c>
      <c r="D518" t="s">
        <v>392</v>
      </c>
      <c r="E518">
        <v>1010968.44</v>
      </c>
      <c r="F518" t="s">
        <v>395</v>
      </c>
      <c r="G518" t="s">
        <v>394</v>
      </c>
      <c r="H518">
        <v>181005160116</v>
      </c>
    </row>
    <row r="519" spans="1:8" x14ac:dyDescent="0.2">
      <c r="A519" t="s">
        <v>459</v>
      </c>
      <c r="B519" t="s">
        <v>23</v>
      </c>
      <c r="C519" s="2">
        <v>43385</v>
      </c>
      <c r="D519" t="s">
        <v>392</v>
      </c>
      <c r="E519">
        <v>19523.2</v>
      </c>
      <c r="F519" t="s">
        <v>395</v>
      </c>
      <c r="G519" t="s">
        <v>394</v>
      </c>
      <c r="H519">
        <v>181005160116</v>
      </c>
    </row>
    <row r="520" spans="1:8" x14ac:dyDescent="0.2">
      <c r="A520" t="s">
        <v>459</v>
      </c>
      <c r="B520" t="s">
        <v>23</v>
      </c>
      <c r="C520" s="2">
        <v>43378</v>
      </c>
      <c r="D520" t="s">
        <v>392</v>
      </c>
      <c r="E520">
        <v>-5385618.6900000004</v>
      </c>
      <c r="F520" t="s">
        <v>396</v>
      </c>
      <c r="G520" t="s">
        <v>394</v>
      </c>
      <c r="H520">
        <v>181005160116</v>
      </c>
    </row>
    <row r="521" spans="1:8" x14ac:dyDescent="0.2">
      <c r="A521" t="s">
        <v>459</v>
      </c>
      <c r="B521" t="s">
        <v>23</v>
      </c>
      <c r="C521" s="2">
        <v>43382</v>
      </c>
      <c r="D521" t="s">
        <v>392</v>
      </c>
      <c r="E521">
        <v>-1727047.97</v>
      </c>
      <c r="F521" t="s">
        <v>396</v>
      </c>
      <c r="G521" t="s">
        <v>394</v>
      </c>
      <c r="H521">
        <v>181005160116</v>
      </c>
    </row>
    <row r="522" spans="1:8" x14ac:dyDescent="0.2">
      <c r="A522" t="s">
        <v>459</v>
      </c>
      <c r="B522" t="s">
        <v>23</v>
      </c>
      <c r="C522" s="2">
        <v>43383</v>
      </c>
      <c r="D522" t="s">
        <v>392</v>
      </c>
      <c r="E522">
        <v>-1926929.73</v>
      </c>
      <c r="F522" t="s">
        <v>396</v>
      </c>
      <c r="G522" t="s">
        <v>394</v>
      </c>
      <c r="H522">
        <v>181005160116</v>
      </c>
    </row>
    <row r="523" spans="1:8" x14ac:dyDescent="0.2">
      <c r="A523" t="s">
        <v>459</v>
      </c>
      <c r="B523" t="s">
        <v>23</v>
      </c>
      <c r="C523" s="2">
        <v>43384</v>
      </c>
      <c r="D523" t="s">
        <v>392</v>
      </c>
      <c r="E523">
        <v>-3993347.26</v>
      </c>
      <c r="F523" t="s">
        <v>396</v>
      </c>
      <c r="G523" t="s">
        <v>394</v>
      </c>
      <c r="H523">
        <v>181005160116</v>
      </c>
    </row>
    <row r="524" spans="1:8" x14ac:dyDescent="0.2">
      <c r="A524" t="s">
        <v>459</v>
      </c>
      <c r="B524" t="s">
        <v>23</v>
      </c>
      <c r="C524" s="2">
        <v>43378</v>
      </c>
      <c r="D524" t="s">
        <v>392</v>
      </c>
      <c r="E524">
        <v>-10982038.51</v>
      </c>
      <c r="F524" t="s">
        <v>397</v>
      </c>
      <c r="G524" t="s">
        <v>394</v>
      </c>
      <c r="H524">
        <v>181005160116</v>
      </c>
    </row>
    <row r="525" spans="1:8" x14ac:dyDescent="0.2">
      <c r="A525" t="s">
        <v>459</v>
      </c>
      <c r="B525" t="s">
        <v>23</v>
      </c>
      <c r="C525" s="2">
        <v>43382</v>
      </c>
      <c r="D525" t="s">
        <v>392</v>
      </c>
      <c r="E525">
        <v>-8200435.54</v>
      </c>
      <c r="F525" t="s">
        <v>397</v>
      </c>
      <c r="G525" t="s">
        <v>394</v>
      </c>
      <c r="H525">
        <v>181005160116</v>
      </c>
    </row>
    <row r="526" spans="1:8" x14ac:dyDescent="0.2">
      <c r="A526" t="s">
        <v>459</v>
      </c>
      <c r="B526" t="s">
        <v>23</v>
      </c>
      <c r="C526" s="2">
        <v>43383</v>
      </c>
      <c r="D526" t="s">
        <v>392</v>
      </c>
      <c r="E526">
        <v>-3017232.46</v>
      </c>
      <c r="F526" t="s">
        <v>397</v>
      </c>
      <c r="G526" t="s">
        <v>394</v>
      </c>
      <c r="H526">
        <v>181005160116</v>
      </c>
    </row>
    <row r="527" spans="1:8" x14ac:dyDescent="0.2">
      <c r="A527" t="s">
        <v>459</v>
      </c>
      <c r="B527" t="s">
        <v>23</v>
      </c>
      <c r="C527" s="2">
        <v>43384</v>
      </c>
      <c r="D527" t="s">
        <v>392</v>
      </c>
      <c r="E527">
        <v>-186220.91</v>
      </c>
      <c r="F527" t="s">
        <v>397</v>
      </c>
      <c r="G527" t="s">
        <v>394</v>
      </c>
      <c r="H527">
        <v>181005160116</v>
      </c>
    </row>
    <row r="528" spans="1:8" x14ac:dyDescent="0.2">
      <c r="A528" t="s">
        <v>460</v>
      </c>
      <c r="B528" t="s">
        <v>23</v>
      </c>
      <c r="C528" s="2">
        <v>43378</v>
      </c>
      <c r="D528" t="s">
        <v>392</v>
      </c>
      <c r="E528">
        <v>1273500</v>
      </c>
      <c r="F528" t="s">
        <v>393</v>
      </c>
      <c r="G528" t="s">
        <v>394</v>
      </c>
      <c r="H528">
        <v>181005160116</v>
      </c>
    </row>
    <row r="529" spans="1:8" x14ac:dyDescent="0.2">
      <c r="A529" t="s">
        <v>460</v>
      </c>
      <c r="B529" t="s">
        <v>23</v>
      </c>
      <c r="C529" s="2">
        <v>43381</v>
      </c>
      <c r="D529" t="s">
        <v>392</v>
      </c>
      <c r="E529">
        <v>1335900</v>
      </c>
      <c r="F529" t="s">
        <v>393</v>
      </c>
      <c r="G529" t="s">
        <v>394</v>
      </c>
      <c r="H529">
        <v>181005160116</v>
      </c>
    </row>
    <row r="530" spans="1:8" x14ac:dyDescent="0.2">
      <c r="A530" t="s">
        <v>460</v>
      </c>
      <c r="B530" t="s">
        <v>23</v>
      </c>
      <c r="C530" s="2">
        <v>43378</v>
      </c>
      <c r="D530" t="s">
        <v>392</v>
      </c>
      <c r="E530">
        <v>250058.39</v>
      </c>
      <c r="F530" t="s">
        <v>395</v>
      </c>
      <c r="G530" t="s">
        <v>394</v>
      </c>
      <c r="H530">
        <v>181005160116</v>
      </c>
    </row>
    <row r="531" spans="1:8" x14ac:dyDescent="0.2">
      <c r="A531" t="s">
        <v>460</v>
      </c>
      <c r="B531" t="s">
        <v>23</v>
      </c>
      <c r="C531" s="2">
        <v>43381</v>
      </c>
      <c r="D531" t="s">
        <v>392</v>
      </c>
      <c r="E531">
        <v>2442906.67</v>
      </c>
      <c r="F531" t="s">
        <v>395</v>
      </c>
      <c r="G531" t="s">
        <v>394</v>
      </c>
      <c r="H531">
        <v>181005160116</v>
      </c>
    </row>
    <row r="532" spans="1:8" x14ac:dyDescent="0.2">
      <c r="A532" t="s">
        <v>460</v>
      </c>
      <c r="B532" t="s">
        <v>23</v>
      </c>
      <c r="C532" s="2">
        <v>43382</v>
      </c>
      <c r="D532" t="s">
        <v>392</v>
      </c>
      <c r="E532">
        <v>24849.42</v>
      </c>
      <c r="F532" t="s">
        <v>395</v>
      </c>
      <c r="G532" t="s">
        <v>394</v>
      </c>
      <c r="H532">
        <v>181005160116</v>
      </c>
    </row>
    <row r="533" spans="1:8" x14ac:dyDescent="0.2">
      <c r="A533" t="s">
        <v>460</v>
      </c>
      <c r="B533" t="s">
        <v>23</v>
      </c>
      <c r="C533" s="2">
        <v>43383</v>
      </c>
      <c r="D533" t="s">
        <v>392</v>
      </c>
      <c r="E533">
        <v>511251.21</v>
      </c>
      <c r="F533" t="s">
        <v>395</v>
      </c>
      <c r="G533" t="s">
        <v>394</v>
      </c>
      <c r="H533">
        <v>181005160116</v>
      </c>
    </row>
    <row r="534" spans="1:8" x14ac:dyDescent="0.2">
      <c r="A534" t="s">
        <v>460</v>
      </c>
      <c r="B534" t="s">
        <v>23</v>
      </c>
      <c r="C534" s="2">
        <v>43384</v>
      </c>
      <c r="D534" t="s">
        <v>392</v>
      </c>
      <c r="E534">
        <v>1079326.1000000001</v>
      </c>
      <c r="F534" t="s">
        <v>395</v>
      </c>
      <c r="G534" t="s">
        <v>394</v>
      </c>
      <c r="H534">
        <v>181005160116</v>
      </c>
    </row>
    <row r="535" spans="1:8" x14ac:dyDescent="0.2">
      <c r="A535" t="s">
        <v>460</v>
      </c>
      <c r="B535" t="s">
        <v>23</v>
      </c>
      <c r="C535" s="2">
        <v>43378</v>
      </c>
      <c r="D535" t="s">
        <v>392</v>
      </c>
      <c r="E535">
        <v>-1779951.84</v>
      </c>
      <c r="F535" t="s">
        <v>396</v>
      </c>
      <c r="G535" t="s">
        <v>394</v>
      </c>
      <c r="H535">
        <v>181005160116</v>
      </c>
    </row>
    <row r="536" spans="1:8" x14ac:dyDescent="0.2">
      <c r="A536" t="s">
        <v>460</v>
      </c>
      <c r="B536" t="s">
        <v>23</v>
      </c>
      <c r="C536" s="2">
        <v>43382</v>
      </c>
      <c r="D536" t="s">
        <v>392</v>
      </c>
      <c r="E536">
        <v>-1783860.24</v>
      </c>
      <c r="F536" t="s">
        <v>396</v>
      </c>
      <c r="G536" t="s">
        <v>394</v>
      </c>
      <c r="H536">
        <v>181005160116</v>
      </c>
    </row>
    <row r="537" spans="1:8" x14ac:dyDescent="0.2">
      <c r="A537" t="s">
        <v>460</v>
      </c>
      <c r="B537" t="s">
        <v>23</v>
      </c>
      <c r="C537" s="2">
        <v>43383</v>
      </c>
      <c r="D537" t="s">
        <v>392</v>
      </c>
      <c r="E537">
        <v>-1198510.74</v>
      </c>
      <c r="F537" t="s">
        <v>396</v>
      </c>
      <c r="G537" t="s">
        <v>394</v>
      </c>
      <c r="H537">
        <v>181005160116</v>
      </c>
    </row>
    <row r="538" spans="1:8" x14ac:dyDescent="0.2">
      <c r="A538" t="s">
        <v>460</v>
      </c>
      <c r="B538" t="s">
        <v>23</v>
      </c>
      <c r="C538" s="2">
        <v>43384</v>
      </c>
      <c r="D538" t="s">
        <v>392</v>
      </c>
      <c r="E538">
        <v>-489671.28</v>
      </c>
      <c r="F538" t="s">
        <v>396</v>
      </c>
      <c r="G538" t="s">
        <v>394</v>
      </c>
      <c r="H538">
        <v>181005160116</v>
      </c>
    </row>
    <row r="539" spans="1:8" x14ac:dyDescent="0.2">
      <c r="A539" t="s">
        <v>460</v>
      </c>
      <c r="B539" t="s">
        <v>23</v>
      </c>
      <c r="C539" s="2">
        <v>43378</v>
      </c>
      <c r="D539" t="s">
        <v>392</v>
      </c>
      <c r="E539">
        <v>-3998675.29</v>
      </c>
      <c r="F539" t="s">
        <v>397</v>
      </c>
      <c r="G539" t="s">
        <v>394</v>
      </c>
      <c r="H539">
        <v>181005160116</v>
      </c>
    </row>
    <row r="540" spans="1:8" x14ac:dyDescent="0.2">
      <c r="A540" t="s">
        <v>460</v>
      </c>
      <c r="B540" t="s">
        <v>23</v>
      </c>
      <c r="C540" s="2">
        <v>43382</v>
      </c>
      <c r="D540" t="s">
        <v>392</v>
      </c>
      <c r="E540">
        <v>-513746.44</v>
      </c>
      <c r="F540" t="s">
        <v>397</v>
      </c>
      <c r="G540" t="s">
        <v>394</v>
      </c>
      <c r="H540">
        <v>181005160116</v>
      </c>
    </row>
    <row r="541" spans="1:8" x14ac:dyDescent="0.2">
      <c r="A541" t="s">
        <v>460</v>
      </c>
      <c r="B541" t="s">
        <v>23</v>
      </c>
      <c r="C541" s="2">
        <v>43383</v>
      </c>
      <c r="D541" t="s">
        <v>392</v>
      </c>
      <c r="E541">
        <v>-27833.66</v>
      </c>
      <c r="F541" t="s">
        <v>397</v>
      </c>
      <c r="G541" t="s">
        <v>394</v>
      </c>
      <c r="H541">
        <v>181005160116</v>
      </c>
    </row>
    <row r="542" spans="1:8" x14ac:dyDescent="0.2">
      <c r="A542" t="s">
        <v>460</v>
      </c>
      <c r="B542" t="s">
        <v>23</v>
      </c>
      <c r="C542" s="2">
        <v>43384</v>
      </c>
      <c r="D542" t="s">
        <v>392</v>
      </c>
      <c r="E542">
        <v>-1433299.52</v>
      </c>
      <c r="F542" t="s">
        <v>397</v>
      </c>
      <c r="G542" t="s">
        <v>394</v>
      </c>
      <c r="H542">
        <v>181005160116</v>
      </c>
    </row>
    <row r="543" spans="1:8" x14ac:dyDescent="0.2">
      <c r="A543" t="s">
        <v>461</v>
      </c>
      <c r="B543" t="s">
        <v>23</v>
      </c>
      <c r="C543" s="2">
        <v>43381</v>
      </c>
      <c r="D543" t="s">
        <v>392</v>
      </c>
      <c r="E543">
        <v>3500000</v>
      </c>
      <c r="F543" t="s">
        <v>393</v>
      </c>
      <c r="G543" t="s">
        <v>394</v>
      </c>
      <c r="H543">
        <v>181005160116</v>
      </c>
    </row>
    <row r="544" spans="1:8" x14ac:dyDescent="0.2">
      <c r="A544" t="s">
        <v>461</v>
      </c>
      <c r="B544" t="s">
        <v>23</v>
      </c>
      <c r="C544" s="2">
        <v>43381</v>
      </c>
      <c r="D544" t="s">
        <v>392</v>
      </c>
      <c r="E544">
        <v>300000</v>
      </c>
      <c r="F544" t="s">
        <v>395</v>
      </c>
      <c r="G544" t="s">
        <v>394</v>
      </c>
      <c r="H544">
        <v>181005160116</v>
      </c>
    </row>
    <row r="545" spans="1:8" x14ac:dyDescent="0.2">
      <c r="A545" t="s">
        <v>461</v>
      </c>
      <c r="B545" t="s">
        <v>23</v>
      </c>
      <c r="C545" s="2">
        <v>43378</v>
      </c>
      <c r="D545" t="s">
        <v>392</v>
      </c>
      <c r="E545">
        <v>-487740.12</v>
      </c>
      <c r="F545" t="s">
        <v>396</v>
      </c>
      <c r="G545" t="s">
        <v>394</v>
      </c>
      <c r="H545">
        <v>181005160116</v>
      </c>
    </row>
    <row r="546" spans="1:8" x14ac:dyDescent="0.2">
      <c r="A546" t="s">
        <v>461</v>
      </c>
      <c r="B546" t="s">
        <v>23</v>
      </c>
      <c r="C546" s="2">
        <v>43382</v>
      </c>
      <c r="D546" t="s">
        <v>392</v>
      </c>
      <c r="E546">
        <v>-503959.85</v>
      </c>
      <c r="F546" t="s">
        <v>396</v>
      </c>
      <c r="G546" t="s">
        <v>394</v>
      </c>
      <c r="H546">
        <v>181005160116</v>
      </c>
    </row>
    <row r="547" spans="1:8" x14ac:dyDescent="0.2">
      <c r="A547" t="s">
        <v>461</v>
      </c>
      <c r="B547" t="s">
        <v>23</v>
      </c>
      <c r="C547" s="2">
        <v>43385</v>
      </c>
      <c r="D547" t="s">
        <v>392</v>
      </c>
      <c r="E547">
        <v>-1189030.8899999999</v>
      </c>
      <c r="F547" t="s">
        <v>396</v>
      </c>
      <c r="G547" t="s">
        <v>394</v>
      </c>
      <c r="H547">
        <v>181005160116</v>
      </c>
    </row>
    <row r="548" spans="1:8" x14ac:dyDescent="0.2">
      <c r="A548" t="s">
        <v>461</v>
      </c>
      <c r="B548" t="s">
        <v>23</v>
      </c>
      <c r="C548" s="2">
        <v>43378</v>
      </c>
      <c r="D548" t="s">
        <v>392</v>
      </c>
      <c r="E548">
        <v>-15296362.539999999</v>
      </c>
      <c r="F548" t="s">
        <v>397</v>
      </c>
      <c r="G548" t="s">
        <v>394</v>
      </c>
      <c r="H548">
        <v>181005160116</v>
      </c>
    </row>
    <row r="549" spans="1:8" x14ac:dyDescent="0.2">
      <c r="A549" t="s">
        <v>461</v>
      </c>
      <c r="B549" t="s">
        <v>23</v>
      </c>
      <c r="C549" s="2">
        <v>43382</v>
      </c>
      <c r="D549" t="s">
        <v>392</v>
      </c>
      <c r="E549">
        <v>-455053.61</v>
      </c>
      <c r="F549" t="s">
        <v>397</v>
      </c>
      <c r="G549" t="s">
        <v>394</v>
      </c>
      <c r="H549">
        <v>181005160116</v>
      </c>
    </row>
    <row r="550" spans="1:8" x14ac:dyDescent="0.2">
      <c r="A550" t="s">
        <v>461</v>
      </c>
      <c r="B550" t="s">
        <v>23</v>
      </c>
      <c r="C550" s="2">
        <v>43384</v>
      </c>
      <c r="D550" t="s">
        <v>392</v>
      </c>
      <c r="E550">
        <v>-1339546.45</v>
      </c>
      <c r="F550" t="s">
        <v>397</v>
      </c>
      <c r="G550" t="s">
        <v>394</v>
      </c>
      <c r="H550">
        <v>181005160116</v>
      </c>
    </row>
    <row r="551" spans="1:8" x14ac:dyDescent="0.2">
      <c r="A551" t="s">
        <v>461</v>
      </c>
      <c r="B551" t="s">
        <v>23</v>
      </c>
      <c r="C551" s="2">
        <v>43385</v>
      </c>
      <c r="D551" t="s">
        <v>392</v>
      </c>
      <c r="E551">
        <v>-200000</v>
      </c>
      <c r="F551" t="s">
        <v>397</v>
      </c>
      <c r="G551" t="s">
        <v>394</v>
      </c>
      <c r="H551">
        <v>181005160116</v>
      </c>
    </row>
    <row r="552" spans="1:8" x14ac:dyDescent="0.2">
      <c r="A552" t="s">
        <v>462</v>
      </c>
      <c r="B552" t="s">
        <v>23</v>
      </c>
      <c r="C552" s="2">
        <v>43381</v>
      </c>
      <c r="D552" t="s">
        <v>392</v>
      </c>
      <c r="E552">
        <v>430000</v>
      </c>
      <c r="F552" t="s">
        <v>393</v>
      </c>
      <c r="G552" t="s">
        <v>394</v>
      </c>
      <c r="H552">
        <v>181005160116</v>
      </c>
    </row>
    <row r="553" spans="1:8" x14ac:dyDescent="0.2">
      <c r="A553" t="s">
        <v>462</v>
      </c>
      <c r="B553" t="s">
        <v>23</v>
      </c>
      <c r="C553" s="2">
        <v>43378</v>
      </c>
      <c r="D553" t="s">
        <v>392</v>
      </c>
      <c r="E553">
        <v>-1180400.99</v>
      </c>
      <c r="F553" t="s">
        <v>396</v>
      </c>
      <c r="G553" t="s">
        <v>394</v>
      </c>
      <c r="H553">
        <v>181005160116</v>
      </c>
    </row>
    <row r="554" spans="1:8" x14ac:dyDescent="0.2">
      <c r="A554" t="s">
        <v>462</v>
      </c>
      <c r="B554" t="s">
        <v>23</v>
      </c>
      <c r="C554" s="2">
        <v>43382</v>
      </c>
      <c r="D554" t="s">
        <v>392</v>
      </c>
      <c r="E554">
        <v>-10004.629999999999</v>
      </c>
      <c r="F554" t="s">
        <v>396</v>
      </c>
      <c r="G554" t="s">
        <v>394</v>
      </c>
      <c r="H554">
        <v>181005160116</v>
      </c>
    </row>
    <row r="555" spans="1:8" x14ac:dyDescent="0.2">
      <c r="A555" t="s">
        <v>462</v>
      </c>
      <c r="B555" t="s">
        <v>23</v>
      </c>
      <c r="C555" s="2">
        <v>43385</v>
      </c>
      <c r="D555" t="s">
        <v>392</v>
      </c>
      <c r="E555">
        <v>-44693.87</v>
      </c>
      <c r="F555" t="s">
        <v>396</v>
      </c>
      <c r="G555" t="s">
        <v>394</v>
      </c>
      <c r="H555">
        <v>181005160116</v>
      </c>
    </row>
    <row r="556" spans="1:8" x14ac:dyDescent="0.2">
      <c r="A556" t="s">
        <v>463</v>
      </c>
      <c r="B556" t="s">
        <v>23</v>
      </c>
      <c r="C556" s="2">
        <v>43378</v>
      </c>
      <c r="D556" t="s">
        <v>392</v>
      </c>
      <c r="E556">
        <v>138102.63</v>
      </c>
      <c r="F556" t="s">
        <v>393</v>
      </c>
      <c r="G556" t="s">
        <v>394</v>
      </c>
      <c r="H556">
        <v>181005160116</v>
      </c>
    </row>
    <row r="557" spans="1:8" x14ac:dyDescent="0.2">
      <c r="A557" t="s">
        <v>463</v>
      </c>
      <c r="B557" t="s">
        <v>23</v>
      </c>
      <c r="C557" s="2">
        <v>43381</v>
      </c>
      <c r="D557" t="s">
        <v>392</v>
      </c>
      <c r="E557">
        <v>596000</v>
      </c>
      <c r="F557" t="s">
        <v>393</v>
      </c>
      <c r="G557" t="s">
        <v>394</v>
      </c>
      <c r="H557">
        <v>181005160116</v>
      </c>
    </row>
    <row r="558" spans="1:8" x14ac:dyDescent="0.2">
      <c r="A558" t="s">
        <v>463</v>
      </c>
      <c r="B558" t="s">
        <v>23</v>
      </c>
      <c r="C558" s="2">
        <v>43378</v>
      </c>
      <c r="D558" t="s">
        <v>392</v>
      </c>
      <c r="E558">
        <v>1048485.83</v>
      </c>
      <c r="F558" t="s">
        <v>395</v>
      </c>
      <c r="G558" t="s">
        <v>394</v>
      </c>
      <c r="H558">
        <v>181005160116</v>
      </c>
    </row>
    <row r="559" spans="1:8" x14ac:dyDescent="0.2">
      <c r="A559" t="s">
        <v>463</v>
      </c>
      <c r="B559" t="s">
        <v>23</v>
      </c>
      <c r="C559" s="2">
        <v>43381</v>
      </c>
      <c r="D559" t="s">
        <v>392</v>
      </c>
      <c r="E559">
        <v>2550000</v>
      </c>
      <c r="F559" t="s">
        <v>395</v>
      </c>
      <c r="G559" t="s">
        <v>394</v>
      </c>
      <c r="H559">
        <v>181005160116</v>
      </c>
    </row>
    <row r="560" spans="1:8" x14ac:dyDescent="0.2">
      <c r="A560" t="s">
        <v>463</v>
      </c>
      <c r="B560" t="s">
        <v>23</v>
      </c>
      <c r="C560" s="2">
        <v>43383</v>
      </c>
      <c r="D560" t="s">
        <v>392</v>
      </c>
      <c r="E560">
        <v>3000000</v>
      </c>
      <c r="F560" t="s">
        <v>395</v>
      </c>
      <c r="G560" t="s">
        <v>394</v>
      </c>
      <c r="H560">
        <v>181005160116</v>
      </c>
    </row>
    <row r="561" spans="1:8" x14ac:dyDescent="0.2">
      <c r="A561" t="s">
        <v>463</v>
      </c>
      <c r="B561" t="s">
        <v>23</v>
      </c>
      <c r="C561" s="2">
        <v>43384</v>
      </c>
      <c r="D561" t="s">
        <v>392</v>
      </c>
      <c r="E561">
        <v>500000</v>
      </c>
      <c r="F561" t="s">
        <v>395</v>
      </c>
      <c r="G561" t="s">
        <v>394</v>
      </c>
      <c r="H561">
        <v>181005160116</v>
      </c>
    </row>
    <row r="562" spans="1:8" x14ac:dyDescent="0.2">
      <c r="A562" t="s">
        <v>463</v>
      </c>
      <c r="B562" t="s">
        <v>23</v>
      </c>
      <c r="C562" s="2">
        <v>43378</v>
      </c>
      <c r="D562" t="s">
        <v>392</v>
      </c>
      <c r="E562">
        <v>-393301.24</v>
      </c>
      <c r="F562" t="s">
        <v>396</v>
      </c>
      <c r="G562" t="s">
        <v>394</v>
      </c>
      <c r="H562">
        <v>181005160116</v>
      </c>
    </row>
    <row r="563" spans="1:8" x14ac:dyDescent="0.2">
      <c r="A563" t="s">
        <v>463</v>
      </c>
      <c r="B563" t="s">
        <v>23</v>
      </c>
      <c r="C563" s="2">
        <v>43381</v>
      </c>
      <c r="D563" t="s">
        <v>392</v>
      </c>
      <c r="E563">
        <v>-6293710.71</v>
      </c>
      <c r="F563" t="s">
        <v>396</v>
      </c>
      <c r="G563" t="s">
        <v>394</v>
      </c>
      <c r="H563">
        <v>181005160116</v>
      </c>
    </row>
    <row r="564" spans="1:8" x14ac:dyDescent="0.2">
      <c r="A564" t="s">
        <v>463</v>
      </c>
      <c r="B564" t="s">
        <v>23</v>
      </c>
      <c r="C564" s="2">
        <v>43382</v>
      </c>
      <c r="D564" t="s">
        <v>392</v>
      </c>
      <c r="E564">
        <v>-70650.02</v>
      </c>
      <c r="F564" t="s">
        <v>396</v>
      </c>
      <c r="G564" t="s">
        <v>394</v>
      </c>
      <c r="H564">
        <v>181005160116</v>
      </c>
    </row>
    <row r="565" spans="1:8" x14ac:dyDescent="0.2">
      <c r="A565" t="s">
        <v>463</v>
      </c>
      <c r="B565" t="s">
        <v>23</v>
      </c>
      <c r="C565" s="2">
        <v>43384</v>
      </c>
      <c r="D565" t="s">
        <v>392</v>
      </c>
      <c r="E565">
        <v>-1997643.97</v>
      </c>
      <c r="F565" t="s">
        <v>396</v>
      </c>
      <c r="G565" t="s">
        <v>394</v>
      </c>
      <c r="H565">
        <v>181005160116</v>
      </c>
    </row>
    <row r="566" spans="1:8" x14ac:dyDescent="0.2">
      <c r="A566" t="s">
        <v>463</v>
      </c>
      <c r="B566" t="s">
        <v>23</v>
      </c>
      <c r="C566" s="2">
        <v>43378</v>
      </c>
      <c r="D566" t="s">
        <v>392</v>
      </c>
      <c r="E566">
        <v>-199801.38</v>
      </c>
      <c r="F566" t="s">
        <v>397</v>
      </c>
      <c r="G566" t="s">
        <v>394</v>
      </c>
      <c r="H566">
        <v>181005160116</v>
      </c>
    </row>
    <row r="567" spans="1:8" x14ac:dyDescent="0.2">
      <c r="A567" t="s">
        <v>463</v>
      </c>
      <c r="B567" t="s">
        <v>23</v>
      </c>
      <c r="C567" s="2">
        <v>43381</v>
      </c>
      <c r="D567" t="s">
        <v>392</v>
      </c>
      <c r="E567">
        <v>-1593262.39</v>
      </c>
      <c r="F567" t="s">
        <v>397</v>
      </c>
      <c r="G567" t="s">
        <v>394</v>
      </c>
      <c r="H567">
        <v>181005160116</v>
      </c>
    </row>
    <row r="568" spans="1:8" x14ac:dyDescent="0.2">
      <c r="A568" t="s">
        <v>463</v>
      </c>
      <c r="B568" t="s">
        <v>23</v>
      </c>
      <c r="C568" s="2">
        <v>43382</v>
      </c>
      <c r="D568" t="s">
        <v>392</v>
      </c>
      <c r="E568">
        <v>-1005928.3</v>
      </c>
      <c r="F568" t="s">
        <v>397</v>
      </c>
      <c r="G568" t="s">
        <v>394</v>
      </c>
      <c r="H568">
        <v>181005160116</v>
      </c>
    </row>
    <row r="569" spans="1:8" x14ac:dyDescent="0.2">
      <c r="A569" t="s">
        <v>464</v>
      </c>
      <c r="B569" t="s">
        <v>23</v>
      </c>
      <c r="C569" s="2">
        <v>43378</v>
      </c>
      <c r="D569" t="s">
        <v>392</v>
      </c>
      <c r="E569">
        <v>12186500.289999999</v>
      </c>
      <c r="F569" t="s">
        <v>393</v>
      </c>
      <c r="G569" t="s">
        <v>394</v>
      </c>
      <c r="H569">
        <v>181005160116</v>
      </c>
    </row>
    <row r="570" spans="1:8" x14ac:dyDescent="0.2">
      <c r="A570" t="s">
        <v>464</v>
      </c>
      <c r="B570" t="s">
        <v>23</v>
      </c>
      <c r="C570" s="2">
        <v>43381</v>
      </c>
      <c r="D570" t="s">
        <v>392</v>
      </c>
      <c r="E570">
        <v>3036989.58</v>
      </c>
      <c r="F570" t="s">
        <v>393</v>
      </c>
      <c r="G570" t="s">
        <v>394</v>
      </c>
      <c r="H570">
        <v>181005160116</v>
      </c>
    </row>
    <row r="571" spans="1:8" x14ac:dyDescent="0.2">
      <c r="A571" t="s">
        <v>464</v>
      </c>
      <c r="B571" t="s">
        <v>23</v>
      </c>
      <c r="C571" s="2">
        <v>43381</v>
      </c>
      <c r="D571" t="s">
        <v>392</v>
      </c>
      <c r="E571">
        <v>1000000</v>
      </c>
      <c r="F571" t="s">
        <v>423</v>
      </c>
      <c r="G571" t="s">
        <v>394</v>
      </c>
      <c r="H571">
        <v>181005160116</v>
      </c>
    </row>
    <row r="572" spans="1:8" x14ac:dyDescent="0.2">
      <c r="A572" t="s">
        <v>464</v>
      </c>
      <c r="B572" t="s">
        <v>23</v>
      </c>
      <c r="C572" s="2">
        <v>43378</v>
      </c>
      <c r="D572" t="s">
        <v>392</v>
      </c>
      <c r="E572">
        <v>29082954.41</v>
      </c>
      <c r="F572" t="s">
        <v>395</v>
      </c>
      <c r="G572" t="s">
        <v>394</v>
      </c>
      <c r="H572">
        <v>181005160116</v>
      </c>
    </row>
    <row r="573" spans="1:8" x14ac:dyDescent="0.2">
      <c r="A573" t="s">
        <v>464</v>
      </c>
      <c r="B573" t="s">
        <v>23</v>
      </c>
      <c r="C573" s="2">
        <v>43381</v>
      </c>
      <c r="D573" t="s">
        <v>392</v>
      </c>
      <c r="E573">
        <v>22339297.760000002</v>
      </c>
      <c r="F573" t="s">
        <v>395</v>
      </c>
      <c r="G573" t="s">
        <v>394</v>
      </c>
      <c r="H573">
        <v>181005160116</v>
      </c>
    </row>
    <row r="574" spans="1:8" x14ac:dyDescent="0.2">
      <c r="A574" t="s">
        <v>464</v>
      </c>
      <c r="B574" t="s">
        <v>23</v>
      </c>
      <c r="C574" s="2">
        <v>43383</v>
      </c>
      <c r="D574" t="s">
        <v>392</v>
      </c>
      <c r="E574">
        <v>1945325.02</v>
      </c>
      <c r="F574" t="s">
        <v>395</v>
      </c>
      <c r="G574" t="s">
        <v>394</v>
      </c>
      <c r="H574">
        <v>181005160116</v>
      </c>
    </row>
    <row r="575" spans="1:8" x14ac:dyDescent="0.2">
      <c r="A575" t="s">
        <v>464</v>
      </c>
      <c r="B575" t="s">
        <v>23</v>
      </c>
      <c r="C575" s="2">
        <v>43384</v>
      </c>
      <c r="D575" t="s">
        <v>392</v>
      </c>
      <c r="E575">
        <v>8000000</v>
      </c>
      <c r="F575" t="s">
        <v>395</v>
      </c>
      <c r="G575" t="s">
        <v>394</v>
      </c>
      <c r="H575">
        <v>181005160116</v>
      </c>
    </row>
    <row r="576" spans="1:8" x14ac:dyDescent="0.2">
      <c r="A576" t="s">
        <v>464</v>
      </c>
      <c r="B576" t="s">
        <v>23</v>
      </c>
      <c r="C576" s="2">
        <v>43385</v>
      </c>
      <c r="D576" t="s">
        <v>392</v>
      </c>
      <c r="E576">
        <v>200000</v>
      </c>
      <c r="F576" t="s">
        <v>395</v>
      </c>
      <c r="G576" t="s">
        <v>394</v>
      </c>
      <c r="H576">
        <v>181005160116</v>
      </c>
    </row>
    <row r="577" spans="1:8" x14ac:dyDescent="0.2">
      <c r="A577" t="s">
        <v>465</v>
      </c>
      <c r="B577" t="s">
        <v>23</v>
      </c>
      <c r="C577" s="2">
        <v>43378</v>
      </c>
      <c r="D577" t="s">
        <v>392</v>
      </c>
      <c r="E577">
        <v>5052.91</v>
      </c>
      <c r="F577" t="s">
        <v>393</v>
      </c>
      <c r="G577" t="s">
        <v>394</v>
      </c>
      <c r="H577">
        <v>181005160116</v>
      </c>
    </row>
    <row r="578" spans="1:8" x14ac:dyDescent="0.2">
      <c r="A578" t="s">
        <v>465</v>
      </c>
      <c r="B578" t="s">
        <v>23</v>
      </c>
      <c r="C578" s="2">
        <v>43381</v>
      </c>
      <c r="D578" t="s">
        <v>392</v>
      </c>
      <c r="E578">
        <v>4000</v>
      </c>
      <c r="F578" t="s">
        <v>393</v>
      </c>
      <c r="G578" t="s">
        <v>394</v>
      </c>
      <c r="H578">
        <v>181005160116</v>
      </c>
    </row>
    <row r="579" spans="1:8" x14ac:dyDescent="0.2">
      <c r="A579" t="s">
        <v>466</v>
      </c>
      <c r="B579" t="s">
        <v>23</v>
      </c>
      <c r="C579" s="2">
        <v>43378</v>
      </c>
      <c r="D579" t="s">
        <v>392</v>
      </c>
      <c r="E579">
        <v>16000</v>
      </c>
      <c r="F579" t="s">
        <v>393</v>
      </c>
      <c r="G579" t="s">
        <v>394</v>
      </c>
      <c r="H579">
        <v>181005160116</v>
      </c>
    </row>
    <row r="580" spans="1:8" x14ac:dyDescent="0.2">
      <c r="A580" t="s">
        <v>466</v>
      </c>
      <c r="B580" t="s">
        <v>23</v>
      </c>
      <c r="C580" s="2">
        <v>43381</v>
      </c>
      <c r="D580" t="s">
        <v>392</v>
      </c>
      <c r="E580">
        <v>1525000</v>
      </c>
      <c r="F580" t="s">
        <v>393</v>
      </c>
      <c r="G580" t="s">
        <v>394</v>
      </c>
      <c r="H580">
        <v>181005160116</v>
      </c>
    </row>
    <row r="581" spans="1:8" x14ac:dyDescent="0.2">
      <c r="A581" t="s">
        <v>466</v>
      </c>
      <c r="B581" t="s">
        <v>23</v>
      </c>
      <c r="C581" s="2">
        <v>43378</v>
      </c>
      <c r="D581" t="s">
        <v>392</v>
      </c>
      <c r="E581">
        <v>200000</v>
      </c>
      <c r="F581" t="s">
        <v>395</v>
      </c>
      <c r="G581" t="s">
        <v>394</v>
      </c>
      <c r="H581">
        <v>181005160116</v>
      </c>
    </row>
    <row r="582" spans="1:8" x14ac:dyDescent="0.2">
      <c r="A582" t="s">
        <v>466</v>
      </c>
      <c r="B582" t="s">
        <v>23</v>
      </c>
      <c r="C582" s="2">
        <v>43378</v>
      </c>
      <c r="D582" t="s">
        <v>392</v>
      </c>
      <c r="E582">
        <v>-50114.11</v>
      </c>
      <c r="F582" t="s">
        <v>396</v>
      </c>
      <c r="G582" t="s">
        <v>394</v>
      </c>
      <c r="H582">
        <v>181005160116</v>
      </c>
    </row>
    <row r="583" spans="1:8" x14ac:dyDescent="0.2">
      <c r="A583" t="s">
        <v>466</v>
      </c>
      <c r="B583" t="s">
        <v>23</v>
      </c>
      <c r="C583" s="2">
        <v>43382</v>
      </c>
      <c r="D583" t="s">
        <v>392</v>
      </c>
      <c r="E583">
        <v>-1343868.8</v>
      </c>
      <c r="F583" t="s">
        <v>396</v>
      </c>
      <c r="G583" t="s">
        <v>394</v>
      </c>
      <c r="H583">
        <v>181005160116</v>
      </c>
    </row>
    <row r="584" spans="1:8" x14ac:dyDescent="0.2">
      <c r="A584" t="s">
        <v>466</v>
      </c>
      <c r="B584" t="s">
        <v>23</v>
      </c>
      <c r="C584" s="2">
        <v>43383</v>
      </c>
      <c r="D584" t="s">
        <v>392</v>
      </c>
      <c r="E584">
        <v>-1766.66</v>
      </c>
      <c r="F584" t="s">
        <v>396</v>
      </c>
      <c r="G584" t="s">
        <v>394</v>
      </c>
      <c r="H584">
        <v>181005160116</v>
      </c>
    </row>
    <row r="585" spans="1:8" x14ac:dyDescent="0.2">
      <c r="A585" t="s">
        <v>466</v>
      </c>
      <c r="B585" t="s">
        <v>23</v>
      </c>
      <c r="C585" s="2">
        <v>43384</v>
      </c>
      <c r="D585" t="s">
        <v>392</v>
      </c>
      <c r="E585">
        <v>-194260.02</v>
      </c>
      <c r="F585" t="s">
        <v>396</v>
      </c>
      <c r="G585" t="s">
        <v>394</v>
      </c>
      <c r="H585">
        <v>181005160116</v>
      </c>
    </row>
    <row r="586" spans="1:8" x14ac:dyDescent="0.2">
      <c r="A586" t="s">
        <v>466</v>
      </c>
      <c r="B586" t="s">
        <v>23</v>
      </c>
      <c r="C586" s="2">
        <v>43378</v>
      </c>
      <c r="D586" t="s">
        <v>392</v>
      </c>
      <c r="E586">
        <v>-1240951.43</v>
      </c>
      <c r="F586" t="s">
        <v>397</v>
      </c>
      <c r="G586" t="s">
        <v>394</v>
      </c>
      <c r="H586">
        <v>181005160116</v>
      </c>
    </row>
    <row r="587" spans="1:8" x14ac:dyDescent="0.2">
      <c r="A587" t="s">
        <v>466</v>
      </c>
      <c r="B587" t="s">
        <v>23</v>
      </c>
      <c r="C587" s="2">
        <v>43382</v>
      </c>
      <c r="D587" t="s">
        <v>392</v>
      </c>
      <c r="E587">
        <v>-1558842.52</v>
      </c>
      <c r="F587" t="s">
        <v>397</v>
      </c>
      <c r="G587" t="s">
        <v>394</v>
      </c>
      <c r="H587">
        <v>181005160116</v>
      </c>
    </row>
    <row r="588" spans="1:8" x14ac:dyDescent="0.2">
      <c r="A588" t="s">
        <v>466</v>
      </c>
      <c r="B588" t="s">
        <v>23</v>
      </c>
      <c r="C588" s="2">
        <v>43383</v>
      </c>
      <c r="D588" t="s">
        <v>392</v>
      </c>
      <c r="E588">
        <v>-26830.42</v>
      </c>
      <c r="F588" t="s">
        <v>397</v>
      </c>
      <c r="G588" t="s">
        <v>394</v>
      </c>
      <c r="H588">
        <v>181005160116</v>
      </c>
    </row>
    <row r="589" spans="1:8" x14ac:dyDescent="0.2">
      <c r="A589" t="s">
        <v>466</v>
      </c>
      <c r="B589" t="s">
        <v>23</v>
      </c>
      <c r="C589" s="2">
        <v>43384</v>
      </c>
      <c r="D589" t="s">
        <v>392</v>
      </c>
      <c r="E589">
        <v>-1500000</v>
      </c>
      <c r="F589" t="s">
        <v>397</v>
      </c>
      <c r="G589" t="s">
        <v>394</v>
      </c>
      <c r="H589">
        <v>181005160116</v>
      </c>
    </row>
    <row r="590" spans="1:8" x14ac:dyDescent="0.2">
      <c r="A590" t="s">
        <v>467</v>
      </c>
      <c r="B590" t="s">
        <v>23</v>
      </c>
      <c r="C590" s="2">
        <v>43378</v>
      </c>
      <c r="D590" t="s">
        <v>392</v>
      </c>
      <c r="E590">
        <v>7563575</v>
      </c>
      <c r="F590" t="s">
        <v>393</v>
      </c>
      <c r="G590" t="s">
        <v>394</v>
      </c>
      <c r="H590">
        <v>181005160116</v>
      </c>
    </row>
    <row r="591" spans="1:8" x14ac:dyDescent="0.2">
      <c r="A591" t="s">
        <v>467</v>
      </c>
      <c r="B591" t="s">
        <v>23</v>
      </c>
      <c r="C591" s="2">
        <v>43381</v>
      </c>
      <c r="D591" t="s">
        <v>392</v>
      </c>
      <c r="E591">
        <v>44000</v>
      </c>
      <c r="F591" t="s">
        <v>393</v>
      </c>
      <c r="G591" t="s">
        <v>394</v>
      </c>
      <c r="H591">
        <v>181005160116</v>
      </c>
    </row>
    <row r="592" spans="1:8" x14ac:dyDescent="0.2">
      <c r="A592" t="s">
        <v>468</v>
      </c>
      <c r="B592" t="s">
        <v>23</v>
      </c>
      <c r="C592" s="2">
        <v>43378</v>
      </c>
      <c r="D592" t="s">
        <v>392</v>
      </c>
      <c r="E592">
        <v>898500</v>
      </c>
      <c r="F592" t="s">
        <v>393</v>
      </c>
      <c r="G592" t="s">
        <v>394</v>
      </c>
      <c r="H592">
        <v>181005160116</v>
      </c>
    </row>
    <row r="593" spans="1:8" x14ac:dyDescent="0.2">
      <c r="A593" t="s">
        <v>468</v>
      </c>
      <c r="B593" t="s">
        <v>23</v>
      </c>
      <c r="C593" s="2">
        <v>43381</v>
      </c>
      <c r="D593" t="s">
        <v>392</v>
      </c>
      <c r="E593">
        <v>656200</v>
      </c>
      <c r="F593" t="s">
        <v>393</v>
      </c>
      <c r="G593" t="s">
        <v>394</v>
      </c>
      <c r="H593">
        <v>181005160116</v>
      </c>
    </row>
    <row r="594" spans="1:8" x14ac:dyDescent="0.2">
      <c r="A594" t="s">
        <v>468</v>
      </c>
      <c r="B594" t="s">
        <v>23</v>
      </c>
      <c r="C594" s="2">
        <v>43378</v>
      </c>
      <c r="D594" t="s">
        <v>392</v>
      </c>
      <c r="E594">
        <v>1768000</v>
      </c>
      <c r="F594" t="s">
        <v>423</v>
      </c>
      <c r="G594" t="s">
        <v>394</v>
      </c>
      <c r="H594">
        <v>181005160116</v>
      </c>
    </row>
    <row r="595" spans="1:8" x14ac:dyDescent="0.2">
      <c r="A595" t="s">
        <v>468</v>
      </c>
      <c r="B595" t="s">
        <v>23</v>
      </c>
      <c r="C595" s="2">
        <v>43381</v>
      </c>
      <c r="D595" t="s">
        <v>392</v>
      </c>
      <c r="E595">
        <v>2428562</v>
      </c>
      <c r="F595" t="s">
        <v>423</v>
      </c>
      <c r="G595" t="s">
        <v>394</v>
      </c>
      <c r="H595">
        <v>181005160116</v>
      </c>
    </row>
    <row r="596" spans="1:8" x14ac:dyDescent="0.2">
      <c r="A596" t="s">
        <v>468</v>
      </c>
      <c r="B596" t="s">
        <v>23</v>
      </c>
      <c r="C596" s="2">
        <v>43378</v>
      </c>
      <c r="D596" t="s">
        <v>392</v>
      </c>
      <c r="E596">
        <v>9804978.8599999994</v>
      </c>
      <c r="F596" t="s">
        <v>395</v>
      </c>
      <c r="G596" t="s">
        <v>394</v>
      </c>
      <c r="H596">
        <v>181005160116</v>
      </c>
    </row>
    <row r="597" spans="1:8" x14ac:dyDescent="0.2">
      <c r="A597" t="s">
        <v>468</v>
      </c>
      <c r="B597" t="s">
        <v>23</v>
      </c>
      <c r="C597" s="2">
        <v>43381</v>
      </c>
      <c r="D597" t="s">
        <v>392</v>
      </c>
      <c r="E597">
        <v>22517225.850000001</v>
      </c>
      <c r="F597" t="s">
        <v>395</v>
      </c>
      <c r="G597" t="s">
        <v>394</v>
      </c>
      <c r="H597">
        <v>181005160116</v>
      </c>
    </row>
    <row r="598" spans="1:8" x14ac:dyDescent="0.2">
      <c r="A598" t="s">
        <v>468</v>
      </c>
      <c r="B598" t="s">
        <v>23</v>
      </c>
      <c r="C598" s="2">
        <v>43382</v>
      </c>
      <c r="D598" t="s">
        <v>392</v>
      </c>
      <c r="E598">
        <v>3364593.11</v>
      </c>
      <c r="F598" t="s">
        <v>395</v>
      </c>
      <c r="G598" t="s">
        <v>394</v>
      </c>
      <c r="H598">
        <v>181005160116</v>
      </c>
    </row>
    <row r="599" spans="1:8" x14ac:dyDescent="0.2">
      <c r="A599" t="s">
        <v>468</v>
      </c>
      <c r="B599" t="s">
        <v>23</v>
      </c>
      <c r="C599" s="2">
        <v>43383</v>
      </c>
      <c r="D599" t="s">
        <v>392</v>
      </c>
      <c r="E599">
        <v>380534.2</v>
      </c>
      <c r="F599" t="s">
        <v>395</v>
      </c>
      <c r="G599" t="s">
        <v>394</v>
      </c>
      <c r="H599">
        <v>181005160116</v>
      </c>
    </row>
    <row r="600" spans="1:8" x14ac:dyDescent="0.2">
      <c r="A600" t="s">
        <v>468</v>
      </c>
      <c r="B600" t="s">
        <v>23</v>
      </c>
      <c r="C600" s="2">
        <v>43384</v>
      </c>
      <c r="D600" t="s">
        <v>392</v>
      </c>
      <c r="E600">
        <v>200000</v>
      </c>
      <c r="F600" t="s">
        <v>395</v>
      </c>
      <c r="G600" t="s">
        <v>394</v>
      </c>
      <c r="H600">
        <v>181005160116</v>
      </c>
    </row>
    <row r="601" spans="1:8" x14ac:dyDescent="0.2">
      <c r="A601" t="s">
        <v>468</v>
      </c>
      <c r="B601" t="s">
        <v>23</v>
      </c>
      <c r="C601" s="2">
        <v>43378</v>
      </c>
      <c r="D601" t="s">
        <v>392</v>
      </c>
      <c r="E601">
        <v>-1780862.78</v>
      </c>
      <c r="F601" t="s">
        <v>396</v>
      </c>
      <c r="G601" t="s">
        <v>394</v>
      </c>
      <c r="H601">
        <v>181005160116</v>
      </c>
    </row>
    <row r="602" spans="1:8" x14ac:dyDescent="0.2">
      <c r="A602" t="s">
        <v>468</v>
      </c>
      <c r="B602" t="s">
        <v>23</v>
      </c>
      <c r="C602" s="2">
        <v>43381</v>
      </c>
      <c r="D602" t="s">
        <v>392</v>
      </c>
      <c r="E602">
        <v>-2052109.61</v>
      </c>
      <c r="F602" t="s">
        <v>396</v>
      </c>
      <c r="G602" t="s">
        <v>394</v>
      </c>
      <c r="H602">
        <v>181005160116</v>
      </c>
    </row>
    <row r="603" spans="1:8" x14ac:dyDescent="0.2">
      <c r="A603" t="s">
        <v>468</v>
      </c>
      <c r="B603" t="s">
        <v>23</v>
      </c>
      <c r="C603" s="2">
        <v>43378</v>
      </c>
      <c r="D603" t="s">
        <v>392</v>
      </c>
      <c r="E603">
        <v>-19293637.73</v>
      </c>
      <c r="F603" t="s">
        <v>397</v>
      </c>
      <c r="G603" t="s">
        <v>394</v>
      </c>
      <c r="H603">
        <v>181005160116</v>
      </c>
    </row>
    <row r="604" spans="1:8" x14ac:dyDescent="0.2">
      <c r="A604" t="s">
        <v>468</v>
      </c>
      <c r="B604" t="s">
        <v>23</v>
      </c>
      <c r="C604" s="2">
        <v>43381</v>
      </c>
      <c r="D604" t="s">
        <v>392</v>
      </c>
      <c r="E604">
        <v>-15699468.949999999</v>
      </c>
      <c r="F604" t="s">
        <v>397</v>
      </c>
      <c r="G604" t="s">
        <v>394</v>
      </c>
      <c r="H604">
        <v>181005160116</v>
      </c>
    </row>
    <row r="605" spans="1:8" x14ac:dyDescent="0.2">
      <c r="A605" t="s">
        <v>469</v>
      </c>
      <c r="B605" t="s">
        <v>23</v>
      </c>
      <c r="C605" s="2">
        <v>43378</v>
      </c>
      <c r="D605" t="s">
        <v>392</v>
      </c>
      <c r="E605">
        <v>1193000</v>
      </c>
      <c r="F605" t="s">
        <v>393</v>
      </c>
      <c r="G605" t="s">
        <v>394</v>
      </c>
      <c r="H605">
        <v>181005160116</v>
      </c>
    </row>
    <row r="606" spans="1:8" x14ac:dyDescent="0.2">
      <c r="A606" t="s">
        <v>469</v>
      </c>
      <c r="B606" t="s">
        <v>23</v>
      </c>
      <c r="C606" s="2">
        <v>43381</v>
      </c>
      <c r="D606" t="s">
        <v>392</v>
      </c>
      <c r="E606">
        <v>1259450</v>
      </c>
      <c r="F606" t="s">
        <v>393</v>
      </c>
      <c r="G606" t="s">
        <v>394</v>
      </c>
      <c r="H606">
        <v>181005160116</v>
      </c>
    </row>
    <row r="607" spans="1:8" x14ac:dyDescent="0.2">
      <c r="A607" t="s">
        <v>469</v>
      </c>
      <c r="B607" t="s">
        <v>23</v>
      </c>
      <c r="C607" s="2">
        <v>43378</v>
      </c>
      <c r="D607" t="s">
        <v>392</v>
      </c>
      <c r="E607">
        <v>566500</v>
      </c>
      <c r="F607" t="s">
        <v>423</v>
      </c>
      <c r="G607" t="s">
        <v>394</v>
      </c>
      <c r="H607">
        <v>181005160116</v>
      </c>
    </row>
    <row r="608" spans="1:8" x14ac:dyDescent="0.2">
      <c r="A608" t="s">
        <v>469</v>
      </c>
      <c r="B608" t="s">
        <v>23</v>
      </c>
      <c r="C608" s="2">
        <v>43381</v>
      </c>
      <c r="D608" t="s">
        <v>392</v>
      </c>
      <c r="E608">
        <v>1808500</v>
      </c>
      <c r="F608" t="s">
        <v>423</v>
      </c>
      <c r="G608" t="s">
        <v>394</v>
      </c>
      <c r="H608">
        <v>181005160116</v>
      </c>
    </row>
    <row r="609" spans="1:8" x14ac:dyDescent="0.2">
      <c r="A609" t="s">
        <v>469</v>
      </c>
      <c r="B609" t="s">
        <v>23</v>
      </c>
      <c r="C609" s="2">
        <v>43378</v>
      </c>
      <c r="D609" t="s">
        <v>392</v>
      </c>
      <c r="E609">
        <v>28945.5</v>
      </c>
      <c r="F609" t="s">
        <v>395</v>
      </c>
      <c r="G609" t="s">
        <v>394</v>
      </c>
      <c r="H609">
        <v>181005160116</v>
      </c>
    </row>
    <row r="610" spans="1:8" x14ac:dyDescent="0.2">
      <c r="A610" t="s">
        <v>469</v>
      </c>
      <c r="B610" t="s">
        <v>23</v>
      </c>
      <c r="C610" s="2">
        <v>43381</v>
      </c>
      <c r="D610" t="s">
        <v>392</v>
      </c>
      <c r="E610">
        <v>3974659.13</v>
      </c>
      <c r="F610" t="s">
        <v>395</v>
      </c>
      <c r="G610" t="s">
        <v>394</v>
      </c>
      <c r="H610">
        <v>181005160116</v>
      </c>
    </row>
    <row r="611" spans="1:8" x14ac:dyDescent="0.2">
      <c r="A611" t="s">
        <v>469</v>
      </c>
      <c r="B611" t="s">
        <v>23</v>
      </c>
      <c r="C611" s="2">
        <v>43382</v>
      </c>
      <c r="D611" t="s">
        <v>392</v>
      </c>
      <c r="E611">
        <v>822446.51</v>
      </c>
      <c r="F611" t="s">
        <v>395</v>
      </c>
      <c r="G611" t="s">
        <v>394</v>
      </c>
      <c r="H611">
        <v>181005160116</v>
      </c>
    </row>
    <row r="612" spans="1:8" x14ac:dyDescent="0.2">
      <c r="A612" t="s">
        <v>469</v>
      </c>
      <c r="B612" t="s">
        <v>23</v>
      </c>
      <c r="C612" s="2">
        <v>43383</v>
      </c>
      <c r="D612" t="s">
        <v>392</v>
      </c>
      <c r="E612">
        <v>136776</v>
      </c>
      <c r="F612" t="s">
        <v>395</v>
      </c>
      <c r="G612" t="s">
        <v>394</v>
      </c>
      <c r="H612">
        <v>181005160116</v>
      </c>
    </row>
    <row r="613" spans="1:8" x14ac:dyDescent="0.2">
      <c r="A613" t="s">
        <v>469</v>
      </c>
      <c r="B613" t="s">
        <v>23</v>
      </c>
      <c r="C613" s="2">
        <v>43384</v>
      </c>
      <c r="D613" t="s">
        <v>392</v>
      </c>
      <c r="E613">
        <v>317551.64</v>
      </c>
      <c r="F613" t="s">
        <v>395</v>
      </c>
      <c r="G613" t="s">
        <v>394</v>
      </c>
      <c r="H613">
        <v>181005160116</v>
      </c>
    </row>
    <row r="614" spans="1:8" x14ac:dyDescent="0.2">
      <c r="A614" t="s">
        <v>469</v>
      </c>
      <c r="B614" t="s">
        <v>23</v>
      </c>
      <c r="C614" s="2">
        <v>43378</v>
      </c>
      <c r="D614" t="s">
        <v>392</v>
      </c>
      <c r="E614">
        <v>-424835.47</v>
      </c>
      <c r="F614" t="s">
        <v>396</v>
      </c>
      <c r="G614" t="s">
        <v>394</v>
      </c>
      <c r="H614">
        <v>181005160116</v>
      </c>
    </row>
    <row r="615" spans="1:8" x14ac:dyDescent="0.2">
      <c r="A615" t="s">
        <v>469</v>
      </c>
      <c r="B615" t="s">
        <v>23</v>
      </c>
      <c r="C615" s="2">
        <v>43381</v>
      </c>
      <c r="D615" t="s">
        <v>392</v>
      </c>
      <c r="E615">
        <v>-678706.44</v>
      </c>
      <c r="F615" t="s">
        <v>396</v>
      </c>
      <c r="G615" t="s">
        <v>394</v>
      </c>
      <c r="H615">
        <v>181005160116</v>
      </c>
    </row>
    <row r="616" spans="1:8" x14ac:dyDescent="0.2">
      <c r="A616" t="s">
        <v>469</v>
      </c>
      <c r="B616" t="s">
        <v>23</v>
      </c>
      <c r="C616" s="2">
        <v>43378</v>
      </c>
      <c r="D616" t="s">
        <v>392</v>
      </c>
      <c r="E616">
        <v>-1832730.28</v>
      </c>
      <c r="F616" t="s">
        <v>397</v>
      </c>
      <c r="G616" t="s">
        <v>394</v>
      </c>
      <c r="H616">
        <v>181005160116</v>
      </c>
    </row>
    <row r="617" spans="1:8" x14ac:dyDescent="0.2">
      <c r="A617" t="s">
        <v>469</v>
      </c>
      <c r="B617" t="s">
        <v>23</v>
      </c>
      <c r="C617" s="2">
        <v>43381</v>
      </c>
      <c r="D617" t="s">
        <v>392</v>
      </c>
      <c r="E617">
        <v>-3823529.89</v>
      </c>
      <c r="F617" t="s">
        <v>397</v>
      </c>
      <c r="G617" t="s">
        <v>394</v>
      </c>
      <c r="H617">
        <v>181005160116</v>
      </c>
    </row>
    <row r="618" spans="1:8" x14ac:dyDescent="0.2">
      <c r="A618" t="s">
        <v>470</v>
      </c>
      <c r="B618" t="s">
        <v>23</v>
      </c>
      <c r="C618" s="2">
        <v>43378</v>
      </c>
      <c r="D618" t="s">
        <v>392</v>
      </c>
      <c r="E618">
        <v>197500</v>
      </c>
      <c r="F618" t="s">
        <v>393</v>
      </c>
      <c r="G618" t="s">
        <v>394</v>
      </c>
      <c r="H618">
        <v>181005160116</v>
      </c>
    </row>
    <row r="619" spans="1:8" x14ac:dyDescent="0.2">
      <c r="A619" t="s">
        <v>470</v>
      </c>
      <c r="B619" t="s">
        <v>23</v>
      </c>
      <c r="C619" s="2">
        <v>43381</v>
      </c>
      <c r="D619" t="s">
        <v>392</v>
      </c>
      <c r="E619">
        <v>499100</v>
      </c>
      <c r="F619" t="s">
        <v>393</v>
      </c>
      <c r="G619" t="s">
        <v>394</v>
      </c>
      <c r="H619">
        <v>181005160116</v>
      </c>
    </row>
    <row r="620" spans="1:8" x14ac:dyDescent="0.2">
      <c r="A620" t="s">
        <v>470</v>
      </c>
      <c r="B620" t="s">
        <v>23</v>
      </c>
      <c r="C620" s="2">
        <v>43378</v>
      </c>
      <c r="D620" t="s">
        <v>392</v>
      </c>
      <c r="E620">
        <v>1268500</v>
      </c>
      <c r="F620" t="s">
        <v>423</v>
      </c>
      <c r="G620" t="s">
        <v>394</v>
      </c>
      <c r="H620">
        <v>181005160116</v>
      </c>
    </row>
    <row r="621" spans="1:8" x14ac:dyDescent="0.2">
      <c r="A621" t="s">
        <v>470</v>
      </c>
      <c r="B621" t="s">
        <v>23</v>
      </c>
      <c r="C621" s="2">
        <v>43381</v>
      </c>
      <c r="D621" t="s">
        <v>392</v>
      </c>
      <c r="E621">
        <v>875500</v>
      </c>
      <c r="F621" t="s">
        <v>423</v>
      </c>
      <c r="G621" t="s">
        <v>394</v>
      </c>
      <c r="H621">
        <v>181005160116</v>
      </c>
    </row>
    <row r="622" spans="1:8" x14ac:dyDescent="0.2">
      <c r="A622" t="s">
        <v>470</v>
      </c>
      <c r="B622" t="s">
        <v>23</v>
      </c>
      <c r="C622" s="2">
        <v>43378</v>
      </c>
      <c r="D622" t="s">
        <v>392</v>
      </c>
      <c r="E622">
        <v>263815.81</v>
      </c>
      <c r="F622" t="s">
        <v>395</v>
      </c>
      <c r="G622" t="s">
        <v>394</v>
      </c>
      <c r="H622">
        <v>181005160116</v>
      </c>
    </row>
    <row r="623" spans="1:8" x14ac:dyDescent="0.2">
      <c r="A623" t="s">
        <v>470</v>
      </c>
      <c r="B623" t="s">
        <v>23</v>
      </c>
      <c r="C623" s="2">
        <v>43381</v>
      </c>
      <c r="D623" t="s">
        <v>392</v>
      </c>
      <c r="E623">
        <v>1602063.65</v>
      </c>
      <c r="F623" t="s">
        <v>395</v>
      </c>
      <c r="G623" t="s">
        <v>394</v>
      </c>
      <c r="H623">
        <v>181005160116</v>
      </c>
    </row>
    <row r="624" spans="1:8" x14ac:dyDescent="0.2">
      <c r="A624" t="s">
        <v>470</v>
      </c>
      <c r="B624" t="s">
        <v>23</v>
      </c>
      <c r="C624" s="2">
        <v>43382</v>
      </c>
      <c r="D624" t="s">
        <v>392</v>
      </c>
      <c r="E624">
        <v>1268391.67</v>
      </c>
      <c r="F624" t="s">
        <v>395</v>
      </c>
      <c r="G624" t="s">
        <v>394</v>
      </c>
      <c r="H624">
        <v>181005160116</v>
      </c>
    </row>
    <row r="625" spans="1:8" x14ac:dyDescent="0.2">
      <c r="A625" t="s">
        <v>470</v>
      </c>
      <c r="B625" t="s">
        <v>23</v>
      </c>
      <c r="C625" s="2">
        <v>43378</v>
      </c>
      <c r="D625" t="s">
        <v>392</v>
      </c>
      <c r="E625">
        <v>-1249676.8700000001</v>
      </c>
      <c r="F625" t="s">
        <v>396</v>
      </c>
      <c r="G625" t="s">
        <v>394</v>
      </c>
      <c r="H625">
        <v>181005160116</v>
      </c>
    </row>
    <row r="626" spans="1:8" x14ac:dyDescent="0.2">
      <c r="A626" t="s">
        <v>470</v>
      </c>
      <c r="B626" t="s">
        <v>23</v>
      </c>
      <c r="C626" s="2">
        <v>43381</v>
      </c>
      <c r="D626" t="s">
        <v>392</v>
      </c>
      <c r="E626">
        <v>-291362.02</v>
      </c>
      <c r="F626" t="s">
        <v>396</v>
      </c>
      <c r="G626" t="s">
        <v>394</v>
      </c>
      <c r="H626">
        <v>181005160116</v>
      </c>
    </row>
    <row r="627" spans="1:8" x14ac:dyDescent="0.2">
      <c r="A627" t="s">
        <v>470</v>
      </c>
      <c r="B627" t="s">
        <v>23</v>
      </c>
      <c r="C627" s="2">
        <v>43382</v>
      </c>
      <c r="D627" t="s">
        <v>392</v>
      </c>
      <c r="E627">
        <v>-1954722.79</v>
      </c>
      <c r="F627" t="s">
        <v>396</v>
      </c>
      <c r="G627" t="s">
        <v>394</v>
      </c>
      <c r="H627">
        <v>181005160116</v>
      </c>
    </row>
    <row r="628" spans="1:8" x14ac:dyDescent="0.2">
      <c r="A628" t="s">
        <v>470</v>
      </c>
      <c r="B628" t="s">
        <v>23</v>
      </c>
      <c r="C628" s="2">
        <v>43378</v>
      </c>
      <c r="D628" t="s">
        <v>392</v>
      </c>
      <c r="E628">
        <v>-20038.560000000001</v>
      </c>
      <c r="F628" t="s">
        <v>397</v>
      </c>
      <c r="G628" t="s">
        <v>394</v>
      </c>
      <c r="H628">
        <v>181005160116</v>
      </c>
    </row>
    <row r="629" spans="1:8" x14ac:dyDescent="0.2">
      <c r="A629" t="s">
        <v>470</v>
      </c>
      <c r="B629" t="s">
        <v>23</v>
      </c>
      <c r="C629" s="2">
        <v>43381</v>
      </c>
      <c r="D629" t="s">
        <v>392</v>
      </c>
      <c r="E629">
        <v>-1014545.49</v>
      </c>
      <c r="F629" t="s">
        <v>397</v>
      </c>
      <c r="G629" t="s">
        <v>394</v>
      </c>
      <c r="H629">
        <v>181005160116</v>
      </c>
    </row>
    <row r="630" spans="1:8" x14ac:dyDescent="0.2">
      <c r="A630" t="s">
        <v>470</v>
      </c>
      <c r="B630" t="s">
        <v>23</v>
      </c>
      <c r="C630" s="2">
        <v>43382</v>
      </c>
      <c r="D630" t="s">
        <v>392</v>
      </c>
      <c r="E630">
        <v>-93141.75</v>
      </c>
      <c r="F630" t="s">
        <v>397</v>
      </c>
      <c r="G630" t="s">
        <v>394</v>
      </c>
      <c r="H630">
        <v>181005160116</v>
      </c>
    </row>
    <row r="631" spans="1:8" x14ac:dyDescent="0.2">
      <c r="A631" t="s">
        <v>471</v>
      </c>
      <c r="B631" t="s">
        <v>23</v>
      </c>
      <c r="C631" s="2">
        <v>43378</v>
      </c>
      <c r="D631" t="s">
        <v>392</v>
      </c>
      <c r="E631">
        <v>700413.16</v>
      </c>
      <c r="F631" t="s">
        <v>393</v>
      </c>
      <c r="G631" t="s">
        <v>394</v>
      </c>
      <c r="H631">
        <v>181005160116</v>
      </c>
    </row>
    <row r="632" spans="1:8" x14ac:dyDescent="0.2">
      <c r="A632" t="s">
        <v>471</v>
      </c>
      <c r="B632" t="s">
        <v>23</v>
      </c>
      <c r="C632" s="2">
        <v>43381</v>
      </c>
      <c r="D632" t="s">
        <v>392</v>
      </c>
      <c r="E632">
        <v>1932200</v>
      </c>
      <c r="F632" t="s">
        <v>393</v>
      </c>
      <c r="G632" t="s">
        <v>394</v>
      </c>
      <c r="H632">
        <v>181005160116</v>
      </c>
    </row>
    <row r="633" spans="1:8" x14ac:dyDescent="0.2">
      <c r="A633" t="s">
        <v>471</v>
      </c>
      <c r="B633" t="s">
        <v>23</v>
      </c>
      <c r="C633" s="2">
        <v>43378</v>
      </c>
      <c r="D633" t="s">
        <v>392</v>
      </c>
      <c r="E633">
        <v>2154300</v>
      </c>
      <c r="F633" t="s">
        <v>423</v>
      </c>
      <c r="G633" t="s">
        <v>394</v>
      </c>
      <c r="H633">
        <v>181005160116</v>
      </c>
    </row>
    <row r="634" spans="1:8" x14ac:dyDescent="0.2">
      <c r="A634" t="s">
        <v>471</v>
      </c>
      <c r="B634" t="s">
        <v>23</v>
      </c>
      <c r="C634" s="2">
        <v>43381</v>
      </c>
      <c r="D634" t="s">
        <v>392</v>
      </c>
      <c r="E634">
        <v>1332230</v>
      </c>
      <c r="F634" t="s">
        <v>423</v>
      </c>
      <c r="G634" t="s">
        <v>394</v>
      </c>
      <c r="H634">
        <v>181005160116</v>
      </c>
    </row>
    <row r="635" spans="1:8" x14ac:dyDescent="0.2">
      <c r="A635" t="s">
        <v>471</v>
      </c>
      <c r="B635" t="s">
        <v>23</v>
      </c>
      <c r="C635" s="2">
        <v>43378</v>
      </c>
      <c r="D635" t="s">
        <v>392</v>
      </c>
      <c r="E635">
        <v>2660916.0699999998</v>
      </c>
      <c r="F635" t="s">
        <v>395</v>
      </c>
      <c r="G635" t="s">
        <v>394</v>
      </c>
      <c r="H635">
        <v>181005160116</v>
      </c>
    </row>
    <row r="636" spans="1:8" x14ac:dyDescent="0.2">
      <c r="A636" t="s">
        <v>471</v>
      </c>
      <c r="B636" t="s">
        <v>23</v>
      </c>
      <c r="C636" s="2">
        <v>43381</v>
      </c>
      <c r="D636" t="s">
        <v>392</v>
      </c>
      <c r="E636">
        <v>9670566.9000000004</v>
      </c>
      <c r="F636" t="s">
        <v>395</v>
      </c>
      <c r="G636" t="s">
        <v>394</v>
      </c>
      <c r="H636">
        <v>181005160116</v>
      </c>
    </row>
    <row r="637" spans="1:8" x14ac:dyDescent="0.2">
      <c r="A637" t="s">
        <v>471</v>
      </c>
      <c r="B637" t="s">
        <v>23</v>
      </c>
      <c r="C637" s="2">
        <v>43382</v>
      </c>
      <c r="D637" t="s">
        <v>392</v>
      </c>
      <c r="E637">
        <v>18113734.010000002</v>
      </c>
      <c r="F637" t="s">
        <v>395</v>
      </c>
      <c r="G637" t="s">
        <v>394</v>
      </c>
      <c r="H637">
        <v>181005160116</v>
      </c>
    </row>
    <row r="638" spans="1:8" x14ac:dyDescent="0.2">
      <c r="A638" t="s">
        <v>471</v>
      </c>
      <c r="B638" t="s">
        <v>23</v>
      </c>
      <c r="C638" s="2">
        <v>43383</v>
      </c>
      <c r="D638" t="s">
        <v>392</v>
      </c>
      <c r="E638">
        <v>118388</v>
      </c>
      <c r="F638" t="s">
        <v>395</v>
      </c>
      <c r="G638" t="s">
        <v>394</v>
      </c>
      <c r="H638">
        <v>181005160116</v>
      </c>
    </row>
    <row r="639" spans="1:8" x14ac:dyDescent="0.2">
      <c r="A639" t="s">
        <v>471</v>
      </c>
      <c r="B639" t="s">
        <v>23</v>
      </c>
      <c r="C639" s="2">
        <v>43384</v>
      </c>
      <c r="D639" t="s">
        <v>392</v>
      </c>
      <c r="E639">
        <v>70117.37</v>
      </c>
      <c r="F639" t="s">
        <v>395</v>
      </c>
      <c r="G639" t="s">
        <v>394</v>
      </c>
      <c r="H639">
        <v>181005160116</v>
      </c>
    </row>
    <row r="640" spans="1:8" x14ac:dyDescent="0.2">
      <c r="A640" t="s">
        <v>471</v>
      </c>
      <c r="B640" t="s">
        <v>23</v>
      </c>
      <c r="C640" s="2">
        <v>43378</v>
      </c>
      <c r="D640" t="s">
        <v>392</v>
      </c>
      <c r="E640">
        <v>-730871.14</v>
      </c>
      <c r="F640" t="s">
        <v>396</v>
      </c>
      <c r="G640" t="s">
        <v>394</v>
      </c>
      <c r="H640">
        <v>181005160116</v>
      </c>
    </row>
    <row r="641" spans="1:8" x14ac:dyDescent="0.2">
      <c r="A641" t="s">
        <v>471</v>
      </c>
      <c r="B641" t="s">
        <v>23</v>
      </c>
      <c r="C641" s="2">
        <v>43381</v>
      </c>
      <c r="D641" t="s">
        <v>392</v>
      </c>
      <c r="E641">
        <v>-435656.08</v>
      </c>
      <c r="F641" t="s">
        <v>396</v>
      </c>
      <c r="G641" t="s">
        <v>394</v>
      </c>
      <c r="H641">
        <v>181005160116</v>
      </c>
    </row>
    <row r="642" spans="1:8" x14ac:dyDescent="0.2">
      <c r="A642" t="s">
        <v>471</v>
      </c>
      <c r="B642" t="s">
        <v>23</v>
      </c>
      <c r="C642" s="2">
        <v>43382</v>
      </c>
      <c r="D642" t="s">
        <v>392</v>
      </c>
      <c r="E642">
        <v>-1513030.57</v>
      </c>
      <c r="F642" t="s">
        <v>396</v>
      </c>
      <c r="G642" t="s">
        <v>394</v>
      </c>
      <c r="H642">
        <v>181005160116</v>
      </c>
    </row>
    <row r="643" spans="1:8" x14ac:dyDescent="0.2">
      <c r="A643" t="s">
        <v>471</v>
      </c>
      <c r="B643" t="s">
        <v>23</v>
      </c>
      <c r="C643" s="2">
        <v>43378</v>
      </c>
      <c r="D643" t="s">
        <v>392</v>
      </c>
      <c r="E643">
        <v>-8353977.5</v>
      </c>
      <c r="F643" t="s">
        <v>397</v>
      </c>
      <c r="G643" t="s">
        <v>394</v>
      </c>
      <c r="H643">
        <v>181005160116</v>
      </c>
    </row>
    <row r="644" spans="1:8" x14ac:dyDescent="0.2">
      <c r="A644" t="s">
        <v>471</v>
      </c>
      <c r="B644" t="s">
        <v>23</v>
      </c>
      <c r="C644" s="2">
        <v>43381</v>
      </c>
      <c r="D644" t="s">
        <v>392</v>
      </c>
      <c r="E644">
        <v>-21680652.93</v>
      </c>
      <c r="F644" t="s">
        <v>397</v>
      </c>
      <c r="G644" t="s">
        <v>394</v>
      </c>
      <c r="H644">
        <v>181005160116</v>
      </c>
    </row>
    <row r="645" spans="1:8" x14ac:dyDescent="0.2">
      <c r="A645" t="s">
        <v>471</v>
      </c>
      <c r="B645" t="s">
        <v>23</v>
      </c>
      <c r="C645" s="2">
        <v>43382</v>
      </c>
      <c r="D645" t="s">
        <v>392</v>
      </c>
      <c r="E645">
        <v>-1999142.11</v>
      </c>
      <c r="F645" t="s">
        <v>397</v>
      </c>
      <c r="G645" t="s">
        <v>394</v>
      </c>
      <c r="H645">
        <v>181005160116</v>
      </c>
    </row>
    <row r="646" spans="1:8" x14ac:dyDescent="0.2">
      <c r="A646" t="s">
        <v>472</v>
      </c>
      <c r="B646" t="s">
        <v>23</v>
      </c>
      <c r="C646" s="2">
        <v>43378</v>
      </c>
      <c r="D646" t="s">
        <v>392</v>
      </c>
      <c r="E646">
        <v>1000</v>
      </c>
      <c r="F646" t="s">
        <v>393</v>
      </c>
      <c r="G646" t="s">
        <v>394</v>
      </c>
      <c r="H646">
        <v>181005160116</v>
      </c>
    </row>
    <row r="647" spans="1:8" x14ac:dyDescent="0.2">
      <c r="A647" t="s">
        <v>472</v>
      </c>
      <c r="B647" t="s">
        <v>23</v>
      </c>
      <c r="C647" s="2">
        <v>43382</v>
      </c>
      <c r="D647" t="s">
        <v>392</v>
      </c>
      <c r="E647">
        <v>50680.36</v>
      </c>
      <c r="F647" t="s">
        <v>395</v>
      </c>
      <c r="G647" t="s">
        <v>394</v>
      </c>
      <c r="H647">
        <v>181005160116</v>
      </c>
    </row>
    <row r="648" spans="1:8" x14ac:dyDescent="0.2">
      <c r="A648" t="s">
        <v>472</v>
      </c>
      <c r="B648" t="s">
        <v>23</v>
      </c>
      <c r="C648" s="2">
        <v>43378</v>
      </c>
      <c r="D648" t="s">
        <v>392</v>
      </c>
      <c r="E648">
        <v>-50680.74</v>
      </c>
      <c r="F648" t="s">
        <v>397</v>
      </c>
      <c r="G648" t="s">
        <v>394</v>
      </c>
      <c r="H648">
        <v>181005160116</v>
      </c>
    </row>
    <row r="649" spans="1:8" x14ac:dyDescent="0.2">
      <c r="A649" t="s">
        <v>472</v>
      </c>
      <c r="B649" t="s">
        <v>23</v>
      </c>
      <c r="C649" s="2">
        <v>43381</v>
      </c>
      <c r="D649" t="s">
        <v>392</v>
      </c>
      <c r="E649">
        <v>-281368.95</v>
      </c>
      <c r="F649" t="s">
        <v>397</v>
      </c>
      <c r="G649" t="s">
        <v>394</v>
      </c>
      <c r="H649">
        <v>181005160116</v>
      </c>
    </row>
    <row r="650" spans="1:8" x14ac:dyDescent="0.2">
      <c r="A650" t="s">
        <v>472</v>
      </c>
      <c r="B650" t="s">
        <v>23</v>
      </c>
      <c r="C650" s="2">
        <v>43382</v>
      </c>
      <c r="D650" t="s">
        <v>392</v>
      </c>
      <c r="E650">
        <v>-34237.07</v>
      </c>
      <c r="F650" t="s">
        <v>397</v>
      </c>
      <c r="G650" t="s">
        <v>394</v>
      </c>
      <c r="H650">
        <v>181005160116</v>
      </c>
    </row>
    <row r="651" spans="1:8" x14ac:dyDescent="0.2">
      <c r="A651" t="s">
        <v>472</v>
      </c>
      <c r="B651" t="s">
        <v>23</v>
      </c>
      <c r="C651" s="2">
        <v>43383</v>
      </c>
      <c r="D651" t="s">
        <v>392</v>
      </c>
      <c r="E651">
        <v>-88914.559999999998</v>
      </c>
      <c r="F651" t="s">
        <v>397</v>
      </c>
      <c r="G651" t="s">
        <v>394</v>
      </c>
      <c r="H651">
        <v>181005160116</v>
      </c>
    </row>
    <row r="652" spans="1:8" x14ac:dyDescent="0.2">
      <c r="A652" t="s">
        <v>473</v>
      </c>
      <c r="B652" t="s">
        <v>23</v>
      </c>
      <c r="C652" s="2">
        <v>43378</v>
      </c>
      <c r="D652" t="s">
        <v>392</v>
      </c>
      <c r="E652">
        <v>215000</v>
      </c>
      <c r="F652" t="s">
        <v>393</v>
      </c>
      <c r="G652" t="s">
        <v>394</v>
      </c>
      <c r="H652">
        <v>181005160116</v>
      </c>
    </row>
    <row r="653" spans="1:8" x14ac:dyDescent="0.2">
      <c r="A653" t="s">
        <v>473</v>
      </c>
      <c r="B653" t="s">
        <v>23</v>
      </c>
      <c r="C653" s="2">
        <v>43381</v>
      </c>
      <c r="D653" t="s">
        <v>392</v>
      </c>
      <c r="E653">
        <v>51000</v>
      </c>
      <c r="F653" t="s">
        <v>393</v>
      </c>
      <c r="G653" t="s">
        <v>394</v>
      </c>
      <c r="H653">
        <v>181005160116</v>
      </c>
    </row>
    <row r="654" spans="1:8" x14ac:dyDescent="0.2">
      <c r="A654" t="s">
        <v>473</v>
      </c>
      <c r="B654" t="s">
        <v>23</v>
      </c>
      <c r="C654" s="2">
        <v>43378</v>
      </c>
      <c r="D654" t="s">
        <v>392</v>
      </c>
      <c r="E654">
        <v>44000</v>
      </c>
      <c r="F654" t="s">
        <v>423</v>
      </c>
      <c r="G654" t="s">
        <v>394</v>
      </c>
      <c r="H654">
        <v>181005160116</v>
      </c>
    </row>
    <row r="655" spans="1:8" x14ac:dyDescent="0.2">
      <c r="A655" t="s">
        <v>473</v>
      </c>
      <c r="B655" t="s">
        <v>23</v>
      </c>
      <c r="C655" s="2">
        <v>43381</v>
      </c>
      <c r="D655" t="s">
        <v>392</v>
      </c>
      <c r="E655">
        <v>120000</v>
      </c>
      <c r="F655" t="s">
        <v>423</v>
      </c>
      <c r="G655" t="s">
        <v>394</v>
      </c>
      <c r="H655">
        <v>181005160116</v>
      </c>
    </row>
    <row r="656" spans="1:8" x14ac:dyDescent="0.2">
      <c r="A656" t="s">
        <v>473</v>
      </c>
      <c r="B656" t="s">
        <v>23</v>
      </c>
      <c r="C656" s="2">
        <v>43378</v>
      </c>
      <c r="D656" t="s">
        <v>392</v>
      </c>
      <c r="E656">
        <v>71678.350000000006</v>
      </c>
      <c r="F656" t="s">
        <v>395</v>
      </c>
      <c r="G656" t="s">
        <v>394</v>
      </c>
      <c r="H656">
        <v>181005160116</v>
      </c>
    </row>
    <row r="657" spans="1:8" x14ac:dyDescent="0.2">
      <c r="A657" t="s">
        <v>473</v>
      </c>
      <c r="B657" t="s">
        <v>23</v>
      </c>
      <c r="C657" s="2">
        <v>43381</v>
      </c>
      <c r="D657" t="s">
        <v>392</v>
      </c>
      <c r="E657">
        <v>367860.56</v>
      </c>
      <c r="F657" t="s">
        <v>395</v>
      </c>
      <c r="G657" t="s">
        <v>394</v>
      </c>
      <c r="H657">
        <v>181005160116</v>
      </c>
    </row>
    <row r="658" spans="1:8" x14ac:dyDescent="0.2">
      <c r="A658" t="s">
        <v>473</v>
      </c>
      <c r="B658" t="s">
        <v>23</v>
      </c>
      <c r="C658" s="2">
        <v>43382</v>
      </c>
      <c r="D658" t="s">
        <v>392</v>
      </c>
      <c r="E658">
        <v>30000</v>
      </c>
      <c r="F658" t="s">
        <v>395</v>
      </c>
      <c r="G658" t="s">
        <v>394</v>
      </c>
      <c r="H658">
        <v>181005160116</v>
      </c>
    </row>
    <row r="659" spans="1:8" x14ac:dyDescent="0.2">
      <c r="A659" t="s">
        <v>473</v>
      </c>
      <c r="B659" t="s">
        <v>23</v>
      </c>
      <c r="C659" s="2">
        <v>43378</v>
      </c>
      <c r="D659" t="s">
        <v>392</v>
      </c>
      <c r="E659">
        <v>-9038.65</v>
      </c>
      <c r="F659" t="s">
        <v>396</v>
      </c>
      <c r="G659" t="s">
        <v>394</v>
      </c>
      <c r="H659">
        <v>181005160116</v>
      </c>
    </row>
    <row r="660" spans="1:8" x14ac:dyDescent="0.2">
      <c r="A660" t="s">
        <v>473</v>
      </c>
      <c r="B660" t="s">
        <v>23</v>
      </c>
      <c r="C660" s="2">
        <v>43384</v>
      </c>
      <c r="D660" t="s">
        <v>392</v>
      </c>
      <c r="E660">
        <v>-9918.24</v>
      </c>
      <c r="F660" t="s">
        <v>396</v>
      </c>
      <c r="G660" t="s">
        <v>394</v>
      </c>
      <c r="H660">
        <v>181005160116</v>
      </c>
    </row>
    <row r="661" spans="1:8" x14ac:dyDescent="0.2">
      <c r="A661" t="s">
        <v>474</v>
      </c>
      <c r="B661" t="s">
        <v>23</v>
      </c>
      <c r="C661" s="2">
        <v>43378</v>
      </c>
      <c r="D661" t="s">
        <v>392</v>
      </c>
      <c r="E661">
        <v>5000</v>
      </c>
      <c r="F661" t="s">
        <v>393</v>
      </c>
      <c r="G661" t="s">
        <v>394</v>
      </c>
      <c r="H661">
        <v>181005160116</v>
      </c>
    </row>
    <row r="662" spans="1:8" x14ac:dyDescent="0.2">
      <c r="A662" t="s">
        <v>474</v>
      </c>
      <c r="B662" t="s">
        <v>23</v>
      </c>
      <c r="C662" s="2">
        <v>43378</v>
      </c>
      <c r="D662" t="s">
        <v>392</v>
      </c>
      <c r="E662">
        <v>641500</v>
      </c>
      <c r="F662" t="s">
        <v>423</v>
      </c>
      <c r="G662" t="s">
        <v>394</v>
      </c>
      <c r="H662">
        <v>181005160116</v>
      </c>
    </row>
    <row r="663" spans="1:8" x14ac:dyDescent="0.2">
      <c r="A663" t="s">
        <v>474</v>
      </c>
      <c r="B663" t="s">
        <v>23</v>
      </c>
      <c r="C663" s="2">
        <v>43381</v>
      </c>
      <c r="D663" t="s">
        <v>392</v>
      </c>
      <c r="E663">
        <v>154000</v>
      </c>
      <c r="F663" t="s">
        <v>423</v>
      </c>
      <c r="G663" t="s">
        <v>394</v>
      </c>
      <c r="H663">
        <v>181005160116</v>
      </c>
    </row>
    <row r="664" spans="1:8" x14ac:dyDescent="0.2">
      <c r="A664" t="s">
        <v>474</v>
      </c>
      <c r="B664" t="s">
        <v>23</v>
      </c>
      <c r="C664" s="2">
        <v>43378</v>
      </c>
      <c r="D664" t="s">
        <v>392</v>
      </c>
      <c r="E664">
        <v>110400</v>
      </c>
      <c r="F664" t="s">
        <v>395</v>
      </c>
      <c r="G664" t="s">
        <v>394</v>
      </c>
      <c r="H664">
        <v>181005160116</v>
      </c>
    </row>
    <row r="665" spans="1:8" x14ac:dyDescent="0.2">
      <c r="A665" t="s">
        <v>474</v>
      </c>
      <c r="B665" t="s">
        <v>23</v>
      </c>
      <c r="C665" s="2">
        <v>43378</v>
      </c>
      <c r="D665" t="s">
        <v>392</v>
      </c>
      <c r="E665">
        <v>-150166.87</v>
      </c>
      <c r="F665" t="s">
        <v>397</v>
      </c>
      <c r="G665" t="s">
        <v>394</v>
      </c>
      <c r="H665">
        <v>181005160116</v>
      </c>
    </row>
    <row r="666" spans="1:8" x14ac:dyDescent="0.2">
      <c r="A666" t="s">
        <v>474</v>
      </c>
      <c r="B666" t="s">
        <v>23</v>
      </c>
      <c r="C666" s="2">
        <v>43381</v>
      </c>
      <c r="D666" t="s">
        <v>392</v>
      </c>
      <c r="E666">
        <v>-116577.5</v>
      </c>
      <c r="F666" t="s">
        <v>397</v>
      </c>
      <c r="G666" t="s">
        <v>394</v>
      </c>
      <c r="H666">
        <v>181005160116</v>
      </c>
    </row>
    <row r="667" spans="1:8" x14ac:dyDescent="0.2">
      <c r="A667" t="s">
        <v>474</v>
      </c>
      <c r="B667" t="s">
        <v>23</v>
      </c>
      <c r="C667" s="2">
        <v>43382</v>
      </c>
      <c r="D667" t="s">
        <v>392</v>
      </c>
      <c r="E667">
        <v>-31502.02</v>
      </c>
      <c r="F667" t="s">
        <v>397</v>
      </c>
      <c r="G667" t="s">
        <v>394</v>
      </c>
      <c r="H667">
        <v>181005160116</v>
      </c>
    </row>
    <row r="668" spans="1:8" x14ac:dyDescent="0.2">
      <c r="A668" t="s">
        <v>475</v>
      </c>
      <c r="B668" t="s">
        <v>23</v>
      </c>
      <c r="C668" s="2">
        <v>43381</v>
      </c>
      <c r="D668" t="s">
        <v>392</v>
      </c>
      <c r="E668">
        <v>40000</v>
      </c>
      <c r="F668" t="s">
        <v>393</v>
      </c>
      <c r="G668" t="s">
        <v>394</v>
      </c>
      <c r="H668">
        <v>181005160116</v>
      </c>
    </row>
    <row r="669" spans="1:8" x14ac:dyDescent="0.2">
      <c r="A669" t="s">
        <v>475</v>
      </c>
      <c r="B669" t="s">
        <v>23</v>
      </c>
      <c r="C669" s="2">
        <v>43378</v>
      </c>
      <c r="D669" t="s">
        <v>392</v>
      </c>
      <c r="E669">
        <v>10000</v>
      </c>
      <c r="F669" t="s">
        <v>423</v>
      </c>
      <c r="G669" t="s">
        <v>394</v>
      </c>
      <c r="H669">
        <v>181005160116</v>
      </c>
    </row>
    <row r="670" spans="1:8" x14ac:dyDescent="0.2">
      <c r="A670" t="s">
        <v>475</v>
      </c>
      <c r="B670" t="s">
        <v>23</v>
      </c>
      <c r="C670" s="2">
        <v>43381</v>
      </c>
      <c r="D670" t="s">
        <v>392</v>
      </c>
      <c r="E670">
        <v>10000</v>
      </c>
      <c r="F670" t="s">
        <v>423</v>
      </c>
      <c r="G670" t="s">
        <v>394</v>
      </c>
      <c r="H670">
        <v>181005160116</v>
      </c>
    </row>
    <row r="671" spans="1:8" x14ac:dyDescent="0.2">
      <c r="A671" t="s">
        <v>475</v>
      </c>
      <c r="B671" t="s">
        <v>23</v>
      </c>
      <c r="C671" s="2">
        <v>43378</v>
      </c>
      <c r="D671" t="s">
        <v>392</v>
      </c>
      <c r="E671">
        <v>-101918.7</v>
      </c>
      <c r="F671" t="s">
        <v>396</v>
      </c>
      <c r="G671" t="s">
        <v>394</v>
      </c>
      <c r="H671">
        <v>181005160116</v>
      </c>
    </row>
    <row r="672" spans="1:8" x14ac:dyDescent="0.2">
      <c r="A672" t="s">
        <v>476</v>
      </c>
      <c r="B672" t="s">
        <v>23</v>
      </c>
      <c r="C672" s="2">
        <v>43378</v>
      </c>
      <c r="D672" t="s">
        <v>392</v>
      </c>
      <c r="E672">
        <v>11000</v>
      </c>
      <c r="F672" t="s">
        <v>393</v>
      </c>
      <c r="G672" t="s">
        <v>394</v>
      </c>
      <c r="H672">
        <v>181005160116</v>
      </c>
    </row>
    <row r="673" spans="1:8" x14ac:dyDescent="0.2">
      <c r="A673" t="s">
        <v>476</v>
      </c>
      <c r="B673" t="s">
        <v>23</v>
      </c>
      <c r="C673" s="2">
        <v>43381</v>
      </c>
      <c r="D673" t="s">
        <v>392</v>
      </c>
      <c r="E673">
        <v>65000</v>
      </c>
      <c r="F673" t="s">
        <v>393</v>
      </c>
      <c r="G673" t="s">
        <v>394</v>
      </c>
      <c r="H673">
        <v>181005160116</v>
      </c>
    </row>
    <row r="674" spans="1:8" x14ac:dyDescent="0.2">
      <c r="A674" t="s">
        <v>476</v>
      </c>
      <c r="B674" t="s">
        <v>23</v>
      </c>
      <c r="C674" s="2">
        <v>43378</v>
      </c>
      <c r="D674" t="s">
        <v>392</v>
      </c>
      <c r="E674">
        <v>201000</v>
      </c>
      <c r="F674" t="s">
        <v>423</v>
      </c>
      <c r="G674" t="s">
        <v>394</v>
      </c>
      <c r="H674">
        <v>181005160116</v>
      </c>
    </row>
    <row r="675" spans="1:8" x14ac:dyDescent="0.2">
      <c r="A675" t="s">
        <v>476</v>
      </c>
      <c r="B675" t="s">
        <v>23</v>
      </c>
      <c r="C675" s="2">
        <v>43381</v>
      </c>
      <c r="D675" t="s">
        <v>392</v>
      </c>
      <c r="E675">
        <v>17000</v>
      </c>
      <c r="F675" t="s">
        <v>423</v>
      </c>
      <c r="G675" t="s">
        <v>394</v>
      </c>
      <c r="H675">
        <v>181005160116</v>
      </c>
    </row>
    <row r="676" spans="1:8" x14ac:dyDescent="0.2">
      <c r="A676" t="s">
        <v>476</v>
      </c>
      <c r="B676" t="s">
        <v>23</v>
      </c>
      <c r="C676" s="2">
        <v>43378</v>
      </c>
      <c r="D676" t="s">
        <v>392</v>
      </c>
      <c r="E676">
        <v>100000</v>
      </c>
      <c r="F676" t="s">
        <v>395</v>
      </c>
      <c r="G676" t="s">
        <v>394</v>
      </c>
      <c r="H676">
        <v>181005160116</v>
      </c>
    </row>
    <row r="677" spans="1:8" x14ac:dyDescent="0.2">
      <c r="A677" t="s">
        <v>476</v>
      </c>
      <c r="B677" t="s">
        <v>23</v>
      </c>
      <c r="C677" s="2">
        <v>43381</v>
      </c>
      <c r="D677" t="s">
        <v>392</v>
      </c>
      <c r="E677">
        <v>289308.15000000002</v>
      </c>
      <c r="F677" t="s">
        <v>395</v>
      </c>
      <c r="G677" t="s">
        <v>394</v>
      </c>
      <c r="H677">
        <v>181005160116</v>
      </c>
    </row>
    <row r="678" spans="1:8" x14ac:dyDescent="0.2">
      <c r="A678" t="s">
        <v>476</v>
      </c>
      <c r="B678" t="s">
        <v>23</v>
      </c>
      <c r="C678" s="2">
        <v>43382</v>
      </c>
      <c r="D678" t="s">
        <v>392</v>
      </c>
      <c r="E678">
        <v>514780.64</v>
      </c>
      <c r="F678" t="s">
        <v>395</v>
      </c>
      <c r="G678" t="s">
        <v>394</v>
      </c>
      <c r="H678">
        <v>181005160116</v>
      </c>
    </row>
    <row r="679" spans="1:8" x14ac:dyDescent="0.2">
      <c r="A679" t="s">
        <v>476</v>
      </c>
      <c r="B679" t="s">
        <v>23</v>
      </c>
      <c r="C679" s="2">
        <v>43383</v>
      </c>
      <c r="D679" t="s">
        <v>392</v>
      </c>
      <c r="E679">
        <v>-3152.4</v>
      </c>
      <c r="F679" t="s">
        <v>396</v>
      </c>
      <c r="G679" t="s">
        <v>394</v>
      </c>
      <c r="H679">
        <v>181005160116</v>
      </c>
    </row>
    <row r="680" spans="1:8" x14ac:dyDescent="0.2">
      <c r="A680" t="s">
        <v>476</v>
      </c>
      <c r="B680" t="s">
        <v>23</v>
      </c>
      <c r="C680" s="2">
        <v>43378</v>
      </c>
      <c r="D680" t="s">
        <v>392</v>
      </c>
      <c r="E680">
        <v>-215238.97</v>
      </c>
      <c r="F680" t="s">
        <v>397</v>
      </c>
      <c r="G680" t="s">
        <v>394</v>
      </c>
      <c r="H680">
        <v>181005160116</v>
      </c>
    </row>
    <row r="681" spans="1:8" x14ac:dyDescent="0.2">
      <c r="A681" t="s">
        <v>476</v>
      </c>
      <c r="B681" t="s">
        <v>23</v>
      </c>
      <c r="C681" s="2">
        <v>43384</v>
      </c>
      <c r="D681" t="s">
        <v>392</v>
      </c>
      <c r="E681">
        <v>-318609.67</v>
      </c>
      <c r="F681" t="s">
        <v>397</v>
      </c>
      <c r="G681" t="s">
        <v>394</v>
      </c>
      <c r="H681">
        <v>181005160116</v>
      </c>
    </row>
    <row r="682" spans="1:8" x14ac:dyDescent="0.2">
      <c r="A682" t="s">
        <v>477</v>
      </c>
      <c r="B682" t="s">
        <v>23</v>
      </c>
      <c r="C682" s="2">
        <v>43378</v>
      </c>
      <c r="D682" t="s">
        <v>392</v>
      </c>
      <c r="E682">
        <v>3000</v>
      </c>
      <c r="F682" t="s">
        <v>393</v>
      </c>
      <c r="G682" t="s">
        <v>394</v>
      </c>
      <c r="H682">
        <v>181005160116</v>
      </c>
    </row>
    <row r="683" spans="1:8" x14ac:dyDescent="0.2">
      <c r="A683" t="s">
        <v>477</v>
      </c>
      <c r="B683" t="s">
        <v>23</v>
      </c>
      <c r="C683" s="2">
        <v>43381</v>
      </c>
      <c r="D683" t="s">
        <v>392</v>
      </c>
      <c r="E683">
        <v>2500</v>
      </c>
      <c r="F683" t="s">
        <v>393</v>
      </c>
      <c r="G683" t="s">
        <v>394</v>
      </c>
      <c r="H683">
        <v>181005160116</v>
      </c>
    </row>
    <row r="684" spans="1:8" x14ac:dyDescent="0.2">
      <c r="A684" t="s">
        <v>477</v>
      </c>
      <c r="B684" t="s">
        <v>23</v>
      </c>
      <c r="C684" s="2">
        <v>43378</v>
      </c>
      <c r="D684" t="s">
        <v>392</v>
      </c>
      <c r="E684">
        <v>135000</v>
      </c>
      <c r="F684" t="s">
        <v>423</v>
      </c>
      <c r="G684" t="s">
        <v>394</v>
      </c>
      <c r="H684">
        <v>181005160116</v>
      </c>
    </row>
    <row r="685" spans="1:8" x14ac:dyDescent="0.2">
      <c r="A685" t="s">
        <v>477</v>
      </c>
      <c r="B685" t="s">
        <v>23</v>
      </c>
      <c r="C685" s="2">
        <v>43381</v>
      </c>
      <c r="D685" t="s">
        <v>392</v>
      </c>
      <c r="E685">
        <v>18000</v>
      </c>
      <c r="F685" t="s">
        <v>423</v>
      </c>
      <c r="G685" t="s">
        <v>394</v>
      </c>
      <c r="H685">
        <v>181005160116</v>
      </c>
    </row>
    <row r="686" spans="1:8" x14ac:dyDescent="0.2">
      <c r="A686" t="s">
        <v>477</v>
      </c>
      <c r="B686" t="s">
        <v>23</v>
      </c>
      <c r="C686" s="2">
        <v>43378</v>
      </c>
      <c r="D686" t="s">
        <v>392</v>
      </c>
      <c r="E686">
        <v>5000</v>
      </c>
      <c r="F686" t="s">
        <v>395</v>
      </c>
      <c r="G686" t="s">
        <v>394</v>
      </c>
      <c r="H686">
        <v>181005160116</v>
      </c>
    </row>
    <row r="687" spans="1:8" x14ac:dyDescent="0.2">
      <c r="A687" t="s">
        <v>477</v>
      </c>
      <c r="B687" t="s">
        <v>23</v>
      </c>
      <c r="C687" s="2">
        <v>43381</v>
      </c>
      <c r="D687" t="s">
        <v>392</v>
      </c>
      <c r="E687">
        <v>5000</v>
      </c>
      <c r="F687" t="s">
        <v>395</v>
      </c>
      <c r="G687" t="s">
        <v>394</v>
      </c>
      <c r="H687">
        <v>181005160116</v>
      </c>
    </row>
    <row r="688" spans="1:8" x14ac:dyDescent="0.2">
      <c r="A688" t="s">
        <v>477</v>
      </c>
      <c r="B688" t="s">
        <v>23</v>
      </c>
      <c r="C688" s="2">
        <v>43378</v>
      </c>
      <c r="D688" t="s">
        <v>392</v>
      </c>
      <c r="E688">
        <v>-66678.350000000006</v>
      </c>
      <c r="F688" t="s">
        <v>397</v>
      </c>
      <c r="G688" t="s">
        <v>394</v>
      </c>
      <c r="H688">
        <v>181005160116</v>
      </c>
    </row>
    <row r="689" spans="1:8" x14ac:dyDescent="0.2">
      <c r="A689" t="s">
        <v>477</v>
      </c>
      <c r="B689" t="s">
        <v>23</v>
      </c>
      <c r="C689" s="2">
        <v>43382</v>
      </c>
      <c r="D689" t="s">
        <v>392</v>
      </c>
      <c r="E689">
        <v>-469975.44</v>
      </c>
      <c r="F689" t="s">
        <v>397</v>
      </c>
      <c r="G689" t="s">
        <v>394</v>
      </c>
      <c r="H689">
        <v>181005160116</v>
      </c>
    </row>
    <row r="690" spans="1:8" x14ac:dyDescent="0.2">
      <c r="A690" t="s">
        <v>478</v>
      </c>
      <c r="B690" t="s">
        <v>23</v>
      </c>
      <c r="C690" s="2">
        <v>43378</v>
      </c>
      <c r="D690" t="s">
        <v>392</v>
      </c>
      <c r="E690">
        <v>1377600</v>
      </c>
      <c r="F690" t="s">
        <v>393</v>
      </c>
      <c r="G690" t="s">
        <v>394</v>
      </c>
      <c r="H690">
        <v>181005160116</v>
      </c>
    </row>
    <row r="691" spans="1:8" x14ac:dyDescent="0.2">
      <c r="A691" t="s">
        <v>478</v>
      </c>
      <c r="B691" t="s">
        <v>23</v>
      </c>
      <c r="C691" s="2">
        <v>43381</v>
      </c>
      <c r="D691" t="s">
        <v>392</v>
      </c>
      <c r="E691">
        <v>728500</v>
      </c>
      <c r="F691" t="s">
        <v>393</v>
      </c>
      <c r="G691" t="s">
        <v>394</v>
      </c>
      <c r="H691">
        <v>181005160116</v>
      </c>
    </row>
    <row r="692" spans="1:8" x14ac:dyDescent="0.2">
      <c r="A692" t="s">
        <v>478</v>
      </c>
      <c r="B692" t="s">
        <v>23</v>
      </c>
      <c r="C692" s="2">
        <v>43378</v>
      </c>
      <c r="D692" t="s">
        <v>392</v>
      </c>
      <c r="E692">
        <v>1349000</v>
      </c>
      <c r="F692" t="s">
        <v>423</v>
      </c>
      <c r="G692" t="s">
        <v>394</v>
      </c>
      <c r="H692">
        <v>181005160116</v>
      </c>
    </row>
    <row r="693" spans="1:8" x14ac:dyDescent="0.2">
      <c r="A693" t="s">
        <v>478</v>
      </c>
      <c r="B693" t="s">
        <v>23</v>
      </c>
      <c r="C693" s="2">
        <v>43381</v>
      </c>
      <c r="D693" t="s">
        <v>392</v>
      </c>
      <c r="E693">
        <v>1487300</v>
      </c>
      <c r="F693" t="s">
        <v>423</v>
      </c>
      <c r="G693" t="s">
        <v>394</v>
      </c>
      <c r="H693">
        <v>181005160116</v>
      </c>
    </row>
    <row r="694" spans="1:8" x14ac:dyDescent="0.2">
      <c r="A694" t="s">
        <v>478</v>
      </c>
      <c r="B694" t="s">
        <v>23</v>
      </c>
      <c r="C694" s="2">
        <v>43378</v>
      </c>
      <c r="D694" t="s">
        <v>392</v>
      </c>
      <c r="E694">
        <v>1570395.38</v>
      </c>
      <c r="F694" t="s">
        <v>395</v>
      </c>
      <c r="G694" t="s">
        <v>394</v>
      </c>
      <c r="H694">
        <v>181005160116</v>
      </c>
    </row>
    <row r="695" spans="1:8" x14ac:dyDescent="0.2">
      <c r="A695" t="s">
        <v>478</v>
      </c>
      <c r="B695" t="s">
        <v>23</v>
      </c>
      <c r="C695" s="2">
        <v>43381</v>
      </c>
      <c r="D695" t="s">
        <v>392</v>
      </c>
      <c r="E695">
        <v>10935093.289999999</v>
      </c>
      <c r="F695" t="s">
        <v>395</v>
      </c>
      <c r="G695" t="s">
        <v>394</v>
      </c>
      <c r="H695">
        <v>181005160116</v>
      </c>
    </row>
    <row r="696" spans="1:8" x14ac:dyDescent="0.2">
      <c r="A696" t="s">
        <v>478</v>
      </c>
      <c r="B696" t="s">
        <v>23</v>
      </c>
      <c r="C696" s="2">
        <v>43382</v>
      </c>
      <c r="D696" t="s">
        <v>392</v>
      </c>
      <c r="E696">
        <v>1143531.5</v>
      </c>
      <c r="F696" t="s">
        <v>395</v>
      </c>
      <c r="G696" t="s">
        <v>394</v>
      </c>
      <c r="H696">
        <v>181005160116</v>
      </c>
    </row>
    <row r="697" spans="1:8" x14ac:dyDescent="0.2">
      <c r="A697" t="s">
        <v>478</v>
      </c>
      <c r="B697" t="s">
        <v>23</v>
      </c>
      <c r="C697" s="2">
        <v>43383</v>
      </c>
      <c r="D697" t="s">
        <v>392</v>
      </c>
      <c r="E697">
        <v>138914.56</v>
      </c>
      <c r="F697" t="s">
        <v>395</v>
      </c>
      <c r="G697" t="s">
        <v>394</v>
      </c>
      <c r="H697">
        <v>181005160116</v>
      </c>
    </row>
    <row r="698" spans="1:8" x14ac:dyDescent="0.2">
      <c r="A698" t="s">
        <v>478</v>
      </c>
      <c r="B698" t="s">
        <v>23</v>
      </c>
      <c r="C698" s="2">
        <v>43384</v>
      </c>
      <c r="D698" t="s">
        <v>392</v>
      </c>
      <c r="E698">
        <v>598669.18000000005</v>
      </c>
      <c r="F698" t="s">
        <v>395</v>
      </c>
      <c r="G698" t="s">
        <v>394</v>
      </c>
      <c r="H698">
        <v>181005160116</v>
      </c>
    </row>
    <row r="699" spans="1:8" x14ac:dyDescent="0.2">
      <c r="A699" t="s">
        <v>478</v>
      </c>
      <c r="B699" t="s">
        <v>23</v>
      </c>
      <c r="C699" s="2">
        <v>43381</v>
      </c>
      <c r="D699" t="s">
        <v>392</v>
      </c>
      <c r="E699">
        <v>-43370.84</v>
      </c>
      <c r="F699" t="s">
        <v>396</v>
      </c>
      <c r="G699" t="s">
        <v>394</v>
      </c>
      <c r="H699">
        <v>181005160116</v>
      </c>
    </row>
    <row r="700" spans="1:8" x14ac:dyDescent="0.2">
      <c r="A700" t="s">
        <v>478</v>
      </c>
      <c r="B700" t="s">
        <v>23</v>
      </c>
      <c r="C700" s="2">
        <v>43382</v>
      </c>
      <c r="D700" t="s">
        <v>392</v>
      </c>
      <c r="E700">
        <v>-57799.3</v>
      </c>
      <c r="F700" t="s">
        <v>396</v>
      </c>
      <c r="G700" t="s">
        <v>394</v>
      </c>
      <c r="H700">
        <v>181005160116</v>
      </c>
    </row>
    <row r="701" spans="1:8" x14ac:dyDescent="0.2">
      <c r="A701" t="s">
        <v>478</v>
      </c>
      <c r="B701" t="s">
        <v>23</v>
      </c>
      <c r="C701" s="2">
        <v>43378</v>
      </c>
      <c r="D701" t="s">
        <v>392</v>
      </c>
      <c r="E701">
        <v>-1334517.58</v>
      </c>
      <c r="F701" t="s">
        <v>397</v>
      </c>
      <c r="G701" t="s">
        <v>394</v>
      </c>
      <c r="H701">
        <v>181005160116</v>
      </c>
    </row>
    <row r="702" spans="1:8" x14ac:dyDescent="0.2">
      <c r="A702" t="s">
        <v>478</v>
      </c>
      <c r="B702" t="s">
        <v>23</v>
      </c>
      <c r="C702" s="2">
        <v>43381</v>
      </c>
      <c r="D702" t="s">
        <v>392</v>
      </c>
      <c r="E702">
        <v>-5038107.32</v>
      </c>
      <c r="F702" t="s">
        <v>397</v>
      </c>
      <c r="G702" t="s">
        <v>394</v>
      </c>
      <c r="H702">
        <v>181005160116</v>
      </c>
    </row>
    <row r="703" spans="1:8" x14ac:dyDescent="0.2">
      <c r="A703" t="s">
        <v>478</v>
      </c>
      <c r="B703" t="s">
        <v>23</v>
      </c>
      <c r="C703" s="2">
        <v>43382</v>
      </c>
      <c r="D703" t="s">
        <v>392</v>
      </c>
      <c r="E703">
        <v>-2000000</v>
      </c>
      <c r="F703" t="s">
        <v>397</v>
      </c>
      <c r="G703" t="s">
        <v>394</v>
      </c>
      <c r="H703">
        <v>181005160116</v>
      </c>
    </row>
    <row r="704" spans="1:8" x14ac:dyDescent="0.2">
      <c r="A704" t="s">
        <v>479</v>
      </c>
      <c r="B704" t="s">
        <v>23</v>
      </c>
      <c r="C704" s="2">
        <v>43378</v>
      </c>
      <c r="D704" t="s">
        <v>392</v>
      </c>
      <c r="E704">
        <v>179000</v>
      </c>
      <c r="F704" t="s">
        <v>393</v>
      </c>
      <c r="G704" t="s">
        <v>394</v>
      </c>
      <c r="H704">
        <v>181005160116</v>
      </c>
    </row>
    <row r="705" spans="1:8" x14ac:dyDescent="0.2">
      <c r="A705" t="s">
        <v>479</v>
      </c>
      <c r="B705" t="s">
        <v>23</v>
      </c>
      <c r="C705" s="2">
        <v>43381</v>
      </c>
      <c r="D705" t="s">
        <v>392</v>
      </c>
      <c r="E705">
        <v>195432</v>
      </c>
      <c r="F705" t="s">
        <v>393</v>
      </c>
      <c r="G705" t="s">
        <v>394</v>
      </c>
      <c r="H705">
        <v>181005160116</v>
      </c>
    </row>
    <row r="706" spans="1:8" x14ac:dyDescent="0.2">
      <c r="A706" t="s">
        <v>479</v>
      </c>
      <c r="B706" t="s">
        <v>23</v>
      </c>
      <c r="C706" s="2">
        <v>43378</v>
      </c>
      <c r="D706" t="s">
        <v>392</v>
      </c>
      <c r="E706">
        <v>1000000</v>
      </c>
      <c r="F706" t="s">
        <v>395</v>
      </c>
      <c r="G706" t="s">
        <v>394</v>
      </c>
      <c r="H706">
        <v>181005160116</v>
      </c>
    </row>
    <row r="707" spans="1:8" x14ac:dyDescent="0.2">
      <c r="A707" t="s">
        <v>479</v>
      </c>
      <c r="B707" t="s">
        <v>23</v>
      </c>
      <c r="C707" s="2">
        <v>43381</v>
      </c>
      <c r="D707" t="s">
        <v>392</v>
      </c>
      <c r="E707">
        <v>300000</v>
      </c>
      <c r="F707" t="s">
        <v>395</v>
      </c>
      <c r="G707" t="s">
        <v>394</v>
      </c>
      <c r="H707">
        <v>181005160116</v>
      </c>
    </row>
    <row r="708" spans="1:8" x14ac:dyDescent="0.2">
      <c r="A708" t="s">
        <v>479</v>
      </c>
      <c r="B708" t="s">
        <v>23</v>
      </c>
      <c r="C708" s="2">
        <v>43378</v>
      </c>
      <c r="D708" t="s">
        <v>392</v>
      </c>
      <c r="E708">
        <v>-2751930.3</v>
      </c>
      <c r="F708" t="s">
        <v>396</v>
      </c>
      <c r="G708" t="s">
        <v>394</v>
      </c>
      <c r="H708">
        <v>181005160116</v>
      </c>
    </row>
    <row r="709" spans="1:8" x14ac:dyDescent="0.2">
      <c r="A709" t="s">
        <v>479</v>
      </c>
      <c r="B709" t="s">
        <v>23</v>
      </c>
      <c r="C709" s="2">
        <v>43382</v>
      </c>
      <c r="D709" t="s">
        <v>392</v>
      </c>
      <c r="E709">
        <v>-2726287.06</v>
      </c>
      <c r="F709" t="s">
        <v>396</v>
      </c>
      <c r="G709" t="s">
        <v>394</v>
      </c>
      <c r="H709">
        <v>181005160116</v>
      </c>
    </row>
    <row r="710" spans="1:8" x14ac:dyDescent="0.2">
      <c r="A710" t="s">
        <v>479</v>
      </c>
      <c r="B710" t="s">
        <v>23</v>
      </c>
      <c r="C710" s="2">
        <v>43383</v>
      </c>
      <c r="D710" t="s">
        <v>392</v>
      </c>
      <c r="E710">
        <v>-6831892.9000000004</v>
      </c>
      <c r="F710" t="s">
        <v>396</v>
      </c>
      <c r="G710" t="s">
        <v>394</v>
      </c>
      <c r="H710">
        <v>181005160116</v>
      </c>
    </row>
    <row r="711" spans="1:8" x14ac:dyDescent="0.2">
      <c r="A711" t="s">
        <v>479</v>
      </c>
      <c r="B711" t="s">
        <v>23</v>
      </c>
      <c r="C711" s="2">
        <v>43384</v>
      </c>
      <c r="D711" t="s">
        <v>392</v>
      </c>
      <c r="E711">
        <v>-4161310.6</v>
      </c>
      <c r="F711" t="s">
        <v>396</v>
      </c>
      <c r="G711" t="s">
        <v>394</v>
      </c>
      <c r="H711">
        <v>181005160116</v>
      </c>
    </row>
    <row r="712" spans="1:8" x14ac:dyDescent="0.2">
      <c r="A712" t="s">
        <v>479</v>
      </c>
      <c r="B712" t="s">
        <v>23</v>
      </c>
      <c r="C712" s="2">
        <v>43378</v>
      </c>
      <c r="D712" t="s">
        <v>392</v>
      </c>
      <c r="E712">
        <v>-9583255.5099999998</v>
      </c>
      <c r="F712" t="s">
        <v>397</v>
      </c>
      <c r="G712" t="s">
        <v>394</v>
      </c>
      <c r="H712">
        <v>181005160116</v>
      </c>
    </row>
    <row r="713" spans="1:8" x14ac:dyDescent="0.2">
      <c r="A713" t="s">
        <v>479</v>
      </c>
      <c r="B713" t="s">
        <v>23</v>
      </c>
      <c r="C713" s="2">
        <v>43382</v>
      </c>
      <c r="D713" t="s">
        <v>392</v>
      </c>
      <c r="E713">
        <v>-17203159.210000001</v>
      </c>
      <c r="F713" t="s">
        <v>397</v>
      </c>
      <c r="G713" t="s">
        <v>394</v>
      </c>
      <c r="H713">
        <v>181005160116</v>
      </c>
    </row>
    <row r="714" spans="1:8" x14ac:dyDescent="0.2">
      <c r="A714" t="s">
        <v>479</v>
      </c>
      <c r="B714" t="s">
        <v>23</v>
      </c>
      <c r="C714" s="2">
        <v>43383</v>
      </c>
      <c r="D714" t="s">
        <v>392</v>
      </c>
      <c r="E714">
        <v>-11931884.359999999</v>
      </c>
      <c r="F714" t="s">
        <v>397</v>
      </c>
      <c r="G714" t="s">
        <v>394</v>
      </c>
      <c r="H714">
        <v>181005160116</v>
      </c>
    </row>
    <row r="715" spans="1:8" x14ac:dyDescent="0.2">
      <c r="A715" t="s">
        <v>479</v>
      </c>
      <c r="B715" t="s">
        <v>23</v>
      </c>
      <c r="C715" s="2">
        <v>43384</v>
      </c>
      <c r="D715" t="s">
        <v>392</v>
      </c>
      <c r="E715">
        <v>-2904660.7</v>
      </c>
      <c r="F715" t="s">
        <v>397</v>
      </c>
      <c r="G715" t="s">
        <v>394</v>
      </c>
      <c r="H715">
        <v>181005160116</v>
      </c>
    </row>
    <row r="716" spans="1:8" x14ac:dyDescent="0.2">
      <c r="A716" t="s">
        <v>480</v>
      </c>
      <c r="B716" t="s">
        <v>23</v>
      </c>
      <c r="C716" s="2">
        <v>43378</v>
      </c>
      <c r="D716" t="s">
        <v>392</v>
      </c>
      <c r="E716">
        <v>3662700</v>
      </c>
      <c r="F716" t="s">
        <v>393</v>
      </c>
      <c r="G716" t="s">
        <v>394</v>
      </c>
      <c r="H716">
        <v>181005160116</v>
      </c>
    </row>
    <row r="717" spans="1:8" x14ac:dyDescent="0.2">
      <c r="A717" t="s">
        <v>480</v>
      </c>
      <c r="B717" t="s">
        <v>23</v>
      </c>
      <c r="C717" s="2">
        <v>43381</v>
      </c>
      <c r="D717" t="s">
        <v>392</v>
      </c>
      <c r="E717">
        <v>1595555</v>
      </c>
      <c r="F717" t="s">
        <v>393</v>
      </c>
      <c r="G717" t="s">
        <v>394</v>
      </c>
      <c r="H717">
        <v>181005160116</v>
      </c>
    </row>
    <row r="718" spans="1:8" x14ac:dyDescent="0.2">
      <c r="A718" t="s">
        <v>480</v>
      </c>
      <c r="B718" t="s">
        <v>23</v>
      </c>
      <c r="C718" s="2">
        <v>43378</v>
      </c>
      <c r="D718" t="s">
        <v>392</v>
      </c>
      <c r="E718">
        <v>1579523.47</v>
      </c>
      <c r="F718" t="s">
        <v>395</v>
      </c>
      <c r="G718" t="s">
        <v>394</v>
      </c>
      <c r="H718">
        <v>181005160116</v>
      </c>
    </row>
    <row r="719" spans="1:8" x14ac:dyDescent="0.2">
      <c r="A719" t="s">
        <v>480</v>
      </c>
      <c r="B719" t="s">
        <v>23</v>
      </c>
      <c r="C719" s="2">
        <v>43381</v>
      </c>
      <c r="D719" t="s">
        <v>392</v>
      </c>
      <c r="E719">
        <v>321767.01</v>
      </c>
      <c r="F719" t="s">
        <v>395</v>
      </c>
      <c r="G719" t="s">
        <v>394</v>
      </c>
      <c r="H719">
        <v>181005160116</v>
      </c>
    </row>
    <row r="720" spans="1:8" x14ac:dyDescent="0.2">
      <c r="A720" t="s">
        <v>480</v>
      </c>
      <c r="B720" t="s">
        <v>23</v>
      </c>
      <c r="C720" s="2">
        <v>43382</v>
      </c>
      <c r="D720" t="s">
        <v>392</v>
      </c>
      <c r="E720">
        <v>32841.18</v>
      </c>
      <c r="F720" t="s">
        <v>395</v>
      </c>
      <c r="G720" t="s">
        <v>394</v>
      </c>
      <c r="H720">
        <v>181005160116</v>
      </c>
    </row>
    <row r="721" spans="1:8" x14ac:dyDescent="0.2">
      <c r="A721" t="s">
        <v>480</v>
      </c>
      <c r="B721" t="s">
        <v>23</v>
      </c>
      <c r="C721" s="2">
        <v>43383</v>
      </c>
      <c r="D721" t="s">
        <v>392</v>
      </c>
      <c r="E721">
        <v>285989.19</v>
      </c>
      <c r="F721" t="s">
        <v>395</v>
      </c>
      <c r="G721" t="s">
        <v>394</v>
      </c>
      <c r="H721">
        <v>181005160116</v>
      </c>
    </row>
    <row r="722" spans="1:8" x14ac:dyDescent="0.2">
      <c r="A722" t="s">
        <v>480</v>
      </c>
      <c r="B722" t="s">
        <v>23</v>
      </c>
      <c r="C722" s="2">
        <v>43378</v>
      </c>
      <c r="D722" t="s">
        <v>392</v>
      </c>
      <c r="E722">
        <v>-287622.69</v>
      </c>
      <c r="F722" t="s">
        <v>396</v>
      </c>
      <c r="G722" t="s">
        <v>394</v>
      </c>
      <c r="H722">
        <v>181005160116</v>
      </c>
    </row>
    <row r="723" spans="1:8" x14ac:dyDescent="0.2">
      <c r="A723" t="s">
        <v>480</v>
      </c>
      <c r="B723" t="s">
        <v>23</v>
      </c>
      <c r="C723" s="2">
        <v>43382</v>
      </c>
      <c r="D723" t="s">
        <v>392</v>
      </c>
      <c r="E723">
        <v>-335928.31</v>
      </c>
      <c r="F723" t="s">
        <v>396</v>
      </c>
      <c r="G723" t="s">
        <v>394</v>
      </c>
      <c r="H723">
        <v>181005160116</v>
      </c>
    </row>
    <row r="724" spans="1:8" x14ac:dyDescent="0.2">
      <c r="A724" t="s">
        <v>480</v>
      </c>
      <c r="B724" t="s">
        <v>23</v>
      </c>
      <c r="C724" s="2">
        <v>43383</v>
      </c>
      <c r="D724" t="s">
        <v>392</v>
      </c>
      <c r="E724">
        <v>-145000</v>
      </c>
      <c r="F724" t="s">
        <v>396</v>
      </c>
      <c r="G724" t="s">
        <v>394</v>
      </c>
      <c r="H724">
        <v>181005160116</v>
      </c>
    </row>
    <row r="725" spans="1:8" x14ac:dyDescent="0.2">
      <c r="A725" t="s">
        <v>480</v>
      </c>
      <c r="B725" t="s">
        <v>23</v>
      </c>
      <c r="C725" s="2">
        <v>43384</v>
      </c>
      <c r="D725" t="s">
        <v>392</v>
      </c>
      <c r="E725">
        <v>-77130.45</v>
      </c>
      <c r="F725" t="s">
        <v>396</v>
      </c>
      <c r="G725" t="s">
        <v>394</v>
      </c>
      <c r="H725">
        <v>181005160116</v>
      </c>
    </row>
    <row r="726" spans="1:8" x14ac:dyDescent="0.2">
      <c r="A726" t="s">
        <v>480</v>
      </c>
      <c r="B726" t="s">
        <v>23</v>
      </c>
      <c r="C726" s="2">
        <v>43378</v>
      </c>
      <c r="D726" t="s">
        <v>392</v>
      </c>
      <c r="E726">
        <v>-4990.88</v>
      </c>
      <c r="F726" t="s">
        <v>397</v>
      </c>
      <c r="G726" t="s">
        <v>394</v>
      </c>
      <c r="H726">
        <v>181005160116</v>
      </c>
    </row>
    <row r="727" spans="1:8" x14ac:dyDescent="0.2">
      <c r="A727" t="s">
        <v>480</v>
      </c>
      <c r="B727" t="s">
        <v>23</v>
      </c>
      <c r="C727" s="2">
        <v>43382</v>
      </c>
      <c r="D727" t="s">
        <v>392</v>
      </c>
      <c r="E727">
        <v>-912393.7</v>
      </c>
      <c r="F727" t="s">
        <v>397</v>
      </c>
      <c r="G727" t="s">
        <v>394</v>
      </c>
      <c r="H727">
        <v>181005160116</v>
      </c>
    </row>
    <row r="728" spans="1:8" x14ac:dyDescent="0.2">
      <c r="A728" t="s">
        <v>480</v>
      </c>
      <c r="B728" t="s">
        <v>23</v>
      </c>
      <c r="C728" s="2">
        <v>43383</v>
      </c>
      <c r="D728" t="s">
        <v>392</v>
      </c>
      <c r="E728">
        <v>-10143939.68</v>
      </c>
      <c r="F728" t="s">
        <v>397</v>
      </c>
      <c r="G728" t="s">
        <v>394</v>
      </c>
      <c r="H728">
        <v>181005160116</v>
      </c>
    </row>
    <row r="729" spans="1:8" x14ac:dyDescent="0.2">
      <c r="A729" t="s">
        <v>480</v>
      </c>
      <c r="B729" t="s">
        <v>23</v>
      </c>
      <c r="C729" s="2">
        <v>43384</v>
      </c>
      <c r="D729" t="s">
        <v>392</v>
      </c>
      <c r="E729">
        <v>-6256.17</v>
      </c>
      <c r="F729" t="s">
        <v>397</v>
      </c>
      <c r="G729" t="s">
        <v>394</v>
      </c>
      <c r="H729">
        <v>181005160116</v>
      </c>
    </row>
    <row r="730" spans="1:8" x14ac:dyDescent="0.2">
      <c r="A730" t="s">
        <v>481</v>
      </c>
      <c r="B730" t="s">
        <v>23</v>
      </c>
      <c r="C730" s="2">
        <v>43378</v>
      </c>
      <c r="D730" t="s">
        <v>392</v>
      </c>
      <c r="E730">
        <v>5391218.8099999996</v>
      </c>
      <c r="F730" t="s">
        <v>393</v>
      </c>
      <c r="G730" t="s">
        <v>394</v>
      </c>
      <c r="H730">
        <v>181005160116</v>
      </c>
    </row>
    <row r="731" spans="1:8" x14ac:dyDescent="0.2">
      <c r="A731" t="s">
        <v>481</v>
      </c>
      <c r="B731" t="s">
        <v>23</v>
      </c>
      <c r="C731" s="2">
        <v>43381</v>
      </c>
      <c r="D731" t="s">
        <v>392</v>
      </c>
      <c r="E731">
        <v>10112300.4</v>
      </c>
      <c r="F731" t="s">
        <v>393</v>
      </c>
      <c r="G731" t="s">
        <v>394</v>
      </c>
      <c r="H731">
        <v>181005160116</v>
      </c>
    </row>
    <row r="732" spans="1:8" x14ac:dyDescent="0.2">
      <c r="A732" t="s">
        <v>481</v>
      </c>
      <c r="B732" t="s">
        <v>23</v>
      </c>
      <c r="C732" s="2">
        <v>43378</v>
      </c>
      <c r="D732" t="s">
        <v>392</v>
      </c>
      <c r="E732">
        <v>10701418.83</v>
      </c>
      <c r="F732" t="s">
        <v>395</v>
      </c>
      <c r="G732" t="s">
        <v>394</v>
      </c>
      <c r="H732">
        <v>181005160116</v>
      </c>
    </row>
    <row r="733" spans="1:8" x14ac:dyDescent="0.2">
      <c r="A733" t="s">
        <v>481</v>
      </c>
      <c r="B733" t="s">
        <v>23</v>
      </c>
      <c r="C733" s="2">
        <v>43381</v>
      </c>
      <c r="D733" t="s">
        <v>392</v>
      </c>
      <c r="E733">
        <v>11573884.09</v>
      </c>
      <c r="F733" t="s">
        <v>395</v>
      </c>
      <c r="G733" t="s">
        <v>394</v>
      </c>
      <c r="H733">
        <v>181005160116</v>
      </c>
    </row>
    <row r="734" spans="1:8" x14ac:dyDescent="0.2">
      <c r="A734" t="s">
        <v>481</v>
      </c>
      <c r="B734" t="s">
        <v>23</v>
      </c>
      <c r="C734" s="2">
        <v>43382</v>
      </c>
      <c r="D734" t="s">
        <v>392</v>
      </c>
      <c r="E734">
        <v>1000</v>
      </c>
      <c r="F734" t="s">
        <v>395</v>
      </c>
      <c r="G734" t="s">
        <v>394</v>
      </c>
      <c r="H734">
        <v>181005160116</v>
      </c>
    </row>
    <row r="735" spans="1:8" x14ac:dyDescent="0.2">
      <c r="A735" t="s">
        <v>481</v>
      </c>
      <c r="B735" t="s">
        <v>23</v>
      </c>
      <c r="C735" s="2">
        <v>43383</v>
      </c>
      <c r="D735" t="s">
        <v>392</v>
      </c>
      <c r="E735">
        <v>13000</v>
      </c>
      <c r="F735" t="s">
        <v>395</v>
      </c>
      <c r="G735" t="s">
        <v>394</v>
      </c>
      <c r="H735">
        <v>181005160116</v>
      </c>
    </row>
    <row r="736" spans="1:8" x14ac:dyDescent="0.2">
      <c r="A736" t="s">
        <v>481</v>
      </c>
      <c r="B736" t="s">
        <v>23</v>
      </c>
      <c r="C736" s="2">
        <v>43384</v>
      </c>
      <c r="D736" t="s">
        <v>392</v>
      </c>
      <c r="E736">
        <v>104473.57</v>
      </c>
      <c r="F736" t="s">
        <v>395</v>
      </c>
      <c r="G736" t="s">
        <v>394</v>
      </c>
      <c r="H736">
        <v>181005160116</v>
      </c>
    </row>
    <row r="737" spans="1:8" x14ac:dyDescent="0.2">
      <c r="A737" t="s">
        <v>481</v>
      </c>
      <c r="B737" t="s">
        <v>23</v>
      </c>
      <c r="C737" s="2">
        <v>43378</v>
      </c>
      <c r="D737" t="s">
        <v>392</v>
      </c>
      <c r="E737">
        <v>-988919.81</v>
      </c>
      <c r="F737" t="s">
        <v>396</v>
      </c>
      <c r="G737" t="s">
        <v>394</v>
      </c>
      <c r="H737">
        <v>181005160116</v>
      </c>
    </row>
    <row r="738" spans="1:8" x14ac:dyDescent="0.2">
      <c r="A738" t="s">
        <v>481</v>
      </c>
      <c r="B738" t="s">
        <v>23</v>
      </c>
      <c r="C738" s="2">
        <v>43381</v>
      </c>
      <c r="D738" t="s">
        <v>392</v>
      </c>
      <c r="E738">
        <v>-3483797.03</v>
      </c>
      <c r="F738" t="s">
        <v>396</v>
      </c>
      <c r="G738" t="s">
        <v>394</v>
      </c>
      <c r="H738">
        <v>181005160116</v>
      </c>
    </row>
    <row r="739" spans="1:8" x14ac:dyDescent="0.2">
      <c r="A739" t="s">
        <v>481</v>
      </c>
      <c r="B739" t="s">
        <v>23</v>
      </c>
      <c r="C739" s="2">
        <v>43382</v>
      </c>
      <c r="D739" t="s">
        <v>392</v>
      </c>
      <c r="E739">
        <v>-624684.49</v>
      </c>
      <c r="F739" t="s">
        <v>396</v>
      </c>
      <c r="G739" t="s">
        <v>394</v>
      </c>
      <c r="H739">
        <v>181005160116</v>
      </c>
    </row>
    <row r="740" spans="1:8" x14ac:dyDescent="0.2">
      <c r="A740" t="s">
        <v>481</v>
      </c>
      <c r="B740" t="s">
        <v>23</v>
      </c>
      <c r="C740" s="2">
        <v>43378</v>
      </c>
      <c r="D740" t="s">
        <v>392</v>
      </c>
      <c r="E740">
        <v>-2037264.22</v>
      </c>
      <c r="F740" t="s">
        <v>397</v>
      </c>
      <c r="G740" t="s">
        <v>394</v>
      </c>
      <c r="H740">
        <v>181005160116</v>
      </c>
    </row>
    <row r="741" spans="1:8" x14ac:dyDescent="0.2">
      <c r="A741" t="s">
        <v>481</v>
      </c>
      <c r="B741" t="s">
        <v>23</v>
      </c>
      <c r="C741" s="2">
        <v>43381</v>
      </c>
      <c r="D741" t="s">
        <v>392</v>
      </c>
      <c r="E741">
        <v>-6861172.5</v>
      </c>
      <c r="F741" t="s">
        <v>397</v>
      </c>
      <c r="G741" t="s">
        <v>394</v>
      </c>
      <c r="H741">
        <v>181005160116</v>
      </c>
    </row>
    <row r="742" spans="1:8" x14ac:dyDescent="0.2">
      <c r="A742" t="s">
        <v>481</v>
      </c>
      <c r="B742" t="s">
        <v>23</v>
      </c>
      <c r="C742" s="2">
        <v>43382</v>
      </c>
      <c r="D742" t="s">
        <v>392</v>
      </c>
      <c r="E742">
        <v>-667556.5</v>
      </c>
      <c r="F742" t="s">
        <v>397</v>
      </c>
      <c r="G742" t="s">
        <v>394</v>
      </c>
      <c r="H742">
        <v>181005160116</v>
      </c>
    </row>
    <row r="743" spans="1:8" x14ac:dyDescent="0.2">
      <c r="A743" t="s">
        <v>482</v>
      </c>
      <c r="B743" t="s">
        <v>23</v>
      </c>
      <c r="C743" s="2">
        <v>43378</v>
      </c>
      <c r="D743" t="s">
        <v>392</v>
      </c>
      <c r="E743">
        <v>100318274.03</v>
      </c>
      <c r="F743" t="s">
        <v>393</v>
      </c>
      <c r="G743" t="s">
        <v>394</v>
      </c>
      <c r="H743">
        <v>181005160116</v>
      </c>
    </row>
    <row r="744" spans="1:8" x14ac:dyDescent="0.2">
      <c r="A744" t="s">
        <v>482</v>
      </c>
      <c r="B744" t="s">
        <v>23</v>
      </c>
      <c r="C744" s="2">
        <v>43381</v>
      </c>
      <c r="D744" t="s">
        <v>392</v>
      </c>
      <c r="E744">
        <v>28756489.66</v>
      </c>
      <c r="F744" t="s">
        <v>393</v>
      </c>
      <c r="G744" t="s">
        <v>394</v>
      </c>
      <c r="H744">
        <v>181005160116</v>
      </c>
    </row>
    <row r="745" spans="1:8" x14ac:dyDescent="0.2">
      <c r="A745" t="s">
        <v>482</v>
      </c>
      <c r="B745" t="s">
        <v>23</v>
      </c>
      <c r="C745" s="2">
        <v>43381</v>
      </c>
      <c r="D745" t="s">
        <v>392</v>
      </c>
      <c r="E745">
        <v>1000000</v>
      </c>
      <c r="F745" t="s">
        <v>423</v>
      </c>
      <c r="G745" t="s">
        <v>394</v>
      </c>
      <c r="H745">
        <v>181005160116</v>
      </c>
    </row>
    <row r="746" spans="1:8" x14ac:dyDescent="0.2">
      <c r="A746" t="s">
        <v>482</v>
      </c>
      <c r="B746" t="s">
        <v>23</v>
      </c>
      <c r="C746" s="2">
        <v>43378</v>
      </c>
      <c r="D746" t="s">
        <v>392</v>
      </c>
      <c r="E746">
        <v>261251316.91999999</v>
      </c>
      <c r="F746" t="s">
        <v>395</v>
      </c>
      <c r="G746" t="s">
        <v>394</v>
      </c>
      <c r="H746">
        <v>181005160116</v>
      </c>
    </row>
    <row r="747" spans="1:8" x14ac:dyDescent="0.2">
      <c r="A747" t="s">
        <v>482</v>
      </c>
      <c r="B747" t="s">
        <v>23</v>
      </c>
      <c r="C747" s="2">
        <v>43381</v>
      </c>
      <c r="D747" t="s">
        <v>392</v>
      </c>
      <c r="E747">
        <v>101587832.14</v>
      </c>
      <c r="F747" t="s">
        <v>395</v>
      </c>
      <c r="G747" t="s">
        <v>394</v>
      </c>
      <c r="H747">
        <v>181005160116</v>
      </c>
    </row>
    <row r="748" spans="1:8" x14ac:dyDescent="0.2">
      <c r="A748" t="s">
        <v>482</v>
      </c>
      <c r="B748" t="s">
        <v>23</v>
      </c>
      <c r="C748" s="2">
        <v>43382</v>
      </c>
      <c r="D748" t="s">
        <v>392</v>
      </c>
      <c r="E748">
        <v>8427378.4600000009</v>
      </c>
      <c r="F748" t="s">
        <v>395</v>
      </c>
      <c r="G748" t="s">
        <v>394</v>
      </c>
      <c r="H748">
        <v>181005160116</v>
      </c>
    </row>
    <row r="749" spans="1:8" x14ac:dyDescent="0.2">
      <c r="A749" t="s">
        <v>482</v>
      </c>
      <c r="B749" t="s">
        <v>23</v>
      </c>
      <c r="C749" s="2">
        <v>43383</v>
      </c>
      <c r="D749" t="s">
        <v>392</v>
      </c>
      <c r="E749">
        <v>1015019.41</v>
      </c>
      <c r="F749" t="s">
        <v>395</v>
      </c>
      <c r="G749" t="s">
        <v>394</v>
      </c>
      <c r="H749">
        <v>181005160116</v>
      </c>
    </row>
    <row r="750" spans="1:8" x14ac:dyDescent="0.2">
      <c r="A750" t="s">
        <v>482</v>
      </c>
      <c r="B750" t="s">
        <v>23</v>
      </c>
      <c r="C750" s="2">
        <v>43384</v>
      </c>
      <c r="D750" t="s">
        <v>392</v>
      </c>
      <c r="E750">
        <v>5904307.75</v>
      </c>
      <c r="F750" t="s">
        <v>395</v>
      </c>
      <c r="G750" t="s">
        <v>394</v>
      </c>
      <c r="H750">
        <v>181005160116</v>
      </c>
    </row>
    <row r="751" spans="1:8" x14ac:dyDescent="0.2">
      <c r="A751" t="s">
        <v>482</v>
      </c>
      <c r="B751" t="s">
        <v>23</v>
      </c>
      <c r="C751" s="2">
        <v>43385</v>
      </c>
      <c r="D751" t="s">
        <v>392</v>
      </c>
      <c r="E751">
        <v>41818.26</v>
      </c>
      <c r="F751" t="s">
        <v>395</v>
      </c>
      <c r="G751" t="s">
        <v>394</v>
      </c>
      <c r="H751">
        <v>181005160116</v>
      </c>
    </row>
    <row r="752" spans="1:8" x14ac:dyDescent="0.2">
      <c r="A752" t="s">
        <v>482</v>
      </c>
      <c r="B752" t="s">
        <v>23</v>
      </c>
      <c r="C752" s="2">
        <v>43389</v>
      </c>
      <c r="D752" t="s">
        <v>392</v>
      </c>
      <c r="E752">
        <v>22880.58</v>
      </c>
      <c r="F752" t="s">
        <v>395</v>
      </c>
      <c r="G752" t="s">
        <v>394</v>
      </c>
      <c r="H752">
        <v>181005160116</v>
      </c>
    </row>
    <row r="753" spans="1:8" x14ac:dyDescent="0.2">
      <c r="A753" t="s">
        <v>482</v>
      </c>
      <c r="B753" t="s">
        <v>23</v>
      </c>
      <c r="C753" s="2">
        <v>43378</v>
      </c>
      <c r="D753" t="s">
        <v>392</v>
      </c>
      <c r="E753">
        <v>-3645770.2</v>
      </c>
      <c r="F753" t="s">
        <v>396</v>
      </c>
      <c r="G753" t="s">
        <v>394</v>
      </c>
      <c r="H753">
        <v>181005160116</v>
      </c>
    </row>
    <row r="754" spans="1:8" x14ac:dyDescent="0.2">
      <c r="A754" t="s">
        <v>482</v>
      </c>
      <c r="B754" t="s">
        <v>23</v>
      </c>
      <c r="C754" s="2">
        <v>43381</v>
      </c>
      <c r="D754" t="s">
        <v>392</v>
      </c>
      <c r="E754">
        <v>-5542131.1200000001</v>
      </c>
      <c r="F754" t="s">
        <v>396</v>
      </c>
      <c r="G754" t="s">
        <v>394</v>
      </c>
      <c r="H754">
        <v>181005160116</v>
      </c>
    </row>
    <row r="755" spans="1:8" x14ac:dyDescent="0.2">
      <c r="A755" t="s">
        <v>482</v>
      </c>
      <c r="B755" t="s">
        <v>23</v>
      </c>
      <c r="C755" s="2">
        <v>43382</v>
      </c>
      <c r="D755" t="s">
        <v>392</v>
      </c>
      <c r="E755">
        <v>-1125088.02</v>
      </c>
      <c r="F755" t="s">
        <v>396</v>
      </c>
      <c r="G755" t="s">
        <v>394</v>
      </c>
      <c r="H755">
        <v>181005160116</v>
      </c>
    </row>
    <row r="756" spans="1:8" x14ac:dyDescent="0.2">
      <c r="A756" t="s">
        <v>482</v>
      </c>
      <c r="B756" t="s">
        <v>23</v>
      </c>
      <c r="C756" s="2">
        <v>43378</v>
      </c>
      <c r="D756" t="s">
        <v>392</v>
      </c>
      <c r="E756">
        <v>-20616633.030000001</v>
      </c>
      <c r="F756" t="s">
        <v>397</v>
      </c>
      <c r="G756" t="s">
        <v>394</v>
      </c>
      <c r="H756">
        <v>181005160116</v>
      </c>
    </row>
    <row r="757" spans="1:8" x14ac:dyDescent="0.2">
      <c r="A757" t="s">
        <v>482</v>
      </c>
      <c r="B757" t="s">
        <v>23</v>
      </c>
      <c r="C757" s="2">
        <v>43381</v>
      </c>
      <c r="D757" t="s">
        <v>392</v>
      </c>
      <c r="E757">
        <v>-16946282.18</v>
      </c>
      <c r="F757" t="s">
        <v>397</v>
      </c>
      <c r="G757" t="s">
        <v>394</v>
      </c>
      <c r="H757">
        <v>181005160116</v>
      </c>
    </row>
    <row r="758" spans="1:8" x14ac:dyDescent="0.2">
      <c r="A758" t="s">
        <v>482</v>
      </c>
      <c r="B758" t="s">
        <v>23</v>
      </c>
      <c r="C758" s="2">
        <v>43382</v>
      </c>
      <c r="D758" t="s">
        <v>392</v>
      </c>
      <c r="E758">
        <v>-49966089.869999997</v>
      </c>
      <c r="F758" t="s">
        <v>397</v>
      </c>
      <c r="G758" t="s">
        <v>394</v>
      </c>
      <c r="H758">
        <v>181005160116</v>
      </c>
    </row>
    <row r="759" spans="1:8" x14ac:dyDescent="0.2">
      <c r="A759" t="s">
        <v>483</v>
      </c>
      <c r="B759" t="s">
        <v>23</v>
      </c>
      <c r="C759" s="2">
        <v>43378</v>
      </c>
      <c r="D759" t="s">
        <v>392</v>
      </c>
      <c r="E759">
        <v>109531492.17</v>
      </c>
      <c r="F759" t="s">
        <v>393</v>
      </c>
      <c r="G759" t="s">
        <v>394</v>
      </c>
      <c r="H759">
        <v>181005160116</v>
      </c>
    </row>
    <row r="760" spans="1:8" x14ac:dyDescent="0.2">
      <c r="A760" t="s">
        <v>483</v>
      </c>
      <c r="B760" t="s">
        <v>23</v>
      </c>
      <c r="C760" s="2">
        <v>43381</v>
      </c>
      <c r="D760" t="s">
        <v>392</v>
      </c>
      <c r="E760">
        <v>44318640.039999999</v>
      </c>
      <c r="F760" t="s">
        <v>393</v>
      </c>
      <c r="G760" t="s">
        <v>394</v>
      </c>
      <c r="H760">
        <v>181005160116</v>
      </c>
    </row>
    <row r="761" spans="1:8" x14ac:dyDescent="0.2">
      <c r="A761" t="s">
        <v>483</v>
      </c>
      <c r="B761" t="s">
        <v>23</v>
      </c>
      <c r="C761" s="2">
        <v>43378</v>
      </c>
      <c r="D761" t="s">
        <v>392</v>
      </c>
      <c r="E761">
        <v>446699770.62</v>
      </c>
      <c r="F761" t="s">
        <v>395</v>
      </c>
      <c r="G761" t="s">
        <v>394</v>
      </c>
      <c r="H761">
        <v>181005160116</v>
      </c>
    </row>
    <row r="762" spans="1:8" x14ac:dyDescent="0.2">
      <c r="A762" t="s">
        <v>483</v>
      </c>
      <c r="B762" t="s">
        <v>23</v>
      </c>
      <c r="C762" s="2">
        <v>43381</v>
      </c>
      <c r="D762" t="s">
        <v>392</v>
      </c>
      <c r="E762">
        <v>210026645.75999999</v>
      </c>
      <c r="F762" t="s">
        <v>395</v>
      </c>
      <c r="G762" t="s">
        <v>394</v>
      </c>
      <c r="H762">
        <v>181005160116</v>
      </c>
    </row>
    <row r="763" spans="1:8" x14ac:dyDescent="0.2">
      <c r="A763" t="s">
        <v>483</v>
      </c>
      <c r="B763" t="s">
        <v>23</v>
      </c>
      <c r="C763" s="2">
        <v>43382</v>
      </c>
      <c r="D763" t="s">
        <v>392</v>
      </c>
      <c r="E763">
        <v>17153143.960000001</v>
      </c>
      <c r="F763" t="s">
        <v>395</v>
      </c>
      <c r="G763" t="s">
        <v>394</v>
      </c>
      <c r="H763">
        <v>181005160116</v>
      </c>
    </row>
    <row r="764" spans="1:8" x14ac:dyDescent="0.2">
      <c r="A764" t="s">
        <v>483</v>
      </c>
      <c r="B764" t="s">
        <v>23</v>
      </c>
      <c r="C764" s="2">
        <v>43383</v>
      </c>
      <c r="D764" t="s">
        <v>392</v>
      </c>
      <c r="E764">
        <v>7837937.1200000001</v>
      </c>
      <c r="F764" t="s">
        <v>395</v>
      </c>
      <c r="G764" t="s">
        <v>394</v>
      </c>
      <c r="H764">
        <v>181005160116</v>
      </c>
    </row>
    <row r="765" spans="1:8" x14ac:dyDescent="0.2">
      <c r="A765" t="s">
        <v>483</v>
      </c>
      <c r="B765" t="s">
        <v>23</v>
      </c>
      <c r="C765" s="2">
        <v>43384</v>
      </c>
      <c r="D765" t="s">
        <v>392</v>
      </c>
      <c r="E765">
        <v>9800212.8800000008</v>
      </c>
      <c r="F765" t="s">
        <v>395</v>
      </c>
      <c r="G765" t="s">
        <v>394</v>
      </c>
      <c r="H765">
        <v>181005160116</v>
      </c>
    </row>
    <row r="766" spans="1:8" x14ac:dyDescent="0.2">
      <c r="A766" t="s">
        <v>483</v>
      </c>
      <c r="B766" t="s">
        <v>23</v>
      </c>
      <c r="C766" s="2">
        <v>43385</v>
      </c>
      <c r="D766" t="s">
        <v>392</v>
      </c>
      <c r="E766">
        <v>3167647.13</v>
      </c>
      <c r="F766" t="s">
        <v>395</v>
      </c>
      <c r="G766" t="s">
        <v>394</v>
      </c>
      <c r="H766">
        <v>181005160116</v>
      </c>
    </row>
    <row r="767" spans="1:8" x14ac:dyDescent="0.2">
      <c r="A767" t="s">
        <v>483</v>
      </c>
      <c r="B767" t="s">
        <v>23</v>
      </c>
      <c r="C767" s="2">
        <v>43389</v>
      </c>
      <c r="D767" t="s">
        <v>392</v>
      </c>
      <c r="E767">
        <v>1425726.82</v>
      </c>
      <c r="F767" t="s">
        <v>395</v>
      </c>
      <c r="G767" t="s">
        <v>394</v>
      </c>
      <c r="H767">
        <v>181005160116</v>
      </c>
    </row>
    <row r="768" spans="1:8" x14ac:dyDescent="0.2">
      <c r="A768" t="s">
        <v>483</v>
      </c>
      <c r="B768" t="s">
        <v>23</v>
      </c>
      <c r="C768" s="2">
        <v>43378</v>
      </c>
      <c r="D768" t="s">
        <v>392</v>
      </c>
      <c r="E768">
        <v>-5750006.0300000003</v>
      </c>
      <c r="F768" t="s">
        <v>396</v>
      </c>
      <c r="G768" t="s">
        <v>394</v>
      </c>
      <c r="H768">
        <v>181005160116</v>
      </c>
    </row>
    <row r="769" spans="1:11" x14ac:dyDescent="0.2">
      <c r="A769" t="s">
        <v>483</v>
      </c>
      <c r="B769" t="s">
        <v>23</v>
      </c>
      <c r="C769" s="2">
        <v>43381</v>
      </c>
      <c r="D769" t="s">
        <v>392</v>
      </c>
      <c r="E769">
        <v>-11365996.74</v>
      </c>
      <c r="F769" t="s">
        <v>396</v>
      </c>
      <c r="G769" t="s">
        <v>394</v>
      </c>
      <c r="H769">
        <v>181005160116</v>
      </c>
    </row>
    <row r="770" spans="1:11" x14ac:dyDescent="0.2">
      <c r="A770" t="s">
        <v>483</v>
      </c>
      <c r="B770" t="s">
        <v>23</v>
      </c>
      <c r="C770" s="2">
        <v>43382</v>
      </c>
      <c r="D770" t="s">
        <v>392</v>
      </c>
      <c r="E770">
        <v>-3706826.53</v>
      </c>
      <c r="F770" t="s">
        <v>396</v>
      </c>
      <c r="G770" t="s">
        <v>394</v>
      </c>
      <c r="H770">
        <v>181005160116</v>
      </c>
    </row>
    <row r="771" spans="1:11" x14ac:dyDescent="0.2">
      <c r="A771" t="s">
        <v>483</v>
      </c>
      <c r="B771" t="s">
        <v>23</v>
      </c>
      <c r="C771" s="2">
        <v>43378</v>
      </c>
      <c r="D771" t="s">
        <v>392</v>
      </c>
      <c r="E771">
        <v>-104656413.22</v>
      </c>
      <c r="F771" t="s">
        <v>397</v>
      </c>
      <c r="G771" t="s">
        <v>394</v>
      </c>
      <c r="H771">
        <v>181005160116</v>
      </c>
    </row>
    <row r="772" spans="1:11" x14ac:dyDescent="0.2">
      <c r="A772" t="s">
        <v>483</v>
      </c>
      <c r="B772" t="s">
        <v>23</v>
      </c>
      <c r="C772" s="2">
        <v>43381</v>
      </c>
      <c r="D772" t="s">
        <v>392</v>
      </c>
      <c r="E772">
        <v>-58370023.810000002</v>
      </c>
      <c r="F772" t="s">
        <v>397</v>
      </c>
      <c r="G772" t="s">
        <v>394</v>
      </c>
      <c r="H772">
        <v>181005160116</v>
      </c>
    </row>
    <row r="773" spans="1:11" x14ac:dyDescent="0.2">
      <c r="A773" t="s">
        <v>483</v>
      </c>
      <c r="B773" t="s">
        <v>23</v>
      </c>
      <c r="C773" s="2">
        <v>43382</v>
      </c>
      <c r="D773" t="s">
        <v>392</v>
      </c>
      <c r="E773">
        <v>-26057331.260000002</v>
      </c>
      <c r="F773" t="s">
        <v>397</v>
      </c>
      <c r="G773" t="s">
        <v>394</v>
      </c>
      <c r="H773">
        <v>181005160116</v>
      </c>
    </row>
    <row r="774" spans="1:11" x14ac:dyDescent="0.2">
      <c r="A774" t="s">
        <v>17</v>
      </c>
      <c r="B774" t="s">
        <v>23</v>
      </c>
      <c r="C774" s="2">
        <v>43378</v>
      </c>
      <c r="D774" t="s">
        <v>392</v>
      </c>
      <c r="E774">
        <v>3496076752.9899998</v>
      </c>
      <c r="F774" t="s">
        <v>393</v>
      </c>
      <c r="G774" t="s">
        <v>394</v>
      </c>
      <c r="H774">
        <v>181005160116</v>
      </c>
    </row>
    <row r="775" spans="1:11" x14ac:dyDescent="0.2">
      <c r="A775" t="s">
        <v>17</v>
      </c>
      <c r="B775" t="s">
        <v>23</v>
      </c>
      <c r="C775" s="2">
        <v>43381</v>
      </c>
      <c r="D775" t="s">
        <v>392</v>
      </c>
      <c r="E775">
        <v>102485563.48</v>
      </c>
      <c r="F775" t="s">
        <v>393</v>
      </c>
      <c r="G775" t="s">
        <v>394</v>
      </c>
      <c r="H775">
        <v>181005160116</v>
      </c>
    </row>
    <row r="776" spans="1:11" x14ac:dyDescent="0.2">
      <c r="A776" t="s">
        <v>17</v>
      </c>
      <c r="B776" t="s">
        <v>23</v>
      </c>
      <c r="C776" s="2">
        <v>43378</v>
      </c>
      <c r="D776" t="s">
        <v>392</v>
      </c>
      <c r="E776">
        <v>72350000</v>
      </c>
      <c r="F776" t="s">
        <v>423</v>
      </c>
      <c r="G776" t="s">
        <v>394</v>
      </c>
      <c r="H776">
        <v>181005160116</v>
      </c>
    </row>
    <row r="777" spans="1:11" x14ac:dyDescent="0.2">
      <c r="A777" t="s">
        <v>17</v>
      </c>
      <c r="B777" t="s">
        <v>23</v>
      </c>
      <c r="C777" s="2">
        <v>43381</v>
      </c>
      <c r="D777" t="s">
        <v>392</v>
      </c>
      <c r="E777">
        <v>3700000</v>
      </c>
      <c r="F777" t="s">
        <v>423</v>
      </c>
      <c r="G777" t="s">
        <v>394</v>
      </c>
      <c r="H777">
        <v>181005160116</v>
      </c>
      <c r="K777">
        <f>_xlfn.NUMBERVALUE(C777)</f>
        <v>43381</v>
      </c>
    </row>
    <row r="778" spans="1:11" x14ac:dyDescent="0.2">
      <c r="A778" t="s">
        <v>17</v>
      </c>
      <c r="B778" t="s">
        <v>23</v>
      </c>
      <c r="C778" s="2">
        <v>43378</v>
      </c>
      <c r="D778" t="s">
        <v>392</v>
      </c>
      <c r="E778">
        <v>42447813.719999999</v>
      </c>
      <c r="F778" t="s">
        <v>395</v>
      </c>
      <c r="G778" t="s">
        <v>394</v>
      </c>
      <c r="H778">
        <v>181005160116</v>
      </c>
    </row>
    <row r="779" spans="1:11" x14ac:dyDescent="0.2">
      <c r="A779" t="s">
        <v>17</v>
      </c>
      <c r="B779" t="s">
        <v>23</v>
      </c>
      <c r="C779" s="2">
        <v>43381</v>
      </c>
      <c r="D779" t="s">
        <v>392</v>
      </c>
      <c r="E779">
        <v>48938899.32</v>
      </c>
      <c r="F779" t="s">
        <v>395</v>
      </c>
      <c r="G779" t="s">
        <v>394</v>
      </c>
      <c r="H779">
        <v>181005160116</v>
      </c>
    </row>
    <row r="780" spans="1:11" ht="11.25" customHeight="1" x14ac:dyDescent="0.2">
      <c r="A780" t="s">
        <v>17</v>
      </c>
      <c r="B780" t="s">
        <v>23</v>
      </c>
      <c r="C780" s="2">
        <v>43382</v>
      </c>
      <c r="D780" t="s">
        <v>392</v>
      </c>
      <c r="E780">
        <v>38963438.619999997</v>
      </c>
      <c r="F780" t="s">
        <v>395</v>
      </c>
      <c r="G780" t="s">
        <v>394</v>
      </c>
      <c r="H780">
        <v>181005160116</v>
      </c>
    </row>
    <row r="781" spans="1:11" x14ac:dyDescent="0.2">
      <c r="A781" t="s">
        <v>17</v>
      </c>
      <c r="B781" t="s">
        <v>23</v>
      </c>
      <c r="C781" s="2">
        <v>43383</v>
      </c>
      <c r="D781" t="s">
        <v>392</v>
      </c>
      <c r="E781">
        <v>11043907.609999999</v>
      </c>
      <c r="F781" t="s">
        <v>395</v>
      </c>
      <c r="G781" t="s">
        <v>394</v>
      </c>
      <c r="H781">
        <v>181005160116</v>
      </c>
    </row>
    <row r="782" spans="1:11" x14ac:dyDescent="0.2">
      <c r="A782" t="s">
        <v>17</v>
      </c>
      <c r="B782" t="s">
        <v>23</v>
      </c>
      <c r="C782" s="2">
        <v>43384</v>
      </c>
      <c r="D782" t="s">
        <v>392</v>
      </c>
      <c r="E782">
        <v>17149504.100000001</v>
      </c>
      <c r="F782" t="s">
        <v>395</v>
      </c>
      <c r="G782" t="s">
        <v>394</v>
      </c>
      <c r="H782">
        <v>181005160116</v>
      </c>
    </row>
    <row r="783" spans="1:11" x14ac:dyDescent="0.2">
      <c r="A783" t="s">
        <v>17</v>
      </c>
      <c r="B783" t="s">
        <v>23</v>
      </c>
      <c r="C783" s="2">
        <v>43385</v>
      </c>
      <c r="D783" t="s">
        <v>392</v>
      </c>
      <c r="E783">
        <v>6665998.3799999999</v>
      </c>
      <c r="F783" t="s">
        <v>395</v>
      </c>
      <c r="G783" t="s">
        <v>394</v>
      </c>
      <c r="H783">
        <v>181005160116</v>
      </c>
    </row>
    <row r="784" spans="1:11" x14ac:dyDescent="0.2">
      <c r="A784" t="s">
        <v>17</v>
      </c>
      <c r="B784" t="s">
        <v>23</v>
      </c>
      <c r="C784" s="2">
        <v>43389</v>
      </c>
      <c r="D784" t="s">
        <v>392</v>
      </c>
      <c r="E784">
        <v>2257.54</v>
      </c>
      <c r="F784" t="s">
        <v>395</v>
      </c>
      <c r="G784" t="s">
        <v>394</v>
      </c>
      <c r="H784">
        <v>181005160116</v>
      </c>
    </row>
    <row r="785" spans="1:8" x14ac:dyDescent="0.2">
      <c r="A785" t="s">
        <v>17</v>
      </c>
      <c r="B785" t="s">
        <v>23</v>
      </c>
      <c r="C785" s="2">
        <v>43378</v>
      </c>
      <c r="D785" t="s">
        <v>392</v>
      </c>
      <c r="E785">
        <v>-212199942.84999999</v>
      </c>
      <c r="F785" t="s">
        <v>396</v>
      </c>
      <c r="G785" t="s">
        <v>394</v>
      </c>
      <c r="H785">
        <v>181005160116</v>
      </c>
    </row>
    <row r="786" spans="1:8" x14ac:dyDescent="0.2">
      <c r="A786" t="s">
        <v>17</v>
      </c>
      <c r="B786" t="s">
        <v>23</v>
      </c>
      <c r="C786" s="2">
        <v>43381</v>
      </c>
      <c r="D786" t="s">
        <v>392</v>
      </c>
      <c r="E786">
        <v>-267774822.88</v>
      </c>
      <c r="F786" t="s">
        <v>396</v>
      </c>
      <c r="G786" t="s">
        <v>394</v>
      </c>
      <c r="H786">
        <v>181005160116</v>
      </c>
    </row>
    <row r="787" spans="1:8" x14ac:dyDescent="0.2">
      <c r="A787" t="s">
        <v>17</v>
      </c>
      <c r="B787" t="s">
        <v>23</v>
      </c>
      <c r="C787" s="2">
        <v>43378</v>
      </c>
      <c r="D787" t="s">
        <v>392</v>
      </c>
      <c r="E787">
        <v>-306043481.38</v>
      </c>
      <c r="F787" t="s">
        <v>397</v>
      </c>
      <c r="G787" t="s">
        <v>394</v>
      </c>
      <c r="H787">
        <v>181005160116</v>
      </c>
    </row>
    <row r="788" spans="1:8" x14ac:dyDescent="0.2">
      <c r="A788" t="s">
        <v>17</v>
      </c>
      <c r="B788" t="s">
        <v>23</v>
      </c>
      <c r="C788" s="2">
        <v>43381</v>
      </c>
      <c r="D788" t="s">
        <v>392</v>
      </c>
      <c r="E788">
        <v>-961301489.50999999</v>
      </c>
      <c r="F788" t="s">
        <v>397</v>
      </c>
      <c r="G788" t="s">
        <v>394</v>
      </c>
      <c r="H788">
        <v>181005160116</v>
      </c>
    </row>
    <row r="789" spans="1:8" x14ac:dyDescent="0.2">
      <c r="A789" t="s">
        <v>146</v>
      </c>
      <c r="B789" t="s">
        <v>23</v>
      </c>
      <c r="C789" s="2">
        <v>43378</v>
      </c>
      <c r="D789" t="s">
        <v>392</v>
      </c>
      <c r="E789">
        <v>865288417.12</v>
      </c>
      <c r="F789" t="s">
        <v>393</v>
      </c>
      <c r="G789" t="s">
        <v>394</v>
      </c>
      <c r="H789">
        <v>181005160116</v>
      </c>
    </row>
    <row r="790" spans="1:8" x14ac:dyDescent="0.2">
      <c r="A790" t="s">
        <v>146</v>
      </c>
      <c r="B790" t="s">
        <v>23</v>
      </c>
      <c r="C790" s="2">
        <v>43381</v>
      </c>
      <c r="D790" t="s">
        <v>392</v>
      </c>
      <c r="E790">
        <v>928186136.30999994</v>
      </c>
      <c r="F790" t="s">
        <v>393</v>
      </c>
      <c r="G790" t="s">
        <v>394</v>
      </c>
      <c r="H790">
        <v>181005160116</v>
      </c>
    </row>
    <row r="791" spans="1:8" x14ac:dyDescent="0.2">
      <c r="A791" t="s">
        <v>146</v>
      </c>
      <c r="B791" t="s">
        <v>23</v>
      </c>
      <c r="C791" s="2">
        <v>43378</v>
      </c>
      <c r="D791" t="s">
        <v>392</v>
      </c>
      <c r="E791">
        <v>47100000</v>
      </c>
      <c r="F791" t="s">
        <v>423</v>
      </c>
      <c r="G791" t="s">
        <v>394</v>
      </c>
      <c r="H791">
        <v>181005160116</v>
      </c>
    </row>
    <row r="792" spans="1:8" x14ac:dyDescent="0.2">
      <c r="A792" t="s">
        <v>146</v>
      </c>
      <c r="B792" t="s">
        <v>23</v>
      </c>
      <c r="C792" s="2">
        <v>43381</v>
      </c>
      <c r="D792" t="s">
        <v>392</v>
      </c>
      <c r="E792">
        <v>37416873</v>
      </c>
      <c r="F792" t="s">
        <v>423</v>
      </c>
      <c r="G792" t="s">
        <v>394</v>
      </c>
      <c r="H792">
        <v>181005160116</v>
      </c>
    </row>
    <row r="793" spans="1:8" x14ac:dyDescent="0.2">
      <c r="A793" t="s">
        <v>146</v>
      </c>
      <c r="B793" t="s">
        <v>23</v>
      </c>
      <c r="C793" s="2">
        <v>43378</v>
      </c>
      <c r="D793" t="s">
        <v>392</v>
      </c>
      <c r="E793">
        <v>243580533.02000001</v>
      </c>
      <c r="F793" t="s">
        <v>395</v>
      </c>
      <c r="G793" t="s">
        <v>394</v>
      </c>
      <c r="H793">
        <v>181005160116</v>
      </c>
    </row>
    <row r="794" spans="1:8" x14ac:dyDescent="0.2">
      <c r="A794" t="s">
        <v>146</v>
      </c>
      <c r="B794" t="s">
        <v>23</v>
      </c>
      <c r="C794" s="2">
        <v>43381</v>
      </c>
      <c r="D794" t="s">
        <v>392</v>
      </c>
      <c r="E794">
        <v>151857921.19999999</v>
      </c>
      <c r="F794" t="s">
        <v>395</v>
      </c>
      <c r="G794" t="s">
        <v>394</v>
      </c>
      <c r="H794">
        <v>181005160116</v>
      </c>
    </row>
    <row r="795" spans="1:8" x14ac:dyDescent="0.2">
      <c r="A795" t="s">
        <v>146</v>
      </c>
      <c r="B795" t="s">
        <v>23</v>
      </c>
      <c r="C795" s="2">
        <v>43382</v>
      </c>
      <c r="D795" t="s">
        <v>392</v>
      </c>
      <c r="E795">
        <v>58534819.68</v>
      </c>
      <c r="F795" t="s">
        <v>395</v>
      </c>
      <c r="G795" t="s">
        <v>394</v>
      </c>
      <c r="H795">
        <v>181005160116</v>
      </c>
    </row>
    <row r="796" spans="1:8" x14ac:dyDescent="0.2">
      <c r="A796" t="s">
        <v>146</v>
      </c>
      <c r="B796" t="s">
        <v>23</v>
      </c>
      <c r="C796" s="2">
        <v>43383</v>
      </c>
      <c r="D796" t="s">
        <v>392</v>
      </c>
      <c r="E796">
        <v>24870466.140000001</v>
      </c>
      <c r="F796" t="s">
        <v>395</v>
      </c>
      <c r="G796" t="s">
        <v>394</v>
      </c>
      <c r="H796">
        <v>181005160116</v>
      </c>
    </row>
    <row r="797" spans="1:8" x14ac:dyDescent="0.2">
      <c r="A797" t="s">
        <v>146</v>
      </c>
      <c r="B797" t="s">
        <v>23</v>
      </c>
      <c r="C797" s="2">
        <v>43384</v>
      </c>
      <c r="D797" t="s">
        <v>392</v>
      </c>
      <c r="E797">
        <v>41299680.229999997</v>
      </c>
      <c r="F797" t="s">
        <v>395</v>
      </c>
      <c r="G797" t="s">
        <v>394</v>
      </c>
      <c r="H797">
        <v>181005160116</v>
      </c>
    </row>
    <row r="798" spans="1:8" x14ac:dyDescent="0.2">
      <c r="A798" t="s">
        <v>146</v>
      </c>
      <c r="B798" t="s">
        <v>23</v>
      </c>
      <c r="C798" s="2">
        <v>43385</v>
      </c>
      <c r="D798" t="s">
        <v>392</v>
      </c>
      <c r="E798">
        <v>14887743.92</v>
      </c>
      <c r="F798" t="s">
        <v>395</v>
      </c>
      <c r="G798" t="s">
        <v>394</v>
      </c>
      <c r="H798">
        <v>181005160116</v>
      </c>
    </row>
    <row r="799" spans="1:8" x14ac:dyDescent="0.2">
      <c r="A799" t="s">
        <v>146</v>
      </c>
      <c r="B799" t="s">
        <v>23</v>
      </c>
      <c r="C799" s="2">
        <v>43389</v>
      </c>
      <c r="D799" t="s">
        <v>392</v>
      </c>
      <c r="E799">
        <v>3136329.65</v>
      </c>
      <c r="F799" t="s">
        <v>395</v>
      </c>
      <c r="G799" t="s">
        <v>394</v>
      </c>
      <c r="H799">
        <v>181005160116</v>
      </c>
    </row>
    <row r="800" spans="1:8" x14ac:dyDescent="0.2">
      <c r="A800" t="s">
        <v>146</v>
      </c>
      <c r="B800" t="s">
        <v>23</v>
      </c>
      <c r="C800" s="2">
        <v>43404</v>
      </c>
      <c r="D800" t="s">
        <v>392</v>
      </c>
      <c r="E800">
        <v>498722.17</v>
      </c>
      <c r="F800" t="s">
        <v>395</v>
      </c>
      <c r="G800" t="s">
        <v>394</v>
      </c>
      <c r="H800">
        <v>181005160116</v>
      </c>
    </row>
    <row r="801" spans="1:8" x14ac:dyDescent="0.2">
      <c r="A801" t="s">
        <v>146</v>
      </c>
      <c r="B801" t="s">
        <v>23</v>
      </c>
      <c r="C801" s="2">
        <v>43378</v>
      </c>
      <c r="D801" t="s">
        <v>392</v>
      </c>
      <c r="E801">
        <v>-659524075.10000002</v>
      </c>
      <c r="F801" t="s">
        <v>396</v>
      </c>
      <c r="G801" t="s">
        <v>394</v>
      </c>
      <c r="H801">
        <v>181005160116</v>
      </c>
    </row>
    <row r="802" spans="1:8" x14ac:dyDescent="0.2">
      <c r="A802" t="s">
        <v>146</v>
      </c>
      <c r="B802" t="s">
        <v>23</v>
      </c>
      <c r="C802" s="2">
        <v>43381</v>
      </c>
      <c r="D802" t="s">
        <v>392</v>
      </c>
      <c r="E802">
        <v>-400924530.91000003</v>
      </c>
      <c r="F802" t="s">
        <v>396</v>
      </c>
      <c r="G802" t="s">
        <v>394</v>
      </c>
      <c r="H802">
        <v>181005160116</v>
      </c>
    </row>
    <row r="803" spans="1:8" x14ac:dyDescent="0.2">
      <c r="A803" t="s">
        <v>146</v>
      </c>
      <c r="B803" t="s">
        <v>23</v>
      </c>
      <c r="C803" s="2">
        <v>43378</v>
      </c>
      <c r="D803" t="s">
        <v>392</v>
      </c>
      <c r="E803">
        <v>-822988916.84000003</v>
      </c>
      <c r="F803" t="s">
        <v>397</v>
      </c>
      <c r="G803" t="s">
        <v>394</v>
      </c>
      <c r="H803">
        <v>181005160116</v>
      </c>
    </row>
    <row r="804" spans="1:8" x14ac:dyDescent="0.2">
      <c r="A804" t="s">
        <v>146</v>
      </c>
      <c r="B804" t="s">
        <v>23</v>
      </c>
      <c r="C804" s="2">
        <v>43381</v>
      </c>
      <c r="D804" t="s">
        <v>392</v>
      </c>
      <c r="E804">
        <v>-417294605.24000001</v>
      </c>
      <c r="F804" t="s">
        <v>397</v>
      </c>
      <c r="G804" t="s">
        <v>394</v>
      </c>
      <c r="H804">
        <v>181005160116</v>
      </c>
    </row>
    <row r="805" spans="1:8" x14ac:dyDescent="0.2">
      <c r="A805" t="s">
        <v>484</v>
      </c>
      <c r="B805" t="s">
        <v>23</v>
      </c>
      <c r="C805" s="2">
        <v>43378</v>
      </c>
      <c r="D805" t="s">
        <v>392</v>
      </c>
      <c r="E805">
        <v>5750461.75</v>
      </c>
      <c r="F805" t="s">
        <v>393</v>
      </c>
      <c r="G805" t="s">
        <v>394</v>
      </c>
      <c r="H805">
        <v>181005160116</v>
      </c>
    </row>
    <row r="806" spans="1:8" x14ac:dyDescent="0.2">
      <c r="A806" t="s">
        <v>484</v>
      </c>
      <c r="B806" t="s">
        <v>23</v>
      </c>
      <c r="C806" s="2">
        <v>43381</v>
      </c>
      <c r="D806" t="s">
        <v>392</v>
      </c>
      <c r="E806">
        <v>26000</v>
      </c>
      <c r="F806" t="s">
        <v>393</v>
      </c>
      <c r="G806" t="s">
        <v>394</v>
      </c>
      <c r="H806">
        <v>181005160116</v>
      </c>
    </row>
    <row r="807" spans="1:8" x14ac:dyDescent="0.2">
      <c r="A807" t="s">
        <v>484</v>
      </c>
      <c r="B807" t="s">
        <v>23</v>
      </c>
      <c r="C807" s="2">
        <v>43378</v>
      </c>
      <c r="D807" t="s">
        <v>392</v>
      </c>
      <c r="E807">
        <v>2851704.13</v>
      </c>
      <c r="F807" t="s">
        <v>395</v>
      </c>
      <c r="G807" t="s">
        <v>394</v>
      </c>
      <c r="H807">
        <v>181005160116</v>
      </c>
    </row>
    <row r="808" spans="1:8" x14ac:dyDescent="0.2">
      <c r="A808" t="s">
        <v>484</v>
      </c>
      <c r="B808" t="s">
        <v>23</v>
      </c>
      <c r="C808" s="2">
        <v>43381</v>
      </c>
      <c r="D808" t="s">
        <v>392</v>
      </c>
      <c r="E808">
        <v>500000</v>
      </c>
      <c r="F808" t="s">
        <v>395</v>
      </c>
      <c r="G808" t="s">
        <v>394</v>
      </c>
      <c r="H808">
        <v>181005160116</v>
      </c>
    </row>
    <row r="809" spans="1:8" x14ac:dyDescent="0.2">
      <c r="A809" t="s">
        <v>484</v>
      </c>
      <c r="B809" t="s">
        <v>23</v>
      </c>
      <c r="C809" s="2">
        <v>43382</v>
      </c>
      <c r="D809" t="s">
        <v>392</v>
      </c>
      <c r="E809">
        <v>10188.18</v>
      </c>
      <c r="F809" t="s">
        <v>395</v>
      </c>
      <c r="G809" t="s">
        <v>394</v>
      </c>
      <c r="H809">
        <v>181005160116</v>
      </c>
    </row>
    <row r="810" spans="1:8" x14ac:dyDescent="0.2">
      <c r="A810" t="s">
        <v>484</v>
      </c>
      <c r="B810" t="s">
        <v>23</v>
      </c>
      <c r="C810" s="2">
        <v>43378</v>
      </c>
      <c r="D810" t="s">
        <v>392</v>
      </c>
      <c r="E810">
        <v>-4266.16</v>
      </c>
      <c r="F810" t="s">
        <v>397</v>
      </c>
      <c r="G810" t="s">
        <v>394</v>
      </c>
      <c r="H810">
        <v>181005160116</v>
      </c>
    </row>
    <row r="811" spans="1:8" x14ac:dyDescent="0.2">
      <c r="A811" t="s">
        <v>484</v>
      </c>
      <c r="B811" t="s">
        <v>23</v>
      </c>
      <c r="C811" s="2">
        <v>43382</v>
      </c>
      <c r="D811" t="s">
        <v>392</v>
      </c>
      <c r="E811">
        <v>-2976019.61</v>
      </c>
      <c r="F811" t="s">
        <v>397</v>
      </c>
      <c r="G811" t="s">
        <v>394</v>
      </c>
      <c r="H811">
        <v>181005160116</v>
      </c>
    </row>
    <row r="812" spans="1:8" x14ac:dyDescent="0.2">
      <c r="A812" t="s">
        <v>485</v>
      </c>
      <c r="B812" t="s">
        <v>23</v>
      </c>
      <c r="C812" s="2">
        <v>43381</v>
      </c>
      <c r="D812" t="s">
        <v>392</v>
      </c>
      <c r="E812">
        <v>20000</v>
      </c>
      <c r="F812" t="s">
        <v>393</v>
      </c>
      <c r="G812" t="s">
        <v>394</v>
      </c>
      <c r="H812">
        <v>181005160116</v>
      </c>
    </row>
    <row r="813" spans="1:8" x14ac:dyDescent="0.2">
      <c r="A813" t="s">
        <v>485</v>
      </c>
      <c r="B813" t="s">
        <v>23</v>
      </c>
      <c r="C813" s="2">
        <v>43383</v>
      </c>
      <c r="D813" t="s">
        <v>392</v>
      </c>
      <c r="E813">
        <v>-243880.93</v>
      </c>
      <c r="F813" t="s">
        <v>397</v>
      </c>
      <c r="G813" t="s">
        <v>394</v>
      </c>
      <c r="H813">
        <v>181005160116</v>
      </c>
    </row>
    <row r="814" spans="1:8" x14ac:dyDescent="0.2">
      <c r="A814" t="s">
        <v>486</v>
      </c>
      <c r="B814" t="s">
        <v>23</v>
      </c>
      <c r="C814" s="2">
        <v>43381</v>
      </c>
      <c r="D814" t="s">
        <v>392</v>
      </c>
      <c r="E814">
        <v>2000</v>
      </c>
      <c r="F814" t="s">
        <v>393</v>
      </c>
      <c r="G814" t="s">
        <v>394</v>
      </c>
      <c r="H814">
        <v>181005160116</v>
      </c>
    </row>
    <row r="815" spans="1:8" x14ac:dyDescent="0.2">
      <c r="A815" t="s">
        <v>486</v>
      </c>
      <c r="B815" t="s">
        <v>23</v>
      </c>
      <c r="C815" s="2">
        <v>43378</v>
      </c>
      <c r="D815" t="s">
        <v>392</v>
      </c>
      <c r="E815">
        <v>1200</v>
      </c>
      <c r="F815" t="s">
        <v>395</v>
      </c>
      <c r="G815" t="s">
        <v>394</v>
      </c>
      <c r="H815">
        <v>181005160116</v>
      </c>
    </row>
    <row r="816" spans="1:8" x14ac:dyDescent="0.2">
      <c r="A816" t="s">
        <v>486</v>
      </c>
      <c r="B816" t="s">
        <v>23</v>
      </c>
      <c r="C816" s="2">
        <v>43382</v>
      </c>
      <c r="D816" t="s">
        <v>392</v>
      </c>
      <c r="E816">
        <v>-955.32</v>
      </c>
      <c r="F816" t="s">
        <v>396</v>
      </c>
      <c r="G816" t="s">
        <v>394</v>
      </c>
      <c r="H816">
        <v>181005160116</v>
      </c>
    </row>
    <row r="817" spans="1:8" x14ac:dyDescent="0.2">
      <c r="A817" t="s">
        <v>486</v>
      </c>
      <c r="B817" t="s">
        <v>23</v>
      </c>
      <c r="C817" s="2">
        <v>43384</v>
      </c>
      <c r="D817" t="s">
        <v>392</v>
      </c>
      <c r="E817">
        <v>-171983.2</v>
      </c>
      <c r="F817" t="s">
        <v>396</v>
      </c>
      <c r="G817" t="s">
        <v>394</v>
      </c>
      <c r="H817">
        <v>181005160116</v>
      </c>
    </row>
    <row r="818" spans="1:8" x14ac:dyDescent="0.2">
      <c r="A818" t="s">
        <v>486</v>
      </c>
      <c r="B818" t="s">
        <v>23</v>
      </c>
      <c r="C818" s="2">
        <v>43385</v>
      </c>
      <c r="D818" t="s">
        <v>392</v>
      </c>
      <c r="E818">
        <v>-9000</v>
      </c>
      <c r="F818" t="s">
        <v>396</v>
      </c>
      <c r="G818" t="s">
        <v>394</v>
      </c>
      <c r="H818">
        <v>181005160116</v>
      </c>
    </row>
    <row r="819" spans="1:8" x14ac:dyDescent="0.2">
      <c r="A819" t="s">
        <v>486</v>
      </c>
      <c r="B819" t="s">
        <v>23</v>
      </c>
      <c r="C819" s="2">
        <v>43378</v>
      </c>
      <c r="D819" t="s">
        <v>392</v>
      </c>
      <c r="E819">
        <v>-101052.54</v>
      </c>
      <c r="F819" t="s">
        <v>397</v>
      </c>
      <c r="G819" t="s">
        <v>394</v>
      </c>
      <c r="H819">
        <v>181005160116</v>
      </c>
    </row>
    <row r="820" spans="1:8" x14ac:dyDescent="0.2">
      <c r="A820" t="s">
        <v>486</v>
      </c>
      <c r="B820" t="s">
        <v>23</v>
      </c>
      <c r="C820" s="2">
        <v>43383</v>
      </c>
      <c r="D820" t="s">
        <v>392</v>
      </c>
      <c r="E820">
        <v>-50249</v>
      </c>
      <c r="F820" t="s">
        <v>397</v>
      </c>
      <c r="G820" t="s">
        <v>394</v>
      </c>
      <c r="H820">
        <v>181005160116</v>
      </c>
    </row>
    <row r="821" spans="1:8" x14ac:dyDescent="0.2">
      <c r="A821" t="s">
        <v>486</v>
      </c>
      <c r="B821" t="s">
        <v>23</v>
      </c>
      <c r="C821" s="2">
        <v>43384</v>
      </c>
      <c r="D821" t="s">
        <v>392</v>
      </c>
      <c r="E821">
        <v>-295162.75</v>
      </c>
      <c r="F821" t="s">
        <v>397</v>
      </c>
      <c r="G821" t="s">
        <v>394</v>
      </c>
      <c r="H821">
        <v>181005160116</v>
      </c>
    </row>
    <row r="822" spans="1:8" x14ac:dyDescent="0.2">
      <c r="A822" t="s">
        <v>487</v>
      </c>
      <c r="B822" t="s">
        <v>23</v>
      </c>
      <c r="C822" s="2">
        <v>43382</v>
      </c>
      <c r="D822" t="s">
        <v>392</v>
      </c>
      <c r="E822">
        <v>-950000</v>
      </c>
      <c r="F822" t="s">
        <v>397</v>
      </c>
      <c r="G822" t="s">
        <v>394</v>
      </c>
      <c r="H822">
        <v>181005160116</v>
      </c>
    </row>
    <row r="823" spans="1:8" x14ac:dyDescent="0.2">
      <c r="A823" t="s">
        <v>488</v>
      </c>
      <c r="B823" t="s">
        <v>23</v>
      </c>
      <c r="C823" s="2">
        <v>43382</v>
      </c>
      <c r="D823" t="s">
        <v>392</v>
      </c>
      <c r="E823">
        <v>-389065</v>
      </c>
      <c r="F823" t="s">
        <v>396</v>
      </c>
      <c r="G823" t="s">
        <v>394</v>
      </c>
      <c r="H823">
        <v>181005160116</v>
      </c>
    </row>
    <row r="824" spans="1:8" x14ac:dyDescent="0.2">
      <c r="A824" t="s">
        <v>488</v>
      </c>
      <c r="B824" t="s">
        <v>23</v>
      </c>
      <c r="C824" s="2">
        <v>43383</v>
      </c>
      <c r="D824" t="s">
        <v>392</v>
      </c>
      <c r="E824">
        <v>-2917987.53</v>
      </c>
      <c r="F824" t="s">
        <v>397</v>
      </c>
      <c r="G824" t="s">
        <v>394</v>
      </c>
      <c r="H824">
        <v>181005160116</v>
      </c>
    </row>
    <row r="825" spans="1:8" x14ac:dyDescent="0.2">
      <c r="A825" t="s">
        <v>489</v>
      </c>
      <c r="B825" t="s">
        <v>23</v>
      </c>
      <c r="C825" s="2">
        <v>43378</v>
      </c>
      <c r="D825" t="s">
        <v>392</v>
      </c>
      <c r="E825">
        <v>15079.75</v>
      </c>
      <c r="F825" t="s">
        <v>393</v>
      </c>
      <c r="G825" t="s">
        <v>394</v>
      </c>
      <c r="H825">
        <v>181005160116</v>
      </c>
    </row>
    <row r="826" spans="1:8" x14ac:dyDescent="0.2">
      <c r="A826" t="s">
        <v>489</v>
      </c>
      <c r="B826" t="s">
        <v>23</v>
      </c>
      <c r="C826" s="2">
        <v>43381</v>
      </c>
      <c r="D826" t="s">
        <v>392</v>
      </c>
      <c r="E826">
        <v>471000</v>
      </c>
      <c r="F826" t="s">
        <v>393</v>
      </c>
      <c r="G826" t="s">
        <v>394</v>
      </c>
      <c r="H826">
        <v>181005160116</v>
      </c>
    </row>
    <row r="827" spans="1:8" x14ac:dyDescent="0.2">
      <c r="A827" t="s">
        <v>489</v>
      </c>
      <c r="B827" t="s">
        <v>23</v>
      </c>
      <c r="C827" s="2">
        <v>43378</v>
      </c>
      <c r="D827" t="s">
        <v>392</v>
      </c>
      <c r="E827">
        <v>781538</v>
      </c>
      <c r="F827" t="s">
        <v>395</v>
      </c>
      <c r="G827" t="s">
        <v>394</v>
      </c>
      <c r="H827">
        <v>181005160116</v>
      </c>
    </row>
    <row r="828" spans="1:8" x14ac:dyDescent="0.2">
      <c r="A828" t="s">
        <v>489</v>
      </c>
      <c r="B828" t="s">
        <v>23</v>
      </c>
      <c r="C828" s="2">
        <v>43381</v>
      </c>
      <c r="D828" t="s">
        <v>392</v>
      </c>
      <c r="E828">
        <v>5000</v>
      </c>
      <c r="F828" t="s">
        <v>395</v>
      </c>
      <c r="G828" t="s">
        <v>394</v>
      </c>
      <c r="H828">
        <v>181005160116</v>
      </c>
    </row>
    <row r="829" spans="1:8" x14ac:dyDescent="0.2">
      <c r="A829" t="s">
        <v>489</v>
      </c>
      <c r="B829" t="s">
        <v>23</v>
      </c>
      <c r="C829" s="2">
        <v>43378</v>
      </c>
      <c r="D829" t="s">
        <v>392</v>
      </c>
      <c r="E829">
        <v>-202335.41</v>
      </c>
      <c r="F829" t="s">
        <v>396</v>
      </c>
      <c r="G829" t="s">
        <v>394</v>
      </c>
      <c r="H829">
        <v>181005160116</v>
      </c>
    </row>
    <row r="830" spans="1:8" x14ac:dyDescent="0.2">
      <c r="A830" t="s">
        <v>489</v>
      </c>
      <c r="B830" t="s">
        <v>23</v>
      </c>
      <c r="C830" s="2">
        <v>43381</v>
      </c>
      <c r="D830" t="s">
        <v>392</v>
      </c>
      <c r="E830">
        <v>-313573.90999999997</v>
      </c>
      <c r="F830" t="s">
        <v>396</v>
      </c>
      <c r="G830" t="s">
        <v>394</v>
      </c>
      <c r="H830">
        <v>181005160116</v>
      </c>
    </row>
    <row r="831" spans="1:8" x14ac:dyDescent="0.2">
      <c r="A831" t="s">
        <v>489</v>
      </c>
      <c r="B831" t="s">
        <v>23</v>
      </c>
      <c r="C831" s="2">
        <v>43382</v>
      </c>
      <c r="D831" t="s">
        <v>392</v>
      </c>
      <c r="E831">
        <v>-319027.57</v>
      </c>
      <c r="F831" t="s">
        <v>396</v>
      </c>
      <c r="G831" t="s">
        <v>394</v>
      </c>
      <c r="H831">
        <v>181005160116</v>
      </c>
    </row>
    <row r="832" spans="1:8" x14ac:dyDescent="0.2">
      <c r="A832" t="s">
        <v>489</v>
      </c>
      <c r="B832" t="s">
        <v>23</v>
      </c>
      <c r="C832" s="2">
        <v>43381</v>
      </c>
      <c r="D832" t="s">
        <v>392</v>
      </c>
      <c r="E832">
        <v>-1218261.06</v>
      </c>
      <c r="F832" t="s">
        <v>397</v>
      </c>
      <c r="G832" t="s">
        <v>394</v>
      </c>
      <c r="H832">
        <v>181005160116</v>
      </c>
    </row>
    <row r="833" spans="1:8" x14ac:dyDescent="0.2">
      <c r="A833" t="s">
        <v>490</v>
      </c>
      <c r="B833" t="s">
        <v>23</v>
      </c>
      <c r="C833" s="2">
        <v>43378</v>
      </c>
      <c r="D833" t="s">
        <v>392</v>
      </c>
      <c r="E833">
        <v>111164.63</v>
      </c>
      <c r="F833" t="s">
        <v>393</v>
      </c>
      <c r="G833" t="s">
        <v>394</v>
      </c>
      <c r="H833">
        <v>181005160116</v>
      </c>
    </row>
    <row r="834" spans="1:8" x14ac:dyDescent="0.2">
      <c r="A834" t="s">
        <v>490</v>
      </c>
      <c r="B834" t="s">
        <v>23</v>
      </c>
      <c r="C834" s="2">
        <v>43381</v>
      </c>
      <c r="D834" t="s">
        <v>392</v>
      </c>
      <c r="E834">
        <v>151000</v>
      </c>
      <c r="F834" t="s">
        <v>393</v>
      </c>
      <c r="G834" t="s">
        <v>394</v>
      </c>
      <c r="H834">
        <v>181005160116</v>
      </c>
    </row>
    <row r="835" spans="1:8" x14ac:dyDescent="0.2">
      <c r="A835" t="s">
        <v>490</v>
      </c>
      <c r="B835" t="s">
        <v>23</v>
      </c>
      <c r="C835" s="2">
        <v>43378</v>
      </c>
      <c r="D835" t="s">
        <v>392</v>
      </c>
      <c r="E835">
        <v>8089737.96</v>
      </c>
      <c r="F835" t="s">
        <v>395</v>
      </c>
      <c r="G835" t="s">
        <v>394</v>
      </c>
      <c r="H835">
        <v>181005160116</v>
      </c>
    </row>
    <row r="836" spans="1:8" x14ac:dyDescent="0.2">
      <c r="A836" t="s">
        <v>490</v>
      </c>
      <c r="B836" t="s">
        <v>23</v>
      </c>
      <c r="C836" s="2">
        <v>43381</v>
      </c>
      <c r="D836" t="s">
        <v>392</v>
      </c>
      <c r="E836">
        <v>1069000</v>
      </c>
      <c r="F836" t="s">
        <v>395</v>
      </c>
      <c r="G836" t="s">
        <v>394</v>
      </c>
      <c r="H836">
        <v>181005160116</v>
      </c>
    </row>
    <row r="837" spans="1:8" x14ac:dyDescent="0.2">
      <c r="A837" t="s">
        <v>490</v>
      </c>
      <c r="B837" t="s">
        <v>23</v>
      </c>
      <c r="C837" s="2">
        <v>43378</v>
      </c>
      <c r="D837" t="s">
        <v>392</v>
      </c>
      <c r="E837">
        <v>-395376.58</v>
      </c>
      <c r="F837" t="s">
        <v>396</v>
      </c>
      <c r="G837" t="s">
        <v>394</v>
      </c>
      <c r="H837">
        <v>181005160116</v>
      </c>
    </row>
    <row r="838" spans="1:8" x14ac:dyDescent="0.2">
      <c r="A838" t="s">
        <v>490</v>
      </c>
      <c r="B838" t="s">
        <v>23</v>
      </c>
      <c r="C838" s="2">
        <v>43381</v>
      </c>
      <c r="D838" t="s">
        <v>392</v>
      </c>
      <c r="E838">
        <v>-1000</v>
      </c>
      <c r="F838" t="s">
        <v>396</v>
      </c>
      <c r="G838" t="s">
        <v>394</v>
      </c>
      <c r="H838">
        <v>181005160116</v>
      </c>
    </row>
    <row r="839" spans="1:8" x14ac:dyDescent="0.2">
      <c r="A839" t="s">
        <v>490</v>
      </c>
      <c r="B839" t="s">
        <v>23</v>
      </c>
      <c r="C839" s="2">
        <v>43378</v>
      </c>
      <c r="D839" t="s">
        <v>392</v>
      </c>
      <c r="E839">
        <v>-1974466.11</v>
      </c>
      <c r="F839" t="s">
        <v>397</v>
      </c>
      <c r="G839" t="s">
        <v>394</v>
      </c>
      <c r="H839">
        <v>181005160116</v>
      </c>
    </row>
    <row r="840" spans="1:8" x14ac:dyDescent="0.2">
      <c r="A840" t="s">
        <v>490</v>
      </c>
      <c r="B840" t="s">
        <v>23</v>
      </c>
      <c r="C840" s="2">
        <v>43381</v>
      </c>
      <c r="D840" t="s">
        <v>392</v>
      </c>
      <c r="E840">
        <v>-1815032.11</v>
      </c>
      <c r="F840" t="s">
        <v>397</v>
      </c>
      <c r="G840" t="s">
        <v>394</v>
      </c>
      <c r="H840">
        <v>181005160116</v>
      </c>
    </row>
    <row r="841" spans="1:8" x14ac:dyDescent="0.2">
      <c r="A841" t="s">
        <v>147</v>
      </c>
      <c r="B841" t="s">
        <v>23</v>
      </c>
      <c r="C841" s="2">
        <v>43378</v>
      </c>
      <c r="D841" t="s">
        <v>392</v>
      </c>
      <c r="E841">
        <v>1357496.67</v>
      </c>
      <c r="F841" t="s">
        <v>393</v>
      </c>
      <c r="G841" t="s">
        <v>394</v>
      </c>
      <c r="H841">
        <v>181005160116</v>
      </c>
    </row>
    <row r="842" spans="1:8" x14ac:dyDescent="0.2">
      <c r="A842" t="s">
        <v>147</v>
      </c>
      <c r="B842" t="s">
        <v>23</v>
      </c>
      <c r="C842" s="2">
        <v>43381</v>
      </c>
      <c r="D842" t="s">
        <v>392</v>
      </c>
      <c r="E842">
        <v>728400</v>
      </c>
      <c r="F842" t="s">
        <v>393</v>
      </c>
      <c r="G842" t="s">
        <v>394</v>
      </c>
      <c r="H842">
        <v>181005160116</v>
      </c>
    </row>
    <row r="843" spans="1:8" x14ac:dyDescent="0.2">
      <c r="A843" t="s">
        <v>147</v>
      </c>
      <c r="B843" t="s">
        <v>23</v>
      </c>
      <c r="C843" s="2">
        <v>43378</v>
      </c>
      <c r="D843" t="s">
        <v>392</v>
      </c>
      <c r="E843">
        <v>1707207.09</v>
      </c>
      <c r="F843" t="s">
        <v>395</v>
      </c>
      <c r="G843" t="s">
        <v>394</v>
      </c>
      <c r="H843">
        <v>181005160116</v>
      </c>
    </row>
    <row r="844" spans="1:8" x14ac:dyDescent="0.2">
      <c r="A844" t="s">
        <v>147</v>
      </c>
      <c r="B844" t="s">
        <v>23</v>
      </c>
      <c r="C844" s="2">
        <v>43381</v>
      </c>
      <c r="D844" t="s">
        <v>392</v>
      </c>
      <c r="E844">
        <v>3152358.11</v>
      </c>
      <c r="F844" t="s">
        <v>395</v>
      </c>
      <c r="G844" t="s">
        <v>394</v>
      </c>
      <c r="H844">
        <v>181005160116</v>
      </c>
    </row>
    <row r="845" spans="1:8" x14ac:dyDescent="0.2">
      <c r="A845" t="s">
        <v>147</v>
      </c>
      <c r="B845" t="s">
        <v>23</v>
      </c>
      <c r="C845" s="2">
        <v>43382</v>
      </c>
      <c r="D845" t="s">
        <v>392</v>
      </c>
      <c r="E845">
        <v>11364.19</v>
      </c>
      <c r="F845" t="s">
        <v>395</v>
      </c>
      <c r="G845" t="s">
        <v>394</v>
      </c>
      <c r="H845">
        <v>181005160116</v>
      </c>
    </row>
    <row r="846" spans="1:8" x14ac:dyDescent="0.2">
      <c r="A846" t="s">
        <v>147</v>
      </c>
      <c r="B846" t="s">
        <v>23</v>
      </c>
      <c r="C846" s="2">
        <v>43383</v>
      </c>
      <c r="D846" t="s">
        <v>392</v>
      </c>
      <c r="E846">
        <v>131459.81</v>
      </c>
      <c r="F846" t="s">
        <v>395</v>
      </c>
      <c r="G846" t="s">
        <v>394</v>
      </c>
      <c r="H846">
        <v>181005160116</v>
      </c>
    </row>
    <row r="847" spans="1:8" x14ac:dyDescent="0.2">
      <c r="A847" t="s">
        <v>147</v>
      </c>
      <c r="B847" t="s">
        <v>23</v>
      </c>
      <c r="C847" s="2">
        <v>43378</v>
      </c>
      <c r="D847" t="s">
        <v>392</v>
      </c>
      <c r="E847">
        <v>-5104770.8600000003</v>
      </c>
      <c r="F847" t="s">
        <v>396</v>
      </c>
      <c r="G847" t="s">
        <v>394</v>
      </c>
      <c r="H847">
        <v>181005160116</v>
      </c>
    </row>
    <row r="848" spans="1:8" x14ac:dyDescent="0.2">
      <c r="A848" t="s">
        <v>147</v>
      </c>
      <c r="B848" t="s">
        <v>23</v>
      </c>
      <c r="C848" s="2">
        <v>43381</v>
      </c>
      <c r="D848" t="s">
        <v>392</v>
      </c>
      <c r="E848">
        <v>-34580937.759999998</v>
      </c>
      <c r="F848" t="s">
        <v>396</v>
      </c>
      <c r="G848" t="s">
        <v>394</v>
      </c>
      <c r="H848">
        <v>181005160116</v>
      </c>
    </row>
    <row r="849" spans="1:8" x14ac:dyDescent="0.2">
      <c r="A849" t="s">
        <v>147</v>
      </c>
      <c r="B849" t="s">
        <v>23</v>
      </c>
      <c r="C849" s="2">
        <v>43378</v>
      </c>
      <c r="D849" t="s">
        <v>392</v>
      </c>
      <c r="E849">
        <v>-11099704.43</v>
      </c>
      <c r="F849" t="s">
        <v>397</v>
      </c>
      <c r="G849" t="s">
        <v>394</v>
      </c>
      <c r="H849">
        <v>181005160116</v>
      </c>
    </row>
    <row r="850" spans="1:8" x14ac:dyDescent="0.2">
      <c r="A850" t="s">
        <v>147</v>
      </c>
      <c r="B850" t="s">
        <v>23</v>
      </c>
      <c r="C850" s="2">
        <v>43381</v>
      </c>
      <c r="D850" t="s">
        <v>392</v>
      </c>
      <c r="E850">
        <v>-4578950.49</v>
      </c>
      <c r="F850" t="s">
        <v>397</v>
      </c>
      <c r="G850" t="s">
        <v>394</v>
      </c>
      <c r="H850">
        <v>181005160116</v>
      </c>
    </row>
    <row r="851" spans="1:8" x14ac:dyDescent="0.2">
      <c r="A851" t="s">
        <v>148</v>
      </c>
      <c r="B851" t="s">
        <v>23</v>
      </c>
      <c r="C851" s="2">
        <v>43378</v>
      </c>
      <c r="D851" t="s">
        <v>392</v>
      </c>
      <c r="E851">
        <v>348412419.41000003</v>
      </c>
      <c r="F851" t="s">
        <v>393</v>
      </c>
      <c r="G851" t="s">
        <v>394</v>
      </c>
      <c r="H851">
        <v>181005160116</v>
      </c>
    </row>
    <row r="852" spans="1:8" x14ac:dyDescent="0.2">
      <c r="A852" t="s">
        <v>148</v>
      </c>
      <c r="B852" t="s">
        <v>23</v>
      </c>
      <c r="C852" s="2">
        <v>43381</v>
      </c>
      <c r="D852" t="s">
        <v>392</v>
      </c>
      <c r="E852">
        <v>8817393.7100000009</v>
      </c>
      <c r="F852" t="s">
        <v>393</v>
      </c>
      <c r="G852" t="s">
        <v>394</v>
      </c>
      <c r="H852">
        <v>181005160116</v>
      </c>
    </row>
    <row r="853" spans="1:8" x14ac:dyDescent="0.2">
      <c r="A853" t="s">
        <v>148</v>
      </c>
      <c r="B853" t="s">
        <v>23</v>
      </c>
      <c r="C853" s="2">
        <v>43381</v>
      </c>
      <c r="D853" t="s">
        <v>392</v>
      </c>
      <c r="E853">
        <v>12000</v>
      </c>
      <c r="F853" t="s">
        <v>395</v>
      </c>
      <c r="G853" t="s">
        <v>394</v>
      </c>
      <c r="H853">
        <v>181005160116</v>
      </c>
    </row>
    <row r="854" spans="1:8" x14ac:dyDescent="0.2">
      <c r="A854" t="s">
        <v>148</v>
      </c>
      <c r="B854" t="s">
        <v>23</v>
      </c>
      <c r="C854" s="2">
        <v>43378</v>
      </c>
      <c r="D854" t="s">
        <v>392</v>
      </c>
      <c r="E854">
        <v>-51348421.219999999</v>
      </c>
      <c r="F854" t="s">
        <v>396</v>
      </c>
      <c r="G854" t="s">
        <v>394</v>
      </c>
      <c r="H854">
        <v>181005160116</v>
      </c>
    </row>
    <row r="855" spans="1:8" x14ac:dyDescent="0.2">
      <c r="A855" t="s">
        <v>148</v>
      </c>
      <c r="B855" t="s">
        <v>23</v>
      </c>
      <c r="C855" s="2">
        <v>43381</v>
      </c>
      <c r="D855" t="s">
        <v>392</v>
      </c>
      <c r="E855">
        <v>-25402592.510000002</v>
      </c>
      <c r="F855" t="s">
        <v>396</v>
      </c>
      <c r="G855" t="s">
        <v>394</v>
      </c>
      <c r="H855">
        <v>181005160116</v>
      </c>
    </row>
    <row r="856" spans="1:8" x14ac:dyDescent="0.2">
      <c r="A856" t="s">
        <v>148</v>
      </c>
      <c r="B856" t="s">
        <v>23</v>
      </c>
      <c r="C856" s="2">
        <v>43378</v>
      </c>
      <c r="D856" t="s">
        <v>392</v>
      </c>
      <c r="E856">
        <v>-115000</v>
      </c>
      <c r="F856" t="s">
        <v>397</v>
      </c>
      <c r="G856" t="s">
        <v>394</v>
      </c>
      <c r="H856">
        <v>181005160116</v>
      </c>
    </row>
    <row r="857" spans="1:8" x14ac:dyDescent="0.2">
      <c r="A857" t="s">
        <v>148</v>
      </c>
      <c r="B857" t="s">
        <v>23</v>
      </c>
      <c r="C857" s="2">
        <v>43381</v>
      </c>
      <c r="D857" t="s">
        <v>392</v>
      </c>
      <c r="E857">
        <v>-3031650.83</v>
      </c>
      <c r="F857" t="s">
        <v>397</v>
      </c>
      <c r="G857" t="s">
        <v>394</v>
      </c>
      <c r="H857">
        <v>181005160116</v>
      </c>
    </row>
    <row r="858" spans="1:8" x14ac:dyDescent="0.2">
      <c r="A858" t="s">
        <v>491</v>
      </c>
      <c r="B858" t="s">
        <v>23</v>
      </c>
      <c r="C858" s="2">
        <v>43382</v>
      </c>
      <c r="D858" t="s">
        <v>392</v>
      </c>
      <c r="E858">
        <v>-201634.93</v>
      </c>
      <c r="F858" t="s">
        <v>397</v>
      </c>
      <c r="G858" t="s">
        <v>394</v>
      </c>
      <c r="H858">
        <v>181005160116</v>
      </c>
    </row>
    <row r="859" spans="1:8" x14ac:dyDescent="0.2">
      <c r="A859" t="s">
        <v>492</v>
      </c>
      <c r="B859" t="s">
        <v>23</v>
      </c>
      <c r="C859" s="2">
        <v>43378</v>
      </c>
      <c r="D859" t="s">
        <v>392</v>
      </c>
      <c r="E859">
        <v>47000</v>
      </c>
      <c r="F859" t="s">
        <v>393</v>
      </c>
      <c r="G859" t="s">
        <v>394</v>
      </c>
      <c r="H859">
        <v>181005160116</v>
      </c>
    </row>
    <row r="860" spans="1:8" x14ac:dyDescent="0.2">
      <c r="A860" t="s">
        <v>492</v>
      </c>
      <c r="B860" t="s">
        <v>23</v>
      </c>
      <c r="C860" s="2">
        <v>43381</v>
      </c>
      <c r="D860" t="s">
        <v>392</v>
      </c>
      <c r="E860">
        <v>5900</v>
      </c>
      <c r="F860" t="s">
        <v>393</v>
      </c>
      <c r="G860" t="s">
        <v>394</v>
      </c>
      <c r="H860">
        <v>181005160116</v>
      </c>
    </row>
    <row r="861" spans="1:8" x14ac:dyDescent="0.2">
      <c r="A861" t="s">
        <v>492</v>
      </c>
      <c r="B861" t="s">
        <v>23</v>
      </c>
      <c r="C861" s="2">
        <v>43381</v>
      </c>
      <c r="D861" t="s">
        <v>392</v>
      </c>
      <c r="E861">
        <v>50000</v>
      </c>
      <c r="F861" t="s">
        <v>395</v>
      </c>
      <c r="G861" t="s">
        <v>394</v>
      </c>
      <c r="H861">
        <v>181005160116</v>
      </c>
    </row>
    <row r="862" spans="1:8" x14ac:dyDescent="0.2">
      <c r="A862" t="s">
        <v>492</v>
      </c>
      <c r="B862" t="s">
        <v>23</v>
      </c>
      <c r="C862" s="2">
        <v>43378</v>
      </c>
      <c r="D862" t="s">
        <v>392</v>
      </c>
      <c r="E862">
        <v>-73358.98</v>
      </c>
      <c r="F862" t="s">
        <v>396</v>
      </c>
      <c r="G862" t="s">
        <v>394</v>
      </c>
      <c r="H862">
        <v>181005160116</v>
      </c>
    </row>
    <row r="863" spans="1:8" x14ac:dyDescent="0.2">
      <c r="A863" t="s">
        <v>492</v>
      </c>
      <c r="B863" t="s">
        <v>23</v>
      </c>
      <c r="C863" s="2">
        <v>43382</v>
      </c>
      <c r="D863" t="s">
        <v>392</v>
      </c>
      <c r="E863">
        <v>-32172.58</v>
      </c>
      <c r="F863" t="s">
        <v>396</v>
      </c>
      <c r="G863" t="s">
        <v>394</v>
      </c>
      <c r="H863">
        <v>181005160116</v>
      </c>
    </row>
    <row r="864" spans="1:8" x14ac:dyDescent="0.2">
      <c r="A864" t="s">
        <v>492</v>
      </c>
      <c r="B864" t="s">
        <v>23</v>
      </c>
      <c r="C864" s="2">
        <v>43383</v>
      </c>
      <c r="D864" t="s">
        <v>392</v>
      </c>
      <c r="E864">
        <v>-7180238.71</v>
      </c>
      <c r="F864" t="s">
        <v>396</v>
      </c>
      <c r="G864" t="s">
        <v>394</v>
      </c>
      <c r="H864">
        <v>181005160116</v>
      </c>
    </row>
    <row r="865" spans="1:8" x14ac:dyDescent="0.2">
      <c r="A865" t="s">
        <v>492</v>
      </c>
      <c r="B865" t="s">
        <v>23</v>
      </c>
      <c r="C865" s="2">
        <v>43378</v>
      </c>
      <c r="D865" t="s">
        <v>392</v>
      </c>
      <c r="E865">
        <v>-8595.3799999999992</v>
      </c>
      <c r="F865" t="s">
        <v>397</v>
      </c>
      <c r="G865" t="s">
        <v>394</v>
      </c>
      <c r="H865">
        <v>181005160116</v>
      </c>
    </row>
    <row r="866" spans="1:8" x14ac:dyDescent="0.2">
      <c r="A866" t="s">
        <v>492</v>
      </c>
      <c r="B866" t="s">
        <v>23</v>
      </c>
      <c r="C866" s="2">
        <v>43382</v>
      </c>
      <c r="D866" t="s">
        <v>392</v>
      </c>
      <c r="E866">
        <v>-28190.959999999999</v>
      </c>
      <c r="F866" t="s">
        <v>397</v>
      </c>
      <c r="G866" t="s">
        <v>394</v>
      </c>
      <c r="H866">
        <v>181005160116</v>
      </c>
    </row>
    <row r="867" spans="1:8" x14ac:dyDescent="0.2">
      <c r="A867" t="s">
        <v>492</v>
      </c>
      <c r="B867" t="s">
        <v>23</v>
      </c>
      <c r="C867" s="2">
        <v>43383</v>
      </c>
      <c r="D867" t="s">
        <v>392</v>
      </c>
      <c r="E867">
        <v>-285989.19</v>
      </c>
      <c r="F867" t="s">
        <v>397</v>
      </c>
      <c r="G867" t="s">
        <v>394</v>
      </c>
      <c r="H867">
        <v>181005160116</v>
      </c>
    </row>
    <row r="868" spans="1:8" x14ac:dyDescent="0.2">
      <c r="A868" t="s">
        <v>492</v>
      </c>
      <c r="B868" t="s">
        <v>23</v>
      </c>
      <c r="C868" s="2">
        <v>43385</v>
      </c>
      <c r="D868" t="s">
        <v>392</v>
      </c>
      <c r="E868">
        <v>-470951.63</v>
      </c>
      <c r="F868" t="s">
        <v>397</v>
      </c>
      <c r="G868" t="s">
        <v>394</v>
      </c>
      <c r="H868">
        <v>181005160116</v>
      </c>
    </row>
    <row r="869" spans="1:8" x14ac:dyDescent="0.2">
      <c r="A869" t="s">
        <v>493</v>
      </c>
      <c r="B869" t="s">
        <v>23</v>
      </c>
      <c r="C869" s="2">
        <v>43378</v>
      </c>
      <c r="D869" t="s">
        <v>392</v>
      </c>
      <c r="E869">
        <v>7000</v>
      </c>
      <c r="F869" t="s">
        <v>393</v>
      </c>
      <c r="G869" t="s">
        <v>394</v>
      </c>
      <c r="H869">
        <v>181005160116</v>
      </c>
    </row>
    <row r="870" spans="1:8" x14ac:dyDescent="0.2">
      <c r="A870" t="s">
        <v>493</v>
      </c>
      <c r="B870" t="s">
        <v>23</v>
      </c>
      <c r="C870" s="2">
        <v>43381</v>
      </c>
      <c r="D870" t="s">
        <v>392</v>
      </c>
      <c r="E870">
        <v>7000</v>
      </c>
      <c r="F870" t="s">
        <v>393</v>
      </c>
      <c r="G870" t="s">
        <v>394</v>
      </c>
      <c r="H870">
        <v>181005160116</v>
      </c>
    </row>
    <row r="871" spans="1:8" x14ac:dyDescent="0.2">
      <c r="A871" t="s">
        <v>493</v>
      </c>
      <c r="B871" t="s">
        <v>23</v>
      </c>
      <c r="C871" s="2">
        <v>43378</v>
      </c>
      <c r="D871" t="s">
        <v>392</v>
      </c>
      <c r="E871">
        <v>3000000</v>
      </c>
      <c r="F871" t="s">
        <v>395</v>
      </c>
      <c r="G871" t="s">
        <v>394</v>
      </c>
      <c r="H871">
        <v>181005160116</v>
      </c>
    </row>
    <row r="872" spans="1:8" x14ac:dyDescent="0.2">
      <c r="A872" t="s">
        <v>493</v>
      </c>
      <c r="B872" t="s">
        <v>23</v>
      </c>
      <c r="C872" s="2">
        <v>43384</v>
      </c>
      <c r="D872" t="s">
        <v>392</v>
      </c>
      <c r="E872">
        <v>10000000</v>
      </c>
      <c r="F872" t="s">
        <v>395</v>
      </c>
      <c r="G872" t="s">
        <v>394</v>
      </c>
      <c r="H872">
        <v>181005160116</v>
      </c>
    </row>
    <row r="873" spans="1:8" x14ac:dyDescent="0.2">
      <c r="A873" t="s">
        <v>493</v>
      </c>
      <c r="B873" t="s">
        <v>23</v>
      </c>
      <c r="C873" s="2">
        <v>43378</v>
      </c>
      <c r="D873" t="s">
        <v>392</v>
      </c>
      <c r="E873">
        <v>-1144.8499999999999</v>
      </c>
      <c r="F873" t="s">
        <v>396</v>
      </c>
      <c r="G873" t="s">
        <v>394</v>
      </c>
      <c r="H873">
        <v>181005160116</v>
      </c>
    </row>
    <row r="874" spans="1:8" x14ac:dyDescent="0.2">
      <c r="A874" t="s">
        <v>493</v>
      </c>
      <c r="B874" t="s">
        <v>23</v>
      </c>
      <c r="C874" s="2">
        <v>43382</v>
      </c>
      <c r="D874" t="s">
        <v>392</v>
      </c>
      <c r="E874">
        <v>-584626.85</v>
      </c>
      <c r="F874" t="s">
        <v>396</v>
      </c>
      <c r="G874" t="s">
        <v>394</v>
      </c>
      <c r="H874">
        <v>181005160116</v>
      </c>
    </row>
    <row r="875" spans="1:8" x14ac:dyDescent="0.2">
      <c r="A875" t="s">
        <v>493</v>
      </c>
      <c r="B875" t="s">
        <v>23</v>
      </c>
      <c r="C875" s="2">
        <v>43383</v>
      </c>
      <c r="D875" t="s">
        <v>392</v>
      </c>
      <c r="E875">
        <v>-4225248.45</v>
      </c>
      <c r="F875" t="s">
        <v>396</v>
      </c>
      <c r="G875" t="s">
        <v>394</v>
      </c>
      <c r="H875">
        <v>181005160116</v>
      </c>
    </row>
    <row r="876" spans="1:8" x14ac:dyDescent="0.2">
      <c r="A876" t="s">
        <v>493</v>
      </c>
      <c r="B876" t="s">
        <v>23</v>
      </c>
      <c r="C876" s="2">
        <v>43384</v>
      </c>
      <c r="D876" t="s">
        <v>392</v>
      </c>
      <c r="E876">
        <v>-99212.31</v>
      </c>
      <c r="F876" t="s">
        <v>396</v>
      </c>
      <c r="G876" t="s">
        <v>394</v>
      </c>
      <c r="H876">
        <v>181005160116</v>
      </c>
    </row>
    <row r="877" spans="1:8" x14ac:dyDescent="0.2">
      <c r="A877" t="s">
        <v>493</v>
      </c>
      <c r="B877" t="s">
        <v>23</v>
      </c>
      <c r="C877" s="2">
        <v>43378</v>
      </c>
      <c r="D877" t="s">
        <v>392</v>
      </c>
      <c r="E877">
        <v>-4190375.45</v>
      </c>
      <c r="F877" t="s">
        <v>397</v>
      </c>
      <c r="G877" t="s">
        <v>394</v>
      </c>
      <c r="H877">
        <v>181005160116</v>
      </c>
    </row>
    <row r="878" spans="1:8" x14ac:dyDescent="0.2">
      <c r="A878" t="s">
        <v>493</v>
      </c>
      <c r="B878" t="s">
        <v>23</v>
      </c>
      <c r="C878" s="2">
        <v>43382</v>
      </c>
      <c r="D878" t="s">
        <v>392</v>
      </c>
      <c r="E878">
        <v>-4748818.03</v>
      </c>
      <c r="F878" t="s">
        <v>397</v>
      </c>
      <c r="G878" t="s">
        <v>394</v>
      </c>
      <c r="H878">
        <v>181005160116</v>
      </c>
    </row>
    <row r="879" spans="1:8" x14ac:dyDescent="0.2">
      <c r="A879" t="s">
        <v>493</v>
      </c>
      <c r="B879" t="s">
        <v>23</v>
      </c>
      <c r="C879" s="2">
        <v>43383</v>
      </c>
      <c r="D879" t="s">
        <v>392</v>
      </c>
      <c r="E879">
        <v>-4007682.85</v>
      </c>
      <c r="F879" t="s">
        <v>397</v>
      </c>
      <c r="G879" t="s">
        <v>394</v>
      </c>
      <c r="H879">
        <v>181005160116</v>
      </c>
    </row>
    <row r="880" spans="1:8" x14ac:dyDescent="0.2">
      <c r="A880" t="s">
        <v>493</v>
      </c>
      <c r="B880" t="s">
        <v>23</v>
      </c>
      <c r="C880" s="2">
        <v>43384</v>
      </c>
      <c r="D880" t="s">
        <v>392</v>
      </c>
      <c r="E880">
        <v>-3789771.03</v>
      </c>
      <c r="F880" t="s">
        <v>397</v>
      </c>
      <c r="G880" t="s">
        <v>394</v>
      </c>
      <c r="H880">
        <v>181005160116</v>
      </c>
    </row>
  </sheetData>
  <autoFilter ref="A1:H880" xr:uid="{A8FE83F1-56E5-4972-BCDE-AB54B17314E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44B8-0BC1-4511-B41A-0B1BF403C1A8}">
  <sheetPr codeName="Sheet2"/>
  <dimension ref="A1:Q354"/>
  <sheetViews>
    <sheetView zoomScale="70" zoomScaleNormal="70" workbookViewId="0">
      <selection activeCell="E35" sqref="E35"/>
    </sheetView>
  </sheetViews>
  <sheetFormatPr defaultRowHeight="14.25" x14ac:dyDescent="0.2"/>
  <cols>
    <col min="1" max="1" width="13" style="2" customWidth="1"/>
    <col min="2" max="2" width="16.75" customWidth="1"/>
    <col min="3" max="3" width="17.25" bestFit="1" customWidth="1"/>
    <col min="4" max="4" width="23.375" bestFit="1" customWidth="1"/>
    <col min="5" max="5" width="20.875" bestFit="1" customWidth="1"/>
    <col min="6" max="6" width="17.875" bestFit="1" customWidth="1"/>
    <col min="7" max="7" width="14.25" customWidth="1"/>
    <col min="8" max="8" width="14.875" customWidth="1"/>
    <col min="9" max="9" width="20.875" style="2" customWidth="1"/>
    <col min="10" max="10" width="20.75" customWidth="1"/>
    <col min="11" max="11" width="11.875" bestFit="1" customWidth="1"/>
    <col min="12" max="12" width="12.875" customWidth="1"/>
    <col min="13" max="13" width="20.875" customWidth="1"/>
    <col min="14" max="14" width="17.875" customWidth="1"/>
    <col min="15" max="15" width="13.75" customWidth="1"/>
    <col min="16" max="16" width="17.375" customWidth="1"/>
    <col min="17" max="17" width="19.5" style="2" customWidth="1"/>
    <col min="18" max="18" width="10.625" customWidth="1"/>
  </cols>
  <sheetData>
    <row r="1" spans="1:17" x14ac:dyDescent="0.2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2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s="2" t="s">
        <v>16</v>
      </c>
    </row>
    <row r="2" spans="1:17" x14ac:dyDescent="0.2">
      <c r="A2" s="2">
        <v>43378</v>
      </c>
      <c r="B2" t="s">
        <v>17</v>
      </c>
      <c r="C2" t="s">
        <v>18</v>
      </c>
      <c r="D2" t="s">
        <v>19</v>
      </c>
      <c r="F2" t="s">
        <v>20</v>
      </c>
      <c r="G2" t="s">
        <v>21</v>
      </c>
      <c r="J2">
        <v>1977919259.8099999</v>
      </c>
      <c r="K2">
        <v>4988510.99</v>
      </c>
      <c r="L2">
        <v>1977919259.8099999</v>
      </c>
      <c r="M2">
        <v>0</v>
      </c>
      <c r="N2">
        <v>0</v>
      </c>
      <c r="O2" t="s">
        <v>22</v>
      </c>
      <c r="P2" t="s">
        <v>23</v>
      </c>
      <c r="Q2" s="2">
        <v>2</v>
      </c>
    </row>
    <row r="3" spans="1:17" x14ac:dyDescent="0.2">
      <c r="A3" s="2">
        <v>43378</v>
      </c>
      <c r="B3" t="s">
        <v>17</v>
      </c>
      <c r="C3" t="s">
        <v>18</v>
      </c>
      <c r="D3" t="s">
        <v>19</v>
      </c>
      <c r="F3" t="s">
        <v>25</v>
      </c>
      <c r="G3" t="s">
        <v>26</v>
      </c>
      <c r="H3" t="s">
        <v>27</v>
      </c>
      <c r="J3">
        <v>0</v>
      </c>
      <c r="L3">
        <v>0</v>
      </c>
      <c r="M3">
        <v>0</v>
      </c>
      <c r="N3">
        <v>0</v>
      </c>
      <c r="O3" t="s">
        <v>22</v>
      </c>
      <c r="P3" t="s">
        <v>28</v>
      </c>
      <c r="Q3" s="2">
        <v>2</v>
      </c>
    </row>
    <row r="4" spans="1:17" x14ac:dyDescent="0.2">
      <c r="A4" s="2">
        <v>43378</v>
      </c>
      <c r="B4" t="s">
        <v>17</v>
      </c>
      <c r="C4" t="s">
        <v>18</v>
      </c>
      <c r="D4" t="s">
        <v>19</v>
      </c>
      <c r="F4" t="s">
        <v>30</v>
      </c>
      <c r="G4" t="s">
        <v>26</v>
      </c>
      <c r="H4" t="s">
        <v>27</v>
      </c>
      <c r="J4">
        <v>0</v>
      </c>
      <c r="L4">
        <v>0</v>
      </c>
      <c r="M4">
        <v>0</v>
      </c>
      <c r="N4">
        <v>0</v>
      </c>
      <c r="O4" t="s">
        <v>22</v>
      </c>
      <c r="P4" t="s">
        <v>31</v>
      </c>
      <c r="Q4" s="2">
        <v>2</v>
      </c>
    </row>
    <row r="5" spans="1:17" x14ac:dyDescent="0.2">
      <c r="A5" s="2">
        <v>43378</v>
      </c>
      <c r="B5" t="s">
        <v>17</v>
      </c>
      <c r="C5" t="s">
        <v>18</v>
      </c>
      <c r="D5" t="s">
        <v>19</v>
      </c>
      <c r="F5" t="s">
        <v>32</v>
      </c>
      <c r="G5" t="s">
        <v>26</v>
      </c>
      <c r="H5" t="s">
        <v>27</v>
      </c>
      <c r="J5">
        <v>0</v>
      </c>
      <c r="L5">
        <v>0</v>
      </c>
      <c r="M5">
        <v>0</v>
      </c>
      <c r="N5">
        <v>0</v>
      </c>
      <c r="O5" t="s">
        <v>22</v>
      </c>
      <c r="P5" t="s">
        <v>33</v>
      </c>
      <c r="Q5" s="2">
        <v>2</v>
      </c>
    </row>
    <row r="6" spans="1:17" x14ac:dyDescent="0.2">
      <c r="A6" s="2">
        <v>43378</v>
      </c>
      <c r="B6" t="s">
        <v>17</v>
      </c>
      <c r="C6" t="s">
        <v>18</v>
      </c>
      <c r="D6" t="s">
        <v>19</v>
      </c>
      <c r="F6" t="s">
        <v>34</v>
      </c>
      <c r="G6" t="s">
        <v>26</v>
      </c>
      <c r="H6" t="s">
        <v>27</v>
      </c>
      <c r="J6">
        <v>342790.48</v>
      </c>
      <c r="K6">
        <v>359.23</v>
      </c>
      <c r="L6">
        <v>342790.48</v>
      </c>
      <c r="M6">
        <v>0</v>
      </c>
      <c r="N6">
        <v>0</v>
      </c>
      <c r="O6" t="s">
        <v>22</v>
      </c>
      <c r="P6" t="s">
        <v>23</v>
      </c>
      <c r="Q6" s="2">
        <v>2</v>
      </c>
    </row>
    <row r="7" spans="1:17" x14ac:dyDescent="0.2">
      <c r="A7" s="2">
        <v>43378</v>
      </c>
      <c r="B7" t="s">
        <v>17</v>
      </c>
      <c r="C7" t="s">
        <v>18</v>
      </c>
      <c r="D7" t="s">
        <v>19</v>
      </c>
      <c r="F7" t="s">
        <v>36</v>
      </c>
      <c r="G7" t="s">
        <v>26</v>
      </c>
      <c r="H7" t="s">
        <v>27</v>
      </c>
      <c r="J7">
        <v>0</v>
      </c>
      <c r="L7">
        <v>0</v>
      </c>
      <c r="M7">
        <v>0</v>
      </c>
      <c r="N7">
        <v>0</v>
      </c>
      <c r="O7" t="s">
        <v>22</v>
      </c>
      <c r="P7" t="s">
        <v>37</v>
      </c>
      <c r="Q7" s="2">
        <v>2</v>
      </c>
    </row>
    <row r="8" spans="1:17" x14ac:dyDescent="0.2">
      <c r="A8" s="2">
        <v>43378</v>
      </c>
      <c r="B8" t="s">
        <v>17</v>
      </c>
      <c r="C8" t="s">
        <v>18</v>
      </c>
      <c r="D8" t="s">
        <v>38</v>
      </c>
      <c r="F8" t="s">
        <v>39</v>
      </c>
      <c r="G8" t="s">
        <v>40</v>
      </c>
      <c r="H8" t="s">
        <v>41</v>
      </c>
      <c r="I8" s="2">
        <v>43599</v>
      </c>
      <c r="J8">
        <v>3000000000</v>
      </c>
      <c r="K8">
        <v>19121917.809999999</v>
      </c>
      <c r="L8">
        <v>3000000000</v>
      </c>
      <c r="M8">
        <v>0.59952799999999995</v>
      </c>
      <c r="N8">
        <v>1.65</v>
      </c>
      <c r="O8" t="s">
        <v>42</v>
      </c>
      <c r="P8" t="s">
        <v>23</v>
      </c>
      <c r="Q8" s="2">
        <v>43238</v>
      </c>
    </row>
    <row r="9" spans="1:17" x14ac:dyDescent="0.2">
      <c r="A9" s="2">
        <v>43378</v>
      </c>
      <c r="B9" t="s">
        <v>17</v>
      </c>
      <c r="C9" t="s">
        <v>18</v>
      </c>
      <c r="D9" t="s">
        <v>38</v>
      </c>
      <c r="F9" t="s">
        <v>44</v>
      </c>
      <c r="G9" t="s">
        <v>40</v>
      </c>
      <c r="H9" t="s">
        <v>41</v>
      </c>
      <c r="I9" s="2">
        <v>43627</v>
      </c>
      <c r="J9">
        <v>370000000</v>
      </c>
      <c r="K9">
        <v>518506.85</v>
      </c>
      <c r="L9">
        <v>370000000</v>
      </c>
      <c r="M9">
        <v>0.67460900000000001</v>
      </c>
      <c r="N9">
        <v>1.65</v>
      </c>
      <c r="O9" t="s">
        <v>42</v>
      </c>
      <c r="P9" t="s">
        <v>23</v>
      </c>
      <c r="Q9" s="2">
        <v>43348</v>
      </c>
    </row>
    <row r="10" spans="1:17" x14ac:dyDescent="0.2">
      <c r="A10" s="2">
        <v>43378</v>
      </c>
      <c r="B10" t="s">
        <v>17</v>
      </c>
      <c r="C10" t="s">
        <v>18</v>
      </c>
      <c r="D10" t="s">
        <v>38</v>
      </c>
      <c r="F10" t="s">
        <v>45</v>
      </c>
      <c r="G10" t="s">
        <v>46</v>
      </c>
      <c r="H10" t="s">
        <v>47</v>
      </c>
      <c r="I10" s="2">
        <v>43595</v>
      </c>
      <c r="J10">
        <v>1888545000</v>
      </c>
      <c r="K10">
        <v>390823.9</v>
      </c>
      <c r="L10">
        <v>1899500000</v>
      </c>
      <c r="M10">
        <v>0.60259600000000002</v>
      </c>
      <c r="N10">
        <v>0.05</v>
      </c>
      <c r="O10" t="s">
        <v>42</v>
      </c>
      <c r="P10" t="s">
        <v>31</v>
      </c>
      <c r="Q10" s="2">
        <v>43230</v>
      </c>
    </row>
    <row r="11" spans="1:17" x14ac:dyDescent="0.2">
      <c r="A11" s="2">
        <v>43378</v>
      </c>
      <c r="B11" t="s">
        <v>17</v>
      </c>
      <c r="C11" t="s">
        <v>18</v>
      </c>
      <c r="D11" t="s">
        <v>38</v>
      </c>
      <c r="F11" t="s">
        <v>48</v>
      </c>
      <c r="G11" t="s">
        <v>46</v>
      </c>
      <c r="H11" t="s">
        <v>47</v>
      </c>
      <c r="I11" s="2">
        <v>43580</v>
      </c>
      <c r="J11">
        <v>985800000</v>
      </c>
      <c r="K11">
        <v>14062437</v>
      </c>
      <c r="L11">
        <v>946500000</v>
      </c>
      <c r="M11">
        <v>0.55144000000000004</v>
      </c>
      <c r="N11">
        <v>3.17</v>
      </c>
      <c r="O11" t="s">
        <v>42</v>
      </c>
      <c r="P11" t="s">
        <v>37</v>
      </c>
      <c r="Q11" s="2">
        <v>43217</v>
      </c>
    </row>
    <row r="12" spans="1:17" x14ac:dyDescent="0.2">
      <c r="A12" s="2">
        <v>43378</v>
      </c>
      <c r="B12" t="s">
        <v>17</v>
      </c>
      <c r="C12" t="s">
        <v>18</v>
      </c>
      <c r="D12" t="s">
        <v>38</v>
      </c>
      <c r="F12" t="s">
        <v>49</v>
      </c>
      <c r="G12" t="s">
        <v>50</v>
      </c>
      <c r="H12" t="s">
        <v>51</v>
      </c>
      <c r="I12" s="2">
        <v>43410</v>
      </c>
      <c r="J12">
        <v>1150100000</v>
      </c>
      <c r="K12">
        <v>25526610.07</v>
      </c>
      <c r="L12">
        <v>1158500000</v>
      </c>
      <c r="M12">
        <v>8.8703000000000004E-2</v>
      </c>
      <c r="N12">
        <v>2.4066999999999998</v>
      </c>
      <c r="O12" t="s">
        <v>42</v>
      </c>
      <c r="P12" t="s">
        <v>37</v>
      </c>
      <c r="Q12" s="2">
        <v>43047</v>
      </c>
    </row>
    <row r="13" spans="1:17" x14ac:dyDescent="0.2">
      <c r="A13" s="2">
        <v>43378</v>
      </c>
      <c r="B13" t="s">
        <v>17</v>
      </c>
      <c r="C13" t="s">
        <v>18</v>
      </c>
      <c r="D13" t="s">
        <v>38</v>
      </c>
      <c r="F13" t="s">
        <v>52</v>
      </c>
      <c r="G13" t="s">
        <v>50</v>
      </c>
      <c r="H13" t="s">
        <v>51</v>
      </c>
      <c r="I13" s="2">
        <v>43389</v>
      </c>
      <c r="J13">
        <v>1643000000</v>
      </c>
      <c r="K13">
        <v>38555733.329999998</v>
      </c>
      <c r="L13">
        <v>1654000000</v>
      </c>
      <c r="M13">
        <v>3.0533000000000001E-2</v>
      </c>
      <c r="N13">
        <v>2.4</v>
      </c>
      <c r="O13" t="s">
        <v>42</v>
      </c>
      <c r="P13" t="s">
        <v>37</v>
      </c>
      <c r="Q13" s="2">
        <v>43027</v>
      </c>
    </row>
    <row r="14" spans="1:17" x14ac:dyDescent="0.2">
      <c r="A14" s="2">
        <v>43378</v>
      </c>
      <c r="B14" t="s">
        <v>17</v>
      </c>
      <c r="C14" t="s">
        <v>18</v>
      </c>
      <c r="D14" t="s">
        <v>38</v>
      </c>
      <c r="F14" t="s">
        <v>53</v>
      </c>
      <c r="G14" t="s">
        <v>54</v>
      </c>
      <c r="H14" t="s">
        <v>47</v>
      </c>
      <c r="I14" s="2">
        <v>43559</v>
      </c>
      <c r="J14">
        <v>2379100000</v>
      </c>
      <c r="K14">
        <v>53529750</v>
      </c>
      <c r="L14">
        <v>2477500000</v>
      </c>
      <c r="M14">
        <v>0.491892</v>
      </c>
      <c r="N14">
        <v>4.5</v>
      </c>
      <c r="O14" t="s">
        <v>42</v>
      </c>
      <c r="P14" t="s">
        <v>28</v>
      </c>
      <c r="Q14" s="2">
        <v>43199</v>
      </c>
    </row>
    <row r="15" spans="1:17" x14ac:dyDescent="0.2">
      <c r="A15" s="2">
        <v>43378</v>
      </c>
      <c r="B15" t="s">
        <v>17</v>
      </c>
      <c r="C15" t="s">
        <v>18</v>
      </c>
      <c r="D15" t="s">
        <v>38</v>
      </c>
      <c r="F15" t="s">
        <v>55</v>
      </c>
      <c r="G15" t="s">
        <v>54</v>
      </c>
      <c r="H15" t="s">
        <v>47</v>
      </c>
      <c r="I15" s="2">
        <v>43566</v>
      </c>
      <c r="J15">
        <v>1903280000</v>
      </c>
      <c r="K15">
        <v>41877446.890000001</v>
      </c>
      <c r="L15">
        <v>1981400000</v>
      </c>
      <c r="M15">
        <v>0.51061000000000001</v>
      </c>
      <c r="N15">
        <v>4.45</v>
      </c>
      <c r="O15" t="s">
        <v>42</v>
      </c>
      <c r="P15" t="s">
        <v>28</v>
      </c>
      <c r="Q15" s="2">
        <v>43201</v>
      </c>
    </row>
    <row r="16" spans="1:17" x14ac:dyDescent="0.2">
      <c r="A16" s="2">
        <v>43378</v>
      </c>
      <c r="B16" t="s">
        <v>17</v>
      </c>
      <c r="C16" t="s">
        <v>18</v>
      </c>
      <c r="D16" t="s">
        <v>38</v>
      </c>
      <c r="F16" t="s">
        <v>56</v>
      </c>
      <c r="G16" t="s">
        <v>54</v>
      </c>
      <c r="H16" t="s">
        <v>47</v>
      </c>
      <c r="I16" s="2">
        <v>43580</v>
      </c>
      <c r="J16">
        <v>2643963000</v>
      </c>
      <c r="K16">
        <v>722683.22</v>
      </c>
      <c r="L16">
        <v>2691500000</v>
      </c>
      <c r="M16">
        <v>0.56092200000000003</v>
      </c>
      <c r="N16">
        <v>0.06</v>
      </c>
      <c r="O16" t="s">
        <v>42</v>
      </c>
      <c r="P16" t="s">
        <v>31</v>
      </c>
      <c r="Q16" s="2">
        <v>43215</v>
      </c>
    </row>
    <row r="17" spans="1:17" x14ac:dyDescent="0.2">
      <c r="A17" s="2">
        <v>43378</v>
      </c>
      <c r="B17" t="s">
        <v>17</v>
      </c>
      <c r="C17" t="s">
        <v>18</v>
      </c>
      <c r="D17" t="s">
        <v>38</v>
      </c>
      <c r="F17" t="s">
        <v>57</v>
      </c>
      <c r="G17" t="s">
        <v>58</v>
      </c>
      <c r="H17" t="s">
        <v>59</v>
      </c>
      <c r="I17" s="2">
        <v>43679</v>
      </c>
      <c r="J17">
        <v>300000000</v>
      </c>
      <c r="K17">
        <v>894246.58</v>
      </c>
      <c r="L17">
        <v>300000000</v>
      </c>
      <c r="M17">
        <v>0.81328900000000004</v>
      </c>
      <c r="N17">
        <v>1.7</v>
      </c>
      <c r="O17" t="s">
        <v>42</v>
      </c>
      <c r="P17" t="s">
        <v>23</v>
      </c>
      <c r="Q17" s="2">
        <v>43315</v>
      </c>
    </row>
    <row r="18" spans="1:17" x14ac:dyDescent="0.2">
      <c r="A18" s="2">
        <v>43378</v>
      </c>
      <c r="B18" t="s">
        <v>17</v>
      </c>
      <c r="C18" t="s">
        <v>18</v>
      </c>
      <c r="D18" t="s">
        <v>38</v>
      </c>
      <c r="F18" t="s">
        <v>60</v>
      </c>
      <c r="G18" t="s">
        <v>58</v>
      </c>
      <c r="H18" t="s">
        <v>59</v>
      </c>
      <c r="I18" s="2">
        <v>43683</v>
      </c>
      <c r="J18">
        <v>650000000</v>
      </c>
      <c r="K18">
        <v>1846712.33</v>
      </c>
      <c r="L18">
        <v>650000000</v>
      </c>
      <c r="M18">
        <v>0.82394500000000004</v>
      </c>
      <c r="N18">
        <v>1.7</v>
      </c>
      <c r="O18" t="s">
        <v>42</v>
      </c>
      <c r="P18" t="s">
        <v>23</v>
      </c>
      <c r="Q18" s="2">
        <v>43318</v>
      </c>
    </row>
    <row r="19" spans="1:17" x14ac:dyDescent="0.2">
      <c r="A19" s="2">
        <v>43378</v>
      </c>
      <c r="B19" t="s">
        <v>17</v>
      </c>
      <c r="C19" t="s">
        <v>18</v>
      </c>
      <c r="D19" t="s">
        <v>38</v>
      </c>
      <c r="F19" t="s">
        <v>61</v>
      </c>
      <c r="G19" t="s">
        <v>58</v>
      </c>
      <c r="H19" t="s">
        <v>59</v>
      </c>
      <c r="I19" s="2">
        <v>43686</v>
      </c>
      <c r="J19">
        <v>150000000</v>
      </c>
      <c r="K19">
        <v>405205.48</v>
      </c>
      <c r="L19">
        <v>150000000</v>
      </c>
      <c r="M19">
        <v>0.83193300000000003</v>
      </c>
      <c r="N19">
        <v>1.7</v>
      </c>
      <c r="O19" t="s">
        <v>42</v>
      </c>
      <c r="P19" t="s">
        <v>23</v>
      </c>
      <c r="Q19" s="2">
        <v>43321</v>
      </c>
    </row>
    <row r="20" spans="1:17" x14ac:dyDescent="0.2">
      <c r="A20" s="2">
        <v>43378</v>
      </c>
      <c r="B20" t="s">
        <v>17</v>
      </c>
      <c r="C20" t="s">
        <v>18</v>
      </c>
      <c r="D20" t="s">
        <v>38</v>
      </c>
      <c r="F20" t="s">
        <v>62</v>
      </c>
      <c r="G20" t="s">
        <v>58</v>
      </c>
      <c r="H20" t="s">
        <v>59</v>
      </c>
      <c r="I20" s="2">
        <v>43448</v>
      </c>
      <c r="J20">
        <v>70000000</v>
      </c>
      <c r="K20">
        <v>908273.97</v>
      </c>
      <c r="L20">
        <v>70000000</v>
      </c>
      <c r="M20">
        <v>0.191194</v>
      </c>
      <c r="N20">
        <v>1.6</v>
      </c>
      <c r="O20" t="s">
        <v>42</v>
      </c>
      <c r="P20" t="s">
        <v>23</v>
      </c>
      <c r="Q20" s="2">
        <v>43083</v>
      </c>
    </row>
    <row r="21" spans="1:17" x14ac:dyDescent="0.2">
      <c r="A21" s="2">
        <v>43378</v>
      </c>
      <c r="B21" t="s">
        <v>17</v>
      </c>
      <c r="C21" t="s">
        <v>18</v>
      </c>
      <c r="D21" t="s">
        <v>38</v>
      </c>
      <c r="F21" t="s">
        <v>63</v>
      </c>
      <c r="G21" t="s">
        <v>58</v>
      </c>
      <c r="H21" t="s">
        <v>59</v>
      </c>
      <c r="I21" s="2">
        <v>43481</v>
      </c>
      <c r="J21">
        <v>68000000</v>
      </c>
      <c r="K21">
        <v>783956.16</v>
      </c>
      <c r="L21">
        <v>68000000</v>
      </c>
      <c r="M21">
        <v>0.28092299999999998</v>
      </c>
      <c r="N21">
        <v>1.6</v>
      </c>
      <c r="O21" t="s">
        <v>42</v>
      </c>
      <c r="P21" t="s">
        <v>23</v>
      </c>
      <c r="Q21" s="2">
        <v>43116</v>
      </c>
    </row>
    <row r="22" spans="1:17" x14ac:dyDescent="0.2">
      <c r="A22" s="2">
        <v>43378</v>
      </c>
      <c r="B22" t="s">
        <v>17</v>
      </c>
      <c r="C22" t="s">
        <v>18</v>
      </c>
      <c r="D22" t="s">
        <v>38</v>
      </c>
      <c r="F22" t="s">
        <v>64</v>
      </c>
      <c r="G22" t="s">
        <v>58</v>
      </c>
      <c r="H22" t="s">
        <v>59</v>
      </c>
      <c r="I22" s="2">
        <v>43482</v>
      </c>
      <c r="J22">
        <v>200000000</v>
      </c>
      <c r="K22">
        <v>2296986.2999999998</v>
      </c>
      <c r="L22">
        <v>200000000</v>
      </c>
      <c r="M22">
        <v>0.283638</v>
      </c>
      <c r="N22">
        <v>1.6</v>
      </c>
      <c r="O22" t="s">
        <v>42</v>
      </c>
      <c r="P22" t="s">
        <v>23</v>
      </c>
      <c r="Q22" s="2">
        <v>43117</v>
      </c>
    </row>
    <row r="23" spans="1:17" x14ac:dyDescent="0.2">
      <c r="A23" s="2">
        <v>43378</v>
      </c>
      <c r="B23" t="s">
        <v>17</v>
      </c>
      <c r="C23" t="s">
        <v>18</v>
      </c>
      <c r="D23" t="s">
        <v>38</v>
      </c>
      <c r="F23" t="s">
        <v>65</v>
      </c>
      <c r="G23" t="s">
        <v>58</v>
      </c>
      <c r="H23" t="s">
        <v>59</v>
      </c>
      <c r="I23" s="2">
        <v>43483</v>
      </c>
      <c r="J23">
        <v>157000000</v>
      </c>
      <c r="K23">
        <v>1796252.05</v>
      </c>
      <c r="L23">
        <v>157000000</v>
      </c>
      <c r="M23">
        <v>0.28635300000000002</v>
      </c>
      <c r="N23">
        <v>1.6</v>
      </c>
      <c r="O23" t="s">
        <v>42</v>
      </c>
      <c r="P23" t="s">
        <v>23</v>
      </c>
      <c r="Q23" s="2">
        <v>43118</v>
      </c>
    </row>
    <row r="24" spans="1:17" x14ac:dyDescent="0.2">
      <c r="A24" s="2">
        <v>43378</v>
      </c>
      <c r="B24" t="s">
        <v>17</v>
      </c>
      <c r="C24" t="s">
        <v>18</v>
      </c>
      <c r="D24" t="s">
        <v>38</v>
      </c>
      <c r="F24" t="s">
        <v>66</v>
      </c>
      <c r="G24" t="s">
        <v>58</v>
      </c>
      <c r="H24" t="s">
        <v>59</v>
      </c>
      <c r="I24" s="2">
        <v>43486</v>
      </c>
      <c r="J24">
        <v>300000000</v>
      </c>
      <c r="K24">
        <v>3419178.08</v>
      </c>
      <c r="L24">
        <v>300000000</v>
      </c>
      <c r="M24">
        <v>0.29449599999999998</v>
      </c>
      <c r="N24">
        <v>1.6</v>
      </c>
      <c r="O24" t="s">
        <v>42</v>
      </c>
      <c r="P24" t="s">
        <v>23</v>
      </c>
      <c r="Q24" s="2">
        <v>43119</v>
      </c>
    </row>
    <row r="25" spans="1:17" x14ac:dyDescent="0.2">
      <c r="A25" s="2">
        <v>43378</v>
      </c>
      <c r="B25" t="s">
        <v>17</v>
      </c>
      <c r="C25" t="s">
        <v>18</v>
      </c>
      <c r="D25" t="s">
        <v>38</v>
      </c>
      <c r="F25" t="s">
        <v>67</v>
      </c>
      <c r="G25" t="s">
        <v>46</v>
      </c>
      <c r="H25" t="s">
        <v>47</v>
      </c>
      <c r="I25" s="2">
        <v>43389</v>
      </c>
      <c r="J25">
        <v>1314400000</v>
      </c>
      <c r="K25">
        <v>8823275.1099999994</v>
      </c>
      <c r="L25">
        <v>1326400000</v>
      </c>
      <c r="M25">
        <v>3.0530000000000002E-2</v>
      </c>
      <c r="N25">
        <v>2.81</v>
      </c>
      <c r="O25" t="s">
        <v>42</v>
      </c>
      <c r="P25" t="s">
        <v>37</v>
      </c>
      <c r="Q25" s="2">
        <v>43293</v>
      </c>
    </row>
    <row r="26" spans="1:17" x14ac:dyDescent="0.2">
      <c r="A26" s="2">
        <v>43378</v>
      </c>
      <c r="B26" t="s">
        <v>17</v>
      </c>
      <c r="C26" t="s">
        <v>18</v>
      </c>
      <c r="D26" t="s">
        <v>38</v>
      </c>
      <c r="F26" t="s">
        <v>68</v>
      </c>
      <c r="G26" t="s">
        <v>54</v>
      </c>
      <c r="H26" t="s">
        <v>47</v>
      </c>
      <c r="I26" s="2">
        <v>43409</v>
      </c>
      <c r="J26">
        <v>944272500</v>
      </c>
      <c r="K26">
        <v>163673.9</v>
      </c>
      <c r="L26">
        <v>950000000</v>
      </c>
      <c r="M26">
        <v>8.6108000000000004E-2</v>
      </c>
      <c r="N26">
        <v>0.04</v>
      </c>
      <c r="O26" t="s">
        <v>42</v>
      </c>
      <c r="P26" t="s">
        <v>31</v>
      </c>
      <c r="Q26" s="2">
        <v>43223</v>
      </c>
    </row>
    <row r="27" spans="1:17" x14ac:dyDescent="0.2">
      <c r="A27" s="2">
        <v>43378</v>
      </c>
      <c r="B27" t="s">
        <v>17</v>
      </c>
      <c r="C27" t="s">
        <v>18</v>
      </c>
      <c r="D27" t="s">
        <v>38</v>
      </c>
      <c r="F27" t="s">
        <v>69</v>
      </c>
      <c r="G27" t="s">
        <v>54</v>
      </c>
      <c r="H27" t="s">
        <v>47</v>
      </c>
      <c r="I27" s="2">
        <v>43543</v>
      </c>
      <c r="J27">
        <v>377709000</v>
      </c>
      <c r="K27">
        <v>8393.5300000000007</v>
      </c>
      <c r="L27">
        <v>380000000</v>
      </c>
      <c r="M27">
        <v>0.45822800000000002</v>
      </c>
      <c r="N27">
        <v>0.05</v>
      </c>
      <c r="O27" t="s">
        <v>42</v>
      </c>
      <c r="P27" t="s">
        <v>31</v>
      </c>
      <c r="Q27" s="2">
        <v>43363</v>
      </c>
    </row>
    <row r="28" spans="1:17" x14ac:dyDescent="0.2">
      <c r="A28" s="2">
        <v>43378</v>
      </c>
      <c r="B28" t="s">
        <v>17</v>
      </c>
      <c r="C28" t="s">
        <v>18</v>
      </c>
      <c r="D28" t="s">
        <v>38</v>
      </c>
      <c r="F28" t="s">
        <v>70</v>
      </c>
      <c r="G28" t="s">
        <v>71</v>
      </c>
      <c r="H28" t="s">
        <v>47</v>
      </c>
      <c r="I28" s="2">
        <v>44196</v>
      </c>
      <c r="J28">
        <v>347165.51</v>
      </c>
      <c r="K28">
        <v>734.75</v>
      </c>
      <c r="L28">
        <v>347165.51</v>
      </c>
      <c r="M28">
        <v>0</v>
      </c>
      <c r="N28">
        <v>0</v>
      </c>
      <c r="O28" t="s">
        <v>42</v>
      </c>
      <c r="P28" t="s">
        <v>23</v>
      </c>
      <c r="Q28" s="2">
        <v>42066</v>
      </c>
    </row>
    <row r="29" spans="1:17" x14ac:dyDescent="0.2">
      <c r="A29" s="2">
        <v>43378</v>
      </c>
      <c r="B29" t="s">
        <v>17</v>
      </c>
      <c r="C29" t="s">
        <v>18</v>
      </c>
      <c r="D29" t="s">
        <v>38</v>
      </c>
      <c r="F29" t="s">
        <v>72</v>
      </c>
      <c r="G29" t="s">
        <v>73</v>
      </c>
      <c r="H29" t="s">
        <v>27</v>
      </c>
      <c r="I29" s="2">
        <v>44196</v>
      </c>
      <c r="J29">
        <v>287668.24</v>
      </c>
      <c r="K29">
        <v>286.68</v>
      </c>
      <c r="L29">
        <v>287668.24</v>
      </c>
      <c r="M29">
        <v>0</v>
      </c>
      <c r="N29">
        <v>0</v>
      </c>
      <c r="O29" t="s">
        <v>42</v>
      </c>
      <c r="P29" t="s">
        <v>23</v>
      </c>
      <c r="Q29" s="2">
        <v>39535</v>
      </c>
    </row>
    <row r="30" spans="1:17" x14ac:dyDescent="0.2">
      <c r="A30" s="2">
        <v>43378</v>
      </c>
      <c r="B30" t="s">
        <v>17</v>
      </c>
      <c r="C30" t="s">
        <v>18</v>
      </c>
      <c r="D30" t="s">
        <v>38</v>
      </c>
      <c r="F30" t="s">
        <v>74</v>
      </c>
      <c r="G30" t="s">
        <v>75</v>
      </c>
      <c r="H30" t="s">
        <v>59</v>
      </c>
      <c r="I30" s="2">
        <v>44196</v>
      </c>
      <c r="J30">
        <v>497966.31</v>
      </c>
      <c r="K30">
        <v>1124.8599999999999</v>
      </c>
      <c r="L30">
        <v>497966.31</v>
      </c>
      <c r="M30">
        <v>0</v>
      </c>
      <c r="N30">
        <v>0</v>
      </c>
      <c r="O30" t="s">
        <v>42</v>
      </c>
      <c r="P30" t="s">
        <v>23</v>
      </c>
      <c r="Q30" s="2">
        <v>38594</v>
      </c>
    </row>
    <row r="31" spans="1:17" x14ac:dyDescent="0.2">
      <c r="A31" s="2">
        <v>43378</v>
      </c>
      <c r="B31" t="s">
        <v>17</v>
      </c>
      <c r="C31" t="s">
        <v>18</v>
      </c>
      <c r="D31" t="s">
        <v>38</v>
      </c>
      <c r="F31" t="s">
        <v>76</v>
      </c>
      <c r="G31" t="s">
        <v>26</v>
      </c>
      <c r="H31" t="s">
        <v>27</v>
      </c>
      <c r="I31" s="2">
        <v>43468</v>
      </c>
      <c r="J31">
        <v>1500000000</v>
      </c>
      <c r="K31">
        <v>986301.37</v>
      </c>
      <c r="L31">
        <v>1500000000</v>
      </c>
      <c r="M31">
        <v>0.245667</v>
      </c>
      <c r="N31">
        <v>1.5</v>
      </c>
      <c r="O31" t="s">
        <v>42</v>
      </c>
      <c r="P31" t="s">
        <v>23</v>
      </c>
      <c r="Q31" s="2">
        <v>43363</v>
      </c>
    </row>
    <row r="32" spans="1:17" x14ac:dyDescent="0.2">
      <c r="A32" s="2">
        <v>43378</v>
      </c>
      <c r="B32" t="s">
        <v>17</v>
      </c>
      <c r="C32" t="s">
        <v>18</v>
      </c>
      <c r="D32" t="s">
        <v>77</v>
      </c>
      <c r="F32" t="s">
        <v>78</v>
      </c>
      <c r="G32" t="s">
        <v>79</v>
      </c>
      <c r="H32" t="s">
        <v>27</v>
      </c>
      <c r="I32" s="2">
        <v>43452</v>
      </c>
      <c r="J32">
        <v>996611520</v>
      </c>
      <c r="L32">
        <v>996611520</v>
      </c>
      <c r="M32">
        <v>0.199319</v>
      </c>
      <c r="N32">
        <v>1.7</v>
      </c>
      <c r="O32" t="s">
        <v>42</v>
      </c>
      <c r="P32" t="s">
        <v>23</v>
      </c>
      <c r="Q32" s="2">
        <v>43363</v>
      </c>
    </row>
    <row r="33" spans="1:17" x14ac:dyDescent="0.2">
      <c r="A33" s="2">
        <v>43378</v>
      </c>
      <c r="B33" t="s">
        <v>17</v>
      </c>
      <c r="C33" t="s">
        <v>18</v>
      </c>
      <c r="D33" t="s">
        <v>77</v>
      </c>
      <c r="F33" t="s">
        <v>80</v>
      </c>
      <c r="G33" t="s">
        <v>81</v>
      </c>
      <c r="H33" t="s">
        <v>51</v>
      </c>
      <c r="I33" s="2">
        <v>43382</v>
      </c>
      <c r="J33">
        <v>1199844180</v>
      </c>
      <c r="L33">
        <v>1199844180</v>
      </c>
      <c r="M33">
        <v>8.2179999999999996E-3</v>
      </c>
      <c r="N33">
        <v>1.58</v>
      </c>
      <c r="O33" t="s">
        <v>42</v>
      </c>
      <c r="P33" t="s">
        <v>23</v>
      </c>
      <c r="Q33" s="2">
        <v>43320</v>
      </c>
    </row>
    <row r="34" spans="1:17" x14ac:dyDescent="0.2">
      <c r="A34" s="2">
        <v>43378</v>
      </c>
      <c r="B34" t="s">
        <v>17</v>
      </c>
      <c r="C34" t="s">
        <v>18</v>
      </c>
      <c r="D34" t="s">
        <v>77</v>
      </c>
      <c r="F34" t="s">
        <v>82</v>
      </c>
      <c r="G34" t="s">
        <v>81</v>
      </c>
      <c r="H34" t="s">
        <v>51</v>
      </c>
      <c r="I34" s="2">
        <v>43382</v>
      </c>
      <c r="J34">
        <v>499935075</v>
      </c>
      <c r="L34">
        <v>499935075</v>
      </c>
      <c r="M34">
        <v>8.2179999999999996E-3</v>
      </c>
      <c r="N34">
        <v>1.58</v>
      </c>
      <c r="O34" t="s">
        <v>42</v>
      </c>
      <c r="P34" t="s">
        <v>23</v>
      </c>
      <c r="Q34" s="2">
        <v>43321</v>
      </c>
    </row>
    <row r="35" spans="1:17" x14ac:dyDescent="0.2">
      <c r="A35" s="2">
        <v>43378</v>
      </c>
      <c r="B35" t="s">
        <v>17</v>
      </c>
      <c r="C35" t="s">
        <v>18</v>
      </c>
      <c r="D35" t="s">
        <v>77</v>
      </c>
      <c r="F35" t="s">
        <v>83</v>
      </c>
      <c r="G35" t="s">
        <v>84</v>
      </c>
      <c r="H35" t="s">
        <v>47</v>
      </c>
      <c r="I35" s="2">
        <v>43514</v>
      </c>
      <c r="J35">
        <v>149113974</v>
      </c>
      <c r="L35">
        <v>149073700.5</v>
      </c>
      <c r="M35">
        <v>0.367678</v>
      </c>
      <c r="N35">
        <v>1.68</v>
      </c>
      <c r="O35" t="s">
        <v>42</v>
      </c>
      <c r="P35" t="s">
        <v>23</v>
      </c>
      <c r="Q35" s="2">
        <v>43244</v>
      </c>
    </row>
    <row r="36" spans="1:17" x14ac:dyDescent="0.2">
      <c r="A36" s="2">
        <v>43378</v>
      </c>
      <c r="B36" t="s">
        <v>17</v>
      </c>
      <c r="C36" t="s">
        <v>18</v>
      </c>
      <c r="D36" t="s">
        <v>85</v>
      </c>
      <c r="F36" t="s">
        <v>86</v>
      </c>
      <c r="G36" t="s">
        <v>87</v>
      </c>
      <c r="H36" t="s">
        <v>29</v>
      </c>
      <c r="I36" s="2">
        <v>43418</v>
      </c>
      <c r="J36">
        <v>699103615</v>
      </c>
      <c r="L36">
        <v>699103615</v>
      </c>
      <c r="M36">
        <v>0.10671</v>
      </c>
      <c r="N36">
        <v>1.2</v>
      </c>
      <c r="O36" t="s">
        <v>42</v>
      </c>
      <c r="P36" t="s">
        <v>23</v>
      </c>
      <c r="Q36" s="2">
        <v>43054</v>
      </c>
    </row>
    <row r="37" spans="1:17" x14ac:dyDescent="0.2">
      <c r="A37" s="2">
        <v>43378</v>
      </c>
      <c r="B37" t="s">
        <v>17</v>
      </c>
      <c r="C37" t="s">
        <v>18</v>
      </c>
      <c r="D37" t="s">
        <v>85</v>
      </c>
      <c r="F37" t="s">
        <v>88</v>
      </c>
      <c r="G37" t="s">
        <v>87</v>
      </c>
      <c r="H37" t="s">
        <v>29</v>
      </c>
      <c r="I37" s="2">
        <v>43558</v>
      </c>
      <c r="J37">
        <v>9922898.1999999993</v>
      </c>
      <c r="L37">
        <v>9922145.0999999996</v>
      </c>
      <c r="M37">
        <v>0.48663000000000001</v>
      </c>
      <c r="N37">
        <v>1.6</v>
      </c>
      <c r="O37" t="s">
        <v>42</v>
      </c>
      <c r="P37" t="s">
        <v>23</v>
      </c>
      <c r="Q37" s="2">
        <v>43194</v>
      </c>
    </row>
    <row r="38" spans="1:17" x14ac:dyDescent="0.2">
      <c r="A38" s="2">
        <v>43378</v>
      </c>
      <c r="B38" t="s">
        <v>17</v>
      </c>
      <c r="C38" t="s">
        <v>18</v>
      </c>
      <c r="D38" t="s">
        <v>89</v>
      </c>
      <c r="F38" t="s">
        <v>90</v>
      </c>
      <c r="G38" t="s">
        <v>91</v>
      </c>
      <c r="I38" s="2">
        <v>43440</v>
      </c>
      <c r="J38">
        <v>3991328440</v>
      </c>
      <c r="L38">
        <v>3991044840</v>
      </c>
      <c r="M38">
        <v>0.16670299999999999</v>
      </c>
      <c r="N38">
        <v>1.3426089999999999</v>
      </c>
      <c r="O38" t="s">
        <v>42</v>
      </c>
      <c r="P38" t="s">
        <v>23</v>
      </c>
      <c r="Q38" s="2">
        <v>43349</v>
      </c>
    </row>
    <row r="39" spans="1:17" x14ac:dyDescent="0.2">
      <c r="A39" s="2">
        <v>43378</v>
      </c>
      <c r="B39" t="s">
        <v>17</v>
      </c>
      <c r="C39" t="s">
        <v>18</v>
      </c>
      <c r="D39" t="s">
        <v>89</v>
      </c>
      <c r="F39" t="s">
        <v>92</v>
      </c>
      <c r="G39" t="s">
        <v>91</v>
      </c>
      <c r="I39" s="2">
        <v>43447</v>
      </c>
      <c r="J39">
        <v>5997119187.6999998</v>
      </c>
      <c r="L39">
        <v>5996991535.3000002</v>
      </c>
      <c r="M39">
        <v>0.185834</v>
      </c>
      <c r="N39">
        <v>1.1643289999999999</v>
      </c>
      <c r="O39" t="s">
        <v>42</v>
      </c>
      <c r="P39" t="s">
        <v>23</v>
      </c>
      <c r="Q39" s="2">
        <v>43356</v>
      </c>
    </row>
    <row r="40" spans="1:17" x14ac:dyDescent="0.2">
      <c r="A40" s="2">
        <v>43378</v>
      </c>
      <c r="B40" t="s">
        <v>17</v>
      </c>
      <c r="C40" t="s">
        <v>18</v>
      </c>
      <c r="D40" t="s">
        <v>89</v>
      </c>
      <c r="F40" t="s">
        <v>93</v>
      </c>
      <c r="G40" t="s">
        <v>91</v>
      </c>
      <c r="I40" s="2">
        <v>43454</v>
      </c>
      <c r="J40">
        <v>2493569675</v>
      </c>
      <c r="L40">
        <v>2492946575</v>
      </c>
      <c r="M40">
        <v>0.204905</v>
      </c>
      <c r="N40">
        <v>1.376952</v>
      </c>
      <c r="O40" t="s">
        <v>42</v>
      </c>
      <c r="P40" t="s">
        <v>23</v>
      </c>
      <c r="Q40" s="2">
        <v>43363</v>
      </c>
    </row>
    <row r="41" spans="1:17" x14ac:dyDescent="0.2">
      <c r="A41" s="2">
        <v>43378</v>
      </c>
      <c r="B41" t="s">
        <v>17</v>
      </c>
      <c r="C41" t="s">
        <v>18</v>
      </c>
      <c r="D41" t="s">
        <v>89</v>
      </c>
      <c r="F41" t="s">
        <v>94</v>
      </c>
      <c r="G41" t="s">
        <v>91</v>
      </c>
      <c r="I41" s="2">
        <v>43405</v>
      </c>
      <c r="J41">
        <v>3656647879.1999998</v>
      </c>
      <c r="L41">
        <v>3656627749.1999998</v>
      </c>
      <c r="M41">
        <v>7.1174000000000001E-2</v>
      </c>
      <c r="N41">
        <v>1.2946709999999999</v>
      </c>
      <c r="O41" t="s">
        <v>42</v>
      </c>
      <c r="P41" t="s">
        <v>23</v>
      </c>
      <c r="Q41" s="2">
        <v>43314</v>
      </c>
    </row>
    <row r="42" spans="1:17" x14ac:dyDescent="0.2">
      <c r="A42" s="2">
        <v>43378</v>
      </c>
      <c r="B42" t="s">
        <v>17</v>
      </c>
      <c r="C42" t="s">
        <v>18</v>
      </c>
      <c r="D42" t="s">
        <v>89</v>
      </c>
      <c r="F42" t="s">
        <v>95</v>
      </c>
      <c r="G42" t="s">
        <v>91</v>
      </c>
      <c r="I42" s="2">
        <v>43412</v>
      </c>
      <c r="J42">
        <v>600402888.47000003</v>
      </c>
      <c r="L42">
        <v>600402888.47000003</v>
      </c>
      <c r="M42">
        <v>9.0315000000000006E-2</v>
      </c>
      <c r="N42">
        <v>1.1000000000000001</v>
      </c>
      <c r="O42" t="s">
        <v>42</v>
      </c>
      <c r="P42" t="s">
        <v>23</v>
      </c>
      <c r="Q42" s="2">
        <v>43230</v>
      </c>
    </row>
    <row r="43" spans="1:17" x14ac:dyDescent="0.2">
      <c r="A43" s="2">
        <v>43378</v>
      </c>
      <c r="B43" t="s">
        <v>17</v>
      </c>
      <c r="C43" t="s">
        <v>18</v>
      </c>
      <c r="D43" t="s">
        <v>89</v>
      </c>
      <c r="F43" t="s">
        <v>96</v>
      </c>
      <c r="G43" t="s">
        <v>91</v>
      </c>
      <c r="I43" s="2">
        <v>43412</v>
      </c>
      <c r="J43">
        <v>3995394360</v>
      </c>
      <c r="L43">
        <v>3995363440</v>
      </c>
      <c r="M43">
        <v>9.0315999999999994E-2</v>
      </c>
      <c r="N43">
        <v>1.2835639999999999</v>
      </c>
      <c r="O43" t="s">
        <v>42</v>
      </c>
      <c r="P43" t="s">
        <v>23</v>
      </c>
      <c r="Q43" s="2">
        <v>43321</v>
      </c>
    </row>
    <row r="44" spans="1:17" x14ac:dyDescent="0.2">
      <c r="A44" s="2">
        <v>43378</v>
      </c>
      <c r="B44" t="s">
        <v>17</v>
      </c>
      <c r="C44" t="s">
        <v>18</v>
      </c>
      <c r="D44" t="s">
        <v>89</v>
      </c>
      <c r="F44" t="s">
        <v>97</v>
      </c>
      <c r="G44" t="s">
        <v>91</v>
      </c>
      <c r="I44" s="2">
        <v>43419</v>
      </c>
      <c r="J44">
        <v>143813993.75999999</v>
      </c>
      <c r="L44">
        <v>143813993.75999999</v>
      </c>
      <c r="M44">
        <v>0.109448</v>
      </c>
      <c r="N44">
        <v>1.1802079999999999</v>
      </c>
      <c r="O44" t="s">
        <v>42</v>
      </c>
      <c r="P44" t="s">
        <v>23</v>
      </c>
      <c r="Q44" s="2">
        <v>43237</v>
      </c>
    </row>
    <row r="45" spans="1:17" x14ac:dyDescent="0.2">
      <c r="A45" s="2">
        <v>43378</v>
      </c>
      <c r="B45" t="s">
        <v>17</v>
      </c>
      <c r="C45" t="s">
        <v>18</v>
      </c>
      <c r="D45" t="s">
        <v>89</v>
      </c>
      <c r="F45" t="s">
        <v>98</v>
      </c>
      <c r="G45" t="s">
        <v>91</v>
      </c>
      <c r="I45" s="2">
        <v>43419</v>
      </c>
      <c r="J45">
        <v>2496545875</v>
      </c>
      <c r="L45">
        <v>2496542850</v>
      </c>
      <c r="M45">
        <v>0.109448</v>
      </c>
      <c r="N45">
        <v>1.263611</v>
      </c>
      <c r="O45" t="s">
        <v>42</v>
      </c>
      <c r="P45" t="s">
        <v>23</v>
      </c>
      <c r="Q45" s="2">
        <v>43328</v>
      </c>
    </row>
    <row r="46" spans="1:17" x14ac:dyDescent="0.2">
      <c r="A46" s="2">
        <v>43378</v>
      </c>
      <c r="B46" t="s">
        <v>17</v>
      </c>
      <c r="C46" t="s">
        <v>18</v>
      </c>
      <c r="D46" t="s">
        <v>89</v>
      </c>
      <c r="F46" t="s">
        <v>99</v>
      </c>
      <c r="G46" t="s">
        <v>91</v>
      </c>
      <c r="I46" s="2">
        <v>43426</v>
      </c>
      <c r="J46">
        <v>1048349547</v>
      </c>
      <c r="L46">
        <v>1048349547</v>
      </c>
      <c r="M46">
        <v>0.12857199999999999</v>
      </c>
      <c r="N46">
        <v>1.2226189999999999</v>
      </c>
      <c r="O46" t="s">
        <v>42</v>
      </c>
      <c r="P46" t="s">
        <v>23</v>
      </c>
      <c r="Q46" s="2">
        <v>43244</v>
      </c>
    </row>
    <row r="47" spans="1:17" x14ac:dyDescent="0.2">
      <c r="A47" s="2">
        <v>43378</v>
      </c>
      <c r="B47" t="s">
        <v>17</v>
      </c>
      <c r="C47" t="s">
        <v>18</v>
      </c>
      <c r="D47" t="s">
        <v>89</v>
      </c>
      <c r="F47" t="s">
        <v>100</v>
      </c>
      <c r="G47" t="s">
        <v>91</v>
      </c>
      <c r="I47" s="2">
        <v>43426</v>
      </c>
      <c r="J47">
        <v>3993546320</v>
      </c>
      <c r="L47">
        <v>3993405760</v>
      </c>
      <c r="M47">
        <v>0.12857099999999999</v>
      </c>
      <c r="N47">
        <v>1.282381</v>
      </c>
      <c r="O47" t="s">
        <v>42</v>
      </c>
      <c r="P47" t="s">
        <v>23</v>
      </c>
      <c r="Q47" s="2">
        <v>43335</v>
      </c>
    </row>
    <row r="48" spans="1:17" x14ac:dyDescent="0.2">
      <c r="A48" s="2">
        <v>43378</v>
      </c>
      <c r="B48" t="s">
        <v>17</v>
      </c>
      <c r="C48" t="s">
        <v>18</v>
      </c>
      <c r="D48" t="s">
        <v>89</v>
      </c>
      <c r="F48" t="s">
        <v>101</v>
      </c>
      <c r="G48" t="s">
        <v>91</v>
      </c>
      <c r="I48" s="2">
        <v>43433</v>
      </c>
      <c r="J48">
        <v>1445573383.6800001</v>
      </c>
      <c r="L48">
        <v>1445573383.6800001</v>
      </c>
      <c r="M48">
        <v>0.14768300000000001</v>
      </c>
      <c r="N48">
        <v>1.1346480000000001</v>
      </c>
      <c r="O48" t="s">
        <v>42</v>
      </c>
      <c r="P48" t="s">
        <v>23</v>
      </c>
      <c r="Q48" s="2">
        <v>43251</v>
      </c>
    </row>
    <row r="49" spans="1:17" x14ac:dyDescent="0.2">
      <c r="A49" s="2">
        <v>43378</v>
      </c>
      <c r="B49" t="s">
        <v>17</v>
      </c>
      <c r="C49" t="s">
        <v>18</v>
      </c>
      <c r="D49" t="s">
        <v>89</v>
      </c>
      <c r="F49" t="s">
        <v>102</v>
      </c>
      <c r="G49" t="s">
        <v>91</v>
      </c>
      <c r="I49" s="2">
        <v>43433</v>
      </c>
      <c r="J49">
        <v>3124499181.5</v>
      </c>
      <c r="L49">
        <v>3124264306.3000002</v>
      </c>
      <c r="M49">
        <v>0.14767</v>
      </c>
      <c r="N49">
        <v>1.240904</v>
      </c>
      <c r="O49" t="s">
        <v>42</v>
      </c>
      <c r="P49" t="s">
        <v>23</v>
      </c>
      <c r="Q49" s="2">
        <v>43342</v>
      </c>
    </row>
    <row r="50" spans="1:17" x14ac:dyDescent="0.2">
      <c r="A50" s="2">
        <v>43378</v>
      </c>
      <c r="B50" t="s">
        <v>17</v>
      </c>
      <c r="C50" t="s">
        <v>18</v>
      </c>
      <c r="D50" t="s">
        <v>89</v>
      </c>
      <c r="F50" t="s">
        <v>103</v>
      </c>
      <c r="G50" t="s">
        <v>91</v>
      </c>
      <c r="I50" s="2">
        <v>43382</v>
      </c>
      <c r="J50">
        <v>1281877235.6800001</v>
      </c>
      <c r="L50">
        <v>1281877235.6800001</v>
      </c>
      <c r="M50">
        <v>8.2179999999999996E-3</v>
      </c>
      <c r="N50">
        <v>1.1651670000000001</v>
      </c>
      <c r="O50" t="s">
        <v>42</v>
      </c>
      <c r="P50" t="s">
        <v>23</v>
      </c>
      <c r="Q50" s="2">
        <v>43368</v>
      </c>
    </row>
    <row r="51" spans="1:17" x14ac:dyDescent="0.2">
      <c r="A51" s="2">
        <v>43378</v>
      </c>
      <c r="B51" t="s">
        <v>17</v>
      </c>
      <c r="C51" t="s">
        <v>18</v>
      </c>
      <c r="D51" t="s">
        <v>89</v>
      </c>
      <c r="F51" t="s">
        <v>104</v>
      </c>
      <c r="G51" t="s">
        <v>91</v>
      </c>
      <c r="I51" s="2">
        <v>43384</v>
      </c>
      <c r="J51">
        <v>758878560</v>
      </c>
      <c r="L51">
        <v>758878560</v>
      </c>
      <c r="M51">
        <v>1.3697000000000001E-2</v>
      </c>
      <c r="N51">
        <v>1.1682079999999999</v>
      </c>
      <c r="O51" t="s">
        <v>42</v>
      </c>
      <c r="P51" t="s">
        <v>23</v>
      </c>
      <c r="Q51" s="2">
        <v>43202</v>
      </c>
    </row>
    <row r="52" spans="1:17" x14ac:dyDescent="0.2">
      <c r="A52" s="2">
        <v>43378</v>
      </c>
      <c r="B52" t="s">
        <v>17</v>
      </c>
      <c r="C52" t="s">
        <v>18</v>
      </c>
      <c r="D52" t="s">
        <v>89</v>
      </c>
      <c r="F52" t="s">
        <v>105</v>
      </c>
      <c r="G52" t="s">
        <v>91</v>
      </c>
      <c r="I52" s="2">
        <v>43384</v>
      </c>
      <c r="J52">
        <v>3860310309.5700002</v>
      </c>
      <c r="L52">
        <v>3860310077.9099998</v>
      </c>
      <c r="M52">
        <v>1.3696E-2</v>
      </c>
      <c r="N52">
        <v>1.304637</v>
      </c>
      <c r="O52" t="s">
        <v>42</v>
      </c>
      <c r="P52" t="s">
        <v>23</v>
      </c>
      <c r="Q52" s="2">
        <v>43293</v>
      </c>
    </row>
    <row r="53" spans="1:17" x14ac:dyDescent="0.2">
      <c r="A53" s="2">
        <v>43378</v>
      </c>
      <c r="B53" t="s">
        <v>17</v>
      </c>
      <c r="C53" t="s">
        <v>18</v>
      </c>
      <c r="D53" t="s">
        <v>89</v>
      </c>
      <c r="F53" t="s">
        <v>106</v>
      </c>
      <c r="G53" t="s">
        <v>91</v>
      </c>
      <c r="I53" s="2">
        <v>43389</v>
      </c>
      <c r="J53">
        <v>143955038.88</v>
      </c>
      <c r="L53">
        <v>143955038.88</v>
      </c>
      <c r="M53">
        <v>2.7389E-2</v>
      </c>
      <c r="N53">
        <v>1.1399999999999999</v>
      </c>
      <c r="O53" t="s">
        <v>42</v>
      </c>
      <c r="P53" t="s">
        <v>23</v>
      </c>
      <c r="Q53" s="2">
        <v>43375</v>
      </c>
    </row>
    <row r="54" spans="1:17" x14ac:dyDescent="0.2">
      <c r="A54" s="2">
        <v>43378</v>
      </c>
      <c r="B54" t="s">
        <v>17</v>
      </c>
      <c r="C54" t="s">
        <v>18</v>
      </c>
      <c r="D54" t="s">
        <v>89</v>
      </c>
      <c r="F54" t="s">
        <v>107</v>
      </c>
      <c r="G54" t="s">
        <v>91</v>
      </c>
      <c r="I54" s="2">
        <v>43391</v>
      </c>
      <c r="J54">
        <v>734725874.39999998</v>
      </c>
      <c r="L54">
        <v>734725874.39999998</v>
      </c>
      <c r="M54">
        <v>3.2864999999999998E-2</v>
      </c>
      <c r="N54">
        <v>1.134857</v>
      </c>
      <c r="O54" t="s">
        <v>42</v>
      </c>
      <c r="P54" t="s">
        <v>23</v>
      </c>
      <c r="Q54" s="2">
        <v>43209</v>
      </c>
    </row>
    <row r="55" spans="1:17" x14ac:dyDescent="0.2">
      <c r="A55" s="2">
        <v>43378</v>
      </c>
      <c r="B55" t="s">
        <v>17</v>
      </c>
      <c r="C55" t="s">
        <v>18</v>
      </c>
      <c r="D55" t="s">
        <v>89</v>
      </c>
      <c r="F55" t="s">
        <v>108</v>
      </c>
      <c r="G55" t="s">
        <v>91</v>
      </c>
      <c r="I55" s="2">
        <v>43391</v>
      </c>
      <c r="J55">
        <v>2707843744.6199999</v>
      </c>
      <c r="L55">
        <v>2707821937.1700001</v>
      </c>
      <c r="M55">
        <v>3.2864999999999998E-2</v>
      </c>
      <c r="N55">
        <v>1.3233010000000001</v>
      </c>
      <c r="O55" t="s">
        <v>42</v>
      </c>
      <c r="P55" t="s">
        <v>23</v>
      </c>
      <c r="Q55" s="2">
        <v>43300</v>
      </c>
    </row>
    <row r="56" spans="1:17" x14ac:dyDescent="0.2">
      <c r="A56" s="2">
        <v>43378</v>
      </c>
      <c r="B56" t="s">
        <v>17</v>
      </c>
      <c r="C56" t="s">
        <v>18</v>
      </c>
      <c r="D56" t="s">
        <v>89</v>
      </c>
      <c r="F56" t="s">
        <v>494</v>
      </c>
      <c r="G56" t="s">
        <v>91</v>
      </c>
      <c r="I56" s="2">
        <v>43397</v>
      </c>
      <c r="J56">
        <v>1399345526.54</v>
      </c>
      <c r="L56">
        <v>1399345526.54</v>
      </c>
      <c r="M56">
        <v>5.2054999999999997E-2</v>
      </c>
      <c r="N56">
        <v>1.1380760000000001</v>
      </c>
      <c r="O56" t="s">
        <v>42</v>
      </c>
      <c r="P56" t="s">
        <v>23</v>
      </c>
      <c r="Q56" s="2">
        <v>43382</v>
      </c>
    </row>
    <row r="57" spans="1:17" x14ac:dyDescent="0.2">
      <c r="A57" s="2">
        <v>43378</v>
      </c>
      <c r="B57" t="s">
        <v>17</v>
      </c>
      <c r="C57" t="s">
        <v>18</v>
      </c>
      <c r="D57" t="s">
        <v>89</v>
      </c>
      <c r="F57" t="s">
        <v>109</v>
      </c>
      <c r="G57" t="s">
        <v>91</v>
      </c>
      <c r="I57" s="2">
        <v>43398</v>
      </c>
      <c r="J57">
        <v>741547862.29999995</v>
      </c>
      <c r="L57">
        <v>741547862.29999995</v>
      </c>
      <c r="M57">
        <v>5.2024000000000001E-2</v>
      </c>
      <c r="N57">
        <v>1.1713070000000001</v>
      </c>
      <c r="O57" t="s">
        <v>42</v>
      </c>
      <c r="P57" t="s">
        <v>23</v>
      </c>
      <c r="Q57" s="2">
        <v>43216</v>
      </c>
    </row>
    <row r="58" spans="1:17" x14ac:dyDescent="0.2">
      <c r="A58" s="2">
        <v>43378</v>
      </c>
      <c r="B58" t="s">
        <v>17</v>
      </c>
      <c r="C58" t="s">
        <v>18</v>
      </c>
      <c r="D58" t="s">
        <v>89</v>
      </c>
      <c r="F58" t="s">
        <v>110</v>
      </c>
      <c r="G58" t="s">
        <v>91</v>
      </c>
      <c r="I58" s="2">
        <v>43398</v>
      </c>
      <c r="J58">
        <v>3595679074.1199999</v>
      </c>
      <c r="L58">
        <v>3595599882.1399999</v>
      </c>
      <c r="M58">
        <v>5.2025000000000002E-2</v>
      </c>
      <c r="N58">
        <v>1.2823359999999999</v>
      </c>
      <c r="O58" t="s">
        <v>42</v>
      </c>
      <c r="P58" t="s">
        <v>23</v>
      </c>
      <c r="Q58" s="2">
        <v>43307</v>
      </c>
    </row>
    <row r="59" spans="1:17" x14ac:dyDescent="0.2">
      <c r="A59" s="2">
        <v>43378</v>
      </c>
      <c r="B59" t="s">
        <v>17</v>
      </c>
      <c r="C59" t="s">
        <v>18</v>
      </c>
      <c r="D59" t="s">
        <v>89</v>
      </c>
      <c r="F59" t="s">
        <v>111</v>
      </c>
      <c r="G59" t="s">
        <v>91</v>
      </c>
      <c r="I59" s="2">
        <v>43468</v>
      </c>
      <c r="J59">
        <v>2989285260</v>
      </c>
      <c r="L59">
        <v>2989136790</v>
      </c>
      <c r="M59">
        <v>0.24296499999999999</v>
      </c>
      <c r="N59">
        <v>1.490442</v>
      </c>
      <c r="O59" t="s">
        <v>42</v>
      </c>
      <c r="P59" t="s">
        <v>23</v>
      </c>
      <c r="Q59" s="2">
        <v>43377</v>
      </c>
    </row>
    <row r="60" spans="1:17" x14ac:dyDescent="0.2">
      <c r="A60" s="2">
        <v>43378</v>
      </c>
      <c r="B60" t="s">
        <v>17</v>
      </c>
      <c r="C60" t="s">
        <v>18</v>
      </c>
      <c r="D60" t="s">
        <v>112</v>
      </c>
      <c r="F60" t="s">
        <v>113</v>
      </c>
      <c r="G60" t="s">
        <v>114</v>
      </c>
      <c r="H60" t="s">
        <v>51</v>
      </c>
      <c r="I60" s="2">
        <v>43404</v>
      </c>
      <c r="J60">
        <v>100197895</v>
      </c>
      <c r="K60">
        <v>2047397</v>
      </c>
      <c r="L60">
        <v>100197895</v>
      </c>
      <c r="M60">
        <v>6.7990999999999996E-2</v>
      </c>
      <c r="N60">
        <v>1.5</v>
      </c>
      <c r="O60" t="s">
        <v>42</v>
      </c>
      <c r="P60" t="s">
        <v>23</v>
      </c>
      <c r="Q60" s="2">
        <v>41578</v>
      </c>
    </row>
    <row r="61" spans="1:17" x14ac:dyDescent="0.2">
      <c r="A61" s="2">
        <v>43378</v>
      </c>
      <c r="B61" t="s">
        <v>17</v>
      </c>
      <c r="C61" t="s">
        <v>116</v>
      </c>
      <c r="D61" t="s">
        <v>117</v>
      </c>
      <c r="F61" t="s">
        <v>118</v>
      </c>
      <c r="G61" t="s">
        <v>26</v>
      </c>
      <c r="H61" t="s">
        <v>27</v>
      </c>
      <c r="I61" s="2">
        <v>43559</v>
      </c>
      <c r="J61">
        <v>69330525</v>
      </c>
      <c r="L61">
        <v>0</v>
      </c>
      <c r="M61">
        <v>0</v>
      </c>
      <c r="N61">
        <v>0</v>
      </c>
      <c r="O61" t="s">
        <v>119</v>
      </c>
      <c r="P61" t="s">
        <v>23</v>
      </c>
      <c r="Q61" s="2">
        <v>2</v>
      </c>
    </row>
    <row r="62" spans="1:17" x14ac:dyDescent="0.2">
      <c r="A62" s="2">
        <v>43378</v>
      </c>
      <c r="B62" t="s">
        <v>17</v>
      </c>
      <c r="C62" t="s">
        <v>116</v>
      </c>
      <c r="D62" t="s">
        <v>117</v>
      </c>
      <c r="F62" t="s">
        <v>120</v>
      </c>
      <c r="G62" t="s">
        <v>26</v>
      </c>
      <c r="H62" t="s">
        <v>27</v>
      </c>
      <c r="I62" s="2">
        <v>43566</v>
      </c>
      <c r="J62">
        <v>55957052.359999999</v>
      </c>
      <c r="L62">
        <v>0</v>
      </c>
      <c r="M62">
        <v>0</v>
      </c>
      <c r="N62">
        <v>0</v>
      </c>
      <c r="O62" t="s">
        <v>119</v>
      </c>
      <c r="P62" t="s">
        <v>23</v>
      </c>
      <c r="Q62" s="2">
        <v>2</v>
      </c>
    </row>
    <row r="63" spans="1:17" x14ac:dyDescent="0.2">
      <c r="A63" s="2">
        <v>43378</v>
      </c>
      <c r="B63" t="s">
        <v>17</v>
      </c>
      <c r="C63" t="s">
        <v>116</v>
      </c>
      <c r="D63" t="s">
        <v>117</v>
      </c>
      <c r="F63" t="s">
        <v>121</v>
      </c>
      <c r="G63" t="s">
        <v>26</v>
      </c>
      <c r="H63" t="s">
        <v>27</v>
      </c>
      <c r="I63" s="2">
        <v>43409</v>
      </c>
      <c r="J63">
        <v>12267776.75</v>
      </c>
      <c r="L63">
        <v>0</v>
      </c>
      <c r="M63">
        <v>0</v>
      </c>
      <c r="N63">
        <v>0</v>
      </c>
      <c r="O63" t="s">
        <v>119</v>
      </c>
      <c r="P63" t="s">
        <v>23</v>
      </c>
      <c r="Q63" s="2">
        <v>2</v>
      </c>
    </row>
    <row r="64" spans="1:17" x14ac:dyDescent="0.2">
      <c r="A64" s="2">
        <v>43378</v>
      </c>
      <c r="B64" t="s">
        <v>17</v>
      </c>
      <c r="C64" t="s">
        <v>116</v>
      </c>
      <c r="D64" t="s">
        <v>117</v>
      </c>
      <c r="F64" t="s">
        <v>122</v>
      </c>
      <c r="G64" t="s">
        <v>26</v>
      </c>
      <c r="H64" t="s">
        <v>27</v>
      </c>
      <c r="I64" s="2">
        <v>43543</v>
      </c>
      <c r="J64">
        <v>2604984.42</v>
      </c>
      <c r="L64">
        <v>0</v>
      </c>
      <c r="M64">
        <v>0</v>
      </c>
      <c r="N64">
        <v>0</v>
      </c>
      <c r="O64" t="s">
        <v>119</v>
      </c>
      <c r="P64" t="s">
        <v>23</v>
      </c>
      <c r="Q64" s="2">
        <v>2</v>
      </c>
    </row>
    <row r="65" spans="1:17" x14ac:dyDescent="0.2">
      <c r="A65" s="2">
        <v>43378</v>
      </c>
      <c r="B65" t="s">
        <v>17</v>
      </c>
      <c r="C65" t="s">
        <v>116</v>
      </c>
      <c r="D65" t="s">
        <v>117</v>
      </c>
      <c r="F65" t="s">
        <v>123</v>
      </c>
      <c r="G65" t="s">
        <v>26</v>
      </c>
      <c r="H65" t="s">
        <v>27</v>
      </c>
      <c r="I65" s="2">
        <v>43580</v>
      </c>
      <c r="J65">
        <v>68081985.879999995</v>
      </c>
      <c r="L65">
        <v>0</v>
      </c>
      <c r="M65">
        <v>0</v>
      </c>
      <c r="N65">
        <v>0</v>
      </c>
      <c r="O65" t="s">
        <v>119</v>
      </c>
      <c r="P65" t="s">
        <v>23</v>
      </c>
      <c r="Q65" s="2">
        <v>2</v>
      </c>
    </row>
    <row r="66" spans="1:17" x14ac:dyDescent="0.2">
      <c r="A66" s="2">
        <v>43378</v>
      </c>
      <c r="B66" t="s">
        <v>17</v>
      </c>
      <c r="C66" t="s">
        <v>116</v>
      </c>
      <c r="D66" t="s">
        <v>117</v>
      </c>
      <c r="F66" t="s">
        <v>124</v>
      </c>
      <c r="G66" t="s">
        <v>125</v>
      </c>
      <c r="H66" t="s">
        <v>126</v>
      </c>
      <c r="I66" s="2">
        <v>43595</v>
      </c>
      <c r="J66">
        <v>24279329.73</v>
      </c>
      <c r="L66">
        <v>0</v>
      </c>
      <c r="M66">
        <v>0</v>
      </c>
      <c r="N66">
        <v>0</v>
      </c>
      <c r="O66" t="s">
        <v>119</v>
      </c>
      <c r="P66" t="s">
        <v>23</v>
      </c>
      <c r="Q66" s="2">
        <v>2</v>
      </c>
    </row>
    <row r="67" spans="1:17" x14ac:dyDescent="0.2">
      <c r="A67" s="2">
        <v>43378</v>
      </c>
      <c r="B67" t="s">
        <v>17</v>
      </c>
      <c r="C67" t="s">
        <v>116</v>
      </c>
      <c r="D67" t="s">
        <v>117</v>
      </c>
      <c r="F67" t="s">
        <v>127</v>
      </c>
      <c r="G67" t="s">
        <v>125</v>
      </c>
      <c r="H67" t="s">
        <v>126</v>
      </c>
      <c r="I67" s="2">
        <v>43410</v>
      </c>
      <c r="J67">
        <v>4095518.31</v>
      </c>
      <c r="L67">
        <v>0</v>
      </c>
      <c r="M67">
        <v>0</v>
      </c>
      <c r="N67">
        <v>0</v>
      </c>
      <c r="O67" t="s">
        <v>119</v>
      </c>
      <c r="P67" t="s">
        <v>23</v>
      </c>
      <c r="Q67" s="2">
        <v>2</v>
      </c>
    </row>
    <row r="68" spans="1:17" x14ac:dyDescent="0.2">
      <c r="A68" s="2">
        <v>43378</v>
      </c>
      <c r="B68" t="s">
        <v>17</v>
      </c>
      <c r="C68" t="s">
        <v>116</v>
      </c>
      <c r="D68" t="s">
        <v>117</v>
      </c>
      <c r="F68" t="s">
        <v>128</v>
      </c>
      <c r="G68" t="s">
        <v>26</v>
      </c>
      <c r="H68" t="s">
        <v>27</v>
      </c>
      <c r="I68" s="2">
        <v>43389</v>
      </c>
      <c r="J68">
        <v>5016555.88</v>
      </c>
      <c r="L68">
        <v>0</v>
      </c>
      <c r="M68">
        <v>0</v>
      </c>
      <c r="N68">
        <v>0</v>
      </c>
      <c r="O68" t="s">
        <v>119</v>
      </c>
      <c r="P68" t="s">
        <v>23</v>
      </c>
      <c r="Q68" s="2">
        <v>2</v>
      </c>
    </row>
    <row r="69" spans="1:17" x14ac:dyDescent="0.2">
      <c r="A69" s="2">
        <v>43378</v>
      </c>
      <c r="B69" t="s">
        <v>17</v>
      </c>
      <c r="C69" t="s">
        <v>116</v>
      </c>
      <c r="D69" t="s">
        <v>117</v>
      </c>
      <c r="F69" t="s">
        <v>129</v>
      </c>
      <c r="G69" t="s">
        <v>26</v>
      </c>
      <c r="H69" t="s">
        <v>27</v>
      </c>
      <c r="I69" s="2">
        <v>43389</v>
      </c>
      <c r="J69">
        <v>8631363.3000000007</v>
      </c>
      <c r="L69">
        <v>0</v>
      </c>
      <c r="M69">
        <v>0</v>
      </c>
      <c r="N69">
        <v>0</v>
      </c>
      <c r="O69" t="s">
        <v>119</v>
      </c>
      <c r="P69" t="s">
        <v>23</v>
      </c>
      <c r="Q69" s="2">
        <v>2</v>
      </c>
    </row>
    <row r="70" spans="1:17" x14ac:dyDescent="0.2">
      <c r="A70" s="2">
        <v>43378</v>
      </c>
      <c r="B70" t="s">
        <v>17</v>
      </c>
      <c r="C70" t="s">
        <v>116</v>
      </c>
      <c r="D70" t="s">
        <v>117</v>
      </c>
      <c r="F70" t="s">
        <v>130</v>
      </c>
      <c r="G70" t="s">
        <v>26</v>
      </c>
      <c r="H70" t="s">
        <v>27</v>
      </c>
      <c r="I70" s="2">
        <v>43580</v>
      </c>
      <c r="J70">
        <v>-46448877.710000001</v>
      </c>
      <c r="L70">
        <v>0</v>
      </c>
      <c r="M70">
        <v>0</v>
      </c>
      <c r="N70">
        <v>0</v>
      </c>
      <c r="O70" t="s">
        <v>119</v>
      </c>
      <c r="P70" t="s">
        <v>23</v>
      </c>
      <c r="Q70" s="2">
        <v>2</v>
      </c>
    </row>
    <row r="71" spans="1:17" x14ac:dyDescent="0.2">
      <c r="A71" s="2">
        <v>43378</v>
      </c>
      <c r="B71" t="s">
        <v>17</v>
      </c>
      <c r="C71" t="s">
        <v>131</v>
      </c>
      <c r="D71" t="s">
        <v>132</v>
      </c>
      <c r="E71" t="s">
        <v>133</v>
      </c>
      <c r="F71" t="s">
        <v>132</v>
      </c>
      <c r="G71" t="s">
        <v>134</v>
      </c>
      <c r="J71">
        <v>14485.08</v>
      </c>
      <c r="L71">
        <v>14485.08</v>
      </c>
      <c r="M71">
        <v>0</v>
      </c>
      <c r="N71">
        <v>0</v>
      </c>
      <c r="O71" t="s">
        <v>22</v>
      </c>
      <c r="P71" t="s">
        <v>23</v>
      </c>
      <c r="Q71" s="2">
        <v>2</v>
      </c>
    </row>
    <row r="72" spans="1:17" x14ac:dyDescent="0.2">
      <c r="A72" s="2">
        <v>43378</v>
      </c>
      <c r="B72" t="s">
        <v>17</v>
      </c>
      <c r="C72" t="s">
        <v>135</v>
      </c>
      <c r="D72" t="s">
        <v>136</v>
      </c>
      <c r="E72" t="s">
        <v>137</v>
      </c>
      <c r="F72" t="s">
        <v>97</v>
      </c>
      <c r="J72">
        <v>-93885151.739999995</v>
      </c>
      <c r="L72">
        <v>-93885151.739999995</v>
      </c>
      <c r="N72">
        <v>0</v>
      </c>
      <c r="O72" t="s">
        <v>42</v>
      </c>
      <c r="P72" t="s">
        <v>23</v>
      </c>
      <c r="Q72" s="2">
        <v>43237</v>
      </c>
    </row>
    <row r="73" spans="1:17" x14ac:dyDescent="0.2">
      <c r="A73" s="2">
        <v>43378</v>
      </c>
      <c r="B73" t="s">
        <v>17</v>
      </c>
      <c r="C73" t="s">
        <v>135</v>
      </c>
      <c r="D73" t="s">
        <v>136</v>
      </c>
      <c r="E73" t="s">
        <v>137</v>
      </c>
      <c r="F73" t="s">
        <v>102</v>
      </c>
      <c r="J73">
        <v>-129779978.90000001</v>
      </c>
      <c r="L73">
        <v>-129779978.90000001</v>
      </c>
      <c r="N73">
        <v>0</v>
      </c>
      <c r="O73" t="s">
        <v>42</v>
      </c>
      <c r="P73" t="s">
        <v>23</v>
      </c>
      <c r="Q73" s="2">
        <v>43342</v>
      </c>
    </row>
    <row r="74" spans="1:17" x14ac:dyDescent="0.2">
      <c r="A74" s="2">
        <v>43378</v>
      </c>
      <c r="B74" t="s">
        <v>17</v>
      </c>
      <c r="C74" t="s">
        <v>135</v>
      </c>
      <c r="D74" t="s">
        <v>136</v>
      </c>
      <c r="E74" t="s">
        <v>495</v>
      </c>
      <c r="F74" t="s">
        <v>494</v>
      </c>
      <c r="J74">
        <v>-1399345526.54</v>
      </c>
      <c r="L74">
        <v>-1399345526.54</v>
      </c>
      <c r="N74">
        <v>0</v>
      </c>
      <c r="O74" t="s">
        <v>42</v>
      </c>
      <c r="P74" t="s">
        <v>23</v>
      </c>
      <c r="Q74" s="2">
        <v>43382</v>
      </c>
    </row>
    <row r="75" spans="1:17" x14ac:dyDescent="0.2">
      <c r="A75" s="2">
        <v>43378</v>
      </c>
      <c r="B75" t="s">
        <v>17</v>
      </c>
      <c r="C75" t="s">
        <v>135</v>
      </c>
      <c r="D75" t="s">
        <v>138</v>
      </c>
      <c r="E75" t="s">
        <v>138</v>
      </c>
      <c r="F75" t="s">
        <v>138</v>
      </c>
      <c r="J75">
        <v>-177523.58</v>
      </c>
      <c r="N75">
        <v>0</v>
      </c>
    </row>
    <row r="76" spans="1:17" x14ac:dyDescent="0.2">
      <c r="A76" s="2">
        <v>43378</v>
      </c>
      <c r="B76" t="s">
        <v>17</v>
      </c>
      <c r="C76" t="s">
        <v>135</v>
      </c>
      <c r="D76" t="s">
        <v>138</v>
      </c>
      <c r="E76" t="s">
        <v>138</v>
      </c>
      <c r="F76" t="s">
        <v>138</v>
      </c>
      <c r="J76">
        <v>-1185.3599999999999</v>
      </c>
      <c r="N76">
        <v>0</v>
      </c>
    </row>
    <row r="77" spans="1:17" x14ac:dyDescent="0.2">
      <c r="A77" s="2">
        <v>43378</v>
      </c>
      <c r="B77" t="s">
        <v>17</v>
      </c>
      <c r="C77" t="s">
        <v>135</v>
      </c>
      <c r="D77" t="s">
        <v>139</v>
      </c>
      <c r="J77">
        <v>-1538751.35</v>
      </c>
      <c r="K77">
        <v>0</v>
      </c>
      <c r="N77">
        <v>0</v>
      </c>
    </row>
    <row r="78" spans="1:17" x14ac:dyDescent="0.2">
      <c r="A78" s="2">
        <v>43378</v>
      </c>
      <c r="B78" t="s">
        <v>17</v>
      </c>
      <c r="C78" t="s">
        <v>135</v>
      </c>
      <c r="D78" t="s">
        <v>140</v>
      </c>
      <c r="E78" t="s">
        <v>140</v>
      </c>
      <c r="F78" t="s">
        <v>140</v>
      </c>
      <c r="J78">
        <v>-4182.17</v>
      </c>
      <c r="N78">
        <v>0</v>
      </c>
    </row>
    <row r="79" spans="1:17" x14ac:dyDescent="0.2">
      <c r="A79" s="2">
        <v>43378</v>
      </c>
      <c r="B79" t="s">
        <v>17</v>
      </c>
      <c r="C79" t="s">
        <v>135</v>
      </c>
      <c r="D79" t="s">
        <v>140</v>
      </c>
      <c r="E79" t="s">
        <v>140</v>
      </c>
      <c r="F79" t="s">
        <v>140</v>
      </c>
      <c r="J79">
        <v>-708.25</v>
      </c>
      <c r="N79">
        <v>0</v>
      </c>
    </row>
    <row r="80" spans="1:17" x14ac:dyDescent="0.2">
      <c r="A80" s="2">
        <v>43378</v>
      </c>
      <c r="B80" t="s">
        <v>17</v>
      </c>
      <c r="C80" t="s">
        <v>135</v>
      </c>
      <c r="D80" t="s">
        <v>141</v>
      </c>
      <c r="E80" t="s">
        <v>141</v>
      </c>
      <c r="J80">
        <v>-88012.78</v>
      </c>
      <c r="L80">
        <v>-88012.78</v>
      </c>
      <c r="N80">
        <v>0</v>
      </c>
    </row>
    <row r="81" spans="1:17" x14ac:dyDescent="0.2">
      <c r="A81" s="2">
        <v>43378</v>
      </c>
      <c r="B81" t="s">
        <v>17</v>
      </c>
      <c r="C81" t="s">
        <v>135</v>
      </c>
      <c r="D81" t="s">
        <v>142</v>
      </c>
      <c r="E81" t="s">
        <v>142</v>
      </c>
      <c r="J81">
        <v>-6854262.7400000002</v>
      </c>
      <c r="L81">
        <v>-6854262.7400000002</v>
      </c>
      <c r="N81">
        <v>0</v>
      </c>
    </row>
    <row r="82" spans="1:17" x14ac:dyDescent="0.2">
      <c r="A82" s="2">
        <v>43378</v>
      </c>
      <c r="B82" t="s">
        <v>17</v>
      </c>
      <c r="C82" t="s">
        <v>135</v>
      </c>
      <c r="D82" t="s">
        <v>143</v>
      </c>
      <c r="E82" t="s">
        <v>143</v>
      </c>
      <c r="J82">
        <v>0</v>
      </c>
      <c r="L82">
        <v>0</v>
      </c>
      <c r="N82">
        <v>0</v>
      </c>
    </row>
    <row r="83" spans="1:17" x14ac:dyDescent="0.2">
      <c r="A83" s="2">
        <v>43378</v>
      </c>
      <c r="B83" t="s">
        <v>17</v>
      </c>
      <c r="C83" t="s">
        <v>144</v>
      </c>
      <c r="D83" t="s">
        <v>141</v>
      </c>
      <c r="E83" t="s">
        <v>141</v>
      </c>
      <c r="J83">
        <v>-22755.93</v>
      </c>
      <c r="L83">
        <v>-22755.93</v>
      </c>
      <c r="N83">
        <v>0</v>
      </c>
    </row>
    <row r="84" spans="1:17" x14ac:dyDescent="0.2">
      <c r="A84" s="2">
        <v>43378</v>
      </c>
      <c r="B84" t="s">
        <v>17</v>
      </c>
      <c r="C84" t="s">
        <v>144</v>
      </c>
      <c r="D84" t="s">
        <v>142</v>
      </c>
      <c r="E84" t="s">
        <v>142</v>
      </c>
      <c r="J84">
        <v>-1772187.08</v>
      </c>
      <c r="L84">
        <v>-1772187.08</v>
      </c>
      <c r="N84">
        <v>0</v>
      </c>
    </row>
    <row r="85" spans="1:17" x14ac:dyDescent="0.2">
      <c r="A85" s="2">
        <v>43378</v>
      </c>
      <c r="B85" t="s">
        <v>17</v>
      </c>
      <c r="C85" t="s">
        <v>144</v>
      </c>
      <c r="D85" t="s">
        <v>143</v>
      </c>
      <c r="E85" t="s">
        <v>143</v>
      </c>
      <c r="J85">
        <v>0</v>
      </c>
      <c r="L85">
        <v>0</v>
      </c>
      <c r="N85">
        <v>0</v>
      </c>
    </row>
    <row r="86" spans="1:17" x14ac:dyDescent="0.2">
      <c r="A86" s="2">
        <v>43378</v>
      </c>
      <c r="B86" t="s">
        <v>146</v>
      </c>
      <c r="C86" t="s">
        <v>18</v>
      </c>
      <c r="D86" t="s">
        <v>19</v>
      </c>
      <c r="F86" t="s">
        <v>20</v>
      </c>
      <c r="G86" t="s">
        <v>21</v>
      </c>
      <c r="J86">
        <v>87836828.359999999</v>
      </c>
      <c r="K86">
        <v>572420.35</v>
      </c>
      <c r="L86">
        <v>87836828.359999999</v>
      </c>
      <c r="M86">
        <v>0</v>
      </c>
      <c r="N86">
        <v>0</v>
      </c>
      <c r="O86" t="s">
        <v>22</v>
      </c>
      <c r="P86" t="s">
        <v>23</v>
      </c>
      <c r="Q86" s="2">
        <v>2</v>
      </c>
    </row>
    <row r="87" spans="1:17" x14ac:dyDescent="0.2">
      <c r="A87" s="2">
        <v>43378</v>
      </c>
      <c r="B87" t="s">
        <v>146</v>
      </c>
      <c r="C87" t="s">
        <v>18</v>
      </c>
      <c r="D87" t="s">
        <v>19</v>
      </c>
      <c r="F87" t="s">
        <v>149</v>
      </c>
      <c r="G87" t="s">
        <v>150</v>
      </c>
      <c r="J87">
        <v>0</v>
      </c>
      <c r="L87">
        <v>0</v>
      </c>
      <c r="M87">
        <v>0</v>
      </c>
      <c r="N87">
        <v>0</v>
      </c>
      <c r="O87" t="s">
        <v>22</v>
      </c>
      <c r="P87" t="s">
        <v>151</v>
      </c>
      <c r="Q87" s="2">
        <v>2</v>
      </c>
    </row>
    <row r="88" spans="1:17" x14ac:dyDescent="0.2">
      <c r="A88" s="2">
        <v>43378</v>
      </c>
      <c r="B88" t="s">
        <v>146</v>
      </c>
      <c r="C88" t="s">
        <v>18</v>
      </c>
      <c r="D88" t="s">
        <v>19</v>
      </c>
      <c r="F88" t="s">
        <v>25</v>
      </c>
      <c r="G88" t="s">
        <v>26</v>
      </c>
      <c r="H88" t="s">
        <v>27</v>
      </c>
      <c r="J88">
        <v>0</v>
      </c>
      <c r="L88">
        <v>0</v>
      </c>
      <c r="M88">
        <v>0</v>
      </c>
      <c r="N88">
        <v>0</v>
      </c>
      <c r="O88" t="s">
        <v>22</v>
      </c>
      <c r="P88" t="s">
        <v>28</v>
      </c>
      <c r="Q88" s="2">
        <v>2</v>
      </c>
    </row>
    <row r="89" spans="1:17" x14ac:dyDescent="0.2">
      <c r="A89" s="2">
        <v>43378</v>
      </c>
      <c r="B89" t="s">
        <v>146</v>
      </c>
      <c r="C89" t="s">
        <v>18</v>
      </c>
      <c r="D89" t="s">
        <v>19</v>
      </c>
      <c r="F89" t="s">
        <v>30</v>
      </c>
      <c r="G89" t="s">
        <v>26</v>
      </c>
      <c r="H89" t="s">
        <v>27</v>
      </c>
      <c r="J89">
        <v>0</v>
      </c>
      <c r="L89">
        <v>0</v>
      </c>
      <c r="M89">
        <v>0</v>
      </c>
      <c r="N89">
        <v>0</v>
      </c>
      <c r="O89" t="s">
        <v>22</v>
      </c>
      <c r="P89" t="s">
        <v>31</v>
      </c>
      <c r="Q89" s="2">
        <v>2</v>
      </c>
    </row>
    <row r="90" spans="1:17" x14ac:dyDescent="0.2">
      <c r="A90" s="2">
        <v>43378</v>
      </c>
      <c r="B90" t="s">
        <v>146</v>
      </c>
      <c r="C90" t="s">
        <v>18</v>
      </c>
      <c r="D90" t="s">
        <v>19</v>
      </c>
      <c r="F90" t="s">
        <v>152</v>
      </c>
      <c r="G90" t="s">
        <v>153</v>
      </c>
      <c r="H90" t="s">
        <v>27</v>
      </c>
      <c r="J90">
        <v>0</v>
      </c>
      <c r="L90">
        <v>0</v>
      </c>
      <c r="M90">
        <v>0</v>
      </c>
      <c r="N90">
        <v>0</v>
      </c>
      <c r="O90" t="s">
        <v>22</v>
      </c>
      <c r="P90" t="s">
        <v>154</v>
      </c>
      <c r="Q90" s="2">
        <v>2</v>
      </c>
    </row>
    <row r="91" spans="1:17" x14ac:dyDescent="0.2">
      <c r="A91" s="2">
        <v>43378</v>
      </c>
      <c r="B91" t="s">
        <v>146</v>
      </c>
      <c r="C91" t="s">
        <v>18</v>
      </c>
      <c r="D91" t="s">
        <v>19</v>
      </c>
      <c r="F91" t="s">
        <v>32</v>
      </c>
      <c r="G91" t="s">
        <v>26</v>
      </c>
      <c r="H91" t="s">
        <v>27</v>
      </c>
      <c r="J91">
        <v>0</v>
      </c>
      <c r="L91">
        <v>0</v>
      </c>
      <c r="M91">
        <v>0</v>
      </c>
      <c r="N91">
        <v>0</v>
      </c>
      <c r="O91" t="s">
        <v>22</v>
      </c>
      <c r="P91" t="s">
        <v>33</v>
      </c>
      <c r="Q91" s="2">
        <v>2</v>
      </c>
    </row>
    <row r="92" spans="1:17" x14ac:dyDescent="0.2">
      <c r="A92" s="2">
        <v>43378</v>
      </c>
      <c r="B92" t="s">
        <v>146</v>
      </c>
      <c r="C92" t="s">
        <v>18</v>
      </c>
      <c r="D92" t="s">
        <v>19</v>
      </c>
      <c r="F92" t="s">
        <v>155</v>
      </c>
      <c r="G92" t="s">
        <v>26</v>
      </c>
      <c r="H92" t="s">
        <v>27</v>
      </c>
      <c r="J92">
        <v>0</v>
      </c>
      <c r="L92">
        <v>0</v>
      </c>
      <c r="M92">
        <v>0</v>
      </c>
      <c r="N92">
        <v>0</v>
      </c>
      <c r="O92" t="s">
        <v>22</v>
      </c>
      <c r="P92" t="s">
        <v>156</v>
      </c>
      <c r="Q92" s="2">
        <v>2</v>
      </c>
    </row>
    <row r="93" spans="1:17" x14ac:dyDescent="0.2">
      <c r="A93" s="2">
        <v>43378</v>
      </c>
      <c r="B93" t="s">
        <v>146</v>
      </c>
      <c r="C93" t="s">
        <v>18</v>
      </c>
      <c r="D93" t="s">
        <v>19</v>
      </c>
      <c r="F93" t="s">
        <v>36</v>
      </c>
      <c r="G93" t="s">
        <v>26</v>
      </c>
      <c r="H93" t="s">
        <v>27</v>
      </c>
      <c r="J93">
        <v>0</v>
      </c>
      <c r="L93">
        <v>0</v>
      </c>
      <c r="M93">
        <v>0</v>
      </c>
      <c r="N93">
        <v>0</v>
      </c>
      <c r="O93" t="s">
        <v>22</v>
      </c>
      <c r="P93" t="s">
        <v>37</v>
      </c>
      <c r="Q93" s="2">
        <v>2</v>
      </c>
    </row>
    <row r="94" spans="1:17" x14ac:dyDescent="0.2">
      <c r="A94" s="2">
        <v>43378</v>
      </c>
      <c r="B94" t="s">
        <v>146</v>
      </c>
      <c r="C94" t="s">
        <v>18</v>
      </c>
      <c r="D94" t="s">
        <v>38</v>
      </c>
      <c r="F94" t="s">
        <v>157</v>
      </c>
      <c r="G94" t="s">
        <v>158</v>
      </c>
      <c r="H94" t="s">
        <v>35</v>
      </c>
      <c r="I94" s="2">
        <v>43497</v>
      </c>
      <c r="J94">
        <v>3777090000</v>
      </c>
      <c r="L94">
        <v>3775357530.3800001</v>
      </c>
      <c r="N94">
        <v>0.14000000000000001</v>
      </c>
      <c r="O94" t="s">
        <v>42</v>
      </c>
      <c r="P94" t="s">
        <v>31</v>
      </c>
      <c r="Q94" s="2">
        <v>43136</v>
      </c>
    </row>
    <row r="95" spans="1:17" x14ac:dyDescent="0.2">
      <c r="A95" s="2">
        <v>43378</v>
      </c>
      <c r="B95" t="s">
        <v>146</v>
      </c>
      <c r="C95" t="s">
        <v>18</v>
      </c>
      <c r="D95" t="s">
        <v>38</v>
      </c>
      <c r="F95" t="s">
        <v>159</v>
      </c>
      <c r="G95" t="s">
        <v>160</v>
      </c>
      <c r="H95" t="s">
        <v>47</v>
      </c>
      <c r="I95" s="2">
        <v>43481</v>
      </c>
      <c r="J95">
        <v>985011360</v>
      </c>
      <c r="K95">
        <v>18004541.670000002</v>
      </c>
      <c r="L95">
        <v>985151245.01999998</v>
      </c>
      <c r="N95">
        <v>2.6850000000000001</v>
      </c>
      <c r="O95" t="s">
        <v>42</v>
      </c>
      <c r="P95" t="s">
        <v>37</v>
      </c>
      <c r="Q95" s="2">
        <v>43116</v>
      </c>
    </row>
    <row r="96" spans="1:17" x14ac:dyDescent="0.2">
      <c r="A96" s="2">
        <v>43378</v>
      </c>
      <c r="B96" t="s">
        <v>146</v>
      </c>
      <c r="C96" t="s">
        <v>18</v>
      </c>
      <c r="D96" t="s">
        <v>38</v>
      </c>
      <c r="F96" t="s">
        <v>161</v>
      </c>
      <c r="G96" t="s">
        <v>40</v>
      </c>
      <c r="H96" t="s">
        <v>41</v>
      </c>
      <c r="I96" s="2">
        <v>43602</v>
      </c>
      <c r="J96">
        <v>2000000000</v>
      </c>
      <c r="K96">
        <v>12838356.16</v>
      </c>
      <c r="L96">
        <v>2000000000</v>
      </c>
      <c r="M96">
        <v>0.60758500000000004</v>
      </c>
      <c r="N96">
        <v>1.65</v>
      </c>
      <c r="O96" t="s">
        <v>42</v>
      </c>
      <c r="P96" t="s">
        <v>23</v>
      </c>
      <c r="Q96" s="2">
        <v>43237</v>
      </c>
    </row>
    <row r="97" spans="1:17" x14ac:dyDescent="0.2">
      <c r="A97" s="2">
        <v>43378</v>
      </c>
      <c r="B97" t="s">
        <v>146</v>
      </c>
      <c r="C97" t="s">
        <v>18</v>
      </c>
      <c r="D97" t="s">
        <v>38</v>
      </c>
      <c r="F97" t="s">
        <v>162</v>
      </c>
      <c r="G97" t="s">
        <v>163</v>
      </c>
      <c r="H97" t="s">
        <v>47</v>
      </c>
      <c r="I97" s="2">
        <v>43530</v>
      </c>
      <c r="J97">
        <v>3777090000</v>
      </c>
      <c r="L97">
        <v>3777090000</v>
      </c>
      <c r="N97">
        <v>0</v>
      </c>
      <c r="O97" t="s">
        <v>42</v>
      </c>
      <c r="P97" t="s">
        <v>31</v>
      </c>
      <c r="Q97" s="2">
        <v>43165</v>
      </c>
    </row>
    <row r="98" spans="1:17" x14ac:dyDescent="0.2">
      <c r="A98" s="2">
        <v>43378</v>
      </c>
      <c r="B98" t="s">
        <v>146</v>
      </c>
      <c r="C98" t="s">
        <v>18</v>
      </c>
      <c r="D98" t="s">
        <v>38</v>
      </c>
      <c r="F98" t="s">
        <v>164</v>
      </c>
      <c r="G98" t="s">
        <v>163</v>
      </c>
      <c r="H98" t="s">
        <v>47</v>
      </c>
      <c r="I98" s="2">
        <v>43441</v>
      </c>
      <c r="J98">
        <v>1888545000</v>
      </c>
      <c r="L98">
        <v>1888577525.5</v>
      </c>
      <c r="N98">
        <v>-0.01</v>
      </c>
      <c r="O98" t="s">
        <v>42</v>
      </c>
      <c r="P98" t="s">
        <v>31</v>
      </c>
      <c r="Q98" s="2">
        <v>43076</v>
      </c>
    </row>
    <row r="99" spans="1:17" x14ac:dyDescent="0.2">
      <c r="A99" s="2">
        <v>43378</v>
      </c>
      <c r="B99" t="s">
        <v>146</v>
      </c>
      <c r="C99" t="s">
        <v>18</v>
      </c>
      <c r="D99" t="s">
        <v>38</v>
      </c>
      <c r="F99" t="s">
        <v>165</v>
      </c>
      <c r="G99" t="s">
        <v>166</v>
      </c>
      <c r="H99" t="s">
        <v>47</v>
      </c>
      <c r="I99" s="2">
        <v>43504</v>
      </c>
      <c r="J99">
        <v>1643000000</v>
      </c>
      <c r="K99">
        <v>30541544.440000001</v>
      </c>
      <c r="L99">
        <v>1643000000</v>
      </c>
      <c r="N99">
        <v>2.8</v>
      </c>
      <c r="O99" t="s">
        <v>42</v>
      </c>
      <c r="P99" t="s">
        <v>37</v>
      </c>
      <c r="Q99" s="2">
        <v>43140</v>
      </c>
    </row>
    <row r="100" spans="1:17" x14ac:dyDescent="0.2">
      <c r="A100" s="2">
        <v>43378</v>
      </c>
      <c r="B100" t="s">
        <v>146</v>
      </c>
      <c r="C100" t="s">
        <v>18</v>
      </c>
      <c r="D100" t="s">
        <v>38</v>
      </c>
      <c r="F100" t="s">
        <v>167</v>
      </c>
      <c r="G100" t="s">
        <v>46</v>
      </c>
      <c r="H100" t="s">
        <v>47</v>
      </c>
      <c r="I100" s="2">
        <v>43509</v>
      </c>
      <c r="J100">
        <v>3777090000</v>
      </c>
      <c r="K100">
        <v>1232800.21</v>
      </c>
      <c r="L100">
        <v>3865000000</v>
      </c>
      <c r="M100">
        <v>0.36382300000000001</v>
      </c>
      <c r="N100">
        <v>0.05</v>
      </c>
      <c r="O100" t="s">
        <v>42</v>
      </c>
      <c r="P100" t="s">
        <v>31</v>
      </c>
      <c r="Q100" s="2">
        <v>43144</v>
      </c>
    </row>
    <row r="101" spans="1:17" x14ac:dyDescent="0.2">
      <c r="A101" s="2">
        <v>43378</v>
      </c>
      <c r="B101" t="s">
        <v>146</v>
      </c>
      <c r="C101" t="s">
        <v>18</v>
      </c>
      <c r="D101" t="s">
        <v>38</v>
      </c>
      <c r="F101" t="s">
        <v>168</v>
      </c>
      <c r="G101" t="s">
        <v>46</v>
      </c>
      <c r="H101" t="s">
        <v>47</v>
      </c>
      <c r="I101" s="2">
        <v>43546</v>
      </c>
      <c r="J101">
        <v>1133127000</v>
      </c>
      <c r="K101">
        <v>249287.94</v>
      </c>
      <c r="L101">
        <v>1140000000</v>
      </c>
      <c r="M101">
        <v>0.46657999999999999</v>
      </c>
      <c r="N101">
        <v>0.04</v>
      </c>
      <c r="O101" t="s">
        <v>42</v>
      </c>
      <c r="P101" t="s">
        <v>31</v>
      </c>
      <c r="Q101" s="2">
        <v>43181</v>
      </c>
    </row>
    <row r="102" spans="1:17" x14ac:dyDescent="0.2">
      <c r="A102" s="2">
        <v>43378</v>
      </c>
      <c r="B102" t="s">
        <v>146</v>
      </c>
      <c r="C102" t="s">
        <v>18</v>
      </c>
      <c r="D102" t="s">
        <v>38</v>
      </c>
      <c r="F102" t="s">
        <v>169</v>
      </c>
      <c r="G102" t="s">
        <v>46</v>
      </c>
      <c r="H102" t="s">
        <v>47</v>
      </c>
      <c r="I102" s="2">
        <v>43608</v>
      </c>
      <c r="J102">
        <v>3021672000</v>
      </c>
      <c r="K102">
        <v>1586377.8</v>
      </c>
      <c r="L102">
        <v>3010400000</v>
      </c>
      <c r="M102">
        <v>0.63831800000000005</v>
      </c>
      <c r="N102">
        <v>0.14000000000000001</v>
      </c>
      <c r="O102" t="s">
        <v>42</v>
      </c>
      <c r="P102" t="s">
        <v>31</v>
      </c>
      <c r="Q102" s="2">
        <v>43244</v>
      </c>
    </row>
    <row r="103" spans="1:17" x14ac:dyDescent="0.2">
      <c r="A103" s="2">
        <v>43378</v>
      </c>
      <c r="B103" t="s">
        <v>146</v>
      </c>
      <c r="C103" t="s">
        <v>18</v>
      </c>
      <c r="D103" t="s">
        <v>38</v>
      </c>
      <c r="F103" t="s">
        <v>170</v>
      </c>
      <c r="G103" t="s">
        <v>46</v>
      </c>
      <c r="H103" t="s">
        <v>47</v>
      </c>
      <c r="I103" s="2">
        <v>43641</v>
      </c>
      <c r="J103">
        <v>2793100000</v>
      </c>
      <c r="K103">
        <v>26531346.559999999</v>
      </c>
      <c r="L103">
        <v>2803725000</v>
      </c>
      <c r="M103">
        <v>0.71341299999999996</v>
      </c>
      <c r="N103">
        <v>3.32</v>
      </c>
      <c r="O103" t="s">
        <v>42</v>
      </c>
      <c r="P103" t="s">
        <v>37</v>
      </c>
      <c r="Q103" s="2">
        <v>43276</v>
      </c>
    </row>
    <row r="104" spans="1:17" x14ac:dyDescent="0.2">
      <c r="A104" s="2">
        <v>43378</v>
      </c>
      <c r="B104" t="s">
        <v>146</v>
      </c>
      <c r="C104" t="s">
        <v>18</v>
      </c>
      <c r="D104" t="s">
        <v>38</v>
      </c>
      <c r="F104" t="s">
        <v>171</v>
      </c>
      <c r="G104" t="s">
        <v>46</v>
      </c>
      <c r="H104" t="s">
        <v>47</v>
      </c>
      <c r="I104" s="2">
        <v>43581</v>
      </c>
      <c r="J104">
        <v>1971600000</v>
      </c>
      <c r="K104">
        <v>28298484.329999998</v>
      </c>
      <c r="L104">
        <v>1887600000</v>
      </c>
      <c r="M104">
        <v>0.55412300000000003</v>
      </c>
      <c r="N104">
        <v>3.17</v>
      </c>
      <c r="O104" t="s">
        <v>42</v>
      </c>
      <c r="P104" t="s">
        <v>37</v>
      </c>
      <c r="Q104" s="2">
        <v>43216</v>
      </c>
    </row>
    <row r="105" spans="1:17" x14ac:dyDescent="0.2">
      <c r="A105" s="2">
        <v>43378</v>
      </c>
      <c r="B105" t="s">
        <v>146</v>
      </c>
      <c r="C105" t="s">
        <v>18</v>
      </c>
      <c r="D105" t="s">
        <v>38</v>
      </c>
      <c r="F105" t="s">
        <v>172</v>
      </c>
      <c r="G105" t="s">
        <v>46</v>
      </c>
      <c r="H105" t="s">
        <v>47</v>
      </c>
      <c r="I105" s="2">
        <v>43551</v>
      </c>
      <c r="J105">
        <v>3021672000</v>
      </c>
      <c r="K105">
        <v>1781947.13</v>
      </c>
      <c r="L105">
        <v>3051200000</v>
      </c>
      <c r="M105">
        <v>0.48030200000000001</v>
      </c>
      <c r="N105">
        <v>0.11</v>
      </c>
      <c r="O105" t="s">
        <v>42</v>
      </c>
      <c r="P105" t="s">
        <v>31</v>
      </c>
      <c r="Q105" s="2">
        <v>43186</v>
      </c>
    </row>
    <row r="106" spans="1:17" x14ac:dyDescent="0.2">
      <c r="A106" s="2">
        <v>43378</v>
      </c>
      <c r="B106" t="s">
        <v>146</v>
      </c>
      <c r="C106" t="s">
        <v>18</v>
      </c>
      <c r="D106" t="s">
        <v>38</v>
      </c>
      <c r="F106" t="s">
        <v>173</v>
      </c>
      <c r="G106" t="s">
        <v>46</v>
      </c>
      <c r="H106" t="s">
        <v>47</v>
      </c>
      <c r="I106" s="2">
        <v>43552</v>
      </c>
      <c r="J106">
        <v>3021672000</v>
      </c>
      <c r="K106">
        <v>1692136.32</v>
      </c>
      <c r="L106">
        <v>3065600000</v>
      </c>
      <c r="M106">
        <v>0.48308800000000002</v>
      </c>
      <c r="N106">
        <v>0.105</v>
      </c>
      <c r="O106" t="s">
        <v>42</v>
      </c>
      <c r="P106" t="s">
        <v>31</v>
      </c>
      <c r="Q106" s="2">
        <v>43187</v>
      </c>
    </row>
    <row r="107" spans="1:17" x14ac:dyDescent="0.2">
      <c r="A107" s="2">
        <v>43378</v>
      </c>
      <c r="B107" t="s">
        <v>146</v>
      </c>
      <c r="C107" t="s">
        <v>18</v>
      </c>
      <c r="D107" t="s">
        <v>38</v>
      </c>
      <c r="F107" t="s">
        <v>174</v>
      </c>
      <c r="G107" t="s">
        <v>46</v>
      </c>
      <c r="H107" t="s">
        <v>47</v>
      </c>
      <c r="I107" s="2">
        <v>43496</v>
      </c>
      <c r="J107">
        <v>3777090000</v>
      </c>
      <c r="K107">
        <v>3902993</v>
      </c>
      <c r="L107">
        <v>3880000000</v>
      </c>
      <c r="M107">
        <v>0.32761699999999999</v>
      </c>
      <c r="N107">
        <v>0.15</v>
      </c>
      <c r="O107" t="s">
        <v>42</v>
      </c>
      <c r="P107" t="s">
        <v>31</v>
      </c>
      <c r="Q107" s="2">
        <v>43131</v>
      </c>
    </row>
    <row r="108" spans="1:17" x14ac:dyDescent="0.2">
      <c r="A108" s="2">
        <v>43378</v>
      </c>
      <c r="B108" t="s">
        <v>146</v>
      </c>
      <c r="C108" t="s">
        <v>18</v>
      </c>
      <c r="D108" t="s">
        <v>38</v>
      </c>
      <c r="F108" t="s">
        <v>175</v>
      </c>
      <c r="G108" t="s">
        <v>46</v>
      </c>
      <c r="H108" t="s">
        <v>47</v>
      </c>
      <c r="I108" s="2">
        <v>43616</v>
      </c>
      <c r="J108">
        <v>1888545000</v>
      </c>
      <c r="K108">
        <v>947420.08</v>
      </c>
      <c r="L108">
        <v>1855000000</v>
      </c>
      <c r="M108">
        <v>0.66049999999999998</v>
      </c>
      <c r="N108">
        <v>0.14000000000000001</v>
      </c>
      <c r="O108" t="s">
        <v>42</v>
      </c>
      <c r="P108" t="s">
        <v>31</v>
      </c>
      <c r="Q108" s="2">
        <v>43250</v>
      </c>
    </row>
    <row r="109" spans="1:17" x14ac:dyDescent="0.2">
      <c r="A109" s="2">
        <v>43378</v>
      </c>
      <c r="B109" t="s">
        <v>146</v>
      </c>
      <c r="C109" t="s">
        <v>18</v>
      </c>
      <c r="D109" t="s">
        <v>38</v>
      </c>
      <c r="F109" t="s">
        <v>49</v>
      </c>
      <c r="G109" t="s">
        <v>50</v>
      </c>
      <c r="H109" t="s">
        <v>51</v>
      </c>
      <c r="I109" s="2">
        <v>43410</v>
      </c>
      <c r="J109">
        <v>1150100000</v>
      </c>
      <c r="K109">
        <v>25526610.07</v>
      </c>
      <c r="L109">
        <v>1158500000</v>
      </c>
      <c r="M109">
        <v>8.8703000000000004E-2</v>
      </c>
      <c r="N109">
        <v>2.4066999999999998</v>
      </c>
      <c r="O109" t="s">
        <v>42</v>
      </c>
      <c r="P109" t="s">
        <v>37</v>
      </c>
      <c r="Q109" s="2">
        <v>43047</v>
      </c>
    </row>
    <row r="110" spans="1:17" x14ac:dyDescent="0.2">
      <c r="A110" s="2">
        <v>43378</v>
      </c>
      <c r="B110" t="s">
        <v>146</v>
      </c>
      <c r="C110" t="s">
        <v>18</v>
      </c>
      <c r="D110" t="s">
        <v>38</v>
      </c>
      <c r="F110" t="s">
        <v>52</v>
      </c>
      <c r="G110" t="s">
        <v>50</v>
      </c>
      <c r="H110" t="s">
        <v>51</v>
      </c>
      <c r="I110" s="2">
        <v>43389</v>
      </c>
      <c r="J110">
        <v>1643000000</v>
      </c>
      <c r="K110">
        <v>38555733.329999998</v>
      </c>
      <c r="L110">
        <v>1654000000</v>
      </c>
      <c r="M110">
        <v>3.0533000000000001E-2</v>
      </c>
      <c r="N110">
        <v>2.4</v>
      </c>
      <c r="O110" t="s">
        <v>42</v>
      </c>
      <c r="P110" t="s">
        <v>37</v>
      </c>
      <c r="Q110" s="2">
        <v>43027</v>
      </c>
    </row>
    <row r="111" spans="1:17" x14ac:dyDescent="0.2">
      <c r="A111" s="2">
        <v>43378</v>
      </c>
      <c r="B111" t="s">
        <v>146</v>
      </c>
      <c r="C111" t="s">
        <v>18</v>
      </c>
      <c r="D111" t="s">
        <v>38</v>
      </c>
      <c r="F111" t="s">
        <v>176</v>
      </c>
      <c r="G111" t="s">
        <v>50</v>
      </c>
      <c r="H111" t="s">
        <v>51</v>
      </c>
      <c r="I111" s="2">
        <v>43452</v>
      </c>
      <c r="J111">
        <v>3578546160</v>
      </c>
      <c r="K111">
        <v>84175358.010000005</v>
      </c>
      <c r="L111">
        <v>3542000000</v>
      </c>
      <c r="M111">
        <v>0.20436499999999999</v>
      </c>
      <c r="N111">
        <v>2.9</v>
      </c>
      <c r="O111" t="s">
        <v>42</v>
      </c>
      <c r="P111" t="s">
        <v>151</v>
      </c>
      <c r="Q111" s="2">
        <v>43087</v>
      </c>
    </row>
    <row r="112" spans="1:17" x14ac:dyDescent="0.2">
      <c r="A112" s="2">
        <v>43378</v>
      </c>
      <c r="B112" t="s">
        <v>146</v>
      </c>
      <c r="C112" t="s">
        <v>18</v>
      </c>
      <c r="D112" t="s">
        <v>38</v>
      </c>
      <c r="F112" t="s">
        <v>177</v>
      </c>
      <c r="G112" t="s">
        <v>54</v>
      </c>
      <c r="H112" t="s">
        <v>47</v>
      </c>
      <c r="I112" s="2">
        <v>43587</v>
      </c>
      <c r="J112">
        <v>2643963000</v>
      </c>
      <c r="K112">
        <v>683023.78</v>
      </c>
      <c r="L112">
        <v>2660000000</v>
      </c>
      <c r="M112">
        <v>0.58035300000000001</v>
      </c>
      <c r="N112">
        <v>0.06</v>
      </c>
      <c r="O112" t="s">
        <v>42</v>
      </c>
      <c r="P112" t="s">
        <v>31</v>
      </c>
      <c r="Q112" s="2">
        <v>43224</v>
      </c>
    </row>
    <row r="113" spans="1:17" x14ac:dyDescent="0.2">
      <c r="A113" s="2">
        <v>43378</v>
      </c>
      <c r="B113" t="s">
        <v>146</v>
      </c>
      <c r="C113" t="s">
        <v>18</v>
      </c>
      <c r="D113" t="s">
        <v>38</v>
      </c>
      <c r="F113" t="s">
        <v>178</v>
      </c>
      <c r="G113" t="s">
        <v>54</v>
      </c>
      <c r="H113" t="s">
        <v>47</v>
      </c>
      <c r="I113" s="2">
        <v>43473</v>
      </c>
      <c r="J113">
        <v>3286000000</v>
      </c>
      <c r="K113">
        <v>66045861.670000002</v>
      </c>
      <c r="L113">
        <v>3230500000</v>
      </c>
      <c r="M113">
        <v>0.26207900000000001</v>
      </c>
      <c r="N113">
        <v>2.67</v>
      </c>
      <c r="O113" t="s">
        <v>42</v>
      </c>
      <c r="P113" t="s">
        <v>37</v>
      </c>
      <c r="Q113" s="2">
        <v>43108</v>
      </c>
    </row>
    <row r="114" spans="1:17" x14ac:dyDescent="0.2">
      <c r="A114" s="2">
        <v>43378</v>
      </c>
      <c r="B114" t="s">
        <v>146</v>
      </c>
      <c r="C114" t="s">
        <v>18</v>
      </c>
      <c r="D114" t="s">
        <v>38</v>
      </c>
      <c r="F114" t="s">
        <v>179</v>
      </c>
      <c r="G114" t="s">
        <v>54</v>
      </c>
      <c r="H114" t="s">
        <v>47</v>
      </c>
      <c r="I114" s="2">
        <v>43474</v>
      </c>
      <c r="J114">
        <v>3220280000</v>
      </c>
      <c r="K114">
        <v>64486107</v>
      </c>
      <c r="L114">
        <v>3155600000</v>
      </c>
      <c r="M114">
        <v>0.264818</v>
      </c>
      <c r="N114">
        <v>2.67</v>
      </c>
      <c r="O114" t="s">
        <v>42</v>
      </c>
      <c r="P114" t="s">
        <v>37</v>
      </c>
      <c r="Q114" s="2">
        <v>43109</v>
      </c>
    </row>
    <row r="115" spans="1:17" x14ac:dyDescent="0.2">
      <c r="A115" s="2">
        <v>43378</v>
      </c>
      <c r="B115" t="s">
        <v>146</v>
      </c>
      <c r="C115" t="s">
        <v>18</v>
      </c>
      <c r="D115" t="s">
        <v>38</v>
      </c>
      <c r="F115" t="s">
        <v>180</v>
      </c>
      <c r="G115" t="s">
        <v>54</v>
      </c>
      <c r="H115" t="s">
        <v>47</v>
      </c>
      <c r="I115" s="2">
        <v>43452</v>
      </c>
      <c r="J115">
        <v>2957400000</v>
      </c>
      <c r="K115">
        <v>64101645</v>
      </c>
      <c r="L115">
        <v>2945700000</v>
      </c>
      <c r="M115">
        <v>0.20444499999999999</v>
      </c>
      <c r="N115">
        <v>2.7</v>
      </c>
      <c r="O115" t="s">
        <v>42</v>
      </c>
      <c r="P115" t="s">
        <v>37</v>
      </c>
      <c r="Q115" s="2">
        <v>43090</v>
      </c>
    </row>
    <row r="116" spans="1:17" x14ac:dyDescent="0.2">
      <c r="A116" s="2">
        <v>43378</v>
      </c>
      <c r="B116" t="s">
        <v>146</v>
      </c>
      <c r="C116" t="s">
        <v>18</v>
      </c>
      <c r="D116" t="s">
        <v>38</v>
      </c>
      <c r="F116" t="s">
        <v>181</v>
      </c>
      <c r="G116" t="s">
        <v>54</v>
      </c>
      <c r="H116" t="s">
        <v>47</v>
      </c>
      <c r="I116" s="2">
        <v>43644</v>
      </c>
      <c r="J116">
        <v>2793100000</v>
      </c>
      <c r="K116">
        <v>26379277.780000001</v>
      </c>
      <c r="L116">
        <v>2805637500</v>
      </c>
      <c r="M116">
        <v>0.72078100000000001</v>
      </c>
      <c r="N116">
        <v>3.4</v>
      </c>
      <c r="O116" t="s">
        <v>42</v>
      </c>
      <c r="P116" t="s">
        <v>37</v>
      </c>
      <c r="Q116" s="2">
        <v>43279</v>
      </c>
    </row>
    <row r="117" spans="1:17" x14ac:dyDescent="0.2">
      <c r="A117" s="2">
        <v>43378</v>
      </c>
      <c r="B117" t="s">
        <v>146</v>
      </c>
      <c r="C117" t="s">
        <v>18</v>
      </c>
      <c r="D117" t="s">
        <v>38</v>
      </c>
      <c r="F117" t="s">
        <v>182</v>
      </c>
      <c r="G117" t="s">
        <v>58</v>
      </c>
      <c r="H117" t="s">
        <v>59</v>
      </c>
      <c r="I117" s="2">
        <v>43678</v>
      </c>
      <c r="J117">
        <v>670000000</v>
      </c>
      <c r="K117">
        <v>2059561.64</v>
      </c>
      <c r="L117">
        <v>670000000</v>
      </c>
      <c r="M117">
        <v>0.81062500000000004</v>
      </c>
      <c r="N117">
        <v>1.7</v>
      </c>
      <c r="O117" t="s">
        <v>42</v>
      </c>
      <c r="P117" t="s">
        <v>23</v>
      </c>
      <c r="Q117" s="2">
        <v>43313</v>
      </c>
    </row>
    <row r="118" spans="1:17" x14ac:dyDescent="0.2">
      <c r="A118" s="2">
        <v>43378</v>
      </c>
      <c r="B118" t="s">
        <v>146</v>
      </c>
      <c r="C118" t="s">
        <v>18</v>
      </c>
      <c r="D118" t="s">
        <v>38</v>
      </c>
      <c r="F118" t="s">
        <v>183</v>
      </c>
      <c r="G118" t="s">
        <v>58</v>
      </c>
      <c r="H118" t="s">
        <v>59</v>
      </c>
      <c r="I118" s="2">
        <v>43679</v>
      </c>
      <c r="J118">
        <v>1000000000</v>
      </c>
      <c r="K118">
        <v>3027397.26</v>
      </c>
      <c r="L118">
        <v>1000000000</v>
      </c>
      <c r="M118">
        <v>0.81328999999999996</v>
      </c>
      <c r="N118">
        <v>1.7</v>
      </c>
      <c r="O118" t="s">
        <v>42</v>
      </c>
      <c r="P118" t="s">
        <v>23</v>
      </c>
      <c r="Q118" s="2">
        <v>43314</v>
      </c>
    </row>
    <row r="119" spans="1:17" x14ac:dyDescent="0.2">
      <c r="A119" s="2">
        <v>43378</v>
      </c>
      <c r="B119" t="s">
        <v>146</v>
      </c>
      <c r="C119" t="s">
        <v>18</v>
      </c>
      <c r="D119" t="s">
        <v>38</v>
      </c>
      <c r="F119" t="s">
        <v>57</v>
      </c>
      <c r="G119" t="s">
        <v>58</v>
      </c>
      <c r="H119" t="s">
        <v>59</v>
      </c>
      <c r="I119" s="2">
        <v>43679</v>
      </c>
      <c r="J119">
        <v>700000000</v>
      </c>
      <c r="K119">
        <v>2086575.34</v>
      </c>
      <c r="L119">
        <v>700000000</v>
      </c>
      <c r="M119">
        <v>0.81328900000000004</v>
      </c>
      <c r="N119">
        <v>1.7</v>
      </c>
      <c r="O119" t="s">
        <v>42</v>
      </c>
      <c r="P119" t="s">
        <v>23</v>
      </c>
      <c r="Q119" s="2">
        <v>43315</v>
      </c>
    </row>
    <row r="120" spans="1:17" x14ac:dyDescent="0.2">
      <c r="A120" s="2">
        <v>43378</v>
      </c>
      <c r="B120" t="s">
        <v>146</v>
      </c>
      <c r="C120" t="s">
        <v>18</v>
      </c>
      <c r="D120" t="s">
        <v>38</v>
      </c>
      <c r="F120" t="s">
        <v>184</v>
      </c>
      <c r="G120" t="s">
        <v>58</v>
      </c>
      <c r="H120" t="s">
        <v>59</v>
      </c>
      <c r="I120" s="2">
        <v>43672</v>
      </c>
      <c r="J120">
        <v>160000000</v>
      </c>
      <c r="K120">
        <v>536547.94999999995</v>
      </c>
      <c r="L120">
        <v>160000000</v>
      </c>
      <c r="M120">
        <v>0.79463399999999995</v>
      </c>
      <c r="N120">
        <v>1.7</v>
      </c>
      <c r="O120" t="s">
        <v>42</v>
      </c>
      <c r="P120" t="s">
        <v>23</v>
      </c>
      <c r="Q120" s="2">
        <v>43307</v>
      </c>
    </row>
    <row r="121" spans="1:17" x14ac:dyDescent="0.2">
      <c r="A121" s="2">
        <v>43378</v>
      </c>
      <c r="B121" t="s">
        <v>146</v>
      </c>
      <c r="C121" t="s">
        <v>18</v>
      </c>
      <c r="D121" t="s">
        <v>38</v>
      </c>
      <c r="F121" t="s">
        <v>185</v>
      </c>
      <c r="G121" t="s">
        <v>186</v>
      </c>
      <c r="H121" t="s">
        <v>51</v>
      </c>
      <c r="I121" s="2">
        <v>43739</v>
      </c>
      <c r="J121">
        <v>2957400000</v>
      </c>
      <c r="K121">
        <v>3072410</v>
      </c>
      <c r="L121">
        <v>2914650000</v>
      </c>
      <c r="M121">
        <v>0.969746</v>
      </c>
      <c r="N121">
        <v>3.4</v>
      </c>
      <c r="O121" t="s">
        <v>42</v>
      </c>
      <c r="P121" t="s">
        <v>37</v>
      </c>
      <c r="Q121" s="2">
        <v>43368</v>
      </c>
    </row>
    <row r="122" spans="1:17" x14ac:dyDescent="0.2">
      <c r="A122" s="2">
        <v>43378</v>
      </c>
      <c r="B122" t="s">
        <v>146</v>
      </c>
      <c r="C122" t="s">
        <v>18</v>
      </c>
      <c r="D122" t="s">
        <v>38</v>
      </c>
      <c r="F122" t="s">
        <v>187</v>
      </c>
      <c r="G122" t="s">
        <v>186</v>
      </c>
      <c r="H122" t="s">
        <v>51</v>
      </c>
      <c r="I122" s="2">
        <v>43740</v>
      </c>
      <c r="J122">
        <v>2957400000</v>
      </c>
      <c r="K122">
        <v>2793100</v>
      </c>
      <c r="L122">
        <v>2922750000</v>
      </c>
      <c r="M122">
        <v>0.97234100000000001</v>
      </c>
      <c r="N122">
        <v>3.4</v>
      </c>
      <c r="O122" t="s">
        <v>42</v>
      </c>
      <c r="P122" t="s">
        <v>37</v>
      </c>
      <c r="Q122" s="2">
        <v>43369</v>
      </c>
    </row>
    <row r="123" spans="1:17" x14ac:dyDescent="0.2">
      <c r="A123" s="2">
        <v>43378</v>
      </c>
      <c r="B123" t="s">
        <v>146</v>
      </c>
      <c r="C123" t="s">
        <v>18</v>
      </c>
      <c r="D123" t="s">
        <v>38</v>
      </c>
      <c r="F123" t="s">
        <v>67</v>
      </c>
      <c r="G123" t="s">
        <v>46</v>
      </c>
      <c r="H123" t="s">
        <v>47</v>
      </c>
      <c r="I123" s="2">
        <v>43389</v>
      </c>
      <c r="J123">
        <v>1314400000</v>
      </c>
      <c r="K123">
        <v>8823275.1099999994</v>
      </c>
      <c r="L123">
        <v>1326400000</v>
      </c>
      <c r="M123">
        <v>3.0530000000000002E-2</v>
      </c>
      <c r="N123">
        <v>2.81</v>
      </c>
      <c r="O123" t="s">
        <v>42</v>
      </c>
      <c r="P123" t="s">
        <v>37</v>
      </c>
      <c r="Q123" s="2">
        <v>43293</v>
      </c>
    </row>
    <row r="124" spans="1:17" x14ac:dyDescent="0.2">
      <c r="A124" s="2">
        <v>43378</v>
      </c>
      <c r="B124" t="s">
        <v>146</v>
      </c>
      <c r="C124" t="s">
        <v>18</v>
      </c>
      <c r="D124" t="s">
        <v>38</v>
      </c>
      <c r="F124" t="s">
        <v>188</v>
      </c>
      <c r="G124" t="s">
        <v>46</v>
      </c>
      <c r="H124" t="s">
        <v>47</v>
      </c>
      <c r="I124" s="2">
        <v>43395</v>
      </c>
      <c r="J124">
        <v>1677720000</v>
      </c>
      <c r="K124">
        <v>8461224.5899999999</v>
      </c>
      <c r="L124">
        <v>1698400000</v>
      </c>
      <c r="M124">
        <v>4.6524000000000003E-2</v>
      </c>
      <c r="N124">
        <v>2.36</v>
      </c>
      <c r="O124" t="s">
        <v>42</v>
      </c>
      <c r="P124" t="s">
        <v>33</v>
      </c>
      <c r="Q124" s="2">
        <v>43301</v>
      </c>
    </row>
    <row r="125" spans="1:17" x14ac:dyDescent="0.2">
      <c r="A125" s="2">
        <v>43378</v>
      </c>
      <c r="B125" t="s">
        <v>146</v>
      </c>
      <c r="C125" t="s">
        <v>18</v>
      </c>
      <c r="D125" t="s">
        <v>38</v>
      </c>
      <c r="F125" t="s">
        <v>189</v>
      </c>
      <c r="G125" t="s">
        <v>46</v>
      </c>
      <c r="H125" t="s">
        <v>47</v>
      </c>
      <c r="I125" s="2">
        <v>43536</v>
      </c>
      <c r="J125">
        <v>1300233000</v>
      </c>
      <c r="K125">
        <v>1998440.31</v>
      </c>
      <c r="L125">
        <v>1296265000</v>
      </c>
      <c r="M125">
        <v>0.42815700000000001</v>
      </c>
      <c r="N125">
        <v>2.5499999999999998</v>
      </c>
      <c r="O125" t="s">
        <v>42</v>
      </c>
      <c r="P125" t="s">
        <v>33</v>
      </c>
      <c r="Q125" s="2">
        <v>43357</v>
      </c>
    </row>
    <row r="126" spans="1:17" x14ac:dyDescent="0.2">
      <c r="A126" s="2">
        <v>43378</v>
      </c>
      <c r="B126" t="s">
        <v>146</v>
      </c>
      <c r="C126" t="s">
        <v>18</v>
      </c>
      <c r="D126" t="s">
        <v>38</v>
      </c>
      <c r="F126" t="s">
        <v>190</v>
      </c>
      <c r="G126" t="s">
        <v>50</v>
      </c>
      <c r="H126" t="s">
        <v>51</v>
      </c>
      <c r="I126" s="2">
        <v>43398</v>
      </c>
      <c r="J126">
        <v>1314400000</v>
      </c>
      <c r="K126">
        <v>17963466.670000002</v>
      </c>
      <c r="L126">
        <v>1258000000</v>
      </c>
      <c r="M126">
        <v>5.5463999999999999E-2</v>
      </c>
      <c r="N126">
        <v>3</v>
      </c>
      <c r="O126" t="s">
        <v>42</v>
      </c>
      <c r="P126" t="s">
        <v>37</v>
      </c>
      <c r="Q126" s="2">
        <v>43215</v>
      </c>
    </row>
    <row r="127" spans="1:17" x14ac:dyDescent="0.2">
      <c r="A127" s="2">
        <v>43378</v>
      </c>
      <c r="B127" t="s">
        <v>146</v>
      </c>
      <c r="C127" t="s">
        <v>18</v>
      </c>
      <c r="D127" t="s">
        <v>38</v>
      </c>
      <c r="F127" t="s">
        <v>191</v>
      </c>
      <c r="G127" t="s">
        <v>50</v>
      </c>
      <c r="H127" t="s">
        <v>51</v>
      </c>
      <c r="I127" s="2">
        <v>43430</v>
      </c>
      <c r="J127">
        <v>1643000000</v>
      </c>
      <c r="K127">
        <v>18483750</v>
      </c>
      <c r="L127">
        <v>1603000000</v>
      </c>
      <c r="M127">
        <v>0.14382800000000001</v>
      </c>
      <c r="N127">
        <v>3</v>
      </c>
      <c r="O127" t="s">
        <v>42</v>
      </c>
      <c r="P127" t="s">
        <v>37</v>
      </c>
      <c r="Q127" s="2">
        <v>43244</v>
      </c>
    </row>
    <row r="128" spans="1:17" x14ac:dyDescent="0.2">
      <c r="A128" s="2">
        <v>43378</v>
      </c>
      <c r="B128" t="s">
        <v>146</v>
      </c>
      <c r="C128" t="s">
        <v>18</v>
      </c>
      <c r="D128" t="s">
        <v>38</v>
      </c>
      <c r="F128" t="s">
        <v>68</v>
      </c>
      <c r="G128" t="s">
        <v>54</v>
      </c>
      <c r="H128" t="s">
        <v>47</v>
      </c>
      <c r="I128" s="2">
        <v>43409</v>
      </c>
      <c r="J128">
        <v>2832817500</v>
      </c>
      <c r="K128">
        <v>491021.7</v>
      </c>
      <c r="L128">
        <v>2850000000</v>
      </c>
      <c r="M128">
        <v>8.6108000000000004E-2</v>
      </c>
      <c r="N128">
        <v>0.04</v>
      </c>
      <c r="O128" t="s">
        <v>42</v>
      </c>
      <c r="P128" t="s">
        <v>31</v>
      </c>
      <c r="Q128" s="2">
        <v>43223</v>
      </c>
    </row>
    <row r="129" spans="1:17" x14ac:dyDescent="0.2">
      <c r="A129" s="2">
        <v>43378</v>
      </c>
      <c r="B129" t="s">
        <v>146</v>
      </c>
      <c r="C129" t="s">
        <v>18</v>
      </c>
      <c r="D129" t="s">
        <v>38</v>
      </c>
      <c r="F129" t="s">
        <v>192</v>
      </c>
      <c r="G129" t="s">
        <v>54</v>
      </c>
      <c r="H129" t="s">
        <v>47</v>
      </c>
      <c r="I129" s="2">
        <v>43423</v>
      </c>
      <c r="J129">
        <v>1643000000</v>
      </c>
      <c r="K129">
        <v>18923708.890000001</v>
      </c>
      <c r="L129">
        <v>1596250000</v>
      </c>
      <c r="M129">
        <v>0.124551</v>
      </c>
      <c r="N129">
        <v>2.92</v>
      </c>
      <c r="O129" t="s">
        <v>42</v>
      </c>
      <c r="P129" t="s">
        <v>37</v>
      </c>
      <c r="Q129" s="2">
        <v>43237</v>
      </c>
    </row>
    <row r="130" spans="1:17" x14ac:dyDescent="0.2">
      <c r="A130" s="2">
        <v>43378</v>
      </c>
      <c r="B130" t="s">
        <v>146</v>
      </c>
      <c r="C130" t="s">
        <v>18</v>
      </c>
      <c r="D130" t="s">
        <v>38</v>
      </c>
      <c r="F130" t="s">
        <v>193</v>
      </c>
      <c r="G130" t="s">
        <v>54</v>
      </c>
      <c r="H130" t="s">
        <v>47</v>
      </c>
      <c r="I130" s="2">
        <v>43424</v>
      </c>
      <c r="J130">
        <v>460040000</v>
      </c>
      <c r="K130">
        <v>5261324.13</v>
      </c>
      <c r="L130">
        <v>449330000</v>
      </c>
      <c r="M130">
        <v>0.127308</v>
      </c>
      <c r="N130">
        <v>2.92</v>
      </c>
      <c r="O130" t="s">
        <v>42</v>
      </c>
      <c r="P130" t="s">
        <v>37</v>
      </c>
      <c r="Q130" s="2">
        <v>43238</v>
      </c>
    </row>
    <row r="131" spans="1:17" x14ac:dyDescent="0.2">
      <c r="A131" s="2">
        <v>43378</v>
      </c>
      <c r="B131" t="s">
        <v>146</v>
      </c>
      <c r="C131" t="s">
        <v>18</v>
      </c>
      <c r="D131" t="s">
        <v>38</v>
      </c>
      <c r="F131" t="s">
        <v>194</v>
      </c>
      <c r="G131" t="s">
        <v>73</v>
      </c>
      <c r="H131" t="s">
        <v>27</v>
      </c>
      <c r="I131" s="2">
        <v>44196</v>
      </c>
      <c r="J131">
        <v>9535.0499999999993</v>
      </c>
      <c r="K131">
        <v>9.5</v>
      </c>
      <c r="L131">
        <v>9535.0499999999993</v>
      </c>
      <c r="M131">
        <v>0</v>
      </c>
      <c r="N131">
        <v>0</v>
      </c>
      <c r="O131" t="s">
        <v>42</v>
      </c>
      <c r="P131" t="s">
        <v>23</v>
      </c>
      <c r="Q131" s="2">
        <v>41946</v>
      </c>
    </row>
    <row r="132" spans="1:17" x14ac:dyDescent="0.2">
      <c r="A132" s="2">
        <v>43378</v>
      </c>
      <c r="B132" t="s">
        <v>146</v>
      </c>
      <c r="C132" t="s">
        <v>18</v>
      </c>
      <c r="D132" t="s">
        <v>38</v>
      </c>
      <c r="F132" t="s">
        <v>195</v>
      </c>
      <c r="G132" t="s">
        <v>26</v>
      </c>
      <c r="H132" t="s">
        <v>27</v>
      </c>
      <c r="I132" s="2">
        <v>44196</v>
      </c>
      <c r="J132">
        <v>74676129.780000001</v>
      </c>
      <c r="K132">
        <v>50302.69</v>
      </c>
      <c r="L132">
        <v>85887038.310000002</v>
      </c>
      <c r="M132">
        <v>0</v>
      </c>
      <c r="N132">
        <v>0</v>
      </c>
      <c r="O132" t="s">
        <v>42</v>
      </c>
      <c r="P132" t="s">
        <v>28</v>
      </c>
      <c r="Q132" s="2">
        <v>41614</v>
      </c>
    </row>
    <row r="133" spans="1:17" x14ac:dyDescent="0.2">
      <c r="A133" s="2">
        <v>43378</v>
      </c>
      <c r="B133" t="s">
        <v>146</v>
      </c>
      <c r="C133" t="s">
        <v>18</v>
      </c>
      <c r="D133" t="s">
        <v>38</v>
      </c>
      <c r="F133" t="s">
        <v>196</v>
      </c>
      <c r="G133" t="s">
        <v>26</v>
      </c>
      <c r="H133" t="s">
        <v>27</v>
      </c>
      <c r="I133" s="2">
        <v>44196</v>
      </c>
      <c r="J133">
        <v>123522389.90000001</v>
      </c>
      <c r="K133">
        <v>16641.29</v>
      </c>
      <c r="L133">
        <v>129319397.17</v>
      </c>
      <c r="M133">
        <v>0</v>
      </c>
      <c r="N133">
        <v>0</v>
      </c>
      <c r="O133" t="s">
        <v>42</v>
      </c>
      <c r="P133" t="s">
        <v>37</v>
      </c>
      <c r="Q133" s="2">
        <v>41617</v>
      </c>
    </row>
    <row r="134" spans="1:17" x14ac:dyDescent="0.2">
      <c r="A134" s="2">
        <v>43378</v>
      </c>
      <c r="B134" t="s">
        <v>146</v>
      </c>
      <c r="C134" t="s">
        <v>18</v>
      </c>
      <c r="D134" t="s">
        <v>38</v>
      </c>
      <c r="F134" t="s">
        <v>197</v>
      </c>
      <c r="G134" t="s">
        <v>75</v>
      </c>
      <c r="H134" t="s">
        <v>59</v>
      </c>
      <c r="I134" s="2">
        <v>44196</v>
      </c>
      <c r="J134">
        <v>143730392.33000001</v>
      </c>
      <c r="K134">
        <v>1449537.56</v>
      </c>
      <c r="L134">
        <v>143730392.33000001</v>
      </c>
      <c r="M134">
        <v>0</v>
      </c>
      <c r="N134">
        <v>0</v>
      </c>
      <c r="O134" t="s">
        <v>42</v>
      </c>
      <c r="P134" t="s">
        <v>23</v>
      </c>
      <c r="Q134" s="2">
        <v>41652</v>
      </c>
    </row>
    <row r="135" spans="1:17" x14ac:dyDescent="0.2">
      <c r="A135" s="2">
        <v>43378</v>
      </c>
      <c r="B135" t="s">
        <v>146</v>
      </c>
      <c r="C135" t="s">
        <v>18</v>
      </c>
      <c r="D135" t="s">
        <v>38</v>
      </c>
      <c r="F135" t="s">
        <v>76</v>
      </c>
      <c r="G135" t="s">
        <v>26</v>
      </c>
      <c r="H135" t="s">
        <v>27</v>
      </c>
      <c r="I135" s="2">
        <v>43468</v>
      </c>
      <c r="J135">
        <v>1500000000</v>
      </c>
      <c r="K135">
        <v>986301.37</v>
      </c>
      <c r="L135">
        <v>1500000000</v>
      </c>
      <c r="M135">
        <v>0.245667</v>
      </c>
      <c r="N135">
        <v>1.5</v>
      </c>
      <c r="O135" t="s">
        <v>42</v>
      </c>
      <c r="P135" t="s">
        <v>23</v>
      </c>
      <c r="Q135" s="2">
        <v>43363</v>
      </c>
    </row>
    <row r="136" spans="1:17" x14ac:dyDescent="0.2">
      <c r="A136" s="2">
        <v>43378</v>
      </c>
      <c r="B136" t="s">
        <v>146</v>
      </c>
      <c r="C136" t="s">
        <v>18</v>
      </c>
      <c r="D136" t="s">
        <v>77</v>
      </c>
      <c r="F136" t="s">
        <v>198</v>
      </c>
      <c r="G136" t="s">
        <v>199</v>
      </c>
      <c r="H136" t="s">
        <v>51</v>
      </c>
      <c r="I136" s="2">
        <v>43502</v>
      </c>
      <c r="J136">
        <v>1352443268.8</v>
      </c>
      <c r="L136">
        <v>1352253249.5999999</v>
      </c>
      <c r="M136">
        <v>0.33511400000000002</v>
      </c>
      <c r="N136">
        <v>1.7</v>
      </c>
      <c r="O136" t="s">
        <v>42</v>
      </c>
      <c r="P136" t="s">
        <v>23</v>
      </c>
      <c r="Q136" s="2">
        <v>43318</v>
      </c>
    </row>
    <row r="137" spans="1:17" x14ac:dyDescent="0.2">
      <c r="A137" s="2">
        <v>43378</v>
      </c>
      <c r="B137" t="s">
        <v>146</v>
      </c>
      <c r="C137" t="s">
        <v>18</v>
      </c>
      <c r="D137" t="s">
        <v>77</v>
      </c>
      <c r="F137" t="s">
        <v>200</v>
      </c>
      <c r="G137" t="s">
        <v>201</v>
      </c>
      <c r="H137" t="s">
        <v>47</v>
      </c>
      <c r="I137" s="2">
        <v>43424</v>
      </c>
      <c r="J137">
        <v>299344710</v>
      </c>
      <c r="L137">
        <v>299354133</v>
      </c>
      <c r="M137">
        <v>0.123025</v>
      </c>
      <c r="N137">
        <v>1.75</v>
      </c>
      <c r="O137" t="s">
        <v>42</v>
      </c>
      <c r="P137" t="s">
        <v>23</v>
      </c>
      <c r="Q137" s="2">
        <v>43328</v>
      </c>
    </row>
    <row r="138" spans="1:17" x14ac:dyDescent="0.2">
      <c r="A138" s="2">
        <v>43378</v>
      </c>
      <c r="B138" t="s">
        <v>146</v>
      </c>
      <c r="C138" t="s">
        <v>18</v>
      </c>
      <c r="D138" t="s">
        <v>77</v>
      </c>
      <c r="F138" t="s">
        <v>202</v>
      </c>
      <c r="G138" t="s">
        <v>203</v>
      </c>
      <c r="H138" t="s">
        <v>51</v>
      </c>
      <c r="I138" s="2">
        <v>43447</v>
      </c>
      <c r="J138">
        <v>1994063160</v>
      </c>
      <c r="L138">
        <v>1994111640</v>
      </c>
      <c r="M138">
        <v>0.18573500000000001</v>
      </c>
      <c r="N138">
        <v>1.585</v>
      </c>
      <c r="O138" t="s">
        <v>42</v>
      </c>
      <c r="P138" t="s">
        <v>23</v>
      </c>
      <c r="Q138" s="2">
        <v>43207</v>
      </c>
    </row>
    <row r="139" spans="1:17" x14ac:dyDescent="0.2">
      <c r="A139" s="2">
        <v>43378</v>
      </c>
      <c r="B139" t="s">
        <v>146</v>
      </c>
      <c r="C139" t="s">
        <v>18</v>
      </c>
      <c r="D139" t="s">
        <v>77</v>
      </c>
      <c r="F139" t="s">
        <v>204</v>
      </c>
      <c r="G139" t="s">
        <v>203</v>
      </c>
      <c r="H139" t="s">
        <v>51</v>
      </c>
      <c r="I139" s="2">
        <v>43494</v>
      </c>
      <c r="J139">
        <v>397796368</v>
      </c>
      <c r="L139">
        <v>397682004</v>
      </c>
      <c r="M139">
        <v>0.31333299999999997</v>
      </c>
      <c r="N139">
        <v>1.85</v>
      </c>
      <c r="O139" t="s">
        <v>42</v>
      </c>
      <c r="P139" t="s">
        <v>23</v>
      </c>
      <c r="Q139" s="2">
        <v>43360</v>
      </c>
    </row>
    <row r="140" spans="1:17" x14ac:dyDescent="0.2">
      <c r="A140" s="2">
        <v>43378</v>
      </c>
      <c r="B140" t="s">
        <v>146</v>
      </c>
      <c r="C140" t="s">
        <v>18</v>
      </c>
      <c r="D140" t="s">
        <v>77</v>
      </c>
      <c r="F140" t="s">
        <v>205</v>
      </c>
      <c r="G140" t="s">
        <v>206</v>
      </c>
      <c r="H140" t="s">
        <v>51</v>
      </c>
      <c r="I140" s="2">
        <v>43440</v>
      </c>
      <c r="J140">
        <v>1396357830</v>
      </c>
      <c r="L140">
        <v>1396150070</v>
      </c>
      <c r="M140">
        <v>0.166686</v>
      </c>
      <c r="N140">
        <v>1.65</v>
      </c>
      <c r="O140" t="s">
        <v>42</v>
      </c>
      <c r="P140" t="s">
        <v>23</v>
      </c>
      <c r="Q140" s="2">
        <v>43174</v>
      </c>
    </row>
    <row r="141" spans="1:17" x14ac:dyDescent="0.2">
      <c r="A141" s="2">
        <v>43378</v>
      </c>
      <c r="B141" t="s">
        <v>146</v>
      </c>
      <c r="C141" t="s">
        <v>18</v>
      </c>
      <c r="D141" t="s">
        <v>77</v>
      </c>
      <c r="F141" t="s">
        <v>207</v>
      </c>
      <c r="G141" t="s">
        <v>206</v>
      </c>
      <c r="H141" t="s">
        <v>51</v>
      </c>
      <c r="I141" s="2">
        <v>43550</v>
      </c>
      <c r="J141">
        <v>991400270</v>
      </c>
      <c r="L141">
        <v>991868040</v>
      </c>
      <c r="M141">
        <v>0.46446399999999999</v>
      </c>
      <c r="N141">
        <v>1.75</v>
      </c>
      <c r="O141" t="s">
        <v>42</v>
      </c>
      <c r="P141" t="s">
        <v>23</v>
      </c>
      <c r="Q141" s="2">
        <v>43326</v>
      </c>
    </row>
    <row r="142" spans="1:17" x14ac:dyDescent="0.2">
      <c r="A142" s="2">
        <v>43378</v>
      </c>
      <c r="B142" t="s">
        <v>146</v>
      </c>
      <c r="C142" t="s">
        <v>18</v>
      </c>
      <c r="D142" t="s">
        <v>77</v>
      </c>
      <c r="F142" t="s">
        <v>208</v>
      </c>
      <c r="G142" t="s">
        <v>209</v>
      </c>
      <c r="H142" t="s">
        <v>210</v>
      </c>
      <c r="I142" s="2">
        <v>43417</v>
      </c>
      <c r="J142">
        <v>1497505530</v>
      </c>
      <c r="L142">
        <v>1497505530</v>
      </c>
      <c r="M142">
        <v>0.10394100000000001</v>
      </c>
      <c r="N142">
        <v>1.6</v>
      </c>
      <c r="O142" t="s">
        <v>42</v>
      </c>
      <c r="P142" t="s">
        <v>23</v>
      </c>
      <c r="Q142" s="2">
        <v>43329</v>
      </c>
    </row>
    <row r="143" spans="1:17" x14ac:dyDescent="0.2">
      <c r="A143" s="2">
        <v>43378</v>
      </c>
      <c r="B143" t="s">
        <v>146</v>
      </c>
      <c r="C143" t="s">
        <v>18</v>
      </c>
      <c r="D143" t="s">
        <v>77</v>
      </c>
      <c r="F143" t="s">
        <v>80</v>
      </c>
      <c r="G143" t="s">
        <v>81</v>
      </c>
      <c r="H143" t="s">
        <v>51</v>
      </c>
      <c r="I143" s="2">
        <v>43382</v>
      </c>
      <c r="J143">
        <v>1199844180</v>
      </c>
      <c r="L143">
        <v>1199844180</v>
      </c>
      <c r="M143">
        <v>8.2179999999999996E-3</v>
      </c>
      <c r="N143">
        <v>1.58</v>
      </c>
      <c r="O143" t="s">
        <v>42</v>
      </c>
      <c r="P143" t="s">
        <v>23</v>
      </c>
      <c r="Q143" s="2">
        <v>43320</v>
      </c>
    </row>
    <row r="144" spans="1:17" x14ac:dyDescent="0.2">
      <c r="A144" s="2">
        <v>43378</v>
      </c>
      <c r="B144" t="s">
        <v>146</v>
      </c>
      <c r="C144" t="s">
        <v>18</v>
      </c>
      <c r="D144" t="s">
        <v>77</v>
      </c>
      <c r="F144" t="s">
        <v>211</v>
      </c>
      <c r="G144" t="s">
        <v>212</v>
      </c>
      <c r="H144" t="s">
        <v>29</v>
      </c>
      <c r="I144" s="2">
        <v>43397</v>
      </c>
      <c r="J144">
        <v>99907934</v>
      </c>
      <c r="L144">
        <v>99896545</v>
      </c>
      <c r="M144">
        <v>4.9270000000000001E-2</v>
      </c>
      <c r="N144">
        <v>2.1</v>
      </c>
      <c r="O144" t="s">
        <v>42</v>
      </c>
      <c r="P144" t="s">
        <v>23</v>
      </c>
      <c r="Q144" s="2">
        <v>43209</v>
      </c>
    </row>
    <row r="145" spans="1:17" x14ac:dyDescent="0.2">
      <c r="A145" s="2">
        <v>43378</v>
      </c>
      <c r="B145" t="s">
        <v>146</v>
      </c>
      <c r="C145" t="s">
        <v>18</v>
      </c>
      <c r="D145" t="s">
        <v>77</v>
      </c>
      <c r="F145" t="s">
        <v>213</v>
      </c>
      <c r="G145" t="s">
        <v>84</v>
      </c>
      <c r="H145" t="s">
        <v>47</v>
      </c>
      <c r="I145" s="2">
        <v>43496</v>
      </c>
      <c r="J145">
        <v>696524533.25</v>
      </c>
      <c r="L145">
        <v>696483711.35000002</v>
      </c>
      <c r="M145">
        <v>0.31895600000000002</v>
      </c>
      <c r="N145">
        <v>1.575</v>
      </c>
      <c r="O145" t="s">
        <v>42</v>
      </c>
      <c r="P145" t="s">
        <v>23</v>
      </c>
      <c r="Q145" s="2">
        <v>43227</v>
      </c>
    </row>
    <row r="146" spans="1:17" x14ac:dyDescent="0.2">
      <c r="A146" s="2">
        <v>43378</v>
      </c>
      <c r="B146" t="s">
        <v>146</v>
      </c>
      <c r="C146" t="s">
        <v>18</v>
      </c>
      <c r="D146" t="s">
        <v>77</v>
      </c>
      <c r="F146" t="s">
        <v>83</v>
      </c>
      <c r="G146" t="s">
        <v>84</v>
      </c>
      <c r="H146" t="s">
        <v>47</v>
      </c>
      <c r="I146" s="2">
        <v>43514</v>
      </c>
      <c r="J146">
        <v>844979186</v>
      </c>
      <c r="L146">
        <v>844750969.5</v>
      </c>
      <c r="M146">
        <v>0.367678</v>
      </c>
      <c r="N146">
        <v>1.68</v>
      </c>
      <c r="O146" t="s">
        <v>42</v>
      </c>
      <c r="P146" t="s">
        <v>23</v>
      </c>
      <c r="Q146" s="2">
        <v>43244</v>
      </c>
    </row>
    <row r="147" spans="1:17" x14ac:dyDescent="0.2">
      <c r="A147" s="2">
        <v>43378</v>
      </c>
      <c r="B147" t="s">
        <v>146</v>
      </c>
      <c r="C147" t="s">
        <v>18</v>
      </c>
      <c r="D147" t="s">
        <v>77</v>
      </c>
      <c r="F147" t="s">
        <v>214</v>
      </c>
      <c r="G147" t="s">
        <v>215</v>
      </c>
      <c r="H147" t="s">
        <v>126</v>
      </c>
      <c r="I147" s="2">
        <v>43381</v>
      </c>
      <c r="J147">
        <v>999999780</v>
      </c>
      <c r="K147">
        <v>2553970</v>
      </c>
      <c r="L147">
        <v>1000000000</v>
      </c>
      <c r="M147">
        <v>5.4790000000000004E-3</v>
      </c>
      <c r="N147">
        <v>1.58</v>
      </c>
      <c r="O147" t="s">
        <v>42</v>
      </c>
      <c r="P147" t="s">
        <v>23</v>
      </c>
      <c r="Q147" s="2">
        <v>43320</v>
      </c>
    </row>
    <row r="148" spans="1:17" x14ac:dyDescent="0.2">
      <c r="A148" s="2">
        <v>43378</v>
      </c>
      <c r="B148" t="s">
        <v>146</v>
      </c>
      <c r="C148" t="s">
        <v>18</v>
      </c>
      <c r="D148" t="s">
        <v>85</v>
      </c>
      <c r="F148" t="s">
        <v>86</v>
      </c>
      <c r="G148" t="s">
        <v>87</v>
      </c>
      <c r="H148" t="s">
        <v>29</v>
      </c>
      <c r="I148" s="2">
        <v>43418</v>
      </c>
      <c r="J148">
        <v>1487066697.29</v>
      </c>
      <c r="L148">
        <v>1487040535.5599999</v>
      </c>
      <c r="M148">
        <v>0.10671</v>
      </c>
      <c r="N148">
        <v>1.2332240000000001</v>
      </c>
      <c r="O148" t="s">
        <v>42</v>
      </c>
      <c r="P148" t="s">
        <v>23</v>
      </c>
      <c r="Q148" s="2">
        <v>43054</v>
      </c>
    </row>
    <row r="149" spans="1:17" x14ac:dyDescent="0.2">
      <c r="A149" s="2">
        <v>43378</v>
      </c>
      <c r="B149" t="s">
        <v>146</v>
      </c>
      <c r="C149" t="s">
        <v>18</v>
      </c>
      <c r="D149" t="s">
        <v>85</v>
      </c>
      <c r="F149" t="s">
        <v>88</v>
      </c>
      <c r="G149" t="s">
        <v>87</v>
      </c>
      <c r="H149" t="s">
        <v>29</v>
      </c>
      <c r="I149" s="2">
        <v>43558</v>
      </c>
      <c r="J149">
        <v>1180824885.8</v>
      </c>
      <c r="L149">
        <v>1182391806.4000001</v>
      </c>
      <c r="M149">
        <v>0.48663000000000001</v>
      </c>
      <c r="N149">
        <v>1.312079</v>
      </c>
      <c r="O149" t="s">
        <v>42</v>
      </c>
      <c r="P149" t="s">
        <v>23</v>
      </c>
      <c r="Q149" s="2">
        <v>43194</v>
      </c>
    </row>
    <row r="150" spans="1:17" x14ac:dyDescent="0.2">
      <c r="A150" s="2">
        <v>43378</v>
      </c>
      <c r="B150" t="s">
        <v>146</v>
      </c>
      <c r="C150" t="s">
        <v>18</v>
      </c>
      <c r="D150" t="s">
        <v>89</v>
      </c>
      <c r="F150" t="s">
        <v>90</v>
      </c>
      <c r="G150" t="s">
        <v>91</v>
      </c>
      <c r="I150" s="2">
        <v>43440</v>
      </c>
      <c r="J150">
        <v>6984824770</v>
      </c>
      <c r="L150">
        <v>6984328470</v>
      </c>
      <c r="M150">
        <v>0.16670299999999999</v>
      </c>
      <c r="N150">
        <v>1.3426100000000001</v>
      </c>
      <c r="O150" t="s">
        <v>42</v>
      </c>
      <c r="P150" t="s">
        <v>23</v>
      </c>
      <c r="Q150" s="2">
        <v>43349</v>
      </c>
    </row>
    <row r="151" spans="1:17" x14ac:dyDescent="0.2">
      <c r="A151" s="2">
        <v>43378</v>
      </c>
      <c r="B151" t="s">
        <v>146</v>
      </c>
      <c r="C151" t="s">
        <v>18</v>
      </c>
      <c r="D151" t="s">
        <v>89</v>
      </c>
      <c r="F151" t="s">
        <v>216</v>
      </c>
      <c r="G151" t="s">
        <v>91</v>
      </c>
      <c r="I151" s="2">
        <v>43447</v>
      </c>
      <c r="J151">
        <v>549707943.57000005</v>
      </c>
      <c r="L151">
        <v>549707943.57000005</v>
      </c>
      <c r="M151">
        <v>0.185839</v>
      </c>
      <c r="N151">
        <v>1.261633</v>
      </c>
      <c r="O151" t="s">
        <v>42</v>
      </c>
      <c r="P151" t="s">
        <v>23</v>
      </c>
      <c r="Q151" s="2">
        <v>43265</v>
      </c>
    </row>
    <row r="152" spans="1:17" x14ac:dyDescent="0.2">
      <c r="A152" s="2">
        <v>43378</v>
      </c>
      <c r="B152" t="s">
        <v>146</v>
      </c>
      <c r="C152" t="s">
        <v>18</v>
      </c>
      <c r="D152" t="s">
        <v>89</v>
      </c>
      <c r="F152" t="s">
        <v>92</v>
      </c>
      <c r="G152" t="s">
        <v>91</v>
      </c>
      <c r="I152" s="2">
        <v>43447</v>
      </c>
      <c r="J152">
        <v>5125982470.6199999</v>
      </c>
      <c r="L152">
        <v>5125874388.1400003</v>
      </c>
      <c r="M152">
        <v>0.185834</v>
      </c>
      <c r="N152">
        <v>1.165035</v>
      </c>
      <c r="O152" t="s">
        <v>42</v>
      </c>
      <c r="P152" t="s">
        <v>23</v>
      </c>
      <c r="Q152" s="2">
        <v>43356</v>
      </c>
    </row>
    <row r="153" spans="1:17" x14ac:dyDescent="0.2">
      <c r="A153" s="2">
        <v>43378</v>
      </c>
      <c r="B153" t="s">
        <v>146</v>
      </c>
      <c r="C153" t="s">
        <v>18</v>
      </c>
      <c r="D153" t="s">
        <v>89</v>
      </c>
      <c r="F153" t="s">
        <v>93</v>
      </c>
      <c r="G153" t="s">
        <v>91</v>
      </c>
      <c r="I153" s="2">
        <v>43454</v>
      </c>
      <c r="J153">
        <v>4487427987.1300001</v>
      </c>
      <c r="L153">
        <v>4486306926.3100004</v>
      </c>
      <c r="M153">
        <v>0.204905</v>
      </c>
      <c r="N153">
        <v>1.376922</v>
      </c>
      <c r="O153" t="s">
        <v>42</v>
      </c>
      <c r="P153" t="s">
        <v>23</v>
      </c>
      <c r="Q153" s="2">
        <v>43363</v>
      </c>
    </row>
    <row r="154" spans="1:17" x14ac:dyDescent="0.2">
      <c r="A154" s="2">
        <v>43378</v>
      </c>
      <c r="B154" t="s">
        <v>146</v>
      </c>
      <c r="C154" t="s">
        <v>18</v>
      </c>
      <c r="D154" t="s">
        <v>89</v>
      </c>
      <c r="F154" t="s">
        <v>217</v>
      </c>
      <c r="G154" t="s">
        <v>91</v>
      </c>
      <c r="I154" s="2">
        <v>43461</v>
      </c>
      <c r="J154">
        <v>847372913.5</v>
      </c>
      <c r="L154">
        <v>847156614</v>
      </c>
      <c r="M154">
        <v>0.223943</v>
      </c>
      <c r="N154">
        <v>1.494</v>
      </c>
      <c r="O154" t="s">
        <v>42</v>
      </c>
      <c r="P154" t="s">
        <v>23</v>
      </c>
      <c r="Q154" s="2">
        <v>43370</v>
      </c>
    </row>
    <row r="155" spans="1:17" x14ac:dyDescent="0.2">
      <c r="A155" s="2">
        <v>43378</v>
      </c>
      <c r="B155" t="s">
        <v>146</v>
      </c>
      <c r="C155" t="s">
        <v>18</v>
      </c>
      <c r="D155" t="s">
        <v>89</v>
      </c>
      <c r="F155" t="s">
        <v>218</v>
      </c>
      <c r="G155" t="s">
        <v>91</v>
      </c>
      <c r="I155" s="2">
        <v>43405</v>
      </c>
      <c r="J155">
        <v>885276767.05999994</v>
      </c>
      <c r="L155">
        <v>885276767.05999994</v>
      </c>
      <c r="M155">
        <v>7.1174000000000001E-2</v>
      </c>
      <c r="N155">
        <v>1.146879</v>
      </c>
      <c r="O155" t="s">
        <v>42</v>
      </c>
      <c r="P155" t="s">
        <v>23</v>
      </c>
      <c r="Q155" s="2">
        <v>43223</v>
      </c>
    </row>
    <row r="156" spans="1:17" x14ac:dyDescent="0.2">
      <c r="A156" s="2">
        <v>43378</v>
      </c>
      <c r="B156" t="s">
        <v>146</v>
      </c>
      <c r="C156" t="s">
        <v>18</v>
      </c>
      <c r="D156" t="s">
        <v>89</v>
      </c>
      <c r="F156" t="s">
        <v>94</v>
      </c>
      <c r="G156" t="s">
        <v>91</v>
      </c>
      <c r="I156" s="2">
        <v>43405</v>
      </c>
      <c r="J156">
        <v>3821516343</v>
      </c>
      <c r="L156">
        <v>3821496223.5</v>
      </c>
      <c r="M156">
        <v>7.1174000000000001E-2</v>
      </c>
      <c r="N156">
        <v>1.2871360000000001</v>
      </c>
      <c r="O156" t="s">
        <v>42</v>
      </c>
      <c r="P156" t="s">
        <v>23</v>
      </c>
      <c r="Q156" s="2">
        <v>43314</v>
      </c>
    </row>
    <row r="157" spans="1:17" x14ac:dyDescent="0.2">
      <c r="A157" s="2">
        <v>43378</v>
      </c>
      <c r="B157" t="s">
        <v>146</v>
      </c>
      <c r="C157" t="s">
        <v>18</v>
      </c>
      <c r="D157" t="s">
        <v>89</v>
      </c>
      <c r="F157" t="s">
        <v>95</v>
      </c>
      <c r="G157" t="s">
        <v>91</v>
      </c>
      <c r="I157" s="2">
        <v>43412</v>
      </c>
      <c r="J157">
        <v>880042132.75</v>
      </c>
      <c r="L157">
        <v>880042132.75</v>
      </c>
      <c r="M157">
        <v>9.0315000000000006E-2</v>
      </c>
      <c r="N157">
        <v>1.2038759999999999</v>
      </c>
      <c r="O157" t="s">
        <v>42</v>
      </c>
      <c r="P157" t="s">
        <v>23</v>
      </c>
      <c r="Q157" s="2">
        <v>43230</v>
      </c>
    </row>
    <row r="158" spans="1:17" x14ac:dyDescent="0.2">
      <c r="A158" s="2">
        <v>43378</v>
      </c>
      <c r="B158" t="s">
        <v>146</v>
      </c>
      <c r="C158" t="s">
        <v>18</v>
      </c>
      <c r="D158" t="s">
        <v>89</v>
      </c>
      <c r="F158" t="s">
        <v>96</v>
      </c>
      <c r="G158" t="s">
        <v>91</v>
      </c>
      <c r="I158" s="2">
        <v>43412</v>
      </c>
      <c r="J158">
        <v>5692506958.3299999</v>
      </c>
      <c r="L158">
        <v>5692475670.8199997</v>
      </c>
      <c r="M158">
        <v>9.0315999999999994E-2</v>
      </c>
      <c r="N158">
        <v>1.267687</v>
      </c>
      <c r="O158" t="s">
        <v>42</v>
      </c>
      <c r="P158" t="s">
        <v>23</v>
      </c>
      <c r="Q158" s="2">
        <v>43321</v>
      </c>
    </row>
    <row r="159" spans="1:17" x14ac:dyDescent="0.2">
      <c r="A159" s="2">
        <v>43378</v>
      </c>
      <c r="B159" t="s">
        <v>146</v>
      </c>
      <c r="C159" t="s">
        <v>18</v>
      </c>
      <c r="D159" t="s">
        <v>89</v>
      </c>
      <c r="F159" t="s">
        <v>97</v>
      </c>
      <c r="G159" t="s">
        <v>91</v>
      </c>
      <c r="I159" s="2">
        <v>43419</v>
      </c>
      <c r="J159">
        <v>624204118.75</v>
      </c>
      <c r="L159">
        <v>624204118.75</v>
      </c>
      <c r="M159">
        <v>0.109448</v>
      </c>
      <c r="N159">
        <v>1.1634640000000001</v>
      </c>
      <c r="O159" t="s">
        <v>42</v>
      </c>
      <c r="P159" t="s">
        <v>23</v>
      </c>
      <c r="Q159" s="2">
        <v>43237</v>
      </c>
    </row>
    <row r="160" spans="1:17" x14ac:dyDescent="0.2">
      <c r="A160" s="2">
        <v>43378</v>
      </c>
      <c r="B160" t="s">
        <v>146</v>
      </c>
      <c r="C160" t="s">
        <v>18</v>
      </c>
      <c r="D160" t="s">
        <v>89</v>
      </c>
      <c r="F160" t="s">
        <v>98</v>
      </c>
      <c r="G160" t="s">
        <v>91</v>
      </c>
      <c r="I160" s="2">
        <v>43419</v>
      </c>
      <c r="J160">
        <v>8162765654.3999996</v>
      </c>
      <c r="L160">
        <v>8162755763.8599997</v>
      </c>
      <c r="M160">
        <v>0.109448</v>
      </c>
      <c r="N160">
        <v>1.2569760000000001</v>
      </c>
      <c r="O160" t="s">
        <v>42</v>
      </c>
      <c r="P160" t="s">
        <v>23</v>
      </c>
      <c r="Q160" s="2">
        <v>43328</v>
      </c>
    </row>
    <row r="161" spans="1:17" x14ac:dyDescent="0.2">
      <c r="A161" s="2">
        <v>43378</v>
      </c>
      <c r="B161" t="s">
        <v>146</v>
      </c>
      <c r="C161" t="s">
        <v>18</v>
      </c>
      <c r="D161" t="s">
        <v>89</v>
      </c>
      <c r="F161" t="s">
        <v>99</v>
      </c>
      <c r="G161" t="s">
        <v>91</v>
      </c>
      <c r="I161" s="2">
        <v>43426</v>
      </c>
      <c r="J161">
        <v>2646807894.1700001</v>
      </c>
      <c r="L161">
        <v>2646807894.1700001</v>
      </c>
      <c r="M161">
        <v>0.12857199999999999</v>
      </c>
      <c r="N161">
        <v>1.23</v>
      </c>
      <c r="O161" t="s">
        <v>42</v>
      </c>
      <c r="P161" t="s">
        <v>23</v>
      </c>
      <c r="Q161" s="2">
        <v>43244</v>
      </c>
    </row>
    <row r="162" spans="1:17" x14ac:dyDescent="0.2">
      <c r="A162" s="2">
        <v>43378</v>
      </c>
      <c r="B162" t="s">
        <v>146</v>
      </c>
      <c r="C162" t="s">
        <v>18</v>
      </c>
      <c r="D162" t="s">
        <v>89</v>
      </c>
      <c r="F162" t="s">
        <v>100</v>
      </c>
      <c r="G162" t="s">
        <v>91</v>
      </c>
      <c r="I162" s="2">
        <v>43426</v>
      </c>
      <c r="J162">
        <v>4737374642.6499996</v>
      </c>
      <c r="L162">
        <v>4737234095.75</v>
      </c>
      <c r="M162">
        <v>0.12857099999999999</v>
      </c>
      <c r="N162">
        <v>1.273101</v>
      </c>
      <c r="O162" t="s">
        <v>42</v>
      </c>
      <c r="P162" t="s">
        <v>23</v>
      </c>
      <c r="Q162" s="2">
        <v>43335</v>
      </c>
    </row>
    <row r="163" spans="1:17" x14ac:dyDescent="0.2">
      <c r="A163" s="2">
        <v>43378</v>
      </c>
      <c r="B163" t="s">
        <v>146</v>
      </c>
      <c r="C163" t="s">
        <v>18</v>
      </c>
      <c r="D163" t="s">
        <v>89</v>
      </c>
      <c r="F163" t="s">
        <v>101</v>
      </c>
      <c r="G163" t="s">
        <v>91</v>
      </c>
      <c r="I163" s="2">
        <v>43433</v>
      </c>
      <c r="J163">
        <v>995218002.08000004</v>
      </c>
      <c r="L163">
        <v>995218241.36000001</v>
      </c>
      <c r="M163">
        <v>0.14768300000000001</v>
      </c>
      <c r="N163">
        <v>1.2101200000000001</v>
      </c>
      <c r="O163" t="s">
        <v>42</v>
      </c>
      <c r="P163" t="s">
        <v>23</v>
      </c>
      <c r="Q163" s="2">
        <v>43251</v>
      </c>
    </row>
    <row r="164" spans="1:17" x14ac:dyDescent="0.2">
      <c r="A164" s="2">
        <v>43378</v>
      </c>
      <c r="B164" t="s">
        <v>146</v>
      </c>
      <c r="C164" t="s">
        <v>18</v>
      </c>
      <c r="D164" t="s">
        <v>89</v>
      </c>
      <c r="F164" t="s">
        <v>102</v>
      </c>
      <c r="G164" t="s">
        <v>91</v>
      </c>
      <c r="I164" s="2">
        <v>43433</v>
      </c>
      <c r="J164">
        <v>7046585477.8800001</v>
      </c>
      <c r="L164">
        <v>7046038970.1000004</v>
      </c>
      <c r="M164">
        <v>0.14767</v>
      </c>
      <c r="N164">
        <v>1.2433479999999999</v>
      </c>
      <c r="O164" t="s">
        <v>42</v>
      </c>
      <c r="P164" t="s">
        <v>23</v>
      </c>
      <c r="Q164" s="2">
        <v>43342</v>
      </c>
    </row>
    <row r="165" spans="1:17" x14ac:dyDescent="0.2">
      <c r="A165" s="2">
        <v>43378</v>
      </c>
      <c r="B165" t="s">
        <v>146</v>
      </c>
      <c r="C165" t="s">
        <v>18</v>
      </c>
      <c r="D165" t="s">
        <v>89</v>
      </c>
      <c r="F165" t="s">
        <v>103</v>
      </c>
      <c r="G165" t="s">
        <v>91</v>
      </c>
      <c r="I165" s="2">
        <v>43382</v>
      </c>
      <c r="J165">
        <v>946909296.34000003</v>
      </c>
      <c r="L165">
        <v>946909296.34000003</v>
      </c>
      <c r="M165">
        <v>8.2179999999999996E-3</v>
      </c>
      <c r="N165">
        <v>1.16547</v>
      </c>
      <c r="O165" t="s">
        <v>42</v>
      </c>
      <c r="P165" t="s">
        <v>23</v>
      </c>
      <c r="Q165" s="2">
        <v>43368</v>
      </c>
    </row>
    <row r="166" spans="1:17" x14ac:dyDescent="0.2">
      <c r="A166" s="2">
        <v>43378</v>
      </c>
      <c r="B166" t="s">
        <v>146</v>
      </c>
      <c r="C166" t="s">
        <v>18</v>
      </c>
      <c r="D166" t="s">
        <v>89</v>
      </c>
      <c r="F166" t="s">
        <v>104</v>
      </c>
      <c r="G166" t="s">
        <v>91</v>
      </c>
      <c r="I166" s="2">
        <v>43384</v>
      </c>
      <c r="J166">
        <v>451929347.88</v>
      </c>
      <c r="L166">
        <v>451929347.88</v>
      </c>
      <c r="M166">
        <v>1.3697000000000001E-2</v>
      </c>
      <c r="N166">
        <v>1.1412439999999999</v>
      </c>
      <c r="O166" t="s">
        <v>42</v>
      </c>
      <c r="P166" t="s">
        <v>23</v>
      </c>
      <c r="Q166" s="2">
        <v>43202</v>
      </c>
    </row>
    <row r="167" spans="1:17" x14ac:dyDescent="0.2">
      <c r="A167" s="2">
        <v>43378</v>
      </c>
      <c r="B167" t="s">
        <v>146</v>
      </c>
      <c r="C167" t="s">
        <v>18</v>
      </c>
      <c r="D167" t="s">
        <v>89</v>
      </c>
      <c r="F167" t="s">
        <v>105</v>
      </c>
      <c r="G167" t="s">
        <v>91</v>
      </c>
      <c r="I167" s="2">
        <v>43384</v>
      </c>
      <c r="J167">
        <v>5125080703.1599998</v>
      </c>
      <c r="L167">
        <v>5125080395.6000004</v>
      </c>
      <c r="M167">
        <v>1.3696E-2</v>
      </c>
      <c r="N167">
        <v>1.309858</v>
      </c>
      <c r="O167" t="s">
        <v>42</v>
      </c>
      <c r="P167" t="s">
        <v>23</v>
      </c>
      <c r="Q167" s="2">
        <v>43293</v>
      </c>
    </row>
    <row r="168" spans="1:17" x14ac:dyDescent="0.2">
      <c r="A168" s="2">
        <v>43378</v>
      </c>
      <c r="B168" t="s">
        <v>146</v>
      </c>
      <c r="C168" t="s">
        <v>18</v>
      </c>
      <c r="D168" t="s">
        <v>89</v>
      </c>
      <c r="F168" t="s">
        <v>106</v>
      </c>
      <c r="G168" t="s">
        <v>91</v>
      </c>
      <c r="I168" s="2">
        <v>43389</v>
      </c>
      <c r="J168">
        <v>5272393592.3400002</v>
      </c>
      <c r="L168">
        <v>5272393592.3400002</v>
      </c>
      <c r="M168">
        <v>2.7389E-2</v>
      </c>
      <c r="N168">
        <v>1.1120859999999999</v>
      </c>
      <c r="O168" t="s">
        <v>42</v>
      </c>
      <c r="P168" t="s">
        <v>23</v>
      </c>
      <c r="Q168" s="2">
        <v>43375</v>
      </c>
    </row>
    <row r="169" spans="1:17" x14ac:dyDescent="0.2">
      <c r="A169" s="2">
        <v>43378</v>
      </c>
      <c r="B169" t="s">
        <v>146</v>
      </c>
      <c r="C169" t="s">
        <v>18</v>
      </c>
      <c r="D169" t="s">
        <v>89</v>
      </c>
      <c r="F169" t="s">
        <v>107</v>
      </c>
      <c r="G169" t="s">
        <v>91</v>
      </c>
      <c r="I169" s="2">
        <v>43391</v>
      </c>
      <c r="J169">
        <v>568782585.10000002</v>
      </c>
      <c r="L169">
        <v>568782585.10000002</v>
      </c>
      <c r="M169">
        <v>3.2864999999999998E-2</v>
      </c>
      <c r="N169">
        <v>1.1626540000000001</v>
      </c>
      <c r="O169" t="s">
        <v>42</v>
      </c>
      <c r="P169" t="s">
        <v>23</v>
      </c>
      <c r="Q169" s="2">
        <v>43209</v>
      </c>
    </row>
    <row r="170" spans="1:17" x14ac:dyDescent="0.2">
      <c r="A170" s="2">
        <v>43378</v>
      </c>
      <c r="B170" t="s">
        <v>146</v>
      </c>
      <c r="C170" t="s">
        <v>18</v>
      </c>
      <c r="D170" t="s">
        <v>89</v>
      </c>
      <c r="F170" t="s">
        <v>108</v>
      </c>
      <c r="G170" t="s">
        <v>91</v>
      </c>
      <c r="I170" s="2">
        <v>43391</v>
      </c>
      <c r="J170">
        <v>6014393435.6000004</v>
      </c>
      <c r="L170">
        <v>6014338079.1999998</v>
      </c>
      <c r="M170">
        <v>3.2864999999999998E-2</v>
      </c>
      <c r="N170">
        <v>1.346217</v>
      </c>
      <c r="O170" t="s">
        <v>42</v>
      </c>
      <c r="P170" t="s">
        <v>23</v>
      </c>
      <c r="Q170" s="2">
        <v>43300</v>
      </c>
    </row>
    <row r="171" spans="1:17" x14ac:dyDescent="0.2">
      <c r="A171" s="2">
        <v>43378</v>
      </c>
      <c r="B171" t="s">
        <v>146</v>
      </c>
      <c r="C171" t="s">
        <v>18</v>
      </c>
      <c r="D171" t="s">
        <v>89</v>
      </c>
      <c r="F171" t="s">
        <v>494</v>
      </c>
      <c r="G171" t="s">
        <v>91</v>
      </c>
      <c r="I171" s="2">
        <v>43397</v>
      </c>
      <c r="J171">
        <v>996533929.38999999</v>
      </c>
      <c r="L171">
        <v>996533929.38999999</v>
      </c>
      <c r="M171">
        <v>5.2054999999999997E-2</v>
      </c>
      <c r="N171">
        <v>1.138056</v>
      </c>
      <c r="O171" t="s">
        <v>42</v>
      </c>
      <c r="P171" t="s">
        <v>23</v>
      </c>
      <c r="Q171" s="2">
        <v>43382</v>
      </c>
    </row>
    <row r="172" spans="1:17" x14ac:dyDescent="0.2">
      <c r="A172" s="2">
        <v>43378</v>
      </c>
      <c r="B172" t="s">
        <v>146</v>
      </c>
      <c r="C172" t="s">
        <v>18</v>
      </c>
      <c r="D172" t="s">
        <v>89</v>
      </c>
      <c r="F172" t="s">
        <v>109</v>
      </c>
      <c r="G172" t="s">
        <v>91</v>
      </c>
      <c r="I172" s="2">
        <v>43398</v>
      </c>
      <c r="J172">
        <v>409753253.80000001</v>
      </c>
      <c r="L172">
        <v>409753253.80000001</v>
      </c>
      <c r="M172">
        <v>5.2024000000000001E-2</v>
      </c>
      <c r="N172">
        <v>1.1568210000000001</v>
      </c>
      <c r="O172" t="s">
        <v>42</v>
      </c>
      <c r="P172" t="s">
        <v>23</v>
      </c>
      <c r="Q172" s="2">
        <v>43216</v>
      </c>
    </row>
    <row r="173" spans="1:17" x14ac:dyDescent="0.2">
      <c r="A173" s="2">
        <v>43378</v>
      </c>
      <c r="B173" t="s">
        <v>146</v>
      </c>
      <c r="C173" t="s">
        <v>18</v>
      </c>
      <c r="D173" t="s">
        <v>89</v>
      </c>
      <c r="F173" t="s">
        <v>110</v>
      </c>
      <c r="G173" t="s">
        <v>91</v>
      </c>
      <c r="I173" s="2">
        <v>43398</v>
      </c>
      <c r="J173">
        <v>7015428997.1999998</v>
      </c>
      <c r="L173">
        <v>7015236087.6000004</v>
      </c>
      <c r="M173">
        <v>5.2025000000000002E-2</v>
      </c>
      <c r="N173">
        <v>1.304557</v>
      </c>
      <c r="O173" t="s">
        <v>42</v>
      </c>
      <c r="P173" t="s">
        <v>23</v>
      </c>
      <c r="Q173" s="2">
        <v>43307</v>
      </c>
    </row>
    <row r="174" spans="1:17" x14ac:dyDescent="0.2">
      <c r="A174" s="2">
        <v>43378</v>
      </c>
      <c r="B174" t="s">
        <v>146</v>
      </c>
      <c r="C174" t="s">
        <v>18</v>
      </c>
      <c r="D174" t="s">
        <v>89</v>
      </c>
      <c r="F174" t="s">
        <v>219</v>
      </c>
      <c r="G174" t="s">
        <v>91</v>
      </c>
      <c r="I174" s="2">
        <v>43468</v>
      </c>
      <c r="J174">
        <v>301969169.75999999</v>
      </c>
      <c r="L174">
        <v>301900285.74000001</v>
      </c>
      <c r="M174">
        <v>0.243006</v>
      </c>
      <c r="N174">
        <v>1.4938940000000001</v>
      </c>
      <c r="O174" t="s">
        <v>42</v>
      </c>
      <c r="P174" t="s">
        <v>23</v>
      </c>
      <c r="Q174" s="2">
        <v>43286</v>
      </c>
    </row>
    <row r="175" spans="1:17" x14ac:dyDescent="0.2">
      <c r="A175" s="2">
        <v>43378</v>
      </c>
      <c r="B175" t="s">
        <v>146</v>
      </c>
      <c r="C175" t="s">
        <v>18</v>
      </c>
      <c r="D175" t="s">
        <v>89</v>
      </c>
      <c r="F175" t="s">
        <v>111</v>
      </c>
      <c r="G175" t="s">
        <v>91</v>
      </c>
      <c r="I175" s="2">
        <v>43468</v>
      </c>
      <c r="J175">
        <v>6444899020.5600004</v>
      </c>
      <c r="L175">
        <v>6444581118.3599997</v>
      </c>
      <c r="M175">
        <v>0.24296499999999999</v>
      </c>
      <c r="N175">
        <v>1.4903040000000001</v>
      </c>
      <c r="O175" t="s">
        <v>42</v>
      </c>
      <c r="P175" t="s">
        <v>23</v>
      </c>
      <c r="Q175" s="2">
        <v>43377</v>
      </c>
    </row>
    <row r="176" spans="1:17" x14ac:dyDescent="0.2">
      <c r="A176" s="2">
        <v>43378</v>
      </c>
      <c r="B176" t="s">
        <v>146</v>
      </c>
      <c r="C176" t="s">
        <v>18</v>
      </c>
      <c r="D176" t="s">
        <v>112</v>
      </c>
      <c r="F176" t="s">
        <v>220</v>
      </c>
      <c r="G176" t="s">
        <v>221</v>
      </c>
      <c r="H176" t="s">
        <v>29</v>
      </c>
      <c r="I176" s="2">
        <v>43792</v>
      </c>
      <c r="J176">
        <v>314577595.12</v>
      </c>
      <c r="K176">
        <v>3906925.47</v>
      </c>
      <c r="L176">
        <v>313000000</v>
      </c>
      <c r="M176">
        <v>1.0913109999999999</v>
      </c>
      <c r="N176">
        <v>3.35</v>
      </c>
      <c r="O176" t="s">
        <v>42</v>
      </c>
      <c r="P176" t="s">
        <v>23</v>
      </c>
      <c r="Q176" s="2">
        <v>42697</v>
      </c>
    </row>
    <row r="177" spans="1:17" x14ac:dyDescent="0.2">
      <c r="A177" s="2">
        <v>43378</v>
      </c>
      <c r="B177" t="s">
        <v>146</v>
      </c>
      <c r="C177" t="s">
        <v>18</v>
      </c>
      <c r="D177" t="s">
        <v>112</v>
      </c>
      <c r="F177" t="s">
        <v>222</v>
      </c>
      <c r="G177" t="s">
        <v>223</v>
      </c>
      <c r="H177" t="s">
        <v>59</v>
      </c>
      <c r="I177" s="2">
        <v>43795</v>
      </c>
      <c r="J177">
        <v>10002977.300000001</v>
      </c>
      <c r="K177">
        <v>78342.5</v>
      </c>
      <c r="L177">
        <v>10069952</v>
      </c>
      <c r="M177">
        <v>1.1120760000000001</v>
      </c>
      <c r="N177">
        <v>1.52</v>
      </c>
      <c r="O177" t="s">
        <v>42</v>
      </c>
      <c r="P177" t="s">
        <v>23</v>
      </c>
      <c r="Q177" s="2">
        <v>42881</v>
      </c>
    </row>
    <row r="178" spans="1:17" x14ac:dyDescent="0.2">
      <c r="A178" s="2">
        <v>43378</v>
      </c>
      <c r="B178" t="s">
        <v>146</v>
      </c>
      <c r="C178" t="s">
        <v>18</v>
      </c>
      <c r="D178" t="s">
        <v>112</v>
      </c>
      <c r="F178" t="s">
        <v>224</v>
      </c>
      <c r="G178" t="s">
        <v>125</v>
      </c>
      <c r="H178" t="s">
        <v>126</v>
      </c>
      <c r="I178" s="2">
        <v>43419</v>
      </c>
      <c r="J178">
        <v>500057015</v>
      </c>
      <c r="K178">
        <v>4953425</v>
      </c>
      <c r="L178">
        <v>500000000</v>
      </c>
      <c r="M178">
        <v>0.10942300000000001</v>
      </c>
      <c r="N178">
        <v>1.6</v>
      </c>
      <c r="O178" t="s">
        <v>42</v>
      </c>
      <c r="P178" t="s">
        <v>23</v>
      </c>
      <c r="Q178" s="2">
        <v>43153</v>
      </c>
    </row>
    <row r="179" spans="1:17" x14ac:dyDescent="0.2">
      <c r="A179" s="2">
        <v>43378</v>
      </c>
      <c r="B179" t="s">
        <v>146</v>
      </c>
      <c r="C179" t="s">
        <v>18</v>
      </c>
      <c r="D179" t="s">
        <v>112</v>
      </c>
      <c r="F179" t="s">
        <v>225</v>
      </c>
      <c r="G179" t="s">
        <v>125</v>
      </c>
      <c r="H179" t="s">
        <v>126</v>
      </c>
      <c r="I179" s="2">
        <v>43424</v>
      </c>
      <c r="J179">
        <v>500065185</v>
      </c>
      <c r="K179">
        <v>4865755</v>
      </c>
      <c r="L179">
        <v>500000000</v>
      </c>
      <c r="M179">
        <v>0.123075</v>
      </c>
      <c r="N179">
        <v>1.6</v>
      </c>
      <c r="O179" t="s">
        <v>42</v>
      </c>
      <c r="P179" t="s">
        <v>23</v>
      </c>
      <c r="Q179" s="2">
        <v>43157</v>
      </c>
    </row>
    <row r="180" spans="1:17" x14ac:dyDescent="0.2">
      <c r="A180" s="2">
        <v>43378</v>
      </c>
      <c r="B180" t="s">
        <v>146</v>
      </c>
      <c r="C180" t="s">
        <v>18</v>
      </c>
      <c r="D180" t="s">
        <v>112</v>
      </c>
      <c r="F180" t="s">
        <v>226</v>
      </c>
      <c r="G180" t="s">
        <v>125</v>
      </c>
      <c r="H180" t="s">
        <v>126</v>
      </c>
      <c r="I180" s="2">
        <v>43426</v>
      </c>
      <c r="J180">
        <v>500063410</v>
      </c>
      <c r="K180">
        <v>4843835</v>
      </c>
      <c r="L180">
        <v>500000000</v>
      </c>
      <c r="M180">
        <v>0.12853400000000001</v>
      </c>
      <c r="N180">
        <v>1.6</v>
      </c>
      <c r="O180" t="s">
        <v>42</v>
      </c>
      <c r="P180" t="s">
        <v>23</v>
      </c>
      <c r="Q180" s="2">
        <v>43158</v>
      </c>
    </row>
    <row r="181" spans="1:17" x14ac:dyDescent="0.2">
      <c r="A181" s="2">
        <v>43378</v>
      </c>
      <c r="B181" t="s">
        <v>146</v>
      </c>
      <c r="C181" t="s">
        <v>18</v>
      </c>
      <c r="D181" t="s">
        <v>112</v>
      </c>
      <c r="F181" t="s">
        <v>227</v>
      </c>
      <c r="G181" t="s">
        <v>125</v>
      </c>
      <c r="H181" t="s">
        <v>126</v>
      </c>
      <c r="I181" s="2">
        <v>43427</v>
      </c>
      <c r="J181">
        <v>500063080</v>
      </c>
      <c r="K181">
        <v>4843835</v>
      </c>
      <c r="L181">
        <v>500000000</v>
      </c>
      <c r="M181">
        <v>0.13126299999999999</v>
      </c>
      <c r="N181">
        <v>1.6</v>
      </c>
      <c r="O181" t="s">
        <v>42</v>
      </c>
      <c r="P181" t="s">
        <v>23</v>
      </c>
      <c r="Q181" s="2">
        <v>43158</v>
      </c>
    </row>
    <row r="182" spans="1:17" x14ac:dyDescent="0.2">
      <c r="A182" s="2">
        <v>43378</v>
      </c>
      <c r="B182" t="s">
        <v>146</v>
      </c>
      <c r="C182" t="s">
        <v>18</v>
      </c>
      <c r="D182" t="s">
        <v>112</v>
      </c>
      <c r="F182" t="s">
        <v>228</v>
      </c>
      <c r="G182" t="s">
        <v>125</v>
      </c>
      <c r="H182" t="s">
        <v>126</v>
      </c>
      <c r="I182" s="2">
        <v>43434</v>
      </c>
      <c r="J182">
        <v>130023012.59999999</v>
      </c>
      <c r="K182">
        <v>1213808.7</v>
      </c>
      <c r="L182">
        <v>130000000</v>
      </c>
      <c r="M182">
        <v>0.15035999999999999</v>
      </c>
      <c r="N182">
        <v>1.6</v>
      </c>
      <c r="O182" t="s">
        <v>42</v>
      </c>
      <c r="P182" t="s">
        <v>23</v>
      </c>
      <c r="Q182" s="2">
        <v>43166</v>
      </c>
    </row>
    <row r="183" spans="1:17" x14ac:dyDescent="0.2">
      <c r="A183" s="2">
        <v>43378</v>
      </c>
      <c r="B183" t="s">
        <v>146</v>
      </c>
      <c r="C183" t="s">
        <v>18</v>
      </c>
      <c r="D183" t="s">
        <v>112</v>
      </c>
      <c r="F183" t="s">
        <v>229</v>
      </c>
      <c r="G183" t="s">
        <v>125</v>
      </c>
      <c r="H183" t="s">
        <v>126</v>
      </c>
      <c r="I183" s="2">
        <v>43483</v>
      </c>
      <c r="J183">
        <v>200005440</v>
      </c>
      <c r="K183">
        <v>1446576</v>
      </c>
      <c r="L183">
        <v>200000000</v>
      </c>
      <c r="M183">
        <v>0.28365499999999999</v>
      </c>
      <c r="N183">
        <v>1.6</v>
      </c>
      <c r="O183" t="s">
        <v>42</v>
      </c>
      <c r="P183" t="s">
        <v>23</v>
      </c>
      <c r="Q183" s="2">
        <v>43214</v>
      </c>
    </row>
    <row r="184" spans="1:17" x14ac:dyDescent="0.2">
      <c r="A184" s="2">
        <v>43378</v>
      </c>
      <c r="B184" t="s">
        <v>146</v>
      </c>
      <c r="C184" t="s">
        <v>18</v>
      </c>
      <c r="D184" t="s">
        <v>112</v>
      </c>
      <c r="F184" t="s">
        <v>230</v>
      </c>
      <c r="G184" t="s">
        <v>125</v>
      </c>
      <c r="H184" t="s">
        <v>126</v>
      </c>
      <c r="I184" s="2">
        <v>43483</v>
      </c>
      <c r="J184">
        <v>850023290</v>
      </c>
      <c r="K184">
        <v>6110684</v>
      </c>
      <c r="L184">
        <v>850000000</v>
      </c>
      <c r="M184">
        <v>0.28365499999999999</v>
      </c>
      <c r="N184">
        <v>1.6</v>
      </c>
      <c r="O184" t="s">
        <v>42</v>
      </c>
      <c r="P184" t="s">
        <v>23</v>
      </c>
      <c r="Q184" s="2">
        <v>43215</v>
      </c>
    </row>
    <row r="185" spans="1:17" x14ac:dyDescent="0.2">
      <c r="A185" s="2">
        <v>43378</v>
      </c>
      <c r="B185" t="s">
        <v>146</v>
      </c>
      <c r="C185" t="s">
        <v>18</v>
      </c>
      <c r="D185" t="s">
        <v>112</v>
      </c>
      <c r="F185" t="s">
        <v>231</v>
      </c>
      <c r="G185" t="s">
        <v>125</v>
      </c>
      <c r="H185" t="s">
        <v>126</v>
      </c>
      <c r="I185" s="2">
        <v>43910</v>
      </c>
      <c r="J185">
        <v>917760247</v>
      </c>
      <c r="K185">
        <v>697422.25</v>
      </c>
      <c r="L185">
        <v>925000000</v>
      </c>
      <c r="M185">
        <v>1.4230510000000001</v>
      </c>
      <c r="N185">
        <v>1.72</v>
      </c>
      <c r="O185" t="s">
        <v>42</v>
      </c>
      <c r="P185" t="s">
        <v>23</v>
      </c>
      <c r="Q185" s="2">
        <v>43179</v>
      </c>
    </row>
    <row r="186" spans="1:17" x14ac:dyDescent="0.2">
      <c r="A186" s="2">
        <v>43378</v>
      </c>
      <c r="B186" t="s">
        <v>146</v>
      </c>
      <c r="C186" t="s">
        <v>18</v>
      </c>
      <c r="D186" t="s">
        <v>112</v>
      </c>
      <c r="F186" t="s">
        <v>232</v>
      </c>
      <c r="G186" t="s">
        <v>233</v>
      </c>
      <c r="H186" t="s">
        <v>126</v>
      </c>
      <c r="I186" s="2">
        <v>43738</v>
      </c>
      <c r="J186">
        <v>1153917982.03</v>
      </c>
      <c r="K186">
        <v>323882.55</v>
      </c>
      <c r="L186">
        <v>1159000000</v>
      </c>
      <c r="M186">
        <v>0.96479899999999996</v>
      </c>
      <c r="N186">
        <v>1.7</v>
      </c>
      <c r="O186" t="s">
        <v>42</v>
      </c>
      <c r="P186" t="s">
        <v>23</v>
      </c>
      <c r="Q186" s="2">
        <v>43189</v>
      </c>
    </row>
    <row r="187" spans="1:17" x14ac:dyDescent="0.2">
      <c r="A187" s="2">
        <v>43378</v>
      </c>
      <c r="B187" t="s">
        <v>146</v>
      </c>
      <c r="C187" t="s">
        <v>18</v>
      </c>
      <c r="D187" t="s">
        <v>112</v>
      </c>
      <c r="F187" t="s">
        <v>234</v>
      </c>
      <c r="G187" t="s">
        <v>233</v>
      </c>
      <c r="H187" t="s">
        <v>126</v>
      </c>
      <c r="I187" s="2">
        <v>43920</v>
      </c>
      <c r="J187">
        <v>158756664</v>
      </c>
      <c r="K187">
        <v>46027.199999999997</v>
      </c>
      <c r="L187">
        <v>160000000</v>
      </c>
      <c r="M187">
        <v>1.4498059999999999</v>
      </c>
      <c r="N187">
        <v>1.75</v>
      </c>
      <c r="O187" t="s">
        <v>42</v>
      </c>
      <c r="P187" t="s">
        <v>23</v>
      </c>
      <c r="Q187" s="2">
        <v>43189</v>
      </c>
    </row>
    <row r="188" spans="1:17" x14ac:dyDescent="0.2">
      <c r="A188" s="2">
        <v>43378</v>
      </c>
      <c r="B188" t="s">
        <v>146</v>
      </c>
      <c r="C188" t="s">
        <v>18</v>
      </c>
      <c r="D188" t="s">
        <v>112</v>
      </c>
      <c r="F188" t="s">
        <v>235</v>
      </c>
      <c r="G188" t="s">
        <v>81</v>
      </c>
      <c r="H188" t="s">
        <v>51</v>
      </c>
      <c r="I188" s="2">
        <v>43390</v>
      </c>
      <c r="J188">
        <v>70058934.400000006</v>
      </c>
      <c r="K188">
        <v>1494279.5</v>
      </c>
      <c r="L188">
        <v>70047040.700000003</v>
      </c>
      <c r="M188">
        <v>2.9918E-2</v>
      </c>
      <c r="N188">
        <v>2.0590000000000002</v>
      </c>
      <c r="O188" t="s">
        <v>42</v>
      </c>
      <c r="P188" t="s">
        <v>23</v>
      </c>
      <c r="Q188" s="2">
        <v>41564</v>
      </c>
    </row>
    <row r="189" spans="1:17" x14ac:dyDescent="0.2">
      <c r="A189" s="2">
        <v>43378</v>
      </c>
      <c r="B189" t="s">
        <v>146</v>
      </c>
      <c r="C189" t="s">
        <v>18</v>
      </c>
      <c r="D189" t="s">
        <v>112</v>
      </c>
      <c r="F189" t="s">
        <v>236</v>
      </c>
      <c r="G189" t="s">
        <v>237</v>
      </c>
      <c r="H189" t="s">
        <v>47</v>
      </c>
      <c r="I189" s="2">
        <v>43417</v>
      </c>
      <c r="J189">
        <v>13516320.560000001</v>
      </c>
      <c r="K189">
        <v>53526.559999999998</v>
      </c>
      <c r="L189">
        <v>13506408.32</v>
      </c>
      <c r="M189">
        <v>0.10373499999999999</v>
      </c>
      <c r="N189">
        <v>2.1649630000000002</v>
      </c>
      <c r="O189" t="s">
        <v>42</v>
      </c>
      <c r="P189" t="s">
        <v>23</v>
      </c>
      <c r="Q189" s="2">
        <v>42137</v>
      </c>
    </row>
    <row r="190" spans="1:17" x14ac:dyDescent="0.2">
      <c r="A190" s="2">
        <v>43378</v>
      </c>
      <c r="B190" t="s">
        <v>146</v>
      </c>
      <c r="C190" t="s">
        <v>18</v>
      </c>
      <c r="D190" t="s">
        <v>112</v>
      </c>
      <c r="F190" t="s">
        <v>238</v>
      </c>
      <c r="G190" t="s">
        <v>239</v>
      </c>
      <c r="H190" t="s">
        <v>126</v>
      </c>
      <c r="I190" s="2">
        <v>44260</v>
      </c>
      <c r="J190">
        <v>358962009.77999997</v>
      </c>
      <c r="K190">
        <v>665930.76</v>
      </c>
      <c r="L190">
        <v>363000000</v>
      </c>
      <c r="M190">
        <v>2.3269890000000002</v>
      </c>
      <c r="N190">
        <v>2.16</v>
      </c>
      <c r="O190" t="s">
        <v>42</v>
      </c>
      <c r="P190" t="s">
        <v>23</v>
      </c>
      <c r="Q190" s="2">
        <v>43164</v>
      </c>
    </row>
    <row r="191" spans="1:17" x14ac:dyDescent="0.2">
      <c r="A191" s="2">
        <v>43378</v>
      </c>
      <c r="B191" t="s">
        <v>146</v>
      </c>
      <c r="C191" t="s">
        <v>18</v>
      </c>
      <c r="D191" t="s">
        <v>112</v>
      </c>
      <c r="F191" t="s">
        <v>240</v>
      </c>
      <c r="G191" t="s">
        <v>26</v>
      </c>
      <c r="H191" t="s">
        <v>27</v>
      </c>
      <c r="I191" s="2">
        <v>43514</v>
      </c>
      <c r="J191">
        <v>616055421.51999998</v>
      </c>
      <c r="K191">
        <v>1350136.48</v>
      </c>
      <c r="L191">
        <v>616000000</v>
      </c>
      <c r="M191">
        <v>0.36772500000000002</v>
      </c>
      <c r="N191">
        <v>1.6</v>
      </c>
      <c r="O191" t="s">
        <v>42</v>
      </c>
      <c r="P191" t="s">
        <v>23</v>
      </c>
      <c r="Q191" s="2">
        <v>43329</v>
      </c>
    </row>
    <row r="192" spans="1:17" x14ac:dyDescent="0.2">
      <c r="A192" s="2">
        <v>43378</v>
      </c>
      <c r="B192" t="s">
        <v>146</v>
      </c>
      <c r="C192" t="s">
        <v>18</v>
      </c>
      <c r="D192" t="s">
        <v>112</v>
      </c>
      <c r="F192" t="s">
        <v>241</v>
      </c>
      <c r="G192" t="s">
        <v>84</v>
      </c>
      <c r="H192" t="s">
        <v>47</v>
      </c>
      <c r="I192" s="2">
        <v>44270</v>
      </c>
      <c r="J192">
        <v>111958847.38</v>
      </c>
      <c r="K192">
        <v>135879.10999999999</v>
      </c>
      <c r="L192">
        <v>113000000</v>
      </c>
      <c r="M192">
        <v>2.3575919999999999</v>
      </c>
      <c r="N192">
        <v>2.09</v>
      </c>
      <c r="O192" t="s">
        <v>42</v>
      </c>
      <c r="P192" t="s">
        <v>23</v>
      </c>
      <c r="Q192" s="2">
        <v>43174</v>
      </c>
    </row>
    <row r="193" spans="1:17" x14ac:dyDescent="0.2">
      <c r="A193" s="2">
        <v>43378</v>
      </c>
      <c r="B193" t="s">
        <v>146</v>
      </c>
      <c r="C193" t="s">
        <v>18</v>
      </c>
      <c r="D193" t="s">
        <v>112</v>
      </c>
      <c r="F193" t="s">
        <v>242</v>
      </c>
      <c r="G193" t="s">
        <v>243</v>
      </c>
      <c r="H193" t="s">
        <v>210</v>
      </c>
      <c r="I193" s="2">
        <v>43912</v>
      </c>
      <c r="J193">
        <v>446572606.5</v>
      </c>
      <c r="K193">
        <v>308961</v>
      </c>
      <c r="L193">
        <v>450000000</v>
      </c>
      <c r="M193">
        <v>1.4275819999999999</v>
      </c>
      <c r="N193">
        <v>1.79</v>
      </c>
      <c r="O193" t="s">
        <v>42</v>
      </c>
      <c r="P193" t="s">
        <v>23</v>
      </c>
      <c r="Q193" s="2">
        <v>43181</v>
      </c>
    </row>
    <row r="194" spans="1:17" x14ac:dyDescent="0.2">
      <c r="A194" s="2">
        <v>43378</v>
      </c>
      <c r="B194" t="s">
        <v>146</v>
      </c>
      <c r="C194" t="s">
        <v>18</v>
      </c>
      <c r="D194" t="s">
        <v>112</v>
      </c>
      <c r="F194" t="s">
        <v>244</v>
      </c>
      <c r="G194" t="s">
        <v>243</v>
      </c>
      <c r="H194" t="s">
        <v>210</v>
      </c>
      <c r="I194" s="2">
        <v>44277</v>
      </c>
      <c r="J194">
        <v>1479599556.6800001</v>
      </c>
      <c r="K194">
        <v>1206609.04</v>
      </c>
      <c r="L194">
        <v>1498138400.22</v>
      </c>
      <c r="M194">
        <v>2.3745889999999998</v>
      </c>
      <c r="N194">
        <v>2.0995659999999998</v>
      </c>
      <c r="O194" t="s">
        <v>42</v>
      </c>
      <c r="P194" t="s">
        <v>23</v>
      </c>
      <c r="Q194" s="2">
        <v>43181</v>
      </c>
    </row>
    <row r="195" spans="1:17" x14ac:dyDescent="0.2">
      <c r="A195" s="2">
        <v>43378</v>
      </c>
      <c r="B195" t="s">
        <v>146</v>
      </c>
      <c r="C195" t="s">
        <v>18</v>
      </c>
      <c r="D195" t="s">
        <v>112</v>
      </c>
      <c r="F195" t="s">
        <v>245</v>
      </c>
      <c r="G195" t="s">
        <v>246</v>
      </c>
      <c r="H195" t="s">
        <v>126</v>
      </c>
      <c r="I195" s="2">
        <v>43740</v>
      </c>
      <c r="J195">
        <v>165359809.47999999</v>
      </c>
      <c r="K195">
        <v>75937.58</v>
      </c>
      <c r="L195">
        <v>165983075.91</v>
      </c>
      <c r="M195">
        <v>0.96720600000000001</v>
      </c>
      <c r="N195">
        <v>1.7</v>
      </c>
      <c r="O195" t="s">
        <v>42</v>
      </c>
      <c r="P195" t="s">
        <v>23</v>
      </c>
      <c r="Q195" s="2">
        <v>41914</v>
      </c>
    </row>
    <row r="196" spans="1:17" x14ac:dyDescent="0.2">
      <c r="A196" s="2">
        <v>43378</v>
      </c>
      <c r="B196" t="s">
        <v>146</v>
      </c>
      <c r="C196" t="s">
        <v>18</v>
      </c>
      <c r="D196" t="s">
        <v>112</v>
      </c>
      <c r="F196" t="s">
        <v>247</v>
      </c>
      <c r="G196" t="s">
        <v>71</v>
      </c>
      <c r="H196" t="s">
        <v>47</v>
      </c>
      <c r="I196" s="2">
        <v>43433</v>
      </c>
      <c r="J196">
        <v>300153834</v>
      </c>
      <c r="K196">
        <v>1976712</v>
      </c>
      <c r="L196">
        <v>300000000</v>
      </c>
      <c r="M196">
        <v>0.14685500000000001</v>
      </c>
      <c r="N196">
        <v>1.85</v>
      </c>
      <c r="O196" t="s">
        <v>42</v>
      </c>
      <c r="P196" t="s">
        <v>23</v>
      </c>
      <c r="Q196" s="2">
        <v>42884</v>
      </c>
    </row>
    <row r="197" spans="1:17" x14ac:dyDescent="0.2">
      <c r="A197" s="2">
        <v>43378</v>
      </c>
      <c r="B197" t="s">
        <v>146</v>
      </c>
      <c r="C197" t="s">
        <v>18</v>
      </c>
      <c r="D197" t="s">
        <v>112</v>
      </c>
      <c r="F197" t="s">
        <v>248</v>
      </c>
      <c r="G197" t="s">
        <v>71</v>
      </c>
      <c r="H197" t="s">
        <v>47</v>
      </c>
      <c r="I197" s="2">
        <v>43686</v>
      </c>
      <c r="J197">
        <v>623218825</v>
      </c>
      <c r="K197">
        <v>1668493.75</v>
      </c>
      <c r="L197">
        <v>625000000</v>
      </c>
      <c r="M197">
        <v>0.83265500000000003</v>
      </c>
      <c r="N197">
        <v>1.68</v>
      </c>
      <c r="O197" t="s">
        <v>42</v>
      </c>
      <c r="P197" t="s">
        <v>23</v>
      </c>
      <c r="Q197" s="2">
        <v>43140</v>
      </c>
    </row>
    <row r="198" spans="1:17" x14ac:dyDescent="0.2">
      <c r="A198" s="2">
        <v>43378</v>
      </c>
      <c r="B198" t="s">
        <v>146</v>
      </c>
      <c r="C198" t="s">
        <v>18</v>
      </c>
      <c r="D198" t="s">
        <v>112</v>
      </c>
      <c r="F198" t="s">
        <v>249</v>
      </c>
      <c r="G198" t="s">
        <v>71</v>
      </c>
      <c r="H198" t="s">
        <v>47</v>
      </c>
      <c r="I198" s="2">
        <v>43972</v>
      </c>
      <c r="J198">
        <v>18903164.41</v>
      </c>
      <c r="K198">
        <v>125712.36</v>
      </c>
      <c r="L198">
        <v>19000000</v>
      </c>
      <c r="M198">
        <v>1.583709</v>
      </c>
      <c r="N198">
        <v>1.75</v>
      </c>
      <c r="O198" t="s">
        <v>42</v>
      </c>
      <c r="P198" t="s">
        <v>23</v>
      </c>
      <c r="Q198" s="2">
        <v>43241</v>
      </c>
    </row>
    <row r="199" spans="1:17" x14ac:dyDescent="0.2">
      <c r="A199" s="2">
        <v>43378</v>
      </c>
      <c r="B199" t="s">
        <v>146</v>
      </c>
      <c r="C199" t="s">
        <v>18</v>
      </c>
      <c r="D199" t="s">
        <v>112</v>
      </c>
      <c r="F199" t="s">
        <v>250</v>
      </c>
      <c r="G199" t="s">
        <v>251</v>
      </c>
      <c r="H199" t="s">
        <v>29</v>
      </c>
      <c r="I199" s="2">
        <v>43518</v>
      </c>
      <c r="J199">
        <v>5450917780</v>
      </c>
      <c r="K199">
        <v>95056938</v>
      </c>
      <c r="L199">
        <v>5450000000</v>
      </c>
      <c r="M199">
        <v>0.37696299999999999</v>
      </c>
      <c r="N199">
        <v>2.78</v>
      </c>
      <c r="O199" t="s">
        <v>42</v>
      </c>
      <c r="P199" t="s">
        <v>23</v>
      </c>
      <c r="Q199" s="2">
        <v>43150</v>
      </c>
    </row>
    <row r="200" spans="1:17" x14ac:dyDescent="0.2">
      <c r="A200" s="2">
        <v>43378</v>
      </c>
      <c r="B200" t="s">
        <v>146</v>
      </c>
      <c r="C200" t="s">
        <v>18</v>
      </c>
      <c r="D200" t="s">
        <v>112</v>
      </c>
      <c r="F200" t="s">
        <v>252</v>
      </c>
      <c r="G200" t="s">
        <v>253</v>
      </c>
      <c r="H200" t="s">
        <v>29</v>
      </c>
      <c r="I200" s="2">
        <v>43494</v>
      </c>
      <c r="J200">
        <v>498110302.01999998</v>
      </c>
      <c r="K200">
        <v>4110885.42</v>
      </c>
      <c r="L200">
        <v>498000000</v>
      </c>
      <c r="M200">
        <v>0.31288899999999997</v>
      </c>
      <c r="N200">
        <v>2.2999999999999998</v>
      </c>
      <c r="O200" t="s">
        <v>42</v>
      </c>
      <c r="P200" t="s">
        <v>23</v>
      </c>
      <c r="Q200" s="2">
        <v>43248</v>
      </c>
    </row>
    <row r="201" spans="1:17" x14ac:dyDescent="0.2">
      <c r="A201" s="2">
        <v>43378</v>
      </c>
      <c r="B201" t="s">
        <v>146</v>
      </c>
      <c r="C201" t="s">
        <v>18</v>
      </c>
      <c r="D201" t="s">
        <v>112</v>
      </c>
      <c r="F201" t="s">
        <v>254</v>
      </c>
      <c r="G201" t="s">
        <v>253</v>
      </c>
      <c r="H201" t="s">
        <v>29</v>
      </c>
      <c r="I201" s="2">
        <v>44410</v>
      </c>
      <c r="J201">
        <v>1367078296.3199999</v>
      </c>
      <c r="K201">
        <v>9013806.7200000007</v>
      </c>
      <c r="L201">
        <v>1368000000</v>
      </c>
      <c r="M201">
        <v>2.652533</v>
      </c>
      <c r="N201">
        <v>3.7</v>
      </c>
      <c r="O201" t="s">
        <v>42</v>
      </c>
      <c r="P201" t="s">
        <v>23</v>
      </c>
      <c r="Q201" s="2">
        <v>43314</v>
      </c>
    </row>
    <row r="202" spans="1:17" x14ac:dyDescent="0.2">
      <c r="A202" s="2">
        <v>43378</v>
      </c>
      <c r="B202" t="s">
        <v>146</v>
      </c>
      <c r="C202" t="s">
        <v>18</v>
      </c>
      <c r="D202" t="s">
        <v>112</v>
      </c>
      <c r="F202" t="s">
        <v>255</v>
      </c>
      <c r="G202" t="s">
        <v>256</v>
      </c>
      <c r="H202" t="s">
        <v>126</v>
      </c>
      <c r="I202" s="2">
        <v>44313</v>
      </c>
      <c r="J202">
        <v>69445782.700000003</v>
      </c>
      <c r="K202">
        <v>325432.8</v>
      </c>
      <c r="L202">
        <v>70000000</v>
      </c>
      <c r="M202">
        <v>2.4602119999999998</v>
      </c>
      <c r="N202">
        <v>2.39</v>
      </c>
      <c r="O202" t="s">
        <v>42</v>
      </c>
      <c r="P202" t="s">
        <v>23</v>
      </c>
      <c r="Q202" s="2">
        <v>43217</v>
      </c>
    </row>
    <row r="203" spans="1:17" x14ac:dyDescent="0.2">
      <c r="A203" s="2">
        <v>43378</v>
      </c>
      <c r="B203" t="s">
        <v>146</v>
      </c>
      <c r="C203" t="s">
        <v>18</v>
      </c>
      <c r="D203" t="s">
        <v>112</v>
      </c>
      <c r="F203" t="s">
        <v>257</v>
      </c>
      <c r="G203" t="s">
        <v>258</v>
      </c>
      <c r="H203" t="s">
        <v>47</v>
      </c>
      <c r="I203" s="2">
        <v>44285</v>
      </c>
      <c r="J203">
        <v>260199305.44</v>
      </c>
      <c r="K203">
        <v>97335.62</v>
      </c>
      <c r="L203">
        <v>262000000</v>
      </c>
      <c r="M203">
        <v>2.4050220000000002</v>
      </c>
      <c r="N203">
        <v>2.2599999999999998</v>
      </c>
      <c r="O203" t="s">
        <v>42</v>
      </c>
      <c r="P203" t="s">
        <v>23</v>
      </c>
      <c r="Q203" s="2">
        <v>43189</v>
      </c>
    </row>
    <row r="204" spans="1:17" x14ac:dyDescent="0.2">
      <c r="A204" s="2">
        <v>43378</v>
      </c>
      <c r="B204" t="s">
        <v>146</v>
      </c>
      <c r="C204" t="s">
        <v>18</v>
      </c>
      <c r="D204" t="s">
        <v>112</v>
      </c>
      <c r="F204" t="s">
        <v>259</v>
      </c>
      <c r="G204" t="s">
        <v>260</v>
      </c>
      <c r="H204" t="s">
        <v>126</v>
      </c>
      <c r="I204" s="2">
        <v>44061</v>
      </c>
      <c r="J204">
        <v>393507402.60000002</v>
      </c>
      <c r="K204">
        <v>1743459.9</v>
      </c>
      <c r="L204">
        <v>390000000</v>
      </c>
      <c r="M204">
        <v>1.7961739999999999</v>
      </c>
      <c r="N204">
        <v>3.33</v>
      </c>
      <c r="O204" t="s">
        <v>42</v>
      </c>
      <c r="P204" t="s">
        <v>23</v>
      </c>
      <c r="Q204" s="2">
        <v>42965</v>
      </c>
    </row>
    <row r="205" spans="1:17" x14ac:dyDescent="0.2">
      <c r="A205" s="2">
        <v>43378</v>
      </c>
      <c r="B205" t="s">
        <v>146</v>
      </c>
      <c r="C205" t="s">
        <v>18</v>
      </c>
      <c r="D205" t="s">
        <v>112</v>
      </c>
      <c r="F205" t="s">
        <v>261</v>
      </c>
      <c r="G205" t="s">
        <v>262</v>
      </c>
      <c r="H205" t="s">
        <v>51</v>
      </c>
      <c r="I205" s="2">
        <v>43454</v>
      </c>
      <c r="J205">
        <v>15093462</v>
      </c>
      <c r="K205">
        <v>203720.55</v>
      </c>
      <c r="L205">
        <v>15078844.949999999</v>
      </c>
      <c r="M205">
        <v>0.20392399999999999</v>
      </c>
      <c r="N205">
        <v>1.97</v>
      </c>
      <c r="O205" t="s">
        <v>42</v>
      </c>
      <c r="P205" t="s">
        <v>23</v>
      </c>
      <c r="Q205" s="2">
        <v>40897</v>
      </c>
    </row>
    <row r="206" spans="1:17" x14ac:dyDescent="0.2">
      <c r="A206" s="2">
        <v>43378</v>
      </c>
      <c r="B206" t="s">
        <v>146</v>
      </c>
      <c r="C206" t="s">
        <v>18</v>
      </c>
      <c r="D206" t="s">
        <v>112</v>
      </c>
      <c r="F206" t="s">
        <v>263</v>
      </c>
      <c r="G206" t="s">
        <v>264</v>
      </c>
      <c r="H206" t="s">
        <v>51</v>
      </c>
      <c r="I206" s="2">
        <v>43990</v>
      </c>
      <c r="J206">
        <v>50054040</v>
      </c>
      <c r="K206">
        <v>445479.5</v>
      </c>
      <c r="L206">
        <v>50747989.5</v>
      </c>
      <c r="M206">
        <v>1.61161</v>
      </c>
      <c r="N206">
        <v>1.7949999999999999</v>
      </c>
      <c r="O206" t="s">
        <v>42</v>
      </c>
      <c r="P206" t="s">
        <v>23</v>
      </c>
      <c r="Q206" s="2">
        <v>42712</v>
      </c>
    </row>
    <row r="207" spans="1:17" x14ac:dyDescent="0.2">
      <c r="A207" s="2">
        <v>43378</v>
      </c>
      <c r="B207" t="s">
        <v>146</v>
      </c>
      <c r="C207" t="s">
        <v>18</v>
      </c>
      <c r="D207" t="s">
        <v>112</v>
      </c>
      <c r="F207" t="s">
        <v>265</v>
      </c>
      <c r="G207" t="s">
        <v>266</v>
      </c>
      <c r="H207" t="s">
        <v>47</v>
      </c>
      <c r="I207" s="2">
        <v>43783</v>
      </c>
      <c r="J207">
        <v>8131423.3600000003</v>
      </c>
      <c r="K207">
        <v>111868.48</v>
      </c>
      <c r="L207">
        <v>8153292.6399999997</v>
      </c>
      <c r="M207">
        <v>1.070675</v>
      </c>
      <c r="N207">
        <v>1.75</v>
      </c>
      <c r="O207" t="s">
        <v>42</v>
      </c>
      <c r="P207" t="s">
        <v>23</v>
      </c>
      <c r="Q207" s="2">
        <v>41957</v>
      </c>
    </row>
    <row r="208" spans="1:17" x14ac:dyDescent="0.2">
      <c r="A208" s="2">
        <v>43378</v>
      </c>
      <c r="B208" t="s">
        <v>146</v>
      </c>
      <c r="C208" t="s">
        <v>18</v>
      </c>
      <c r="D208" t="s">
        <v>112</v>
      </c>
      <c r="F208" t="s">
        <v>113</v>
      </c>
      <c r="G208" t="s">
        <v>114</v>
      </c>
      <c r="H208" t="s">
        <v>51</v>
      </c>
      <c r="I208" s="2">
        <v>43404</v>
      </c>
      <c r="J208">
        <v>40077914</v>
      </c>
      <c r="K208">
        <v>818958.8</v>
      </c>
      <c r="L208">
        <v>40054197.600000001</v>
      </c>
      <c r="M208">
        <v>6.7990999999999996E-2</v>
      </c>
      <c r="N208">
        <v>2.4</v>
      </c>
      <c r="O208" t="s">
        <v>42</v>
      </c>
      <c r="P208" t="s">
        <v>23</v>
      </c>
      <c r="Q208" s="2">
        <v>41578</v>
      </c>
    </row>
    <row r="209" spans="1:17" x14ac:dyDescent="0.2">
      <c r="A209" s="2">
        <v>43378</v>
      </c>
      <c r="B209" t="s">
        <v>146</v>
      </c>
      <c r="C209" t="s">
        <v>18</v>
      </c>
      <c r="D209" t="s">
        <v>112</v>
      </c>
      <c r="F209" t="s">
        <v>267</v>
      </c>
      <c r="G209" t="s">
        <v>114</v>
      </c>
      <c r="H209" t="s">
        <v>51</v>
      </c>
      <c r="I209" s="2">
        <v>43551</v>
      </c>
      <c r="J209">
        <v>1011602.3</v>
      </c>
      <c r="K209">
        <v>1060.27</v>
      </c>
      <c r="L209">
        <v>1008080.29</v>
      </c>
      <c r="M209">
        <v>0.46690799999999999</v>
      </c>
      <c r="N209">
        <v>2.6</v>
      </c>
      <c r="O209" t="s">
        <v>42</v>
      </c>
      <c r="P209" t="s">
        <v>23</v>
      </c>
      <c r="Q209" s="2">
        <v>41725</v>
      </c>
    </row>
    <row r="210" spans="1:17" x14ac:dyDescent="0.2">
      <c r="A210" s="2">
        <v>43378</v>
      </c>
      <c r="B210" t="s">
        <v>146</v>
      </c>
      <c r="C210" t="s">
        <v>18</v>
      </c>
      <c r="D210" t="s">
        <v>112</v>
      </c>
      <c r="F210" t="s">
        <v>268</v>
      </c>
      <c r="G210" t="s">
        <v>269</v>
      </c>
      <c r="H210" t="s">
        <v>29</v>
      </c>
      <c r="I210" s="2">
        <v>43434</v>
      </c>
      <c r="J210">
        <v>70041538.700000003</v>
      </c>
      <c r="K210">
        <v>576435.30000000005</v>
      </c>
      <c r="L210">
        <v>70000000</v>
      </c>
      <c r="M210">
        <v>0.14931</v>
      </c>
      <c r="N210">
        <v>2.33</v>
      </c>
      <c r="O210" t="s">
        <v>42</v>
      </c>
      <c r="P210" t="s">
        <v>23</v>
      </c>
      <c r="Q210" s="2">
        <v>43069</v>
      </c>
    </row>
    <row r="211" spans="1:17" x14ac:dyDescent="0.2">
      <c r="A211" s="2">
        <v>43378</v>
      </c>
      <c r="B211" t="s">
        <v>146</v>
      </c>
      <c r="C211" t="s">
        <v>18</v>
      </c>
      <c r="D211" t="s">
        <v>112</v>
      </c>
      <c r="F211" t="s">
        <v>270</v>
      </c>
      <c r="G211" t="s">
        <v>269</v>
      </c>
      <c r="H211" t="s">
        <v>29</v>
      </c>
      <c r="I211" s="2">
        <v>44165</v>
      </c>
      <c r="J211">
        <v>68499779.670000002</v>
      </c>
      <c r="K211">
        <v>751098.12</v>
      </c>
      <c r="L211">
        <v>69000000</v>
      </c>
      <c r="M211">
        <v>2.040683</v>
      </c>
      <c r="N211">
        <v>3.08</v>
      </c>
      <c r="O211" t="s">
        <v>42</v>
      </c>
      <c r="P211" t="s">
        <v>23</v>
      </c>
      <c r="Q211" s="2">
        <v>43069</v>
      </c>
    </row>
    <row r="212" spans="1:17" x14ac:dyDescent="0.2">
      <c r="A212" s="2">
        <v>43378</v>
      </c>
      <c r="B212" t="s">
        <v>146</v>
      </c>
      <c r="C212" t="s">
        <v>18</v>
      </c>
      <c r="D212" t="s">
        <v>271</v>
      </c>
      <c r="F212" t="s">
        <v>272</v>
      </c>
      <c r="G212" t="s">
        <v>273</v>
      </c>
      <c r="H212" t="s">
        <v>47</v>
      </c>
      <c r="I212" s="2">
        <v>43531</v>
      </c>
      <c r="J212">
        <v>3286000000</v>
      </c>
      <c r="K212">
        <v>56965548.329999998</v>
      </c>
      <c r="L212">
        <v>3286000000</v>
      </c>
      <c r="M212">
        <v>0.41977300000000001</v>
      </c>
      <c r="N212">
        <v>2.93</v>
      </c>
      <c r="O212" t="s">
        <v>42</v>
      </c>
      <c r="P212" t="s">
        <v>37</v>
      </c>
      <c r="Q212" s="2">
        <v>43166</v>
      </c>
    </row>
    <row r="213" spans="1:17" x14ac:dyDescent="0.2">
      <c r="A213" s="2">
        <v>43378</v>
      </c>
      <c r="B213" t="s">
        <v>146</v>
      </c>
      <c r="C213" t="s">
        <v>18</v>
      </c>
      <c r="D213" t="s">
        <v>271</v>
      </c>
      <c r="F213" t="s">
        <v>274</v>
      </c>
      <c r="G213" t="s">
        <v>273</v>
      </c>
      <c r="H213" t="s">
        <v>47</v>
      </c>
      <c r="I213" s="2">
        <v>43593</v>
      </c>
      <c r="J213">
        <v>2628800000</v>
      </c>
      <c r="K213">
        <v>36166446.219999999</v>
      </c>
      <c r="L213">
        <v>2628800000</v>
      </c>
      <c r="M213">
        <v>0.58574800000000005</v>
      </c>
      <c r="N213">
        <v>3.28</v>
      </c>
      <c r="O213" t="s">
        <v>42</v>
      </c>
      <c r="P213" t="s">
        <v>37</v>
      </c>
      <c r="Q213" s="2">
        <v>43228</v>
      </c>
    </row>
    <row r="214" spans="1:17" x14ac:dyDescent="0.2">
      <c r="A214" s="2">
        <v>43378</v>
      </c>
      <c r="B214" t="s">
        <v>146</v>
      </c>
      <c r="C214" t="s">
        <v>18</v>
      </c>
      <c r="D214" t="s">
        <v>271</v>
      </c>
      <c r="F214" t="s">
        <v>275</v>
      </c>
      <c r="G214" t="s">
        <v>273</v>
      </c>
      <c r="H214" t="s">
        <v>47</v>
      </c>
      <c r="I214" s="2">
        <v>43564</v>
      </c>
      <c r="J214">
        <v>3286000000</v>
      </c>
      <c r="K214">
        <v>51918800</v>
      </c>
      <c r="L214">
        <v>3286000000</v>
      </c>
      <c r="M214">
        <v>0.50836700000000001</v>
      </c>
      <c r="N214">
        <v>3.16</v>
      </c>
      <c r="O214" t="s">
        <v>42</v>
      </c>
      <c r="P214" t="s">
        <v>37</v>
      </c>
      <c r="Q214" s="2">
        <v>43199</v>
      </c>
    </row>
    <row r="215" spans="1:17" x14ac:dyDescent="0.2">
      <c r="A215" s="2">
        <v>43378</v>
      </c>
      <c r="B215" t="s">
        <v>146</v>
      </c>
      <c r="C215" t="s">
        <v>18</v>
      </c>
      <c r="D215" t="s">
        <v>271</v>
      </c>
      <c r="F215" t="s">
        <v>276</v>
      </c>
      <c r="G215" t="s">
        <v>273</v>
      </c>
      <c r="H215" t="s">
        <v>47</v>
      </c>
      <c r="I215" s="2">
        <v>43598</v>
      </c>
      <c r="J215">
        <v>2628800000</v>
      </c>
      <c r="K215">
        <v>35905026.670000002</v>
      </c>
      <c r="L215">
        <v>2628800000</v>
      </c>
      <c r="M215">
        <v>0.59903099999999998</v>
      </c>
      <c r="N215">
        <v>3.3</v>
      </c>
      <c r="O215" t="s">
        <v>42</v>
      </c>
      <c r="P215" t="s">
        <v>37</v>
      </c>
      <c r="Q215" s="2">
        <v>43230</v>
      </c>
    </row>
    <row r="216" spans="1:17" x14ac:dyDescent="0.2">
      <c r="A216" s="2">
        <v>43378</v>
      </c>
      <c r="B216" t="s">
        <v>146</v>
      </c>
      <c r="C216" t="s">
        <v>18</v>
      </c>
      <c r="D216" t="s">
        <v>271</v>
      </c>
      <c r="F216" t="s">
        <v>277</v>
      </c>
      <c r="G216" t="s">
        <v>273</v>
      </c>
      <c r="H216" t="s">
        <v>47</v>
      </c>
      <c r="I216" s="2">
        <v>43545</v>
      </c>
      <c r="J216">
        <v>3021672000</v>
      </c>
      <c r="K216">
        <v>818369.5</v>
      </c>
      <c r="L216">
        <v>3021672000</v>
      </c>
      <c r="M216">
        <v>0.461005</v>
      </c>
      <c r="N216">
        <v>0.05</v>
      </c>
      <c r="O216" t="s">
        <v>42</v>
      </c>
      <c r="P216" t="s">
        <v>31</v>
      </c>
      <c r="Q216" s="2">
        <v>43180</v>
      </c>
    </row>
    <row r="217" spans="1:17" x14ac:dyDescent="0.2">
      <c r="A217" s="2">
        <v>43378</v>
      </c>
      <c r="B217" t="s">
        <v>146</v>
      </c>
      <c r="C217" t="s">
        <v>116</v>
      </c>
      <c r="D217" t="s">
        <v>117</v>
      </c>
      <c r="F217" t="s">
        <v>278</v>
      </c>
      <c r="G217" t="s">
        <v>26</v>
      </c>
      <c r="H217" t="s">
        <v>27</v>
      </c>
      <c r="I217" s="2">
        <v>43452</v>
      </c>
      <c r="J217">
        <v>-64632247.509999998</v>
      </c>
      <c r="L217">
        <v>0</v>
      </c>
      <c r="M217">
        <v>0</v>
      </c>
      <c r="N217">
        <v>0</v>
      </c>
      <c r="O217" t="s">
        <v>119</v>
      </c>
      <c r="P217" t="s">
        <v>23</v>
      </c>
      <c r="Q217" s="2">
        <v>2</v>
      </c>
    </row>
    <row r="218" spans="1:17" x14ac:dyDescent="0.2">
      <c r="A218" s="2">
        <v>43378</v>
      </c>
      <c r="B218" t="s">
        <v>146</v>
      </c>
      <c r="C218" t="s">
        <v>116</v>
      </c>
      <c r="D218" t="s">
        <v>117</v>
      </c>
      <c r="F218" t="s">
        <v>279</v>
      </c>
      <c r="G218" t="s">
        <v>26</v>
      </c>
      <c r="H218" t="s">
        <v>27</v>
      </c>
      <c r="I218" s="2">
        <v>43441</v>
      </c>
      <c r="J218">
        <v>85327479.450000003</v>
      </c>
      <c r="L218">
        <v>0</v>
      </c>
      <c r="M218">
        <v>0</v>
      </c>
      <c r="N218">
        <v>0</v>
      </c>
      <c r="O218" t="s">
        <v>119</v>
      </c>
      <c r="P218" t="s">
        <v>23</v>
      </c>
      <c r="Q218" s="2">
        <v>2</v>
      </c>
    </row>
    <row r="219" spans="1:17" x14ac:dyDescent="0.2">
      <c r="A219" s="2">
        <v>43378</v>
      </c>
      <c r="B219" t="s">
        <v>146</v>
      </c>
      <c r="C219" t="s">
        <v>116</v>
      </c>
      <c r="D219" t="s">
        <v>117</v>
      </c>
      <c r="F219" t="s">
        <v>280</v>
      </c>
      <c r="G219" t="s">
        <v>26</v>
      </c>
      <c r="H219" t="s">
        <v>27</v>
      </c>
      <c r="I219" s="2">
        <v>43409</v>
      </c>
      <c r="J219">
        <v>36803330.259999998</v>
      </c>
      <c r="L219">
        <v>0</v>
      </c>
      <c r="M219">
        <v>0</v>
      </c>
      <c r="N219">
        <v>0</v>
      </c>
      <c r="O219" t="s">
        <v>119</v>
      </c>
      <c r="P219" t="s">
        <v>23</v>
      </c>
      <c r="Q219" s="2">
        <v>2</v>
      </c>
    </row>
    <row r="220" spans="1:17" x14ac:dyDescent="0.2">
      <c r="A220" s="2">
        <v>43378</v>
      </c>
      <c r="B220" t="s">
        <v>146</v>
      </c>
      <c r="C220" t="s">
        <v>116</v>
      </c>
      <c r="D220" t="s">
        <v>117</v>
      </c>
      <c r="F220" t="s">
        <v>281</v>
      </c>
      <c r="G220" t="s">
        <v>26</v>
      </c>
      <c r="H220" t="s">
        <v>27</v>
      </c>
      <c r="I220" s="2">
        <v>43496</v>
      </c>
      <c r="J220">
        <v>148590981.41999999</v>
      </c>
      <c r="L220">
        <v>0</v>
      </c>
      <c r="M220">
        <v>0</v>
      </c>
      <c r="N220">
        <v>0</v>
      </c>
      <c r="O220" t="s">
        <v>119</v>
      </c>
      <c r="P220" t="s">
        <v>23</v>
      </c>
      <c r="Q220" s="2">
        <v>2</v>
      </c>
    </row>
    <row r="221" spans="1:17" x14ac:dyDescent="0.2">
      <c r="A221" s="2">
        <v>43378</v>
      </c>
      <c r="B221" t="s">
        <v>146</v>
      </c>
      <c r="C221" t="s">
        <v>116</v>
      </c>
      <c r="D221" t="s">
        <v>117</v>
      </c>
      <c r="F221" t="s">
        <v>282</v>
      </c>
      <c r="G221" t="s">
        <v>26</v>
      </c>
      <c r="H221" t="s">
        <v>27</v>
      </c>
      <c r="I221" s="2">
        <v>43497</v>
      </c>
      <c r="J221">
        <v>140096426.59</v>
      </c>
      <c r="L221">
        <v>0</v>
      </c>
      <c r="M221">
        <v>0</v>
      </c>
      <c r="N221">
        <v>0</v>
      </c>
      <c r="O221" t="s">
        <v>119</v>
      </c>
      <c r="P221" t="s">
        <v>23</v>
      </c>
      <c r="Q221" s="2">
        <v>2</v>
      </c>
    </row>
    <row r="222" spans="1:17" x14ac:dyDescent="0.2">
      <c r="A222" s="2">
        <v>43378</v>
      </c>
      <c r="B222" t="s">
        <v>146</v>
      </c>
      <c r="C222" t="s">
        <v>116</v>
      </c>
      <c r="D222" t="s">
        <v>117</v>
      </c>
      <c r="F222" t="s">
        <v>283</v>
      </c>
      <c r="G222" t="s">
        <v>26</v>
      </c>
      <c r="H222" t="s">
        <v>27</v>
      </c>
      <c r="I222" s="2">
        <v>43509</v>
      </c>
      <c r="J222">
        <v>131628749.44</v>
      </c>
      <c r="L222">
        <v>0</v>
      </c>
      <c r="M222">
        <v>0</v>
      </c>
      <c r="N222">
        <v>0</v>
      </c>
      <c r="O222" t="s">
        <v>119</v>
      </c>
      <c r="P222" t="s">
        <v>23</v>
      </c>
      <c r="Q222" s="2">
        <v>2</v>
      </c>
    </row>
    <row r="223" spans="1:17" x14ac:dyDescent="0.2">
      <c r="A223" s="2">
        <v>43378</v>
      </c>
      <c r="B223" t="s">
        <v>146</v>
      </c>
      <c r="C223" t="s">
        <v>116</v>
      </c>
      <c r="D223" t="s">
        <v>117</v>
      </c>
      <c r="F223" t="s">
        <v>284</v>
      </c>
      <c r="G223" t="s">
        <v>26</v>
      </c>
      <c r="H223" t="s">
        <v>27</v>
      </c>
      <c r="I223" s="2">
        <v>43530</v>
      </c>
      <c r="J223">
        <v>104483479.45</v>
      </c>
      <c r="L223">
        <v>0</v>
      </c>
      <c r="M223">
        <v>0</v>
      </c>
      <c r="N223">
        <v>0</v>
      </c>
      <c r="O223" t="s">
        <v>119</v>
      </c>
      <c r="P223" t="s">
        <v>23</v>
      </c>
      <c r="Q223" s="2">
        <v>2</v>
      </c>
    </row>
    <row r="224" spans="1:17" x14ac:dyDescent="0.2">
      <c r="A224" s="2">
        <v>43378</v>
      </c>
      <c r="B224" t="s">
        <v>146</v>
      </c>
      <c r="C224" t="s">
        <v>116</v>
      </c>
      <c r="D224" t="s">
        <v>117</v>
      </c>
      <c r="F224" t="s">
        <v>285</v>
      </c>
      <c r="G224" t="s">
        <v>26</v>
      </c>
      <c r="H224" t="s">
        <v>27</v>
      </c>
      <c r="I224" s="2">
        <v>43545</v>
      </c>
      <c r="J224">
        <v>48228639.25</v>
      </c>
      <c r="L224">
        <v>0</v>
      </c>
      <c r="M224">
        <v>0</v>
      </c>
      <c r="N224">
        <v>0</v>
      </c>
      <c r="O224" t="s">
        <v>119</v>
      </c>
      <c r="P224" t="s">
        <v>23</v>
      </c>
      <c r="Q224" s="2">
        <v>2</v>
      </c>
    </row>
    <row r="225" spans="1:17" x14ac:dyDescent="0.2">
      <c r="A225" s="2">
        <v>43378</v>
      </c>
      <c r="B225" t="s">
        <v>146</v>
      </c>
      <c r="C225" t="s">
        <v>116</v>
      </c>
      <c r="D225" t="s">
        <v>117</v>
      </c>
      <c r="F225" t="s">
        <v>286</v>
      </c>
      <c r="G225" t="s">
        <v>125</v>
      </c>
      <c r="H225" t="s">
        <v>126</v>
      </c>
      <c r="I225" s="2">
        <v>43546</v>
      </c>
      <c r="J225">
        <v>17108127.859999999</v>
      </c>
      <c r="L225">
        <v>0</v>
      </c>
      <c r="M225">
        <v>0</v>
      </c>
      <c r="N225">
        <v>0</v>
      </c>
      <c r="O225" t="s">
        <v>119</v>
      </c>
      <c r="P225" t="s">
        <v>23</v>
      </c>
      <c r="Q225" s="2">
        <v>2</v>
      </c>
    </row>
    <row r="226" spans="1:17" x14ac:dyDescent="0.2">
      <c r="A226" s="2">
        <v>43378</v>
      </c>
      <c r="B226" t="s">
        <v>146</v>
      </c>
      <c r="C226" t="s">
        <v>116</v>
      </c>
      <c r="D226" t="s">
        <v>117</v>
      </c>
      <c r="F226" t="s">
        <v>287</v>
      </c>
      <c r="G226" t="s">
        <v>26</v>
      </c>
      <c r="H226" t="s">
        <v>27</v>
      </c>
      <c r="I226" s="2">
        <v>43551</v>
      </c>
      <c r="J226">
        <v>56846101.170000002</v>
      </c>
      <c r="L226">
        <v>0</v>
      </c>
      <c r="M226">
        <v>0</v>
      </c>
      <c r="N226">
        <v>0</v>
      </c>
      <c r="O226" t="s">
        <v>119</v>
      </c>
      <c r="P226" t="s">
        <v>23</v>
      </c>
      <c r="Q226" s="2">
        <v>2</v>
      </c>
    </row>
    <row r="227" spans="1:17" x14ac:dyDescent="0.2">
      <c r="A227" s="2">
        <v>43378</v>
      </c>
      <c r="B227" t="s">
        <v>146</v>
      </c>
      <c r="C227" t="s">
        <v>116</v>
      </c>
      <c r="D227" t="s">
        <v>117</v>
      </c>
      <c r="F227" t="s">
        <v>288</v>
      </c>
      <c r="G227" t="s">
        <v>26</v>
      </c>
      <c r="H227" t="s">
        <v>27</v>
      </c>
      <c r="I227" s="2">
        <v>43552</v>
      </c>
      <c r="J227">
        <v>71610071.629999995</v>
      </c>
      <c r="L227">
        <v>0</v>
      </c>
      <c r="M227">
        <v>0</v>
      </c>
      <c r="N227">
        <v>0</v>
      </c>
      <c r="O227" t="s">
        <v>119</v>
      </c>
      <c r="P227" t="s">
        <v>23</v>
      </c>
      <c r="Q227" s="2">
        <v>2</v>
      </c>
    </row>
    <row r="228" spans="1:17" x14ac:dyDescent="0.2">
      <c r="A228" s="2">
        <v>43378</v>
      </c>
      <c r="B228" t="s">
        <v>146</v>
      </c>
      <c r="C228" t="s">
        <v>116</v>
      </c>
      <c r="D228" t="s">
        <v>117</v>
      </c>
      <c r="F228" t="s">
        <v>289</v>
      </c>
      <c r="G228" t="s">
        <v>125</v>
      </c>
      <c r="H228" t="s">
        <v>126</v>
      </c>
      <c r="I228" s="2">
        <v>43587</v>
      </c>
      <c r="J228">
        <v>36297335.210000001</v>
      </c>
      <c r="L228">
        <v>0</v>
      </c>
      <c r="M228">
        <v>0</v>
      </c>
      <c r="N228">
        <v>0</v>
      </c>
      <c r="O228" t="s">
        <v>119</v>
      </c>
      <c r="P228" t="s">
        <v>23</v>
      </c>
      <c r="Q228" s="2">
        <v>2</v>
      </c>
    </row>
    <row r="229" spans="1:17" x14ac:dyDescent="0.2">
      <c r="A229" s="2">
        <v>43378</v>
      </c>
      <c r="B229" t="s">
        <v>146</v>
      </c>
      <c r="C229" t="s">
        <v>116</v>
      </c>
      <c r="D229" t="s">
        <v>117</v>
      </c>
      <c r="F229" t="s">
        <v>290</v>
      </c>
      <c r="G229" t="s">
        <v>26</v>
      </c>
      <c r="H229" t="s">
        <v>27</v>
      </c>
      <c r="I229" s="2">
        <v>43608</v>
      </c>
      <c r="J229">
        <v>8696556.7899999991</v>
      </c>
      <c r="L229">
        <v>0</v>
      </c>
      <c r="M229">
        <v>0</v>
      </c>
      <c r="N229">
        <v>0</v>
      </c>
      <c r="O229" t="s">
        <v>119</v>
      </c>
      <c r="P229" t="s">
        <v>23</v>
      </c>
      <c r="Q229" s="2">
        <v>2</v>
      </c>
    </row>
    <row r="230" spans="1:17" x14ac:dyDescent="0.2">
      <c r="A230" s="2">
        <v>43378</v>
      </c>
      <c r="B230" t="s">
        <v>146</v>
      </c>
      <c r="C230" t="s">
        <v>116</v>
      </c>
      <c r="D230" t="s">
        <v>117</v>
      </c>
      <c r="F230" t="s">
        <v>291</v>
      </c>
      <c r="G230" t="s">
        <v>26</v>
      </c>
      <c r="H230" t="s">
        <v>27</v>
      </c>
      <c r="I230" s="2">
        <v>43616</v>
      </c>
      <c r="J230">
        <v>-22218587.710000001</v>
      </c>
      <c r="L230">
        <v>0</v>
      </c>
      <c r="M230">
        <v>0</v>
      </c>
      <c r="N230">
        <v>0</v>
      </c>
      <c r="O230" t="s">
        <v>119</v>
      </c>
      <c r="P230" t="s">
        <v>23</v>
      </c>
      <c r="Q230" s="2">
        <v>2</v>
      </c>
    </row>
    <row r="231" spans="1:17" x14ac:dyDescent="0.2">
      <c r="A231" s="2">
        <v>43378</v>
      </c>
      <c r="B231" t="s">
        <v>146</v>
      </c>
      <c r="C231" t="s">
        <v>116</v>
      </c>
      <c r="D231" t="s">
        <v>117</v>
      </c>
      <c r="F231" t="s">
        <v>292</v>
      </c>
      <c r="G231" t="s">
        <v>26</v>
      </c>
      <c r="H231" t="s">
        <v>27</v>
      </c>
      <c r="I231" s="2">
        <v>43395</v>
      </c>
      <c r="J231">
        <v>19246225.66</v>
      </c>
      <c r="L231">
        <v>0</v>
      </c>
      <c r="M231">
        <v>0</v>
      </c>
      <c r="N231">
        <v>0</v>
      </c>
      <c r="O231" t="s">
        <v>119</v>
      </c>
      <c r="P231" t="s">
        <v>23</v>
      </c>
      <c r="Q231" s="2">
        <v>2</v>
      </c>
    </row>
    <row r="232" spans="1:17" x14ac:dyDescent="0.2">
      <c r="A232" s="2">
        <v>43378</v>
      </c>
      <c r="B232" t="s">
        <v>146</v>
      </c>
      <c r="C232" t="s">
        <v>116</v>
      </c>
      <c r="D232" t="s">
        <v>117</v>
      </c>
      <c r="F232" t="s">
        <v>293</v>
      </c>
      <c r="G232" t="s">
        <v>26</v>
      </c>
      <c r="H232" t="s">
        <v>27</v>
      </c>
      <c r="I232" s="2">
        <v>43536</v>
      </c>
      <c r="J232">
        <v>-4492119.1399999997</v>
      </c>
      <c r="L232">
        <v>0</v>
      </c>
      <c r="M232">
        <v>0</v>
      </c>
      <c r="N232">
        <v>0</v>
      </c>
      <c r="O232" t="s">
        <v>119</v>
      </c>
      <c r="P232" t="s">
        <v>23</v>
      </c>
      <c r="Q232" s="2">
        <v>2</v>
      </c>
    </row>
    <row r="233" spans="1:17" x14ac:dyDescent="0.2">
      <c r="A233" s="2">
        <v>43378</v>
      </c>
      <c r="B233" t="s">
        <v>146</v>
      </c>
      <c r="C233" t="s">
        <v>116</v>
      </c>
      <c r="D233" t="s">
        <v>117</v>
      </c>
      <c r="F233" t="s">
        <v>294</v>
      </c>
      <c r="G233" t="s">
        <v>295</v>
      </c>
      <c r="H233" t="s">
        <v>43</v>
      </c>
      <c r="I233" s="2">
        <v>43452</v>
      </c>
      <c r="J233">
        <v>-31413257.609999999</v>
      </c>
      <c r="L233">
        <v>0</v>
      </c>
      <c r="M233">
        <v>0</v>
      </c>
      <c r="N233">
        <v>0</v>
      </c>
      <c r="O233" t="s">
        <v>119</v>
      </c>
      <c r="P233" t="s">
        <v>23</v>
      </c>
      <c r="Q233" s="2">
        <v>2</v>
      </c>
    </row>
    <row r="234" spans="1:17" x14ac:dyDescent="0.2">
      <c r="A234" s="2">
        <v>43378</v>
      </c>
      <c r="B234" t="s">
        <v>146</v>
      </c>
      <c r="C234" t="s">
        <v>116</v>
      </c>
      <c r="D234" t="s">
        <v>117</v>
      </c>
      <c r="F234" t="s">
        <v>296</v>
      </c>
      <c r="G234" t="s">
        <v>125</v>
      </c>
      <c r="H234" t="s">
        <v>126</v>
      </c>
      <c r="I234" s="2">
        <v>43410</v>
      </c>
      <c r="J234">
        <v>4095518.31</v>
      </c>
      <c r="L234">
        <v>0</v>
      </c>
      <c r="M234">
        <v>0</v>
      </c>
      <c r="N234">
        <v>0</v>
      </c>
      <c r="O234" t="s">
        <v>119</v>
      </c>
      <c r="P234" t="s">
        <v>23</v>
      </c>
      <c r="Q234" s="2">
        <v>2</v>
      </c>
    </row>
    <row r="235" spans="1:17" x14ac:dyDescent="0.2">
      <c r="A235" s="2">
        <v>43378</v>
      </c>
      <c r="B235" t="s">
        <v>146</v>
      </c>
      <c r="C235" t="s">
        <v>116</v>
      </c>
      <c r="D235" t="s">
        <v>117</v>
      </c>
      <c r="F235" t="s">
        <v>297</v>
      </c>
      <c r="G235" t="s">
        <v>26</v>
      </c>
      <c r="H235" t="s">
        <v>27</v>
      </c>
      <c r="I235" s="2">
        <v>43423</v>
      </c>
      <c r="J235">
        <v>-55158390.520000003</v>
      </c>
      <c r="L235">
        <v>0</v>
      </c>
      <c r="M235">
        <v>0</v>
      </c>
      <c r="N235">
        <v>0</v>
      </c>
      <c r="O235" t="s">
        <v>119</v>
      </c>
      <c r="P235" t="s">
        <v>23</v>
      </c>
      <c r="Q235" s="2">
        <v>2</v>
      </c>
    </row>
    <row r="236" spans="1:17" x14ac:dyDescent="0.2">
      <c r="A236" s="2">
        <v>43378</v>
      </c>
      <c r="B236" t="s">
        <v>146</v>
      </c>
      <c r="C236" t="s">
        <v>116</v>
      </c>
      <c r="D236" t="s">
        <v>117</v>
      </c>
      <c r="F236" t="s">
        <v>298</v>
      </c>
      <c r="G236" t="s">
        <v>26</v>
      </c>
      <c r="H236" t="s">
        <v>27</v>
      </c>
      <c r="I236" s="2">
        <v>43424</v>
      </c>
      <c r="J236">
        <v>-13017563.1</v>
      </c>
      <c r="L236">
        <v>0</v>
      </c>
      <c r="M236">
        <v>0</v>
      </c>
      <c r="N236">
        <v>0</v>
      </c>
      <c r="O236" t="s">
        <v>119</v>
      </c>
      <c r="P236" t="s">
        <v>23</v>
      </c>
      <c r="Q236" s="2">
        <v>2</v>
      </c>
    </row>
    <row r="237" spans="1:17" x14ac:dyDescent="0.2">
      <c r="A237" s="2">
        <v>43378</v>
      </c>
      <c r="B237" t="s">
        <v>146</v>
      </c>
      <c r="C237" t="s">
        <v>116</v>
      </c>
      <c r="D237" t="s">
        <v>117</v>
      </c>
      <c r="F237" t="s">
        <v>299</v>
      </c>
      <c r="G237" t="s">
        <v>26</v>
      </c>
      <c r="H237" t="s">
        <v>27</v>
      </c>
      <c r="I237" s="2">
        <v>43430</v>
      </c>
      <c r="J237">
        <v>-47898432.460000001</v>
      </c>
      <c r="L237">
        <v>0</v>
      </c>
      <c r="M237">
        <v>0</v>
      </c>
      <c r="N237">
        <v>0</v>
      </c>
      <c r="O237" t="s">
        <v>119</v>
      </c>
      <c r="P237" t="s">
        <v>23</v>
      </c>
      <c r="Q237" s="2">
        <v>2</v>
      </c>
    </row>
    <row r="238" spans="1:17" x14ac:dyDescent="0.2">
      <c r="A238" s="2">
        <v>43378</v>
      </c>
      <c r="B238" t="s">
        <v>146</v>
      </c>
      <c r="C238" t="s">
        <v>116</v>
      </c>
      <c r="D238" t="s">
        <v>117</v>
      </c>
      <c r="F238" t="s">
        <v>300</v>
      </c>
      <c r="G238" t="s">
        <v>26</v>
      </c>
      <c r="H238" t="s">
        <v>27</v>
      </c>
      <c r="I238" s="2">
        <v>43389</v>
      </c>
      <c r="J238">
        <v>5016555.88</v>
      </c>
      <c r="L238">
        <v>0</v>
      </c>
      <c r="M238">
        <v>0</v>
      </c>
      <c r="N238">
        <v>0</v>
      </c>
      <c r="O238" t="s">
        <v>119</v>
      </c>
      <c r="P238" t="s">
        <v>23</v>
      </c>
      <c r="Q238" s="2">
        <v>2</v>
      </c>
    </row>
    <row r="239" spans="1:17" x14ac:dyDescent="0.2">
      <c r="A239" s="2">
        <v>43378</v>
      </c>
      <c r="B239" t="s">
        <v>146</v>
      </c>
      <c r="C239" t="s">
        <v>116</v>
      </c>
      <c r="D239" t="s">
        <v>117</v>
      </c>
      <c r="F239" t="s">
        <v>301</v>
      </c>
      <c r="G239" t="s">
        <v>26</v>
      </c>
      <c r="H239" t="s">
        <v>27</v>
      </c>
      <c r="I239" s="2">
        <v>43389</v>
      </c>
      <c r="J239">
        <v>8631363.3000000007</v>
      </c>
      <c r="L239">
        <v>0</v>
      </c>
      <c r="M239">
        <v>0</v>
      </c>
      <c r="N239">
        <v>0</v>
      </c>
      <c r="O239" t="s">
        <v>119</v>
      </c>
      <c r="P239" t="s">
        <v>23</v>
      </c>
      <c r="Q239" s="2">
        <v>2</v>
      </c>
    </row>
    <row r="240" spans="1:17" x14ac:dyDescent="0.2">
      <c r="A240" s="2">
        <v>43378</v>
      </c>
      <c r="B240" t="s">
        <v>146</v>
      </c>
      <c r="C240" t="s">
        <v>116</v>
      </c>
      <c r="D240" t="s">
        <v>117</v>
      </c>
      <c r="F240" t="s">
        <v>302</v>
      </c>
      <c r="G240" t="s">
        <v>26</v>
      </c>
      <c r="H240" t="s">
        <v>27</v>
      </c>
      <c r="I240" s="2">
        <v>43398</v>
      </c>
      <c r="J240">
        <v>-64793587.869999997</v>
      </c>
      <c r="L240">
        <v>0</v>
      </c>
      <c r="M240">
        <v>0</v>
      </c>
      <c r="N240">
        <v>0</v>
      </c>
      <c r="O240" t="s">
        <v>119</v>
      </c>
      <c r="P240" t="s">
        <v>23</v>
      </c>
      <c r="Q240" s="2">
        <v>2</v>
      </c>
    </row>
    <row r="241" spans="1:17" x14ac:dyDescent="0.2">
      <c r="A241" s="2">
        <v>43378</v>
      </c>
      <c r="B241" t="s">
        <v>146</v>
      </c>
      <c r="C241" t="s">
        <v>116</v>
      </c>
      <c r="D241" t="s">
        <v>117</v>
      </c>
      <c r="F241" t="s">
        <v>303</v>
      </c>
      <c r="G241" t="s">
        <v>26</v>
      </c>
      <c r="H241" t="s">
        <v>27</v>
      </c>
      <c r="I241" s="2">
        <v>43473</v>
      </c>
      <c r="J241">
        <v>-76790990.920000002</v>
      </c>
      <c r="L241">
        <v>0</v>
      </c>
      <c r="M241">
        <v>0</v>
      </c>
      <c r="N241">
        <v>0</v>
      </c>
      <c r="O241" t="s">
        <v>119</v>
      </c>
      <c r="P241" t="s">
        <v>23</v>
      </c>
      <c r="Q241" s="2">
        <v>2</v>
      </c>
    </row>
    <row r="242" spans="1:17" x14ac:dyDescent="0.2">
      <c r="A242" s="2">
        <v>43378</v>
      </c>
      <c r="B242" t="s">
        <v>146</v>
      </c>
      <c r="C242" t="s">
        <v>116</v>
      </c>
      <c r="D242" t="s">
        <v>117</v>
      </c>
      <c r="F242" t="s">
        <v>304</v>
      </c>
      <c r="G242" t="s">
        <v>26</v>
      </c>
      <c r="H242" t="s">
        <v>27</v>
      </c>
      <c r="I242" s="2">
        <v>43474</v>
      </c>
      <c r="J242">
        <v>-87725243.290000007</v>
      </c>
      <c r="L242">
        <v>0</v>
      </c>
      <c r="M242">
        <v>0</v>
      </c>
      <c r="N242">
        <v>0</v>
      </c>
      <c r="O242" t="s">
        <v>119</v>
      </c>
      <c r="P242" t="s">
        <v>23</v>
      </c>
      <c r="Q242" s="2">
        <v>2</v>
      </c>
    </row>
    <row r="243" spans="1:17" x14ac:dyDescent="0.2">
      <c r="A243" s="2">
        <v>43378</v>
      </c>
      <c r="B243" t="s">
        <v>146</v>
      </c>
      <c r="C243" t="s">
        <v>116</v>
      </c>
      <c r="D243" t="s">
        <v>117</v>
      </c>
      <c r="F243" t="s">
        <v>305</v>
      </c>
      <c r="G243" t="s">
        <v>125</v>
      </c>
      <c r="H243" t="s">
        <v>126</v>
      </c>
      <c r="I243" s="2">
        <v>43481</v>
      </c>
      <c r="J243">
        <v>-26618716.34</v>
      </c>
      <c r="L243">
        <v>0</v>
      </c>
      <c r="M243">
        <v>0</v>
      </c>
      <c r="N243">
        <v>0</v>
      </c>
      <c r="O243" t="s">
        <v>119</v>
      </c>
      <c r="P243" t="s">
        <v>23</v>
      </c>
      <c r="Q243" s="2">
        <v>2</v>
      </c>
    </row>
    <row r="244" spans="1:17" x14ac:dyDescent="0.2">
      <c r="A244" s="2">
        <v>43378</v>
      </c>
      <c r="B244" t="s">
        <v>146</v>
      </c>
      <c r="C244" t="s">
        <v>116</v>
      </c>
      <c r="D244" t="s">
        <v>117</v>
      </c>
      <c r="F244" t="s">
        <v>306</v>
      </c>
      <c r="G244" t="s">
        <v>125</v>
      </c>
      <c r="H244" t="s">
        <v>126</v>
      </c>
      <c r="I244" s="2">
        <v>43504</v>
      </c>
      <c r="J244">
        <v>-71826400.290000007</v>
      </c>
      <c r="L244">
        <v>0</v>
      </c>
      <c r="M244">
        <v>0</v>
      </c>
      <c r="N244">
        <v>0</v>
      </c>
      <c r="O244" t="s">
        <v>119</v>
      </c>
      <c r="P244" t="s">
        <v>23</v>
      </c>
      <c r="Q244" s="2">
        <v>2</v>
      </c>
    </row>
    <row r="245" spans="1:17" x14ac:dyDescent="0.2">
      <c r="A245" s="2">
        <v>43378</v>
      </c>
      <c r="B245" t="s">
        <v>146</v>
      </c>
      <c r="C245" t="s">
        <v>116</v>
      </c>
      <c r="D245" t="s">
        <v>117</v>
      </c>
      <c r="F245" t="s">
        <v>307</v>
      </c>
      <c r="G245" t="s">
        <v>125</v>
      </c>
      <c r="H245" t="s">
        <v>126</v>
      </c>
      <c r="I245" s="2">
        <v>43531</v>
      </c>
      <c r="J245">
        <v>-165127614.59</v>
      </c>
      <c r="L245">
        <v>0</v>
      </c>
      <c r="M245">
        <v>0</v>
      </c>
      <c r="N245">
        <v>0</v>
      </c>
      <c r="O245" t="s">
        <v>119</v>
      </c>
      <c r="P245" t="s">
        <v>23</v>
      </c>
      <c r="Q245" s="2">
        <v>2</v>
      </c>
    </row>
    <row r="246" spans="1:17" x14ac:dyDescent="0.2">
      <c r="A246" s="2">
        <v>43378</v>
      </c>
      <c r="B246" t="s">
        <v>146</v>
      </c>
      <c r="C246" t="s">
        <v>116</v>
      </c>
      <c r="D246" t="s">
        <v>117</v>
      </c>
      <c r="F246" t="s">
        <v>308</v>
      </c>
      <c r="G246" t="s">
        <v>26</v>
      </c>
      <c r="H246" t="s">
        <v>27</v>
      </c>
      <c r="I246" s="2">
        <v>43564</v>
      </c>
      <c r="J246">
        <v>-191829170.22</v>
      </c>
      <c r="L246">
        <v>0</v>
      </c>
      <c r="M246">
        <v>0</v>
      </c>
      <c r="N246">
        <v>0</v>
      </c>
      <c r="O246" t="s">
        <v>119</v>
      </c>
      <c r="P246" t="s">
        <v>23</v>
      </c>
      <c r="Q246" s="2">
        <v>2</v>
      </c>
    </row>
    <row r="247" spans="1:17" x14ac:dyDescent="0.2">
      <c r="A247" s="2">
        <v>43378</v>
      </c>
      <c r="B247" t="s">
        <v>146</v>
      </c>
      <c r="C247" t="s">
        <v>116</v>
      </c>
      <c r="D247" t="s">
        <v>117</v>
      </c>
      <c r="F247" t="s">
        <v>309</v>
      </c>
      <c r="G247" t="s">
        <v>125</v>
      </c>
      <c r="H247" t="s">
        <v>126</v>
      </c>
      <c r="I247" s="2">
        <v>43581</v>
      </c>
      <c r="J247">
        <v>-98752140.319999993</v>
      </c>
      <c r="L247">
        <v>0</v>
      </c>
      <c r="M247">
        <v>0</v>
      </c>
      <c r="N247">
        <v>0</v>
      </c>
      <c r="O247" t="s">
        <v>119</v>
      </c>
      <c r="P247" t="s">
        <v>23</v>
      </c>
      <c r="Q247" s="2">
        <v>2</v>
      </c>
    </row>
    <row r="248" spans="1:17" x14ac:dyDescent="0.2">
      <c r="A248" s="2">
        <v>43378</v>
      </c>
      <c r="B248" t="s">
        <v>146</v>
      </c>
      <c r="C248" t="s">
        <v>116</v>
      </c>
      <c r="D248" t="s">
        <v>117</v>
      </c>
      <c r="F248" t="s">
        <v>310</v>
      </c>
      <c r="G248" t="s">
        <v>26</v>
      </c>
      <c r="H248" t="s">
        <v>27</v>
      </c>
      <c r="I248" s="2">
        <v>43593</v>
      </c>
      <c r="J248">
        <v>-111635126.34999999</v>
      </c>
      <c r="L248">
        <v>0</v>
      </c>
      <c r="M248">
        <v>0</v>
      </c>
      <c r="N248">
        <v>0</v>
      </c>
      <c r="O248" t="s">
        <v>119</v>
      </c>
      <c r="P248" t="s">
        <v>23</v>
      </c>
      <c r="Q248" s="2">
        <v>2</v>
      </c>
    </row>
    <row r="249" spans="1:17" x14ac:dyDescent="0.2">
      <c r="A249" s="2">
        <v>43378</v>
      </c>
      <c r="B249" t="s">
        <v>146</v>
      </c>
      <c r="C249" t="s">
        <v>116</v>
      </c>
      <c r="D249" t="s">
        <v>117</v>
      </c>
      <c r="F249" t="s">
        <v>311</v>
      </c>
      <c r="G249" t="s">
        <v>26</v>
      </c>
      <c r="H249" t="s">
        <v>27</v>
      </c>
      <c r="I249" s="2">
        <v>43598</v>
      </c>
      <c r="J249">
        <v>-96783732.790000007</v>
      </c>
      <c r="L249">
        <v>0</v>
      </c>
      <c r="M249">
        <v>0</v>
      </c>
      <c r="N249">
        <v>0</v>
      </c>
      <c r="O249" t="s">
        <v>119</v>
      </c>
      <c r="P249" t="s">
        <v>23</v>
      </c>
      <c r="Q249" s="2">
        <v>2</v>
      </c>
    </row>
    <row r="250" spans="1:17" x14ac:dyDescent="0.2">
      <c r="A250" s="2">
        <v>43378</v>
      </c>
      <c r="B250" t="s">
        <v>146</v>
      </c>
      <c r="C250" t="s">
        <v>116</v>
      </c>
      <c r="D250" t="s">
        <v>117</v>
      </c>
      <c r="F250" t="s">
        <v>312</v>
      </c>
      <c r="G250" t="s">
        <v>125</v>
      </c>
      <c r="H250" t="s">
        <v>126</v>
      </c>
      <c r="I250" s="2">
        <v>43641</v>
      </c>
      <c r="J250">
        <v>-343114.92</v>
      </c>
      <c r="L250">
        <v>0</v>
      </c>
      <c r="M250">
        <v>0</v>
      </c>
      <c r="N250">
        <v>0</v>
      </c>
      <c r="O250" t="s">
        <v>119</v>
      </c>
      <c r="P250" t="s">
        <v>23</v>
      </c>
      <c r="Q250" s="2">
        <v>2</v>
      </c>
    </row>
    <row r="251" spans="1:17" x14ac:dyDescent="0.2">
      <c r="A251" s="2">
        <v>43378</v>
      </c>
      <c r="B251" t="s">
        <v>146</v>
      </c>
      <c r="C251" t="s">
        <v>116</v>
      </c>
      <c r="D251" t="s">
        <v>117</v>
      </c>
      <c r="F251" t="s">
        <v>313</v>
      </c>
      <c r="G251" t="s">
        <v>26</v>
      </c>
      <c r="H251" t="s">
        <v>27</v>
      </c>
      <c r="I251" s="2">
        <v>43644</v>
      </c>
      <c r="J251">
        <v>1779681.92</v>
      </c>
      <c r="L251">
        <v>0</v>
      </c>
      <c r="M251">
        <v>0</v>
      </c>
      <c r="N251">
        <v>0</v>
      </c>
      <c r="O251" t="s">
        <v>119</v>
      </c>
      <c r="P251" t="s">
        <v>23</v>
      </c>
      <c r="Q251" s="2">
        <v>2</v>
      </c>
    </row>
    <row r="252" spans="1:17" x14ac:dyDescent="0.2">
      <c r="A252" s="2">
        <v>43378</v>
      </c>
      <c r="B252" t="s">
        <v>146</v>
      </c>
      <c r="C252" t="s">
        <v>116</v>
      </c>
      <c r="D252" t="s">
        <v>117</v>
      </c>
      <c r="F252" t="s">
        <v>314</v>
      </c>
      <c r="G252" t="s">
        <v>26</v>
      </c>
      <c r="H252" t="s">
        <v>27</v>
      </c>
      <c r="I252" s="2">
        <v>43739</v>
      </c>
      <c r="J252">
        <v>-45443842.740000002</v>
      </c>
      <c r="L252">
        <v>0</v>
      </c>
      <c r="M252">
        <v>0</v>
      </c>
      <c r="N252">
        <v>0</v>
      </c>
      <c r="O252" t="s">
        <v>119</v>
      </c>
      <c r="P252" t="s">
        <v>23</v>
      </c>
      <c r="Q252" s="2">
        <v>2</v>
      </c>
    </row>
    <row r="253" spans="1:17" x14ac:dyDescent="0.2">
      <c r="A253" s="2">
        <v>43378</v>
      </c>
      <c r="B253" t="s">
        <v>146</v>
      </c>
      <c r="C253" t="s">
        <v>116</v>
      </c>
      <c r="D253" t="s">
        <v>117</v>
      </c>
      <c r="F253" t="s">
        <v>315</v>
      </c>
      <c r="G253" t="s">
        <v>26</v>
      </c>
      <c r="H253" t="s">
        <v>27</v>
      </c>
      <c r="I253" s="2">
        <v>43740</v>
      </c>
      <c r="J253">
        <v>-36946285.060000002</v>
      </c>
      <c r="L253">
        <v>0</v>
      </c>
      <c r="M253">
        <v>0</v>
      </c>
      <c r="N253">
        <v>0</v>
      </c>
      <c r="O253" t="s">
        <v>119</v>
      </c>
      <c r="P253" t="s">
        <v>23</v>
      </c>
      <c r="Q253" s="2">
        <v>2</v>
      </c>
    </row>
    <row r="254" spans="1:17" x14ac:dyDescent="0.2">
      <c r="A254" s="2">
        <v>43378</v>
      </c>
      <c r="B254" t="s">
        <v>146</v>
      </c>
      <c r="C254" t="s">
        <v>131</v>
      </c>
      <c r="D254" t="s">
        <v>316</v>
      </c>
      <c r="E254" t="s">
        <v>137</v>
      </c>
      <c r="F254" t="s">
        <v>20</v>
      </c>
      <c r="J254">
        <v>2384466.21</v>
      </c>
      <c r="L254">
        <v>2384466.21</v>
      </c>
      <c r="M254">
        <v>0</v>
      </c>
      <c r="N254">
        <v>0</v>
      </c>
      <c r="O254" t="s">
        <v>22</v>
      </c>
      <c r="P254" t="s">
        <v>23</v>
      </c>
      <c r="Q254" s="2">
        <v>2</v>
      </c>
    </row>
    <row r="255" spans="1:17" x14ac:dyDescent="0.2">
      <c r="A255" s="2">
        <v>43378</v>
      </c>
      <c r="B255" t="s">
        <v>146</v>
      </c>
      <c r="C255" t="s">
        <v>131</v>
      </c>
      <c r="D255" t="s">
        <v>132</v>
      </c>
      <c r="E255" t="s">
        <v>133</v>
      </c>
      <c r="F255" t="s">
        <v>132</v>
      </c>
      <c r="G255" t="s">
        <v>134</v>
      </c>
      <c r="J255">
        <v>63494.57</v>
      </c>
      <c r="L255">
        <v>63494.57</v>
      </c>
      <c r="M255">
        <v>0</v>
      </c>
      <c r="N255">
        <v>0</v>
      </c>
      <c r="O255" t="s">
        <v>22</v>
      </c>
      <c r="P255" t="s">
        <v>23</v>
      </c>
      <c r="Q255" s="2">
        <v>2</v>
      </c>
    </row>
    <row r="256" spans="1:17" x14ac:dyDescent="0.2">
      <c r="A256" s="2">
        <v>43378</v>
      </c>
      <c r="B256" t="s">
        <v>146</v>
      </c>
      <c r="C256" t="s">
        <v>135</v>
      </c>
      <c r="D256" t="s">
        <v>136</v>
      </c>
      <c r="E256" t="s">
        <v>137</v>
      </c>
      <c r="F256" t="s">
        <v>218</v>
      </c>
      <c r="J256">
        <v>-48962332.719999999</v>
      </c>
      <c r="L256">
        <v>-48962332.719999999</v>
      </c>
      <c r="N256">
        <v>0</v>
      </c>
      <c r="O256" t="s">
        <v>42</v>
      </c>
      <c r="P256" t="s">
        <v>23</v>
      </c>
      <c r="Q256" s="2">
        <v>43223</v>
      </c>
    </row>
    <row r="257" spans="1:17" x14ac:dyDescent="0.2">
      <c r="A257" s="2">
        <v>43378</v>
      </c>
      <c r="B257" t="s">
        <v>146</v>
      </c>
      <c r="C257" t="s">
        <v>135</v>
      </c>
      <c r="D257" t="s">
        <v>136</v>
      </c>
      <c r="E257" t="s">
        <v>137</v>
      </c>
      <c r="F257" t="s">
        <v>95</v>
      </c>
      <c r="J257">
        <v>-181819326.78</v>
      </c>
      <c r="L257">
        <v>-181819326.78</v>
      </c>
      <c r="N257">
        <v>0</v>
      </c>
      <c r="O257" t="s">
        <v>42</v>
      </c>
      <c r="P257" t="s">
        <v>23</v>
      </c>
      <c r="Q257" s="2">
        <v>43230</v>
      </c>
    </row>
    <row r="258" spans="1:17" x14ac:dyDescent="0.2">
      <c r="A258" s="2">
        <v>43378</v>
      </c>
      <c r="B258" t="s">
        <v>146</v>
      </c>
      <c r="C258" t="s">
        <v>135</v>
      </c>
      <c r="D258" t="s">
        <v>136</v>
      </c>
      <c r="E258" t="s">
        <v>137</v>
      </c>
      <c r="F258" t="s">
        <v>97</v>
      </c>
      <c r="J258">
        <v>-44944785.450000003</v>
      </c>
      <c r="L258">
        <v>-44944785.450000003</v>
      </c>
      <c r="N258">
        <v>0</v>
      </c>
      <c r="O258" t="s">
        <v>42</v>
      </c>
      <c r="P258" t="s">
        <v>23</v>
      </c>
      <c r="Q258" s="2">
        <v>43237</v>
      </c>
    </row>
    <row r="259" spans="1:17" x14ac:dyDescent="0.2">
      <c r="A259" s="2">
        <v>43378</v>
      </c>
      <c r="B259" t="s">
        <v>146</v>
      </c>
      <c r="C259" t="s">
        <v>135</v>
      </c>
      <c r="D259" t="s">
        <v>136</v>
      </c>
      <c r="E259" t="s">
        <v>137</v>
      </c>
      <c r="F259" t="s">
        <v>101</v>
      </c>
      <c r="J259">
        <v>-389339936.69999999</v>
      </c>
      <c r="L259">
        <v>-389339936.69999999</v>
      </c>
      <c r="N259">
        <v>0</v>
      </c>
      <c r="O259" t="s">
        <v>42</v>
      </c>
      <c r="P259" t="s">
        <v>23</v>
      </c>
      <c r="Q259" s="2">
        <v>43251</v>
      </c>
    </row>
    <row r="260" spans="1:17" x14ac:dyDescent="0.2">
      <c r="A260" s="2">
        <v>43378</v>
      </c>
      <c r="B260" t="s">
        <v>146</v>
      </c>
      <c r="C260" t="s">
        <v>135</v>
      </c>
      <c r="D260" t="s">
        <v>136</v>
      </c>
      <c r="E260" t="s">
        <v>495</v>
      </c>
      <c r="F260" t="s">
        <v>218</v>
      </c>
      <c r="J260">
        <v>-214842959.69999999</v>
      </c>
      <c r="L260">
        <v>-214842959.69999999</v>
      </c>
      <c r="N260">
        <v>0</v>
      </c>
      <c r="O260" t="s">
        <v>42</v>
      </c>
      <c r="P260" t="s">
        <v>23</v>
      </c>
      <c r="Q260" s="2">
        <v>43223</v>
      </c>
    </row>
    <row r="261" spans="1:17" x14ac:dyDescent="0.2">
      <c r="A261" s="2">
        <v>43378</v>
      </c>
      <c r="B261" t="s">
        <v>146</v>
      </c>
      <c r="C261" t="s">
        <v>135</v>
      </c>
      <c r="D261" t="s">
        <v>136</v>
      </c>
      <c r="E261" t="s">
        <v>495</v>
      </c>
      <c r="F261" t="s">
        <v>494</v>
      </c>
      <c r="J261">
        <v>-996533929.38999999</v>
      </c>
      <c r="L261">
        <v>-996533929.38999999</v>
      </c>
      <c r="N261">
        <v>0</v>
      </c>
      <c r="O261" t="s">
        <v>42</v>
      </c>
      <c r="P261" t="s">
        <v>23</v>
      </c>
      <c r="Q261" s="2">
        <v>43382</v>
      </c>
    </row>
    <row r="262" spans="1:17" x14ac:dyDescent="0.2">
      <c r="A262" s="2">
        <v>43378</v>
      </c>
      <c r="B262" t="s">
        <v>146</v>
      </c>
      <c r="C262" t="s">
        <v>135</v>
      </c>
      <c r="D262" t="s">
        <v>138</v>
      </c>
      <c r="E262" t="s">
        <v>138</v>
      </c>
      <c r="F262" t="s">
        <v>138</v>
      </c>
      <c r="J262">
        <v>-255000</v>
      </c>
      <c r="N262">
        <v>0</v>
      </c>
    </row>
    <row r="263" spans="1:17" x14ac:dyDescent="0.2">
      <c r="A263" s="2">
        <v>43378</v>
      </c>
      <c r="B263" t="s">
        <v>146</v>
      </c>
      <c r="C263" t="s">
        <v>135</v>
      </c>
      <c r="D263" t="s">
        <v>138</v>
      </c>
      <c r="E263" t="s">
        <v>138</v>
      </c>
      <c r="F263" t="s">
        <v>138</v>
      </c>
      <c r="J263">
        <v>-10000</v>
      </c>
      <c r="N263">
        <v>0</v>
      </c>
    </row>
    <row r="264" spans="1:17" x14ac:dyDescent="0.2">
      <c r="A264" s="2">
        <v>43378</v>
      </c>
      <c r="B264" t="s">
        <v>146</v>
      </c>
      <c r="C264" t="s">
        <v>135</v>
      </c>
      <c r="D264" t="s">
        <v>138</v>
      </c>
      <c r="E264" t="s">
        <v>138</v>
      </c>
      <c r="F264" t="s">
        <v>138</v>
      </c>
      <c r="J264">
        <v>-25411.05</v>
      </c>
      <c r="N264">
        <v>0</v>
      </c>
    </row>
    <row r="265" spans="1:17" x14ac:dyDescent="0.2">
      <c r="A265" s="2">
        <v>43378</v>
      </c>
      <c r="B265" t="s">
        <v>146</v>
      </c>
      <c r="C265" t="s">
        <v>135</v>
      </c>
      <c r="D265" t="s">
        <v>139</v>
      </c>
      <c r="J265">
        <v>-2083810.55</v>
      </c>
      <c r="K265">
        <v>0</v>
      </c>
      <c r="N265">
        <v>0</v>
      </c>
    </row>
    <row r="266" spans="1:17" x14ac:dyDescent="0.2">
      <c r="A266" s="2">
        <v>43378</v>
      </c>
      <c r="B266" t="s">
        <v>146</v>
      </c>
      <c r="C266" t="s">
        <v>135</v>
      </c>
      <c r="D266" t="s">
        <v>140</v>
      </c>
      <c r="E266" t="s">
        <v>140</v>
      </c>
      <c r="F266" t="s">
        <v>140</v>
      </c>
      <c r="J266">
        <v>-708.25</v>
      </c>
      <c r="N266">
        <v>0</v>
      </c>
    </row>
    <row r="267" spans="1:17" x14ac:dyDescent="0.2">
      <c r="A267" s="2">
        <v>43378</v>
      </c>
      <c r="B267" t="s">
        <v>146</v>
      </c>
      <c r="C267" t="s">
        <v>135</v>
      </c>
      <c r="D267" t="s">
        <v>141</v>
      </c>
      <c r="E267" t="s">
        <v>141</v>
      </c>
      <c r="J267">
        <v>-444520.83</v>
      </c>
      <c r="L267">
        <v>-444520.83</v>
      </c>
      <c r="N267">
        <v>0</v>
      </c>
    </row>
    <row r="268" spans="1:17" x14ac:dyDescent="0.2">
      <c r="A268" s="2">
        <v>43378</v>
      </c>
      <c r="B268" t="s">
        <v>146</v>
      </c>
      <c r="C268" t="s">
        <v>135</v>
      </c>
      <c r="D268" t="s">
        <v>142</v>
      </c>
      <c r="E268" t="s">
        <v>142</v>
      </c>
      <c r="J268">
        <v>-9316354.9100000001</v>
      </c>
      <c r="L268">
        <v>-9316354.9100000001</v>
      </c>
      <c r="N268">
        <v>0</v>
      </c>
    </row>
    <row r="269" spans="1:17" x14ac:dyDescent="0.2">
      <c r="A269" s="2">
        <v>43378</v>
      </c>
      <c r="B269" t="s">
        <v>146</v>
      </c>
      <c r="C269" t="s">
        <v>135</v>
      </c>
      <c r="D269" t="s">
        <v>140</v>
      </c>
      <c r="E269" t="s">
        <v>140</v>
      </c>
      <c r="F269" t="s">
        <v>140</v>
      </c>
      <c r="J269">
        <v>-4182.17</v>
      </c>
      <c r="N269">
        <v>0</v>
      </c>
    </row>
    <row r="270" spans="1:17" x14ac:dyDescent="0.2">
      <c r="A270" s="2">
        <v>43378</v>
      </c>
      <c r="B270" t="s">
        <v>146</v>
      </c>
      <c r="C270" t="s">
        <v>144</v>
      </c>
      <c r="D270" t="s">
        <v>141</v>
      </c>
      <c r="E270" t="s">
        <v>141</v>
      </c>
      <c r="J270">
        <v>-110567.39</v>
      </c>
      <c r="L270">
        <v>-110567.39</v>
      </c>
      <c r="N270">
        <v>0</v>
      </c>
    </row>
    <row r="271" spans="1:17" x14ac:dyDescent="0.2">
      <c r="A271" s="2">
        <v>43378</v>
      </c>
      <c r="B271" t="s">
        <v>146</v>
      </c>
      <c r="C271" t="s">
        <v>144</v>
      </c>
      <c r="D271" t="s">
        <v>142</v>
      </c>
      <c r="E271" t="s">
        <v>142</v>
      </c>
      <c r="J271">
        <v>-2316628.39</v>
      </c>
      <c r="L271">
        <v>-2316628.39</v>
      </c>
      <c r="N271">
        <v>0</v>
      </c>
    </row>
    <row r="272" spans="1:17" x14ac:dyDescent="0.2">
      <c r="A272" s="2">
        <v>43378</v>
      </c>
      <c r="B272" t="s">
        <v>147</v>
      </c>
      <c r="C272" t="s">
        <v>18</v>
      </c>
      <c r="D272" t="s">
        <v>19</v>
      </c>
      <c r="F272" t="s">
        <v>20</v>
      </c>
      <c r="G272" t="s">
        <v>153</v>
      </c>
      <c r="J272">
        <v>2176636.13</v>
      </c>
      <c r="K272">
        <v>5864.08</v>
      </c>
      <c r="L272">
        <v>2176636.13</v>
      </c>
      <c r="M272">
        <v>0</v>
      </c>
      <c r="N272">
        <v>0</v>
      </c>
      <c r="O272" t="s">
        <v>22</v>
      </c>
      <c r="P272" t="s">
        <v>23</v>
      </c>
      <c r="Q272" s="2">
        <v>2</v>
      </c>
    </row>
    <row r="273" spans="1:17" x14ac:dyDescent="0.2">
      <c r="A273" s="2">
        <v>43378</v>
      </c>
      <c r="B273" t="s">
        <v>147</v>
      </c>
      <c r="C273" t="s">
        <v>18</v>
      </c>
      <c r="D273" t="s">
        <v>38</v>
      </c>
      <c r="F273" t="s">
        <v>317</v>
      </c>
      <c r="G273" t="s">
        <v>58</v>
      </c>
      <c r="H273" t="s">
        <v>59</v>
      </c>
      <c r="I273" s="2">
        <v>43564</v>
      </c>
      <c r="J273">
        <v>60000000</v>
      </c>
      <c r="K273">
        <v>443835.62</v>
      </c>
      <c r="L273">
        <v>60000000</v>
      </c>
      <c r="M273">
        <v>0.50575099999999995</v>
      </c>
      <c r="N273">
        <v>1.5</v>
      </c>
      <c r="O273" t="s">
        <v>42</v>
      </c>
      <c r="P273" t="s">
        <v>23</v>
      </c>
      <c r="Q273" s="2">
        <v>43199</v>
      </c>
    </row>
    <row r="274" spans="1:17" x14ac:dyDescent="0.2">
      <c r="A274" s="2">
        <v>43378</v>
      </c>
      <c r="B274" t="s">
        <v>147</v>
      </c>
      <c r="C274" t="s">
        <v>18</v>
      </c>
      <c r="D274" t="s">
        <v>38</v>
      </c>
      <c r="F274" t="s">
        <v>61</v>
      </c>
      <c r="G274" t="s">
        <v>58</v>
      </c>
      <c r="H274" t="s">
        <v>59</v>
      </c>
      <c r="I274" s="2">
        <v>43686</v>
      </c>
      <c r="J274">
        <v>20000000</v>
      </c>
      <c r="K274">
        <v>54027.4</v>
      </c>
      <c r="L274">
        <v>20000000</v>
      </c>
      <c r="M274">
        <v>0.83193300000000003</v>
      </c>
      <c r="N274">
        <v>1.7</v>
      </c>
      <c r="O274" t="s">
        <v>42</v>
      </c>
      <c r="P274" t="s">
        <v>23</v>
      </c>
      <c r="Q274" s="2">
        <v>43321</v>
      </c>
    </row>
    <row r="275" spans="1:17" x14ac:dyDescent="0.2">
      <c r="A275" s="2">
        <v>43378</v>
      </c>
      <c r="B275" t="s">
        <v>147</v>
      </c>
      <c r="C275" t="s">
        <v>18</v>
      </c>
      <c r="D275" t="s">
        <v>38</v>
      </c>
      <c r="F275" t="s">
        <v>62</v>
      </c>
      <c r="G275" t="s">
        <v>58</v>
      </c>
      <c r="H275" t="s">
        <v>59</v>
      </c>
      <c r="I275" s="2">
        <v>43448</v>
      </c>
      <c r="J275">
        <v>50000000</v>
      </c>
      <c r="K275">
        <v>648767.12</v>
      </c>
      <c r="L275">
        <v>50000000</v>
      </c>
      <c r="M275">
        <v>0.191194</v>
      </c>
      <c r="N275">
        <v>1.6</v>
      </c>
      <c r="O275" t="s">
        <v>42</v>
      </c>
      <c r="P275" t="s">
        <v>23</v>
      </c>
      <c r="Q275" s="2">
        <v>43083</v>
      </c>
    </row>
    <row r="276" spans="1:17" x14ac:dyDescent="0.2">
      <c r="A276" s="2">
        <v>43378</v>
      </c>
      <c r="B276" t="s">
        <v>147</v>
      </c>
      <c r="C276" t="s">
        <v>18</v>
      </c>
      <c r="D276" t="s">
        <v>38</v>
      </c>
      <c r="F276" t="s">
        <v>65</v>
      </c>
      <c r="G276" t="s">
        <v>58</v>
      </c>
      <c r="H276" t="s">
        <v>59</v>
      </c>
      <c r="I276" s="2">
        <v>43483</v>
      </c>
      <c r="J276">
        <v>50000000</v>
      </c>
      <c r="K276">
        <v>572054.79</v>
      </c>
      <c r="L276">
        <v>50000000</v>
      </c>
      <c r="M276">
        <v>0.28635300000000002</v>
      </c>
      <c r="N276">
        <v>1.6</v>
      </c>
      <c r="O276" t="s">
        <v>42</v>
      </c>
      <c r="P276" t="s">
        <v>23</v>
      </c>
      <c r="Q276" s="2">
        <v>43118</v>
      </c>
    </row>
    <row r="277" spans="1:17" x14ac:dyDescent="0.2">
      <c r="A277" s="2">
        <v>43378</v>
      </c>
      <c r="B277" t="s">
        <v>147</v>
      </c>
      <c r="C277" t="s">
        <v>18</v>
      </c>
      <c r="D277" t="s">
        <v>38</v>
      </c>
      <c r="F277" t="s">
        <v>184</v>
      </c>
      <c r="G277" t="s">
        <v>58</v>
      </c>
      <c r="H277" t="s">
        <v>59</v>
      </c>
      <c r="I277" s="2">
        <v>43672</v>
      </c>
      <c r="J277">
        <v>30000000</v>
      </c>
      <c r="K277">
        <v>100602.74</v>
      </c>
      <c r="L277">
        <v>30000000</v>
      </c>
      <c r="M277">
        <v>0.79463399999999995</v>
      </c>
      <c r="N277">
        <v>1.7</v>
      </c>
      <c r="O277" t="s">
        <v>42</v>
      </c>
      <c r="P277" t="s">
        <v>23</v>
      </c>
      <c r="Q277" s="2">
        <v>43307</v>
      </c>
    </row>
    <row r="278" spans="1:17" x14ac:dyDescent="0.2">
      <c r="A278" s="2">
        <v>43378</v>
      </c>
      <c r="B278" t="s">
        <v>147</v>
      </c>
      <c r="C278" t="s">
        <v>18</v>
      </c>
      <c r="D278" t="s">
        <v>38</v>
      </c>
      <c r="F278" t="s">
        <v>318</v>
      </c>
      <c r="G278" t="s">
        <v>75</v>
      </c>
      <c r="H278" t="s">
        <v>59</v>
      </c>
      <c r="I278" s="2">
        <v>44196</v>
      </c>
      <c r="J278">
        <v>3275021.05</v>
      </c>
      <c r="K278">
        <v>45822.62</v>
      </c>
      <c r="L278">
        <v>3275021.05</v>
      </c>
      <c r="M278">
        <v>0</v>
      </c>
      <c r="N278">
        <v>0</v>
      </c>
      <c r="O278" t="s">
        <v>42</v>
      </c>
      <c r="P278" t="s">
        <v>23</v>
      </c>
      <c r="Q278" s="2">
        <v>40212</v>
      </c>
    </row>
    <row r="279" spans="1:17" x14ac:dyDescent="0.2">
      <c r="A279" s="2">
        <v>43378</v>
      </c>
      <c r="B279" t="s">
        <v>147</v>
      </c>
      <c r="C279" t="s">
        <v>18</v>
      </c>
      <c r="D279" t="s">
        <v>89</v>
      </c>
      <c r="F279" t="s">
        <v>90</v>
      </c>
      <c r="G279" t="s">
        <v>91</v>
      </c>
      <c r="I279" s="2">
        <v>43440</v>
      </c>
      <c r="J279">
        <v>149674816.5</v>
      </c>
      <c r="L279">
        <v>149664184.5</v>
      </c>
      <c r="M279">
        <v>0.16670299999999999</v>
      </c>
      <c r="N279">
        <v>1.3426</v>
      </c>
      <c r="O279" t="s">
        <v>42</v>
      </c>
      <c r="P279" t="s">
        <v>23</v>
      </c>
      <c r="Q279" s="2">
        <v>43349</v>
      </c>
    </row>
    <row r="280" spans="1:17" x14ac:dyDescent="0.2">
      <c r="A280" s="2">
        <v>43378</v>
      </c>
      <c r="B280" t="s">
        <v>147</v>
      </c>
      <c r="C280" t="s">
        <v>18</v>
      </c>
      <c r="D280" t="s">
        <v>89</v>
      </c>
      <c r="F280" t="s">
        <v>92</v>
      </c>
      <c r="G280" t="s">
        <v>91</v>
      </c>
      <c r="I280" s="2">
        <v>43447</v>
      </c>
      <c r="J280">
        <v>119742897.59999999</v>
      </c>
      <c r="L280">
        <v>119740336.8</v>
      </c>
      <c r="M280">
        <v>0.185834</v>
      </c>
      <c r="N280">
        <v>1.1639999999999999</v>
      </c>
      <c r="O280" t="s">
        <v>42</v>
      </c>
      <c r="P280" t="s">
        <v>23</v>
      </c>
      <c r="Q280" s="2">
        <v>43356</v>
      </c>
    </row>
    <row r="281" spans="1:17" x14ac:dyDescent="0.2">
      <c r="A281" s="2">
        <v>43378</v>
      </c>
      <c r="B281" t="s">
        <v>147</v>
      </c>
      <c r="C281" t="s">
        <v>18</v>
      </c>
      <c r="D281" t="s">
        <v>89</v>
      </c>
      <c r="F281" t="s">
        <v>93</v>
      </c>
      <c r="G281" t="s">
        <v>91</v>
      </c>
      <c r="I281" s="2">
        <v>43454</v>
      </c>
      <c r="J281">
        <v>200483001.87</v>
      </c>
      <c r="L281">
        <v>200433123.72</v>
      </c>
      <c r="M281">
        <v>0.204905</v>
      </c>
      <c r="N281">
        <v>1.3764179999999999</v>
      </c>
      <c r="O281" t="s">
        <v>42</v>
      </c>
      <c r="P281" t="s">
        <v>23</v>
      </c>
      <c r="Q281" s="2">
        <v>43363</v>
      </c>
    </row>
    <row r="282" spans="1:17" x14ac:dyDescent="0.2">
      <c r="A282" s="2">
        <v>43378</v>
      </c>
      <c r="B282" t="s">
        <v>147</v>
      </c>
      <c r="C282" t="s">
        <v>18</v>
      </c>
      <c r="D282" t="s">
        <v>89</v>
      </c>
      <c r="F282" t="s">
        <v>217</v>
      </c>
      <c r="G282" t="s">
        <v>91</v>
      </c>
      <c r="I282" s="2">
        <v>43461</v>
      </c>
      <c r="J282">
        <v>99690931</v>
      </c>
      <c r="L282">
        <v>99665484</v>
      </c>
      <c r="M282">
        <v>0.223943</v>
      </c>
      <c r="N282">
        <v>1.494</v>
      </c>
      <c r="O282" t="s">
        <v>42</v>
      </c>
      <c r="P282" t="s">
        <v>23</v>
      </c>
      <c r="Q282" s="2">
        <v>43370</v>
      </c>
    </row>
    <row r="283" spans="1:17" x14ac:dyDescent="0.2">
      <c r="A283" s="2">
        <v>43378</v>
      </c>
      <c r="B283" t="s">
        <v>147</v>
      </c>
      <c r="C283" t="s">
        <v>18</v>
      </c>
      <c r="D283" t="s">
        <v>89</v>
      </c>
      <c r="F283" t="s">
        <v>218</v>
      </c>
      <c r="G283" t="s">
        <v>91</v>
      </c>
      <c r="I283" s="2">
        <v>43405</v>
      </c>
      <c r="J283">
        <v>49959963.5</v>
      </c>
      <c r="L283">
        <v>49959963.5</v>
      </c>
      <c r="M283">
        <v>7.1174000000000001E-2</v>
      </c>
      <c r="N283">
        <v>1.125</v>
      </c>
      <c r="O283" t="s">
        <v>42</v>
      </c>
      <c r="P283" t="s">
        <v>23</v>
      </c>
      <c r="Q283" s="2">
        <v>43223</v>
      </c>
    </row>
    <row r="284" spans="1:17" x14ac:dyDescent="0.2">
      <c r="A284" s="2">
        <v>43378</v>
      </c>
      <c r="B284" t="s">
        <v>147</v>
      </c>
      <c r="C284" t="s">
        <v>18</v>
      </c>
      <c r="D284" t="s">
        <v>89</v>
      </c>
      <c r="F284" t="s">
        <v>94</v>
      </c>
      <c r="G284" t="s">
        <v>91</v>
      </c>
      <c r="I284" s="2">
        <v>43405</v>
      </c>
      <c r="J284">
        <v>199816388</v>
      </c>
      <c r="L284">
        <v>199815236</v>
      </c>
      <c r="M284">
        <v>7.1174000000000001E-2</v>
      </c>
      <c r="N284">
        <v>1.298095</v>
      </c>
      <c r="O284" t="s">
        <v>42</v>
      </c>
      <c r="P284" t="s">
        <v>23</v>
      </c>
      <c r="Q284" s="2">
        <v>43314</v>
      </c>
    </row>
    <row r="285" spans="1:17" x14ac:dyDescent="0.2">
      <c r="A285" s="2">
        <v>43378</v>
      </c>
      <c r="B285" t="s">
        <v>147</v>
      </c>
      <c r="C285" t="s">
        <v>18</v>
      </c>
      <c r="D285" t="s">
        <v>89</v>
      </c>
      <c r="F285" t="s">
        <v>95</v>
      </c>
      <c r="G285" t="s">
        <v>91</v>
      </c>
      <c r="I285" s="2">
        <v>43412</v>
      </c>
      <c r="J285">
        <v>19977152.199999999</v>
      </c>
      <c r="L285">
        <v>19977152.199999999</v>
      </c>
      <c r="M285">
        <v>9.0315000000000006E-2</v>
      </c>
      <c r="N285">
        <v>1.2649999999999999</v>
      </c>
      <c r="O285" t="s">
        <v>42</v>
      </c>
      <c r="P285" t="s">
        <v>23</v>
      </c>
      <c r="Q285" s="2">
        <v>43230</v>
      </c>
    </row>
    <row r="286" spans="1:17" x14ac:dyDescent="0.2">
      <c r="A286" s="2">
        <v>43378</v>
      </c>
      <c r="B286" t="s">
        <v>147</v>
      </c>
      <c r="C286" t="s">
        <v>18</v>
      </c>
      <c r="D286" t="s">
        <v>89</v>
      </c>
      <c r="F286" t="s">
        <v>96</v>
      </c>
      <c r="G286" t="s">
        <v>91</v>
      </c>
      <c r="I286" s="2">
        <v>43412</v>
      </c>
      <c r="J286">
        <v>239727811.19999999</v>
      </c>
      <c r="L286">
        <v>239726263.19999999</v>
      </c>
      <c r="M286">
        <v>9.0315999999999994E-2</v>
      </c>
      <c r="N286">
        <v>1.2629790000000001</v>
      </c>
      <c r="O286" t="s">
        <v>42</v>
      </c>
      <c r="P286" t="s">
        <v>23</v>
      </c>
      <c r="Q286" s="2">
        <v>43321</v>
      </c>
    </row>
    <row r="287" spans="1:17" x14ac:dyDescent="0.2">
      <c r="A287" s="2">
        <v>43378</v>
      </c>
      <c r="B287" t="s">
        <v>147</v>
      </c>
      <c r="C287" t="s">
        <v>18</v>
      </c>
      <c r="D287" t="s">
        <v>89</v>
      </c>
      <c r="F287" t="s">
        <v>98</v>
      </c>
      <c r="G287" t="s">
        <v>91</v>
      </c>
      <c r="I287" s="2">
        <v>43419</v>
      </c>
      <c r="J287">
        <v>199723670</v>
      </c>
      <c r="L287">
        <v>199723428</v>
      </c>
      <c r="M287">
        <v>0.109448</v>
      </c>
      <c r="N287">
        <v>1.2636099999999999</v>
      </c>
      <c r="O287" t="s">
        <v>42</v>
      </c>
      <c r="P287" t="s">
        <v>23</v>
      </c>
      <c r="Q287" s="2">
        <v>43328</v>
      </c>
    </row>
    <row r="288" spans="1:17" x14ac:dyDescent="0.2">
      <c r="A288" s="2">
        <v>43378</v>
      </c>
      <c r="B288" t="s">
        <v>147</v>
      </c>
      <c r="C288" t="s">
        <v>18</v>
      </c>
      <c r="D288" t="s">
        <v>89</v>
      </c>
      <c r="F288" t="s">
        <v>100</v>
      </c>
      <c r="G288" t="s">
        <v>91</v>
      </c>
      <c r="I288" s="2">
        <v>43426</v>
      </c>
      <c r="J288">
        <v>447276919.04000002</v>
      </c>
      <c r="L288">
        <v>447269889.92000002</v>
      </c>
      <c r="M288">
        <v>0.12857099999999999</v>
      </c>
      <c r="N288">
        <v>1.267692</v>
      </c>
      <c r="O288" t="s">
        <v>42</v>
      </c>
      <c r="P288" t="s">
        <v>23</v>
      </c>
      <c r="Q288" s="2">
        <v>43335</v>
      </c>
    </row>
    <row r="289" spans="1:17" x14ac:dyDescent="0.2">
      <c r="A289" s="2">
        <v>43378</v>
      </c>
      <c r="B289" t="s">
        <v>147</v>
      </c>
      <c r="C289" t="s">
        <v>18</v>
      </c>
      <c r="D289" t="s">
        <v>89</v>
      </c>
      <c r="F289" t="s">
        <v>101</v>
      </c>
      <c r="G289" t="s">
        <v>91</v>
      </c>
      <c r="I289" s="2">
        <v>43433</v>
      </c>
      <c r="J289">
        <v>69887299.299999997</v>
      </c>
      <c r="L289">
        <v>69887299.299999997</v>
      </c>
      <c r="M289">
        <v>0.14768300000000001</v>
      </c>
      <c r="N289">
        <v>1.0900000000000001</v>
      </c>
      <c r="O289" t="s">
        <v>42</v>
      </c>
      <c r="P289" t="s">
        <v>23</v>
      </c>
      <c r="Q289" s="2">
        <v>43251</v>
      </c>
    </row>
    <row r="290" spans="1:17" x14ac:dyDescent="0.2">
      <c r="A290" s="2">
        <v>43378</v>
      </c>
      <c r="B290" t="s">
        <v>147</v>
      </c>
      <c r="C290" t="s">
        <v>18</v>
      </c>
      <c r="D290" t="s">
        <v>89</v>
      </c>
      <c r="F290" t="s">
        <v>102</v>
      </c>
      <c r="G290" t="s">
        <v>91</v>
      </c>
      <c r="I290" s="2">
        <v>43433</v>
      </c>
      <c r="J290">
        <v>199648510</v>
      </c>
      <c r="L290">
        <v>199632850</v>
      </c>
      <c r="M290">
        <v>0.14767</v>
      </c>
      <c r="N290">
        <v>1.2431099999999999</v>
      </c>
      <c r="O290" t="s">
        <v>42</v>
      </c>
      <c r="P290" t="s">
        <v>23</v>
      </c>
      <c r="Q290" s="2">
        <v>43342</v>
      </c>
    </row>
    <row r="291" spans="1:17" x14ac:dyDescent="0.2">
      <c r="A291" s="2">
        <v>43378</v>
      </c>
      <c r="B291" t="s">
        <v>147</v>
      </c>
      <c r="C291" t="s">
        <v>18</v>
      </c>
      <c r="D291" t="s">
        <v>89</v>
      </c>
      <c r="F291" t="s">
        <v>104</v>
      </c>
      <c r="G291" t="s">
        <v>91</v>
      </c>
      <c r="I291" s="2">
        <v>43384</v>
      </c>
      <c r="J291">
        <v>139978099.80000001</v>
      </c>
      <c r="L291">
        <v>139978099.80000001</v>
      </c>
      <c r="M291">
        <v>1.3697000000000001E-2</v>
      </c>
      <c r="N291">
        <v>1.1421429999999999</v>
      </c>
      <c r="O291" t="s">
        <v>42</v>
      </c>
      <c r="P291" t="s">
        <v>23</v>
      </c>
      <c r="Q291" s="2">
        <v>43202</v>
      </c>
    </row>
    <row r="292" spans="1:17" x14ac:dyDescent="0.2">
      <c r="A292" s="2">
        <v>43378</v>
      </c>
      <c r="B292" t="s">
        <v>147</v>
      </c>
      <c r="C292" t="s">
        <v>18</v>
      </c>
      <c r="D292" t="s">
        <v>89</v>
      </c>
      <c r="F292" t="s">
        <v>105</v>
      </c>
      <c r="G292" t="s">
        <v>91</v>
      </c>
      <c r="I292" s="2">
        <v>43384</v>
      </c>
      <c r="J292">
        <v>97983194.959999993</v>
      </c>
      <c r="L292">
        <v>97983191.040000007</v>
      </c>
      <c r="M292">
        <v>1.3696E-2</v>
      </c>
      <c r="N292">
        <v>1.2522960000000001</v>
      </c>
      <c r="O292" t="s">
        <v>42</v>
      </c>
      <c r="P292" t="s">
        <v>23</v>
      </c>
      <c r="Q292" s="2">
        <v>43293</v>
      </c>
    </row>
    <row r="293" spans="1:17" x14ac:dyDescent="0.2">
      <c r="A293" s="2">
        <v>43378</v>
      </c>
      <c r="B293" t="s">
        <v>147</v>
      </c>
      <c r="C293" t="s">
        <v>18</v>
      </c>
      <c r="D293" t="s">
        <v>89</v>
      </c>
      <c r="F293" t="s">
        <v>106</v>
      </c>
      <c r="G293" t="s">
        <v>91</v>
      </c>
      <c r="I293" s="2">
        <v>43389</v>
      </c>
      <c r="J293">
        <v>579823187</v>
      </c>
      <c r="L293">
        <v>579823187</v>
      </c>
      <c r="M293">
        <v>2.7389E-2</v>
      </c>
      <c r="N293">
        <v>1.11304</v>
      </c>
      <c r="O293" t="s">
        <v>42</v>
      </c>
      <c r="P293" t="s">
        <v>23</v>
      </c>
      <c r="Q293" s="2">
        <v>43375</v>
      </c>
    </row>
    <row r="294" spans="1:17" x14ac:dyDescent="0.2">
      <c r="A294" s="2">
        <v>43378</v>
      </c>
      <c r="B294" t="s">
        <v>147</v>
      </c>
      <c r="C294" t="s">
        <v>18</v>
      </c>
      <c r="D294" t="s">
        <v>89</v>
      </c>
      <c r="F294" t="s">
        <v>107</v>
      </c>
      <c r="G294" t="s">
        <v>91</v>
      </c>
      <c r="I294" s="2">
        <v>43391</v>
      </c>
      <c r="J294">
        <v>271895348</v>
      </c>
      <c r="L294">
        <v>271895348</v>
      </c>
      <c r="M294">
        <v>3.2864999999999998E-2</v>
      </c>
      <c r="N294">
        <v>1.1707350000000001</v>
      </c>
      <c r="O294" t="s">
        <v>42</v>
      </c>
      <c r="P294" t="s">
        <v>23</v>
      </c>
      <c r="Q294" s="2">
        <v>43209</v>
      </c>
    </row>
    <row r="295" spans="1:17" x14ac:dyDescent="0.2">
      <c r="A295" s="2">
        <v>43378</v>
      </c>
      <c r="B295" t="s">
        <v>147</v>
      </c>
      <c r="C295" t="s">
        <v>18</v>
      </c>
      <c r="D295" t="s">
        <v>89</v>
      </c>
      <c r="F295" t="s">
        <v>108</v>
      </c>
      <c r="G295" t="s">
        <v>91</v>
      </c>
      <c r="I295" s="2">
        <v>43391</v>
      </c>
      <c r="J295">
        <v>149933947.5</v>
      </c>
      <c r="L295">
        <v>149932311</v>
      </c>
      <c r="M295">
        <v>3.2864999999999998E-2</v>
      </c>
      <c r="N295">
        <v>1.37321</v>
      </c>
      <c r="O295" t="s">
        <v>42</v>
      </c>
      <c r="P295" t="s">
        <v>23</v>
      </c>
      <c r="Q295" s="2">
        <v>43300</v>
      </c>
    </row>
    <row r="296" spans="1:17" x14ac:dyDescent="0.2">
      <c r="A296" s="2">
        <v>43378</v>
      </c>
      <c r="B296" t="s">
        <v>147</v>
      </c>
      <c r="C296" t="s">
        <v>18</v>
      </c>
      <c r="D296" t="s">
        <v>89</v>
      </c>
      <c r="F296" t="s">
        <v>109</v>
      </c>
      <c r="G296" t="s">
        <v>91</v>
      </c>
      <c r="I296" s="2">
        <v>43398</v>
      </c>
      <c r="J296">
        <v>164894647.5</v>
      </c>
      <c r="L296">
        <v>164894647.5</v>
      </c>
      <c r="M296">
        <v>5.2024000000000001E-2</v>
      </c>
      <c r="N296">
        <v>1.227368</v>
      </c>
      <c r="O296" t="s">
        <v>42</v>
      </c>
      <c r="P296" t="s">
        <v>23</v>
      </c>
      <c r="Q296" s="2">
        <v>43216</v>
      </c>
    </row>
    <row r="297" spans="1:17" x14ac:dyDescent="0.2">
      <c r="A297" s="2">
        <v>43378</v>
      </c>
      <c r="B297" t="s">
        <v>147</v>
      </c>
      <c r="C297" t="s">
        <v>18</v>
      </c>
      <c r="D297" t="s">
        <v>89</v>
      </c>
      <c r="F297" t="s">
        <v>111</v>
      </c>
      <c r="G297" t="s">
        <v>91</v>
      </c>
      <c r="I297" s="2">
        <v>43468</v>
      </c>
      <c r="J297">
        <v>149464263</v>
      </c>
      <c r="L297">
        <v>149456770.5</v>
      </c>
      <c r="M297">
        <v>0.24296499999999999</v>
      </c>
      <c r="N297">
        <v>1.4906330000000001</v>
      </c>
      <c r="O297" t="s">
        <v>42</v>
      </c>
      <c r="P297" t="s">
        <v>23</v>
      </c>
      <c r="Q297" s="2">
        <v>43377</v>
      </c>
    </row>
    <row r="298" spans="1:17" x14ac:dyDescent="0.2">
      <c r="A298" s="2">
        <v>43378</v>
      </c>
      <c r="B298" t="s">
        <v>147</v>
      </c>
      <c r="C298" t="s">
        <v>131</v>
      </c>
      <c r="D298" t="s">
        <v>319</v>
      </c>
      <c r="E298" t="s">
        <v>137</v>
      </c>
      <c r="F298" t="s">
        <v>218</v>
      </c>
      <c r="J298">
        <v>9992312.8000000007</v>
      </c>
      <c r="L298">
        <v>9992312.8000000007</v>
      </c>
      <c r="N298">
        <v>0</v>
      </c>
      <c r="O298" t="s">
        <v>42</v>
      </c>
      <c r="P298" t="s">
        <v>23</v>
      </c>
      <c r="Q298" s="2">
        <v>43223</v>
      </c>
    </row>
    <row r="299" spans="1:17" x14ac:dyDescent="0.2">
      <c r="A299" s="2">
        <v>43378</v>
      </c>
      <c r="B299" t="s">
        <v>147</v>
      </c>
      <c r="C299" t="s">
        <v>131</v>
      </c>
      <c r="D299" t="s">
        <v>319</v>
      </c>
      <c r="E299" t="s">
        <v>137</v>
      </c>
      <c r="F299" t="s">
        <v>109</v>
      </c>
      <c r="J299">
        <v>24986907.5</v>
      </c>
      <c r="L299">
        <v>24986907.5</v>
      </c>
      <c r="N299">
        <v>0</v>
      </c>
      <c r="O299" t="s">
        <v>42</v>
      </c>
      <c r="P299" t="s">
        <v>23</v>
      </c>
      <c r="Q299" s="2">
        <v>43216</v>
      </c>
    </row>
    <row r="300" spans="1:17" x14ac:dyDescent="0.2">
      <c r="A300" s="2">
        <v>43378</v>
      </c>
      <c r="B300" t="s">
        <v>147</v>
      </c>
      <c r="C300" t="s">
        <v>131</v>
      </c>
      <c r="D300" t="s">
        <v>132</v>
      </c>
      <c r="E300" t="s">
        <v>133</v>
      </c>
      <c r="F300" t="s">
        <v>132</v>
      </c>
      <c r="G300" t="s">
        <v>134</v>
      </c>
      <c r="J300">
        <v>-2179.4499999999998</v>
      </c>
      <c r="L300">
        <v>-2179.4499999999998</v>
      </c>
      <c r="M300">
        <v>0</v>
      </c>
      <c r="N300">
        <v>0</v>
      </c>
      <c r="O300" t="s">
        <v>22</v>
      </c>
      <c r="P300" t="s">
        <v>23</v>
      </c>
      <c r="Q300" s="2">
        <v>2</v>
      </c>
    </row>
    <row r="301" spans="1:17" x14ac:dyDescent="0.2">
      <c r="A301" s="2">
        <v>43378</v>
      </c>
      <c r="B301" t="s">
        <v>147</v>
      </c>
      <c r="C301" t="s">
        <v>135</v>
      </c>
      <c r="D301" t="s">
        <v>138</v>
      </c>
      <c r="E301" t="s">
        <v>138</v>
      </c>
      <c r="F301" t="s">
        <v>138</v>
      </c>
      <c r="J301">
        <v>-20794.62</v>
      </c>
      <c r="N301">
        <v>0</v>
      </c>
    </row>
    <row r="302" spans="1:17" x14ac:dyDescent="0.2">
      <c r="A302" s="2">
        <v>43378</v>
      </c>
      <c r="B302" t="s">
        <v>147</v>
      </c>
      <c r="C302" t="s">
        <v>135</v>
      </c>
      <c r="D302" t="s">
        <v>139</v>
      </c>
      <c r="J302">
        <v>-70554.539999999994</v>
      </c>
      <c r="K302">
        <v>0</v>
      </c>
      <c r="N302">
        <v>0</v>
      </c>
    </row>
    <row r="303" spans="1:17" x14ac:dyDescent="0.2">
      <c r="A303" s="2">
        <v>43378</v>
      </c>
      <c r="B303" t="s">
        <v>147</v>
      </c>
      <c r="C303" t="s">
        <v>135</v>
      </c>
      <c r="D303" t="s">
        <v>140</v>
      </c>
      <c r="E303" t="s">
        <v>140</v>
      </c>
      <c r="F303" t="s">
        <v>140</v>
      </c>
      <c r="J303">
        <v>-4182.17</v>
      </c>
      <c r="N303">
        <v>0</v>
      </c>
    </row>
    <row r="304" spans="1:17" x14ac:dyDescent="0.2">
      <c r="A304" s="2">
        <v>43378</v>
      </c>
      <c r="B304" t="s">
        <v>147</v>
      </c>
      <c r="C304" t="s">
        <v>135</v>
      </c>
      <c r="D304" t="s">
        <v>140</v>
      </c>
      <c r="E304" t="s">
        <v>140</v>
      </c>
      <c r="F304" t="s">
        <v>140</v>
      </c>
      <c r="J304">
        <v>-708.25</v>
      </c>
      <c r="N304">
        <v>0</v>
      </c>
    </row>
    <row r="305" spans="1:17" x14ac:dyDescent="0.2">
      <c r="A305" s="2">
        <v>43378</v>
      </c>
      <c r="B305" t="s">
        <v>147</v>
      </c>
      <c r="C305" t="s">
        <v>135</v>
      </c>
      <c r="D305" t="s">
        <v>141</v>
      </c>
      <c r="E305" t="s">
        <v>141</v>
      </c>
      <c r="J305">
        <v>-11194.14</v>
      </c>
      <c r="L305">
        <v>-11194.14</v>
      </c>
      <c r="N305">
        <v>0</v>
      </c>
    </row>
    <row r="306" spans="1:17" x14ac:dyDescent="0.2">
      <c r="A306" s="2">
        <v>43378</v>
      </c>
      <c r="B306" t="s">
        <v>147</v>
      </c>
      <c r="C306" t="s">
        <v>135</v>
      </c>
      <c r="D306" t="s">
        <v>142</v>
      </c>
      <c r="E306" t="s">
        <v>142</v>
      </c>
      <c r="J306">
        <v>-323602.36</v>
      </c>
      <c r="L306">
        <v>-323602.36</v>
      </c>
      <c r="N306">
        <v>0</v>
      </c>
    </row>
    <row r="307" spans="1:17" x14ac:dyDescent="0.2">
      <c r="A307" s="2">
        <v>43378</v>
      </c>
      <c r="B307" t="s">
        <v>147</v>
      </c>
      <c r="C307" t="s">
        <v>135</v>
      </c>
      <c r="D307" t="s">
        <v>143</v>
      </c>
      <c r="E307" t="s">
        <v>143</v>
      </c>
      <c r="J307">
        <v>0</v>
      </c>
      <c r="L307">
        <v>0</v>
      </c>
      <c r="N307">
        <v>0</v>
      </c>
    </row>
    <row r="308" spans="1:17" x14ac:dyDescent="0.2">
      <c r="A308" s="2">
        <v>43378</v>
      </c>
      <c r="B308" t="s">
        <v>147</v>
      </c>
      <c r="C308" t="s">
        <v>144</v>
      </c>
      <c r="D308" t="s">
        <v>141</v>
      </c>
      <c r="E308" t="s">
        <v>141</v>
      </c>
      <c r="J308">
        <v>-2785.99</v>
      </c>
      <c r="L308">
        <v>-2785.99</v>
      </c>
      <c r="N308">
        <v>0</v>
      </c>
    </row>
    <row r="309" spans="1:17" x14ac:dyDescent="0.2">
      <c r="A309" s="2">
        <v>43378</v>
      </c>
      <c r="B309" t="s">
        <v>147</v>
      </c>
      <c r="C309" t="s">
        <v>144</v>
      </c>
      <c r="D309" t="s">
        <v>142</v>
      </c>
      <c r="E309" t="s">
        <v>142</v>
      </c>
      <c r="J309">
        <v>-80538.16</v>
      </c>
      <c r="L309">
        <v>-80538.16</v>
      </c>
      <c r="N309">
        <v>0</v>
      </c>
    </row>
    <row r="310" spans="1:17" x14ac:dyDescent="0.2">
      <c r="A310" s="2">
        <v>43378</v>
      </c>
      <c r="B310" t="s">
        <v>147</v>
      </c>
      <c r="C310" t="s">
        <v>144</v>
      </c>
      <c r="D310" t="s">
        <v>143</v>
      </c>
      <c r="E310" t="s">
        <v>143</v>
      </c>
      <c r="J310">
        <v>0</v>
      </c>
      <c r="L310">
        <v>0</v>
      </c>
      <c r="N310">
        <v>0</v>
      </c>
    </row>
    <row r="311" spans="1:17" x14ac:dyDescent="0.2">
      <c r="A311" s="2">
        <v>43378</v>
      </c>
      <c r="B311" t="s">
        <v>148</v>
      </c>
      <c r="C311" t="s">
        <v>18</v>
      </c>
      <c r="D311" t="s">
        <v>19</v>
      </c>
      <c r="F311" t="s">
        <v>20</v>
      </c>
      <c r="G311" t="s">
        <v>153</v>
      </c>
      <c r="J311">
        <v>2357667.9500000002</v>
      </c>
      <c r="K311">
        <v>5893.76</v>
      </c>
      <c r="L311">
        <v>2357667.9500000002</v>
      </c>
      <c r="M311">
        <v>0</v>
      </c>
      <c r="N311">
        <v>0</v>
      </c>
      <c r="O311" t="s">
        <v>22</v>
      </c>
      <c r="P311" t="s">
        <v>23</v>
      </c>
      <c r="Q311" s="2">
        <v>2</v>
      </c>
    </row>
    <row r="312" spans="1:17" x14ac:dyDescent="0.2">
      <c r="A312" s="2">
        <v>43378</v>
      </c>
      <c r="B312" t="s">
        <v>148</v>
      </c>
      <c r="C312" t="s">
        <v>18</v>
      </c>
      <c r="D312" t="s">
        <v>38</v>
      </c>
      <c r="F312" t="s">
        <v>322</v>
      </c>
      <c r="G312" t="s">
        <v>58</v>
      </c>
      <c r="H312" t="s">
        <v>59</v>
      </c>
      <c r="I312" s="2">
        <v>43441</v>
      </c>
      <c r="J312">
        <v>150000000</v>
      </c>
      <c r="K312">
        <v>1985753.42</v>
      </c>
      <c r="L312">
        <v>150000000</v>
      </c>
      <c r="M312">
        <v>0.172127</v>
      </c>
      <c r="N312">
        <v>1.6</v>
      </c>
      <c r="O312" t="s">
        <v>42</v>
      </c>
      <c r="P312" t="s">
        <v>23</v>
      </c>
      <c r="Q312" s="2">
        <v>43077</v>
      </c>
    </row>
    <row r="313" spans="1:17" x14ac:dyDescent="0.2">
      <c r="A313" s="2">
        <v>43378</v>
      </c>
      <c r="B313" t="s">
        <v>148</v>
      </c>
      <c r="C313" t="s">
        <v>18</v>
      </c>
      <c r="D313" t="s">
        <v>38</v>
      </c>
      <c r="F313" t="s">
        <v>317</v>
      </c>
      <c r="G313" t="s">
        <v>58</v>
      </c>
      <c r="H313" t="s">
        <v>59</v>
      </c>
      <c r="I313" s="2">
        <v>43564</v>
      </c>
      <c r="J313">
        <v>120000000</v>
      </c>
      <c r="K313">
        <v>887671.23</v>
      </c>
      <c r="L313">
        <v>120000000</v>
      </c>
      <c r="M313">
        <v>0.50575099999999995</v>
      </c>
      <c r="N313">
        <v>1.5</v>
      </c>
      <c r="O313" t="s">
        <v>42</v>
      </c>
      <c r="P313" t="s">
        <v>23</v>
      </c>
      <c r="Q313" s="2">
        <v>43199</v>
      </c>
    </row>
    <row r="314" spans="1:17" x14ac:dyDescent="0.2">
      <c r="A314" s="2">
        <v>43378</v>
      </c>
      <c r="B314" t="s">
        <v>148</v>
      </c>
      <c r="C314" t="s">
        <v>18</v>
      </c>
      <c r="D314" t="s">
        <v>38</v>
      </c>
      <c r="F314" t="s">
        <v>61</v>
      </c>
      <c r="G314" t="s">
        <v>58</v>
      </c>
      <c r="H314" t="s">
        <v>59</v>
      </c>
      <c r="I314" s="2">
        <v>43686</v>
      </c>
      <c r="J314">
        <v>60000000</v>
      </c>
      <c r="K314">
        <v>162082.19</v>
      </c>
      <c r="L314">
        <v>60000000</v>
      </c>
      <c r="M314">
        <v>0.83193300000000003</v>
      </c>
      <c r="N314">
        <v>1.7</v>
      </c>
      <c r="O314" t="s">
        <v>42</v>
      </c>
      <c r="P314" t="s">
        <v>23</v>
      </c>
      <c r="Q314" s="2">
        <v>43321</v>
      </c>
    </row>
    <row r="315" spans="1:17" x14ac:dyDescent="0.2">
      <c r="A315" s="2">
        <v>43378</v>
      </c>
      <c r="B315" t="s">
        <v>148</v>
      </c>
      <c r="C315" t="s">
        <v>18</v>
      </c>
      <c r="D315" t="s">
        <v>38</v>
      </c>
      <c r="F315" t="s">
        <v>65</v>
      </c>
      <c r="G315" t="s">
        <v>58</v>
      </c>
      <c r="H315" t="s">
        <v>59</v>
      </c>
      <c r="I315" s="2">
        <v>43483</v>
      </c>
      <c r="J315">
        <v>50000000</v>
      </c>
      <c r="K315">
        <v>572054.79</v>
      </c>
      <c r="L315">
        <v>50000000</v>
      </c>
      <c r="M315">
        <v>0.28635300000000002</v>
      </c>
      <c r="N315">
        <v>1.6</v>
      </c>
      <c r="O315" t="s">
        <v>42</v>
      </c>
      <c r="P315" t="s">
        <v>23</v>
      </c>
      <c r="Q315" s="2">
        <v>43118</v>
      </c>
    </row>
    <row r="316" spans="1:17" x14ac:dyDescent="0.2">
      <c r="A316" s="2">
        <v>43378</v>
      </c>
      <c r="B316" t="s">
        <v>148</v>
      </c>
      <c r="C316" t="s">
        <v>18</v>
      </c>
      <c r="D316" t="s">
        <v>38</v>
      </c>
      <c r="F316" t="s">
        <v>184</v>
      </c>
      <c r="G316" t="s">
        <v>58</v>
      </c>
      <c r="H316" t="s">
        <v>59</v>
      </c>
      <c r="I316" s="2">
        <v>43672</v>
      </c>
      <c r="J316">
        <v>200000000</v>
      </c>
      <c r="K316">
        <v>670684.93000000005</v>
      </c>
      <c r="L316">
        <v>200000000</v>
      </c>
      <c r="M316">
        <v>0.79463399999999995</v>
      </c>
      <c r="N316">
        <v>1.7</v>
      </c>
      <c r="O316" t="s">
        <v>42</v>
      </c>
      <c r="P316" t="s">
        <v>23</v>
      </c>
      <c r="Q316" s="2">
        <v>43307</v>
      </c>
    </row>
    <row r="317" spans="1:17" x14ac:dyDescent="0.2">
      <c r="A317" s="2">
        <v>43378</v>
      </c>
      <c r="B317" t="s">
        <v>148</v>
      </c>
      <c r="C317" t="s">
        <v>18</v>
      </c>
      <c r="D317" t="s">
        <v>38</v>
      </c>
      <c r="F317" t="s">
        <v>323</v>
      </c>
      <c r="G317" t="s">
        <v>73</v>
      </c>
      <c r="H317" t="s">
        <v>27</v>
      </c>
      <c r="I317" s="2">
        <v>55153</v>
      </c>
      <c r="J317">
        <v>2041</v>
      </c>
      <c r="K317">
        <v>2.0299999999999998</v>
      </c>
      <c r="L317">
        <v>2041</v>
      </c>
      <c r="M317">
        <v>0</v>
      </c>
      <c r="N317">
        <v>0</v>
      </c>
      <c r="O317" t="s">
        <v>42</v>
      </c>
      <c r="P317" t="s">
        <v>23</v>
      </c>
      <c r="Q317" s="2">
        <v>41247</v>
      </c>
    </row>
    <row r="318" spans="1:17" x14ac:dyDescent="0.2">
      <c r="A318" s="2">
        <v>43378</v>
      </c>
      <c r="B318" t="s">
        <v>148</v>
      </c>
      <c r="C318" t="s">
        <v>18</v>
      </c>
      <c r="D318" t="s">
        <v>38</v>
      </c>
      <c r="F318" t="s">
        <v>324</v>
      </c>
      <c r="G318" t="s">
        <v>75</v>
      </c>
      <c r="H318" t="s">
        <v>59</v>
      </c>
      <c r="I318" s="2">
        <v>44196</v>
      </c>
      <c r="J318">
        <v>134816728.56</v>
      </c>
      <c r="K318">
        <v>117910.66</v>
      </c>
      <c r="L318">
        <v>134816728.56</v>
      </c>
      <c r="M318">
        <v>0</v>
      </c>
      <c r="N318">
        <v>0</v>
      </c>
      <c r="O318" t="s">
        <v>42</v>
      </c>
      <c r="P318" t="s">
        <v>23</v>
      </c>
      <c r="Q318" s="2">
        <v>41164</v>
      </c>
    </row>
    <row r="319" spans="1:17" x14ac:dyDescent="0.2">
      <c r="A319" s="2">
        <v>43378</v>
      </c>
      <c r="B319" t="s">
        <v>148</v>
      </c>
      <c r="C319" t="s">
        <v>18</v>
      </c>
      <c r="D319" t="s">
        <v>85</v>
      </c>
      <c r="F319" t="s">
        <v>86</v>
      </c>
      <c r="G319" t="s">
        <v>87</v>
      </c>
      <c r="H319" t="s">
        <v>29</v>
      </c>
      <c r="I319" s="2">
        <v>43418</v>
      </c>
      <c r="J319">
        <v>67911473.519999996</v>
      </c>
      <c r="L319">
        <v>67911473.519999996</v>
      </c>
      <c r="M319">
        <v>0.10671</v>
      </c>
      <c r="N319">
        <v>1.22</v>
      </c>
      <c r="O319" t="s">
        <v>42</v>
      </c>
      <c r="P319" t="s">
        <v>23</v>
      </c>
      <c r="Q319" s="2">
        <v>43054</v>
      </c>
    </row>
    <row r="320" spans="1:17" x14ac:dyDescent="0.2">
      <c r="A320" s="2">
        <v>43378</v>
      </c>
      <c r="B320" t="s">
        <v>148</v>
      </c>
      <c r="C320" t="s">
        <v>18</v>
      </c>
      <c r="D320" t="s">
        <v>89</v>
      </c>
      <c r="F320" t="s">
        <v>325</v>
      </c>
      <c r="G320" t="s">
        <v>91</v>
      </c>
      <c r="I320" s="2">
        <v>43440</v>
      </c>
      <c r="J320">
        <v>49890773.5</v>
      </c>
      <c r="L320">
        <v>49890773.5</v>
      </c>
      <c r="M320">
        <v>0.16670299999999999</v>
      </c>
      <c r="N320">
        <v>1.31</v>
      </c>
      <c r="O320" t="s">
        <v>42</v>
      </c>
      <c r="P320" t="s">
        <v>23</v>
      </c>
      <c r="Q320" s="2">
        <v>43076</v>
      </c>
    </row>
    <row r="321" spans="1:17" x14ac:dyDescent="0.2">
      <c r="A321" s="2">
        <v>43378</v>
      </c>
      <c r="B321" t="s">
        <v>148</v>
      </c>
      <c r="C321" t="s">
        <v>18</v>
      </c>
      <c r="D321" t="s">
        <v>89</v>
      </c>
      <c r="F321" t="s">
        <v>90</v>
      </c>
      <c r="G321" t="s">
        <v>91</v>
      </c>
      <c r="I321" s="2">
        <v>43440</v>
      </c>
      <c r="J321">
        <v>997832110</v>
      </c>
      <c r="L321">
        <v>997761210</v>
      </c>
      <c r="M321">
        <v>0.16670299999999999</v>
      </c>
      <c r="N321">
        <v>1.3426119999999999</v>
      </c>
      <c r="O321" t="s">
        <v>42</v>
      </c>
      <c r="P321" t="s">
        <v>23</v>
      </c>
      <c r="Q321" s="2">
        <v>43349</v>
      </c>
    </row>
    <row r="322" spans="1:17" x14ac:dyDescent="0.2">
      <c r="A322" s="2">
        <v>43378</v>
      </c>
      <c r="B322" t="s">
        <v>148</v>
      </c>
      <c r="C322" t="s">
        <v>18</v>
      </c>
      <c r="D322" t="s">
        <v>89</v>
      </c>
      <c r="F322" t="s">
        <v>92</v>
      </c>
      <c r="G322" t="s">
        <v>91</v>
      </c>
      <c r="I322" s="2">
        <v>43447</v>
      </c>
      <c r="J322">
        <v>957887251.20000005</v>
      </c>
      <c r="L322">
        <v>957870662.39999998</v>
      </c>
      <c r="M322">
        <v>0.185834</v>
      </c>
      <c r="N322">
        <v>1.193222</v>
      </c>
      <c r="O322" t="s">
        <v>42</v>
      </c>
      <c r="P322" t="s">
        <v>23</v>
      </c>
      <c r="Q322" s="2">
        <v>43356</v>
      </c>
    </row>
    <row r="323" spans="1:17" x14ac:dyDescent="0.2">
      <c r="A323" s="2">
        <v>43378</v>
      </c>
      <c r="B323" t="s">
        <v>148</v>
      </c>
      <c r="C323" t="s">
        <v>18</v>
      </c>
      <c r="D323" t="s">
        <v>89</v>
      </c>
      <c r="F323" t="s">
        <v>93</v>
      </c>
      <c r="G323" t="s">
        <v>91</v>
      </c>
      <c r="I323" s="2">
        <v>43454</v>
      </c>
      <c r="J323">
        <v>598456722</v>
      </c>
      <c r="L323">
        <v>598307142</v>
      </c>
      <c r="M323">
        <v>0.204905</v>
      </c>
      <c r="N323">
        <v>1.3769830000000001</v>
      </c>
      <c r="O323" t="s">
        <v>42</v>
      </c>
      <c r="P323" t="s">
        <v>23</v>
      </c>
      <c r="Q323" s="2">
        <v>43363</v>
      </c>
    </row>
    <row r="324" spans="1:17" x14ac:dyDescent="0.2">
      <c r="A324" s="2">
        <v>43378</v>
      </c>
      <c r="B324" t="s">
        <v>148</v>
      </c>
      <c r="C324" t="s">
        <v>18</v>
      </c>
      <c r="D324" t="s">
        <v>89</v>
      </c>
      <c r="F324" t="s">
        <v>217</v>
      </c>
      <c r="G324" t="s">
        <v>91</v>
      </c>
      <c r="I324" s="2">
        <v>43461</v>
      </c>
      <c r="J324">
        <v>847372913.5</v>
      </c>
      <c r="L324">
        <v>847237857</v>
      </c>
      <c r="M324">
        <v>0.223943</v>
      </c>
      <c r="N324">
        <v>1.451176</v>
      </c>
      <c r="O324" t="s">
        <v>42</v>
      </c>
      <c r="P324" t="s">
        <v>23</v>
      </c>
      <c r="Q324" s="2">
        <v>43370</v>
      </c>
    </row>
    <row r="325" spans="1:17" x14ac:dyDescent="0.2">
      <c r="A325" s="2">
        <v>43378</v>
      </c>
      <c r="B325" t="s">
        <v>148</v>
      </c>
      <c r="C325" t="s">
        <v>18</v>
      </c>
      <c r="D325" t="s">
        <v>89</v>
      </c>
      <c r="F325" t="s">
        <v>218</v>
      </c>
      <c r="G325" t="s">
        <v>91</v>
      </c>
      <c r="I325" s="2">
        <v>43405</v>
      </c>
      <c r="J325">
        <v>201822751.06</v>
      </c>
      <c r="L325">
        <v>201822751.06</v>
      </c>
      <c r="M325">
        <v>7.1174000000000001E-2</v>
      </c>
      <c r="N325">
        <v>1.2329209999999999</v>
      </c>
      <c r="O325" t="s">
        <v>42</v>
      </c>
      <c r="P325" t="s">
        <v>23</v>
      </c>
      <c r="Q325" s="2">
        <v>43223</v>
      </c>
    </row>
    <row r="326" spans="1:17" x14ac:dyDescent="0.2">
      <c r="A326" s="2">
        <v>43378</v>
      </c>
      <c r="B326" t="s">
        <v>148</v>
      </c>
      <c r="C326" t="s">
        <v>18</v>
      </c>
      <c r="D326" t="s">
        <v>89</v>
      </c>
      <c r="F326" t="s">
        <v>94</v>
      </c>
      <c r="G326" t="s">
        <v>91</v>
      </c>
      <c r="I326" s="2">
        <v>43405</v>
      </c>
      <c r="J326">
        <v>1348789063.5</v>
      </c>
      <c r="L326">
        <v>1348783312.5</v>
      </c>
      <c r="M326">
        <v>7.1174000000000001E-2</v>
      </c>
      <c r="N326">
        <v>1.266359</v>
      </c>
      <c r="O326" t="s">
        <v>42</v>
      </c>
      <c r="P326" t="s">
        <v>23</v>
      </c>
      <c r="Q326" s="2">
        <v>43314</v>
      </c>
    </row>
    <row r="327" spans="1:17" x14ac:dyDescent="0.2">
      <c r="A327" s="2">
        <v>43378</v>
      </c>
      <c r="B327" t="s">
        <v>148</v>
      </c>
      <c r="C327" t="s">
        <v>18</v>
      </c>
      <c r="D327" t="s">
        <v>89</v>
      </c>
      <c r="F327" t="s">
        <v>95</v>
      </c>
      <c r="G327" t="s">
        <v>91</v>
      </c>
      <c r="I327" s="2">
        <v>43412</v>
      </c>
      <c r="J327">
        <v>43951683.159999996</v>
      </c>
      <c r="L327">
        <v>43951683.159999996</v>
      </c>
      <c r="M327">
        <v>9.0315000000000006E-2</v>
      </c>
      <c r="N327">
        <v>1.2159089999999999</v>
      </c>
      <c r="O327" t="s">
        <v>42</v>
      </c>
      <c r="P327" t="s">
        <v>23</v>
      </c>
      <c r="Q327" s="2">
        <v>43230</v>
      </c>
    </row>
    <row r="328" spans="1:17" x14ac:dyDescent="0.2">
      <c r="A328" s="2">
        <v>43378</v>
      </c>
      <c r="B328" t="s">
        <v>148</v>
      </c>
      <c r="C328" t="s">
        <v>18</v>
      </c>
      <c r="D328" t="s">
        <v>89</v>
      </c>
      <c r="F328" t="s">
        <v>96</v>
      </c>
      <c r="G328" t="s">
        <v>91</v>
      </c>
      <c r="I328" s="2">
        <v>43412</v>
      </c>
      <c r="J328">
        <v>671285603.51999998</v>
      </c>
      <c r="L328">
        <v>671284830.72000003</v>
      </c>
      <c r="M328">
        <v>9.0315999999999994E-2</v>
      </c>
      <c r="N328">
        <v>1.1783650000000001</v>
      </c>
      <c r="O328" t="s">
        <v>42</v>
      </c>
      <c r="P328" t="s">
        <v>23</v>
      </c>
      <c r="Q328" s="2">
        <v>43321</v>
      </c>
    </row>
    <row r="329" spans="1:17" x14ac:dyDescent="0.2">
      <c r="A329" s="2">
        <v>43378</v>
      </c>
      <c r="B329" t="s">
        <v>148</v>
      </c>
      <c r="C329" t="s">
        <v>18</v>
      </c>
      <c r="D329" t="s">
        <v>89</v>
      </c>
      <c r="F329" t="s">
        <v>97</v>
      </c>
      <c r="G329" t="s">
        <v>91</v>
      </c>
      <c r="I329" s="2">
        <v>43419</v>
      </c>
      <c r="J329">
        <v>30960133.379999999</v>
      </c>
      <c r="L329">
        <v>30960133.379999999</v>
      </c>
      <c r="M329">
        <v>0.109448</v>
      </c>
      <c r="N329">
        <v>1.175</v>
      </c>
      <c r="O329" t="s">
        <v>42</v>
      </c>
      <c r="P329" t="s">
        <v>23</v>
      </c>
      <c r="Q329" s="2">
        <v>43237</v>
      </c>
    </row>
    <row r="330" spans="1:17" x14ac:dyDescent="0.2">
      <c r="A330" s="2">
        <v>43378</v>
      </c>
      <c r="B330" t="s">
        <v>148</v>
      </c>
      <c r="C330" t="s">
        <v>18</v>
      </c>
      <c r="D330" t="s">
        <v>89</v>
      </c>
      <c r="F330" t="s">
        <v>98</v>
      </c>
      <c r="G330" t="s">
        <v>91</v>
      </c>
      <c r="I330" s="2">
        <v>43419</v>
      </c>
      <c r="J330">
        <v>1002653716.3200001</v>
      </c>
      <c r="L330">
        <v>1002652862.92</v>
      </c>
      <c r="M330">
        <v>0.109448</v>
      </c>
      <c r="N330">
        <v>1.22601</v>
      </c>
      <c r="O330" t="s">
        <v>42</v>
      </c>
      <c r="P330" t="s">
        <v>23</v>
      </c>
      <c r="Q330" s="2">
        <v>43328</v>
      </c>
    </row>
    <row r="331" spans="1:17" x14ac:dyDescent="0.2">
      <c r="A331" s="2">
        <v>43378</v>
      </c>
      <c r="B331" t="s">
        <v>148</v>
      </c>
      <c r="C331" t="s">
        <v>18</v>
      </c>
      <c r="D331" t="s">
        <v>89</v>
      </c>
      <c r="F331" t="s">
        <v>100</v>
      </c>
      <c r="G331" t="s">
        <v>91</v>
      </c>
      <c r="I331" s="2">
        <v>43426</v>
      </c>
      <c r="J331">
        <v>338456305.01999998</v>
      </c>
      <c r="L331">
        <v>338447450.33999997</v>
      </c>
      <c r="M331">
        <v>0.12857099999999999</v>
      </c>
      <c r="N331">
        <v>1.267868</v>
      </c>
      <c r="O331" t="s">
        <v>42</v>
      </c>
      <c r="P331" t="s">
        <v>23</v>
      </c>
      <c r="Q331" s="2">
        <v>43335</v>
      </c>
    </row>
    <row r="332" spans="1:17" x14ac:dyDescent="0.2">
      <c r="A332" s="2">
        <v>43378</v>
      </c>
      <c r="B332" t="s">
        <v>148</v>
      </c>
      <c r="C332" t="s">
        <v>18</v>
      </c>
      <c r="D332" t="s">
        <v>89</v>
      </c>
      <c r="F332" t="s">
        <v>102</v>
      </c>
      <c r="G332" t="s">
        <v>91</v>
      </c>
      <c r="I332" s="2">
        <v>43433</v>
      </c>
      <c r="J332">
        <v>664829538.29999995</v>
      </c>
      <c r="L332">
        <v>664778649.24000001</v>
      </c>
      <c r="M332">
        <v>0.14767</v>
      </c>
      <c r="N332">
        <v>1.241832</v>
      </c>
      <c r="O332" t="s">
        <v>42</v>
      </c>
      <c r="P332" t="s">
        <v>23</v>
      </c>
      <c r="Q332" s="2">
        <v>43342</v>
      </c>
    </row>
    <row r="333" spans="1:17" x14ac:dyDescent="0.2">
      <c r="A333" s="2">
        <v>43378</v>
      </c>
      <c r="B333" t="s">
        <v>148</v>
      </c>
      <c r="C333" t="s">
        <v>18</v>
      </c>
      <c r="D333" t="s">
        <v>89</v>
      </c>
      <c r="F333" t="s">
        <v>103</v>
      </c>
      <c r="G333" t="s">
        <v>91</v>
      </c>
      <c r="I333" s="2">
        <v>43382</v>
      </c>
      <c r="J333">
        <v>473954600.27999997</v>
      </c>
      <c r="L333">
        <v>473954600.27999997</v>
      </c>
      <c r="M333">
        <v>8.2179999999999996E-3</v>
      </c>
      <c r="N333">
        <v>1.16547</v>
      </c>
      <c r="O333" t="s">
        <v>42</v>
      </c>
      <c r="P333" t="s">
        <v>23</v>
      </c>
      <c r="Q333" s="2">
        <v>43368</v>
      </c>
    </row>
    <row r="334" spans="1:17" x14ac:dyDescent="0.2">
      <c r="A334" s="2">
        <v>43378</v>
      </c>
      <c r="B334" t="s">
        <v>148</v>
      </c>
      <c r="C334" t="s">
        <v>18</v>
      </c>
      <c r="D334" t="s">
        <v>89</v>
      </c>
      <c r="F334" t="s">
        <v>104</v>
      </c>
      <c r="G334" t="s">
        <v>91</v>
      </c>
      <c r="I334" s="2">
        <v>43384</v>
      </c>
      <c r="J334">
        <v>211766063.28999999</v>
      </c>
      <c r="L334">
        <v>211766063.28999999</v>
      </c>
      <c r="M334">
        <v>1.3697000000000001E-2</v>
      </c>
      <c r="N334">
        <v>1.169896</v>
      </c>
      <c r="O334" t="s">
        <v>42</v>
      </c>
      <c r="P334" t="s">
        <v>23</v>
      </c>
      <c r="Q334" s="2">
        <v>43202</v>
      </c>
    </row>
    <row r="335" spans="1:17" x14ac:dyDescent="0.2">
      <c r="A335" s="2">
        <v>43378</v>
      </c>
      <c r="B335" t="s">
        <v>148</v>
      </c>
      <c r="C335" t="s">
        <v>18</v>
      </c>
      <c r="D335" t="s">
        <v>89</v>
      </c>
      <c r="F335" t="s">
        <v>105</v>
      </c>
      <c r="G335" t="s">
        <v>91</v>
      </c>
      <c r="I335" s="2">
        <v>43384</v>
      </c>
      <c r="J335">
        <v>662881999.25999999</v>
      </c>
      <c r="L335">
        <v>662881959.48000002</v>
      </c>
      <c r="M335">
        <v>1.3696E-2</v>
      </c>
      <c r="N335">
        <v>1.299917</v>
      </c>
      <c r="O335" t="s">
        <v>42</v>
      </c>
      <c r="P335" t="s">
        <v>23</v>
      </c>
      <c r="Q335" s="2">
        <v>43293</v>
      </c>
    </row>
    <row r="336" spans="1:17" x14ac:dyDescent="0.2">
      <c r="A336" s="2">
        <v>43378</v>
      </c>
      <c r="B336" t="s">
        <v>148</v>
      </c>
      <c r="C336" t="s">
        <v>18</v>
      </c>
      <c r="D336" t="s">
        <v>89</v>
      </c>
      <c r="F336" t="s">
        <v>106</v>
      </c>
      <c r="G336" t="s">
        <v>91</v>
      </c>
      <c r="I336" s="2">
        <v>43389</v>
      </c>
      <c r="J336">
        <v>819750096.79999995</v>
      </c>
      <c r="L336">
        <v>819750096.79999995</v>
      </c>
      <c r="M336">
        <v>2.7389E-2</v>
      </c>
      <c r="N336">
        <v>1.1127279999999999</v>
      </c>
      <c r="O336" t="s">
        <v>42</v>
      </c>
      <c r="P336" t="s">
        <v>23</v>
      </c>
      <c r="Q336" s="2">
        <v>43375</v>
      </c>
    </row>
    <row r="337" spans="1:17" x14ac:dyDescent="0.2">
      <c r="A337" s="2">
        <v>43378</v>
      </c>
      <c r="B337" t="s">
        <v>148</v>
      </c>
      <c r="C337" t="s">
        <v>18</v>
      </c>
      <c r="D337" t="s">
        <v>89</v>
      </c>
      <c r="F337" t="s">
        <v>107</v>
      </c>
      <c r="G337" t="s">
        <v>91</v>
      </c>
      <c r="I337" s="2">
        <v>43391</v>
      </c>
      <c r="J337">
        <v>204924875.69999999</v>
      </c>
      <c r="L337">
        <v>204924875.69999999</v>
      </c>
      <c r="M337">
        <v>3.2864999999999998E-2</v>
      </c>
      <c r="N337">
        <v>1.115073</v>
      </c>
      <c r="O337" t="s">
        <v>42</v>
      </c>
      <c r="P337" t="s">
        <v>23</v>
      </c>
      <c r="Q337" s="2">
        <v>43209</v>
      </c>
    </row>
    <row r="338" spans="1:17" x14ac:dyDescent="0.2">
      <c r="A338" s="2">
        <v>43378</v>
      </c>
      <c r="B338" t="s">
        <v>148</v>
      </c>
      <c r="C338" t="s">
        <v>18</v>
      </c>
      <c r="D338" t="s">
        <v>89</v>
      </c>
      <c r="F338" t="s">
        <v>108</v>
      </c>
      <c r="G338" t="s">
        <v>91</v>
      </c>
      <c r="I338" s="2">
        <v>43391</v>
      </c>
      <c r="J338">
        <v>326857359.32999998</v>
      </c>
      <c r="L338">
        <v>326854030.47000003</v>
      </c>
      <c r="M338">
        <v>3.2864999999999998E-2</v>
      </c>
      <c r="N338">
        <v>1.3583860000000001</v>
      </c>
      <c r="O338" t="s">
        <v>42</v>
      </c>
      <c r="P338" t="s">
        <v>23</v>
      </c>
      <c r="Q338" s="2">
        <v>43300</v>
      </c>
    </row>
    <row r="339" spans="1:17" x14ac:dyDescent="0.2">
      <c r="A339" s="2">
        <v>43378</v>
      </c>
      <c r="B339" t="s">
        <v>148</v>
      </c>
      <c r="C339" t="s">
        <v>18</v>
      </c>
      <c r="D339" t="s">
        <v>89</v>
      </c>
      <c r="F339" t="s">
        <v>494</v>
      </c>
      <c r="G339" t="s">
        <v>91</v>
      </c>
      <c r="I339" s="2">
        <v>43397</v>
      </c>
      <c r="J339">
        <v>469780283.32999998</v>
      </c>
      <c r="L339">
        <v>469780283.32999998</v>
      </c>
      <c r="M339">
        <v>5.2054999999999997E-2</v>
      </c>
      <c r="N339">
        <v>1.1380790000000001</v>
      </c>
      <c r="O339" t="s">
        <v>42</v>
      </c>
      <c r="P339" t="s">
        <v>23</v>
      </c>
      <c r="Q339" s="2">
        <v>43382</v>
      </c>
    </row>
    <row r="340" spans="1:17" x14ac:dyDescent="0.2">
      <c r="A340" s="2">
        <v>43378</v>
      </c>
      <c r="B340" t="s">
        <v>148</v>
      </c>
      <c r="C340" t="s">
        <v>18</v>
      </c>
      <c r="D340" t="s">
        <v>89</v>
      </c>
      <c r="F340" t="s">
        <v>109</v>
      </c>
      <c r="G340" t="s">
        <v>91</v>
      </c>
      <c r="I340" s="2">
        <v>43398</v>
      </c>
      <c r="J340">
        <v>264832358.34999999</v>
      </c>
      <c r="L340">
        <v>264832358.34999999</v>
      </c>
      <c r="M340">
        <v>5.2024000000000001E-2</v>
      </c>
      <c r="N340">
        <v>1.2160530000000001</v>
      </c>
      <c r="O340" t="s">
        <v>42</v>
      </c>
      <c r="P340" t="s">
        <v>23</v>
      </c>
      <c r="Q340" s="2">
        <v>43216</v>
      </c>
    </row>
    <row r="341" spans="1:17" x14ac:dyDescent="0.2">
      <c r="A341" s="2">
        <v>43378</v>
      </c>
      <c r="B341" t="s">
        <v>148</v>
      </c>
      <c r="C341" t="s">
        <v>18</v>
      </c>
      <c r="D341" t="s">
        <v>89</v>
      </c>
      <c r="F341" t="s">
        <v>110</v>
      </c>
      <c r="G341" t="s">
        <v>91</v>
      </c>
      <c r="I341" s="2">
        <v>43398</v>
      </c>
      <c r="J341">
        <v>1204254346</v>
      </c>
      <c r="L341">
        <v>1204233547.7</v>
      </c>
      <c r="M341">
        <v>5.2025000000000002E-2</v>
      </c>
      <c r="N341">
        <v>1.222683</v>
      </c>
      <c r="O341" t="s">
        <v>42</v>
      </c>
      <c r="P341" t="s">
        <v>23</v>
      </c>
      <c r="Q341" s="2">
        <v>43307</v>
      </c>
    </row>
    <row r="342" spans="1:17" x14ac:dyDescent="0.2">
      <c r="A342" s="2">
        <v>43378</v>
      </c>
      <c r="B342" t="s">
        <v>148</v>
      </c>
      <c r="C342" t="s">
        <v>18</v>
      </c>
      <c r="D342" t="s">
        <v>89</v>
      </c>
      <c r="F342" t="s">
        <v>111</v>
      </c>
      <c r="G342" t="s">
        <v>91</v>
      </c>
      <c r="I342" s="2">
        <v>43468</v>
      </c>
      <c r="J342">
        <v>448392789</v>
      </c>
      <c r="L342">
        <v>448370271</v>
      </c>
      <c r="M342">
        <v>0.24296499999999999</v>
      </c>
      <c r="N342">
        <v>1.490669</v>
      </c>
      <c r="O342" t="s">
        <v>42</v>
      </c>
      <c r="P342" t="s">
        <v>23</v>
      </c>
      <c r="Q342" s="2">
        <v>43377</v>
      </c>
    </row>
    <row r="343" spans="1:17" x14ac:dyDescent="0.2">
      <c r="A343" s="2">
        <v>43378</v>
      </c>
      <c r="B343" t="s">
        <v>148</v>
      </c>
      <c r="C343" t="s">
        <v>18</v>
      </c>
      <c r="D343" t="s">
        <v>115</v>
      </c>
      <c r="F343" t="s">
        <v>326</v>
      </c>
      <c r="G343" t="s">
        <v>58</v>
      </c>
      <c r="H343" t="s">
        <v>59</v>
      </c>
      <c r="I343" s="2">
        <v>43457</v>
      </c>
      <c r="J343">
        <v>100267476</v>
      </c>
      <c r="K343">
        <v>773836</v>
      </c>
      <c r="L343">
        <v>100263036</v>
      </c>
      <c r="M343">
        <v>0.21213599999999999</v>
      </c>
      <c r="N343">
        <v>1.43</v>
      </c>
      <c r="O343" t="s">
        <v>42</v>
      </c>
      <c r="P343" t="s">
        <v>23</v>
      </c>
      <c r="Q343" s="2">
        <v>42178</v>
      </c>
    </row>
    <row r="344" spans="1:17" x14ac:dyDescent="0.2">
      <c r="A344" s="2">
        <v>43378</v>
      </c>
      <c r="B344" t="s">
        <v>148</v>
      </c>
      <c r="C344" t="s">
        <v>18</v>
      </c>
      <c r="D344" t="s">
        <v>112</v>
      </c>
      <c r="F344" t="s">
        <v>327</v>
      </c>
      <c r="G344" t="s">
        <v>21</v>
      </c>
      <c r="H344" t="s">
        <v>328</v>
      </c>
      <c r="I344" s="2">
        <v>43525</v>
      </c>
      <c r="J344">
        <v>30015195.899999999</v>
      </c>
      <c r="K344">
        <v>53506.8</v>
      </c>
      <c r="L344">
        <v>30047427</v>
      </c>
      <c r="M344">
        <v>0.39652999999999999</v>
      </c>
      <c r="N344">
        <v>1.48</v>
      </c>
      <c r="O344" t="s">
        <v>42</v>
      </c>
      <c r="P344" t="s">
        <v>23</v>
      </c>
      <c r="Q344" s="2">
        <v>42429</v>
      </c>
    </row>
    <row r="345" spans="1:17" x14ac:dyDescent="0.2">
      <c r="A345" s="2">
        <v>43378</v>
      </c>
      <c r="B345" t="s">
        <v>148</v>
      </c>
      <c r="C345" t="s">
        <v>18</v>
      </c>
      <c r="D345" t="s">
        <v>112</v>
      </c>
      <c r="F345" t="s">
        <v>247</v>
      </c>
      <c r="G345" t="s">
        <v>71</v>
      </c>
      <c r="H345" t="s">
        <v>47</v>
      </c>
      <c r="I345" s="2">
        <v>43433</v>
      </c>
      <c r="J345">
        <v>4002051.12</v>
      </c>
      <c r="K345">
        <v>26356.16</v>
      </c>
      <c r="L345">
        <v>4001550.88</v>
      </c>
      <c r="M345">
        <v>0.14685500000000001</v>
      </c>
      <c r="N345">
        <v>1.53</v>
      </c>
      <c r="O345" t="s">
        <v>42</v>
      </c>
      <c r="P345" t="s">
        <v>23</v>
      </c>
      <c r="Q345" s="2">
        <v>42884</v>
      </c>
    </row>
    <row r="346" spans="1:17" x14ac:dyDescent="0.2">
      <c r="A346" s="2">
        <v>43378</v>
      </c>
      <c r="B346" t="s">
        <v>148</v>
      </c>
      <c r="C346" t="s">
        <v>135</v>
      </c>
      <c r="D346" t="s">
        <v>136</v>
      </c>
      <c r="E346" t="s">
        <v>495</v>
      </c>
      <c r="F346" t="s">
        <v>494</v>
      </c>
      <c r="J346">
        <v>-469780283.32999998</v>
      </c>
      <c r="L346">
        <v>-469780283.32999998</v>
      </c>
      <c r="N346">
        <v>0</v>
      </c>
      <c r="O346" t="s">
        <v>42</v>
      </c>
      <c r="P346" t="s">
        <v>23</v>
      </c>
      <c r="Q346" s="2">
        <v>43382</v>
      </c>
    </row>
    <row r="347" spans="1:17" x14ac:dyDescent="0.2">
      <c r="A347" s="2">
        <v>43378</v>
      </c>
      <c r="B347" t="s">
        <v>148</v>
      </c>
      <c r="C347" t="s">
        <v>135</v>
      </c>
      <c r="D347" t="s">
        <v>138</v>
      </c>
      <c r="E347" t="s">
        <v>138</v>
      </c>
      <c r="F347" t="s">
        <v>138</v>
      </c>
      <c r="J347">
        <v>-229000</v>
      </c>
      <c r="N347">
        <v>0</v>
      </c>
    </row>
    <row r="348" spans="1:17" x14ac:dyDescent="0.2">
      <c r="A348" s="2">
        <v>43378</v>
      </c>
      <c r="B348" t="s">
        <v>148</v>
      </c>
      <c r="C348" t="s">
        <v>135</v>
      </c>
      <c r="D348" t="s">
        <v>138</v>
      </c>
      <c r="E348" t="s">
        <v>138</v>
      </c>
      <c r="F348" t="s">
        <v>138</v>
      </c>
      <c r="J348">
        <v>-11000</v>
      </c>
      <c r="N348">
        <v>0</v>
      </c>
    </row>
    <row r="349" spans="1:17" x14ac:dyDescent="0.2">
      <c r="A349" s="2">
        <v>43378</v>
      </c>
      <c r="B349" t="s">
        <v>148</v>
      </c>
      <c r="C349" t="s">
        <v>135</v>
      </c>
      <c r="D349" t="s">
        <v>138</v>
      </c>
      <c r="E349" t="s">
        <v>138</v>
      </c>
      <c r="F349" t="s">
        <v>138</v>
      </c>
      <c r="J349">
        <v>-23013.55</v>
      </c>
      <c r="N349">
        <v>0</v>
      </c>
    </row>
    <row r="350" spans="1:17" x14ac:dyDescent="0.2">
      <c r="A350" s="2">
        <v>43378</v>
      </c>
      <c r="B350" t="s">
        <v>148</v>
      </c>
      <c r="C350" t="s">
        <v>135</v>
      </c>
      <c r="D350" t="s">
        <v>139</v>
      </c>
      <c r="J350">
        <v>-61485.279999999999</v>
      </c>
      <c r="K350">
        <v>0</v>
      </c>
      <c r="N350">
        <v>0</v>
      </c>
    </row>
    <row r="351" spans="1:17" x14ac:dyDescent="0.2">
      <c r="A351" s="2">
        <v>43378</v>
      </c>
      <c r="B351" t="s">
        <v>148</v>
      </c>
      <c r="C351" t="s">
        <v>135</v>
      </c>
      <c r="D351" t="s">
        <v>141</v>
      </c>
      <c r="E351" t="s">
        <v>141</v>
      </c>
      <c r="J351">
        <v>-37904.449999999997</v>
      </c>
      <c r="L351">
        <v>-37904.449999999997</v>
      </c>
      <c r="N351">
        <v>0</v>
      </c>
    </row>
    <row r="352" spans="1:17" x14ac:dyDescent="0.2">
      <c r="A352" s="2">
        <v>43378</v>
      </c>
      <c r="B352" t="s">
        <v>148</v>
      </c>
      <c r="C352" t="s">
        <v>135</v>
      </c>
      <c r="D352" t="s">
        <v>142</v>
      </c>
      <c r="E352" t="s">
        <v>142</v>
      </c>
      <c r="J352">
        <v>-259815.35</v>
      </c>
      <c r="L352">
        <v>-259815.35</v>
      </c>
      <c r="N352">
        <v>0</v>
      </c>
    </row>
    <row r="353" spans="1:14" x14ac:dyDescent="0.2">
      <c r="A353" s="2">
        <v>43378</v>
      </c>
      <c r="B353" t="s">
        <v>148</v>
      </c>
      <c r="C353" t="s">
        <v>144</v>
      </c>
      <c r="D353" t="s">
        <v>141</v>
      </c>
      <c r="E353" t="s">
        <v>141</v>
      </c>
      <c r="J353">
        <v>-9744.18</v>
      </c>
      <c r="L353">
        <v>-9744.18</v>
      </c>
      <c r="N353">
        <v>0</v>
      </c>
    </row>
    <row r="354" spans="1:14" x14ac:dyDescent="0.2">
      <c r="A354" s="2">
        <v>43378</v>
      </c>
      <c r="B354" t="s">
        <v>148</v>
      </c>
      <c r="C354" t="s">
        <v>144</v>
      </c>
      <c r="D354" t="s">
        <v>142</v>
      </c>
      <c r="E354" t="s">
        <v>142</v>
      </c>
      <c r="J354">
        <v>-66814.45</v>
      </c>
      <c r="L354">
        <v>-66814.45</v>
      </c>
      <c r="N354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8CC4-2D17-4A5A-A049-413B3AF8984E}">
  <sheetPr codeName="Sheet1"/>
  <dimension ref="A1:DI187"/>
  <sheetViews>
    <sheetView workbookViewId="0">
      <selection activeCell="F16" sqref="F16"/>
    </sheetView>
  </sheetViews>
  <sheetFormatPr defaultRowHeight="14.25" x14ac:dyDescent="0.2"/>
  <cols>
    <col min="1" max="1" width="12" bestFit="1" customWidth="1"/>
    <col min="2" max="2" width="38.25" bestFit="1" customWidth="1"/>
    <col min="3" max="3" width="41.25" bestFit="1" customWidth="1"/>
    <col min="4" max="4" width="10.375" bestFit="1" customWidth="1"/>
    <col min="5" max="5" width="27.125" bestFit="1" customWidth="1"/>
    <col min="6" max="6" width="12.5" bestFit="1" customWidth="1"/>
    <col min="7" max="8" width="12.75" bestFit="1" customWidth="1"/>
    <col min="9" max="9" width="12.375" bestFit="1" customWidth="1"/>
    <col min="10" max="10" width="10.375" bestFit="1" customWidth="1"/>
    <col min="11" max="11" width="10.5" bestFit="1" customWidth="1"/>
    <col min="12" max="12" width="10.625" bestFit="1" customWidth="1"/>
    <col min="13" max="13" width="15.375" bestFit="1" customWidth="1"/>
    <col min="14" max="14" width="10.375" bestFit="1" customWidth="1"/>
    <col min="15" max="15" width="9.875" bestFit="1" customWidth="1"/>
    <col min="16" max="16" width="13.25" bestFit="1" customWidth="1"/>
    <col min="17" max="17" width="11.375" bestFit="1" customWidth="1"/>
    <col min="18" max="18" width="11.5" bestFit="1" customWidth="1"/>
    <col min="19" max="19" width="15.625" bestFit="1" customWidth="1"/>
    <col min="20" max="20" width="10.875" bestFit="1" customWidth="1"/>
    <col min="21" max="22" width="11.875" bestFit="1" customWidth="1"/>
    <col min="23" max="23" width="9.5" bestFit="1" customWidth="1"/>
    <col min="24" max="24" width="10.875" bestFit="1" customWidth="1"/>
    <col min="25" max="26" width="11.875" bestFit="1" customWidth="1"/>
    <col min="27" max="27" width="8.375" bestFit="1" customWidth="1"/>
    <col min="28" max="28" width="13.875" bestFit="1" customWidth="1"/>
    <col min="29" max="29" width="18.25" bestFit="1" customWidth="1"/>
    <col min="30" max="30" width="26.625" bestFit="1" customWidth="1"/>
    <col min="31" max="31" width="10.875" bestFit="1" customWidth="1"/>
    <col min="32" max="32" width="8.25" bestFit="1" customWidth="1"/>
    <col min="33" max="33" width="19.625" bestFit="1" customWidth="1"/>
    <col min="34" max="34" width="19.75" bestFit="1" customWidth="1"/>
    <col min="35" max="35" width="18.125" bestFit="1" customWidth="1"/>
    <col min="36" max="36" width="18.25" bestFit="1" customWidth="1"/>
    <col min="37" max="37" width="20.5" bestFit="1" customWidth="1"/>
    <col min="38" max="38" width="20.625" bestFit="1" customWidth="1"/>
    <col min="39" max="39" width="18.75" bestFit="1" customWidth="1"/>
    <col min="40" max="40" width="20.375" bestFit="1" customWidth="1"/>
    <col min="41" max="41" width="18" bestFit="1" customWidth="1"/>
    <col min="42" max="42" width="19.625" bestFit="1" customWidth="1"/>
    <col min="43" max="43" width="12.25" bestFit="1" customWidth="1"/>
    <col min="44" max="44" width="16.5" bestFit="1" customWidth="1"/>
    <col min="45" max="45" width="20.125" bestFit="1" customWidth="1"/>
    <col min="46" max="46" width="21.875" bestFit="1" customWidth="1"/>
    <col min="47" max="47" width="19.375" bestFit="1" customWidth="1"/>
    <col min="48" max="48" width="21" bestFit="1" customWidth="1"/>
    <col min="49" max="49" width="12.75" bestFit="1" customWidth="1"/>
    <col min="50" max="50" width="13" bestFit="1" customWidth="1"/>
    <col min="51" max="51" width="12.375" bestFit="1" customWidth="1"/>
    <col min="52" max="52" width="12.25" bestFit="1" customWidth="1"/>
    <col min="53" max="53" width="17.875" bestFit="1" customWidth="1"/>
    <col min="54" max="54" width="13.75" bestFit="1" customWidth="1"/>
    <col min="55" max="55" width="10.125" bestFit="1" customWidth="1"/>
    <col min="56" max="56" width="24.875" bestFit="1" customWidth="1"/>
    <col min="57" max="57" width="22" bestFit="1" customWidth="1"/>
    <col min="58" max="58" width="24.5" bestFit="1" customWidth="1"/>
    <col min="59" max="59" width="19.875" bestFit="1" customWidth="1"/>
    <col min="60" max="60" width="25.125" bestFit="1" customWidth="1"/>
    <col min="61" max="62" width="16.625" bestFit="1" customWidth="1"/>
    <col min="63" max="64" width="13.25" bestFit="1" customWidth="1"/>
    <col min="65" max="65" width="18.25" bestFit="1" customWidth="1"/>
    <col min="66" max="66" width="17" bestFit="1" customWidth="1"/>
    <col min="67" max="67" width="14.75" bestFit="1" customWidth="1"/>
    <col min="68" max="68" width="19.5" bestFit="1" customWidth="1"/>
    <col min="69" max="69" width="20.625" bestFit="1" customWidth="1"/>
    <col min="70" max="70" width="21.5" bestFit="1" customWidth="1"/>
    <col min="71" max="71" width="18.5" bestFit="1" customWidth="1"/>
    <col min="72" max="72" width="21" bestFit="1" customWidth="1"/>
    <col min="73" max="73" width="16.375" bestFit="1" customWidth="1"/>
    <col min="74" max="75" width="21.75" bestFit="1" customWidth="1"/>
    <col min="76" max="77" width="17.125" bestFit="1" customWidth="1"/>
    <col min="78" max="78" width="22.25" bestFit="1" customWidth="1"/>
    <col min="79" max="79" width="21" bestFit="1" customWidth="1"/>
    <col min="80" max="80" width="18.75" bestFit="1" customWidth="1"/>
    <col min="81" max="81" width="23.5" bestFit="1" customWidth="1"/>
    <col min="82" max="82" width="24.625" bestFit="1" customWidth="1"/>
    <col min="83" max="83" width="25.375" bestFit="1" customWidth="1"/>
    <col min="84" max="84" width="22.5" bestFit="1" customWidth="1"/>
    <col min="85" max="85" width="25" bestFit="1" customWidth="1"/>
    <col min="86" max="86" width="20.375" bestFit="1" customWidth="1"/>
    <col min="87" max="88" width="25.75" bestFit="1" customWidth="1"/>
    <col min="89" max="89" width="38.25" bestFit="1" customWidth="1"/>
    <col min="90" max="90" width="41.25" bestFit="1" customWidth="1"/>
    <col min="91" max="91" width="15" bestFit="1" customWidth="1"/>
    <col min="92" max="92" width="16.875" bestFit="1" customWidth="1"/>
    <col min="93" max="93" width="15.875" bestFit="1" customWidth="1"/>
    <col min="94" max="94" width="11.875" bestFit="1" customWidth="1"/>
    <col min="95" max="95" width="19.5" bestFit="1" customWidth="1"/>
    <col min="96" max="96" width="24.5" bestFit="1" customWidth="1"/>
    <col min="97" max="97" width="21.75" bestFit="1" customWidth="1"/>
    <col min="98" max="98" width="16.875" bestFit="1" customWidth="1"/>
    <col min="99" max="99" width="13.375" bestFit="1" customWidth="1"/>
    <col min="100" max="100" width="18.25" bestFit="1" customWidth="1"/>
    <col min="101" max="101" width="19.5" bestFit="1" customWidth="1"/>
    <col min="102" max="102" width="24.5" bestFit="1" customWidth="1"/>
    <col min="103" max="103" width="7.875" bestFit="1" customWidth="1"/>
    <col min="104" max="104" width="7.75" bestFit="1" customWidth="1"/>
    <col min="105" max="105" width="14.5" bestFit="1" customWidth="1"/>
    <col min="106" max="106" width="9.75" bestFit="1" customWidth="1"/>
    <col min="107" max="107" width="13.875" bestFit="1" customWidth="1"/>
    <col min="108" max="108" width="9.25" bestFit="1" customWidth="1"/>
    <col min="109" max="109" width="11.75" bestFit="1" customWidth="1"/>
    <col min="110" max="110" width="15.5" bestFit="1" customWidth="1"/>
    <col min="111" max="111" width="20.375" bestFit="1" customWidth="1"/>
    <col min="112" max="112" width="18.5" bestFit="1" customWidth="1"/>
    <col min="113" max="113" width="18.25" bestFit="1" customWidth="1"/>
  </cols>
  <sheetData>
    <row r="1" spans="1:113" x14ac:dyDescent="0.2">
      <c r="A1" s="1" t="s">
        <v>329</v>
      </c>
      <c r="B1" s="1" t="s">
        <v>330</v>
      </c>
      <c r="C1" s="1" t="s">
        <v>331</v>
      </c>
      <c r="D1" s="1" t="s">
        <v>332</v>
      </c>
      <c r="E1" s="1" t="s">
        <v>333</v>
      </c>
      <c r="F1" s="1" t="s">
        <v>334</v>
      </c>
      <c r="G1" s="1" t="s">
        <v>335</v>
      </c>
      <c r="H1" s="1" t="s">
        <v>336</v>
      </c>
      <c r="I1" s="1" t="s">
        <v>337</v>
      </c>
      <c r="J1" s="1" t="s">
        <v>338</v>
      </c>
      <c r="K1" s="1" t="s">
        <v>339</v>
      </c>
      <c r="L1" s="1" t="s">
        <v>340</v>
      </c>
      <c r="M1" s="1" t="s">
        <v>341</v>
      </c>
      <c r="N1" s="1" t="s">
        <v>342</v>
      </c>
      <c r="O1" s="1" t="s">
        <v>343</v>
      </c>
      <c r="P1" s="1" t="s">
        <v>344</v>
      </c>
      <c r="Q1" s="1" t="s">
        <v>345</v>
      </c>
      <c r="R1" s="1" t="s">
        <v>346</v>
      </c>
      <c r="S1" s="1" t="s">
        <v>347</v>
      </c>
      <c r="T1" s="1" t="s">
        <v>348</v>
      </c>
      <c r="U1" s="1" t="s">
        <v>349</v>
      </c>
      <c r="V1" s="1" t="s">
        <v>350</v>
      </c>
      <c r="W1" s="1" t="s">
        <v>351</v>
      </c>
      <c r="X1" s="1" t="s">
        <v>352</v>
      </c>
      <c r="Y1" s="1" t="s">
        <v>353</v>
      </c>
      <c r="Z1" s="1" t="s">
        <v>354</v>
      </c>
      <c r="AA1" s="1" t="s">
        <v>355</v>
      </c>
      <c r="AB1" s="1" t="s">
        <v>356</v>
      </c>
      <c r="AC1" s="1" t="s">
        <v>357</v>
      </c>
      <c r="AD1" s="1" t="s">
        <v>358</v>
      </c>
      <c r="AE1" s="1" t="s">
        <v>359</v>
      </c>
      <c r="AF1" s="1" t="s">
        <v>360</v>
      </c>
      <c r="AG1" s="1" t="s">
        <v>361</v>
      </c>
      <c r="AH1" s="1" t="s">
        <v>362</v>
      </c>
      <c r="AI1" s="1" t="s">
        <v>363</v>
      </c>
      <c r="AJ1" s="1" t="s">
        <v>364</v>
      </c>
      <c r="AK1" s="1" t="s">
        <v>365</v>
      </c>
      <c r="AL1" s="1" t="s">
        <v>366</v>
      </c>
      <c r="AM1" s="1" t="s">
        <v>367</v>
      </c>
      <c r="AN1" s="1" t="s">
        <v>368</v>
      </c>
      <c r="AO1" s="1" t="s">
        <v>369</v>
      </c>
      <c r="AP1" s="1" t="s">
        <v>370</v>
      </c>
      <c r="AQ1" s="1" t="s">
        <v>371</v>
      </c>
      <c r="AR1" s="1" t="s">
        <v>372</v>
      </c>
      <c r="AS1" s="1" t="s">
        <v>373</v>
      </c>
      <c r="AT1" s="1" t="s">
        <v>374</v>
      </c>
      <c r="AU1" s="1" t="s">
        <v>375</v>
      </c>
      <c r="AV1" s="1" t="s">
        <v>376</v>
      </c>
      <c r="AW1" s="1" t="s">
        <v>377</v>
      </c>
      <c r="AX1" s="1" t="s">
        <v>378</v>
      </c>
      <c r="AY1" s="1" t="s">
        <v>379</v>
      </c>
      <c r="AZ1" s="1" t="s">
        <v>380</v>
      </c>
      <c r="BA1" s="1" t="s">
        <v>381</v>
      </c>
      <c r="BB1" s="1" t="s">
        <v>382</v>
      </c>
      <c r="BC1" s="1" t="s">
        <v>383</v>
      </c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</row>
    <row r="2" spans="1:113" x14ac:dyDescent="0.2">
      <c r="A2" s="2" t="s">
        <v>148</v>
      </c>
      <c r="B2" t="s">
        <v>320</v>
      </c>
      <c r="C2" t="s">
        <v>321</v>
      </c>
      <c r="D2" t="s">
        <v>153</v>
      </c>
      <c r="E2" t="s">
        <v>384</v>
      </c>
      <c r="F2" t="s">
        <v>385</v>
      </c>
      <c r="G2" t="s">
        <v>386</v>
      </c>
      <c r="H2" t="s">
        <v>387</v>
      </c>
      <c r="J2" s="2">
        <v>43377</v>
      </c>
      <c r="K2">
        <v>0</v>
      </c>
      <c r="L2">
        <v>0</v>
      </c>
      <c r="M2">
        <v>0</v>
      </c>
      <c r="N2" s="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12964371.74</v>
      </c>
      <c r="V2">
        <v>0</v>
      </c>
      <c r="W2">
        <v>0</v>
      </c>
      <c r="X2">
        <v>0</v>
      </c>
      <c r="Y2">
        <v>0</v>
      </c>
      <c r="Z2">
        <v>0</v>
      </c>
      <c r="AB2" t="s">
        <v>388</v>
      </c>
      <c r="AC2" t="s">
        <v>389</v>
      </c>
      <c r="AD2" t="s">
        <v>390</v>
      </c>
      <c r="AE2">
        <v>1</v>
      </c>
      <c r="AF2" t="s">
        <v>47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12964371.74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 t="s">
        <v>496</v>
      </c>
      <c r="AY2" t="s">
        <v>497</v>
      </c>
      <c r="AZ2" t="s">
        <v>498</v>
      </c>
      <c r="BA2">
        <v>0</v>
      </c>
      <c r="BB2">
        <v>0</v>
      </c>
      <c r="BC2" t="s">
        <v>24</v>
      </c>
      <c r="CN2" s="2"/>
    </row>
    <row r="3" spans="1:113" x14ac:dyDescent="0.2">
      <c r="A3" s="2" t="s">
        <v>148</v>
      </c>
      <c r="B3" t="s">
        <v>320</v>
      </c>
      <c r="C3" t="s">
        <v>321</v>
      </c>
      <c r="D3" t="s">
        <v>153</v>
      </c>
      <c r="E3" t="s">
        <v>384</v>
      </c>
      <c r="F3" t="s">
        <v>385</v>
      </c>
      <c r="G3" t="s">
        <v>386</v>
      </c>
      <c r="H3" t="s">
        <v>387</v>
      </c>
      <c r="J3" s="2">
        <v>43378</v>
      </c>
      <c r="K3">
        <v>0</v>
      </c>
      <c r="L3">
        <v>0</v>
      </c>
      <c r="M3">
        <v>0</v>
      </c>
      <c r="N3" s="2">
        <v>292712023.81999999</v>
      </c>
      <c r="O3">
        <v>0</v>
      </c>
      <c r="P3">
        <v>0</v>
      </c>
      <c r="Q3">
        <v>3000000</v>
      </c>
      <c r="R3">
        <v>0</v>
      </c>
      <c r="S3">
        <v>0</v>
      </c>
      <c r="T3">
        <v>2194688.1800000002</v>
      </c>
      <c r="U3">
        <v>348412419.41000003</v>
      </c>
      <c r="V3">
        <v>51348421.219999999</v>
      </c>
      <c r="W3">
        <v>0</v>
      </c>
      <c r="X3">
        <v>115000</v>
      </c>
      <c r="Y3">
        <v>2357667.9500000002</v>
      </c>
      <c r="Z3">
        <v>714818769.55999994</v>
      </c>
      <c r="AB3" t="s">
        <v>388</v>
      </c>
      <c r="AC3" t="s">
        <v>389</v>
      </c>
      <c r="AD3" t="s">
        <v>390</v>
      </c>
      <c r="AE3">
        <v>2</v>
      </c>
      <c r="AF3" t="s">
        <v>47</v>
      </c>
      <c r="AG3">
        <v>0</v>
      </c>
      <c r="AH3">
        <v>0</v>
      </c>
      <c r="AI3">
        <v>292712023.81999999</v>
      </c>
      <c r="AJ3">
        <v>0</v>
      </c>
      <c r="AK3">
        <v>3000000</v>
      </c>
      <c r="AL3">
        <v>0</v>
      </c>
      <c r="AM3">
        <v>12964371.74</v>
      </c>
      <c r="AN3">
        <v>0</v>
      </c>
      <c r="AO3">
        <v>348412419.41000003</v>
      </c>
      <c r="AP3">
        <v>0</v>
      </c>
      <c r="AQ3">
        <v>2357667.9500000002</v>
      </c>
      <c r="AR3">
        <v>2357667.9500000002</v>
      </c>
      <c r="AS3">
        <v>0</v>
      </c>
      <c r="AT3">
        <v>0</v>
      </c>
      <c r="AU3">
        <v>0</v>
      </c>
      <c r="AV3">
        <v>0</v>
      </c>
      <c r="AW3" t="s">
        <v>496</v>
      </c>
      <c r="AY3" t="s">
        <v>497</v>
      </c>
      <c r="AZ3" t="s">
        <v>498</v>
      </c>
      <c r="BA3">
        <v>2357667.9500000002</v>
      </c>
      <c r="BB3">
        <v>0</v>
      </c>
      <c r="BC3" t="s">
        <v>24</v>
      </c>
      <c r="CN3" s="2"/>
    </row>
    <row r="4" spans="1:113" x14ac:dyDescent="0.2">
      <c r="A4" s="2" t="s">
        <v>148</v>
      </c>
      <c r="B4" t="s">
        <v>320</v>
      </c>
      <c r="C4" t="s">
        <v>321</v>
      </c>
      <c r="D4" t="s">
        <v>153</v>
      </c>
      <c r="E4" t="s">
        <v>384</v>
      </c>
      <c r="F4" t="s">
        <v>385</v>
      </c>
      <c r="G4" t="s">
        <v>386</v>
      </c>
      <c r="H4" t="s">
        <v>387</v>
      </c>
      <c r="J4" s="2">
        <v>43379</v>
      </c>
      <c r="K4">
        <v>0</v>
      </c>
      <c r="L4">
        <v>0</v>
      </c>
      <c r="M4">
        <v>0</v>
      </c>
      <c r="N4" s="2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2357667.9500000002</v>
      </c>
      <c r="Z4">
        <v>714818769.55999994</v>
      </c>
      <c r="AB4" t="s">
        <v>388</v>
      </c>
      <c r="AC4" t="s">
        <v>389</v>
      </c>
      <c r="AD4" t="s">
        <v>390</v>
      </c>
      <c r="AE4">
        <v>3</v>
      </c>
      <c r="AF4" t="s">
        <v>47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2357667.9500000002</v>
      </c>
      <c r="AR4">
        <v>2357667.9500000002</v>
      </c>
      <c r="AS4">
        <v>0</v>
      </c>
      <c r="AT4">
        <v>0</v>
      </c>
      <c r="AU4">
        <v>0</v>
      </c>
      <c r="AV4">
        <v>0</v>
      </c>
      <c r="AW4" t="s">
        <v>496</v>
      </c>
      <c r="AY4" t="s">
        <v>497</v>
      </c>
      <c r="AZ4" t="s">
        <v>498</v>
      </c>
      <c r="BA4">
        <v>0</v>
      </c>
      <c r="BB4">
        <v>0</v>
      </c>
      <c r="BC4" t="s">
        <v>24</v>
      </c>
      <c r="CN4" s="2"/>
    </row>
    <row r="5" spans="1:113" x14ac:dyDescent="0.2">
      <c r="A5" s="2" t="s">
        <v>148</v>
      </c>
      <c r="B5" t="s">
        <v>320</v>
      </c>
      <c r="C5" t="s">
        <v>321</v>
      </c>
      <c r="D5" t="s">
        <v>153</v>
      </c>
      <c r="E5" t="s">
        <v>384</v>
      </c>
      <c r="F5" t="s">
        <v>385</v>
      </c>
      <c r="G5" t="s">
        <v>386</v>
      </c>
      <c r="H5" t="s">
        <v>387</v>
      </c>
      <c r="J5" s="2">
        <v>43380</v>
      </c>
      <c r="K5">
        <v>0</v>
      </c>
      <c r="L5">
        <v>0</v>
      </c>
      <c r="M5">
        <v>0</v>
      </c>
      <c r="N5" s="2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2357667.9500000002</v>
      </c>
      <c r="Z5">
        <v>714818769.55999994</v>
      </c>
      <c r="AB5" t="s">
        <v>388</v>
      </c>
      <c r="AC5" t="s">
        <v>389</v>
      </c>
      <c r="AD5" t="s">
        <v>390</v>
      </c>
      <c r="AE5">
        <v>4</v>
      </c>
      <c r="AF5" t="s">
        <v>47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2357667.9500000002</v>
      </c>
      <c r="AR5">
        <v>2357667.9500000002</v>
      </c>
      <c r="AS5">
        <v>0</v>
      </c>
      <c r="AT5">
        <v>0</v>
      </c>
      <c r="AU5">
        <v>0</v>
      </c>
      <c r="AV5">
        <v>0</v>
      </c>
      <c r="AW5" t="s">
        <v>496</v>
      </c>
      <c r="AY5" t="s">
        <v>497</v>
      </c>
      <c r="AZ5" t="s">
        <v>498</v>
      </c>
      <c r="BA5">
        <v>0</v>
      </c>
      <c r="BB5">
        <v>0</v>
      </c>
      <c r="BC5" t="s">
        <v>24</v>
      </c>
      <c r="CN5" s="2"/>
    </row>
    <row r="6" spans="1:113" x14ac:dyDescent="0.2">
      <c r="A6" s="2" t="s">
        <v>148</v>
      </c>
      <c r="B6" t="s">
        <v>320</v>
      </c>
      <c r="C6" t="s">
        <v>321</v>
      </c>
      <c r="D6" t="s">
        <v>153</v>
      </c>
      <c r="E6" t="s">
        <v>384</v>
      </c>
      <c r="F6" t="s">
        <v>385</v>
      </c>
      <c r="G6" t="s">
        <v>386</v>
      </c>
      <c r="H6" t="s">
        <v>387</v>
      </c>
      <c r="J6" s="2">
        <v>43381</v>
      </c>
      <c r="K6">
        <v>0</v>
      </c>
      <c r="L6">
        <v>0</v>
      </c>
      <c r="M6">
        <v>0</v>
      </c>
      <c r="N6" s="2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2357667.9500000002</v>
      </c>
      <c r="Z6">
        <v>714818769.55999994</v>
      </c>
      <c r="AB6" t="s">
        <v>388</v>
      </c>
      <c r="AC6" t="s">
        <v>389</v>
      </c>
      <c r="AD6" t="s">
        <v>390</v>
      </c>
      <c r="AE6">
        <v>5</v>
      </c>
      <c r="AF6" t="s">
        <v>47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348412419.41000003</v>
      </c>
      <c r="AN6">
        <v>0</v>
      </c>
      <c r="AO6">
        <v>0</v>
      </c>
      <c r="AP6">
        <v>0</v>
      </c>
      <c r="AQ6">
        <v>2357667.9500000002</v>
      </c>
      <c r="AR6">
        <v>2357667.9500000002</v>
      </c>
      <c r="AS6">
        <v>0</v>
      </c>
      <c r="AT6">
        <v>0</v>
      </c>
      <c r="AU6">
        <v>0</v>
      </c>
      <c r="AV6">
        <v>0</v>
      </c>
      <c r="AW6" t="s">
        <v>496</v>
      </c>
      <c r="AY6" t="s">
        <v>497</v>
      </c>
      <c r="AZ6" t="s">
        <v>498</v>
      </c>
      <c r="BA6">
        <v>2357667.9500000002</v>
      </c>
      <c r="BB6">
        <v>0</v>
      </c>
      <c r="BC6" t="s">
        <v>24</v>
      </c>
      <c r="CN6" s="2"/>
    </row>
    <row r="7" spans="1:113" x14ac:dyDescent="0.2">
      <c r="A7" s="2" t="s">
        <v>148</v>
      </c>
      <c r="B7" t="s">
        <v>320</v>
      </c>
      <c r="C7" t="s">
        <v>321</v>
      </c>
      <c r="D7" t="s">
        <v>153</v>
      </c>
      <c r="E7" t="s">
        <v>384</v>
      </c>
      <c r="F7" t="s">
        <v>385</v>
      </c>
      <c r="G7" t="s">
        <v>386</v>
      </c>
      <c r="H7" t="s">
        <v>387</v>
      </c>
      <c r="J7" s="2">
        <v>43382</v>
      </c>
      <c r="K7">
        <v>0</v>
      </c>
      <c r="L7">
        <v>0</v>
      </c>
      <c r="M7">
        <v>0</v>
      </c>
      <c r="N7" s="2">
        <v>469780283.32999998</v>
      </c>
      <c r="O7">
        <v>474000000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6577384.6200000197</v>
      </c>
      <c r="Z7">
        <v>714818769.55999994</v>
      </c>
      <c r="AB7" t="s">
        <v>388</v>
      </c>
      <c r="AC7" t="s">
        <v>389</v>
      </c>
      <c r="AD7" t="s">
        <v>390</v>
      </c>
      <c r="AE7">
        <v>6</v>
      </c>
      <c r="AF7" t="s">
        <v>47</v>
      </c>
      <c r="AG7">
        <v>0</v>
      </c>
      <c r="AH7">
        <v>0</v>
      </c>
      <c r="AI7">
        <v>469780283.32999998</v>
      </c>
      <c r="AJ7">
        <v>474000000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6577384.6200000197</v>
      </c>
      <c r="AR7">
        <v>6577384.6200000197</v>
      </c>
      <c r="AS7">
        <v>0</v>
      </c>
      <c r="AT7">
        <v>0</v>
      </c>
      <c r="AU7">
        <v>0</v>
      </c>
      <c r="AV7">
        <v>0</v>
      </c>
      <c r="AW7" t="s">
        <v>496</v>
      </c>
      <c r="AY7" t="s">
        <v>497</v>
      </c>
      <c r="AZ7" t="s">
        <v>498</v>
      </c>
      <c r="BA7">
        <v>6577384.6200000197</v>
      </c>
      <c r="BB7">
        <v>0</v>
      </c>
      <c r="BC7" t="s">
        <v>24</v>
      </c>
      <c r="CN7" s="2"/>
    </row>
    <row r="8" spans="1:113" x14ac:dyDescent="0.2">
      <c r="A8" s="2" t="s">
        <v>148</v>
      </c>
      <c r="B8" t="s">
        <v>320</v>
      </c>
      <c r="C8" t="s">
        <v>321</v>
      </c>
      <c r="D8" t="s">
        <v>153</v>
      </c>
      <c r="E8" t="s">
        <v>384</v>
      </c>
      <c r="F8" t="s">
        <v>385</v>
      </c>
      <c r="G8" t="s">
        <v>386</v>
      </c>
      <c r="H8" t="s">
        <v>387</v>
      </c>
      <c r="J8" s="2">
        <v>43383</v>
      </c>
      <c r="K8">
        <v>0</v>
      </c>
      <c r="L8">
        <v>0</v>
      </c>
      <c r="M8">
        <v>0</v>
      </c>
      <c r="N8" s="2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6577384.6200000197</v>
      </c>
      <c r="Z8">
        <v>714818769.55999994</v>
      </c>
      <c r="AB8" t="s">
        <v>388</v>
      </c>
      <c r="AC8" t="s">
        <v>389</v>
      </c>
      <c r="AD8" t="s">
        <v>390</v>
      </c>
      <c r="AE8">
        <v>7</v>
      </c>
      <c r="AF8" t="s">
        <v>47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6577384.6200000197</v>
      </c>
      <c r="AR8">
        <v>6577384.6200000197</v>
      </c>
      <c r="AS8">
        <v>0</v>
      </c>
      <c r="AT8">
        <v>0</v>
      </c>
      <c r="AU8">
        <v>0</v>
      </c>
      <c r="AV8">
        <v>0</v>
      </c>
      <c r="AW8" t="s">
        <v>496</v>
      </c>
      <c r="AY8" t="s">
        <v>497</v>
      </c>
      <c r="AZ8" t="s">
        <v>498</v>
      </c>
      <c r="BA8">
        <v>6577384.6200000197</v>
      </c>
      <c r="BB8">
        <v>0</v>
      </c>
      <c r="BC8" t="s">
        <v>24</v>
      </c>
      <c r="CN8" s="2"/>
    </row>
    <row r="9" spans="1:113" x14ac:dyDescent="0.2">
      <c r="A9" s="2" t="s">
        <v>148</v>
      </c>
      <c r="B9" t="s">
        <v>320</v>
      </c>
      <c r="C9" t="s">
        <v>321</v>
      </c>
      <c r="D9" t="s">
        <v>153</v>
      </c>
      <c r="E9" t="s">
        <v>384</v>
      </c>
      <c r="F9" t="s">
        <v>385</v>
      </c>
      <c r="G9" t="s">
        <v>386</v>
      </c>
      <c r="H9" t="s">
        <v>387</v>
      </c>
      <c r="J9" s="2">
        <v>43384</v>
      </c>
      <c r="K9">
        <v>0</v>
      </c>
      <c r="L9">
        <v>0</v>
      </c>
      <c r="M9">
        <v>0</v>
      </c>
      <c r="N9" s="2">
        <v>0</v>
      </c>
      <c r="O9">
        <v>874800000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881377384.62</v>
      </c>
      <c r="Z9">
        <v>714818769.55999994</v>
      </c>
      <c r="AB9" t="s">
        <v>388</v>
      </c>
      <c r="AC9" t="s">
        <v>389</v>
      </c>
      <c r="AD9" t="s">
        <v>390</v>
      </c>
      <c r="AE9">
        <v>8</v>
      </c>
      <c r="AF9" t="s">
        <v>47</v>
      </c>
      <c r="AG9">
        <v>0</v>
      </c>
      <c r="AH9">
        <v>0</v>
      </c>
      <c r="AI9">
        <v>0</v>
      </c>
      <c r="AJ9">
        <v>874800000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881377384.62</v>
      </c>
      <c r="AR9">
        <v>881377384.62</v>
      </c>
      <c r="AS9">
        <v>0</v>
      </c>
      <c r="AT9">
        <v>0</v>
      </c>
      <c r="AU9">
        <v>0</v>
      </c>
      <c r="AV9">
        <v>0</v>
      </c>
      <c r="AW9" t="s">
        <v>496</v>
      </c>
      <c r="AY9" t="s">
        <v>497</v>
      </c>
      <c r="AZ9" t="s">
        <v>498</v>
      </c>
      <c r="BA9">
        <v>881377384.62</v>
      </c>
      <c r="BB9">
        <v>0</v>
      </c>
      <c r="BC9" t="s">
        <v>24</v>
      </c>
      <c r="CN9" s="2"/>
    </row>
    <row r="10" spans="1:113" x14ac:dyDescent="0.2">
      <c r="A10" s="2" t="s">
        <v>148</v>
      </c>
      <c r="B10" t="s">
        <v>320</v>
      </c>
      <c r="C10" t="s">
        <v>321</v>
      </c>
      <c r="D10" t="s">
        <v>153</v>
      </c>
      <c r="E10" t="s">
        <v>384</v>
      </c>
      <c r="F10" t="s">
        <v>385</v>
      </c>
      <c r="G10" t="s">
        <v>386</v>
      </c>
      <c r="H10" t="s">
        <v>387</v>
      </c>
      <c r="J10" s="2">
        <v>43385</v>
      </c>
      <c r="K10">
        <v>0</v>
      </c>
      <c r="L10">
        <v>0</v>
      </c>
      <c r="M10">
        <v>0</v>
      </c>
      <c r="N10" s="2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881377384.62</v>
      </c>
      <c r="Z10">
        <v>714818769.55999994</v>
      </c>
      <c r="AB10" t="s">
        <v>388</v>
      </c>
      <c r="AC10" t="s">
        <v>389</v>
      </c>
      <c r="AD10" t="s">
        <v>390</v>
      </c>
      <c r="AE10">
        <v>9</v>
      </c>
      <c r="AF10" t="s">
        <v>47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881377384.62</v>
      </c>
      <c r="AR10">
        <v>881377384.62</v>
      </c>
      <c r="AS10">
        <v>0</v>
      </c>
      <c r="AT10">
        <v>0</v>
      </c>
      <c r="AU10">
        <v>0</v>
      </c>
      <c r="AV10">
        <v>0</v>
      </c>
      <c r="AW10" t="s">
        <v>496</v>
      </c>
      <c r="AY10" t="s">
        <v>497</v>
      </c>
      <c r="AZ10" t="s">
        <v>498</v>
      </c>
      <c r="BA10">
        <v>881377384.62</v>
      </c>
      <c r="BB10">
        <v>0</v>
      </c>
      <c r="BC10" t="s">
        <v>24</v>
      </c>
      <c r="CN10" s="2"/>
    </row>
    <row r="11" spans="1:113" x14ac:dyDescent="0.2">
      <c r="A11" s="2" t="s">
        <v>148</v>
      </c>
      <c r="B11" t="s">
        <v>320</v>
      </c>
      <c r="C11" t="s">
        <v>321</v>
      </c>
      <c r="D11" t="s">
        <v>153</v>
      </c>
      <c r="E11" t="s">
        <v>384</v>
      </c>
      <c r="F11" t="s">
        <v>385</v>
      </c>
      <c r="G11" t="s">
        <v>386</v>
      </c>
      <c r="H11" t="s">
        <v>387</v>
      </c>
      <c r="J11" s="2">
        <v>43386</v>
      </c>
      <c r="K11">
        <v>0</v>
      </c>
      <c r="L11">
        <v>0</v>
      </c>
      <c r="M11">
        <v>0</v>
      </c>
      <c r="N11" s="2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881377384.62</v>
      </c>
      <c r="Z11">
        <v>714818769.55999994</v>
      </c>
      <c r="AB11" t="s">
        <v>388</v>
      </c>
      <c r="AC11" t="s">
        <v>389</v>
      </c>
      <c r="AD11" t="s">
        <v>390</v>
      </c>
      <c r="AE11">
        <v>10</v>
      </c>
      <c r="AF11" t="s">
        <v>47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881377384.62</v>
      </c>
      <c r="AR11">
        <v>881377384.62</v>
      </c>
      <c r="AS11">
        <v>0</v>
      </c>
      <c r="AT11">
        <v>0</v>
      </c>
      <c r="AU11">
        <v>0</v>
      </c>
      <c r="AV11">
        <v>0</v>
      </c>
      <c r="AW11" t="s">
        <v>496</v>
      </c>
      <c r="AY11" t="s">
        <v>497</v>
      </c>
      <c r="AZ11" t="s">
        <v>498</v>
      </c>
      <c r="BA11">
        <v>0</v>
      </c>
      <c r="BB11">
        <v>0</v>
      </c>
      <c r="BC11" t="s">
        <v>24</v>
      </c>
      <c r="CN11" s="2"/>
    </row>
    <row r="12" spans="1:113" x14ac:dyDescent="0.2">
      <c r="A12" s="2" t="s">
        <v>148</v>
      </c>
      <c r="B12" t="s">
        <v>320</v>
      </c>
      <c r="C12" t="s">
        <v>321</v>
      </c>
      <c r="D12" t="s">
        <v>153</v>
      </c>
      <c r="E12" t="s">
        <v>384</v>
      </c>
      <c r="F12" t="s">
        <v>385</v>
      </c>
      <c r="G12" t="s">
        <v>386</v>
      </c>
      <c r="H12" t="s">
        <v>387</v>
      </c>
      <c r="J12" s="2">
        <v>43387</v>
      </c>
      <c r="K12">
        <v>0</v>
      </c>
      <c r="L12">
        <v>0</v>
      </c>
      <c r="M12">
        <v>0</v>
      </c>
      <c r="N12" s="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881377384.62</v>
      </c>
      <c r="Z12">
        <v>714818769.55999994</v>
      </c>
      <c r="AB12" t="s">
        <v>388</v>
      </c>
      <c r="AC12" t="s">
        <v>389</v>
      </c>
      <c r="AD12" t="s">
        <v>390</v>
      </c>
      <c r="AE12">
        <v>11</v>
      </c>
      <c r="AF12" t="s">
        <v>47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881377384.62</v>
      </c>
      <c r="AR12">
        <v>881377384.62</v>
      </c>
      <c r="AS12">
        <v>0</v>
      </c>
      <c r="AT12">
        <v>0</v>
      </c>
      <c r="AU12">
        <v>0</v>
      </c>
      <c r="AV12">
        <v>0</v>
      </c>
      <c r="AW12" t="s">
        <v>496</v>
      </c>
      <c r="AY12" t="s">
        <v>497</v>
      </c>
      <c r="AZ12" t="s">
        <v>498</v>
      </c>
      <c r="BA12">
        <v>0</v>
      </c>
      <c r="BB12">
        <v>0</v>
      </c>
      <c r="BC12" t="s">
        <v>24</v>
      </c>
      <c r="CN12" s="2"/>
    </row>
    <row r="13" spans="1:113" x14ac:dyDescent="0.2">
      <c r="A13" s="2" t="s">
        <v>148</v>
      </c>
      <c r="B13" t="s">
        <v>320</v>
      </c>
      <c r="C13" t="s">
        <v>321</v>
      </c>
      <c r="D13" t="s">
        <v>153</v>
      </c>
      <c r="E13" t="s">
        <v>384</v>
      </c>
      <c r="F13" t="s">
        <v>385</v>
      </c>
      <c r="G13" t="s">
        <v>386</v>
      </c>
      <c r="H13" t="s">
        <v>387</v>
      </c>
      <c r="J13" s="2">
        <v>43388</v>
      </c>
      <c r="K13">
        <v>0</v>
      </c>
      <c r="L13">
        <v>0</v>
      </c>
      <c r="M13">
        <v>0</v>
      </c>
      <c r="N13" s="2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881377384.62</v>
      </c>
      <c r="Z13">
        <v>714818769.55999994</v>
      </c>
      <c r="AB13" t="s">
        <v>388</v>
      </c>
      <c r="AC13" t="s">
        <v>389</v>
      </c>
      <c r="AD13" t="s">
        <v>390</v>
      </c>
      <c r="AE13">
        <v>12</v>
      </c>
      <c r="AF13" t="s">
        <v>47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881377384.62</v>
      </c>
      <c r="AR13">
        <v>881377384.62</v>
      </c>
      <c r="AS13">
        <v>0</v>
      </c>
      <c r="AT13">
        <v>0</v>
      </c>
      <c r="AU13">
        <v>0</v>
      </c>
      <c r="AV13">
        <v>0</v>
      </c>
      <c r="AW13" t="s">
        <v>496</v>
      </c>
      <c r="AY13" t="s">
        <v>497</v>
      </c>
      <c r="AZ13" t="s">
        <v>498</v>
      </c>
      <c r="BA13">
        <v>0</v>
      </c>
      <c r="BB13">
        <v>0</v>
      </c>
      <c r="BC13" t="s">
        <v>24</v>
      </c>
      <c r="CN13" s="2"/>
    </row>
    <row r="14" spans="1:113" x14ac:dyDescent="0.2">
      <c r="A14" s="2" t="s">
        <v>148</v>
      </c>
      <c r="B14" t="s">
        <v>320</v>
      </c>
      <c r="C14" t="s">
        <v>321</v>
      </c>
      <c r="D14" t="s">
        <v>153</v>
      </c>
      <c r="E14" t="s">
        <v>384</v>
      </c>
      <c r="F14" t="s">
        <v>385</v>
      </c>
      <c r="G14" t="s">
        <v>386</v>
      </c>
      <c r="H14" t="s">
        <v>387</v>
      </c>
      <c r="J14" s="2">
        <v>43389</v>
      </c>
      <c r="K14">
        <v>0</v>
      </c>
      <c r="L14">
        <v>0</v>
      </c>
      <c r="M14">
        <v>0</v>
      </c>
      <c r="N14" s="2">
        <v>0</v>
      </c>
      <c r="O14">
        <v>820000000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1701377384.6199999</v>
      </c>
      <c r="Z14">
        <v>714818769.55999994</v>
      </c>
      <c r="AB14" t="s">
        <v>388</v>
      </c>
      <c r="AC14" t="s">
        <v>389</v>
      </c>
      <c r="AD14" t="s">
        <v>390</v>
      </c>
      <c r="AE14">
        <v>13</v>
      </c>
      <c r="AF14" t="s">
        <v>47</v>
      </c>
      <c r="AG14">
        <v>0</v>
      </c>
      <c r="AH14">
        <v>0</v>
      </c>
      <c r="AI14">
        <v>0</v>
      </c>
      <c r="AJ14">
        <v>820000000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1701377384.6199999</v>
      </c>
      <c r="AR14">
        <v>1701377384.6199999</v>
      </c>
      <c r="AS14">
        <v>0</v>
      </c>
      <c r="AT14">
        <v>0</v>
      </c>
      <c r="AU14">
        <v>0</v>
      </c>
      <c r="AV14">
        <v>0</v>
      </c>
      <c r="AW14" t="s">
        <v>496</v>
      </c>
      <c r="AY14" t="s">
        <v>497</v>
      </c>
      <c r="AZ14" t="s">
        <v>498</v>
      </c>
      <c r="BA14">
        <v>1701377384.6199999</v>
      </c>
      <c r="BB14">
        <v>0</v>
      </c>
      <c r="BC14" t="s">
        <v>24</v>
      </c>
      <c r="CN14" s="2"/>
    </row>
    <row r="15" spans="1:113" x14ac:dyDescent="0.2">
      <c r="A15" s="2" t="s">
        <v>148</v>
      </c>
      <c r="B15" t="s">
        <v>320</v>
      </c>
      <c r="C15" t="s">
        <v>321</v>
      </c>
      <c r="D15" t="s">
        <v>153</v>
      </c>
      <c r="E15" t="s">
        <v>384</v>
      </c>
      <c r="F15" t="s">
        <v>385</v>
      </c>
      <c r="G15" t="s">
        <v>386</v>
      </c>
      <c r="H15" t="s">
        <v>387</v>
      </c>
      <c r="J15" s="2">
        <v>43390</v>
      </c>
      <c r="K15">
        <v>0</v>
      </c>
      <c r="L15">
        <v>0</v>
      </c>
      <c r="M15">
        <v>0</v>
      </c>
      <c r="N15" s="2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1701377384.6199999</v>
      </c>
      <c r="Z15">
        <v>714818769.55999994</v>
      </c>
      <c r="AB15" t="s">
        <v>388</v>
      </c>
      <c r="AC15" t="s">
        <v>389</v>
      </c>
      <c r="AD15" t="s">
        <v>390</v>
      </c>
      <c r="AE15">
        <v>14</v>
      </c>
      <c r="AF15" t="s">
        <v>47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1701377384.6199999</v>
      </c>
      <c r="AR15">
        <v>1701377384.6199999</v>
      </c>
      <c r="AS15">
        <v>0</v>
      </c>
      <c r="AT15">
        <v>0</v>
      </c>
      <c r="AU15">
        <v>0</v>
      </c>
      <c r="AV15">
        <v>0</v>
      </c>
      <c r="AW15" t="s">
        <v>496</v>
      </c>
      <c r="AY15" t="s">
        <v>497</v>
      </c>
      <c r="AZ15" t="s">
        <v>498</v>
      </c>
      <c r="BA15">
        <v>1701377384.6199999</v>
      </c>
      <c r="BB15">
        <v>0</v>
      </c>
      <c r="BC15" t="s">
        <v>24</v>
      </c>
      <c r="CN15" s="2"/>
    </row>
    <row r="16" spans="1:113" x14ac:dyDescent="0.2">
      <c r="A16" s="2" t="s">
        <v>148</v>
      </c>
      <c r="B16" t="s">
        <v>320</v>
      </c>
      <c r="C16" t="s">
        <v>321</v>
      </c>
      <c r="D16" t="s">
        <v>153</v>
      </c>
      <c r="E16" t="s">
        <v>384</v>
      </c>
      <c r="F16" t="s">
        <v>385</v>
      </c>
      <c r="G16" t="s">
        <v>386</v>
      </c>
      <c r="H16" t="s">
        <v>387</v>
      </c>
      <c r="J16" s="2">
        <v>43391</v>
      </c>
      <c r="K16">
        <v>0</v>
      </c>
      <c r="L16">
        <v>0</v>
      </c>
      <c r="M16">
        <v>0</v>
      </c>
      <c r="N16" s="2">
        <v>0</v>
      </c>
      <c r="O16">
        <v>532000000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2233377384.6199999</v>
      </c>
      <c r="Z16">
        <v>714818769.55999994</v>
      </c>
      <c r="AB16" t="s">
        <v>388</v>
      </c>
      <c r="AC16" t="s">
        <v>389</v>
      </c>
      <c r="AD16" t="s">
        <v>390</v>
      </c>
      <c r="AE16">
        <v>15</v>
      </c>
      <c r="AF16" t="s">
        <v>47</v>
      </c>
      <c r="AG16">
        <v>0</v>
      </c>
      <c r="AH16">
        <v>0</v>
      </c>
      <c r="AI16">
        <v>0</v>
      </c>
      <c r="AJ16">
        <v>532000000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2233377384.6199999</v>
      </c>
      <c r="AR16">
        <v>2233377384.6199999</v>
      </c>
      <c r="AS16">
        <v>0</v>
      </c>
      <c r="AT16">
        <v>0</v>
      </c>
      <c r="AU16">
        <v>0</v>
      </c>
      <c r="AV16">
        <v>0</v>
      </c>
      <c r="AW16" t="s">
        <v>496</v>
      </c>
      <c r="AY16" t="s">
        <v>497</v>
      </c>
      <c r="AZ16" t="s">
        <v>498</v>
      </c>
      <c r="BA16">
        <v>2233377384.6199999</v>
      </c>
      <c r="BB16">
        <v>0</v>
      </c>
      <c r="BC16" t="s">
        <v>24</v>
      </c>
      <c r="CN16" s="2"/>
    </row>
    <row r="17" spans="1:92" x14ac:dyDescent="0.2">
      <c r="A17" s="2" t="s">
        <v>148</v>
      </c>
      <c r="B17" t="s">
        <v>320</v>
      </c>
      <c r="C17" t="s">
        <v>321</v>
      </c>
      <c r="D17" t="s">
        <v>153</v>
      </c>
      <c r="E17" t="s">
        <v>384</v>
      </c>
      <c r="F17" t="s">
        <v>385</v>
      </c>
      <c r="G17" t="s">
        <v>386</v>
      </c>
      <c r="H17" t="s">
        <v>387</v>
      </c>
      <c r="J17" s="2">
        <v>43392</v>
      </c>
      <c r="K17">
        <v>0</v>
      </c>
      <c r="L17">
        <v>0</v>
      </c>
      <c r="M17">
        <v>0</v>
      </c>
      <c r="N17" s="2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2233377384.6199999</v>
      </c>
      <c r="Z17">
        <v>714818769.55999994</v>
      </c>
      <c r="AB17" t="s">
        <v>388</v>
      </c>
      <c r="AC17" t="s">
        <v>389</v>
      </c>
      <c r="AD17" t="s">
        <v>390</v>
      </c>
      <c r="AE17">
        <v>16</v>
      </c>
      <c r="AF17" t="s">
        <v>47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2233377384.6199999</v>
      </c>
      <c r="AR17">
        <v>2233377384.6199999</v>
      </c>
      <c r="AS17">
        <v>0</v>
      </c>
      <c r="AT17">
        <v>0</v>
      </c>
      <c r="AU17">
        <v>0</v>
      </c>
      <c r="AV17">
        <v>0</v>
      </c>
      <c r="AW17" t="s">
        <v>496</v>
      </c>
      <c r="AY17" t="s">
        <v>497</v>
      </c>
      <c r="AZ17" t="s">
        <v>498</v>
      </c>
      <c r="BA17">
        <v>2233377384.6199999</v>
      </c>
      <c r="BB17">
        <v>0</v>
      </c>
      <c r="BC17" t="s">
        <v>24</v>
      </c>
      <c r="CN17" s="2"/>
    </row>
    <row r="18" spans="1:92" x14ac:dyDescent="0.2">
      <c r="A18" s="2"/>
      <c r="N18" s="2"/>
      <c r="CN18" s="2"/>
    </row>
    <row r="19" spans="1:92" x14ac:dyDescent="0.2">
      <c r="A19" s="2"/>
      <c r="N19" s="2"/>
      <c r="CN19" s="2"/>
    </row>
    <row r="20" spans="1:92" x14ac:dyDescent="0.2">
      <c r="A20" s="2"/>
      <c r="N20" s="2"/>
      <c r="CN20" s="2"/>
    </row>
    <row r="21" spans="1:92" x14ac:dyDescent="0.2">
      <c r="A21" s="2"/>
      <c r="N21" s="2"/>
      <c r="CN21" s="2"/>
    </row>
    <row r="22" spans="1:92" x14ac:dyDescent="0.2">
      <c r="A22" s="2"/>
      <c r="N22" s="2"/>
      <c r="CN22" s="2"/>
    </row>
    <row r="23" spans="1:92" x14ac:dyDescent="0.2">
      <c r="A23" s="2"/>
      <c r="N23" s="2"/>
      <c r="CN23" s="2"/>
    </row>
    <row r="24" spans="1:92" x14ac:dyDescent="0.2">
      <c r="A24" s="2"/>
      <c r="N24" s="2"/>
      <c r="CN24" s="2"/>
    </row>
    <row r="25" spans="1:92" x14ac:dyDescent="0.2">
      <c r="A25" s="2"/>
      <c r="N25" s="2"/>
      <c r="CN25" s="2"/>
    </row>
    <row r="26" spans="1:92" x14ac:dyDescent="0.2">
      <c r="A26" s="2"/>
      <c r="N26" s="2"/>
      <c r="CN26" s="2"/>
    </row>
    <row r="27" spans="1:92" x14ac:dyDescent="0.2">
      <c r="A27" s="2"/>
      <c r="N27" s="2"/>
      <c r="CN27" s="2"/>
    </row>
    <row r="28" spans="1:92" x14ac:dyDescent="0.2">
      <c r="A28" s="2"/>
      <c r="N28" s="2"/>
      <c r="CN28" s="2"/>
    </row>
    <row r="29" spans="1:92" x14ac:dyDescent="0.2">
      <c r="A29" s="2"/>
      <c r="N29" s="2"/>
      <c r="CN29" s="2"/>
    </row>
    <row r="30" spans="1:92" x14ac:dyDescent="0.2">
      <c r="A30" s="2"/>
      <c r="N30" s="2"/>
      <c r="CN30" s="2"/>
    </row>
    <row r="31" spans="1:92" x14ac:dyDescent="0.2">
      <c r="A31" s="2"/>
      <c r="N31" s="2"/>
      <c r="CN31" s="2"/>
    </row>
    <row r="32" spans="1:92" x14ac:dyDescent="0.2">
      <c r="A32" s="2"/>
      <c r="N32" s="2"/>
      <c r="CN32" s="2"/>
    </row>
    <row r="33" spans="1:92" x14ac:dyDescent="0.2">
      <c r="A33" s="2"/>
      <c r="N33" s="2"/>
      <c r="CN33" s="2"/>
    </row>
    <row r="34" spans="1:92" x14ac:dyDescent="0.2">
      <c r="A34" s="2"/>
      <c r="N34" s="2"/>
      <c r="CN34" s="2"/>
    </row>
    <row r="35" spans="1:92" x14ac:dyDescent="0.2">
      <c r="A35" s="2"/>
      <c r="N35" s="2"/>
      <c r="CN35" s="2"/>
    </row>
    <row r="36" spans="1:92" x14ac:dyDescent="0.2">
      <c r="A36" s="2"/>
      <c r="N36" s="2"/>
      <c r="CN36" s="2"/>
    </row>
    <row r="37" spans="1:92" x14ac:dyDescent="0.2">
      <c r="A37" s="2"/>
      <c r="N37" s="2"/>
      <c r="CN37" s="2"/>
    </row>
    <row r="38" spans="1:92" x14ac:dyDescent="0.2">
      <c r="A38" s="2"/>
      <c r="N38" s="2"/>
      <c r="CN38" s="2"/>
    </row>
    <row r="39" spans="1:92" x14ac:dyDescent="0.2">
      <c r="A39" s="2"/>
      <c r="N39" s="2"/>
      <c r="CN39" s="2"/>
    </row>
    <row r="40" spans="1:92" x14ac:dyDescent="0.2">
      <c r="A40" s="2"/>
      <c r="N40" s="2"/>
      <c r="CN40" s="2"/>
    </row>
    <row r="41" spans="1:92" x14ac:dyDescent="0.2">
      <c r="A41" s="2"/>
      <c r="N41" s="2"/>
      <c r="CN41" s="2"/>
    </row>
    <row r="42" spans="1:92" x14ac:dyDescent="0.2">
      <c r="A42" s="2"/>
      <c r="N42" s="2"/>
      <c r="CN42" s="2"/>
    </row>
    <row r="43" spans="1:92" x14ac:dyDescent="0.2">
      <c r="A43" s="2"/>
      <c r="N43" s="2"/>
      <c r="CN43" s="2"/>
    </row>
    <row r="44" spans="1:92" x14ac:dyDescent="0.2">
      <c r="A44" s="2"/>
      <c r="N44" s="2"/>
      <c r="CN44" s="2"/>
    </row>
    <row r="45" spans="1:92" x14ac:dyDescent="0.2">
      <c r="A45" s="2"/>
      <c r="N45" s="2"/>
      <c r="CN45" s="2"/>
    </row>
    <row r="46" spans="1:92" x14ac:dyDescent="0.2">
      <c r="A46" s="2"/>
      <c r="N46" s="2"/>
      <c r="CN46" s="2"/>
    </row>
    <row r="47" spans="1:92" x14ac:dyDescent="0.2">
      <c r="A47" s="2"/>
      <c r="N47" s="2"/>
      <c r="CN47" s="2"/>
    </row>
    <row r="48" spans="1:92" x14ac:dyDescent="0.2">
      <c r="A48" s="2"/>
      <c r="N48" s="2"/>
      <c r="CN48" s="2"/>
    </row>
    <row r="49" spans="1:92" x14ac:dyDescent="0.2">
      <c r="A49" s="2"/>
      <c r="N49" s="2"/>
      <c r="CN49" s="2"/>
    </row>
    <row r="50" spans="1:92" x14ac:dyDescent="0.2">
      <c r="A50" s="2"/>
      <c r="N50" s="2"/>
      <c r="CN50" s="2"/>
    </row>
    <row r="51" spans="1:92" x14ac:dyDescent="0.2">
      <c r="A51" s="2"/>
      <c r="N51" s="2"/>
      <c r="CN51" s="2"/>
    </row>
    <row r="52" spans="1:92" x14ac:dyDescent="0.2">
      <c r="A52" s="2"/>
      <c r="N52" s="2"/>
      <c r="CN52" s="2"/>
    </row>
    <row r="53" spans="1:92" x14ac:dyDescent="0.2">
      <c r="A53" s="2"/>
      <c r="N53" s="2"/>
      <c r="CN53" s="2"/>
    </row>
    <row r="54" spans="1:92" x14ac:dyDescent="0.2">
      <c r="A54" s="2"/>
      <c r="N54" s="2"/>
      <c r="CN54" s="2"/>
    </row>
    <row r="55" spans="1:92" x14ac:dyDescent="0.2">
      <c r="A55" s="2"/>
      <c r="N55" s="2"/>
      <c r="CN55" s="2"/>
    </row>
    <row r="56" spans="1:92" x14ac:dyDescent="0.2">
      <c r="A56" s="2"/>
      <c r="N56" s="2"/>
      <c r="CN56" s="2"/>
    </row>
    <row r="57" spans="1:92" x14ac:dyDescent="0.2">
      <c r="A57" s="2"/>
      <c r="N57" s="2"/>
      <c r="CN57" s="2"/>
    </row>
    <row r="58" spans="1:92" x14ac:dyDescent="0.2">
      <c r="A58" s="2"/>
      <c r="N58" s="2"/>
      <c r="CN58" s="2"/>
    </row>
    <row r="59" spans="1:92" x14ac:dyDescent="0.2">
      <c r="A59" s="2"/>
      <c r="N59" s="2"/>
      <c r="CN59" s="2"/>
    </row>
    <row r="60" spans="1:92" x14ac:dyDescent="0.2">
      <c r="A60" s="2"/>
      <c r="N60" s="2"/>
      <c r="CN60" s="2"/>
    </row>
    <row r="61" spans="1:92" x14ac:dyDescent="0.2">
      <c r="A61" s="2"/>
      <c r="N61" s="2"/>
      <c r="CN61" s="2"/>
    </row>
    <row r="62" spans="1:92" x14ac:dyDescent="0.2">
      <c r="A62" s="2"/>
      <c r="N62" s="2"/>
      <c r="CN62" s="2"/>
    </row>
    <row r="63" spans="1:92" x14ac:dyDescent="0.2">
      <c r="A63" s="2"/>
      <c r="N63" s="2"/>
      <c r="CN63" s="2"/>
    </row>
    <row r="64" spans="1:92" x14ac:dyDescent="0.2">
      <c r="A64" s="2"/>
      <c r="N64" s="2"/>
      <c r="CN64" s="2"/>
    </row>
    <row r="65" spans="1:92" x14ac:dyDescent="0.2">
      <c r="A65" s="2"/>
      <c r="N65" s="2"/>
      <c r="CN65" s="2"/>
    </row>
    <row r="66" spans="1:92" x14ac:dyDescent="0.2">
      <c r="A66" s="2"/>
      <c r="N66" s="2"/>
      <c r="CN66" s="2"/>
    </row>
    <row r="67" spans="1:92" x14ac:dyDescent="0.2">
      <c r="A67" s="2"/>
      <c r="N67" s="2"/>
      <c r="CN67" s="2"/>
    </row>
    <row r="68" spans="1:92" x14ac:dyDescent="0.2">
      <c r="A68" s="2"/>
      <c r="N68" s="2"/>
      <c r="CN68" s="2"/>
    </row>
    <row r="69" spans="1:92" x14ac:dyDescent="0.2">
      <c r="A69" s="2"/>
      <c r="N69" s="2"/>
      <c r="CN69" s="2"/>
    </row>
    <row r="70" spans="1:92" x14ac:dyDescent="0.2">
      <c r="A70" s="2"/>
      <c r="N70" s="2"/>
      <c r="CN70" s="2"/>
    </row>
    <row r="71" spans="1:92" x14ac:dyDescent="0.2">
      <c r="A71" s="2"/>
      <c r="N71" s="2"/>
      <c r="CN71" s="2"/>
    </row>
    <row r="72" spans="1:92" x14ac:dyDescent="0.2">
      <c r="A72" s="2"/>
      <c r="N72" s="2"/>
      <c r="CN72" s="2"/>
    </row>
    <row r="73" spans="1:92" x14ac:dyDescent="0.2">
      <c r="A73" s="2"/>
      <c r="N73" s="2"/>
      <c r="CN73" s="2"/>
    </row>
    <row r="74" spans="1:92" x14ac:dyDescent="0.2">
      <c r="A74" s="2"/>
      <c r="N74" s="2"/>
      <c r="CN74" s="2"/>
    </row>
    <row r="75" spans="1:92" x14ac:dyDescent="0.2">
      <c r="A75" s="2"/>
      <c r="N75" s="2"/>
      <c r="CN75" s="2"/>
    </row>
    <row r="76" spans="1:92" x14ac:dyDescent="0.2">
      <c r="A76" s="2"/>
      <c r="N76" s="2"/>
      <c r="CN76" s="2"/>
    </row>
    <row r="77" spans="1:92" x14ac:dyDescent="0.2">
      <c r="A77" s="2"/>
      <c r="N77" s="2"/>
      <c r="CN77" s="2"/>
    </row>
    <row r="78" spans="1:92" x14ac:dyDescent="0.2">
      <c r="A78" s="2"/>
      <c r="N78" s="2"/>
      <c r="CN78" s="2"/>
    </row>
    <row r="79" spans="1:92" x14ac:dyDescent="0.2">
      <c r="A79" s="2"/>
      <c r="N79" s="2"/>
      <c r="CN79" s="2"/>
    </row>
    <row r="80" spans="1:92" x14ac:dyDescent="0.2">
      <c r="A80" s="2"/>
      <c r="N80" s="2"/>
      <c r="CN80" s="2"/>
    </row>
    <row r="81" spans="1:92" x14ac:dyDescent="0.2">
      <c r="A81" s="2"/>
      <c r="N81" s="2"/>
      <c r="CN81" s="2"/>
    </row>
    <row r="82" spans="1:92" x14ac:dyDescent="0.2">
      <c r="A82" s="2"/>
      <c r="N82" s="2"/>
      <c r="CN82" s="2"/>
    </row>
    <row r="83" spans="1:92" x14ac:dyDescent="0.2">
      <c r="A83" s="2"/>
      <c r="N83" s="2"/>
      <c r="CN83" s="2"/>
    </row>
    <row r="84" spans="1:92" x14ac:dyDescent="0.2">
      <c r="A84" s="2"/>
      <c r="N84" s="2"/>
      <c r="CN84" s="2"/>
    </row>
    <row r="85" spans="1:92" x14ac:dyDescent="0.2">
      <c r="A85" s="2"/>
      <c r="N85" s="2"/>
      <c r="CN85" s="2"/>
    </row>
    <row r="86" spans="1:92" x14ac:dyDescent="0.2">
      <c r="A86" s="2"/>
      <c r="N86" s="2"/>
      <c r="CN86" s="2"/>
    </row>
    <row r="87" spans="1:92" x14ac:dyDescent="0.2">
      <c r="A87" s="2"/>
      <c r="N87" s="2"/>
      <c r="CN87" s="2"/>
    </row>
    <row r="88" spans="1:92" x14ac:dyDescent="0.2">
      <c r="A88" s="2"/>
      <c r="N88" s="2"/>
      <c r="CN88" s="2"/>
    </row>
    <row r="89" spans="1:92" x14ac:dyDescent="0.2">
      <c r="A89" s="2"/>
      <c r="N89" s="2"/>
      <c r="CN89" s="2"/>
    </row>
    <row r="90" spans="1:92" x14ac:dyDescent="0.2">
      <c r="A90" s="2"/>
      <c r="N90" s="2"/>
      <c r="CN90" s="2"/>
    </row>
    <row r="91" spans="1:92" x14ac:dyDescent="0.2">
      <c r="A91" s="2"/>
      <c r="N91" s="2"/>
      <c r="CN91" s="2"/>
    </row>
    <row r="92" spans="1:92" x14ac:dyDescent="0.2">
      <c r="A92" s="2"/>
      <c r="N92" s="2"/>
      <c r="CN92" s="2"/>
    </row>
    <row r="93" spans="1:92" x14ac:dyDescent="0.2">
      <c r="A93" s="2"/>
      <c r="N93" s="2"/>
      <c r="CN93" s="2"/>
    </row>
    <row r="94" spans="1:92" x14ac:dyDescent="0.2">
      <c r="A94" s="2"/>
      <c r="N94" s="2"/>
      <c r="CN94" s="2"/>
    </row>
    <row r="95" spans="1:92" x14ac:dyDescent="0.2">
      <c r="A95" s="2"/>
      <c r="N95" s="2"/>
      <c r="CN95" s="2"/>
    </row>
    <row r="96" spans="1:92" x14ac:dyDescent="0.2">
      <c r="A96" s="2"/>
      <c r="N96" s="2"/>
      <c r="CN96" s="2"/>
    </row>
    <row r="97" spans="1:92" x14ac:dyDescent="0.2">
      <c r="A97" s="2"/>
      <c r="N97" s="2"/>
      <c r="CN97" s="2"/>
    </row>
    <row r="98" spans="1:92" x14ac:dyDescent="0.2">
      <c r="A98" s="2"/>
      <c r="N98" s="2"/>
      <c r="CN98" s="2"/>
    </row>
    <row r="99" spans="1:92" x14ac:dyDescent="0.2">
      <c r="A99" s="2"/>
      <c r="N99" s="2"/>
      <c r="CN99" s="2"/>
    </row>
    <row r="100" spans="1:92" x14ac:dyDescent="0.2">
      <c r="A100" s="2"/>
      <c r="N100" s="2"/>
      <c r="CN100" s="2"/>
    </row>
    <row r="101" spans="1:92" x14ac:dyDescent="0.2">
      <c r="A101" s="2"/>
      <c r="N101" s="2"/>
      <c r="CN101" s="2"/>
    </row>
    <row r="102" spans="1:92" x14ac:dyDescent="0.2">
      <c r="A102" s="2"/>
      <c r="N102" s="2"/>
      <c r="CN102" s="2"/>
    </row>
    <row r="103" spans="1:92" x14ac:dyDescent="0.2">
      <c r="A103" s="2"/>
      <c r="N103" s="2"/>
      <c r="CN103" s="2"/>
    </row>
    <row r="104" spans="1:92" x14ac:dyDescent="0.2">
      <c r="A104" s="2"/>
      <c r="N104" s="2"/>
      <c r="CN104" s="2"/>
    </row>
    <row r="105" spans="1:92" x14ac:dyDescent="0.2">
      <c r="A105" s="2"/>
      <c r="N105" s="2"/>
      <c r="CN105" s="2"/>
    </row>
    <row r="106" spans="1:92" x14ac:dyDescent="0.2">
      <c r="A106" s="2"/>
      <c r="N106" s="2"/>
      <c r="CN106" s="2"/>
    </row>
    <row r="107" spans="1:92" x14ac:dyDescent="0.2">
      <c r="A107" s="2"/>
      <c r="N107" s="2"/>
      <c r="CN107" s="2"/>
    </row>
    <row r="108" spans="1:92" x14ac:dyDescent="0.2">
      <c r="A108" s="2"/>
      <c r="N108" s="2"/>
      <c r="CN108" s="2"/>
    </row>
    <row r="109" spans="1:92" x14ac:dyDescent="0.2">
      <c r="A109" s="2"/>
      <c r="N109" s="2"/>
      <c r="CN109" s="2"/>
    </row>
    <row r="110" spans="1:92" x14ac:dyDescent="0.2">
      <c r="A110" s="2"/>
      <c r="N110" s="2"/>
      <c r="CN110" s="2"/>
    </row>
    <row r="111" spans="1:92" x14ac:dyDescent="0.2">
      <c r="A111" s="2"/>
      <c r="N111" s="2"/>
      <c r="CN111" s="2"/>
    </row>
    <row r="112" spans="1:92" x14ac:dyDescent="0.2">
      <c r="A112" s="2"/>
      <c r="N112" s="2"/>
      <c r="CN112" s="2"/>
    </row>
    <row r="113" spans="1:92" x14ac:dyDescent="0.2">
      <c r="A113" s="2"/>
      <c r="N113" s="2"/>
      <c r="CN113" s="2"/>
    </row>
    <row r="114" spans="1:92" x14ac:dyDescent="0.2">
      <c r="A114" s="2"/>
      <c r="N114" s="2"/>
      <c r="CN114" s="2"/>
    </row>
    <row r="115" spans="1:92" x14ac:dyDescent="0.2">
      <c r="A115" s="2"/>
      <c r="N115" s="2"/>
      <c r="CN115" s="2"/>
    </row>
    <row r="116" spans="1:92" x14ac:dyDescent="0.2">
      <c r="A116" s="2"/>
      <c r="N116" s="2"/>
      <c r="CN116" s="2"/>
    </row>
    <row r="117" spans="1:92" x14ac:dyDescent="0.2">
      <c r="A117" s="2"/>
      <c r="N117" s="2"/>
      <c r="CN117" s="2"/>
    </row>
    <row r="118" spans="1:92" x14ac:dyDescent="0.2">
      <c r="A118" s="2"/>
      <c r="N118" s="2"/>
      <c r="CN118" s="2"/>
    </row>
    <row r="119" spans="1:92" x14ac:dyDescent="0.2">
      <c r="A119" s="2"/>
      <c r="N119" s="2"/>
      <c r="CN119" s="2"/>
    </row>
    <row r="120" spans="1:92" x14ac:dyDescent="0.2">
      <c r="A120" s="2"/>
      <c r="N120" s="2"/>
      <c r="CN120" s="2"/>
    </row>
    <row r="121" spans="1:92" x14ac:dyDescent="0.2">
      <c r="A121" s="2"/>
      <c r="N121" s="2"/>
      <c r="CN121" s="2"/>
    </row>
    <row r="122" spans="1:92" x14ac:dyDescent="0.2">
      <c r="A122" s="2"/>
      <c r="N122" s="2"/>
      <c r="CN122" s="2"/>
    </row>
    <row r="123" spans="1:92" x14ac:dyDescent="0.2">
      <c r="A123" s="2"/>
      <c r="N123" s="2"/>
      <c r="CN123" s="2"/>
    </row>
    <row r="124" spans="1:92" x14ac:dyDescent="0.2">
      <c r="A124" s="2"/>
      <c r="N124" s="2"/>
      <c r="CN124" s="2"/>
    </row>
    <row r="125" spans="1:92" x14ac:dyDescent="0.2">
      <c r="A125" s="2"/>
      <c r="N125" s="2"/>
      <c r="CN125" s="2"/>
    </row>
    <row r="126" spans="1:92" x14ac:dyDescent="0.2">
      <c r="A126" s="2"/>
      <c r="N126" s="2"/>
      <c r="CN126" s="2"/>
    </row>
    <row r="127" spans="1:92" x14ac:dyDescent="0.2">
      <c r="A127" s="2"/>
      <c r="N127" s="2"/>
      <c r="CN127" s="2"/>
    </row>
    <row r="128" spans="1:92" x14ac:dyDescent="0.2">
      <c r="A128" s="2"/>
      <c r="N128" s="2"/>
      <c r="CN128" s="2"/>
    </row>
    <row r="129" spans="1:92" x14ac:dyDescent="0.2">
      <c r="A129" s="2"/>
      <c r="N129" s="2"/>
      <c r="CN129" s="2"/>
    </row>
    <row r="130" spans="1:92" x14ac:dyDescent="0.2">
      <c r="A130" s="2"/>
      <c r="N130" s="2"/>
      <c r="CN130" s="2"/>
    </row>
    <row r="131" spans="1:92" x14ac:dyDescent="0.2">
      <c r="A131" s="2"/>
      <c r="N131" s="2"/>
      <c r="CN131" s="2"/>
    </row>
    <row r="132" spans="1:92" x14ac:dyDescent="0.2">
      <c r="A132" s="2"/>
      <c r="N132" s="2"/>
      <c r="CN132" s="2"/>
    </row>
    <row r="133" spans="1:92" x14ac:dyDescent="0.2">
      <c r="A133" s="2"/>
      <c r="N133" s="2"/>
      <c r="CN133" s="2"/>
    </row>
    <row r="134" spans="1:92" x14ac:dyDescent="0.2">
      <c r="A134" s="2"/>
      <c r="N134" s="2"/>
      <c r="CN134" s="2"/>
    </row>
    <row r="135" spans="1:92" x14ac:dyDescent="0.2">
      <c r="A135" s="2"/>
      <c r="N135" s="2"/>
      <c r="CN135" s="2"/>
    </row>
    <row r="136" spans="1:92" x14ac:dyDescent="0.2">
      <c r="A136" s="2"/>
      <c r="N136" s="2"/>
      <c r="CN136" s="2"/>
    </row>
    <row r="137" spans="1:92" x14ac:dyDescent="0.2">
      <c r="A137" s="2"/>
      <c r="N137" s="2"/>
      <c r="CN137" s="2"/>
    </row>
    <row r="138" spans="1:92" x14ac:dyDescent="0.2">
      <c r="A138" s="2"/>
      <c r="N138" s="2"/>
      <c r="CN138" s="2"/>
    </row>
    <row r="139" spans="1:92" x14ac:dyDescent="0.2">
      <c r="A139" s="2"/>
      <c r="N139" s="2"/>
      <c r="CN139" s="2"/>
    </row>
    <row r="140" spans="1:92" x14ac:dyDescent="0.2">
      <c r="A140" s="2"/>
      <c r="N140" s="2"/>
      <c r="CN140" s="2"/>
    </row>
    <row r="141" spans="1:92" x14ac:dyDescent="0.2">
      <c r="A141" s="2"/>
      <c r="N141" s="2"/>
      <c r="CN141" s="2"/>
    </row>
    <row r="142" spans="1:92" x14ac:dyDescent="0.2">
      <c r="A142" s="2"/>
      <c r="N142" s="2"/>
      <c r="CN142" s="2"/>
    </row>
    <row r="143" spans="1:92" x14ac:dyDescent="0.2">
      <c r="A143" s="2"/>
      <c r="N143" s="2"/>
      <c r="CN143" s="2"/>
    </row>
    <row r="144" spans="1:92" x14ac:dyDescent="0.2">
      <c r="A144" s="2"/>
      <c r="N144" s="2"/>
      <c r="CN144" s="2"/>
    </row>
    <row r="145" spans="1:92" x14ac:dyDescent="0.2">
      <c r="A145" s="2"/>
      <c r="N145" s="2"/>
      <c r="CN145" s="2"/>
    </row>
    <row r="146" spans="1:92" x14ac:dyDescent="0.2">
      <c r="A146" s="2"/>
      <c r="N146" s="2"/>
      <c r="CN146" s="2"/>
    </row>
    <row r="147" spans="1:92" x14ac:dyDescent="0.2">
      <c r="A147" s="2"/>
      <c r="N147" s="2"/>
      <c r="CN147" s="2"/>
    </row>
    <row r="148" spans="1:92" x14ac:dyDescent="0.2">
      <c r="A148" s="2"/>
      <c r="N148" s="2"/>
      <c r="CN148" s="2"/>
    </row>
    <row r="149" spans="1:92" x14ac:dyDescent="0.2">
      <c r="A149" s="2"/>
      <c r="N149" s="2"/>
      <c r="CN149" s="2"/>
    </row>
    <row r="150" spans="1:92" x14ac:dyDescent="0.2">
      <c r="A150" s="2"/>
      <c r="N150" s="2"/>
      <c r="CN150" s="2"/>
    </row>
    <row r="151" spans="1:92" x14ac:dyDescent="0.2">
      <c r="A151" s="2"/>
      <c r="N151" s="2"/>
      <c r="CN151" s="2"/>
    </row>
    <row r="152" spans="1:92" x14ac:dyDescent="0.2">
      <c r="A152" s="2"/>
      <c r="N152" s="2"/>
      <c r="CN152" s="2"/>
    </row>
    <row r="153" spans="1:92" x14ac:dyDescent="0.2">
      <c r="A153" s="2"/>
      <c r="N153" s="2"/>
      <c r="CN153" s="2"/>
    </row>
    <row r="154" spans="1:92" x14ac:dyDescent="0.2">
      <c r="A154" s="2"/>
      <c r="N154" s="2"/>
      <c r="CN154" s="2"/>
    </row>
    <row r="155" spans="1:92" x14ac:dyDescent="0.2">
      <c r="A155" s="2"/>
      <c r="N155" s="2"/>
      <c r="CN155" s="2"/>
    </row>
    <row r="156" spans="1:92" x14ac:dyDescent="0.2">
      <c r="A156" s="2"/>
      <c r="N156" s="2"/>
      <c r="CN156" s="2"/>
    </row>
    <row r="157" spans="1:92" x14ac:dyDescent="0.2">
      <c r="A157" s="2"/>
      <c r="N157" s="2"/>
      <c r="CN157" s="2"/>
    </row>
    <row r="158" spans="1:92" x14ac:dyDescent="0.2">
      <c r="A158" s="2"/>
      <c r="N158" s="2"/>
      <c r="CN158" s="2"/>
    </row>
    <row r="159" spans="1:92" x14ac:dyDescent="0.2">
      <c r="A159" s="2"/>
      <c r="N159" s="2"/>
      <c r="CN159" s="2"/>
    </row>
    <row r="160" spans="1:92" x14ac:dyDescent="0.2">
      <c r="A160" s="2"/>
      <c r="N160" s="2"/>
      <c r="CN160" s="2"/>
    </row>
    <row r="161" spans="1:92" x14ac:dyDescent="0.2">
      <c r="A161" s="2"/>
      <c r="N161" s="2"/>
      <c r="CN161" s="2"/>
    </row>
    <row r="162" spans="1:92" x14ac:dyDescent="0.2">
      <c r="A162" s="2"/>
      <c r="N162" s="2"/>
      <c r="CN162" s="2"/>
    </row>
    <row r="163" spans="1:92" x14ac:dyDescent="0.2">
      <c r="A163" s="2"/>
      <c r="N163" s="2"/>
      <c r="CN163" s="2"/>
    </row>
    <row r="164" spans="1:92" x14ac:dyDescent="0.2">
      <c r="A164" s="2"/>
      <c r="N164" s="2"/>
      <c r="CN164" s="2"/>
    </row>
    <row r="165" spans="1:92" x14ac:dyDescent="0.2">
      <c r="A165" s="2"/>
      <c r="N165" s="2"/>
      <c r="CN165" s="2"/>
    </row>
    <row r="166" spans="1:92" x14ac:dyDescent="0.2">
      <c r="A166" s="2"/>
      <c r="N166" s="2"/>
      <c r="CN166" s="2"/>
    </row>
    <row r="167" spans="1:92" x14ac:dyDescent="0.2">
      <c r="A167" s="2"/>
      <c r="N167" s="2"/>
      <c r="CN167" s="2"/>
    </row>
    <row r="168" spans="1:92" x14ac:dyDescent="0.2">
      <c r="A168" s="2"/>
      <c r="N168" s="2"/>
      <c r="CN168" s="2"/>
    </row>
    <row r="169" spans="1:92" x14ac:dyDescent="0.2">
      <c r="A169" s="2"/>
      <c r="N169" s="2"/>
      <c r="CN169" s="2"/>
    </row>
    <row r="170" spans="1:92" x14ac:dyDescent="0.2">
      <c r="A170" s="2"/>
      <c r="N170" s="2"/>
      <c r="CN170" s="2"/>
    </row>
    <row r="171" spans="1:92" x14ac:dyDescent="0.2">
      <c r="A171" s="2"/>
      <c r="N171" s="2"/>
      <c r="CN171" s="2"/>
    </row>
    <row r="172" spans="1:92" x14ac:dyDescent="0.2">
      <c r="A172" s="2"/>
      <c r="N172" s="2"/>
      <c r="CN172" s="2"/>
    </row>
    <row r="173" spans="1:92" x14ac:dyDescent="0.2">
      <c r="A173" s="2"/>
      <c r="N173" s="2"/>
      <c r="CN173" s="2"/>
    </row>
    <row r="174" spans="1:92" x14ac:dyDescent="0.2">
      <c r="A174" s="2"/>
      <c r="N174" s="2"/>
      <c r="CN174" s="2"/>
    </row>
    <row r="175" spans="1:92" x14ac:dyDescent="0.2">
      <c r="A175" s="2"/>
      <c r="N175" s="2"/>
      <c r="CN175" s="2"/>
    </row>
    <row r="176" spans="1:92" x14ac:dyDescent="0.2">
      <c r="A176" s="2"/>
      <c r="N176" s="2"/>
      <c r="CN176" s="2"/>
    </row>
    <row r="177" spans="1:92" x14ac:dyDescent="0.2">
      <c r="A177" s="2"/>
      <c r="N177" s="2"/>
      <c r="CN177" s="2"/>
    </row>
    <row r="178" spans="1:92" x14ac:dyDescent="0.2">
      <c r="A178" s="2"/>
      <c r="N178" s="2"/>
      <c r="CN178" s="2"/>
    </row>
    <row r="179" spans="1:92" x14ac:dyDescent="0.2">
      <c r="A179" s="2"/>
      <c r="N179" s="2"/>
      <c r="CN179" s="2"/>
    </row>
    <row r="180" spans="1:92" x14ac:dyDescent="0.2">
      <c r="A180" s="2"/>
      <c r="N180" s="2"/>
      <c r="CN180" s="2"/>
    </row>
    <row r="181" spans="1:92" x14ac:dyDescent="0.2">
      <c r="A181" s="2"/>
      <c r="N181" s="2"/>
      <c r="CN181" s="2"/>
    </row>
    <row r="182" spans="1:92" x14ac:dyDescent="0.2">
      <c r="A182" s="2"/>
      <c r="N182" s="2"/>
      <c r="CN182" s="2"/>
    </row>
    <row r="183" spans="1:92" x14ac:dyDescent="0.2">
      <c r="A183" s="2"/>
      <c r="N183" s="2"/>
      <c r="CN183" s="2"/>
    </row>
    <row r="184" spans="1:92" x14ac:dyDescent="0.2">
      <c r="A184" s="2"/>
      <c r="N184" s="2"/>
      <c r="CN184" s="2"/>
    </row>
    <row r="185" spans="1:92" x14ac:dyDescent="0.2">
      <c r="A185" s="2"/>
      <c r="N185" s="2"/>
      <c r="CN185" s="2"/>
    </row>
    <row r="186" spans="1:92" x14ac:dyDescent="0.2">
      <c r="A186" s="2"/>
      <c r="N186" s="2"/>
      <c r="CN186" s="2"/>
    </row>
    <row r="187" spans="1:92" x14ac:dyDescent="0.2">
      <c r="A187" s="2"/>
      <c r="N187" s="2"/>
      <c r="CN187" s="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CB546-6FC2-4B3E-9D15-880B29D05C26}">
  <sheetPr codeName="Sheet3"/>
  <dimension ref="A1:Z65"/>
  <sheetViews>
    <sheetView zoomScale="70" zoomScaleNormal="70" workbookViewId="0">
      <selection activeCell="G26" sqref="G26"/>
    </sheetView>
  </sheetViews>
  <sheetFormatPr defaultRowHeight="14.25" x14ac:dyDescent="0.2"/>
  <cols>
    <col min="1" max="1" width="11.375" customWidth="1"/>
    <col min="2" max="2" width="13" customWidth="1"/>
    <col min="3" max="3" width="11.625" style="2" customWidth="1"/>
    <col min="4" max="5" width="11.375" customWidth="1"/>
    <col min="6" max="6" width="15.125" customWidth="1"/>
    <col min="7" max="8" width="14.25" customWidth="1"/>
    <col min="9" max="9" width="18" customWidth="1"/>
    <col min="10" max="10" width="11.375" customWidth="1"/>
    <col min="11" max="11" width="14.25" customWidth="1"/>
    <col min="12" max="12" width="13.625" customWidth="1"/>
    <col min="13" max="13" width="11.375" customWidth="1"/>
    <col min="14" max="14" width="13.25" customWidth="1"/>
    <col min="15" max="15" width="14.125" customWidth="1"/>
    <col min="16" max="16" width="23.5" style="3" customWidth="1"/>
    <col min="17" max="18" width="20.75" customWidth="1"/>
    <col min="19" max="20" width="23.625" customWidth="1"/>
    <col min="21" max="21" width="21.75" customWidth="1"/>
    <col min="22" max="22" width="23" customWidth="1"/>
    <col min="23" max="23" width="21.375" customWidth="1"/>
    <col min="24" max="24" width="22.625" customWidth="1"/>
    <col min="25" max="25" width="15" customWidth="1"/>
    <col min="26" max="26" width="19.25" customWidth="1"/>
  </cols>
  <sheetData>
    <row r="1" spans="1:26" x14ac:dyDescent="0.2">
      <c r="A1" t="s">
        <v>329</v>
      </c>
      <c r="B1" t="s">
        <v>332</v>
      </c>
      <c r="C1" s="2" t="s">
        <v>338</v>
      </c>
      <c r="D1" t="s">
        <v>342</v>
      </c>
      <c r="E1" t="s">
        <v>343</v>
      </c>
      <c r="F1" t="s">
        <v>344</v>
      </c>
      <c r="G1" t="s">
        <v>345</v>
      </c>
      <c r="H1" t="s">
        <v>346</v>
      </c>
      <c r="I1" t="s">
        <v>347</v>
      </c>
      <c r="J1" t="s">
        <v>348</v>
      </c>
      <c r="K1" t="s">
        <v>349</v>
      </c>
      <c r="L1" t="s">
        <v>350</v>
      </c>
      <c r="M1" t="s">
        <v>351</v>
      </c>
      <c r="N1" t="s">
        <v>352</v>
      </c>
      <c r="O1" t="s">
        <v>353</v>
      </c>
      <c r="P1" s="3" t="s">
        <v>354</v>
      </c>
      <c r="Q1" t="s">
        <v>363</v>
      </c>
      <c r="R1" t="s">
        <v>364</v>
      </c>
      <c r="S1" t="s">
        <v>365</v>
      </c>
      <c r="T1" t="s">
        <v>366</v>
      </c>
      <c r="U1" t="s">
        <v>367</v>
      </c>
      <c r="V1" t="s">
        <v>368</v>
      </c>
      <c r="W1" t="s">
        <v>369</v>
      </c>
      <c r="X1" t="s">
        <v>370</v>
      </c>
      <c r="Y1" t="s">
        <v>371</v>
      </c>
      <c r="Z1" t="s">
        <v>372</v>
      </c>
    </row>
    <row r="2" spans="1:26" x14ac:dyDescent="0.2">
      <c r="A2" t="s">
        <v>17</v>
      </c>
      <c r="B2" t="s">
        <v>21</v>
      </c>
      <c r="C2" s="2">
        <v>43377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136927855.56999999</v>
      </c>
      <c r="L2">
        <v>0</v>
      </c>
      <c r="M2">
        <v>21879197.920000002</v>
      </c>
      <c r="N2">
        <v>0</v>
      </c>
      <c r="O2">
        <v>0</v>
      </c>
      <c r="P2" s="3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136927855.56999999</v>
      </c>
      <c r="X2">
        <v>0</v>
      </c>
      <c r="Y2">
        <v>0</v>
      </c>
      <c r="Z2">
        <v>-21879197.920000002</v>
      </c>
    </row>
    <row r="3" spans="1:26" x14ac:dyDescent="0.2">
      <c r="A3" t="s">
        <v>17</v>
      </c>
      <c r="B3" t="s">
        <v>21</v>
      </c>
      <c r="C3" s="2">
        <v>43378</v>
      </c>
      <c r="D3">
        <v>2538092248.7399998</v>
      </c>
      <c r="E3">
        <v>0</v>
      </c>
      <c r="F3">
        <v>14485.08</v>
      </c>
      <c r="G3">
        <v>0</v>
      </c>
      <c r="H3">
        <v>0</v>
      </c>
      <c r="I3">
        <v>0</v>
      </c>
      <c r="J3">
        <v>54951592</v>
      </c>
      <c r="K3">
        <v>3568426752.9899998</v>
      </c>
      <c r="L3">
        <v>212199942.84999999</v>
      </c>
      <c r="M3">
        <v>33489809.789999999</v>
      </c>
      <c r="N3">
        <v>306043481.38</v>
      </c>
      <c r="O3">
        <v>1978262050.29</v>
      </c>
      <c r="P3" s="3">
        <v>415360213678.96997</v>
      </c>
      <c r="Q3">
        <v>2538092248.7399998</v>
      </c>
      <c r="R3">
        <v>0</v>
      </c>
      <c r="S3">
        <v>0</v>
      </c>
      <c r="T3">
        <v>0</v>
      </c>
      <c r="U3">
        <v>136927855.56999999</v>
      </c>
      <c r="V3">
        <v>0</v>
      </c>
      <c r="W3">
        <v>3568426752.9899998</v>
      </c>
      <c r="X3">
        <v>0</v>
      </c>
      <c r="Y3">
        <v>-1645533710.4100001</v>
      </c>
      <c r="Z3">
        <v>1922535767.02</v>
      </c>
    </row>
    <row r="4" spans="1:26" x14ac:dyDescent="0.2">
      <c r="A4" t="s">
        <v>17</v>
      </c>
      <c r="B4" t="s">
        <v>21</v>
      </c>
      <c r="C4" s="2">
        <v>43379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1978262050.29</v>
      </c>
      <c r="P4" s="3">
        <v>415360213678.96997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1978262050.29</v>
      </c>
      <c r="Z4">
        <v>1977919259.8099999</v>
      </c>
    </row>
    <row r="5" spans="1:26" x14ac:dyDescent="0.2">
      <c r="A5" t="s">
        <v>17</v>
      </c>
      <c r="B5" t="s">
        <v>21</v>
      </c>
      <c r="C5" s="2">
        <v>43380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1978262050.29</v>
      </c>
      <c r="P5" s="3">
        <v>415360213678.96997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1978262050.29</v>
      </c>
      <c r="Z5">
        <v>1977919259.8099999</v>
      </c>
    </row>
    <row r="6" spans="1:26" x14ac:dyDescent="0.2">
      <c r="A6" t="s">
        <v>17</v>
      </c>
      <c r="B6" t="s">
        <v>21</v>
      </c>
      <c r="C6" s="2">
        <v>43381</v>
      </c>
      <c r="D6">
        <v>223665130.63999999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106180563.48</v>
      </c>
      <c r="L6">
        <v>267775716.12</v>
      </c>
      <c r="M6">
        <v>34360108.140000001</v>
      </c>
      <c r="N6">
        <v>961302710.41999996</v>
      </c>
      <c r="O6">
        <v>700419272.87</v>
      </c>
      <c r="P6" s="3">
        <v>415360213678.96997</v>
      </c>
      <c r="Q6">
        <v>223665130.63999999</v>
      </c>
      <c r="R6">
        <v>0</v>
      </c>
      <c r="S6">
        <v>0</v>
      </c>
      <c r="T6">
        <v>0</v>
      </c>
      <c r="U6">
        <v>3568426752.9899998</v>
      </c>
      <c r="V6">
        <v>0</v>
      </c>
      <c r="W6">
        <v>106180563.48</v>
      </c>
      <c r="X6">
        <v>0</v>
      </c>
      <c r="Y6">
        <v>526388791.45999998</v>
      </c>
      <c r="Z6">
        <v>492556191.19</v>
      </c>
    </row>
    <row r="7" spans="1:26" x14ac:dyDescent="0.2">
      <c r="A7" t="s">
        <v>17</v>
      </c>
      <c r="B7" t="s">
        <v>21</v>
      </c>
      <c r="C7" s="2">
        <v>43382</v>
      </c>
      <c r="D7">
        <v>1399345526.54</v>
      </c>
      <c r="E7">
        <v>2982000000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2283073746.3299999</v>
      </c>
      <c r="P7" s="3">
        <v>415360213678.96997</v>
      </c>
      <c r="Q7">
        <v>1399345526.54</v>
      </c>
      <c r="R7">
        <v>2982000000</v>
      </c>
      <c r="S7">
        <v>0</v>
      </c>
      <c r="T7">
        <v>0</v>
      </c>
      <c r="U7">
        <v>106180563.48</v>
      </c>
      <c r="V7">
        <v>0</v>
      </c>
      <c r="W7">
        <v>0</v>
      </c>
      <c r="X7">
        <v>0</v>
      </c>
      <c r="Y7">
        <v>2248713638.1900001</v>
      </c>
      <c r="Z7">
        <v>2179650631.4299998</v>
      </c>
    </row>
    <row r="8" spans="1:26" x14ac:dyDescent="0.2">
      <c r="A8" t="s">
        <v>17</v>
      </c>
      <c r="B8" t="s">
        <v>21</v>
      </c>
      <c r="C8" s="2">
        <v>43383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2283073746.3299999</v>
      </c>
      <c r="P8" s="3">
        <v>415360213678.96997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2283073746.3299999</v>
      </c>
      <c r="Z8">
        <v>2248370847.71</v>
      </c>
    </row>
    <row r="9" spans="1:26" x14ac:dyDescent="0.2">
      <c r="A9" t="s">
        <v>17</v>
      </c>
      <c r="B9" t="s">
        <v>21</v>
      </c>
      <c r="C9" s="2">
        <v>43384</v>
      </c>
      <c r="D9">
        <v>0</v>
      </c>
      <c r="E9">
        <v>4620000000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6903073746.3299999</v>
      </c>
      <c r="P9" s="3">
        <v>415360213678.96997</v>
      </c>
      <c r="Q9">
        <v>0</v>
      </c>
      <c r="R9">
        <v>4620000000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6903073746.3299999</v>
      </c>
      <c r="Z9">
        <v>6868370847.71</v>
      </c>
    </row>
    <row r="10" spans="1:26" x14ac:dyDescent="0.2">
      <c r="A10" t="s">
        <v>17</v>
      </c>
      <c r="B10" t="s">
        <v>21</v>
      </c>
      <c r="C10" s="2">
        <v>43385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6903073746.3299999</v>
      </c>
      <c r="P10" s="3">
        <v>415360213678.96997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6903073746.3299999</v>
      </c>
      <c r="Z10">
        <v>6868370847.71</v>
      </c>
    </row>
    <row r="11" spans="1:26" x14ac:dyDescent="0.2">
      <c r="A11" t="s">
        <v>17</v>
      </c>
      <c r="B11" t="s">
        <v>21</v>
      </c>
      <c r="C11" s="2">
        <v>43386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6903073746.3299999</v>
      </c>
      <c r="P11" s="3">
        <v>415360213678.96997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6903073746.3299999</v>
      </c>
      <c r="Z11">
        <v>6868370847.71</v>
      </c>
    </row>
    <row r="12" spans="1:26" x14ac:dyDescent="0.2">
      <c r="A12" t="s">
        <v>17</v>
      </c>
      <c r="B12" t="s">
        <v>21</v>
      </c>
      <c r="C12" s="2">
        <v>43387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6903073746.3299999</v>
      </c>
      <c r="P12" s="3">
        <v>415360213678.96997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6903073746.3299999</v>
      </c>
      <c r="Z12">
        <v>6868370847.71</v>
      </c>
    </row>
    <row r="13" spans="1:26" x14ac:dyDescent="0.2">
      <c r="A13" t="s">
        <v>17</v>
      </c>
      <c r="B13" t="s">
        <v>21</v>
      </c>
      <c r="C13" s="2">
        <v>43388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6903073746.3299999</v>
      </c>
      <c r="P13" s="3">
        <v>415360213678.96997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6903073746.3299999</v>
      </c>
      <c r="Z13">
        <v>6868370847.71</v>
      </c>
    </row>
    <row r="14" spans="1:26" x14ac:dyDescent="0.2">
      <c r="A14" t="s">
        <v>17</v>
      </c>
      <c r="B14" t="s">
        <v>21</v>
      </c>
      <c r="C14" s="2">
        <v>43389</v>
      </c>
      <c r="D14">
        <v>0</v>
      </c>
      <c r="E14">
        <v>144000000</v>
      </c>
      <c r="F14">
        <v>0</v>
      </c>
      <c r="G14">
        <v>0</v>
      </c>
      <c r="H14">
        <v>2957400000</v>
      </c>
      <c r="I14">
        <v>49500304</v>
      </c>
      <c r="J14">
        <v>0</v>
      </c>
      <c r="K14">
        <v>0</v>
      </c>
      <c r="L14">
        <v>0</v>
      </c>
      <c r="M14">
        <v>0</v>
      </c>
      <c r="N14">
        <v>0</v>
      </c>
      <c r="O14">
        <v>10053974050.33</v>
      </c>
      <c r="P14" s="3">
        <v>412402813678.96997</v>
      </c>
      <c r="Q14">
        <v>0</v>
      </c>
      <c r="R14">
        <v>144000000</v>
      </c>
      <c r="S14">
        <v>0</v>
      </c>
      <c r="T14">
        <v>2957400000</v>
      </c>
      <c r="U14">
        <v>0</v>
      </c>
      <c r="V14">
        <v>0</v>
      </c>
      <c r="W14">
        <v>0</v>
      </c>
      <c r="X14">
        <v>0</v>
      </c>
      <c r="Y14">
        <v>10053974050.33</v>
      </c>
      <c r="Z14">
        <v>9969770847.7099991</v>
      </c>
    </row>
    <row r="15" spans="1:26" x14ac:dyDescent="0.2">
      <c r="A15" t="s">
        <v>17</v>
      </c>
      <c r="B15" t="s">
        <v>21</v>
      </c>
      <c r="C15" s="2">
        <v>43390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10053974050.33</v>
      </c>
      <c r="P15" s="3">
        <v>412402813678.96997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10053974050.33</v>
      </c>
      <c r="Z15">
        <v>10019271151.709999</v>
      </c>
    </row>
    <row r="16" spans="1:26" x14ac:dyDescent="0.2">
      <c r="A16" t="s">
        <v>17</v>
      </c>
      <c r="B16" t="s">
        <v>21</v>
      </c>
      <c r="C16" s="2">
        <v>43391</v>
      </c>
      <c r="D16">
        <v>0</v>
      </c>
      <c r="E16">
        <v>3444000000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13497974050.33</v>
      </c>
      <c r="P16" s="3">
        <v>412402813678.96997</v>
      </c>
      <c r="Q16">
        <v>0</v>
      </c>
      <c r="R16">
        <v>3444000000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13497974050.33</v>
      </c>
      <c r="Z16">
        <v>13463271151.709999</v>
      </c>
    </row>
    <row r="17" spans="1:26" x14ac:dyDescent="0.2">
      <c r="A17" t="s">
        <v>17</v>
      </c>
      <c r="B17" t="s">
        <v>21</v>
      </c>
      <c r="C17" s="2">
        <v>43392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13497974050.33</v>
      </c>
      <c r="P17" s="3">
        <v>412402813678.96997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13497974050.33</v>
      </c>
      <c r="Z17">
        <v>13463271151.709999</v>
      </c>
    </row>
    <row r="18" spans="1:26" x14ac:dyDescent="0.2">
      <c r="A18" t="s">
        <v>146</v>
      </c>
      <c r="B18" t="s">
        <v>21</v>
      </c>
      <c r="C18" s="2">
        <v>43377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703746431.61000001</v>
      </c>
      <c r="L18">
        <v>0</v>
      </c>
      <c r="M18">
        <v>0</v>
      </c>
      <c r="N18">
        <v>0</v>
      </c>
      <c r="O18">
        <v>0</v>
      </c>
      <c r="P18" s="3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703746431.61000001</v>
      </c>
      <c r="X18">
        <v>0</v>
      </c>
      <c r="Y18">
        <v>0</v>
      </c>
      <c r="Z18">
        <v>0</v>
      </c>
    </row>
    <row r="19" spans="1:26" x14ac:dyDescent="0.2">
      <c r="A19" t="s">
        <v>146</v>
      </c>
      <c r="B19" t="s">
        <v>21</v>
      </c>
      <c r="C19" s="2">
        <v>43378</v>
      </c>
      <c r="D19">
        <v>1039674953.24</v>
      </c>
      <c r="E19">
        <v>0</v>
      </c>
      <c r="F19">
        <v>63494.57</v>
      </c>
      <c r="G19">
        <v>0</v>
      </c>
      <c r="H19">
        <v>1519000000</v>
      </c>
      <c r="I19">
        <v>0</v>
      </c>
      <c r="J19">
        <v>74389981.409999996</v>
      </c>
      <c r="K19">
        <v>912388417.12</v>
      </c>
      <c r="L19">
        <v>659524075.10000002</v>
      </c>
      <c r="M19">
        <v>0</v>
      </c>
      <c r="N19">
        <v>822988916.84000003</v>
      </c>
      <c r="O19">
        <v>87836828.359999999</v>
      </c>
      <c r="P19" s="3">
        <v>2053644648706.04</v>
      </c>
      <c r="Q19">
        <v>1039674953.24</v>
      </c>
      <c r="R19">
        <v>0</v>
      </c>
      <c r="S19">
        <v>0</v>
      </c>
      <c r="T19">
        <v>1519000000</v>
      </c>
      <c r="U19">
        <v>703746431.61000001</v>
      </c>
      <c r="V19">
        <v>0</v>
      </c>
      <c r="W19">
        <v>912388417.12</v>
      </c>
      <c r="X19">
        <v>0</v>
      </c>
      <c r="Y19">
        <v>87836828.359999999</v>
      </c>
      <c r="Z19">
        <v>87773333.790000007</v>
      </c>
    </row>
    <row r="20" spans="1:26" x14ac:dyDescent="0.2">
      <c r="A20" t="s">
        <v>146</v>
      </c>
      <c r="B20" t="s">
        <v>21</v>
      </c>
      <c r="C20" s="2">
        <v>43379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87836828.359999999</v>
      </c>
      <c r="P20" s="3">
        <v>2053644648706.04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87836828.359999999</v>
      </c>
      <c r="Z20">
        <v>87836828.359999999</v>
      </c>
    </row>
    <row r="21" spans="1:26" x14ac:dyDescent="0.2">
      <c r="A21" t="s">
        <v>146</v>
      </c>
      <c r="B21" t="s">
        <v>21</v>
      </c>
      <c r="C21" s="2">
        <v>43380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87836828.359999999</v>
      </c>
      <c r="P21" s="3">
        <v>2053644648706.04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87836828.359999999</v>
      </c>
      <c r="Z21">
        <v>87836828.359999999</v>
      </c>
    </row>
    <row r="22" spans="1:26" x14ac:dyDescent="0.2">
      <c r="A22" t="s">
        <v>146</v>
      </c>
      <c r="B22" t="s">
        <v>21</v>
      </c>
      <c r="C22" s="2">
        <v>43381</v>
      </c>
      <c r="D22">
        <v>665066381.64999998</v>
      </c>
      <c r="E22">
        <v>1000000000</v>
      </c>
      <c r="F22">
        <v>2640547.9500000002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425410994.66000003</v>
      </c>
      <c r="P22" s="3">
        <v>2053644648706.04</v>
      </c>
      <c r="Q22">
        <v>665066381.64999998</v>
      </c>
      <c r="R22">
        <v>1000000000</v>
      </c>
      <c r="S22">
        <v>0</v>
      </c>
      <c r="T22">
        <v>0</v>
      </c>
      <c r="U22">
        <v>912388417.12</v>
      </c>
      <c r="V22">
        <v>0</v>
      </c>
      <c r="W22">
        <v>0</v>
      </c>
      <c r="X22">
        <v>0</v>
      </c>
      <c r="Y22">
        <v>425410994.66000003</v>
      </c>
      <c r="Z22">
        <v>422770446.70999998</v>
      </c>
    </row>
    <row r="23" spans="1:26" x14ac:dyDescent="0.2">
      <c r="A23" t="s">
        <v>146</v>
      </c>
      <c r="B23" t="s">
        <v>21</v>
      </c>
      <c r="C23" s="2">
        <v>43382</v>
      </c>
      <c r="D23">
        <v>1211376889.0899999</v>
      </c>
      <c r="E23">
        <v>2147000000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1361034105.5699999</v>
      </c>
      <c r="P23" s="3">
        <v>2053644648706.04</v>
      </c>
      <c r="Q23">
        <v>1211376889.0899999</v>
      </c>
      <c r="R23">
        <v>2147000000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1361034105.5699999</v>
      </c>
      <c r="Z23">
        <v>1361034105.5699999</v>
      </c>
    </row>
    <row r="24" spans="1:26" x14ac:dyDescent="0.2">
      <c r="A24" t="s">
        <v>146</v>
      </c>
      <c r="B24" t="s">
        <v>21</v>
      </c>
      <c r="C24" s="2">
        <v>43383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1361034105.5699999</v>
      </c>
      <c r="P24" s="3">
        <v>2053644648706.04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1361034105.5699999</v>
      </c>
      <c r="Z24">
        <v>1361034105.5699999</v>
      </c>
    </row>
    <row r="25" spans="1:26" x14ac:dyDescent="0.2">
      <c r="A25" t="s">
        <v>146</v>
      </c>
      <c r="B25" t="s">
        <v>21</v>
      </c>
      <c r="C25" s="2">
        <v>43384</v>
      </c>
      <c r="D25">
        <v>0</v>
      </c>
      <c r="E25">
        <v>5577999999.9799995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6939034105.5500002</v>
      </c>
      <c r="P25" s="3">
        <v>2053644648706.04</v>
      </c>
      <c r="Q25">
        <v>0</v>
      </c>
      <c r="R25">
        <v>5577999999.9799995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6939034105.5500002</v>
      </c>
      <c r="Z25">
        <v>6939034105.5500002</v>
      </c>
    </row>
    <row r="26" spans="1:26" x14ac:dyDescent="0.2">
      <c r="A26" t="s">
        <v>146</v>
      </c>
      <c r="B26" t="s">
        <v>21</v>
      </c>
      <c r="C26" s="2">
        <v>43385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6939034105.5500002</v>
      </c>
      <c r="P26" s="3">
        <v>2053644648706.04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6939034105.5500002</v>
      </c>
      <c r="Z26">
        <v>6939034105.5500002</v>
      </c>
    </row>
    <row r="27" spans="1:26" x14ac:dyDescent="0.2">
      <c r="A27" t="s">
        <v>146</v>
      </c>
      <c r="B27" t="s">
        <v>21</v>
      </c>
      <c r="C27" s="2">
        <v>43386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6939034105.5500002</v>
      </c>
      <c r="P27" s="3">
        <v>2053644648706.04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6939034105.5500002</v>
      </c>
      <c r="Z27">
        <v>6939034105.5500002</v>
      </c>
    </row>
    <row r="28" spans="1:26" x14ac:dyDescent="0.2">
      <c r="A28" t="s">
        <v>146</v>
      </c>
      <c r="B28" t="s">
        <v>21</v>
      </c>
      <c r="C28" s="2">
        <v>43387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6939034105.5500002</v>
      </c>
      <c r="P28" s="3">
        <v>2053644648706.04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6939034105.5500002</v>
      </c>
      <c r="Z28">
        <v>6939034105.5500002</v>
      </c>
    </row>
    <row r="29" spans="1:26" x14ac:dyDescent="0.2">
      <c r="A29" t="s">
        <v>146</v>
      </c>
      <c r="B29" t="s">
        <v>21</v>
      </c>
      <c r="C29" s="2">
        <v>43388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6939034105.5500002</v>
      </c>
      <c r="P29" s="3">
        <v>2053644648706.04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6939034105.5500002</v>
      </c>
      <c r="Z29">
        <v>6939034105.5500002</v>
      </c>
    </row>
    <row r="30" spans="1:26" x14ac:dyDescent="0.2">
      <c r="A30" t="s">
        <v>146</v>
      </c>
      <c r="B30" t="s">
        <v>21</v>
      </c>
      <c r="C30" s="2">
        <v>43389</v>
      </c>
      <c r="D30">
        <v>0</v>
      </c>
      <c r="E30">
        <v>5274000000</v>
      </c>
      <c r="F30">
        <v>0</v>
      </c>
      <c r="G30">
        <v>0</v>
      </c>
      <c r="H30">
        <v>2957400000</v>
      </c>
      <c r="I30">
        <v>49500304</v>
      </c>
      <c r="J30">
        <v>0</v>
      </c>
      <c r="K30">
        <v>0</v>
      </c>
      <c r="L30">
        <v>0</v>
      </c>
      <c r="M30">
        <v>0</v>
      </c>
      <c r="N30">
        <v>0</v>
      </c>
      <c r="O30">
        <v>15219934409.549999</v>
      </c>
      <c r="P30" s="3">
        <v>2050687248706.04</v>
      </c>
      <c r="Q30">
        <v>0</v>
      </c>
      <c r="R30">
        <v>5274000000</v>
      </c>
      <c r="S30">
        <v>0</v>
      </c>
      <c r="T30">
        <v>2957400000</v>
      </c>
      <c r="U30">
        <v>0</v>
      </c>
      <c r="V30">
        <v>0</v>
      </c>
      <c r="W30">
        <v>0</v>
      </c>
      <c r="X30">
        <v>0</v>
      </c>
      <c r="Y30">
        <v>15219934409.549999</v>
      </c>
      <c r="Z30">
        <v>15170434105.549999</v>
      </c>
    </row>
    <row r="31" spans="1:26" x14ac:dyDescent="0.2">
      <c r="A31" t="s">
        <v>146</v>
      </c>
      <c r="B31" t="s">
        <v>21</v>
      </c>
      <c r="C31" s="2">
        <v>43390</v>
      </c>
      <c r="D31">
        <v>0</v>
      </c>
      <c r="E31">
        <v>70000000</v>
      </c>
      <c r="F31">
        <v>1589843.84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15291524253.389999</v>
      </c>
      <c r="P31" s="3">
        <v>2050687248706.04</v>
      </c>
      <c r="Q31">
        <v>0</v>
      </c>
      <c r="R31">
        <v>70000000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15291524253.389999</v>
      </c>
      <c r="Z31">
        <v>15289934409.549999</v>
      </c>
    </row>
    <row r="32" spans="1:26" x14ac:dyDescent="0.2">
      <c r="A32" t="s">
        <v>146</v>
      </c>
      <c r="B32" t="s">
        <v>21</v>
      </c>
      <c r="C32" s="2">
        <v>43391</v>
      </c>
      <c r="D32">
        <v>0</v>
      </c>
      <c r="E32">
        <v>6586000000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21877524253.389999</v>
      </c>
      <c r="P32" s="3">
        <v>2050687248706.04</v>
      </c>
      <c r="Q32">
        <v>0</v>
      </c>
      <c r="R32">
        <v>6586000000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21877524253.389999</v>
      </c>
      <c r="Z32">
        <v>21877524253.389999</v>
      </c>
    </row>
    <row r="33" spans="1:26" x14ac:dyDescent="0.2">
      <c r="A33" t="s">
        <v>146</v>
      </c>
      <c r="B33" t="s">
        <v>21</v>
      </c>
      <c r="C33" s="2">
        <v>43392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21877524253.389999</v>
      </c>
      <c r="P33" s="3">
        <v>2050687248706.04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21877524253.389999</v>
      </c>
      <c r="Z33">
        <v>21877524253.389999</v>
      </c>
    </row>
    <row r="34" spans="1:26" x14ac:dyDescent="0.2">
      <c r="A34" t="s">
        <v>147</v>
      </c>
      <c r="B34" t="s">
        <v>153</v>
      </c>
      <c r="C34" s="2">
        <v>43377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7848176.3200000003</v>
      </c>
      <c r="L34">
        <v>0</v>
      </c>
      <c r="M34">
        <v>0</v>
      </c>
      <c r="N34">
        <v>0</v>
      </c>
      <c r="O34">
        <v>0</v>
      </c>
      <c r="P34" s="3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7848176.3200000003</v>
      </c>
      <c r="X34">
        <v>0</v>
      </c>
      <c r="Y34">
        <v>0</v>
      </c>
      <c r="Z34">
        <v>0</v>
      </c>
    </row>
    <row r="35" spans="1:26" x14ac:dyDescent="0.2">
      <c r="A35" t="s">
        <v>147</v>
      </c>
      <c r="B35" t="s">
        <v>153</v>
      </c>
      <c r="C35" s="2">
        <v>43378</v>
      </c>
      <c r="D35">
        <v>0</v>
      </c>
      <c r="E35">
        <v>14993912.1</v>
      </c>
      <c r="F35">
        <v>0</v>
      </c>
      <c r="G35">
        <v>0</v>
      </c>
      <c r="H35">
        <v>0</v>
      </c>
      <c r="I35">
        <v>0</v>
      </c>
      <c r="J35">
        <v>2518344.9300000002</v>
      </c>
      <c r="K35">
        <v>1357496.67</v>
      </c>
      <c r="L35">
        <v>5104770.8600000003</v>
      </c>
      <c r="M35">
        <v>1707207.09</v>
      </c>
      <c r="N35">
        <v>11099704.43</v>
      </c>
      <c r="O35">
        <v>2176636.13</v>
      </c>
      <c r="P35" s="3">
        <v>213275021.05000001</v>
      </c>
      <c r="Q35">
        <v>0</v>
      </c>
      <c r="R35">
        <v>14993912.1</v>
      </c>
      <c r="S35">
        <v>0</v>
      </c>
      <c r="T35">
        <v>0</v>
      </c>
      <c r="U35">
        <v>7848176.3200000003</v>
      </c>
      <c r="V35">
        <v>0</v>
      </c>
      <c r="W35">
        <v>1357496.67</v>
      </c>
      <c r="X35">
        <v>0</v>
      </c>
      <c r="Y35">
        <v>469429.04</v>
      </c>
      <c r="Z35">
        <v>469429.04</v>
      </c>
    </row>
    <row r="36" spans="1:26" x14ac:dyDescent="0.2">
      <c r="A36" t="s">
        <v>147</v>
      </c>
      <c r="B36" t="s">
        <v>153</v>
      </c>
      <c r="C36" s="2">
        <v>43379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2176636.13</v>
      </c>
      <c r="P36" s="3">
        <v>213275021.05000001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2176636.13</v>
      </c>
      <c r="Z36">
        <v>2176636.13</v>
      </c>
    </row>
    <row r="37" spans="1:26" x14ac:dyDescent="0.2">
      <c r="A37" t="s">
        <v>147</v>
      </c>
      <c r="B37" t="s">
        <v>153</v>
      </c>
      <c r="C37" s="2">
        <v>43380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2176636.13</v>
      </c>
      <c r="P37" s="3">
        <v>213275021.05000001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2176636.13</v>
      </c>
      <c r="Z37">
        <v>2176636.13</v>
      </c>
    </row>
    <row r="38" spans="1:26" x14ac:dyDescent="0.2">
      <c r="A38" t="s">
        <v>147</v>
      </c>
      <c r="B38" t="s">
        <v>153</v>
      </c>
      <c r="C38" s="2">
        <v>43381</v>
      </c>
      <c r="D38">
        <v>0</v>
      </c>
      <c r="E38">
        <v>34979220.299999997</v>
      </c>
      <c r="F38">
        <v>2179.4499999999998</v>
      </c>
      <c r="G38">
        <v>0</v>
      </c>
      <c r="H38">
        <v>0</v>
      </c>
      <c r="I38">
        <v>0</v>
      </c>
      <c r="J38">
        <v>0</v>
      </c>
      <c r="K38">
        <v>728400</v>
      </c>
      <c r="L38">
        <v>34580938.829999998</v>
      </c>
      <c r="M38">
        <v>3152358.11</v>
      </c>
      <c r="N38">
        <v>4578964.5199999996</v>
      </c>
      <c r="O38">
        <v>1878890.64</v>
      </c>
      <c r="P38" s="3">
        <v>213275021.05000001</v>
      </c>
      <c r="Q38">
        <v>0</v>
      </c>
      <c r="R38">
        <v>34979220.299999997</v>
      </c>
      <c r="S38">
        <v>0</v>
      </c>
      <c r="T38">
        <v>0</v>
      </c>
      <c r="U38">
        <v>1357496.67</v>
      </c>
      <c r="V38">
        <v>0</v>
      </c>
      <c r="W38">
        <v>728400</v>
      </c>
      <c r="X38">
        <v>0</v>
      </c>
      <c r="Y38">
        <v>-1273467.47</v>
      </c>
      <c r="Z38">
        <v>-2982854.01</v>
      </c>
    </row>
    <row r="39" spans="1:26" x14ac:dyDescent="0.2">
      <c r="A39" t="s">
        <v>147</v>
      </c>
      <c r="B39" t="s">
        <v>153</v>
      </c>
      <c r="C39" s="2">
        <v>43382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1878890.64</v>
      </c>
      <c r="P39" s="3">
        <v>213275021.05000001</v>
      </c>
      <c r="Q39">
        <v>0</v>
      </c>
      <c r="R39">
        <v>0</v>
      </c>
      <c r="S39">
        <v>0</v>
      </c>
      <c r="T39">
        <v>0</v>
      </c>
      <c r="U39">
        <v>728400</v>
      </c>
      <c r="V39">
        <v>0</v>
      </c>
      <c r="W39">
        <v>0</v>
      </c>
      <c r="X39">
        <v>0</v>
      </c>
      <c r="Y39">
        <v>1878890.64</v>
      </c>
      <c r="Z39">
        <v>-1273467.47</v>
      </c>
    </row>
    <row r="40" spans="1:26" x14ac:dyDescent="0.2">
      <c r="A40" t="s">
        <v>147</v>
      </c>
      <c r="B40" t="s">
        <v>153</v>
      </c>
      <c r="C40" s="2">
        <v>43383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1878890.64</v>
      </c>
      <c r="P40" s="3">
        <v>213275021.05000001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1878890.64</v>
      </c>
      <c r="Z40">
        <v>1878890.64</v>
      </c>
    </row>
    <row r="41" spans="1:26" x14ac:dyDescent="0.2">
      <c r="A41" t="s">
        <v>147</v>
      </c>
      <c r="B41" t="s">
        <v>153</v>
      </c>
      <c r="C41" s="2">
        <v>43384</v>
      </c>
      <c r="D41">
        <v>0</v>
      </c>
      <c r="E41">
        <v>238000000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239878890.63999999</v>
      </c>
      <c r="P41" s="3">
        <v>213275021.05000001</v>
      </c>
      <c r="Q41">
        <v>0</v>
      </c>
      <c r="R41">
        <v>238000000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239878890.63999999</v>
      </c>
      <c r="Z41">
        <v>239878890.63999999</v>
      </c>
    </row>
    <row r="42" spans="1:26" x14ac:dyDescent="0.2">
      <c r="A42" t="s">
        <v>147</v>
      </c>
      <c r="B42" t="s">
        <v>153</v>
      </c>
      <c r="C42" s="2">
        <v>43385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239878890.63999999</v>
      </c>
      <c r="P42" s="3">
        <v>213275021.05000001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239878890.63999999</v>
      </c>
      <c r="Z42">
        <v>239878890.63999999</v>
      </c>
    </row>
    <row r="43" spans="1:26" x14ac:dyDescent="0.2">
      <c r="A43" t="s">
        <v>147</v>
      </c>
      <c r="B43" t="s">
        <v>153</v>
      </c>
      <c r="C43" s="2">
        <v>43386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239878890.63999999</v>
      </c>
      <c r="P43" s="3">
        <v>213275021.05000001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239878890.63999999</v>
      </c>
      <c r="Z43">
        <v>239878890.63999999</v>
      </c>
    </row>
    <row r="44" spans="1:26" x14ac:dyDescent="0.2">
      <c r="A44" t="s">
        <v>147</v>
      </c>
      <c r="B44" t="s">
        <v>153</v>
      </c>
      <c r="C44" s="2">
        <v>43387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239878890.63999999</v>
      </c>
      <c r="P44" s="3">
        <v>213275021.05000001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239878890.63999999</v>
      </c>
      <c r="Z44">
        <v>239878890.63999999</v>
      </c>
    </row>
    <row r="45" spans="1:26" x14ac:dyDescent="0.2">
      <c r="A45" t="s">
        <v>147</v>
      </c>
      <c r="B45" t="s">
        <v>153</v>
      </c>
      <c r="C45" s="2">
        <v>43388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239878890.63999999</v>
      </c>
      <c r="P45" s="3">
        <v>213275021.05000001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239878890.63999999</v>
      </c>
      <c r="Z45">
        <v>239878890.63999999</v>
      </c>
    </row>
    <row r="46" spans="1:26" x14ac:dyDescent="0.2">
      <c r="A46" t="s">
        <v>147</v>
      </c>
      <c r="B46" t="s">
        <v>153</v>
      </c>
      <c r="C46" s="2">
        <v>43389</v>
      </c>
      <c r="D46">
        <v>0</v>
      </c>
      <c r="E46">
        <v>580000000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819878890.63999999</v>
      </c>
      <c r="P46" s="3">
        <v>213275021.05000001</v>
      </c>
      <c r="Q46">
        <v>0</v>
      </c>
      <c r="R46">
        <v>580000000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819878890.63999999</v>
      </c>
      <c r="Z46">
        <v>819878890.63999999</v>
      </c>
    </row>
    <row r="47" spans="1:26" x14ac:dyDescent="0.2">
      <c r="A47" t="s">
        <v>147</v>
      </c>
      <c r="B47" t="s">
        <v>153</v>
      </c>
      <c r="C47" s="2">
        <v>43390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819878890.63999999</v>
      </c>
      <c r="P47" s="3">
        <v>213275021.05000001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819878890.63999999</v>
      </c>
      <c r="Z47">
        <v>819878890.63999999</v>
      </c>
    </row>
    <row r="48" spans="1:26" x14ac:dyDescent="0.2">
      <c r="A48" t="s">
        <v>147</v>
      </c>
      <c r="B48" t="s">
        <v>153</v>
      </c>
      <c r="C48" s="2">
        <v>43391</v>
      </c>
      <c r="D48">
        <v>0</v>
      </c>
      <c r="E48">
        <v>422000000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1241878890.6400001</v>
      </c>
      <c r="P48" s="3">
        <v>213275021.05000001</v>
      </c>
      <c r="Q48">
        <v>0</v>
      </c>
      <c r="R48">
        <v>422000000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1241878890.6400001</v>
      </c>
      <c r="Z48">
        <v>1241878890.6400001</v>
      </c>
    </row>
    <row r="49" spans="1:26" x14ac:dyDescent="0.2">
      <c r="A49" t="s">
        <v>147</v>
      </c>
      <c r="B49" t="s">
        <v>153</v>
      </c>
      <c r="C49" s="2">
        <v>43392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1241878890.6400001</v>
      </c>
      <c r="P49" s="3">
        <v>213275021.05000001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1241878890.6400001</v>
      </c>
      <c r="Z49">
        <v>1241878890.6400001</v>
      </c>
    </row>
    <row r="50" spans="1:26" x14ac:dyDescent="0.2">
      <c r="A50" t="s">
        <v>148</v>
      </c>
      <c r="B50" t="s">
        <v>153</v>
      </c>
      <c r="C50" s="2">
        <v>43377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12964371.74</v>
      </c>
      <c r="L50">
        <v>0</v>
      </c>
      <c r="M50">
        <v>0</v>
      </c>
      <c r="N50">
        <v>0</v>
      </c>
      <c r="O50">
        <v>0</v>
      </c>
      <c r="P50" s="3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12964371.74</v>
      </c>
      <c r="X50">
        <v>0</v>
      </c>
      <c r="Y50">
        <v>0</v>
      </c>
      <c r="Z50">
        <v>0</v>
      </c>
    </row>
    <row r="51" spans="1:26" x14ac:dyDescent="0.2">
      <c r="A51" t="s">
        <v>148</v>
      </c>
      <c r="B51" t="s">
        <v>153</v>
      </c>
      <c r="C51" s="2">
        <v>43378</v>
      </c>
      <c r="D51">
        <v>292712023.81999999</v>
      </c>
      <c r="E51">
        <v>0</v>
      </c>
      <c r="F51">
        <v>0</v>
      </c>
      <c r="G51">
        <v>3000000</v>
      </c>
      <c r="H51">
        <v>0</v>
      </c>
      <c r="I51">
        <v>0</v>
      </c>
      <c r="J51">
        <v>2194688.1800000002</v>
      </c>
      <c r="K51">
        <v>348412419.41000003</v>
      </c>
      <c r="L51">
        <v>51348421.219999999</v>
      </c>
      <c r="M51">
        <v>0</v>
      </c>
      <c r="N51">
        <v>115000</v>
      </c>
      <c r="O51">
        <v>2357667.9500000002</v>
      </c>
      <c r="P51" s="3">
        <v>714818769.55999994</v>
      </c>
      <c r="Q51">
        <v>292712023.81999999</v>
      </c>
      <c r="R51">
        <v>0</v>
      </c>
      <c r="S51">
        <v>3000000</v>
      </c>
      <c r="T51">
        <v>0</v>
      </c>
      <c r="U51">
        <v>12964371.74</v>
      </c>
      <c r="V51">
        <v>0</v>
      </c>
      <c r="W51">
        <v>348412419.41000003</v>
      </c>
      <c r="X51">
        <v>0</v>
      </c>
      <c r="Y51">
        <v>2357667.9500000002</v>
      </c>
      <c r="Z51">
        <v>2357667.9500000002</v>
      </c>
    </row>
    <row r="52" spans="1:26" x14ac:dyDescent="0.2">
      <c r="A52" t="s">
        <v>148</v>
      </c>
      <c r="B52" t="s">
        <v>153</v>
      </c>
      <c r="C52" s="2">
        <v>43379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2357667.9500000002</v>
      </c>
      <c r="P52" s="3">
        <v>714818769.55999994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2357667.9500000002</v>
      </c>
      <c r="Z52">
        <v>2357667.9500000002</v>
      </c>
    </row>
    <row r="53" spans="1:26" x14ac:dyDescent="0.2">
      <c r="A53" t="s">
        <v>148</v>
      </c>
      <c r="B53" t="s">
        <v>153</v>
      </c>
      <c r="C53" s="2">
        <v>43380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2357667.9500000002</v>
      </c>
      <c r="P53" s="3">
        <v>714818769.55999994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2357667.9500000002</v>
      </c>
      <c r="Z53">
        <v>2357667.9500000002</v>
      </c>
    </row>
    <row r="54" spans="1:26" x14ac:dyDescent="0.2">
      <c r="A54" t="s">
        <v>148</v>
      </c>
      <c r="B54" t="s">
        <v>153</v>
      </c>
      <c r="C54" s="2">
        <v>43381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2357667.9500000002</v>
      </c>
      <c r="P54" s="3">
        <v>714818769.55999994</v>
      </c>
      <c r="Q54">
        <v>0</v>
      </c>
      <c r="R54">
        <v>0</v>
      </c>
      <c r="S54">
        <v>0</v>
      </c>
      <c r="T54">
        <v>0</v>
      </c>
      <c r="U54">
        <v>348412419.41000003</v>
      </c>
      <c r="V54">
        <v>0</v>
      </c>
      <c r="W54">
        <v>0</v>
      </c>
      <c r="X54">
        <v>0</v>
      </c>
      <c r="Y54">
        <v>2357667.9500000002</v>
      </c>
      <c r="Z54">
        <v>2357667.9500000002</v>
      </c>
    </row>
    <row r="55" spans="1:26" x14ac:dyDescent="0.2">
      <c r="A55" t="s">
        <v>148</v>
      </c>
      <c r="B55" t="s">
        <v>153</v>
      </c>
      <c r="C55" s="2">
        <v>43382</v>
      </c>
      <c r="D55">
        <v>469780283.32999998</v>
      </c>
      <c r="E55">
        <v>474000000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6577384.6200000197</v>
      </c>
      <c r="P55" s="3">
        <v>714818769.55999994</v>
      </c>
      <c r="Q55">
        <v>469780283.32999998</v>
      </c>
      <c r="R55">
        <v>474000000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6577384.6200000197</v>
      </c>
      <c r="Z55">
        <v>6577384.6200000197</v>
      </c>
    </row>
    <row r="56" spans="1:26" x14ac:dyDescent="0.2">
      <c r="A56" t="s">
        <v>148</v>
      </c>
      <c r="B56" t="s">
        <v>153</v>
      </c>
      <c r="C56" s="2">
        <v>43383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6577384.6200000197</v>
      </c>
      <c r="P56" s="3">
        <v>714818769.55999994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6577384.6200000197</v>
      </c>
      <c r="Z56">
        <v>6577384.6200000197</v>
      </c>
    </row>
    <row r="57" spans="1:26" x14ac:dyDescent="0.2">
      <c r="A57" t="s">
        <v>148</v>
      </c>
      <c r="B57" t="s">
        <v>153</v>
      </c>
      <c r="C57" s="2">
        <v>43384</v>
      </c>
      <c r="D57">
        <v>0</v>
      </c>
      <c r="E57">
        <v>874800000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881377384.62</v>
      </c>
      <c r="P57" s="3">
        <v>714818769.55999994</v>
      </c>
      <c r="Q57">
        <v>0</v>
      </c>
      <c r="R57">
        <v>874800000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881377384.62</v>
      </c>
      <c r="Z57">
        <v>881377384.62</v>
      </c>
    </row>
    <row r="58" spans="1:26" x14ac:dyDescent="0.2">
      <c r="A58" t="s">
        <v>148</v>
      </c>
      <c r="B58" t="s">
        <v>153</v>
      </c>
      <c r="C58" s="2">
        <v>43385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881377384.62</v>
      </c>
      <c r="P58" s="3">
        <v>714818769.55999994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881377384.62</v>
      </c>
      <c r="Z58">
        <v>881377384.62</v>
      </c>
    </row>
    <row r="59" spans="1:26" x14ac:dyDescent="0.2">
      <c r="A59" t="s">
        <v>148</v>
      </c>
      <c r="B59" t="s">
        <v>153</v>
      </c>
      <c r="C59" s="2">
        <v>43386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881377384.62</v>
      </c>
      <c r="P59" s="3">
        <v>714818769.55999994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881377384.62</v>
      </c>
      <c r="Z59">
        <v>881377384.62</v>
      </c>
    </row>
    <row r="60" spans="1:26" x14ac:dyDescent="0.2">
      <c r="A60" t="s">
        <v>148</v>
      </c>
      <c r="B60" t="s">
        <v>153</v>
      </c>
      <c r="C60" s="2">
        <v>43387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881377384.62</v>
      </c>
      <c r="P60" s="3">
        <v>714818769.55999994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881377384.62</v>
      </c>
      <c r="Z60">
        <v>881377384.62</v>
      </c>
    </row>
    <row r="61" spans="1:26" x14ac:dyDescent="0.2">
      <c r="A61" t="s">
        <v>148</v>
      </c>
      <c r="B61" t="s">
        <v>153</v>
      </c>
      <c r="C61" s="2">
        <v>43388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881377384.62</v>
      </c>
      <c r="P61" s="3">
        <v>714818769.55999994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881377384.62</v>
      </c>
      <c r="Z61">
        <v>881377384.62</v>
      </c>
    </row>
    <row r="62" spans="1:26" x14ac:dyDescent="0.2">
      <c r="A62" t="s">
        <v>148</v>
      </c>
      <c r="B62" t="s">
        <v>153</v>
      </c>
      <c r="C62" s="2">
        <v>43389</v>
      </c>
      <c r="D62">
        <v>0</v>
      </c>
      <c r="E62">
        <v>820000000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1701377384.6199999</v>
      </c>
      <c r="P62" s="3">
        <v>714818769.55999994</v>
      </c>
      <c r="Q62">
        <v>0</v>
      </c>
      <c r="R62">
        <v>820000000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1701377384.6199999</v>
      </c>
      <c r="Z62">
        <v>1701377384.6199999</v>
      </c>
    </row>
    <row r="63" spans="1:26" x14ac:dyDescent="0.2">
      <c r="A63" t="s">
        <v>148</v>
      </c>
      <c r="B63" t="s">
        <v>153</v>
      </c>
      <c r="C63" s="2">
        <v>43390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1701377384.6199999</v>
      </c>
      <c r="P63" s="3">
        <v>714818769.55999994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1701377384.6199999</v>
      </c>
      <c r="Z63">
        <v>1701377384.6199999</v>
      </c>
    </row>
    <row r="64" spans="1:26" x14ac:dyDescent="0.2">
      <c r="A64" t="s">
        <v>148</v>
      </c>
      <c r="B64" t="s">
        <v>153</v>
      </c>
      <c r="C64" s="2">
        <v>43391</v>
      </c>
      <c r="D64">
        <v>0</v>
      </c>
      <c r="E64">
        <v>532000000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2233377384.6199999</v>
      </c>
      <c r="P64" s="3">
        <v>714818769.55999994</v>
      </c>
      <c r="Q64">
        <v>0</v>
      </c>
      <c r="R64">
        <v>532000000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2233377384.6199999</v>
      </c>
      <c r="Z64">
        <v>2233377384.6199999</v>
      </c>
    </row>
    <row r="65" spans="1:26" x14ac:dyDescent="0.2">
      <c r="A65" t="s">
        <v>148</v>
      </c>
      <c r="B65" t="s">
        <v>153</v>
      </c>
      <c r="C65" s="2">
        <v>43392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2233377384.6199999</v>
      </c>
      <c r="P65" s="3">
        <v>714818769.55999994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2233377384.6199999</v>
      </c>
      <c r="Z65">
        <v>2233377384.6199999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0F6F6-9638-4B00-921D-1BF7B9831B0D}">
  <sheetPr codeName="Sheet7"/>
  <dimension ref="A1:AG49"/>
  <sheetViews>
    <sheetView zoomScale="70" zoomScaleNormal="70" workbookViewId="0">
      <selection activeCell="H52" sqref="H52"/>
    </sheetView>
  </sheetViews>
  <sheetFormatPr defaultRowHeight="14.25" x14ac:dyDescent="0.2"/>
  <cols>
    <col min="1" max="1" width="27.625" customWidth="1"/>
    <col min="2" max="2" width="13.875" customWidth="1"/>
    <col min="3" max="3" width="13.25" customWidth="1"/>
    <col min="4" max="4" width="12.25" customWidth="1"/>
  </cols>
  <sheetData>
    <row r="1" spans="1:33" x14ac:dyDescent="0.2">
      <c r="A1" t="s">
        <v>499</v>
      </c>
    </row>
    <row r="2" spans="1:33" x14ac:dyDescent="0.2">
      <c r="A2" s="4">
        <f ca="1">Main!D2</f>
        <v>43378</v>
      </c>
    </row>
    <row r="4" spans="1:33" x14ac:dyDescent="0.2">
      <c r="A4" s="12" t="s">
        <v>468</v>
      </c>
    </row>
    <row r="5" spans="1:33" s="9" customFormat="1" x14ac:dyDescent="0.2">
      <c r="A5" s="7" t="s">
        <v>501</v>
      </c>
      <c r="B5" s="8">
        <f ca="1">[1]!SCBAM_NextBusinessDay(TODAY())</f>
        <v>43382</v>
      </c>
      <c r="C5" s="8">
        <f ca="1">[1]!SCBAM_NextBusinessDay(B5)</f>
        <v>43383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</row>
    <row r="6" spans="1:33" s="11" customFormat="1" x14ac:dyDescent="0.2">
      <c r="A6" s="10" t="s">
        <v>503</v>
      </c>
    </row>
    <row r="7" spans="1:33" x14ac:dyDescent="0.2">
      <c r="A7" t="s">
        <v>504</v>
      </c>
    </row>
    <row r="8" spans="1:33" x14ac:dyDescent="0.2">
      <c r="A8" t="s">
        <v>502</v>
      </c>
    </row>
    <row r="9" spans="1:33" s="6" customFormat="1" x14ac:dyDescent="0.2">
      <c r="A9" s="5" t="s">
        <v>505</v>
      </c>
    </row>
    <row r="11" spans="1:33" s="6" customFormat="1" x14ac:dyDescent="0.2">
      <c r="A11" s="5" t="s">
        <v>506</v>
      </c>
    </row>
    <row r="13" spans="1:33" s="11" customFormat="1" x14ac:dyDescent="0.2">
      <c r="A13" s="10" t="s">
        <v>507</v>
      </c>
    </row>
    <row r="14" spans="1:33" x14ac:dyDescent="0.2">
      <c r="A14" t="s">
        <v>508</v>
      </c>
    </row>
    <row r="15" spans="1:33" x14ac:dyDescent="0.2">
      <c r="A15" t="s">
        <v>509</v>
      </c>
    </row>
    <row r="16" spans="1:33" x14ac:dyDescent="0.2">
      <c r="A16" t="s">
        <v>510</v>
      </c>
    </row>
    <row r="17" spans="1:1" x14ac:dyDescent="0.2">
      <c r="A17" t="s">
        <v>511</v>
      </c>
    </row>
    <row r="18" spans="1:1" x14ac:dyDescent="0.2">
      <c r="A18" t="s">
        <v>512</v>
      </c>
    </row>
    <row r="19" spans="1:1" x14ac:dyDescent="0.2">
      <c r="A19" t="s">
        <v>513</v>
      </c>
    </row>
    <row r="20" spans="1:1" x14ac:dyDescent="0.2">
      <c r="A20" t="s">
        <v>514</v>
      </c>
    </row>
    <row r="21" spans="1:1" x14ac:dyDescent="0.2">
      <c r="A21" t="s">
        <v>515</v>
      </c>
    </row>
    <row r="22" spans="1:1" x14ac:dyDescent="0.2">
      <c r="A22" t="s">
        <v>517</v>
      </c>
    </row>
    <row r="23" spans="1:1" x14ac:dyDescent="0.2">
      <c r="A23" t="s">
        <v>516</v>
      </c>
    </row>
    <row r="24" spans="1:1" s="13" customFormat="1" x14ac:dyDescent="0.2">
      <c r="A24" s="13" t="s">
        <v>518</v>
      </c>
    </row>
    <row r="25" spans="1:1" s="6" customFormat="1" x14ac:dyDescent="0.2">
      <c r="A25" s="5" t="s">
        <v>519</v>
      </c>
    </row>
    <row r="27" spans="1:1" s="11" customFormat="1" x14ac:dyDescent="0.2">
      <c r="A27" s="10" t="s">
        <v>520</v>
      </c>
    </row>
    <row r="28" spans="1:1" x14ac:dyDescent="0.2">
      <c r="A28" t="s">
        <v>521</v>
      </c>
    </row>
    <row r="29" spans="1:1" x14ac:dyDescent="0.2">
      <c r="A29" t="s">
        <v>522</v>
      </c>
    </row>
    <row r="30" spans="1:1" x14ac:dyDescent="0.2">
      <c r="A30" t="s">
        <v>523</v>
      </c>
    </row>
    <row r="31" spans="1:1" x14ac:dyDescent="0.2">
      <c r="A31" t="s">
        <v>524</v>
      </c>
    </row>
    <row r="32" spans="1:1" x14ac:dyDescent="0.2">
      <c r="A32" t="s">
        <v>514</v>
      </c>
    </row>
    <row r="33" spans="1:1" x14ac:dyDescent="0.2">
      <c r="A33" t="s">
        <v>515</v>
      </c>
    </row>
    <row r="34" spans="1:1" x14ac:dyDescent="0.2">
      <c r="A34" t="s">
        <v>525</v>
      </c>
    </row>
    <row r="35" spans="1:1" s="13" customFormat="1" x14ac:dyDescent="0.2">
      <c r="A35" s="13" t="s">
        <v>518</v>
      </c>
    </row>
    <row r="36" spans="1:1" s="6" customFormat="1" x14ac:dyDescent="0.2">
      <c r="A36" s="5" t="s">
        <v>526</v>
      </c>
    </row>
    <row r="38" spans="1:1" x14ac:dyDescent="0.2">
      <c r="A38" t="s">
        <v>527</v>
      </c>
    </row>
    <row r="39" spans="1:1" x14ac:dyDescent="0.2">
      <c r="A39" t="s">
        <v>528</v>
      </c>
    </row>
    <row r="40" spans="1:1" x14ac:dyDescent="0.2">
      <c r="A40" t="s">
        <v>529</v>
      </c>
    </row>
    <row r="42" spans="1:1" x14ac:dyDescent="0.2">
      <c r="A42" t="s">
        <v>530</v>
      </c>
    </row>
    <row r="43" spans="1:1" x14ac:dyDescent="0.2">
      <c r="A43" t="s">
        <v>531</v>
      </c>
    </row>
    <row r="45" spans="1:1" x14ac:dyDescent="0.2">
      <c r="A45" t="s">
        <v>532</v>
      </c>
    </row>
    <row r="47" spans="1:1" x14ac:dyDescent="0.2">
      <c r="A47" t="s">
        <v>533</v>
      </c>
    </row>
    <row r="48" spans="1:1" x14ac:dyDescent="0.2">
      <c r="A48" t="s">
        <v>534</v>
      </c>
    </row>
    <row r="49" spans="1:1" x14ac:dyDescent="0.2">
      <c r="A49" t="s">
        <v>535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25CDB-3522-4889-945A-9DD361E7AE06}">
  <sheetPr codeName="Sheet8"/>
  <dimension ref="A1"/>
  <sheetViews>
    <sheetView workbookViewId="0">
      <selection activeCell="J30" sqref="J30"/>
    </sheetView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Raw</vt:lpstr>
      <vt:lpstr>Data</vt:lpstr>
      <vt:lpstr>DDE</vt:lpstr>
      <vt:lpstr>Cash Projection</vt:lpstr>
      <vt:lpstr>SCBRM1</vt:lpstr>
      <vt:lpstr>SCBSFF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PROMPONG PANTUWORN</dc:creator>
  <cp:lastModifiedBy>PROMPONG PANTUWORN</cp:lastModifiedBy>
  <dcterms:created xsi:type="dcterms:W3CDTF">2018-10-05T09:02:29Z</dcterms:created>
  <dcterms:modified xsi:type="dcterms:W3CDTF">2018-10-08T11:11:34Z</dcterms:modified>
</cp:coreProperties>
</file>