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Investment_Management\Share\Worksheet\auction\"/>
    </mc:Choice>
  </mc:AlternateContent>
  <xr:revisionPtr revIDLastSave="0" documentId="10_ncr:100080_{E55089F9-892C-4A2E-99F9-455E867C0CE3}" xr6:coauthVersionLast="31" xr6:coauthVersionMax="36" xr10:uidLastSave="{00000000-0000-0000-0000-000000000000}"/>
  <bookViews>
    <workbookView xWindow="0" yWindow="0" windowWidth="23040" windowHeight="8910" tabRatio="592" activeTab="4" xr2:uid="{2C2574F7-6CD0-48B8-8A77-318407D29ED0}"/>
  </bookViews>
  <sheets>
    <sheet name="2Oct" sheetId="1" r:id="rId1"/>
    <sheet name="5Oct" sheetId="2" r:id="rId2"/>
    <sheet name="9Oct" sheetId="3" r:id="rId3"/>
    <sheet name="11Oct" sheetId="4" r:id="rId4"/>
    <sheet name="16Oct" sheetId="5" r:id="rId5"/>
  </sheets>
  <functionGroups builtInGroupCount="19"/>
  <definedNames>
    <definedName name="_xlnm._FilterDatabase" localSheetId="3" hidden="1">'11Oct'!$A$2:$Z$60</definedName>
    <definedName name="_xlnm._FilterDatabase" localSheetId="4" hidden="1">'16Oct'!$A$2:$Z$60</definedName>
    <definedName name="_xlnm._FilterDatabase" localSheetId="0" hidden="1">'2Oct'!$A$2:$Z$60</definedName>
    <definedName name="_xlnm._FilterDatabase" localSheetId="1" hidden="1">'5Oct'!$A$2:$Z$60</definedName>
    <definedName name="_xlnm._FilterDatabase" localSheetId="2" hidden="1">'9Oct'!$A$2:$Z$60</definedName>
    <definedName name="Rank" localSheetId="3">OFFSET('11Oct'!$Y$30,0,0,COUNTA('11Oct'!$AJ:$AJ),1)</definedName>
    <definedName name="Rank" localSheetId="4">OFFSET('16Oct'!$Y$30,0,0,COUNTA('16Oct'!$AJ:$AJ),1)</definedName>
    <definedName name="Rank" localSheetId="1">OFFSET('5Oct'!$Y$30,0,0,COUNTA('5Oct'!$AJ:$AJ),1)</definedName>
    <definedName name="Rank" localSheetId="2">OFFSET('9Oct'!$Y$30,0,0,COUNTA('9Oct'!$AJ:$AJ),1)</definedName>
    <definedName name="Rank">OFFSET('2Oct'!$Y$30,0,0,COUNTA('2Oct'!$AJ:$AJ),1)</definedName>
    <definedName name="Z_03C5F87C_F6F2_4365_B32B_39A15CBBFBBD_.wvu.Cols" localSheetId="3" hidden="1">'11Oct'!$A:$A</definedName>
    <definedName name="Z_03C5F87C_F6F2_4365_B32B_39A15CBBFBBD_.wvu.Cols" localSheetId="4" hidden="1">'16Oct'!$A:$A</definedName>
    <definedName name="Z_03C5F87C_F6F2_4365_B32B_39A15CBBFBBD_.wvu.Cols" localSheetId="0" hidden="1">'2Oct'!$A:$A</definedName>
    <definedName name="Z_03C5F87C_F6F2_4365_B32B_39A15CBBFBBD_.wvu.Cols" localSheetId="1" hidden="1">'5Oct'!$A:$A,'5Oct'!$W:$Z</definedName>
    <definedName name="Z_03C5F87C_F6F2_4365_B32B_39A15CBBFBBD_.wvu.Cols" localSheetId="2" hidden="1">'9Oct'!$A:$A</definedName>
    <definedName name="Z_03C5F87C_F6F2_4365_B32B_39A15CBBFBBD_.wvu.FilterData" localSheetId="3" hidden="1">'11Oct'!$A$2:$Z$60</definedName>
    <definedName name="Z_03C5F87C_F6F2_4365_B32B_39A15CBBFBBD_.wvu.FilterData" localSheetId="4" hidden="1">'16Oct'!$A$2:$Z$60</definedName>
    <definedName name="Z_03C5F87C_F6F2_4365_B32B_39A15CBBFBBD_.wvu.FilterData" localSheetId="0" hidden="1">'2Oct'!$A$2:$Z$60</definedName>
    <definedName name="Z_03C5F87C_F6F2_4365_B32B_39A15CBBFBBD_.wvu.FilterData" localSheetId="1" hidden="1">'5Oct'!$A$2:$Z$60</definedName>
    <definedName name="Z_03C5F87C_F6F2_4365_B32B_39A15CBBFBBD_.wvu.FilterData" localSheetId="2" hidden="1">'9Oct'!$A$2:$Z$60</definedName>
    <definedName name="Z_03C5F87C_F6F2_4365_B32B_39A15CBBFBBD_.wvu.Rows" localSheetId="3" hidden="1">'11Oct'!$16:$26</definedName>
    <definedName name="Z_03C5F87C_F6F2_4365_B32B_39A15CBBFBBD_.wvu.Rows" localSheetId="4" hidden="1">'16Oct'!$16:$26</definedName>
    <definedName name="Z_03C5F87C_F6F2_4365_B32B_39A15CBBFBBD_.wvu.Rows" localSheetId="2" hidden="1">'9Oct'!$16:$26</definedName>
    <definedName name="Z_05EE60D7_349B_4A90_AF63_8135890D85F6_.wvu.FilterData" localSheetId="3" hidden="1">'11Oct'!$A$2:$Z$60</definedName>
    <definedName name="Z_05EE60D7_349B_4A90_AF63_8135890D85F6_.wvu.FilterData" localSheetId="4" hidden="1">'16Oct'!$A$2:$Z$60</definedName>
    <definedName name="Z_05EE60D7_349B_4A90_AF63_8135890D85F6_.wvu.FilterData" localSheetId="2" hidden="1">'9Oct'!$A$2:$Z$60</definedName>
    <definedName name="Z_32135529_8649_4BD8_8AEE_977D9F2AF573_.wvu.Cols" localSheetId="3" hidden="1">'11Oct'!$A:$A</definedName>
    <definedName name="Z_32135529_8649_4BD8_8AEE_977D9F2AF573_.wvu.Cols" localSheetId="4" hidden="1">'16Oct'!$A:$A</definedName>
    <definedName name="Z_32135529_8649_4BD8_8AEE_977D9F2AF573_.wvu.Cols" localSheetId="0" hidden="1">'2Oct'!$A:$A</definedName>
    <definedName name="Z_32135529_8649_4BD8_8AEE_977D9F2AF573_.wvu.Cols" localSheetId="1" hidden="1">'5Oct'!$A:$A,'5Oct'!$W:$Z</definedName>
    <definedName name="Z_32135529_8649_4BD8_8AEE_977D9F2AF573_.wvu.Cols" localSheetId="2" hidden="1">'9Oct'!$A:$A</definedName>
    <definedName name="Z_32135529_8649_4BD8_8AEE_977D9F2AF573_.wvu.FilterData" localSheetId="3" hidden="1">'11Oct'!$A$2:$Z$60</definedName>
    <definedName name="Z_32135529_8649_4BD8_8AEE_977D9F2AF573_.wvu.FilterData" localSheetId="4" hidden="1">'16Oct'!$A$2:$Z$60</definedName>
    <definedName name="Z_32135529_8649_4BD8_8AEE_977D9F2AF573_.wvu.FilterData" localSheetId="0" hidden="1">'2Oct'!$A$2:$Z$60</definedName>
    <definedName name="Z_32135529_8649_4BD8_8AEE_977D9F2AF573_.wvu.FilterData" localSheetId="1" hidden="1">'5Oct'!$A$2:$Z$60</definedName>
    <definedName name="Z_32135529_8649_4BD8_8AEE_977D9F2AF573_.wvu.FilterData" localSheetId="2" hidden="1">'9Oct'!$A$2:$Z$60</definedName>
    <definedName name="Z_32135529_8649_4BD8_8AEE_977D9F2AF573_.wvu.Rows" localSheetId="3" hidden="1">'11Oct'!$9:$14,'11Oct'!$16:$26</definedName>
    <definedName name="Z_32135529_8649_4BD8_8AEE_977D9F2AF573_.wvu.Rows" localSheetId="4" hidden="1">'16Oct'!$9:$14,'16Oct'!$16:$26</definedName>
    <definedName name="Z_32135529_8649_4BD8_8AEE_977D9F2AF573_.wvu.Rows" localSheetId="0" hidden="1">'2Oct'!$16:$26</definedName>
    <definedName name="Z_32135529_8649_4BD8_8AEE_977D9F2AF573_.wvu.Rows" localSheetId="1" hidden="1">'5Oct'!$16:$26</definedName>
    <definedName name="Z_32135529_8649_4BD8_8AEE_977D9F2AF573_.wvu.Rows" localSheetId="2" hidden="1">'9Oct'!$9:$14,'9Oct'!$16:$26</definedName>
    <definedName name="Z_446F2FA9_979D_4645_8D3C_C345EFBD6336_.wvu.Cols" localSheetId="3" hidden="1">'11Oct'!$A:$A,'11Oct'!$W:$Z</definedName>
    <definedName name="Z_446F2FA9_979D_4645_8D3C_C345EFBD6336_.wvu.Cols" localSheetId="4" hidden="1">'16Oct'!$A:$A,'16Oct'!$W:$Z</definedName>
    <definedName name="Z_446F2FA9_979D_4645_8D3C_C345EFBD6336_.wvu.Cols" localSheetId="0" hidden="1">'2Oct'!$A:$A</definedName>
    <definedName name="Z_446F2FA9_979D_4645_8D3C_C345EFBD6336_.wvu.Cols" localSheetId="1" hidden="1">'5Oct'!$A:$A,'5Oct'!$W:$Z</definedName>
    <definedName name="Z_446F2FA9_979D_4645_8D3C_C345EFBD6336_.wvu.Cols" localSheetId="2" hidden="1">'9Oct'!$A:$A</definedName>
    <definedName name="Z_446F2FA9_979D_4645_8D3C_C345EFBD6336_.wvu.FilterData" localSheetId="3" hidden="1">'11Oct'!$A$2:$Z$60</definedName>
    <definedName name="Z_446F2FA9_979D_4645_8D3C_C345EFBD6336_.wvu.FilterData" localSheetId="4" hidden="1">'16Oct'!$A$2:$Z$60</definedName>
    <definedName name="Z_446F2FA9_979D_4645_8D3C_C345EFBD6336_.wvu.FilterData" localSheetId="0" hidden="1">'2Oct'!$A$2:$Z$60</definedName>
    <definedName name="Z_446F2FA9_979D_4645_8D3C_C345EFBD6336_.wvu.FilterData" localSheetId="1" hidden="1">'5Oct'!$A$2:$Z$60</definedName>
    <definedName name="Z_446F2FA9_979D_4645_8D3C_C345EFBD6336_.wvu.FilterData" localSheetId="2" hidden="1">'9Oct'!$A$2:$Z$60</definedName>
    <definedName name="Z_446F2FA9_979D_4645_8D3C_C345EFBD6336_.wvu.Rows" localSheetId="3" hidden="1">'11Oct'!$16:$26</definedName>
    <definedName name="Z_446F2FA9_979D_4645_8D3C_C345EFBD6336_.wvu.Rows" localSheetId="0" hidden="1">'2Oct'!$16:$26</definedName>
    <definedName name="Z_446F2FA9_979D_4645_8D3C_C345EFBD6336_.wvu.Rows" localSheetId="1" hidden="1">'5Oct'!$16:$26</definedName>
    <definedName name="Z_446F2FA9_979D_4645_8D3C_C345EFBD6336_.wvu.Rows" localSheetId="2" hidden="1">'9Oct'!$16:$26</definedName>
    <definedName name="Z_6C15DDE3_FDA1_4043_B112_CF97717BCD32_.wvu.Cols" localSheetId="3" hidden="1">'11Oct'!$A:$A</definedName>
    <definedName name="Z_6C15DDE3_FDA1_4043_B112_CF97717BCD32_.wvu.Cols" localSheetId="4" hidden="1">'16Oct'!$A:$A</definedName>
    <definedName name="Z_6C15DDE3_FDA1_4043_B112_CF97717BCD32_.wvu.Cols" localSheetId="0" hidden="1">'2Oct'!$A:$A</definedName>
    <definedName name="Z_6C15DDE3_FDA1_4043_B112_CF97717BCD32_.wvu.Cols" localSheetId="1" hidden="1">'5Oct'!$A:$A</definedName>
    <definedName name="Z_6C15DDE3_FDA1_4043_B112_CF97717BCD32_.wvu.Cols" localSheetId="2" hidden="1">'9Oct'!$A:$A</definedName>
    <definedName name="Z_6C15DDE3_FDA1_4043_B112_CF97717BCD32_.wvu.FilterData" localSheetId="3" hidden="1">'11Oct'!$A$2:$Z$60</definedName>
    <definedName name="Z_6C15DDE3_FDA1_4043_B112_CF97717BCD32_.wvu.FilterData" localSheetId="4" hidden="1">'16Oct'!$A$2:$Z$60</definedName>
    <definedName name="Z_6C15DDE3_FDA1_4043_B112_CF97717BCD32_.wvu.FilterData" localSheetId="0" hidden="1">'2Oct'!$A$2:$Z$60</definedName>
    <definedName name="Z_6C15DDE3_FDA1_4043_B112_CF97717BCD32_.wvu.FilterData" localSheetId="1" hidden="1">'5Oct'!$A$2:$Z$60</definedName>
    <definedName name="Z_6C15DDE3_FDA1_4043_B112_CF97717BCD32_.wvu.FilterData" localSheetId="2" hidden="1">'9Oct'!$A$2:$Z$60</definedName>
    <definedName name="Z_6C15DDE3_FDA1_4043_B112_CF97717BCD32_.wvu.Rows" localSheetId="3" hidden="1">'11Oct'!$16:$26</definedName>
    <definedName name="Z_6C15DDE3_FDA1_4043_B112_CF97717BCD32_.wvu.Rows" localSheetId="4" hidden="1">'16Oct'!$16:$26</definedName>
    <definedName name="Z_6C15DDE3_FDA1_4043_B112_CF97717BCD32_.wvu.Rows" localSheetId="1" hidden="1">'5Oct'!$9:$14,'5Oct'!$16:$26</definedName>
    <definedName name="Z_6C15DDE3_FDA1_4043_B112_CF97717BCD32_.wvu.Rows" localSheetId="2" hidden="1">'9Oct'!$16:$26</definedName>
    <definedName name="Z_BCCD8593_0740_4DD6_A4B2_61CEE07D09B0_.wvu.FilterData" localSheetId="3" hidden="1">'11Oct'!$A$2:$Z$60</definedName>
    <definedName name="Z_BCCD8593_0740_4DD6_A4B2_61CEE07D09B0_.wvu.FilterData" localSheetId="4" hidden="1">'16Oct'!$A$2:$Z$60</definedName>
    <definedName name="Z_BCCD8593_0740_4DD6_A4B2_61CEE07D09B0_.wvu.FilterData" localSheetId="2" hidden="1">'9Oct'!$A$2:$Z$60</definedName>
    <definedName name="Z_C476B08F_3296_4F1E_9073_69994D104A23_.wvu.FilterData" localSheetId="3" hidden="1">'11Oct'!$A$2:$Z$60</definedName>
    <definedName name="Z_C476B08F_3296_4F1E_9073_69994D104A23_.wvu.FilterData" localSheetId="4" hidden="1">'16Oct'!$A$2:$Z$60</definedName>
    <definedName name="Z_C476B08F_3296_4F1E_9073_69994D104A23_.wvu.FilterData" localSheetId="2" hidden="1">'9Oct'!$A$2:$Z$60</definedName>
  </definedNames>
  <calcPr calcId="179017"/>
  <customWorkbookViews>
    <customWorkbookView name="PHOTCHANEE MAKKAPHAN - Personal View" guid="{6C15DDE3-FDA1-4043-B112-CF97717BCD32}" mergeInterval="0" personalView="1" xWindow="72" yWindow="99" windowWidth="1626" windowHeight="928" tabRatio="592" activeSheetId="3"/>
    <customWorkbookView name="CHUTINUN PREDARAT - Personal View" guid="{03C5F87C-F6F2-4365-B32B-39A15CBBFBBD}" mergeInterval="0" personalView="1" maximized="1" xWindow="1911" yWindow="-9" windowWidth="1938" windowHeight="1098" tabRatio="592" activeSheetId="3"/>
    <customWorkbookView name="PROMPONG PANTUWORN - Personal View" guid="{32135529-8649-4BD8-8AEE-977D9F2AF573}" mergeInterval="0" personalView="1" maximized="1" xWindow="1358" yWindow="-8" windowWidth="1936" windowHeight="1056" tabRatio="592" activeSheetId="3"/>
    <customWorkbookView name="ISSADAPORN THUNLAVANICH - Personal View" guid="{446F2FA9-979D-4645-8D3C-C345EFBD6336}" mergeInterval="0" personalView="1" maximized="1" xWindow="1912" yWindow="-8" windowWidth="1936" windowHeight="1096" tabRatio="592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65" i="5" l="1"/>
  <c r="U65" i="5"/>
  <c r="R65" i="5"/>
  <c r="Q65" i="5"/>
  <c r="T64" i="5"/>
  <c r="T63" i="5"/>
  <c r="T62" i="5"/>
  <c r="T61" i="5"/>
  <c r="T60" i="5"/>
  <c r="T59" i="5"/>
  <c r="G59" i="5"/>
  <c r="T58" i="5"/>
  <c r="G58" i="5"/>
  <c r="T57" i="5"/>
  <c r="G57" i="5"/>
  <c r="T56" i="5"/>
  <c r="P54" i="5"/>
  <c r="E54" i="5"/>
  <c r="D54" i="5"/>
  <c r="C53" i="5"/>
  <c r="B53" i="5" s="1"/>
  <c r="V52" i="5"/>
  <c r="U52" i="5"/>
  <c r="R52" i="5"/>
  <c r="Q52" i="5"/>
  <c r="C52" i="5"/>
  <c r="B52" i="5"/>
  <c r="T51" i="5"/>
  <c r="C51" i="5"/>
  <c r="B51" i="5"/>
  <c r="T50" i="5"/>
  <c r="C50" i="5"/>
  <c r="B50" i="5"/>
  <c r="T49" i="5"/>
  <c r="C49" i="5"/>
  <c r="B49" i="5"/>
  <c r="T48" i="5"/>
  <c r="C48" i="5"/>
  <c r="B48" i="5"/>
  <c r="T47" i="5"/>
  <c r="C47" i="5"/>
  <c r="B47" i="5"/>
  <c r="T46" i="5"/>
  <c r="C46" i="5"/>
  <c r="B46" i="5"/>
  <c r="T45" i="5"/>
  <c r="C45" i="5"/>
  <c r="B45" i="5"/>
  <c r="T44" i="5"/>
  <c r="C44" i="5"/>
  <c r="B44" i="5"/>
  <c r="T43" i="5"/>
  <c r="C43" i="5"/>
  <c r="B43" i="5"/>
  <c r="C42" i="5"/>
  <c r="B42" i="5"/>
  <c r="P41" i="5"/>
  <c r="C41" i="5"/>
  <c r="B41" i="5"/>
  <c r="C40" i="5"/>
  <c r="B40" i="5" s="1"/>
  <c r="V39" i="5"/>
  <c r="U39" i="5"/>
  <c r="R39" i="5"/>
  <c r="Q39" i="5"/>
  <c r="C39" i="5"/>
  <c r="B39" i="5"/>
  <c r="T38" i="5"/>
  <c r="C38" i="5"/>
  <c r="B38" i="5"/>
  <c r="T37" i="5"/>
  <c r="C37" i="5"/>
  <c r="B37" i="5"/>
  <c r="T36" i="5"/>
  <c r="C36" i="5"/>
  <c r="B36" i="5"/>
  <c r="T35" i="5"/>
  <c r="C35" i="5"/>
  <c r="B35" i="5"/>
  <c r="T34" i="5"/>
  <c r="C34" i="5"/>
  <c r="B34" i="5"/>
  <c r="T33" i="5"/>
  <c r="C33" i="5"/>
  <c r="B33" i="5"/>
  <c r="T32" i="5"/>
  <c r="I32" i="5"/>
  <c r="C32" i="5"/>
  <c r="B32" i="5" s="1"/>
  <c r="T31" i="5"/>
  <c r="I31" i="5"/>
  <c r="C31" i="5"/>
  <c r="B31" i="5"/>
  <c r="T30" i="5"/>
  <c r="I30" i="5"/>
  <c r="T39" i="5" s="1"/>
  <c r="C30" i="5"/>
  <c r="B30" i="5"/>
  <c r="P28" i="5"/>
  <c r="D28" i="5"/>
  <c r="B28" i="5"/>
  <c r="AC20" i="5"/>
  <c r="AB20" i="5"/>
  <c r="AA20" i="5"/>
  <c r="AC19" i="5"/>
  <c r="AB19" i="5"/>
  <c r="AA19" i="5"/>
  <c r="AC18" i="5"/>
  <c r="AB18" i="5"/>
  <c r="AA18" i="5"/>
  <c r="AD17" i="5"/>
  <c r="Y17" i="5"/>
  <c r="X17" i="5"/>
  <c r="U17" i="5"/>
  <c r="T17" i="5"/>
  <c r="Q17" i="5"/>
  <c r="P17" i="5"/>
  <c r="M17" i="5"/>
  <c r="L17" i="5"/>
  <c r="I17" i="5"/>
  <c r="H17" i="5"/>
  <c r="E17" i="5"/>
  <c r="D17" i="5"/>
  <c r="C17" i="5" a="1"/>
  <c r="W17" i="5" s="1"/>
  <c r="B16" i="5"/>
  <c r="AC13" i="5"/>
  <c r="AB13" i="5"/>
  <c r="AA13" i="5"/>
  <c r="AC12" i="5"/>
  <c r="AB12" i="5"/>
  <c r="AA12" i="5"/>
  <c r="AC11" i="5"/>
  <c r="AC14" i="5" s="1"/>
  <c r="AB11" i="5"/>
  <c r="AA11" i="5"/>
  <c r="AA14" i="5" s="1"/>
  <c r="AD10" i="5"/>
  <c r="Y10" i="5"/>
  <c r="X10" i="5"/>
  <c r="W10" i="5"/>
  <c r="U10" i="5"/>
  <c r="T10" i="5"/>
  <c r="S10" i="5"/>
  <c r="Q10" i="5"/>
  <c r="P10" i="5"/>
  <c r="O10" i="5"/>
  <c r="M10" i="5"/>
  <c r="L10" i="5"/>
  <c r="K10" i="5"/>
  <c r="I10" i="5"/>
  <c r="H10" i="5"/>
  <c r="G10" i="5"/>
  <c r="E10" i="5"/>
  <c r="D10" i="5"/>
  <c r="C10" i="5"/>
  <c r="C10" i="5" a="1"/>
  <c r="Z10" i="5" s="1"/>
  <c r="B9" i="5"/>
  <c r="AC6" i="5"/>
  <c r="AB6" i="5"/>
  <c r="AA6" i="5"/>
  <c r="AC5" i="5"/>
  <c r="AB5" i="5"/>
  <c r="AA5" i="5"/>
  <c r="AC4" i="5"/>
  <c r="AC7" i="5" s="1"/>
  <c r="AB4" i="5"/>
  <c r="AB7" i="5" s="1"/>
  <c r="AA4" i="5"/>
  <c r="AD3" i="5"/>
  <c r="C3" i="5" a="1"/>
  <c r="Y3" i="5" s="1"/>
  <c r="B2" i="5"/>
  <c r="B1" i="5"/>
  <c r="P39" i="5" l="1"/>
  <c r="AC21" i="5"/>
  <c r="AA7" i="5"/>
  <c r="AB14" i="5"/>
  <c r="AA21" i="5"/>
  <c r="AB21" i="5"/>
  <c r="P65" i="5"/>
  <c r="A29" i="5"/>
  <c r="P52" i="5"/>
  <c r="J3" i="5"/>
  <c r="R3" i="5"/>
  <c r="Z3" i="5"/>
  <c r="C3" i="5"/>
  <c r="G3" i="5"/>
  <c r="K3" i="5"/>
  <c r="O3" i="5"/>
  <c r="S3" i="5"/>
  <c r="W3" i="5"/>
  <c r="AD46" i="5"/>
  <c r="AD47" i="5"/>
  <c r="T65" i="5"/>
  <c r="N3" i="5"/>
  <c r="V3" i="5"/>
  <c r="AD36" i="5"/>
  <c r="AD42" i="5"/>
  <c r="D3" i="5"/>
  <c r="A40" i="5" s="1"/>
  <c r="H3" i="5"/>
  <c r="L3" i="5"/>
  <c r="P3" i="5"/>
  <c r="T3" i="5"/>
  <c r="X3" i="5"/>
  <c r="AD30" i="5"/>
  <c r="AD40" i="5"/>
  <c r="AD41" i="5"/>
  <c r="T52" i="5"/>
  <c r="AD39" i="5" s="1"/>
  <c r="F3" i="5"/>
  <c r="AD34" i="5"/>
  <c r="AD37" i="5"/>
  <c r="F17" i="5"/>
  <c r="J17" i="5"/>
  <c r="N17" i="5"/>
  <c r="R17" i="5"/>
  <c r="V17" i="5"/>
  <c r="Z17" i="5"/>
  <c r="E3" i="5"/>
  <c r="A32" i="5" s="1"/>
  <c r="I3" i="5"/>
  <c r="M3" i="5"/>
  <c r="Q3" i="5"/>
  <c r="U3" i="5"/>
  <c r="F10" i="5"/>
  <c r="J10" i="5"/>
  <c r="N10" i="5"/>
  <c r="R10" i="5"/>
  <c r="V10" i="5"/>
  <c r="C17" i="5"/>
  <c r="G17" i="5"/>
  <c r="K17" i="5"/>
  <c r="O17" i="5"/>
  <c r="S17" i="5"/>
  <c r="AD31" i="5"/>
  <c r="AB32" i="5"/>
  <c r="AB40" i="5"/>
  <c r="AD51" i="5" l="1"/>
  <c r="AD43" i="5"/>
  <c r="AD50" i="5"/>
  <c r="AD35" i="5"/>
  <c r="AD52" i="5"/>
  <c r="AD33" i="5"/>
  <c r="AD49" i="5"/>
  <c r="AD45" i="5"/>
  <c r="AD38" i="5"/>
  <c r="AD32" i="5"/>
  <c r="AD53" i="5"/>
  <c r="AD48" i="5"/>
  <c r="AD44" i="5"/>
  <c r="A39" i="5"/>
  <c r="A47" i="5"/>
  <c r="A45" i="5"/>
  <c r="A37" i="5"/>
  <c r="A33" i="5"/>
  <c r="A42" i="5"/>
  <c r="A31" i="5"/>
  <c r="A52" i="5"/>
  <c r="A50" i="5"/>
  <c r="A48" i="5"/>
  <c r="A43" i="5"/>
  <c r="A35" i="5"/>
  <c r="A53" i="5"/>
  <c r="A41" i="5"/>
  <c r="A38" i="5"/>
  <c r="A51" i="5"/>
  <c r="A49" i="5"/>
  <c r="A46" i="5"/>
  <c r="A44" i="5"/>
  <c r="A36" i="5"/>
  <c r="A34" i="5"/>
  <c r="A30" i="5"/>
  <c r="AB53" i="5"/>
  <c r="AB33" i="5"/>
  <c r="AB48" i="5"/>
  <c r="AB42" i="5"/>
  <c r="AB41" i="5"/>
  <c r="AB37" i="5"/>
  <c r="AB50" i="5"/>
  <c r="AB52" i="5"/>
  <c r="AB35" i="5"/>
  <c r="AB49" i="5"/>
  <c r="AB51" i="5"/>
  <c r="AB38" i="5"/>
  <c r="AB47" i="5"/>
  <c r="AB34" i="5"/>
  <c r="AB36" i="5"/>
  <c r="AB44" i="5"/>
  <c r="AB30" i="5"/>
  <c r="AB46" i="5"/>
  <c r="AB31" i="5"/>
  <c r="AB45" i="5"/>
  <c r="AB39" i="5"/>
  <c r="AB43" i="5"/>
  <c r="AD54" i="5" l="1"/>
  <c r="V65" i="4" l="1"/>
  <c r="U65" i="4"/>
  <c r="R65" i="4"/>
  <c r="Q65" i="4"/>
  <c r="T64" i="4"/>
  <c r="T63" i="4"/>
  <c r="T62" i="4"/>
  <c r="T61" i="4"/>
  <c r="T60" i="4"/>
  <c r="T59" i="4"/>
  <c r="G59" i="4"/>
  <c r="T58" i="4"/>
  <c r="G58" i="4"/>
  <c r="T57" i="4"/>
  <c r="G57" i="4"/>
  <c r="T56" i="4"/>
  <c r="P54" i="4"/>
  <c r="E54" i="4"/>
  <c r="D54" i="4"/>
  <c r="C53" i="4"/>
  <c r="B53" i="4" s="1"/>
  <c r="V52" i="4"/>
  <c r="U52" i="4"/>
  <c r="R52" i="4"/>
  <c r="Q52" i="4"/>
  <c r="C52" i="4"/>
  <c r="B52" i="4" s="1"/>
  <c r="T51" i="4"/>
  <c r="C51" i="4"/>
  <c r="B51" i="4" s="1"/>
  <c r="T50" i="4"/>
  <c r="C50" i="4"/>
  <c r="B50" i="4" s="1"/>
  <c r="T49" i="4"/>
  <c r="C49" i="4"/>
  <c r="B49" i="4" s="1"/>
  <c r="T48" i="4"/>
  <c r="C48" i="4"/>
  <c r="B48" i="4" s="1"/>
  <c r="T47" i="4"/>
  <c r="C47" i="4"/>
  <c r="B47" i="4" s="1"/>
  <c r="T46" i="4"/>
  <c r="C46" i="4"/>
  <c r="B46" i="4"/>
  <c r="T45" i="4"/>
  <c r="C45" i="4"/>
  <c r="B45" i="4"/>
  <c r="T44" i="4"/>
  <c r="C44" i="4"/>
  <c r="B44" i="4" s="1"/>
  <c r="T43" i="4"/>
  <c r="C43" i="4"/>
  <c r="B43" i="4" s="1"/>
  <c r="C42" i="4"/>
  <c r="B42" i="4" s="1"/>
  <c r="P41" i="4"/>
  <c r="C41" i="4"/>
  <c r="B41" i="4" s="1"/>
  <c r="C40" i="4"/>
  <c r="V39" i="4"/>
  <c r="U39" i="4"/>
  <c r="R39" i="4"/>
  <c r="Q39" i="4"/>
  <c r="C39" i="4"/>
  <c r="B39" i="4" s="1"/>
  <c r="T38" i="4"/>
  <c r="C38" i="4"/>
  <c r="B38" i="4"/>
  <c r="T37" i="4"/>
  <c r="C37" i="4"/>
  <c r="B37" i="4"/>
  <c r="T36" i="4"/>
  <c r="C36" i="4"/>
  <c r="B36" i="4" s="1"/>
  <c r="T35" i="4"/>
  <c r="C35" i="4"/>
  <c r="B35" i="4" s="1"/>
  <c r="T34" i="4"/>
  <c r="C34" i="4"/>
  <c r="B34" i="4" s="1"/>
  <c r="T33" i="4"/>
  <c r="C33" i="4"/>
  <c r="B33" i="4" s="1"/>
  <c r="T32" i="4"/>
  <c r="I32" i="4"/>
  <c r="C32" i="4"/>
  <c r="T31" i="4"/>
  <c r="I31" i="4"/>
  <c r="C31" i="4"/>
  <c r="B31" i="4" s="1"/>
  <c r="T30" i="4"/>
  <c r="I30" i="4"/>
  <c r="C30" i="4"/>
  <c r="B30" i="4" s="1"/>
  <c r="P28" i="4"/>
  <c r="D28" i="4"/>
  <c r="B28" i="4"/>
  <c r="AC20" i="4"/>
  <c r="AB20" i="4"/>
  <c r="AA20" i="4"/>
  <c r="AC19" i="4"/>
  <c r="AB19" i="4"/>
  <c r="AA19" i="4"/>
  <c r="AC18" i="4"/>
  <c r="AB18" i="4"/>
  <c r="AA18" i="4"/>
  <c r="AD17" i="4"/>
  <c r="C17" i="4" a="1"/>
  <c r="W17" i="4" s="1"/>
  <c r="B16" i="4"/>
  <c r="AC13" i="4"/>
  <c r="AB13" i="4"/>
  <c r="AA13" i="4"/>
  <c r="AC12" i="4"/>
  <c r="AB12" i="4"/>
  <c r="AA12" i="4"/>
  <c r="AC11" i="4"/>
  <c r="AB11" i="4"/>
  <c r="AA11" i="4"/>
  <c r="AD10" i="4"/>
  <c r="Y10" i="4"/>
  <c r="D10" i="4"/>
  <c r="C10" i="4" a="1"/>
  <c r="Z10" i="4" s="1"/>
  <c r="B9" i="4"/>
  <c r="AC6" i="4"/>
  <c r="AB6" i="4"/>
  <c r="AA6" i="4"/>
  <c r="AC5" i="4"/>
  <c r="AB5" i="4"/>
  <c r="AA5" i="4"/>
  <c r="AC4" i="4"/>
  <c r="AB4" i="4"/>
  <c r="AA4" i="4"/>
  <c r="AD3" i="4"/>
  <c r="C3" i="4" a="1"/>
  <c r="J3" i="4" s="1"/>
  <c r="B2" i="4"/>
  <c r="B1" i="4"/>
  <c r="I10" i="4" l="1"/>
  <c r="O10" i="4"/>
  <c r="T10" i="4"/>
  <c r="P39" i="4"/>
  <c r="Q17" i="4"/>
  <c r="N3" i="4"/>
  <c r="K10" i="4"/>
  <c r="U10" i="4"/>
  <c r="T17" i="4"/>
  <c r="I17" i="4"/>
  <c r="Y17" i="4"/>
  <c r="V3" i="4"/>
  <c r="G10" i="4"/>
  <c r="L10" i="4"/>
  <c r="Q10" i="4"/>
  <c r="W10" i="4"/>
  <c r="E17" i="4"/>
  <c r="M17" i="4"/>
  <c r="U17" i="4"/>
  <c r="E10" i="4"/>
  <c r="P10" i="4"/>
  <c r="D17" i="4"/>
  <c r="L17" i="4"/>
  <c r="F3" i="4"/>
  <c r="Z3" i="4"/>
  <c r="C10" i="4"/>
  <c r="H10" i="4"/>
  <c r="M10" i="4"/>
  <c r="S10" i="4"/>
  <c r="X10" i="4"/>
  <c r="H17" i="4"/>
  <c r="P17" i="4"/>
  <c r="X17" i="4"/>
  <c r="AC21" i="4"/>
  <c r="AC14" i="4"/>
  <c r="AB7" i="4"/>
  <c r="AC7" i="4"/>
  <c r="AA21" i="4"/>
  <c r="AB21" i="4"/>
  <c r="P65" i="4"/>
  <c r="A29" i="4"/>
  <c r="B40" i="4"/>
  <c r="AA14" i="4"/>
  <c r="T39" i="4"/>
  <c r="B32" i="4"/>
  <c r="Y3" i="4"/>
  <c r="U3" i="4"/>
  <c r="Q3" i="4"/>
  <c r="M3" i="4"/>
  <c r="I3" i="4"/>
  <c r="E3" i="4"/>
  <c r="X3" i="4"/>
  <c r="P3" i="4"/>
  <c r="L3" i="4"/>
  <c r="D3" i="4"/>
  <c r="S3" i="4"/>
  <c r="K3" i="4"/>
  <c r="C3" i="4"/>
  <c r="T3" i="4"/>
  <c r="H3" i="4"/>
  <c r="W3" i="4"/>
  <c r="O3" i="4"/>
  <c r="G3" i="4"/>
  <c r="R3" i="4"/>
  <c r="AA7" i="4"/>
  <c r="AB14" i="4"/>
  <c r="AD33" i="4"/>
  <c r="P52" i="4"/>
  <c r="T52" i="4"/>
  <c r="AD49" i="4" s="1"/>
  <c r="T65" i="4"/>
  <c r="F17" i="4"/>
  <c r="J17" i="4"/>
  <c r="N17" i="4"/>
  <c r="R17" i="4"/>
  <c r="V17" i="4"/>
  <c r="Z17" i="4"/>
  <c r="F10" i="4"/>
  <c r="J10" i="4"/>
  <c r="N10" i="4"/>
  <c r="R10" i="4"/>
  <c r="V10" i="4"/>
  <c r="C17" i="4"/>
  <c r="G17" i="4"/>
  <c r="K17" i="4"/>
  <c r="O17" i="4"/>
  <c r="S17" i="4"/>
  <c r="T30" i="3"/>
  <c r="T31" i="3"/>
  <c r="T32" i="3"/>
  <c r="AD45" i="4" l="1"/>
  <c r="AD36" i="4"/>
  <c r="AD32" i="4"/>
  <c r="AD31" i="4"/>
  <c r="AD38" i="4"/>
  <c r="AD51" i="4"/>
  <c r="AD34" i="4"/>
  <c r="AD47" i="4"/>
  <c r="AD39" i="4"/>
  <c r="AD43" i="4"/>
  <c r="AD53" i="4"/>
  <c r="AD41" i="4"/>
  <c r="AD42" i="4"/>
  <c r="AD48" i="4"/>
  <c r="A53" i="4"/>
  <c r="A42" i="4"/>
  <c r="A31" i="4"/>
  <c r="A49" i="4"/>
  <c r="A41" i="4"/>
  <c r="A39" i="4"/>
  <c r="A38" i="4"/>
  <c r="A52" i="4"/>
  <c r="A51" i="4"/>
  <c r="A50" i="4"/>
  <c r="A48" i="4"/>
  <c r="A45" i="4"/>
  <c r="A34" i="4"/>
  <c r="A30" i="4"/>
  <c r="A44" i="4"/>
  <c r="A37" i="4"/>
  <c r="A33" i="4"/>
  <c r="A47" i="4"/>
  <c r="A43" i="4"/>
  <c r="A36" i="4"/>
  <c r="A46" i="4"/>
  <c r="A35" i="4"/>
  <c r="A32" i="4"/>
  <c r="A40" i="4"/>
  <c r="AD37" i="4"/>
  <c r="AD40" i="4"/>
  <c r="AD35" i="4"/>
  <c r="AD46" i="4"/>
  <c r="AD30" i="4"/>
  <c r="AD52" i="4"/>
  <c r="AD44" i="4"/>
  <c r="AD50" i="4"/>
  <c r="V65" i="3"/>
  <c r="U65" i="3"/>
  <c r="R65" i="3"/>
  <c r="Q65" i="3"/>
  <c r="T64" i="3"/>
  <c r="T63" i="3"/>
  <c r="T62" i="3"/>
  <c r="T61" i="3"/>
  <c r="T60" i="3"/>
  <c r="T59" i="3"/>
  <c r="G59" i="3"/>
  <c r="T58" i="3"/>
  <c r="G58" i="3"/>
  <c r="T57" i="3"/>
  <c r="G57" i="3"/>
  <c r="T56" i="3"/>
  <c r="P54" i="3"/>
  <c r="E54" i="3"/>
  <c r="D54" i="3"/>
  <c r="C53" i="3"/>
  <c r="B53" i="3" s="1"/>
  <c r="V52" i="3"/>
  <c r="U52" i="3"/>
  <c r="R52" i="3"/>
  <c r="Q52" i="3"/>
  <c r="C52" i="3"/>
  <c r="B52" i="3" s="1"/>
  <c r="T51" i="3"/>
  <c r="C51" i="3"/>
  <c r="B51" i="3" s="1"/>
  <c r="T50" i="3"/>
  <c r="C50" i="3"/>
  <c r="B50" i="3" s="1"/>
  <c r="T49" i="3"/>
  <c r="C49" i="3"/>
  <c r="B49" i="3" s="1"/>
  <c r="T48" i="3"/>
  <c r="C48" i="3"/>
  <c r="B48" i="3" s="1"/>
  <c r="T47" i="3"/>
  <c r="C47" i="3"/>
  <c r="B47" i="3" s="1"/>
  <c r="T46" i="3"/>
  <c r="C46" i="3"/>
  <c r="B46" i="3" s="1"/>
  <c r="T45" i="3"/>
  <c r="C45" i="3"/>
  <c r="B45" i="3" s="1"/>
  <c r="T44" i="3"/>
  <c r="C44" i="3"/>
  <c r="B44" i="3" s="1"/>
  <c r="T43" i="3"/>
  <c r="C43" i="3"/>
  <c r="B43" i="3" s="1"/>
  <c r="C42" i="3"/>
  <c r="B42" i="3" s="1"/>
  <c r="P41" i="3"/>
  <c r="C41" i="3"/>
  <c r="B41" i="3" s="1"/>
  <c r="C40" i="3"/>
  <c r="B40" i="3" s="1"/>
  <c r="V39" i="3"/>
  <c r="U39" i="3"/>
  <c r="R39" i="3"/>
  <c r="Q39" i="3"/>
  <c r="C39" i="3"/>
  <c r="B39" i="3" s="1"/>
  <c r="T38" i="3"/>
  <c r="C38" i="3"/>
  <c r="B38" i="3" s="1"/>
  <c r="T37" i="3"/>
  <c r="C37" i="3"/>
  <c r="B37" i="3" s="1"/>
  <c r="T36" i="3"/>
  <c r="C36" i="3"/>
  <c r="B36" i="3" s="1"/>
  <c r="T35" i="3"/>
  <c r="C35" i="3"/>
  <c r="B35" i="3" s="1"/>
  <c r="T34" i="3"/>
  <c r="C34" i="3"/>
  <c r="B34" i="3" s="1"/>
  <c r="T33" i="3"/>
  <c r="C33" i="3"/>
  <c r="B33" i="3" s="1"/>
  <c r="I32" i="3"/>
  <c r="C32" i="3"/>
  <c r="B32" i="3" s="1"/>
  <c r="I31" i="3"/>
  <c r="C31" i="3"/>
  <c r="B31" i="3" s="1"/>
  <c r="I30" i="3"/>
  <c r="C30" i="3"/>
  <c r="B30" i="3" s="1"/>
  <c r="P28" i="3"/>
  <c r="D28" i="3"/>
  <c r="B28" i="3"/>
  <c r="AC20" i="3"/>
  <c r="AB20" i="3"/>
  <c r="AA20" i="3"/>
  <c r="AC19" i="3"/>
  <c r="AB19" i="3"/>
  <c r="AA19" i="3"/>
  <c r="AC18" i="3"/>
  <c r="AB18" i="3"/>
  <c r="AA18" i="3"/>
  <c r="AD17" i="3"/>
  <c r="C17" i="3" a="1"/>
  <c r="W17" i="3" s="1"/>
  <c r="B16" i="3"/>
  <c r="AC13" i="3"/>
  <c r="AB13" i="3"/>
  <c r="AA13" i="3"/>
  <c r="AC12" i="3"/>
  <c r="AB12" i="3"/>
  <c r="AA12" i="3"/>
  <c r="AC11" i="3"/>
  <c r="AB11" i="3"/>
  <c r="AA11" i="3"/>
  <c r="AD10" i="3"/>
  <c r="C10" i="3" a="1"/>
  <c r="Z10" i="3" s="1"/>
  <c r="B9" i="3"/>
  <c r="AC6" i="3"/>
  <c r="AB6" i="3"/>
  <c r="AA6" i="3"/>
  <c r="AC5" i="3"/>
  <c r="AB5" i="3"/>
  <c r="AA5" i="3"/>
  <c r="AC4" i="3"/>
  <c r="AB4" i="3"/>
  <c r="AA4" i="3"/>
  <c r="AD3" i="3"/>
  <c r="C3" i="3" a="1"/>
  <c r="Y3" i="3" s="1"/>
  <c r="B2" i="3"/>
  <c r="B1" i="3"/>
  <c r="AB37" i="4"/>
  <c r="AB46" i="4"/>
  <c r="AB50" i="4"/>
  <c r="AB31" i="4"/>
  <c r="AB32" i="4"/>
  <c r="AB45" i="4"/>
  <c r="AB30" i="4"/>
  <c r="AB44" i="4"/>
  <c r="AB43" i="4"/>
  <c r="AB51" i="4"/>
  <c r="AB49" i="4"/>
  <c r="AB39" i="4"/>
  <c r="AB35" i="4"/>
  <c r="AB36" i="4"/>
  <c r="AB47" i="4"/>
  <c r="AB33" i="4"/>
  <c r="AB34" i="4"/>
  <c r="AB52" i="4"/>
  <c r="AB40" i="4"/>
  <c r="AB38" i="4"/>
  <c r="AB53" i="4"/>
  <c r="AB41" i="4"/>
  <c r="AB48" i="4"/>
  <c r="AB42" i="4"/>
  <c r="AD54" i="4" l="1"/>
  <c r="S10" i="3"/>
  <c r="H10" i="3"/>
  <c r="AC7" i="3"/>
  <c r="K10" i="3"/>
  <c r="U10" i="3"/>
  <c r="C10" i="3"/>
  <c r="M10" i="3"/>
  <c r="X10" i="3"/>
  <c r="E10" i="3"/>
  <c r="P10" i="3"/>
  <c r="P65" i="3"/>
  <c r="D10" i="3"/>
  <c r="I10" i="3"/>
  <c r="O10" i="3"/>
  <c r="T10" i="3"/>
  <c r="Y10" i="3"/>
  <c r="G10" i="3"/>
  <c r="L10" i="3"/>
  <c r="Q10" i="3"/>
  <c r="W10" i="3"/>
  <c r="AA21" i="3"/>
  <c r="AB21" i="3"/>
  <c r="AB14" i="3"/>
  <c r="AA7" i="3"/>
  <c r="AC21" i="3"/>
  <c r="A29" i="3"/>
  <c r="T39" i="3"/>
  <c r="P52" i="3"/>
  <c r="AB7" i="3"/>
  <c r="AA14" i="3"/>
  <c r="AC14" i="3"/>
  <c r="P39" i="3"/>
  <c r="F3" i="3"/>
  <c r="J3" i="3"/>
  <c r="N3" i="3"/>
  <c r="R3" i="3"/>
  <c r="V3" i="3"/>
  <c r="Z3" i="3"/>
  <c r="D17" i="3"/>
  <c r="H17" i="3"/>
  <c r="L17" i="3"/>
  <c r="P17" i="3"/>
  <c r="T17" i="3"/>
  <c r="X17" i="3"/>
  <c r="C3" i="3"/>
  <c r="E17" i="3"/>
  <c r="M17" i="3"/>
  <c r="Y17" i="3"/>
  <c r="T65" i="3"/>
  <c r="F17" i="3"/>
  <c r="J17" i="3"/>
  <c r="N17" i="3"/>
  <c r="R17" i="3"/>
  <c r="V17" i="3"/>
  <c r="Z17" i="3"/>
  <c r="T52" i="3"/>
  <c r="G3" i="3"/>
  <c r="K3" i="3"/>
  <c r="O3" i="3"/>
  <c r="S3" i="3"/>
  <c r="W3" i="3"/>
  <c r="I17" i="3"/>
  <c r="Q17" i="3"/>
  <c r="U17" i="3"/>
  <c r="D3" i="3"/>
  <c r="H3" i="3"/>
  <c r="L3" i="3"/>
  <c r="P3" i="3"/>
  <c r="T3" i="3"/>
  <c r="X3" i="3"/>
  <c r="E3" i="3"/>
  <c r="I3" i="3"/>
  <c r="M3" i="3"/>
  <c r="Q3" i="3"/>
  <c r="U3" i="3"/>
  <c r="F10" i="3"/>
  <c r="J10" i="3"/>
  <c r="N10" i="3"/>
  <c r="R10" i="3"/>
  <c r="V10" i="3"/>
  <c r="C17" i="3"/>
  <c r="G17" i="3"/>
  <c r="K17" i="3"/>
  <c r="O17" i="3"/>
  <c r="S17" i="3"/>
  <c r="H58" i="1"/>
  <c r="H59" i="1"/>
  <c r="H57" i="1"/>
  <c r="V65" i="2"/>
  <c r="U65" i="2"/>
  <c r="R65" i="2"/>
  <c r="Q65" i="2"/>
  <c r="T64" i="2"/>
  <c r="T63" i="2"/>
  <c r="T62" i="2"/>
  <c r="T61" i="2"/>
  <c r="T60" i="2"/>
  <c r="T59" i="2"/>
  <c r="G59" i="2"/>
  <c r="T58" i="2"/>
  <c r="G58" i="2"/>
  <c r="T57" i="2"/>
  <c r="G57" i="2"/>
  <c r="T56" i="2"/>
  <c r="P54" i="2"/>
  <c r="E54" i="2"/>
  <c r="D54" i="2"/>
  <c r="C53" i="2"/>
  <c r="B53" i="2" s="1"/>
  <c r="V52" i="2"/>
  <c r="U52" i="2"/>
  <c r="R52" i="2"/>
  <c r="Q52" i="2"/>
  <c r="C52" i="2"/>
  <c r="B52" i="2" s="1"/>
  <c r="T51" i="2"/>
  <c r="C51" i="2"/>
  <c r="B51" i="2"/>
  <c r="T50" i="2"/>
  <c r="C50" i="2"/>
  <c r="B50" i="2"/>
  <c r="T49" i="2"/>
  <c r="C49" i="2"/>
  <c r="B49" i="2" s="1"/>
  <c r="T48" i="2"/>
  <c r="C48" i="2"/>
  <c r="B48" i="2" s="1"/>
  <c r="T47" i="2"/>
  <c r="C47" i="2"/>
  <c r="B47" i="2" s="1"/>
  <c r="T46" i="2"/>
  <c r="C46" i="2"/>
  <c r="B46" i="2" s="1"/>
  <c r="T45" i="2"/>
  <c r="C45" i="2"/>
  <c r="B45" i="2" s="1"/>
  <c r="T44" i="2"/>
  <c r="C44" i="2"/>
  <c r="B44" i="2" s="1"/>
  <c r="T43" i="2"/>
  <c r="C43" i="2"/>
  <c r="B43" i="2" s="1"/>
  <c r="C42" i="2"/>
  <c r="B42" i="2" s="1"/>
  <c r="P41" i="2"/>
  <c r="C41" i="2"/>
  <c r="B41" i="2" s="1"/>
  <c r="C40" i="2"/>
  <c r="B40" i="2" s="1"/>
  <c r="V39" i="2"/>
  <c r="U39" i="2"/>
  <c r="R39" i="2"/>
  <c r="Q39" i="2"/>
  <c r="C39" i="2"/>
  <c r="B39" i="2" s="1"/>
  <c r="T38" i="2"/>
  <c r="C38" i="2"/>
  <c r="B38" i="2" s="1"/>
  <c r="T37" i="2"/>
  <c r="C37" i="2"/>
  <c r="B37" i="2" s="1"/>
  <c r="T36" i="2"/>
  <c r="C36" i="2"/>
  <c r="B36" i="2" s="1"/>
  <c r="T35" i="2"/>
  <c r="C35" i="2"/>
  <c r="B35" i="2" s="1"/>
  <c r="T34" i="2"/>
  <c r="C34" i="2"/>
  <c r="B34" i="2"/>
  <c r="T33" i="2"/>
  <c r="C33" i="2"/>
  <c r="B33" i="2" s="1"/>
  <c r="T32" i="2"/>
  <c r="I32" i="2"/>
  <c r="P65" i="2" s="1"/>
  <c r="C32" i="2"/>
  <c r="B32" i="2" s="1"/>
  <c r="T31" i="2"/>
  <c r="I31" i="2"/>
  <c r="C31" i="2"/>
  <c r="B31" i="2" s="1"/>
  <c r="T30" i="2"/>
  <c r="I30" i="2"/>
  <c r="T39" i="2" s="1"/>
  <c r="C30" i="2"/>
  <c r="B30" i="2" s="1"/>
  <c r="P28" i="2"/>
  <c r="D28" i="2"/>
  <c r="B28" i="2"/>
  <c r="AC20" i="2"/>
  <c r="AB20" i="2"/>
  <c r="AA20" i="2"/>
  <c r="AC19" i="2"/>
  <c r="AB19" i="2"/>
  <c r="AA19" i="2"/>
  <c r="AC18" i="2"/>
  <c r="AB18" i="2"/>
  <c r="AA18" i="2"/>
  <c r="AD17" i="2"/>
  <c r="C17" i="2" a="1"/>
  <c r="W17" i="2" s="1"/>
  <c r="B16" i="2"/>
  <c r="AC13" i="2"/>
  <c r="AB13" i="2"/>
  <c r="AA13" i="2"/>
  <c r="AC12" i="2"/>
  <c r="AB12" i="2"/>
  <c r="AA12" i="2"/>
  <c r="AC11" i="2"/>
  <c r="AB11" i="2"/>
  <c r="AA11" i="2"/>
  <c r="AD10" i="2"/>
  <c r="C10" i="2" a="1"/>
  <c r="Z10" i="2" s="1"/>
  <c r="B9" i="2"/>
  <c r="AC6" i="2"/>
  <c r="AB6" i="2"/>
  <c r="AA6" i="2"/>
  <c r="AC5" i="2"/>
  <c r="AB5" i="2"/>
  <c r="AA5" i="2"/>
  <c r="AC4" i="2"/>
  <c r="AB4" i="2"/>
  <c r="AA4" i="2"/>
  <c r="AD3" i="2"/>
  <c r="C3" i="2" a="1"/>
  <c r="Z3" i="2" s="1"/>
  <c r="B2" i="2"/>
  <c r="B1" i="2"/>
  <c r="B16" i="1"/>
  <c r="B9" i="1"/>
  <c r="B2" i="1"/>
  <c r="Y3" i="2" l="1"/>
  <c r="D3" i="2"/>
  <c r="O3" i="2"/>
  <c r="H3" i="2"/>
  <c r="M17" i="2"/>
  <c r="S3" i="2"/>
  <c r="C3" i="2"/>
  <c r="M3" i="2"/>
  <c r="X3" i="2"/>
  <c r="X10" i="2"/>
  <c r="H10" i="2"/>
  <c r="I3" i="2"/>
  <c r="T3" i="2"/>
  <c r="P10" i="2"/>
  <c r="A32" i="3"/>
  <c r="AD31" i="3"/>
  <c r="I10" i="2"/>
  <c r="Q10" i="2"/>
  <c r="Y10" i="2"/>
  <c r="AC14" i="2"/>
  <c r="AA21" i="2"/>
  <c r="E3" i="2"/>
  <c r="K3" i="2"/>
  <c r="P3" i="2"/>
  <c r="U3" i="2"/>
  <c r="D10" i="2"/>
  <c r="L10" i="2"/>
  <c r="T10" i="2"/>
  <c r="E17" i="2"/>
  <c r="U17" i="2"/>
  <c r="A30" i="2"/>
  <c r="G3" i="2"/>
  <c r="L3" i="2"/>
  <c r="Q3" i="2"/>
  <c r="W3" i="2"/>
  <c r="E10" i="2"/>
  <c r="M10" i="2"/>
  <c r="U10" i="2"/>
  <c r="I17" i="2"/>
  <c r="Y17" i="2"/>
  <c r="A29" i="2"/>
  <c r="P52" i="2"/>
  <c r="Q17" i="2"/>
  <c r="AD38" i="3"/>
  <c r="AD51" i="3"/>
  <c r="AD36" i="3"/>
  <c r="AD47" i="3"/>
  <c r="AD41" i="3"/>
  <c r="AD50" i="3"/>
  <c r="AD46" i="3"/>
  <c r="AD42" i="3"/>
  <c r="AD32" i="3"/>
  <c r="AD34" i="3"/>
  <c r="AD33" i="3"/>
  <c r="AD40" i="3"/>
  <c r="AD30" i="3"/>
  <c r="AD53" i="3"/>
  <c r="AD49" i="3"/>
  <c r="AD45" i="3"/>
  <c r="AD37" i="3"/>
  <c r="AD39" i="3"/>
  <c r="AD43" i="3"/>
  <c r="A42" i="3"/>
  <c r="A41" i="3"/>
  <c r="A39" i="3"/>
  <c r="A38" i="3"/>
  <c r="A31" i="3"/>
  <c r="A52" i="3"/>
  <c r="A51" i="3"/>
  <c r="A50" i="3"/>
  <c r="A49" i="3"/>
  <c r="A48" i="3"/>
  <c r="A47" i="3"/>
  <c r="A46" i="3"/>
  <c r="A45" i="3"/>
  <c r="A44" i="3"/>
  <c r="A43" i="3"/>
  <c r="A37" i="3"/>
  <c r="A36" i="3"/>
  <c r="A35" i="3"/>
  <c r="A34" i="3"/>
  <c r="A33" i="3"/>
  <c r="A30" i="3"/>
  <c r="AD52" i="3"/>
  <c r="A40" i="3"/>
  <c r="A53" i="3"/>
  <c r="AD48" i="3"/>
  <c r="AD44" i="3"/>
  <c r="AD35" i="3"/>
  <c r="AA7" i="2"/>
  <c r="AB7" i="2"/>
  <c r="AC7" i="2"/>
  <c r="AB21" i="2"/>
  <c r="AC21" i="2"/>
  <c r="AA14" i="2"/>
  <c r="AB14" i="2"/>
  <c r="J17" i="2"/>
  <c r="R17" i="2"/>
  <c r="F3" i="2"/>
  <c r="J3" i="2"/>
  <c r="N3" i="2"/>
  <c r="R3" i="2"/>
  <c r="V3" i="2"/>
  <c r="C10" i="2"/>
  <c r="G10" i="2"/>
  <c r="K10" i="2"/>
  <c r="O10" i="2"/>
  <c r="S10" i="2"/>
  <c r="W10" i="2"/>
  <c r="D17" i="2"/>
  <c r="H17" i="2"/>
  <c r="L17" i="2"/>
  <c r="P17" i="2"/>
  <c r="T17" i="2"/>
  <c r="X17" i="2"/>
  <c r="P39" i="2"/>
  <c r="T65" i="2"/>
  <c r="A31" i="2"/>
  <c r="F17" i="2"/>
  <c r="Z17" i="2"/>
  <c r="AD41" i="2"/>
  <c r="T52" i="2"/>
  <c r="AD52" i="2" s="1"/>
  <c r="AD36" i="2"/>
  <c r="AD42" i="2"/>
  <c r="AD44" i="2"/>
  <c r="N17" i="2"/>
  <c r="V17" i="2"/>
  <c r="F10" i="2"/>
  <c r="J10" i="2"/>
  <c r="N10" i="2"/>
  <c r="R10" i="2"/>
  <c r="V10" i="2"/>
  <c r="C17" i="2"/>
  <c r="G17" i="2"/>
  <c r="K17" i="2"/>
  <c r="O17" i="2"/>
  <c r="S17" i="2"/>
  <c r="AD31" i="2"/>
  <c r="D28" i="1"/>
  <c r="AB41" i="3"/>
  <c r="AB53" i="3"/>
  <c r="AB35" i="3"/>
  <c r="AB40" i="3"/>
  <c r="AB30" i="3"/>
  <c r="AB45" i="3"/>
  <c r="AB50" i="3"/>
  <c r="AB38" i="3"/>
  <c r="AB49" i="3"/>
  <c r="AB31" i="3"/>
  <c r="AB36" i="3"/>
  <c r="AB52" i="3"/>
  <c r="AB34" i="3"/>
  <c r="AB48" i="3"/>
  <c r="AB37" i="3"/>
  <c r="AB42" i="3"/>
  <c r="AB43" i="3"/>
  <c r="AB51" i="3"/>
  <c r="AB30" i="2"/>
  <c r="AB44" i="3"/>
  <c r="AB39" i="3"/>
  <c r="AB33" i="3"/>
  <c r="AB32" i="3"/>
  <c r="AB31" i="2"/>
  <c r="AB47" i="3"/>
  <c r="AB46" i="3"/>
  <c r="A53" i="2" l="1"/>
  <c r="A32" i="2"/>
  <c r="A38" i="2"/>
  <c r="A52" i="2"/>
  <c r="A34" i="2"/>
  <c r="A40" i="2"/>
  <c r="A42" i="2"/>
  <c r="AD54" i="3"/>
  <c r="AD40" i="2"/>
  <c r="AD30" i="2"/>
  <c r="AD45" i="2"/>
  <c r="AD50" i="2"/>
  <c r="AD43" i="2"/>
  <c r="AD35" i="2"/>
  <c r="A44" i="2"/>
  <c r="A45" i="2"/>
  <c r="A50" i="2"/>
  <c r="A51" i="2"/>
  <c r="AD34" i="2"/>
  <c r="AD53" i="2"/>
  <c r="AD49" i="2"/>
  <c r="A41" i="2"/>
  <c r="AD33" i="2"/>
  <c r="A35" i="2"/>
  <c r="A36" i="2"/>
  <c r="A46" i="2"/>
  <c r="A47" i="2"/>
  <c r="AD38" i="2"/>
  <c r="AD48" i="2"/>
  <c r="AD39" i="2"/>
  <c r="A39" i="2"/>
  <c r="A37" i="2"/>
  <c r="A43" i="2"/>
  <c r="AD46" i="2"/>
  <c r="AD51" i="2"/>
  <c r="AD47" i="2"/>
  <c r="AD32" i="2"/>
  <c r="AD37" i="2"/>
  <c r="A48" i="2"/>
  <c r="A49" i="2"/>
  <c r="A33" i="2"/>
  <c r="V65" i="1"/>
  <c r="R65" i="1"/>
  <c r="R52" i="1"/>
  <c r="V52" i="1"/>
  <c r="R39" i="1"/>
  <c r="V39" i="1"/>
  <c r="AB41" i="2"/>
  <c r="AB52" i="2"/>
  <c r="AB40" i="2"/>
  <c r="AB32" i="2"/>
  <c r="AB36" i="2"/>
  <c r="AB45" i="2"/>
  <c r="AB37" i="2"/>
  <c r="AB46" i="2"/>
  <c r="AB50" i="2"/>
  <c r="AB34" i="2"/>
  <c r="AB53" i="2"/>
  <c r="AB44" i="2"/>
  <c r="AB42" i="2"/>
  <c r="AB35" i="2"/>
  <c r="AB39" i="2"/>
  <c r="AB43" i="2"/>
  <c r="AB49" i="2"/>
  <c r="AB33" i="2"/>
  <c r="AB51" i="2"/>
  <c r="AB38" i="2"/>
  <c r="AB48" i="2"/>
  <c r="AB47" i="2"/>
  <c r="AD54" i="2" l="1"/>
  <c r="E54" i="1" l="1"/>
  <c r="B28" i="1" l="1"/>
  <c r="B1" i="1" l="1"/>
  <c r="I31" i="1" l="1"/>
  <c r="I32" i="1"/>
  <c r="I30" i="1"/>
  <c r="AD3" i="1"/>
  <c r="A29" i="1" s="1"/>
  <c r="AD10" i="1"/>
  <c r="AD17" i="1"/>
  <c r="AC20" i="1" l="1"/>
  <c r="AC19" i="1"/>
  <c r="AC18" i="1"/>
  <c r="AC13" i="1"/>
  <c r="AC12" i="1"/>
  <c r="AC11" i="1"/>
  <c r="AC6" i="1"/>
  <c r="AC5" i="1"/>
  <c r="AC4" i="1"/>
  <c r="Q65" i="1"/>
  <c r="P65" i="1" s="1"/>
  <c r="P54" i="1"/>
  <c r="U65" i="1"/>
  <c r="T65" i="1" s="1"/>
  <c r="U52" i="1"/>
  <c r="T52" i="1" s="1"/>
  <c r="U39" i="1"/>
  <c r="T39" i="1" s="1"/>
  <c r="Q52" i="1"/>
  <c r="P52" i="1" s="1"/>
  <c r="T64" i="1"/>
  <c r="T63" i="1"/>
  <c r="T62" i="1"/>
  <c r="T61" i="1"/>
  <c r="T60" i="1"/>
  <c r="T59" i="1"/>
  <c r="T58" i="1"/>
  <c r="T57" i="1"/>
  <c r="T56" i="1"/>
  <c r="T31" i="1"/>
  <c r="T32" i="1"/>
  <c r="T33" i="1"/>
  <c r="T34" i="1"/>
  <c r="T35" i="1"/>
  <c r="T36" i="1"/>
  <c r="T37" i="1"/>
  <c r="T38" i="1"/>
  <c r="Q39" i="1" l="1"/>
  <c r="P39" i="1" s="1"/>
  <c r="T51" i="1"/>
  <c r="T50" i="1"/>
  <c r="T49" i="1"/>
  <c r="T48" i="1"/>
  <c r="T47" i="1"/>
  <c r="T46" i="1"/>
  <c r="T45" i="1"/>
  <c r="T44" i="1"/>
  <c r="T43" i="1"/>
  <c r="T30" i="1"/>
  <c r="AB19" i="1"/>
  <c r="AB20" i="1"/>
  <c r="AB18" i="1"/>
  <c r="AA19" i="1"/>
  <c r="AA20" i="1"/>
  <c r="AA18" i="1"/>
  <c r="C53" i="1"/>
  <c r="C52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30" i="1"/>
  <c r="AB5" i="1"/>
  <c r="AB6" i="1"/>
  <c r="AB4" i="1"/>
  <c r="AA5" i="1"/>
  <c r="AA6" i="1"/>
  <c r="AA4" i="1"/>
  <c r="C17" i="1" a="1"/>
  <c r="Y17" i="1" s="1"/>
  <c r="C10" i="1" a="1"/>
  <c r="Z10" i="1" s="1"/>
  <c r="C3" i="1" a="1"/>
  <c r="C3" i="1" s="1"/>
  <c r="B49" i="1" l="1"/>
  <c r="B53" i="1"/>
  <c r="B51" i="1"/>
  <c r="B47" i="1"/>
  <c r="B43" i="1"/>
  <c r="B39" i="1"/>
  <c r="B35" i="1"/>
  <c r="B31" i="1"/>
  <c r="AD31" i="1"/>
  <c r="AD35" i="1"/>
  <c r="AD39" i="1"/>
  <c r="AD43" i="1"/>
  <c r="AD47" i="1"/>
  <c r="AD51" i="1"/>
  <c r="AD42" i="1"/>
  <c r="AD30" i="1"/>
  <c r="AD32" i="1"/>
  <c r="AD36" i="1"/>
  <c r="AD40" i="1"/>
  <c r="AD44" i="1"/>
  <c r="AD48" i="1"/>
  <c r="AD52" i="1"/>
  <c r="AD33" i="1"/>
  <c r="AD37" i="1"/>
  <c r="AD41" i="1"/>
  <c r="AD45" i="1"/>
  <c r="AD49" i="1"/>
  <c r="AD53" i="1"/>
  <c r="AD34" i="1"/>
  <c r="AD38" i="1"/>
  <c r="AD46" i="1"/>
  <c r="AD50" i="1"/>
  <c r="A30" i="1"/>
  <c r="B30" i="1"/>
  <c r="B50" i="1"/>
  <c r="B46" i="1"/>
  <c r="B42" i="1"/>
  <c r="B38" i="1"/>
  <c r="B34" i="1"/>
  <c r="B45" i="1"/>
  <c r="B41" i="1"/>
  <c r="B37" i="1"/>
  <c r="B33" i="1"/>
  <c r="B52" i="1"/>
  <c r="B48" i="1"/>
  <c r="B44" i="1"/>
  <c r="B40" i="1"/>
  <c r="B36" i="1"/>
  <c r="B32" i="1"/>
  <c r="J17" i="1"/>
  <c r="R17" i="1"/>
  <c r="Z17" i="1"/>
  <c r="C17" i="1"/>
  <c r="K17" i="1"/>
  <c r="S17" i="1"/>
  <c r="D17" i="1"/>
  <c r="H17" i="1"/>
  <c r="L17" i="1"/>
  <c r="P17" i="1"/>
  <c r="T17" i="1"/>
  <c r="X17" i="1"/>
  <c r="F17" i="1"/>
  <c r="N17" i="1"/>
  <c r="V17" i="1"/>
  <c r="G17" i="1"/>
  <c r="O17" i="1"/>
  <c r="W17" i="1"/>
  <c r="E17" i="1"/>
  <c r="I17" i="1"/>
  <c r="M17" i="1"/>
  <c r="Q17" i="1"/>
  <c r="U17" i="1"/>
  <c r="C10" i="1"/>
  <c r="G10" i="1"/>
  <c r="K10" i="1"/>
  <c r="O10" i="1"/>
  <c r="S10" i="1"/>
  <c r="W10" i="1"/>
  <c r="D10" i="1"/>
  <c r="H10" i="1"/>
  <c r="L10" i="1"/>
  <c r="P10" i="1"/>
  <c r="T10" i="1"/>
  <c r="X10" i="1"/>
  <c r="E10" i="1"/>
  <c r="I10" i="1"/>
  <c r="M10" i="1"/>
  <c r="Q10" i="1"/>
  <c r="U10" i="1"/>
  <c r="Y10" i="1"/>
  <c r="F10" i="1"/>
  <c r="J10" i="1"/>
  <c r="N10" i="1"/>
  <c r="R10" i="1"/>
  <c r="V10" i="1"/>
  <c r="Z3" i="1"/>
  <c r="V3" i="1"/>
  <c r="R3" i="1"/>
  <c r="N3" i="1"/>
  <c r="J3" i="1"/>
  <c r="F3" i="1"/>
  <c r="Y3" i="1"/>
  <c r="U3" i="1"/>
  <c r="Q3" i="1"/>
  <c r="M3" i="1"/>
  <c r="I3" i="1"/>
  <c r="E3" i="1"/>
  <c r="X3" i="1"/>
  <c r="T3" i="1"/>
  <c r="P3" i="1"/>
  <c r="L3" i="1"/>
  <c r="H3" i="1"/>
  <c r="D3" i="1"/>
  <c r="A31" i="1" s="1"/>
  <c r="W3" i="1"/>
  <c r="S3" i="1"/>
  <c r="O3" i="1"/>
  <c r="K3" i="1"/>
  <c r="G3" i="1"/>
  <c r="P41" i="1"/>
  <c r="AB13" i="1"/>
  <c r="AA13" i="1"/>
  <c r="AB12" i="1"/>
  <c r="AA12" i="1"/>
  <c r="AB11" i="1"/>
  <c r="AA11" i="1"/>
  <c r="P28" i="1"/>
  <c r="G58" i="1"/>
  <c r="G59" i="1"/>
  <c r="G57" i="1"/>
  <c r="AC7" i="1"/>
  <c r="AB7" i="1"/>
  <c r="AA7" i="1"/>
  <c r="AB31" i="1"/>
  <c r="AB30" i="1"/>
  <c r="D54" i="1" l="1"/>
  <c r="AA14" i="1"/>
  <c r="AC14" i="1" l="1"/>
  <c r="A53" i="1"/>
  <c r="A50" i="1"/>
  <c r="A47" i="1"/>
  <c r="A45" i="1"/>
  <c r="AB14" i="1"/>
  <c r="A35" i="1"/>
  <c r="A40" i="1"/>
  <c r="A33" i="1"/>
  <c r="A49" i="1"/>
  <c r="A42" i="1"/>
  <c r="A36" i="1"/>
  <c r="A38" i="1"/>
  <c r="A39" i="1"/>
  <c r="A44" i="1"/>
  <c r="A37" i="1"/>
  <c r="A52" i="1"/>
  <c r="A46" i="1"/>
  <c r="A51" i="1"/>
  <c r="A43" i="1"/>
  <c r="A32" i="1"/>
  <c r="A48" i="1"/>
  <c r="A41" i="1"/>
  <c r="A34" i="1"/>
  <c r="AB21" i="1"/>
  <c r="AA21" i="1"/>
  <c r="AC21" i="1"/>
  <c r="AB48" i="1"/>
  <c r="AB46" i="1"/>
  <c r="AB51" i="1"/>
  <c r="AB32" i="1"/>
  <c r="AB33" i="1"/>
  <c r="AB43" i="1"/>
  <c r="AB49" i="1"/>
  <c r="AB40" i="1"/>
  <c r="AB45" i="1"/>
  <c r="AB36" i="1"/>
  <c r="AB37" i="1"/>
  <c r="AB50" i="1"/>
  <c r="AB41" i="1"/>
  <c r="AB44" i="1"/>
  <c r="AB39" i="1"/>
  <c r="AB38" i="1"/>
  <c r="AB52" i="1"/>
  <c r="AB47" i="1"/>
  <c r="AB42" i="1"/>
  <c r="AB53" i="1"/>
  <c r="AB34" i="1"/>
  <c r="AB35" i="1"/>
  <c r="AE52" i="1" l="1"/>
  <c r="AE48" i="1"/>
  <c r="AE44" i="1"/>
  <c r="AE51" i="1"/>
  <c r="AE47" i="1"/>
  <c r="AE50" i="1"/>
  <c r="AE46" i="1"/>
  <c r="AE49" i="1"/>
  <c r="AE45" i="1"/>
  <c r="AE31" i="1"/>
  <c r="AE39" i="1"/>
  <c r="AE32" i="1"/>
  <c r="AE40" i="1"/>
  <c r="AE33" i="1"/>
  <c r="AE41" i="1"/>
  <c r="AE34" i="1"/>
  <c r="AE42" i="1"/>
  <c r="AE35" i="1"/>
  <c r="AE43" i="1"/>
  <c r="AE36" i="1"/>
  <c r="AE37" i="1"/>
  <c r="AE38" i="1"/>
  <c r="AE50" i="2"/>
  <c r="AE37" i="2"/>
  <c r="AE38" i="2"/>
  <c r="AE52" i="2"/>
  <c r="AE44" i="2"/>
  <c r="AE39" i="2"/>
  <c r="AE41" i="2"/>
  <c r="AE45" i="2"/>
  <c r="AE33" i="2"/>
  <c r="AE35" i="2"/>
  <c r="AE51" i="2"/>
  <c r="AE48" i="2"/>
  <c r="AE46" i="2"/>
  <c r="AE43" i="2"/>
  <c r="AE47" i="2"/>
  <c r="AE31" i="2"/>
  <c r="AE36" i="2"/>
  <c r="AE49" i="2"/>
  <c r="AE42" i="2"/>
  <c r="AE32" i="2"/>
  <c r="AE40" i="2"/>
  <c r="AE34" i="2"/>
  <c r="AD54" i="1" l="1"/>
  <c r="AE53" i="1"/>
  <c r="AE30" i="1"/>
  <c r="AE45" i="3"/>
  <c r="AE38" i="3"/>
  <c r="AE39" i="3"/>
  <c r="AE41" i="3"/>
  <c r="AE36" i="3"/>
  <c r="AE30" i="2"/>
  <c r="AE45" i="4"/>
  <c r="AE37" i="3"/>
  <c r="AE51" i="3"/>
  <c r="AE35" i="3"/>
  <c r="AE47" i="3"/>
  <c r="AE31" i="3"/>
  <c r="AE38" i="4"/>
  <c r="AE48" i="3"/>
  <c r="AE52" i="3"/>
  <c r="AE52" i="4" s="1"/>
  <c r="AE42" i="3"/>
  <c r="AE40" i="3"/>
  <c r="AE34" i="3"/>
  <c r="AE37" i="4"/>
  <c r="AE49" i="3"/>
  <c r="AE41" i="4"/>
  <c r="AE43" i="3"/>
  <c r="AE43" i="4" s="1"/>
  <c r="AE44" i="3"/>
  <c r="AE44" i="4" s="1"/>
  <c r="AE53" i="2"/>
  <c r="AE33" i="3"/>
  <c r="AE50" i="3"/>
  <c r="AE32" i="3"/>
  <c r="AE51" i="4"/>
  <c r="AE46" i="3"/>
  <c r="AE34" i="4"/>
  <c r="AE54" i="2" l="1"/>
  <c r="AF53" i="2" s="1"/>
  <c r="AE54" i="1"/>
  <c r="AF30" i="1" s="1"/>
  <c r="AE32" i="4"/>
  <c r="AE48" i="4"/>
  <c r="AE44" i="5"/>
  <c r="AE47" i="4"/>
  <c r="AE37" i="5"/>
  <c r="AE35" i="4"/>
  <c r="AE50" i="4"/>
  <c r="AE31" i="4"/>
  <c r="AE31" i="5" s="1"/>
  <c r="AE33" i="4"/>
  <c r="AE30" i="3"/>
  <c r="AE30" i="4" s="1"/>
  <c r="AE48" i="5"/>
  <c r="AE42" i="4"/>
  <c r="AE46" i="4"/>
  <c r="AE41" i="5"/>
  <c r="AE49" i="4"/>
  <c r="AE36" i="4"/>
  <c r="AE36" i="5" s="1"/>
  <c r="AE39" i="4"/>
  <c r="AE39" i="5" s="1"/>
  <c r="AE34" i="5"/>
  <c r="AE50" i="5"/>
  <c r="AE49" i="5"/>
  <c r="AE52" i="5"/>
  <c r="AE42" i="5"/>
  <c r="AE45" i="5"/>
  <c r="AE40" i="4"/>
  <c r="AE40" i="5" s="1"/>
  <c r="AE32" i="5"/>
  <c r="AE33" i="5"/>
  <c r="AE51" i="5"/>
  <c r="AE43" i="5"/>
  <c r="AE38" i="5"/>
  <c r="AE53" i="3"/>
  <c r="AE46" i="5"/>
  <c r="AE54" i="3" l="1"/>
  <c r="AF48" i="3" s="1"/>
  <c r="AG32" i="2"/>
  <c r="AG53" i="2"/>
  <c r="AF30" i="2"/>
  <c r="AF34" i="2"/>
  <c r="AF43" i="2"/>
  <c r="AF44" i="2"/>
  <c r="AF33" i="2"/>
  <c r="AF40" i="2"/>
  <c r="AF42" i="2"/>
  <c r="AF52" i="2"/>
  <c r="AF32" i="2"/>
  <c r="AF41" i="2"/>
  <c r="AF31" i="2"/>
  <c r="AF38" i="2"/>
  <c r="AF50" i="2"/>
  <c r="AF45" i="2"/>
  <c r="AF49" i="2"/>
  <c r="AF39" i="2"/>
  <c r="AF48" i="2"/>
  <c r="AF35" i="2"/>
  <c r="AF37" i="2"/>
  <c r="AF47" i="2"/>
  <c r="AF51" i="2"/>
  <c r="AF46" i="2"/>
  <c r="AF36" i="2"/>
  <c r="AG37" i="2"/>
  <c r="AG53" i="1"/>
  <c r="AG37" i="1"/>
  <c r="AG32" i="1"/>
  <c r="AF36" i="1"/>
  <c r="AF51" i="1"/>
  <c r="AF46" i="1"/>
  <c r="AF33" i="1"/>
  <c r="AF37" i="1"/>
  <c r="AF47" i="1"/>
  <c r="AF34" i="1"/>
  <c r="AF43" i="1"/>
  <c r="AF44" i="1"/>
  <c r="AF31" i="1"/>
  <c r="AF42" i="1"/>
  <c r="AF52" i="1"/>
  <c r="AF32" i="1"/>
  <c r="AF41" i="1"/>
  <c r="AF38" i="1"/>
  <c r="AF50" i="1"/>
  <c r="AF40" i="1"/>
  <c r="AF49" i="1"/>
  <c r="AF39" i="1"/>
  <c r="AF35" i="1"/>
  <c r="AF48" i="1"/>
  <c r="AF45" i="1"/>
  <c r="AF53" i="1"/>
  <c r="AE53" i="4"/>
  <c r="AE53" i="5"/>
  <c r="AE47" i="5"/>
  <c r="AE30" i="5"/>
  <c r="AE35" i="5"/>
  <c r="AE54" i="4" l="1"/>
  <c r="AF30" i="4" s="1"/>
  <c r="AE54" i="5"/>
  <c r="AF30" i="5" s="1"/>
  <c r="AG53" i="3"/>
  <c r="AF31" i="3"/>
  <c r="AF34" i="3"/>
  <c r="AF42" i="3"/>
  <c r="AF32" i="3"/>
  <c r="AF51" i="3"/>
  <c r="AF47" i="3"/>
  <c r="AF40" i="3"/>
  <c r="AF49" i="3"/>
  <c r="AG37" i="3"/>
  <c r="AF46" i="3"/>
  <c r="AF52" i="3"/>
  <c r="AF45" i="3"/>
  <c r="AF33" i="3"/>
  <c r="AF35" i="3"/>
  <c r="AF37" i="3"/>
  <c r="AF44" i="3"/>
  <c r="AF50" i="3"/>
  <c r="AF30" i="3"/>
  <c r="AF36" i="3"/>
  <c r="AF41" i="3"/>
  <c r="AF43" i="3"/>
  <c r="AF38" i="3"/>
  <c r="AF39" i="3"/>
  <c r="AF53" i="3"/>
  <c r="AG32" i="3"/>
  <c r="AF52" i="4" l="1"/>
  <c r="AF37" i="4"/>
  <c r="AF41" i="4"/>
  <c r="AG32" i="4"/>
  <c r="AF44" i="4"/>
  <c r="AF34" i="4"/>
  <c r="AF51" i="4"/>
  <c r="AF31" i="4"/>
  <c r="AF45" i="4"/>
  <c r="AF49" i="4"/>
  <c r="AF35" i="4"/>
  <c r="AF39" i="4"/>
  <c r="AF47" i="4"/>
  <c r="AF53" i="4"/>
  <c r="AF43" i="4"/>
  <c r="AF36" i="4"/>
  <c r="AF33" i="4"/>
  <c r="AF42" i="4"/>
  <c r="AG37" i="4"/>
  <c r="AF32" i="4"/>
  <c r="AF46" i="4"/>
  <c r="AF50" i="4"/>
  <c r="AF48" i="4"/>
  <c r="AG53" i="4"/>
  <c r="AF38" i="4"/>
  <c r="AF40" i="4"/>
  <c r="AF52" i="5"/>
  <c r="AF34" i="5"/>
  <c r="AF50" i="5"/>
  <c r="AF51" i="5"/>
  <c r="AF43" i="5"/>
  <c r="AF33" i="5"/>
  <c r="AF41" i="5"/>
  <c r="AF49" i="5"/>
  <c r="AF32" i="5"/>
  <c r="AF38" i="5"/>
  <c r="AF40" i="5"/>
  <c r="AG37" i="5"/>
  <c r="AF47" i="5"/>
  <c r="AF48" i="5"/>
  <c r="AF39" i="5"/>
  <c r="AF37" i="5"/>
  <c r="AF35" i="5"/>
  <c r="AG53" i="5"/>
  <c r="AF31" i="5"/>
  <c r="AF46" i="5"/>
  <c r="AF45" i="5"/>
  <c r="AF44" i="5"/>
  <c r="AF36" i="5"/>
  <c r="AF42" i="5"/>
  <c r="AG32" i="5"/>
  <c r="AF5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28" authorId="0" guid="{B3E962A3-CBDC-48C2-8BB4-4593E70DD82E}" shapeId="0" xr:uid="{D0A38B99-C5B1-48BB-BEDE-657D4A1AEF7F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Allocate T+2 amount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28" authorId="0" guid="{24BE1D1A-5872-48F0-BF0E-D2A1B7BB942B}" shapeId="0" xr:uid="{FF41C6A4-03F5-4FE5-832B-1254BD2B4123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Allocate T+2 amount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28" authorId="0" guid="{8572B96F-B275-4CFE-8D56-1B2AFBBDB003}" shapeId="0" xr:uid="{62FD8D28-4F75-41D6-9CAE-875F6D281A56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Allocate T+2 amount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28" authorId="0" guid="{BB2EDF2C-67F3-4679-B87E-03CE9D9C810D}" shapeId="0" xr:uid="{5F4CAFE4-03E2-4579-BBCE-B000CCE60AAE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Allocate T+2 amount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28" authorId="0" guid="{9CDB8B82-109C-493C-9D98-F66EAA6C75DF}" shapeId="0" xr:uid="{F6BD2D99-7789-4871-9A80-0457CCF815D8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Allocate T+2 amount</t>
        </r>
      </text>
    </comment>
  </commentList>
</comments>
</file>

<file path=xl/sharedStrings.xml><?xml version="1.0" encoding="utf-8"?>
<sst xmlns="http://schemas.openxmlformats.org/spreadsheetml/2006/main" count="662" uniqueCount="127">
  <si>
    <t>Bank</t>
  </si>
  <si>
    <t>Slot1</t>
  </si>
  <si>
    <t>Slot2</t>
  </si>
  <si>
    <t>Slot3</t>
  </si>
  <si>
    <t>Tier</t>
  </si>
  <si>
    <t>Min</t>
  </si>
  <si>
    <t>Max</t>
  </si>
  <si>
    <t>Average</t>
  </si>
  <si>
    <t>SCB</t>
  </si>
  <si>
    <t>TMB</t>
  </si>
  <si>
    <t>BBL</t>
  </si>
  <si>
    <t>KBANK</t>
  </si>
  <si>
    <t>BNP</t>
  </si>
  <si>
    <t>KTB</t>
  </si>
  <si>
    <t>GSB</t>
  </si>
  <si>
    <t>HSBC</t>
  </si>
  <si>
    <t>Rank</t>
  </si>
  <si>
    <t>Amount</t>
  </si>
  <si>
    <t>Auction Result</t>
  </si>
  <si>
    <t>Auction Amt.</t>
  </si>
  <si>
    <t>Input Auction</t>
  </si>
  <si>
    <t>T+2</t>
  </si>
  <si>
    <t>T+3</t>
  </si>
  <si>
    <t>Yied(%)</t>
  </si>
  <si>
    <t>Bonds</t>
  </si>
  <si>
    <t>Available</t>
  </si>
  <si>
    <t>Institution tier limit</t>
  </si>
  <si>
    <t>Tier 1</t>
  </si>
  <si>
    <t>Tier 2</t>
  </si>
  <si>
    <t>Tier 3</t>
  </si>
  <si>
    <t>% Limit</t>
  </si>
  <si>
    <t>CIMBT</t>
  </si>
  <si>
    <t>BAY</t>
  </si>
  <si>
    <t>TBANK</t>
  </si>
  <si>
    <t>TISCOBANK</t>
  </si>
  <si>
    <t>SCBT</t>
  </si>
  <si>
    <t>CITIBANK</t>
  </si>
  <si>
    <t>KKP</t>
  </si>
  <si>
    <t>UOBT</t>
  </si>
  <si>
    <t>KGI</t>
  </si>
  <si>
    <t>BAML</t>
  </si>
  <si>
    <t>JP_MORGAN</t>
  </si>
  <si>
    <t>ANZT</t>
  </si>
  <si>
    <t>CNS</t>
  </si>
  <si>
    <t>PHATRA</t>
  </si>
  <si>
    <t>MBKET</t>
  </si>
  <si>
    <t>% Portion</t>
  </si>
  <si>
    <t>BET(T+2)</t>
  </si>
  <si>
    <t>BET(T+3)</t>
  </si>
  <si>
    <t>Instiitution tier and Condition Table</t>
  </si>
  <si>
    <t>Last Exec.Yield %</t>
  </si>
  <si>
    <t>Model Yield(%)</t>
  </si>
  <si>
    <t>Convexity</t>
  </si>
  <si>
    <t>Note</t>
  </si>
  <si>
    <t>Impiled Yield</t>
  </si>
  <si>
    <t>Cumulative</t>
  </si>
  <si>
    <t>LastTradeDate</t>
  </si>
  <si>
    <t>Mod. Duration</t>
  </si>
  <si>
    <t>Remaining -&gt;</t>
  </si>
  <si>
    <t>Miss Target -&gt;</t>
  </si>
  <si>
    <t>Mkt. Yield(%)</t>
  </si>
  <si>
    <t>Indicative</t>
  </si>
  <si>
    <t>Rec. Yield(%)</t>
  </si>
  <si>
    <t>Rec. Amt.</t>
  </si>
  <si>
    <t>Amt.</t>
  </si>
  <si>
    <t>ThaiBMA Auction Result</t>
  </si>
  <si>
    <t>Result</t>
  </si>
  <si>
    <t>2Oct</t>
  </si>
  <si>
    <t>DEUTSCHE_BAN</t>
  </si>
  <si>
    <t>Auction Size</t>
  </si>
  <si>
    <t>SCBAM Amount</t>
  </si>
  <si>
    <t>Total Size</t>
  </si>
  <si>
    <t>CB18O24A</t>
  </si>
  <si>
    <t>CB19103B</t>
  </si>
  <si>
    <t>CB19404A</t>
  </si>
  <si>
    <t>150MB T/S=4</t>
  </si>
  <si>
    <t>AT 1.70</t>
  </si>
  <si>
    <t>1.48-1.52</t>
  </si>
  <si>
    <t>1.58-1.65</t>
  </si>
  <si>
    <t>1.40-1.45</t>
  </si>
  <si>
    <t>1.58-1.62</t>
  </si>
  <si>
    <t>1.42-1.48</t>
  </si>
  <si>
    <t>1.55-1.62</t>
  </si>
  <si>
    <t>1.45-1.50</t>
  </si>
  <si>
    <t>1.55-1.60</t>
  </si>
  <si>
    <t>1.47-1.50</t>
  </si>
  <si>
    <t>1.42-1.47</t>
  </si>
  <si>
    <t>1.60-1.62</t>
  </si>
  <si>
    <t>1.12-1.16</t>
  </si>
  <si>
    <t>1.13-1.16</t>
  </si>
  <si>
    <t>CB18O09A</t>
  </si>
  <si>
    <t>CB18O11A</t>
  </si>
  <si>
    <t>CB18O11B</t>
  </si>
  <si>
    <t>CB18O16A</t>
  </si>
  <si>
    <t>CB18O18A</t>
  </si>
  <si>
    <t>CB18O18B</t>
  </si>
  <si>
    <t>CB18O25A</t>
  </si>
  <si>
    <t>CB18O25B</t>
  </si>
  <si>
    <t>1.12-1.15</t>
  </si>
  <si>
    <t>1.11-1.14  avg  1.13424  bcr  1.95x</t>
  </si>
  <si>
    <t>5Oct</t>
  </si>
  <si>
    <t>CB19110B</t>
  </si>
  <si>
    <t>CB19411A</t>
  </si>
  <si>
    <t>CB19124A</t>
  </si>
  <si>
    <t>CB19131A</t>
  </si>
  <si>
    <t>CB19103A</t>
  </si>
  <si>
    <t>CB19110A</t>
  </si>
  <si>
    <t>CB19117A</t>
  </si>
  <si>
    <t>1.47-1.52</t>
  </si>
  <si>
    <t>1.59-1.64</t>
  </si>
  <si>
    <t>1.52-1.55</t>
  </si>
  <si>
    <t>1.62-1.65</t>
  </si>
  <si>
    <t>1.52-1.582/1.5567 1.28X</t>
  </si>
  <si>
    <t>1.63-1.77/1.70029 0.95X</t>
  </si>
  <si>
    <t>9Oct</t>
  </si>
  <si>
    <t>CB18O30A</t>
  </si>
  <si>
    <t>BNP T+3</t>
  </si>
  <si>
    <t>1.18-1.20</t>
  </si>
  <si>
    <t>1.19-1.23</t>
  </si>
  <si>
    <t>1.24-1.29</t>
  </si>
  <si>
    <t>1.24-1.27</t>
  </si>
  <si>
    <t>1.21-1.25</t>
  </si>
  <si>
    <t>1.19-1.21 avg 1.20601 bc 1.91x</t>
  </si>
  <si>
    <t>11Oct</t>
  </si>
  <si>
    <t>CB19117B</t>
  </si>
  <si>
    <t>CB19418A</t>
  </si>
  <si>
    <t>CB19905A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</si>
</sst>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87" formatCode="0.000"/>
    <numFmt numFmtId="188" formatCode="0.0000"/>
    <numFmt numFmtId="189" formatCode="_(* #,##0_);_(* \(#,##0\);_(* &quot;-&quot;??_);_(@_)"/>
  </numFmts>
  <fonts count="18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rgb="FF006100"/>
      <name val="Tahoma"/>
      <family val="2"/>
      <scheme val="minor"/>
    </font>
    <font>
      <sz val="11"/>
      <color rgb="FF3F3F76"/>
      <name val="Tahoma"/>
      <family val="2"/>
      <scheme val="minor"/>
    </font>
    <font>
      <b/>
      <sz val="11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b/>
      <sz val="11"/>
      <color rgb="FF7030A0"/>
      <name val="Tahoma"/>
      <family val="2"/>
      <scheme val="minor"/>
    </font>
    <font>
      <b/>
      <sz val="11"/>
      <color theme="7" tint="-0.249977111117893"/>
      <name val="Tahoma"/>
      <family val="2"/>
      <scheme val="minor"/>
    </font>
    <font>
      <b/>
      <sz val="11"/>
      <color theme="8" tint="-0.499984740745262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color theme="0" tint="-0.499984740745262"/>
      <name val="Tahoma"/>
      <family val="2"/>
      <scheme val="minor"/>
    </font>
    <font>
      <b/>
      <sz val="12"/>
      <color theme="1"/>
      <name val="Tahoma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0" fillId="0" borderId="0"/>
  </cellStyleXfs>
  <cellXfs count="82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4" fillId="0" borderId="0" xfId="0" applyFont="1"/>
    <xf numFmtId="0" fontId="0" fillId="0" borderId="2" xfId="0" applyBorder="1" applyAlignment="1">
      <alignment horizontal="center" vertical="center"/>
    </xf>
    <xf numFmtId="0" fontId="3" fillId="3" borderId="1" xfId="4" applyAlignment="1">
      <alignment horizontal="center"/>
    </xf>
    <xf numFmtId="0" fontId="3" fillId="3" borderId="1" xfId="4"/>
    <xf numFmtId="9" fontId="3" fillId="3" borderId="1" xfId="4" applyNumberFormat="1"/>
    <xf numFmtId="0" fontId="4" fillId="4" borderId="2" xfId="0" applyFont="1" applyFill="1" applyBorder="1" applyAlignment="1">
      <alignment horizontal="center"/>
    </xf>
    <xf numFmtId="0" fontId="3" fillId="3" borderId="4" xfId="4" applyBorder="1" applyAlignment="1">
      <alignment horizontal="center"/>
    </xf>
    <xf numFmtId="0" fontId="3" fillId="3" borderId="2" xfId="4" applyBorder="1" applyAlignment="1">
      <alignment horizontal="center"/>
    </xf>
    <xf numFmtId="0" fontId="3" fillId="3" borderId="1" xfId="4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0" fontId="0" fillId="0" borderId="8" xfId="2" applyNumberFormat="1" applyFont="1" applyBorder="1" applyAlignment="1">
      <alignment horizontal="center"/>
    </xf>
    <xf numFmtId="0" fontId="3" fillId="3" borderId="1" xfId="4" applyAlignment="1">
      <alignment horizontal="left" vertical="center"/>
    </xf>
    <xf numFmtId="187" fontId="0" fillId="0" borderId="0" xfId="0" applyNumberFormat="1" applyAlignment="1">
      <alignment horizontal="center"/>
    </xf>
    <xf numFmtId="187" fontId="2" fillId="2" borderId="2" xfId="3" applyNumberFormat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187" fontId="0" fillId="0" borderId="2" xfId="0" applyNumberFormat="1" applyBorder="1"/>
    <xf numFmtId="0" fontId="3" fillId="3" borderId="2" xfId="4" applyBorder="1"/>
    <xf numFmtId="10" fontId="0" fillId="0" borderId="3" xfId="2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0" fontId="0" fillId="0" borderId="2" xfId="0" applyBorder="1" applyAlignment="1">
      <alignment horizontal="righ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2" xfId="0" applyFont="1" applyBorder="1"/>
    <xf numFmtId="0" fontId="8" fillId="0" borderId="2" xfId="0" applyFont="1" applyBorder="1"/>
    <xf numFmtId="0" fontId="9" fillId="0" borderId="2" xfId="0" applyFont="1" applyBorder="1"/>
    <xf numFmtId="0" fontId="0" fillId="7" borderId="2" xfId="0" applyFont="1" applyFill="1" applyBorder="1" applyAlignment="1">
      <alignment horizontal="center"/>
    </xf>
    <xf numFmtId="0" fontId="10" fillId="0" borderId="0" xfId="5"/>
    <xf numFmtId="0" fontId="4" fillId="0" borderId="0" xfId="0" applyFont="1" applyAlignment="1">
      <alignment horizontal="right"/>
    </xf>
    <xf numFmtId="14" fontId="0" fillId="0" borderId="2" xfId="0" applyNumberFormat="1" applyBorder="1"/>
    <xf numFmtId="188" fontId="0" fillId="0" borderId="2" xfId="0" applyNumberFormat="1" applyBorder="1"/>
    <xf numFmtId="0" fontId="4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6" fillId="8" borderId="1" xfId="4" applyFont="1" applyFill="1"/>
    <xf numFmtId="0" fontId="11" fillId="0" borderId="0" xfId="0" applyFont="1"/>
    <xf numFmtId="15" fontId="0" fillId="0" borderId="0" xfId="0" applyNumberFormat="1"/>
    <xf numFmtId="49" fontId="0" fillId="0" borderId="0" xfId="0" applyNumberFormat="1"/>
    <xf numFmtId="0" fontId="4" fillId="0" borderId="9" xfId="0" applyFont="1" applyBorder="1"/>
    <xf numFmtId="187" fontId="4" fillId="0" borderId="9" xfId="0" applyNumberFormat="1" applyFont="1" applyBorder="1"/>
    <xf numFmtId="0" fontId="6" fillId="8" borderId="2" xfId="4" applyNumberFormat="1" applyFont="1" applyFill="1" applyBorder="1" applyAlignment="1">
      <alignment horizontal="center"/>
    </xf>
    <xf numFmtId="0" fontId="12" fillId="0" borderId="0" xfId="0" applyFont="1"/>
    <xf numFmtId="187" fontId="0" fillId="0" borderId="0" xfId="0" applyNumberFormat="1"/>
    <xf numFmtId="0" fontId="13" fillId="9" borderId="0" xfId="0" applyFont="1" applyFill="1"/>
    <xf numFmtId="43" fontId="4" fillId="0" borderId="9" xfId="1" applyFont="1" applyBorder="1"/>
    <xf numFmtId="189" fontId="6" fillId="8" borderId="1" xfId="1" applyNumberFormat="1" applyFont="1" applyFill="1" applyBorder="1"/>
    <xf numFmtId="0" fontId="0" fillId="0" borderId="0" xfId="0" quotePrefix="1"/>
    <xf numFmtId="14" fontId="14" fillId="0" borderId="10" xfId="0" applyNumberFormat="1" applyFont="1" applyBorder="1" applyAlignment="1"/>
    <xf numFmtId="15" fontId="14" fillId="0" borderId="0" xfId="0" applyNumberFormat="1" applyFont="1" applyAlignment="1">
      <alignment horizontal="center"/>
    </xf>
    <xf numFmtId="188" fontId="4" fillId="0" borderId="9" xfId="0" applyNumberFormat="1" applyFont="1" applyBorder="1"/>
    <xf numFmtId="9" fontId="0" fillId="0" borderId="8" xfId="2" applyNumberFormat="1" applyFont="1" applyBorder="1" applyAlignment="1">
      <alignment horizontal="center"/>
    </xf>
    <xf numFmtId="0" fontId="3" fillId="3" borderId="2" xfId="4" applyBorder="1" applyAlignment="1">
      <alignment horizontal="center"/>
    </xf>
    <xf numFmtId="0" fontId="0" fillId="0" borderId="2" xfId="0" applyBorder="1" applyAlignment="1">
      <alignment horizontal="center"/>
    </xf>
    <xf numFmtId="43" fontId="7" fillId="0" borderId="2" xfId="1" applyFont="1" applyBorder="1"/>
    <xf numFmtId="0" fontId="3" fillId="3" borderId="2" xfId="4" applyBorder="1" applyAlignment="1">
      <alignment horizontal="center"/>
    </xf>
    <xf numFmtId="189" fontId="4" fillId="0" borderId="9" xfId="1" applyNumberFormat="1" applyFont="1" applyBorder="1"/>
    <xf numFmtId="187" fontId="3" fillId="3" borderId="2" xfId="4" applyNumberForma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0" borderId="12" xfId="0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3" fillId="3" borderId="2" xfId="4" applyBorder="1" applyAlignment="1">
      <alignment horizontal="center"/>
    </xf>
    <xf numFmtId="0" fontId="0" fillId="10" borderId="5" xfId="0" applyFill="1" applyBorder="1" applyAlignment="1">
      <alignment horizontal="left"/>
    </xf>
    <xf numFmtId="189" fontId="6" fillId="8" borderId="1" xfId="4" applyNumberFormat="1" applyFont="1" applyFill="1"/>
    <xf numFmtId="0" fontId="3" fillId="3" borderId="5" xfId="4" applyBorder="1" applyAlignment="1">
      <alignment horizontal="center"/>
    </xf>
    <xf numFmtId="0" fontId="3" fillId="3" borderId="6" xfId="4" applyBorder="1" applyAlignment="1">
      <alignment horizontal="center"/>
    </xf>
    <xf numFmtId="0" fontId="3" fillId="3" borderId="7" xfId="4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3" fillId="3" borderId="2" xfId="4" applyBorder="1" applyAlignment="1">
      <alignment horizontal="center"/>
    </xf>
  </cellXfs>
  <cellStyles count="6">
    <cellStyle name="Comma" xfId="1" builtinId="3"/>
    <cellStyle name="Good" xfId="3" builtinId="26"/>
    <cellStyle name="Input" xfId="4" builtinId="20"/>
    <cellStyle name="Normal" xfId="0" builtinId="0"/>
    <cellStyle name="Normal 2 3 12 4" xfId="5" xr:uid="{46101C59-0C9A-4CA2-94FC-CDB299D98255}"/>
    <cellStyle name="Percent" xfId="2" builtinId="5"/>
  </cellStyles>
  <dxfs count="14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revisionHeaders" Target="revisions/revisionHeader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usernames" Target="revisions/userNames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50</xdr:row>
          <xdr:rowOff>171450</xdr:rowOff>
        </xdr:from>
        <xdr:to>
          <xdr:col>11</xdr:col>
          <xdr:colOff>466725</xdr:colOff>
          <xdr:row>53</xdr:row>
          <xdr:rowOff>0</xdr:rowOff>
        </xdr:to>
        <xdr:sp macro="" textlink="">
          <xdr:nvSpPr>
            <xdr:cNvPr id="1026" name="btn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51</xdr:row>
          <xdr:rowOff>9525</xdr:rowOff>
        </xdr:from>
        <xdr:to>
          <xdr:col>7</xdr:col>
          <xdr:colOff>438150</xdr:colOff>
          <xdr:row>53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50</xdr:row>
          <xdr:rowOff>171450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923925</xdr:colOff>
          <xdr:row>50</xdr:row>
          <xdr:rowOff>171450</xdr:rowOff>
        </xdr:from>
        <xdr:to>
          <xdr:col>9</xdr:col>
          <xdr:colOff>1114425</xdr:colOff>
          <xdr:row>52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171450</xdr:rowOff>
        </xdr:from>
        <xdr:to>
          <xdr:col>11</xdr:col>
          <xdr:colOff>228600</xdr:colOff>
          <xdr:row>53</xdr:row>
          <xdr:rowOff>0</xdr:rowOff>
        </xdr:to>
        <xdr:sp macro="" textlink="">
          <xdr:nvSpPr>
            <xdr:cNvPr id="25601" name="btnForm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51</xdr:row>
          <xdr:rowOff>9525</xdr:rowOff>
        </xdr:from>
        <xdr:to>
          <xdr:col>7</xdr:col>
          <xdr:colOff>438150</xdr:colOff>
          <xdr:row>53</xdr:row>
          <xdr:rowOff>9525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50</xdr:row>
          <xdr:rowOff>171450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1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923925</xdr:colOff>
          <xdr:row>50</xdr:row>
          <xdr:rowOff>171450</xdr:rowOff>
        </xdr:from>
        <xdr:to>
          <xdr:col>9</xdr:col>
          <xdr:colOff>1114425</xdr:colOff>
          <xdr:row>52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1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171450</xdr:rowOff>
        </xdr:from>
        <xdr:to>
          <xdr:col>11</xdr:col>
          <xdr:colOff>228600</xdr:colOff>
          <xdr:row>53</xdr:row>
          <xdr:rowOff>0</xdr:rowOff>
        </xdr:to>
        <xdr:sp macro="" textlink="">
          <xdr:nvSpPr>
            <xdr:cNvPr id="26625" name="btnForm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51</xdr:row>
          <xdr:rowOff>9525</xdr:rowOff>
        </xdr:from>
        <xdr:to>
          <xdr:col>7</xdr:col>
          <xdr:colOff>438150</xdr:colOff>
          <xdr:row>53</xdr:row>
          <xdr:rowOff>9525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50</xdr:row>
          <xdr:rowOff>171450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923925</xdr:colOff>
          <xdr:row>50</xdr:row>
          <xdr:rowOff>171450</xdr:rowOff>
        </xdr:from>
        <xdr:to>
          <xdr:col>9</xdr:col>
          <xdr:colOff>1114425</xdr:colOff>
          <xdr:row>52</xdr:row>
          <xdr:rowOff>190500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171450</xdr:rowOff>
        </xdr:from>
        <xdr:to>
          <xdr:col>11</xdr:col>
          <xdr:colOff>228600</xdr:colOff>
          <xdr:row>53</xdr:row>
          <xdr:rowOff>0</xdr:rowOff>
        </xdr:to>
        <xdr:sp macro="" textlink="">
          <xdr:nvSpPr>
            <xdr:cNvPr id="27649" name="btnForm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51</xdr:row>
          <xdr:rowOff>9525</xdr:rowOff>
        </xdr:from>
        <xdr:to>
          <xdr:col>7</xdr:col>
          <xdr:colOff>438150</xdr:colOff>
          <xdr:row>53</xdr:row>
          <xdr:rowOff>9525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50</xdr:row>
          <xdr:rowOff>171450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923925</xdr:colOff>
          <xdr:row>50</xdr:row>
          <xdr:rowOff>171450</xdr:rowOff>
        </xdr:from>
        <xdr:to>
          <xdr:col>9</xdr:col>
          <xdr:colOff>1114425</xdr:colOff>
          <xdr:row>52</xdr:row>
          <xdr:rowOff>190500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171450</xdr:rowOff>
        </xdr:from>
        <xdr:to>
          <xdr:col>11</xdr:col>
          <xdr:colOff>228600</xdr:colOff>
          <xdr:row>53</xdr:row>
          <xdr:rowOff>0</xdr:rowOff>
        </xdr:to>
        <xdr:sp macro="" textlink="">
          <xdr:nvSpPr>
            <xdr:cNvPr id="28673" name="btnForm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51</xdr:row>
          <xdr:rowOff>9525</xdr:rowOff>
        </xdr:from>
        <xdr:to>
          <xdr:col>7</xdr:col>
          <xdr:colOff>438150</xdr:colOff>
          <xdr:row>53</xdr:row>
          <xdr:rowOff>9525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50</xdr:row>
          <xdr:rowOff>171450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923925</xdr:colOff>
          <xdr:row>50</xdr:row>
          <xdr:rowOff>171450</xdr:rowOff>
        </xdr:from>
        <xdr:to>
          <xdr:col>9</xdr:col>
          <xdr:colOff>1114425</xdr:colOff>
          <xdr:row>52</xdr:row>
          <xdr:rowOff>190500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4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5" Type="http://schemas.openxmlformats.org/officeDocument/2006/relationships/revisionLog" Target="revisionLog5.xml"/><Relationship Id="rId4" Type="http://schemas.openxmlformats.org/officeDocument/2006/relationships/revisionLog" Target="revisionLog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70FF8162-2315-4038-9F9D-284DD4CB0A8D}" diskRevisions="1" revisionId="31" version="5">
  <header guid="{A00EB1F6-3FBC-4098-8BF7-385D1FB6E5DF}" dateTime="2018-10-11T16:40:59" maxSheetId="6" userName="ISSADAPORN THUNLAVANICH" r:id="rId1">
    <sheetIdMap count="5">
      <sheetId val="1"/>
      <sheetId val="2"/>
      <sheetId val="3"/>
      <sheetId val="4"/>
      <sheetId val="5"/>
    </sheetIdMap>
  </header>
  <header guid="{66B4C27D-AA06-4E6F-909E-5DEFA10EECA0}" dateTime="2018-10-11T16:41:12" maxSheetId="6" userName="ISSADAPORN THUNLAVANICH" r:id="rId2">
    <sheetIdMap count="5">
      <sheetId val="1"/>
      <sheetId val="2"/>
      <sheetId val="3"/>
      <sheetId val="4"/>
      <sheetId val="5"/>
    </sheetIdMap>
  </header>
  <header guid="{F0BCD897-9672-4C4E-9CF7-D8CEBED656F0}" dateTime="2018-10-11T17:58:33" maxSheetId="6" userName="ISSADAPORN THUNLAVANICH" r:id="rId3" minRId="16">
    <sheetIdMap count="5">
      <sheetId val="1"/>
      <sheetId val="2"/>
      <sheetId val="3"/>
      <sheetId val="4"/>
      <sheetId val="5"/>
    </sheetIdMap>
  </header>
  <header guid="{6BF33462-A6DC-48FE-B323-A5CAC3DE8B47}" dateTime="2018-10-11T18:10:19" maxSheetId="6" userName="ISSADAPORN THUNLAVANICH" r:id="rId4">
    <sheetIdMap count="5">
      <sheetId val="1"/>
      <sheetId val="2"/>
      <sheetId val="3"/>
      <sheetId val="4"/>
      <sheetId val="5"/>
    </sheetIdMap>
  </header>
  <header guid="{70FF8162-2315-4038-9F9D-284DD4CB0A8D}" dateTime="2018-10-12T17:48:33" maxSheetId="6" userName="ISSADAPORN THUNLAVANICH" r:id="rId5" minRId="31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5" customView="1" name="Z_446F2FA9_979D_4645_8D3C_C345EFBD6336_.wvu.Rows" hidden="1" oldHidden="1">
    <oldFormula>'16Oct'!$16:$26</oldFormula>
  </rdn>
  <rcv guid="{446F2FA9-979D-4645-8D3C-C345EFBD6336}" action="delete"/>
  <rdn rId="0" localSheetId="1" customView="1" name="Z_446F2FA9_979D_4645_8D3C_C345EFBD6336_.wvu.Rows" hidden="1" oldHidden="1">
    <formula>'2Oct'!$16:$26</formula>
    <oldFormula>'2Oct'!$16:$26</oldFormula>
  </rdn>
  <rdn rId="0" localSheetId="1" customView="1" name="Z_446F2FA9_979D_4645_8D3C_C345EFBD6336_.wvu.Cols" hidden="1" oldHidden="1">
    <formula>'2Oct'!$A:$A</formula>
    <oldFormula>'2Oct'!$A:$A</oldFormula>
  </rdn>
  <rdn rId="0" localSheetId="1" customView="1" name="Z_446F2FA9_979D_4645_8D3C_C345EFBD6336_.wvu.FilterData" hidden="1" oldHidden="1">
    <formula>'2Oct'!$A$2:$Z$60</formula>
    <oldFormula>'2Oct'!$A$2:$Z$60</oldFormula>
  </rdn>
  <rdn rId="0" localSheetId="2" customView="1" name="Z_446F2FA9_979D_4645_8D3C_C345EFBD6336_.wvu.Rows" hidden="1" oldHidden="1">
    <formula>'5Oct'!$16:$26</formula>
    <oldFormula>'5Oct'!$16:$26</oldFormula>
  </rdn>
  <rdn rId="0" localSheetId="2" customView="1" name="Z_446F2FA9_979D_4645_8D3C_C345EFBD6336_.wvu.Cols" hidden="1" oldHidden="1">
    <formula>'5Oct'!$A:$A,'5Oct'!$W:$Z</formula>
    <oldFormula>'5Oct'!$A:$A,'5Oct'!$W:$Z</oldFormula>
  </rdn>
  <rdn rId="0" localSheetId="2" customView="1" name="Z_446F2FA9_979D_4645_8D3C_C345EFBD6336_.wvu.FilterData" hidden="1" oldHidden="1">
    <formula>'5Oct'!$A$2:$Z$60</formula>
    <oldFormula>'5Oct'!$A$2:$Z$60</oldFormula>
  </rdn>
  <rdn rId="0" localSheetId="3" customView="1" name="Z_446F2FA9_979D_4645_8D3C_C345EFBD6336_.wvu.Rows" hidden="1" oldHidden="1">
    <formula>'9Oct'!$16:$26</formula>
    <oldFormula>'9Oct'!$16:$26</oldFormula>
  </rdn>
  <rdn rId="0" localSheetId="3" customView="1" name="Z_446F2FA9_979D_4645_8D3C_C345EFBD6336_.wvu.Cols" hidden="1" oldHidden="1">
    <formula>'9Oct'!$A:$A</formula>
    <oldFormula>'9Oct'!$A:$A</oldFormula>
  </rdn>
  <rdn rId="0" localSheetId="3" customView="1" name="Z_446F2FA9_979D_4645_8D3C_C345EFBD6336_.wvu.FilterData" hidden="1" oldHidden="1">
    <formula>'9Oct'!$A$2:$Z$60</formula>
    <oldFormula>'9Oct'!$A$2:$Z$60</oldFormula>
  </rdn>
  <rdn rId="0" localSheetId="4" customView="1" name="Z_446F2FA9_979D_4645_8D3C_C345EFBD6336_.wvu.Rows" hidden="1" oldHidden="1">
    <formula>'11Oct'!$16:$26</formula>
    <oldFormula>'11Oct'!$16:$26</oldFormula>
  </rdn>
  <rdn rId="0" localSheetId="4" customView="1" name="Z_446F2FA9_979D_4645_8D3C_C345EFBD6336_.wvu.Cols" hidden="1" oldHidden="1">
    <formula>'11Oct'!$A:$A,'11Oct'!$W:$Z</formula>
    <oldFormula>'11Oct'!$A:$A,'11Oct'!$W:$Z</oldFormula>
  </rdn>
  <rdn rId="0" localSheetId="4" customView="1" name="Z_446F2FA9_979D_4645_8D3C_C345EFBD6336_.wvu.FilterData" hidden="1" oldHidden="1">
    <formula>'11Oct'!$A$2:$Z$60</formula>
    <oldFormula>'11Oct'!$A$2:$Z$60</oldFormula>
  </rdn>
  <rdn rId="0" localSheetId="5" customView="1" name="Z_446F2FA9_979D_4645_8D3C_C345EFBD6336_.wvu.Cols" hidden="1" oldHidden="1">
    <formula>'16Oct'!$A:$A,'16Oct'!$W:$Z</formula>
    <oldFormula>'16Oct'!$A:$A,'16Oct'!$W:$Z</oldFormula>
  </rdn>
  <rdn rId="0" localSheetId="5" customView="1" name="Z_446F2FA9_979D_4645_8D3C_C345EFBD6336_.wvu.FilterData" hidden="1" oldHidden="1">
    <formula>'16Oct'!$A$2:$Z$60</formula>
    <oldFormula>'16Oct'!$A$2:$Z$60</oldFormula>
  </rdn>
  <rcv guid="{446F2FA9-979D-4645-8D3C-C345EFBD6336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" sId="4" odxf="1" dxf="1">
    <oc r="P39">
      <f>I30-Q39</f>
    </oc>
    <nc r="P39">
      <f>I30-Q39</f>
    </nc>
    <odxf>
      <numFmt numFmtId="0" formatCode="General"/>
    </odxf>
    <ndxf>
      <numFmt numFmtId="189" formatCode="_(* #,##0_);_(* \(#,##0\);_(* &quot;-&quot;??_);_(@_)"/>
    </ndxf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46F2FA9-979D-4645-8D3C-C345EFBD6336}" action="delete"/>
  <rdn rId="0" localSheetId="1" customView="1" name="Z_446F2FA9_979D_4645_8D3C_C345EFBD6336_.wvu.Rows" hidden="1" oldHidden="1">
    <formula>'2Oct'!$16:$26</formula>
    <oldFormula>'2Oct'!$16:$26</oldFormula>
  </rdn>
  <rdn rId="0" localSheetId="1" customView="1" name="Z_446F2FA9_979D_4645_8D3C_C345EFBD6336_.wvu.Cols" hidden="1" oldHidden="1">
    <formula>'2Oct'!$A:$A</formula>
    <oldFormula>'2Oct'!$A:$A</oldFormula>
  </rdn>
  <rdn rId="0" localSheetId="1" customView="1" name="Z_446F2FA9_979D_4645_8D3C_C345EFBD6336_.wvu.FilterData" hidden="1" oldHidden="1">
    <formula>'2Oct'!$A$2:$Z$60</formula>
    <oldFormula>'2Oct'!$A$2:$Z$60</oldFormula>
  </rdn>
  <rdn rId="0" localSheetId="2" customView="1" name="Z_446F2FA9_979D_4645_8D3C_C345EFBD6336_.wvu.Rows" hidden="1" oldHidden="1">
    <formula>'5Oct'!$16:$26</formula>
    <oldFormula>'5Oct'!$16:$26</oldFormula>
  </rdn>
  <rdn rId="0" localSheetId="2" customView="1" name="Z_446F2FA9_979D_4645_8D3C_C345EFBD6336_.wvu.Cols" hidden="1" oldHidden="1">
    <formula>'5Oct'!$A:$A,'5Oct'!$W:$Z</formula>
    <oldFormula>'5Oct'!$A:$A,'5Oct'!$W:$Z</oldFormula>
  </rdn>
  <rdn rId="0" localSheetId="2" customView="1" name="Z_446F2FA9_979D_4645_8D3C_C345EFBD6336_.wvu.FilterData" hidden="1" oldHidden="1">
    <formula>'5Oct'!$A$2:$Z$60</formula>
    <oldFormula>'5Oct'!$A$2:$Z$60</oldFormula>
  </rdn>
  <rdn rId="0" localSheetId="3" customView="1" name="Z_446F2FA9_979D_4645_8D3C_C345EFBD6336_.wvu.Rows" hidden="1" oldHidden="1">
    <formula>'9Oct'!$16:$26</formula>
    <oldFormula>'9Oct'!$16:$26</oldFormula>
  </rdn>
  <rdn rId="0" localSheetId="3" customView="1" name="Z_446F2FA9_979D_4645_8D3C_C345EFBD6336_.wvu.Cols" hidden="1" oldHidden="1">
    <formula>'9Oct'!$A:$A</formula>
    <oldFormula>'9Oct'!$A:$A</oldFormula>
  </rdn>
  <rdn rId="0" localSheetId="3" customView="1" name="Z_446F2FA9_979D_4645_8D3C_C345EFBD6336_.wvu.FilterData" hidden="1" oldHidden="1">
    <formula>'9Oct'!$A$2:$Z$60</formula>
    <oldFormula>'9Oct'!$A$2:$Z$60</oldFormula>
  </rdn>
  <rdn rId="0" localSheetId="4" customView="1" name="Z_446F2FA9_979D_4645_8D3C_C345EFBD6336_.wvu.Rows" hidden="1" oldHidden="1">
    <formula>'11Oct'!$16:$26</formula>
    <oldFormula>'11Oct'!$16:$26</oldFormula>
  </rdn>
  <rdn rId="0" localSheetId="4" customView="1" name="Z_446F2FA9_979D_4645_8D3C_C345EFBD6336_.wvu.Cols" hidden="1" oldHidden="1">
    <formula>'11Oct'!$A:$A,'11Oct'!$W:$Z</formula>
    <oldFormula>'11Oct'!$A:$A,'11Oct'!$W:$Z</oldFormula>
  </rdn>
  <rdn rId="0" localSheetId="4" customView="1" name="Z_446F2FA9_979D_4645_8D3C_C345EFBD6336_.wvu.FilterData" hidden="1" oldHidden="1">
    <formula>'11Oct'!$A$2:$Z$60</formula>
    <oldFormula>'11Oct'!$A$2:$Z$60</oldFormula>
  </rdn>
  <rdn rId="0" localSheetId="5" customView="1" name="Z_446F2FA9_979D_4645_8D3C_C345EFBD6336_.wvu.Cols" hidden="1" oldHidden="1">
    <formula>'16Oct'!$A:$A,'16Oct'!$W:$Z</formula>
    <oldFormula>'16Oct'!$A:$A,'16Oct'!$W:$Z</oldFormula>
  </rdn>
  <rdn rId="0" localSheetId="5" customView="1" name="Z_446F2FA9_979D_4645_8D3C_C345EFBD6336_.wvu.FilterData" hidden="1" oldHidden="1">
    <formula>'16Oct'!$A$2:$Z$60</formula>
    <oldFormula>'16Oct'!$A$2:$Z$60</oldFormula>
  </rdn>
  <rcv guid="{446F2FA9-979D-4645-8D3C-C345EFBD6336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" sId="5">
    <nc r="J30">
      <v>9150</v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2.xml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1.xml"/><Relationship Id="rId4" Type="http://schemas.openxmlformats.org/officeDocument/2006/relationships/printerSettings" Target="../printerSettings/printerSettings4.bin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8.bin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5.xml"/><Relationship Id="rId5" Type="http://schemas.openxmlformats.org/officeDocument/2006/relationships/printerSettings" Target="../printerSettings/printerSettings10.bin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9.bin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13.bin"/><Relationship Id="rId7" Type="http://schemas.openxmlformats.org/officeDocument/2006/relationships/vmlDrawing" Target="../drawings/vmlDrawing3.vml"/><Relationship Id="rId12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drawing" Target="../drawings/drawing3.xml"/><Relationship Id="rId11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15.bin"/><Relationship Id="rId10" Type="http://schemas.openxmlformats.org/officeDocument/2006/relationships/ctrlProp" Target="../ctrlProps/ctrlProp7.xml"/><Relationship Id="rId4" Type="http://schemas.openxmlformats.org/officeDocument/2006/relationships/printerSettings" Target="../printerSettings/printerSettings14.bin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10" Type="http://schemas.openxmlformats.org/officeDocument/2006/relationships/comments" Target="../comments4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10" Type="http://schemas.openxmlformats.org/officeDocument/2006/relationships/comments" Target="../comments5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090E-C668-4318-85DC-1592295F760B}">
  <sheetPr codeName="Sheet1"/>
  <dimension ref="A1:AS66"/>
  <sheetViews>
    <sheetView topLeftCell="I1" zoomScale="70" zoomScaleNormal="70" workbookViewId="0">
      <selection activeCell="AE40" sqref="AE40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0" customWidth="1"/>
    <col min="4" max="4" width="13.125" customWidth="1"/>
    <col min="5" max="5" width="14.625" customWidth="1"/>
    <col min="6" max="6" width="10.625" customWidth="1"/>
    <col min="7" max="7" width="15.625" customWidth="1"/>
    <col min="8" max="8" width="17" customWidth="1"/>
    <col min="9" max="9" width="16.875" customWidth="1"/>
    <col min="10" max="10" width="14.125" customWidth="1"/>
    <col min="11" max="11" width="15" customWidth="1"/>
    <col min="12" max="12" width="15.125" customWidth="1"/>
    <col min="13" max="13" width="14.875" customWidth="1"/>
    <col min="14" max="14" width="14.625" customWidth="1"/>
    <col min="15" max="15" width="12.875" customWidth="1"/>
    <col min="16" max="16" width="12.625" customWidth="1"/>
    <col min="17" max="17" width="13" customWidth="1"/>
    <col min="18" max="18" width="13.125" customWidth="1"/>
    <col min="19" max="19" width="13.625" customWidth="1"/>
    <col min="20" max="21" width="12.37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375" customWidth="1" outlineLevel="1"/>
    <col min="27" max="27" width="11.375" customWidth="1"/>
    <col min="28" max="28" width="12.125" customWidth="1"/>
    <col min="29" max="29" width="12.375" customWidth="1"/>
    <col min="30" max="30" width="12.5" customWidth="1"/>
    <col min="31" max="31" width="9.5" customWidth="1"/>
    <col min="34" max="34" width="4.5" customWidth="1"/>
    <col min="36" max="36" width="23.87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3" t="str">
        <f xml:space="preserve"> "Auction Dashboard "</f>
        <v xml:space="preserve">Auction Dashboard </v>
      </c>
      <c r="C1" s="53"/>
      <c r="D1" s="54">
        <v>43375</v>
      </c>
      <c r="E1" s="42"/>
    </row>
    <row r="2" spans="2:45" ht="16.149999999999999" customHeight="1" x14ac:dyDescent="0.2">
      <c r="B2" s="75" t="str">
        <f>G30 &amp; " Total Auction Size: " &amp;H30</f>
        <v>CB19103B Total Auction Size: 40000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7"/>
      <c r="AD2" s="49"/>
    </row>
    <row r="3" spans="2:45" x14ac:dyDescent="0.2">
      <c r="B3" s="20" t="s">
        <v>0</v>
      </c>
      <c r="C3" s="21" t="str">
        <f t="array" ref="C3:Z3">TRANSPOSE($AC$30:$AC$53)</f>
        <v>BNP</v>
      </c>
      <c r="D3" s="21" t="str">
        <v>BBL</v>
      </c>
      <c r="E3" s="21" t="str">
        <v>TMB</v>
      </c>
      <c r="F3" s="21" t="str">
        <v>KBANK</v>
      </c>
      <c r="G3" s="21" t="str">
        <v>KTB</v>
      </c>
      <c r="H3" s="21" t="str">
        <v>BAY</v>
      </c>
      <c r="I3" s="21" t="str">
        <v>CIMBT</v>
      </c>
      <c r="J3" s="21" t="str">
        <v>SCBT</v>
      </c>
      <c r="K3" s="21" t="str">
        <v>TBANK</v>
      </c>
      <c r="L3" s="21" t="str">
        <v>TISCOBANK</v>
      </c>
      <c r="M3" s="21" t="str">
        <v>KKP</v>
      </c>
      <c r="N3" s="21" t="str">
        <v>GSB</v>
      </c>
      <c r="O3" s="21" t="str">
        <v>SCB</v>
      </c>
      <c r="P3" s="21" t="str">
        <v>KGI</v>
      </c>
      <c r="Q3" s="21" t="str">
        <v>CITIBANK</v>
      </c>
      <c r="R3" s="21" t="str">
        <v>HSBC</v>
      </c>
      <c r="S3" s="21" t="str">
        <v>BAML</v>
      </c>
      <c r="T3" s="21" t="str">
        <v>JP_MORGAN</v>
      </c>
      <c r="U3" s="21" t="str">
        <v>DEUTSCHE_BAN</v>
      </c>
      <c r="V3" s="21" t="str">
        <v>UOBT</v>
      </c>
      <c r="W3" s="21" t="str">
        <v>CNS</v>
      </c>
      <c r="X3" s="21" t="str">
        <v>ANZT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CB19103B</v>
      </c>
      <c r="AS3" s="4"/>
    </row>
    <row r="4" spans="2:45" x14ac:dyDescent="0.2">
      <c r="B4" s="20" t="s">
        <v>1</v>
      </c>
      <c r="C4" s="6">
        <v>1.448</v>
      </c>
      <c r="D4" s="6">
        <v>1.468</v>
      </c>
      <c r="E4" s="6">
        <v>1.498</v>
      </c>
      <c r="F4" s="6">
        <v>1.48</v>
      </c>
      <c r="G4" s="6">
        <v>1.4870000000000001</v>
      </c>
      <c r="H4" s="6">
        <v>1.44</v>
      </c>
      <c r="I4" s="6">
        <v>1.454</v>
      </c>
      <c r="J4" s="6">
        <v>1.498</v>
      </c>
      <c r="K4" s="6"/>
      <c r="L4" s="6"/>
      <c r="M4" s="6"/>
      <c r="N4" s="6"/>
      <c r="O4" s="6">
        <v>1.44</v>
      </c>
      <c r="P4" s="6"/>
      <c r="Q4" s="6">
        <v>1.45</v>
      </c>
      <c r="R4" s="6"/>
      <c r="S4" s="6">
        <v>1.47</v>
      </c>
      <c r="T4" s="6"/>
      <c r="U4" s="6">
        <v>1.42</v>
      </c>
      <c r="V4" s="6"/>
      <c r="W4" s="6"/>
      <c r="X4" s="6"/>
      <c r="Y4" s="6"/>
      <c r="Z4" s="6"/>
      <c r="AA4" s="18">
        <f>MIN(C4:Z4)</f>
        <v>1.42</v>
      </c>
      <c r="AB4" s="18">
        <f>MAX(C4:Z4)</f>
        <v>1.498</v>
      </c>
      <c r="AC4" s="18">
        <f>IFERROR(AVERAGE(C4:Z4),0)</f>
        <v>1.4627499999999998</v>
      </c>
      <c r="AD4" s="49"/>
    </row>
    <row r="5" spans="2:45" x14ac:dyDescent="0.2">
      <c r="B5" s="20" t="s">
        <v>2</v>
      </c>
      <c r="C5" s="6">
        <v>1.498</v>
      </c>
      <c r="D5" s="6"/>
      <c r="E5" s="6">
        <v>1.4670000000000001</v>
      </c>
      <c r="F5" s="6">
        <v>1.51</v>
      </c>
      <c r="G5" s="6"/>
      <c r="H5" s="6">
        <v>1.4550000000000001</v>
      </c>
      <c r="I5" s="6">
        <v>1.4830000000000001</v>
      </c>
      <c r="J5" s="6"/>
      <c r="K5" s="6"/>
      <c r="L5" s="6"/>
      <c r="M5" s="6"/>
      <c r="N5" s="6"/>
      <c r="O5" s="6"/>
      <c r="P5" s="6"/>
      <c r="Q5" s="6">
        <v>1.51</v>
      </c>
      <c r="R5" s="6"/>
      <c r="S5" s="6">
        <v>1.488</v>
      </c>
      <c r="T5" s="6"/>
      <c r="U5" s="6">
        <v>1.48</v>
      </c>
      <c r="V5" s="6"/>
      <c r="W5" s="6"/>
      <c r="X5" s="6"/>
      <c r="Y5" s="6"/>
      <c r="Z5" s="6"/>
      <c r="AA5" s="18">
        <f>MIN(C5:Z5)</f>
        <v>1.4550000000000001</v>
      </c>
      <c r="AB5" s="18">
        <f>MAX(C5:Z5)</f>
        <v>1.51</v>
      </c>
      <c r="AC5" s="18">
        <f>IFERROR(AVERAGE(C5:Z5),0)</f>
        <v>1.486375</v>
      </c>
      <c r="AD5" s="49"/>
    </row>
    <row r="6" spans="2:45" x14ac:dyDescent="0.2">
      <c r="B6" s="20" t="s">
        <v>3</v>
      </c>
      <c r="C6" s="10"/>
      <c r="D6" s="10"/>
      <c r="E6" s="10">
        <v>1.5</v>
      </c>
      <c r="F6" s="10"/>
      <c r="G6" s="10"/>
      <c r="H6" s="10">
        <v>1.48</v>
      </c>
      <c r="I6" s="10">
        <v>1.5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1.48</v>
      </c>
      <c r="AB6" s="18">
        <f>MAX(C6:Z6)</f>
        <v>1.5</v>
      </c>
      <c r="AC6" s="18">
        <f>IFERROR(AVERAGE(C6:Z6),0)</f>
        <v>1.4933333333333334</v>
      </c>
      <c r="AD6" s="49"/>
    </row>
    <row r="7" spans="2:45" x14ac:dyDescent="0.2">
      <c r="B7" s="20" t="s">
        <v>61</v>
      </c>
      <c r="C7" s="46"/>
      <c r="D7" s="46"/>
      <c r="E7" s="46"/>
      <c r="F7" s="46" t="s">
        <v>83</v>
      </c>
      <c r="G7" s="46" t="s">
        <v>85</v>
      </c>
      <c r="H7" s="46" t="s">
        <v>77</v>
      </c>
      <c r="I7" s="46" t="s">
        <v>79</v>
      </c>
      <c r="J7" s="46" t="s">
        <v>86</v>
      </c>
      <c r="K7" s="46"/>
      <c r="L7" s="46"/>
      <c r="M7" s="46"/>
      <c r="N7" s="46"/>
      <c r="O7" s="46"/>
      <c r="P7" s="46"/>
      <c r="Q7" s="46" t="s">
        <v>81</v>
      </c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1.48</v>
      </c>
      <c r="AB7" s="19">
        <f>MAX(AB4:AB6)</f>
        <v>1.51</v>
      </c>
      <c r="AC7" s="19">
        <f>MAX(AC4:AC6)</f>
        <v>1.4933333333333334</v>
      </c>
      <c r="AD7" s="49"/>
      <c r="AF7" s="48"/>
    </row>
    <row r="8" spans="2:45" x14ac:dyDescent="0.2">
      <c r="B8" s="47"/>
      <c r="AD8" s="49"/>
    </row>
    <row r="9" spans="2:45" outlineLevel="1" x14ac:dyDescent="0.2">
      <c r="B9" s="75" t="str">
        <f>G31 &amp; " Total Auction Size: " &amp;H31</f>
        <v>CB19404A Total Auction Size: 40000</v>
      </c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7"/>
      <c r="AD9" s="49"/>
    </row>
    <row r="10" spans="2:45" outlineLevel="1" x14ac:dyDescent="0.2">
      <c r="B10" s="20" t="s">
        <v>0</v>
      </c>
      <c r="C10" s="21" t="str">
        <f t="array" ref="C10:Z10">TRANSPOSE($AC$30:$AC$53)</f>
        <v>BNP</v>
      </c>
      <c r="D10" s="21" t="str">
        <v>BBL</v>
      </c>
      <c r="E10" s="21" t="str">
        <v>TMB</v>
      </c>
      <c r="F10" s="21" t="str">
        <v>KBANK</v>
      </c>
      <c r="G10" s="21" t="str">
        <v>KTB</v>
      </c>
      <c r="H10" s="21" t="str">
        <v>BAY</v>
      </c>
      <c r="I10" s="21" t="str">
        <v>CIMBT</v>
      </c>
      <c r="J10" s="21" t="str">
        <v>SCBT</v>
      </c>
      <c r="K10" s="21" t="str">
        <v>TBANK</v>
      </c>
      <c r="L10" s="21" t="str">
        <v>TISCOBANK</v>
      </c>
      <c r="M10" s="21" t="str">
        <v>KKP</v>
      </c>
      <c r="N10" s="21" t="str">
        <v>GSB</v>
      </c>
      <c r="O10" s="21" t="str">
        <v>SCB</v>
      </c>
      <c r="P10" s="21" t="str">
        <v>KGI</v>
      </c>
      <c r="Q10" s="21" t="str">
        <v>CITIBANK</v>
      </c>
      <c r="R10" s="21" t="str">
        <v>HSBC</v>
      </c>
      <c r="S10" s="21" t="str">
        <v>BAML</v>
      </c>
      <c r="T10" s="21" t="str">
        <v>JP_MORGAN</v>
      </c>
      <c r="U10" s="21" t="str">
        <v>DEUTSCHE_BAN</v>
      </c>
      <c r="V10" s="21" t="str">
        <v>UOBT</v>
      </c>
      <c r="W10" s="21" t="str">
        <v>CNS</v>
      </c>
      <c r="X10" s="21" t="str">
        <v>ANZT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 t="str">
        <f>G31</f>
        <v>CB19404A</v>
      </c>
    </row>
    <row r="11" spans="2:45" outlineLevel="1" x14ac:dyDescent="0.2">
      <c r="B11" s="20" t="s">
        <v>1</v>
      </c>
      <c r="C11" s="6"/>
      <c r="D11" s="6">
        <v>1.58</v>
      </c>
      <c r="E11" s="6">
        <v>1.6040000000000001</v>
      </c>
      <c r="F11" s="6">
        <v>1.6</v>
      </c>
      <c r="G11" s="6">
        <v>1.597</v>
      </c>
      <c r="H11" s="6">
        <v>1.59</v>
      </c>
      <c r="I11" s="6">
        <v>1.6040000000000001</v>
      </c>
      <c r="J11" s="6"/>
      <c r="K11" s="6"/>
      <c r="L11" s="6"/>
      <c r="M11" s="6"/>
      <c r="N11" s="6"/>
      <c r="O11" s="6">
        <v>1.57</v>
      </c>
      <c r="P11" s="6"/>
      <c r="Q11" s="6">
        <v>1.595</v>
      </c>
      <c r="R11" s="6"/>
      <c r="S11" s="6">
        <v>1.587</v>
      </c>
      <c r="T11" s="6"/>
      <c r="U11" s="6"/>
      <c r="V11" s="6"/>
      <c r="W11" s="6"/>
      <c r="X11" s="6"/>
      <c r="Y11" s="6"/>
      <c r="Z11" s="6"/>
      <c r="AA11" s="18">
        <f>MIN(C11:S11)</f>
        <v>1.57</v>
      </c>
      <c r="AB11" s="18">
        <f>MAX(C11:S11)</f>
        <v>1.6040000000000001</v>
      </c>
      <c r="AC11" s="18">
        <f>IFERROR(AVERAGE(C11:Z11),0)</f>
        <v>1.5918888888888889</v>
      </c>
      <c r="AD11" s="49"/>
    </row>
    <row r="12" spans="2:45" outlineLevel="1" x14ac:dyDescent="0.2">
      <c r="B12" s="20" t="s">
        <v>2</v>
      </c>
      <c r="C12" s="6"/>
      <c r="D12" s="6"/>
      <c r="E12" s="6">
        <v>1.629</v>
      </c>
      <c r="F12" s="6">
        <v>1.629</v>
      </c>
      <c r="G12" s="6"/>
      <c r="H12" s="6">
        <v>1.6</v>
      </c>
      <c r="I12" s="6"/>
      <c r="J12" s="6"/>
      <c r="K12" s="6"/>
      <c r="L12" s="6"/>
      <c r="M12" s="6"/>
      <c r="N12" s="6"/>
      <c r="O12" s="6"/>
      <c r="P12" s="6"/>
      <c r="Q12" s="6">
        <v>1.6</v>
      </c>
      <c r="R12" s="6"/>
      <c r="S12" s="6">
        <v>1.607</v>
      </c>
      <c r="T12" s="6"/>
      <c r="U12" s="6"/>
      <c r="V12" s="6"/>
      <c r="W12" s="6"/>
      <c r="X12" s="6"/>
      <c r="Y12" s="6"/>
      <c r="Z12" s="6"/>
      <c r="AA12" s="18">
        <f>MIN(C12:S12)</f>
        <v>1.6</v>
      </c>
      <c r="AB12" s="18">
        <f>MAX(C12:S12)</f>
        <v>1.629</v>
      </c>
      <c r="AC12" s="18">
        <f>IFERROR(AVERAGE(C12:Z12),0)</f>
        <v>1.613</v>
      </c>
      <c r="AD12" s="49"/>
    </row>
    <row r="13" spans="2:45" outlineLevel="1" x14ac:dyDescent="0.2">
      <c r="B13" s="20" t="s">
        <v>3</v>
      </c>
      <c r="C13" s="10"/>
      <c r="D13" s="10"/>
      <c r="E13" s="10">
        <v>1.65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>
        <v>1.64</v>
      </c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1.64</v>
      </c>
      <c r="AB13" s="18">
        <f>MAX(C13:S13)</f>
        <v>1.65</v>
      </c>
      <c r="AC13" s="18">
        <f>IFERROR(AVERAGE(C13:Z13),0)</f>
        <v>1.645</v>
      </c>
      <c r="AD13" s="49"/>
    </row>
    <row r="14" spans="2:45" outlineLevel="1" x14ac:dyDescent="0.2">
      <c r="B14" s="20" t="s">
        <v>61</v>
      </c>
      <c r="C14" s="46"/>
      <c r="D14" s="46"/>
      <c r="E14" s="46"/>
      <c r="F14" s="46"/>
      <c r="G14" s="46" t="s">
        <v>80</v>
      </c>
      <c r="H14" s="46" t="s">
        <v>78</v>
      </c>
      <c r="I14" s="46" t="s">
        <v>80</v>
      </c>
      <c r="J14" s="46" t="s">
        <v>87</v>
      </c>
      <c r="K14" s="46"/>
      <c r="L14" s="46"/>
      <c r="M14" s="46"/>
      <c r="N14" s="46"/>
      <c r="O14" s="46"/>
      <c r="P14" s="46"/>
      <c r="Q14" s="46" t="s">
        <v>82</v>
      </c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1.64</v>
      </c>
      <c r="AB14" s="19">
        <f>MAX(AB11:AB13)</f>
        <v>1.65</v>
      </c>
      <c r="AC14" s="19">
        <f>MAX(AC11:AC13)</f>
        <v>1.645</v>
      </c>
      <c r="AD14" s="49"/>
      <c r="AE14" s="48"/>
    </row>
    <row r="15" spans="2:45" x14ac:dyDescent="0.2">
      <c r="F15" t="s">
        <v>84</v>
      </c>
      <c r="AD15" s="49"/>
    </row>
    <row r="16" spans="2:45" hidden="1" outlineLevel="1" x14ac:dyDescent="0.2">
      <c r="B16" s="75" t="str">
        <f>G32 &amp; " Total Auction Size: " &amp;H32</f>
        <v xml:space="preserve"> Total Auction Size: 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7"/>
      <c r="AD16" s="49"/>
    </row>
    <row r="17" spans="1:36" hidden="1" outlineLevel="1" x14ac:dyDescent="0.2">
      <c r="B17" s="20" t="s">
        <v>0</v>
      </c>
      <c r="C17" s="21" t="str">
        <f t="array" ref="C17:Z17">TRANSPOSE($AC$30:$AC$53)</f>
        <v>BNP</v>
      </c>
      <c r="D17" s="21" t="str">
        <v>BBL</v>
      </c>
      <c r="E17" s="21" t="str">
        <v>TMB</v>
      </c>
      <c r="F17" s="21" t="str">
        <v>KBANK</v>
      </c>
      <c r="G17" s="21" t="str">
        <v>KTB</v>
      </c>
      <c r="H17" s="21" t="str">
        <v>BAY</v>
      </c>
      <c r="I17" s="21" t="str">
        <v>CIMBT</v>
      </c>
      <c r="J17" s="21" t="str">
        <v>SCBT</v>
      </c>
      <c r="K17" s="21" t="str">
        <v>TBANK</v>
      </c>
      <c r="L17" s="21" t="str">
        <v>TISCOBANK</v>
      </c>
      <c r="M17" s="21" t="str">
        <v>KKP</v>
      </c>
      <c r="N17" s="21" t="str">
        <v>GSB</v>
      </c>
      <c r="O17" s="21" t="str">
        <v>SCB</v>
      </c>
      <c r="P17" s="21" t="str">
        <v>KGI</v>
      </c>
      <c r="Q17" s="21" t="str">
        <v>CITIBANK</v>
      </c>
      <c r="R17" s="21" t="str">
        <v>HSBC</v>
      </c>
      <c r="S17" s="21" t="str">
        <v>BAML</v>
      </c>
      <c r="T17" s="21" t="str">
        <v>JP_MORGAN</v>
      </c>
      <c r="U17" s="21" t="str">
        <v>DEUTSCHE_BAN</v>
      </c>
      <c r="V17" s="21" t="str">
        <v>UOBT</v>
      </c>
      <c r="W17" s="21" t="str">
        <v>CNS</v>
      </c>
      <c r="X17" s="21" t="str">
        <v>ANZT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 x14ac:dyDescent="0.2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 x14ac:dyDescent="0.2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 x14ac:dyDescent="0.2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 x14ac:dyDescent="0.2">
      <c r="B21" s="20" t="s">
        <v>61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 x14ac:dyDescent="0.2"/>
    <row r="23" spans="1:36" hidden="1" outlineLevel="1" x14ac:dyDescent="0.2"/>
    <row r="24" spans="1:36" hidden="1" outlineLevel="1" x14ac:dyDescent="0.2"/>
    <row r="25" spans="1:36" hidden="1" outlineLevel="1" x14ac:dyDescent="0.2"/>
    <row r="26" spans="1:36" hidden="1" outlineLevel="1" x14ac:dyDescent="0.2"/>
    <row r="27" spans="1:36" collapsed="1" x14ac:dyDescent="0.2"/>
    <row r="28" spans="1:36" ht="24.75" customHeight="1" x14ac:dyDescent="0.2">
      <c r="B28" s="25" t="str">
        <f>"Auction Recommend : "</f>
        <v xml:space="preserve">Auction Recommend : </v>
      </c>
      <c r="D28" s="12" t="str">
        <f>G30</f>
        <v>CB19103B</v>
      </c>
      <c r="G28" s="4" t="s">
        <v>20</v>
      </c>
      <c r="P28" s="27" t="str">
        <f>"Auction Excute : " &amp; G30</f>
        <v>Auction Excute : CB19103B</v>
      </c>
      <c r="T28" s="4" t="s">
        <v>18</v>
      </c>
      <c r="X28" s="4" t="s">
        <v>49</v>
      </c>
    </row>
    <row r="29" spans="1:36" x14ac:dyDescent="0.2">
      <c r="A29" s="41">
        <f>MATCH($D$28,$AD$1:$AD$21,0)</f>
        <v>3</v>
      </c>
      <c r="B29" s="20" t="s">
        <v>16</v>
      </c>
      <c r="C29" s="20" t="s">
        <v>0</v>
      </c>
      <c r="D29" s="20" t="s">
        <v>63</v>
      </c>
      <c r="E29" s="20" t="s">
        <v>62</v>
      </c>
      <c r="F29" s="47"/>
      <c r="G29" s="20" t="s">
        <v>24</v>
      </c>
      <c r="H29" s="20" t="s">
        <v>69</v>
      </c>
      <c r="I29" s="20" t="s">
        <v>70</v>
      </c>
      <c r="J29" s="20" t="s">
        <v>21</v>
      </c>
      <c r="K29" s="20" t="s">
        <v>22</v>
      </c>
      <c r="L29" s="20" t="s">
        <v>47</v>
      </c>
      <c r="M29" s="20" t="s">
        <v>48</v>
      </c>
      <c r="N29" s="20" t="s">
        <v>53</v>
      </c>
      <c r="P29" s="20" t="s">
        <v>0</v>
      </c>
      <c r="Q29" s="20" t="s">
        <v>64</v>
      </c>
      <c r="R29" s="20" t="s">
        <v>23</v>
      </c>
      <c r="T29" s="20" t="s">
        <v>0</v>
      </c>
      <c r="U29" s="20" t="s">
        <v>64</v>
      </c>
      <c r="V29" s="20" t="s">
        <v>23</v>
      </c>
      <c r="X29" s="20" t="s">
        <v>4</v>
      </c>
      <c r="Y29" s="20" t="s">
        <v>16</v>
      </c>
      <c r="Z29" s="20" t="s">
        <v>21</v>
      </c>
      <c r="AA29" s="20" t="s">
        <v>22</v>
      </c>
      <c r="AB29" s="20" t="s">
        <v>25</v>
      </c>
      <c r="AC29" s="20" t="s">
        <v>0</v>
      </c>
      <c r="AD29" s="20" t="s">
        <v>19</v>
      </c>
      <c r="AE29" s="20" t="s">
        <v>55</v>
      </c>
      <c r="AF29" s="20" t="s">
        <v>46</v>
      </c>
      <c r="AG29" s="20" t="s">
        <v>30</v>
      </c>
      <c r="AJ29" s="52"/>
    </row>
    <row r="30" spans="1:36" x14ac:dyDescent="0.2">
      <c r="A30">
        <f t="shared" ref="A30:A53" si="0">MATCH(C30,$A$3:$Z$3,0)</f>
        <v>3</v>
      </c>
      <c r="B30" s="3">
        <f t="shared" ref="B30:B53" si="1">INDEX($Y$30:$Y$53,MATCH(C30,$AC$30:$AC$53,0))</f>
        <v>1</v>
      </c>
      <c r="C30" s="1" t="str">
        <f t="shared" ref="C30:C53" si="2">AC30</f>
        <v>BNP</v>
      </c>
      <c r="D30" s="26">
        <v>3450</v>
      </c>
      <c r="E30" s="22">
        <v>1.4903466666666667</v>
      </c>
      <c r="F30" s="47"/>
      <c r="G30" s="7" t="s">
        <v>73</v>
      </c>
      <c r="H30" s="7">
        <v>40000</v>
      </c>
      <c r="I30" s="51">
        <f>SUM(J30:M30)</f>
        <v>9850</v>
      </c>
      <c r="J30" s="7">
        <v>8850</v>
      </c>
      <c r="K30" s="7">
        <v>1000</v>
      </c>
      <c r="L30" s="7"/>
      <c r="M30" s="7"/>
      <c r="N30" s="6" t="s">
        <v>75</v>
      </c>
      <c r="P30" s="23" t="s">
        <v>10</v>
      </c>
      <c r="Q30" s="11">
        <v>3160</v>
      </c>
      <c r="R30" s="11">
        <v>1.49</v>
      </c>
      <c r="T30" s="2" t="str">
        <f>IF(ISBLANK(P30),"",P30)</f>
        <v>BBL</v>
      </c>
      <c r="U30" s="11">
        <v>3160</v>
      </c>
      <c r="V30" s="11">
        <v>1.49</v>
      </c>
      <c r="X30" s="33">
        <v>1</v>
      </c>
      <c r="Y30" s="5">
        <v>1</v>
      </c>
      <c r="Z30" s="5">
        <v>1</v>
      </c>
      <c r="AA30" s="5">
        <v>1</v>
      </c>
      <c r="AB30" s="5">
        <f t="shared" ref="AB30:AB53" ca="1" si="3">IF(SUM(OFFSET(INDIRECT(ADDRESS($A$29,$A30)),1,0,3)) &gt; 0,1,0)</f>
        <v>1</v>
      </c>
      <c r="AC30" s="17" t="s">
        <v>12</v>
      </c>
      <c r="AD30" s="3">
        <f t="shared" ref="AD30:AD53" si="4">SUMIF($T$30:$T$64,AC30,$U$30:$U$64)</f>
        <v>3350</v>
      </c>
      <c r="AE30" s="3">
        <f>AD30</f>
        <v>3350</v>
      </c>
      <c r="AF30" s="24">
        <f t="shared" ref="AF30:AF53" si="5">IFERROR(AE30/$AE$54,0)</f>
        <v>0.34010152284263961</v>
      </c>
      <c r="AG30" s="14"/>
    </row>
    <row r="31" spans="1:36" x14ac:dyDescent="0.2">
      <c r="A31">
        <f t="shared" si="0"/>
        <v>4</v>
      </c>
      <c r="B31" s="3">
        <f t="shared" si="1"/>
        <v>2</v>
      </c>
      <c r="C31" s="1" t="str">
        <f t="shared" si="2"/>
        <v>BBL</v>
      </c>
      <c r="D31" s="26">
        <v>2960</v>
      </c>
      <c r="E31" s="22">
        <v>1.4918400000000001</v>
      </c>
      <c r="F31" s="47"/>
      <c r="G31" s="7" t="s">
        <v>74</v>
      </c>
      <c r="H31" s="7">
        <v>40000</v>
      </c>
      <c r="I31" s="51">
        <f t="shared" ref="I31:I32" si="6">SUM(J31:M31)</f>
        <v>100</v>
      </c>
      <c r="J31" s="7"/>
      <c r="K31" s="7"/>
      <c r="L31" s="7">
        <v>100</v>
      </c>
      <c r="M31" s="7"/>
      <c r="N31" s="6" t="s">
        <v>76</v>
      </c>
      <c r="P31" s="23" t="s">
        <v>11</v>
      </c>
      <c r="Q31" s="11">
        <v>2500</v>
      </c>
      <c r="R31" s="11">
        <v>1.4930000000000001</v>
      </c>
      <c r="T31" s="2" t="str">
        <f t="shared" ref="T31:T38" si="7">IF(ISBLANK(P31),"",P31)</f>
        <v>KBANK</v>
      </c>
      <c r="U31" s="11">
        <v>2500</v>
      </c>
      <c r="V31" s="11">
        <v>1.4930000000000001</v>
      </c>
      <c r="X31" s="33">
        <v>1</v>
      </c>
      <c r="Y31" s="5">
        <v>2</v>
      </c>
      <c r="Z31" s="5">
        <v>1</v>
      </c>
      <c r="AA31" s="5">
        <v>1</v>
      </c>
      <c r="AB31" s="5">
        <f t="shared" ca="1" si="3"/>
        <v>1</v>
      </c>
      <c r="AC31" s="17" t="s">
        <v>10</v>
      </c>
      <c r="AD31" s="3">
        <f t="shared" si="4"/>
        <v>3160</v>
      </c>
      <c r="AE31" s="3">
        <f t="shared" ref="AE31:AE53" si="8">AD31</f>
        <v>3160</v>
      </c>
      <c r="AF31" s="24">
        <f t="shared" si="5"/>
        <v>0.32081218274111672</v>
      </c>
      <c r="AG31" s="15"/>
    </row>
    <row r="32" spans="1:36" x14ac:dyDescent="0.2">
      <c r="A32">
        <f t="shared" si="0"/>
        <v>5</v>
      </c>
      <c r="B32" s="3">
        <f t="shared" si="1"/>
        <v>3</v>
      </c>
      <c r="C32" s="1" t="str">
        <f t="shared" si="2"/>
        <v>TMB</v>
      </c>
      <c r="D32" s="26">
        <v>2460</v>
      </c>
      <c r="E32" s="22">
        <v>1.4933333333333334</v>
      </c>
      <c r="F32" s="47"/>
      <c r="G32" s="7"/>
      <c r="H32" s="7"/>
      <c r="I32" s="51">
        <f t="shared" si="6"/>
        <v>0</v>
      </c>
      <c r="J32" s="7"/>
      <c r="K32" s="7"/>
      <c r="L32" s="7"/>
      <c r="M32" s="7"/>
      <c r="N32" s="6"/>
      <c r="P32" s="23" t="s">
        <v>12</v>
      </c>
      <c r="Q32" s="11">
        <v>3350</v>
      </c>
      <c r="R32" s="11">
        <v>1.4870000000000001</v>
      </c>
      <c r="T32" s="2" t="str">
        <f t="shared" si="7"/>
        <v>BNP</v>
      </c>
      <c r="U32" s="11">
        <v>3350</v>
      </c>
      <c r="V32" s="11">
        <v>1.4870000000000001</v>
      </c>
      <c r="X32" s="33">
        <v>1</v>
      </c>
      <c r="Y32" s="5">
        <v>3</v>
      </c>
      <c r="Z32" s="5">
        <v>1</v>
      </c>
      <c r="AA32" s="5">
        <v>0</v>
      </c>
      <c r="AB32" s="5">
        <f t="shared" ca="1" si="3"/>
        <v>1</v>
      </c>
      <c r="AC32" s="17" t="s">
        <v>9</v>
      </c>
      <c r="AD32" s="3">
        <f t="shared" si="4"/>
        <v>840</v>
      </c>
      <c r="AE32" s="3">
        <f t="shared" si="8"/>
        <v>840</v>
      </c>
      <c r="AF32" s="16">
        <f t="shared" si="5"/>
        <v>8.5279187817258878E-2</v>
      </c>
      <c r="AG32" s="56">
        <f>IFERROR(SUMIF($X$30:$X$53,$X$32,$AE$30:$AE$53)/$AE$54,0)</f>
        <v>0.74619289340101524</v>
      </c>
    </row>
    <row r="33" spans="1:33" x14ac:dyDescent="0.2">
      <c r="A33">
        <f t="shared" si="0"/>
        <v>6</v>
      </c>
      <c r="B33" s="3">
        <f t="shared" si="1"/>
        <v>4</v>
      </c>
      <c r="C33" s="1" t="str">
        <f t="shared" si="2"/>
        <v>KBANK</v>
      </c>
      <c r="D33" s="26">
        <v>980</v>
      </c>
      <c r="E33" s="22">
        <v>1.4948266666666667</v>
      </c>
      <c r="F33" s="47"/>
      <c r="G33" s="34"/>
      <c r="P33" s="23" t="s">
        <v>9</v>
      </c>
      <c r="Q33" s="11">
        <v>840</v>
      </c>
      <c r="R33" s="11">
        <v>1.5</v>
      </c>
      <c r="T33" s="2" t="str">
        <f t="shared" si="7"/>
        <v>TMB</v>
      </c>
      <c r="U33" s="11">
        <v>840</v>
      </c>
      <c r="V33" s="11">
        <v>1.5</v>
      </c>
      <c r="X33" s="3">
        <v>2</v>
      </c>
      <c r="Y33" s="5">
        <v>4</v>
      </c>
      <c r="Z33" s="5">
        <v>1</v>
      </c>
      <c r="AA33" s="5">
        <v>0</v>
      </c>
      <c r="AB33" s="5">
        <f t="shared" ca="1" si="3"/>
        <v>1</v>
      </c>
      <c r="AC33" s="17" t="s">
        <v>11</v>
      </c>
      <c r="AD33" s="3">
        <f t="shared" si="4"/>
        <v>2500</v>
      </c>
      <c r="AE33" s="13">
        <f t="shared" si="8"/>
        <v>2500</v>
      </c>
      <c r="AF33" s="24">
        <f t="shared" si="5"/>
        <v>0.25380710659898476</v>
      </c>
      <c r="AG33" s="15"/>
    </row>
    <row r="34" spans="1:33" x14ac:dyDescent="0.2">
      <c r="A34">
        <f t="shared" si="0"/>
        <v>7</v>
      </c>
      <c r="B34" s="3">
        <f t="shared" si="1"/>
        <v>5</v>
      </c>
      <c r="C34" s="1" t="str">
        <f t="shared" si="2"/>
        <v>KTB</v>
      </c>
      <c r="D34" s="26"/>
      <c r="E34" s="22"/>
      <c r="G34" s="35"/>
      <c r="P34" s="23"/>
      <c r="Q34" s="11"/>
      <c r="R34" s="11"/>
      <c r="T34" s="2" t="str">
        <f t="shared" si="7"/>
        <v/>
      </c>
      <c r="U34" s="11"/>
      <c r="V34" s="11"/>
      <c r="X34" s="3">
        <v>2</v>
      </c>
      <c r="Y34" s="5">
        <v>5</v>
      </c>
      <c r="Z34" s="5">
        <v>1</v>
      </c>
      <c r="AA34" s="5">
        <v>0</v>
      </c>
      <c r="AB34" s="5">
        <f t="shared" ca="1" si="3"/>
        <v>1</v>
      </c>
      <c r="AC34" s="17" t="s">
        <v>13</v>
      </c>
      <c r="AD34" s="3">
        <f t="shared" si="4"/>
        <v>0</v>
      </c>
      <c r="AE34" s="3">
        <f t="shared" si="8"/>
        <v>0</v>
      </c>
      <c r="AF34" s="24">
        <f t="shared" si="5"/>
        <v>0</v>
      </c>
      <c r="AG34" s="15"/>
    </row>
    <row r="35" spans="1:33" x14ac:dyDescent="0.2">
      <c r="A35">
        <f t="shared" si="0"/>
        <v>8</v>
      </c>
      <c r="B35" s="3">
        <f t="shared" si="1"/>
        <v>6</v>
      </c>
      <c r="C35" s="1" t="str">
        <f t="shared" si="2"/>
        <v>BAY</v>
      </c>
      <c r="D35" s="26"/>
      <c r="E35" s="22"/>
      <c r="G35" s="4" t="s">
        <v>54</v>
      </c>
      <c r="P35" s="23"/>
      <c r="Q35" s="11"/>
      <c r="R35" s="11"/>
      <c r="T35" s="2" t="str">
        <f t="shared" si="7"/>
        <v/>
      </c>
      <c r="U35" s="11"/>
      <c r="V35" s="11"/>
      <c r="X35" s="3">
        <v>2</v>
      </c>
      <c r="Y35" s="5">
        <v>6</v>
      </c>
      <c r="Z35" s="5">
        <v>1</v>
      </c>
      <c r="AA35" s="5">
        <v>0</v>
      </c>
      <c r="AB35" s="5">
        <f t="shared" ca="1" si="3"/>
        <v>1</v>
      </c>
      <c r="AC35" s="17" t="s">
        <v>32</v>
      </c>
      <c r="AD35" s="3">
        <f t="shared" si="4"/>
        <v>0</v>
      </c>
      <c r="AE35" s="3">
        <f t="shared" si="8"/>
        <v>0</v>
      </c>
      <c r="AF35" s="24">
        <f t="shared" si="5"/>
        <v>0</v>
      </c>
      <c r="AG35" s="15"/>
    </row>
    <row r="36" spans="1:33" x14ac:dyDescent="0.2">
      <c r="A36">
        <f t="shared" si="0"/>
        <v>9</v>
      </c>
      <c r="B36" s="3">
        <f t="shared" si="1"/>
        <v>7</v>
      </c>
      <c r="C36" s="1" t="str">
        <f t="shared" si="2"/>
        <v>CIMBT</v>
      </c>
      <c r="D36" s="26"/>
      <c r="E36" s="22"/>
      <c r="G36" s="20" t="s">
        <v>24</v>
      </c>
      <c r="H36" s="20" t="s">
        <v>56</v>
      </c>
      <c r="I36" s="20" t="s">
        <v>50</v>
      </c>
      <c r="J36" s="20" t="s">
        <v>51</v>
      </c>
      <c r="K36" s="20" t="s">
        <v>60</v>
      </c>
      <c r="L36" s="20" t="s">
        <v>57</v>
      </c>
      <c r="M36" s="20" t="s">
        <v>52</v>
      </c>
      <c r="P36" s="23"/>
      <c r="Q36" s="11"/>
      <c r="R36" s="11"/>
      <c r="T36" s="2" t="str">
        <f t="shared" si="7"/>
        <v/>
      </c>
      <c r="U36" s="11"/>
      <c r="V36" s="11"/>
      <c r="X36" s="3">
        <v>2</v>
      </c>
      <c r="Y36" s="5">
        <v>7</v>
      </c>
      <c r="Z36" s="5">
        <v>1</v>
      </c>
      <c r="AA36" s="5">
        <v>0</v>
      </c>
      <c r="AB36" s="5">
        <f t="shared" ca="1" si="3"/>
        <v>1</v>
      </c>
      <c r="AC36" s="17" t="s">
        <v>31</v>
      </c>
      <c r="AD36" s="3">
        <f t="shared" si="4"/>
        <v>0</v>
      </c>
      <c r="AE36" s="3">
        <f t="shared" si="8"/>
        <v>0</v>
      </c>
      <c r="AF36" s="24">
        <f t="shared" si="5"/>
        <v>0</v>
      </c>
      <c r="AG36" s="15"/>
    </row>
    <row r="37" spans="1:33" ht="16.5" customHeight="1" x14ac:dyDescent="0.2">
      <c r="A37">
        <f t="shared" si="0"/>
        <v>10</v>
      </c>
      <c r="B37" s="3">
        <f t="shared" si="1"/>
        <v>8</v>
      </c>
      <c r="C37" s="1" t="str">
        <f t="shared" si="2"/>
        <v>SCBT</v>
      </c>
      <c r="D37" s="26"/>
      <c r="E37" s="22"/>
      <c r="G37" s="38"/>
      <c r="H37" s="36"/>
      <c r="I37" s="22"/>
      <c r="J37" s="22"/>
      <c r="K37" s="22"/>
      <c r="L37" s="37"/>
      <c r="M37" s="37"/>
      <c r="P37" s="23"/>
      <c r="Q37" s="11"/>
      <c r="R37" s="11"/>
      <c r="T37" s="2" t="str">
        <f t="shared" si="7"/>
        <v/>
      </c>
      <c r="U37" s="11"/>
      <c r="V37" s="11"/>
      <c r="X37" s="3">
        <v>2</v>
      </c>
      <c r="Y37" s="5">
        <v>8</v>
      </c>
      <c r="Z37" s="5">
        <v>1</v>
      </c>
      <c r="AA37" s="5">
        <v>0</v>
      </c>
      <c r="AB37" s="5">
        <f t="shared" ca="1" si="3"/>
        <v>1</v>
      </c>
      <c r="AC37" s="17" t="s">
        <v>35</v>
      </c>
      <c r="AD37" s="3">
        <f t="shared" si="4"/>
        <v>0</v>
      </c>
      <c r="AE37" s="3">
        <f t="shared" si="8"/>
        <v>0</v>
      </c>
      <c r="AF37" s="16">
        <f t="shared" si="5"/>
        <v>0</v>
      </c>
      <c r="AG37" s="56">
        <f>IFERROR(SUMIF($X$30:$X$53,$X$37,$AE$30:$AE$53)/$AE$54,0)</f>
        <v>0.25380710659898476</v>
      </c>
    </row>
    <row r="38" spans="1:33" x14ac:dyDescent="0.2">
      <c r="A38">
        <f t="shared" si="0"/>
        <v>11</v>
      </c>
      <c r="B38" s="3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P38" s="23"/>
      <c r="Q38" s="11"/>
      <c r="R38" s="11"/>
      <c r="T38" s="2" t="str">
        <f t="shared" si="7"/>
        <v/>
      </c>
      <c r="U38" s="11"/>
      <c r="V38" s="11"/>
      <c r="X38" s="3">
        <v>3</v>
      </c>
      <c r="Y38" s="5">
        <v>9</v>
      </c>
      <c r="Z38" s="5">
        <v>1</v>
      </c>
      <c r="AA38" s="5">
        <v>0</v>
      </c>
      <c r="AB38" s="5">
        <f t="shared" ca="1" si="3"/>
        <v>0</v>
      </c>
      <c r="AC38" s="17" t="s">
        <v>33</v>
      </c>
      <c r="AD38" s="3">
        <f t="shared" si="4"/>
        <v>0</v>
      </c>
      <c r="AE38" s="13">
        <f t="shared" si="8"/>
        <v>0</v>
      </c>
      <c r="AF38" s="24">
        <f t="shared" si="5"/>
        <v>0</v>
      </c>
      <c r="AG38" s="15"/>
    </row>
    <row r="39" spans="1:33" ht="15" thickBot="1" x14ac:dyDescent="0.25">
      <c r="A39">
        <f t="shared" si="0"/>
        <v>12</v>
      </c>
      <c r="B39" s="3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O39" s="39" t="s">
        <v>58</v>
      </c>
      <c r="P39" s="40">
        <f>I30-Q39</f>
        <v>0</v>
      </c>
      <c r="Q39" s="50">
        <f>SUM(Q30:Q38)</f>
        <v>9850</v>
      </c>
      <c r="R39" s="55">
        <f>IFERROR(SUMPRODUCT(Q30:Q38,R30:R38)/SUM(Q30:Q38),0)</f>
        <v>1.4905939086294417</v>
      </c>
      <c r="S39" s="39" t="s">
        <v>59</v>
      </c>
      <c r="T39" s="40">
        <f>I30-U39</f>
        <v>0</v>
      </c>
      <c r="U39" s="50">
        <f>SUM(U30:U38)</f>
        <v>9850</v>
      </c>
      <c r="V39" s="55">
        <f>IFERROR(SUMPRODUCT(U30:U38,V30:V38)/SUM(U30:U38),0)</f>
        <v>1.4905939086294417</v>
      </c>
      <c r="X39" s="3">
        <v>3</v>
      </c>
      <c r="Y39" s="5">
        <v>10</v>
      </c>
      <c r="Z39" s="5">
        <v>1</v>
      </c>
      <c r="AA39" s="5">
        <v>0</v>
      </c>
      <c r="AB39" s="5">
        <f t="shared" ca="1" si="3"/>
        <v>0</v>
      </c>
      <c r="AC39" s="17" t="s">
        <v>34</v>
      </c>
      <c r="AD39" s="3">
        <f t="shared" si="4"/>
        <v>0</v>
      </c>
      <c r="AE39" s="3">
        <f t="shared" si="8"/>
        <v>0</v>
      </c>
      <c r="AF39" s="24">
        <f t="shared" si="5"/>
        <v>0</v>
      </c>
      <c r="AG39" s="15"/>
    </row>
    <row r="40" spans="1:33" ht="15" thickTop="1" x14ac:dyDescent="0.2">
      <c r="A40">
        <f t="shared" si="0"/>
        <v>13</v>
      </c>
      <c r="B40" s="3">
        <f t="shared" si="1"/>
        <v>11</v>
      </c>
      <c r="C40" s="1" t="str">
        <f t="shared" si="2"/>
        <v>KKP</v>
      </c>
      <c r="D40" s="26"/>
      <c r="E40" s="22"/>
      <c r="G40" s="38"/>
      <c r="H40" s="36"/>
      <c r="I40" s="22"/>
      <c r="J40" s="22"/>
      <c r="K40" s="22"/>
      <c r="L40" s="37"/>
      <c r="M40" s="37"/>
      <c r="X40" s="3">
        <v>3</v>
      </c>
      <c r="Y40" s="5">
        <v>11</v>
      </c>
      <c r="Z40" s="5">
        <v>1</v>
      </c>
      <c r="AA40" s="5">
        <v>0</v>
      </c>
      <c r="AB40" s="5">
        <f t="shared" ca="1" si="3"/>
        <v>0</v>
      </c>
      <c r="AC40" s="17" t="s">
        <v>37</v>
      </c>
      <c r="AD40" s="3">
        <f t="shared" si="4"/>
        <v>0</v>
      </c>
      <c r="AE40" s="3">
        <f t="shared" si="8"/>
        <v>0</v>
      </c>
      <c r="AF40" s="24">
        <f t="shared" si="5"/>
        <v>0</v>
      </c>
      <c r="AG40" s="15"/>
    </row>
    <row r="41" spans="1:33" x14ac:dyDescent="0.2">
      <c r="A41">
        <f t="shared" si="0"/>
        <v>14</v>
      </c>
      <c r="B41" s="3">
        <f t="shared" si="1"/>
        <v>12</v>
      </c>
      <c r="C41" s="1" t="str">
        <f t="shared" si="2"/>
        <v>GSB</v>
      </c>
      <c r="D41" s="26"/>
      <c r="E41" s="22"/>
      <c r="G41" s="38"/>
      <c r="H41" s="36"/>
      <c r="I41" s="22"/>
      <c r="J41" s="22"/>
      <c r="K41" s="22"/>
      <c r="L41" s="37"/>
      <c r="M41" s="37"/>
      <c r="P41" s="28" t="str">
        <f>"Auction Excute : " &amp;G31</f>
        <v>Auction Excute : CB19404A</v>
      </c>
      <c r="T41" s="4" t="s">
        <v>18</v>
      </c>
      <c r="X41" s="3">
        <v>3</v>
      </c>
      <c r="Y41" s="5">
        <v>12</v>
      </c>
      <c r="Z41" s="5">
        <v>1</v>
      </c>
      <c r="AA41" s="5">
        <v>0</v>
      </c>
      <c r="AB41" s="5">
        <f t="shared" ca="1" si="3"/>
        <v>0</v>
      </c>
      <c r="AC41" s="17" t="s">
        <v>14</v>
      </c>
      <c r="AD41" s="3">
        <f t="shared" si="4"/>
        <v>0</v>
      </c>
      <c r="AE41" s="3">
        <f t="shared" si="8"/>
        <v>0</v>
      </c>
      <c r="AF41" s="24">
        <f t="shared" si="5"/>
        <v>0</v>
      </c>
      <c r="AG41" s="15"/>
    </row>
    <row r="42" spans="1:33" x14ac:dyDescent="0.2">
      <c r="A42">
        <f t="shared" si="0"/>
        <v>15</v>
      </c>
      <c r="B42" s="3">
        <f t="shared" si="1"/>
        <v>13</v>
      </c>
      <c r="C42" s="1" t="str">
        <f t="shared" si="2"/>
        <v>SCB</v>
      </c>
      <c r="D42" s="26"/>
      <c r="E42" s="22"/>
      <c r="G42" s="38"/>
      <c r="H42" s="36"/>
      <c r="I42" s="22"/>
      <c r="J42" s="22"/>
      <c r="K42" s="22"/>
      <c r="L42" s="37"/>
      <c r="M42" s="37"/>
      <c r="P42" s="20" t="s">
        <v>0</v>
      </c>
      <c r="Q42" s="20" t="s">
        <v>64</v>
      </c>
      <c r="R42" s="20" t="s">
        <v>23</v>
      </c>
      <c r="T42" s="20" t="s">
        <v>0</v>
      </c>
      <c r="U42" s="20" t="s">
        <v>64</v>
      </c>
      <c r="V42" s="20" t="s">
        <v>23</v>
      </c>
      <c r="X42" s="3">
        <v>3</v>
      </c>
      <c r="Y42" s="5">
        <v>13</v>
      </c>
      <c r="Z42" s="5">
        <v>1</v>
      </c>
      <c r="AA42" s="5">
        <v>0</v>
      </c>
      <c r="AB42" s="5">
        <f t="shared" ca="1" si="3"/>
        <v>1</v>
      </c>
      <c r="AC42" s="17" t="s">
        <v>8</v>
      </c>
      <c r="AD42" s="3">
        <f t="shared" si="4"/>
        <v>0</v>
      </c>
      <c r="AE42" s="3">
        <f t="shared" si="8"/>
        <v>0</v>
      </c>
      <c r="AF42" s="24">
        <f t="shared" si="5"/>
        <v>0</v>
      </c>
      <c r="AG42" s="15"/>
    </row>
    <row r="43" spans="1:33" x14ac:dyDescent="0.2">
      <c r="A43">
        <f t="shared" si="0"/>
        <v>16</v>
      </c>
      <c r="B43" s="3">
        <f t="shared" si="1"/>
        <v>14</v>
      </c>
      <c r="C43" s="1" t="str">
        <f t="shared" si="2"/>
        <v>KGI</v>
      </c>
      <c r="D43" s="26"/>
      <c r="E43" s="22"/>
      <c r="G43" s="38"/>
      <c r="H43" s="36"/>
      <c r="I43" s="22"/>
      <c r="J43" s="22"/>
      <c r="K43" s="22"/>
      <c r="L43" s="37"/>
      <c r="M43" s="37"/>
      <c r="P43" s="23"/>
      <c r="Q43" s="11"/>
      <c r="R43" s="11"/>
      <c r="T43" s="2" t="str">
        <f>IF(ISBLANK(P43),"",P43)</f>
        <v/>
      </c>
      <c r="U43" s="11"/>
      <c r="V43" s="11"/>
      <c r="X43" s="3">
        <v>3</v>
      </c>
      <c r="Y43" s="5">
        <v>14</v>
      </c>
      <c r="Z43" s="5">
        <v>1</v>
      </c>
      <c r="AA43" s="5">
        <v>0</v>
      </c>
      <c r="AB43" s="5">
        <f t="shared" ca="1" si="3"/>
        <v>0</v>
      </c>
      <c r="AC43" s="17" t="s">
        <v>39</v>
      </c>
      <c r="AD43" s="3">
        <f t="shared" si="4"/>
        <v>0</v>
      </c>
      <c r="AE43" s="3">
        <f t="shared" si="8"/>
        <v>0</v>
      </c>
      <c r="AF43" s="24">
        <f t="shared" si="5"/>
        <v>0</v>
      </c>
      <c r="AG43" s="15"/>
    </row>
    <row r="44" spans="1:33" x14ac:dyDescent="0.2">
      <c r="A44">
        <f t="shared" si="0"/>
        <v>17</v>
      </c>
      <c r="B44" s="3">
        <f t="shared" si="1"/>
        <v>15</v>
      </c>
      <c r="C44" s="1" t="str">
        <f t="shared" si="2"/>
        <v>CITIBANK</v>
      </c>
      <c r="D44" s="26"/>
      <c r="E44" s="22"/>
      <c r="G44" s="38"/>
      <c r="H44" s="36"/>
      <c r="I44" s="22"/>
      <c r="J44" s="22"/>
      <c r="K44" s="22"/>
      <c r="L44" s="37"/>
      <c r="M44" s="37"/>
      <c r="P44" s="23"/>
      <c r="Q44" s="11"/>
      <c r="R44" s="11"/>
      <c r="T44" s="2" t="str">
        <f t="shared" ref="T44:T51" si="9">IF(ISBLANK(P44),"",P44)</f>
        <v/>
      </c>
      <c r="U44" s="11"/>
      <c r="V44" s="11"/>
      <c r="X44" s="3">
        <v>3</v>
      </c>
      <c r="Y44" s="5">
        <v>15</v>
      </c>
      <c r="Z44" s="5">
        <v>1</v>
      </c>
      <c r="AA44" s="5">
        <v>0</v>
      </c>
      <c r="AB44" s="5">
        <f t="shared" ca="1" si="3"/>
        <v>1</v>
      </c>
      <c r="AC44" s="17" t="s">
        <v>36</v>
      </c>
      <c r="AD44" s="3">
        <f t="shared" si="4"/>
        <v>0</v>
      </c>
      <c r="AE44" s="13">
        <f t="shared" si="8"/>
        <v>0</v>
      </c>
      <c r="AF44" s="24">
        <f t="shared" si="5"/>
        <v>0</v>
      </c>
      <c r="AG44" s="15"/>
    </row>
    <row r="45" spans="1:33" x14ac:dyDescent="0.2">
      <c r="A45">
        <f t="shared" si="0"/>
        <v>18</v>
      </c>
      <c r="B45" s="3">
        <f t="shared" si="1"/>
        <v>16</v>
      </c>
      <c r="C45" s="1" t="str">
        <f t="shared" si="2"/>
        <v>HSBC</v>
      </c>
      <c r="D45" s="26"/>
      <c r="E45" s="22"/>
      <c r="G45" s="38"/>
      <c r="H45" s="36"/>
      <c r="I45" s="22"/>
      <c r="J45" s="22"/>
      <c r="K45" s="22"/>
      <c r="L45" s="37"/>
      <c r="M45" s="37"/>
      <c r="P45" s="23"/>
      <c r="Q45" s="11"/>
      <c r="R45" s="11"/>
      <c r="T45" s="2" t="str">
        <f t="shared" si="9"/>
        <v/>
      </c>
      <c r="U45" s="11"/>
      <c r="V45" s="11"/>
      <c r="X45" s="3">
        <v>3</v>
      </c>
      <c r="Y45" s="5">
        <v>16</v>
      </c>
      <c r="Z45" s="5">
        <v>1</v>
      </c>
      <c r="AA45" s="5">
        <v>0</v>
      </c>
      <c r="AB45" s="5">
        <f t="shared" ca="1" si="3"/>
        <v>0</v>
      </c>
      <c r="AC45" s="17" t="s">
        <v>15</v>
      </c>
      <c r="AD45" s="3">
        <f t="shared" si="4"/>
        <v>0</v>
      </c>
      <c r="AE45" s="13">
        <f t="shared" si="8"/>
        <v>0</v>
      </c>
      <c r="AF45" s="24">
        <f t="shared" si="5"/>
        <v>0</v>
      </c>
      <c r="AG45" s="15"/>
    </row>
    <row r="46" spans="1:33" x14ac:dyDescent="0.2">
      <c r="A46">
        <f t="shared" si="0"/>
        <v>19</v>
      </c>
      <c r="B46" s="3">
        <f t="shared" si="1"/>
        <v>17</v>
      </c>
      <c r="C46" s="1" t="str">
        <f t="shared" si="2"/>
        <v>BAML</v>
      </c>
      <c r="D46" s="26"/>
      <c r="E46" s="22"/>
      <c r="G46" s="38"/>
      <c r="H46" s="36"/>
      <c r="I46" s="22"/>
      <c r="J46" s="22"/>
      <c r="K46" s="22"/>
      <c r="L46" s="37"/>
      <c r="M46" s="37"/>
      <c r="P46" s="23"/>
      <c r="Q46" s="11"/>
      <c r="R46" s="11"/>
      <c r="T46" s="2" t="str">
        <f t="shared" si="9"/>
        <v/>
      </c>
      <c r="U46" s="11"/>
      <c r="V46" s="11"/>
      <c r="X46" s="3">
        <v>3</v>
      </c>
      <c r="Y46" s="5">
        <v>17</v>
      </c>
      <c r="Z46" s="5">
        <v>1</v>
      </c>
      <c r="AA46" s="5">
        <v>0</v>
      </c>
      <c r="AB46" s="5">
        <f t="shared" ca="1" si="3"/>
        <v>1</v>
      </c>
      <c r="AC46" s="17" t="s">
        <v>40</v>
      </c>
      <c r="AD46" s="3">
        <f t="shared" si="4"/>
        <v>0</v>
      </c>
      <c r="AE46" s="13">
        <f t="shared" si="8"/>
        <v>0</v>
      </c>
      <c r="AF46" s="24">
        <f t="shared" si="5"/>
        <v>0</v>
      </c>
      <c r="AG46" s="15"/>
    </row>
    <row r="47" spans="1:33" x14ac:dyDescent="0.2">
      <c r="A47">
        <f t="shared" si="0"/>
        <v>20</v>
      </c>
      <c r="B47" s="3">
        <f t="shared" si="1"/>
        <v>18</v>
      </c>
      <c r="C47" s="1" t="str">
        <f t="shared" si="2"/>
        <v>JP_MORGAN</v>
      </c>
      <c r="D47" s="26"/>
      <c r="E47" s="22"/>
      <c r="G47" s="38"/>
      <c r="H47" s="36"/>
      <c r="I47" s="22"/>
      <c r="J47" s="22"/>
      <c r="K47" s="22"/>
      <c r="L47" s="37"/>
      <c r="M47" s="37"/>
      <c r="P47" s="23"/>
      <c r="Q47" s="11"/>
      <c r="R47" s="11"/>
      <c r="T47" s="2" t="str">
        <f t="shared" si="9"/>
        <v/>
      </c>
      <c r="U47" s="11"/>
      <c r="V47" s="11"/>
      <c r="X47" s="3">
        <v>3</v>
      </c>
      <c r="Y47" s="5">
        <v>18</v>
      </c>
      <c r="Z47" s="5">
        <v>1</v>
      </c>
      <c r="AA47" s="5">
        <v>0</v>
      </c>
      <c r="AB47" s="5">
        <f t="shared" ca="1" si="3"/>
        <v>0</v>
      </c>
      <c r="AC47" s="17" t="s">
        <v>41</v>
      </c>
      <c r="AD47" s="3">
        <f t="shared" si="4"/>
        <v>0</v>
      </c>
      <c r="AE47" s="13">
        <f t="shared" si="8"/>
        <v>0</v>
      </c>
      <c r="AF47" s="24">
        <f t="shared" si="5"/>
        <v>0</v>
      </c>
      <c r="AG47" s="15"/>
    </row>
    <row r="48" spans="1:33" x14ac:dyDescent="0.2">
      <c r="A48">
        <f t="shared" si="0"/>
        <v>21</v>
      </c>
      <c r="B48" s="3">
        <f t="shared" si="1"/>
        <v>19</v>
      </c>
      <c r="C48" s="1" t="str">
        <f t="shared" si="2"/>
        <v>DEUTSCHE_BAN</v>
      </c>
      <c r="D48" s="26"/>
      <c r="E48" s="22"/>
      <c r="G48" s="38"/>
      <c r="H48" s="36"/>
      <c r="I48" s="22"/>
      <c r="J48" s="22"/>
      <c r="K48" s="22"/>
      <c r="L48" s="37"/>
      <c r="M48" s="37"/>
      <c r="P48" s="23"/>
      <c r="Q48" s="11"/>
      <c r="R48" s="11"/>
      <c r="T48" s="2" t="str">
        <f t="shared" si="9"/>
        <v/>
      </c>
      <c r="U48" s="11"/>
      <c r="V48" s="11"/>
      <c r="X48" s="3">
        <v>3</v>
      </c>
      <c r="Y48" s="5">
        <v>19</v>
      </c>
      <c r="Z48" s="5">
        <v>1</v>
      </c>
      <c r="AA48" s="5">
        <v>0</v>
      </c>
      <c r="AB48" s="5">
        <f t="shared" ca="1" si="3"/>
        <v>1</v>
      </c>
      <c r="AC48" s="17" t="s">
        <v>68</v>
      </c>
      <c r="AD48" s="3">
        <f t="shared" si="4"/>
        <v>0</v>
      </c>
      <c r="AE48" s="13">
        <f t="shared" si="8"/>
        <v>0</v>
      </c>
      <c r="AF48" s="24">
        <f t="shared" si="5"/>
        <v>0</v>
      </c>
      <c r="AG48" s="15"/>
    </row>
    <row r="49" spans="1:33" x14ac:dyDescent="0.2">
      <c r="A49">
        <f t="shared" si="0"/>
        <v>22</v>
      </c>
      <c r="B49" s="3">
        <f t="shared" si="1"/>
        <v>20</v>
      </c>
      <c r="C49" s="1" t="str">
        <f t="shared" si="2"/>
        <v>UOBT</v>
      </c>
      <c r="D49" s="26"/>
      <c r="E49" s="22"/>
      <c r="G49" s="38"/>
      <c r="H49" s="36"/>
      <c r="I49" s="22"/>
      <c r="J49" s="22"/>
      <c r="K49" s="22"/>
      <c r="L49" s="37"/>
      <c r="M49" s="37"/>
      <c r="P49" s="23"/>
      <c r="Q49" s="11"/>
      <c r="R49" s="11"/>
      <c r="T49" s="2" t="str">
        <f t="shared" si="9"/>
        <v/>
      </c>
      <c r="U49" s="11"/>
      <c r="V49" s="11"/>
      <c r="X49" s="3">
        <v>3</v>
      </c>
      <c r="Y49" s="5">
        <v>20</v>
      </c>
      <c r="Z49" s="5">
        <v>1</v>
      </c>
      <c r="AA49" s="5">
        <v>0</v>
      </c>
      <c r="AB49" s="5">
        <f t="shared" ca="1" si="3"/>
        <v>0</v>
      </c>
      <c r="AC49" s="17" t="s">
        <v>38</v>
      </c>
      <c r="AD49" s="3">
        <f t="shared" si="4"/>
        <v>0</v>
      </c>
      <c r="AE49" s="13">
        <f t="shared" si="8"/>
        <v>0</v>
      </c>
      <c r="AF49" s="24">
        <f t="shared" si="5"/>
        <v>0</v>
      </c>
      <c r="AG49" s="15"/>
    </row>
    <row r="50" spans="1:33" x14ac:dyDescent="0.2">
      <c r="A50">
        <f t="shared" si="0"/>
        <v>23</v>
      </c>
      <c r="B50" s="3">
        <f t="shared" si="1"/>
        <v>21</v>
      </c>
      <c r="C50" s="1" t="str">
        <f t="shared" si="2"/>
        <v>CNS</v>
      </c>
      <c r="D50" s="26"/>
      <c r="E50" s="22"/>
      <c r="G50" s="38"/>
      <c r="H50" s="36"/>
      <c r="I50" s="22"/>
      <c r="J50" s="22"/>
      <c r="K50" s="22"/>
      <c r="L50" s="37"/>
      <c r="M50" s="37"/>
      <c r="P50" s="23"/>
      <c r="Q50" s="11"/>
      <c r="R50" s="11"/>
      <c r="T50" s="2" t="str">
        <f t="shared" si="9"/>
        <v/>
      </c>
      <c r="U50" s="11"/>
      <c r="V50" s="11"/>
      <c r="X50" s="3">
        <v>3</v>
      </c>
      <c r="Y50" s="5">
        <v>21</v>
      </c>
      <c r="Z50" s="5">
        <v>1</v>
      </c>
      <c r="AA50" s="5">
        <v>0</v>
      </c>
      <c r="AB50" s="5">
        <f t="shared" ca="1" si="3"/>
        <v>0</v>
      </c>
      <c r="AC50" s="17" t="s">
        <v>43</v>
      </c>
      <c r="AD50" s="3">
        <f t="shared" si="4"/>
        <v>0</v>
      </c>
      <c r="AE50" s="13">
        <f t="shared" si="8"/>
        <v>0</v>
      </c>
      <c r="AF50" s="24">
        <f t="shared" si="5"/>
        <v>0</v>
      </c>
      <c r="AG50" s="15"/>
    </row>
    <row r="51" spans="1:33" x14ac:dyDescent="0.2">
      <c r="A51">
        <f t="shared" si="0"/>
        <v>24</v>
      </c>
      <c r="B51" s="3">
        <f t="shared" si="1"/>
        <v>22</v>
      </c>
      <c r="C51" s="1" t="str">
        <f t="shared" si="2"/>
        <v>ANZT</v>
      </c>
      <c r="D51" s="26"/>
      <c r="E51" s="22"/>
      <c r="P51" s="23"/>
      <c r="Q51" s="11"/>
      <c r="R51" s="11"/>
      <c r="T51" s="2" t="str">
        <f t="shared" si="9"/>
        <v/>
      </c>
      <c r="U51" s="11"/>
      <c r="V51" s="11"/>
      <c r="X51" s="3">
        <v>3</v>
      </c>
      <c r="Y51" s="5">
        <v>22</v>
      </c>
      <c r="Z51" s="5">
        <v>1</v>
      </c>
      <c r="AA51" s="5">
        <v>0</v>
      </c>
      <c r="AB51" s="5">
        <f t="shared" ca="1" si="3"/>
        <v>0</v>
      </c>
      <c r="AC51" s="17" t="s">
        <v>42</v>
      </c>
      <c r="AD51" s="3">
        <f t="shared" si="4"/>
        <v>0</v>
      </c>
      <c r="AE51" s="13">
        <f t="shared" si="8"/>
        <v>0</v>
      </c>
      <c r="AF51" s="24">
        <f t="shared" si="5"/>
        <v>0</v>
      </c>
      <c r="AG51" s="15"/>
    </row>
    <row r="52" spans="1:33" ht="15" thickBot="1" x14ac:dyDescent="0.25">
      <c r="A52">
        <f t="shared" si="0"/>
        <v>25</v>
      </c>
      <c r="B52" s="3">
        <f t="shared" si="1"/>
        <v>23</v>
      </c>
      <c r="C52" s="1" t="str">
        <f t="shared" si="2"/>
        <v>PHATRA</v>
      </c>
      <c r="D52" s="26"/>
      <c r="E52" s="22"/>
      <c r="O52" s="39" t="s">
        <v>58</v>
      </c>
      <c r="P52" s="40">
        <f>I31-Q52</f>
        <v>100</v>
      </c>
      <c r="Q52" s="50">
        <f>SUM(Q43:Q51)</f>
        <v>0</v>
      </c>
      <c r="R52" s="55">
        <f>IFERROR(SUMPRODUCT(Q43:Q51,R43:R51)/SUM(Q43:Q51),0)</f>
        <v>0</v>
      </c>
      <c r="S52" s="39" t="s">
        <v>59</v>
      </c>
      <c r="T52" s="40">
        <f>I31-U52</f>
        <v>100</v>
      </c>
      <c r="U52" s="50">
        <f>SUM(U43:U51)</f>
        <v>0</v>
      </c>
      <c r="V52" s="55">
        <f>IFERROR(SUMPRODUCT(U43:U51,V43:V51)/SUM(U43:U51),0)</f>
        <v>0</v>
      </c>
      <c r="X52" s="3">
        <v>3</v>
      </c>
      <c r="Y52" s="5">
        <v>23</v>
      </c>
      <c r="Z52" s="5">
        <v>1</v>
      </c>
      <c r="AA52" s="5">
        <v>0</v>
      </c>
      <c r="AB52" s="5">
        <f t="shared" ca="1" si="3"/>
        <v>0</v>
      </c>
      <c r="AC52" s="17" t="s">
        <v>44</v>
      </c>
      <c r="AD52" s="3">
        <f t="shared" si="4"/>
        <v>0</v>
      </c>
      <c r="AE52" s="13">
        <f t="shared" si="8"/>
        <v>0</v>
      </c>
      <c r="AF52" s="24">
        <f t="shared" si="5"/>
        <v>0</v>
      </c>
      <c r="AG52" s="15"/>
    </row>
    <row r="53" spans="1:33" ht="15" thickTop="1" x14ac:dyDescent="0.2">
      <c r="A53">
        <f t="shared" si="0"/>
        <v>26</v>
      </c>
      <c r="B53" s="3">
        <f t="shared" si="1"/>
        <v>24</v>
      </c>
      <c r="C53" s="1" t="str">
        <f t="shared" si="2"/>
        <v>MBKET</v>
      </c>
      <c r="D53" s="26"/>
      <c r="E53" s="22"/>
      <c r="X53" s="3">
        <v>3</v>
      </c>
      <c r="Y53" s="5">
        <v>24</v>
      </c>
      <c r="Z53" s="5">
        <v>1</v>
      </c>
      <c r="AA53" s="5">
        <v>0</v>
      </c>
      <c r="AB53" s="5">
        <f t="shared" ca="1" si="3"/>
        <v>0</v>
      </c>
      <c r="AC53" s="17" t="s">
        <v>45</v>
      </c>
      <c r="AD53" s="3">
        <f t="shared" si="4"/>
        <v>0</v>
      </c>
      <c r="AE53" s="13">
        <f t="shared" si="8"/>
        <v>0</v>
      </c>
      <c r="AF53" s="16">
        <f t="shared" si="5"/>
        <v>0</v>
      </c>
      <c r="AG53" s="56">
        <f>IFERROR(SUMIF($X$30:$X$53,$X$53,$AE$30:$AE$53)/$AE$54,0)</f>
        <v>0</v>
      </c>
    </row>
    <row r="54" spans="1:33" ht="15" thickBot="1" x14ac:dyDescent="0.25">
      <c r="D54" s="50">
        <f>SUM(D30:D53)</f>
        <v>9850</v>
      </c>
      <c r="E54" s="45">
        <f>IFERROR(SUMPRODUCT(D30:D33,E30:E33)/SUM(D30:D33),0)</f>
        <v>1.4919870592216582</v>
      </c>
      <c r="F54" s="48"/>
      <c r="P54" s="29" t="str">
        <f>"Auction Excute : " &amp;G32</f>
        <v xml:space="preserve">Auction Excute : </v>
      </c>
      <c r="T54" s="4" t="s">
        <v>18</v>
      </c>
      <c r="AC54" s="20" t="s">
        <v>17</v>
      </c>
      <c r="AD54" s="44">
        <f>SUM(AD30:AD53)</f>
        <v>9850</v>
      </c>
      <c r="AE54" s="44">
        <f>SUM(AE30:AE53)</f>
        <v>9850</v>
      </c>
    </row>
    <row r="55" spans="1:33" ht="15" thickTop="1" x14ac:dyDescent="0.2">
      <c r="A55" s="43" t="s">
        <v>67</v>
      </c>
      <c r="G55" s="4" t="s">
        <v>65</v>
      </c>
      <c r="P55" s="20" t="s">
        <v>0</v>
      </c>
      <c r="Q55" s="20" t="s">
        <v>64</v>
      </c>
      <c r="R55" s="20" t="s">
        <v>23</v>
      </c>
      <c r="T55" s="20" t="s">
        <v>0</v>
      </c>
      <c r="U55" s="20" t="s">
        <v>64</v>
      </c>
      <c r="V55" s="20" t="s">
        <v>23</v>
      </c>
    </row>
    <row r="56" spans="1:33" x14ac:dyDescent="0.2">
      <c r="B56" s="4" t="s">
        <v>26</v>
      </c>
      <c r="G56" s="20" t="s">
        <v>24</v>
      </c>
      <c r="H56" s="20" t="s">
        <v>71</v>
      </c>
      <c r="I56" s="78" t="s">
        <v>66</v>
      </c>
      <c r="J56" s="79"/>
      <c r="K56" s="79"/>
      <c r="L56" s="80"/>
      <c r="P56" s="23"/>
      <c r="Q56" s="11"/>
      <c r="R56" s="11"/>
      <c r="T56" s="2" t="str">
        <f>IF(ISBLANK(P56),"",P56)</f>
        <v/>
      </c>
      <c r="U56" s="11"/>
      <c r="V56" s="11"/>
    </row>
    <row r="57" spans="1:33" ht="15" customHeight="1" x14ac:dyDescent="0.2">
      <c r="B57" t="s">
        <v>27</v>
      </c>
      <c r="C57" s="8">
        <v>1</v>
      </c>
      <c r="G57" s="30" t="str">
        <f>G30</f>
        <v>CB19103B</v>
      </c>
      <c r="H57" s="59">
        <f>H30</f>
        <v>40000</v>
      </c>
      <c r="I57" s="72"/>
      <c r="J57" s="73"/>
      <c r="K57" s="73"/>
      <c r="L57" s="74"/>
      <c r="P57" s="23"/>
      <c r="Q57" s="11"/>
      <c r="R57" s="11"/>
      <c r="T57" s="2" t="str">
        <f t="shared" ref="T57:T64" si="10">IF(ISBLANK(P57),"",P57)</f>
        <v/>
      </c>
      <c r="U57" s="11"/>
      <c r="V57" s="11"/>
    </row>
    <row r="58" spans="1:33" x14ac:dyDescent="0.2">
      <c r="B58" t="s">
        <v>28</v>
      </c>
      <c r="C58" s="8">
        <v>0.4</v>
      </c>
      <c r="G58" s="31" t="str">
        <f>G31</f>
        <v>CB19404A</v>
      </c>
      <c r="H58" s="59">
        <f t="shared" ref="H58:H59" si="11">H31</f>
        <v>40000</v>
      </c>
      <c r="I58" s="72"/>
      <c r="J58" s="73"/>
      <c r="K58" s="73"/>
      <c r="L58" s="74"/>
      <c r="P58" s="23"/>
      <c r="Q58" s="11"/>
      <c r="R58" s="11"/>
      <c r="T58" s="2" t="str">
        <f t="shared" si="10"/>
        <v/>
      </c>
      <c r="U58" s="11"/>
      <c r="V58" s="11"/>
    </row>
    <row r="59" spans="1:33" x14ac:dyDescent="0.2">
      <c r="B59" t="s">
        <v>29</v>
      </c>
      <c r="C59" s="8">
        <v>0.1</v>
      </c>
      <c r="G59" s="32">
        <f>G32</f>
        <v>0</v>
      </c>
      <c r="H59" s="59">
        <f t="shared" si="11"/>
        <v>0</v>
      </c>
      <c r="I59" s="72"/>
      <c r="J59" s="73"/>
      <c r="K59" s="73"/>
      <c r="L59" s="74"/>
      <c r="P59" s="23"/>
      <c r="Q59" s="11"/>
      <c r="R59" s="11"/>
      <c r="T59" s="2" t="str">
        <f t="shared" si="10"/>
        <v/>
      </c>
      <c r="U59" s="11"/>
      <c r="V59" s="11"/>
    </row>
    <row r="60" spans="1:33" x14ac:dyDescent="0.2">
      <c r="P60" s="23"/>
      <c r="Q60" s="11"/>
      <c r="R60" s="11"/>
      <c r="T60" s="2" t="str">
        <f t="shared" si="10"/>
        <v/>
      </c>
      <c r="U60" s="11"/>
      <c r="V60" s="11"/>
    </row>
    <row r="61" spans="1:33" x14ac:dyDescent="0.2">
      <c r="P61" s="23"/>
      <c r="Q61" s="11"/>
      <c r="R61" s="11"/>
      <c r="T61" s="2" t="str">
        <f t="shared" si="10"/>
        <v/>
      </c>
      <c r="U61" s="11"/>
      <c r="V61" s="11"/>
    </row>
    <row r="62" spans="1:33" x14ac:dyDescent="0.2">
      <c r="P62" s="23"/>
      <c r="Q62" s="11"/>
      <c r="R62" s="11"/>
      <c r="T62" s="2" t="str">
        <f t="shared" si="10"/>
        <v/>
      </c>
      <c r="U62" s="11"/>
      <c r="V62" s="11"/>
    </row>
    <row r="63" spans="1:33" x14ac:dyDescent="0.2">
      <c r="P63" s="23"/>
      <c r="Q63" s="11"/>
      <c r="R63" s="11"/>
      <c r="T63" s="2" t="str">
        <f t="shared" si="10"/>
        <v/>
      </c>
      <c r="U63" s="11"/>
      <c r="V63" s="11"/>
    </row>
    <row r="64" spans="1:33" x14ac:dyDescent="0.2">
      <c r="P64" s="23"/>
      <c r="Q64" s="11"/>
      <c r="R64" s="11"/>
      <c r="T64" s="2" t="str">
        <f t="shared" si="10"/>
        <v/>
      </c>
      <c r="U64" s="11"/>
      <c r="V64" s="11"/>
    </row>
    <row r="65" spans="15:22" ht="15" thickBot="1" x14ac:dyDescent="0.25">
      <c r="O65" s="39" t="s">
        <v>58</v>
      </c>
      <c r="P65" s="40">
        <f>I32-Q65</f>
        <v>0</v>
      </c>
      <c r="Q65" s="50">
        <f>SUM(Q56:Q64)</f>
        <v>0</v>
      </c>
      <c r="R65" s="55">
        <f>IFERROR(SUMPRODUCT(Q56:Q64,R56:R64)/SUM(Q56:Q64),0)</f>
        <v>0</v>
      </c>
      <c r="S65" s="39" t="s">
        <v>59</v>
      </c>
      <c r="T65" s="40">
        <f>I32-U65</f>
        <v>0</v>
      </c>
      <c r="U65" s="50">
        <f>SUM(U56:U64)</f>
        <v>0</v>
      </c>
      <c r="V65" s="55">
        <f>IFERROR(SUMPRODUCT(U56:U64,V56:V64)/SUM(U56:U64),0)</f>
        <v>0</v>
      </c>
    </row>
    <row r="66" spans="15:22" ht="15" thickTop="1" x14ac:dyDescent="0.2"/>
  </sheetData>
  <customSheetViews>
    <customSheetView guid="{6C15DDE3-FDA1-4043-B112-CF97717BCD32}" scale="70" hiddenColumns="1" topLeftCell="B1">
      <selection activeCell="V35" sqref="V35"/>
      <pageMargins left="0.7" right="0.7" top="0.75" bottom="0.75" header="0.3" footer="0.3"/>
      <pageSetup orientation="portrait" r:id="rId1"/>
    </customSheetView>
    <customSheetView guid="{03C5F87C-F6F2-4365-B32B-39A15CBBFBBD}" scale="70" hiddenColumns="1" topLeftCell="G1">
      <selection activeCell="V35" sqref="V35"/>
      <pageMargins left="0.7" right="0.7" top="0.75" bottom="0.75" header="0.3" footer="0.3"/>
      <pageSetup orientation="portrait" r:id="rId2"/>
    </customSheetView>
    <customSheetView guid="{32135529-8649-4BD8-8AEE-977D9F2AF573}" scale="70" hiddenRows="1" hiddenColumns="1" topLeftCell="I1">
      <selection activeCell="AE40" sqref="AE40"/>
      <pageMargins left="0.7" right="0.7" top="0.75" bottom="0.75" header="0.3" footer="0.3"/>
      <pageSetup orientation="portrait" r:id="rId3"/>
    </customSheetView>
    <customSheetView guid="{446F2FA9-979D-4645-8D3C-C345EFBD6336}" scale="70" hiddenRows="1" hiddenColumns="1" topLeftCell="I1">
      <selection activeCell="AE40" sqref="AE40"/>
      <pageMargins left="0.7" right="0.7" top="0.75" bottom="0.75" header="0.3" footer="0.3"/>
      <pageSetup orientation="portrait" r:id="rId4"/>
    </customSheetView>
  </customSheetViews>
  <mergeCells count="7">
    <mergeCell ref="I58:L58"/>
    <mergeCell ref="I59:L59"/>
    <mergeCell ref="B2:AC2"/>
    <mergeCell ref="B9:AC9"/>
    <mergeCell ref="B16:AC16"/>
    <mergeCell ref="I56:L56"/>
    <mergeCell ref="I57:L57"/>
  </mergeCells>
  <conditionalFormatting sqref="AG32">
    <cfRule type="cellIs" dxfId="146" priority="51" operator="greaterThan">
      <formula>0.5</formula>
    </cfRule>
    <cfRule type="cellIs" dxfId="145" priority="52" operator="lessThan">
      <formula>0.5</formula>
    </cfRule>
  </conditionalFormatting>
  <conditionalFormatting sqref="AF30:AF53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{F81358A1-B9DF-4043-B25A-791FAA0CF809}</x14:id>
        </ext>
      </extLst>
    </cfRule>
  </conditionalFormatting>
  <conditionalFormatting sqref="E30:E5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0:X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3">
    <cfRule type="cellIs" dxfId="144" priority="69" operator="lessThan">
      <formula>$C$59</formula>
    </cfRule>
    <cfRule type="cellIs" dxfId="143" priority="70" operator="greaterThan">
      <formula>$C$59</formula>
    </cfRule>
  </conditionalFormatting>
  <conditionalFormatting sqref="AG37">
    <cfRule type="cellIs" dxfId="142" priority="71" operator="greaterThan">
      <formula>$C$58</formula>
    </cfRule>
    <cfRule type="cellIs" dxfId="141" priority="72" operator="lessThan">
      <formula>$C$58</formula>
    </cfRule>
  </conditionalFormatting>
  <conditionalFormatting sqref="P39">
    <cfRule type="cellIs" dxfId="140" priority="28" operator="lessThan">
      <formula>0</formula>
    </cfRule>
    <cfRule type="cellIs" dxfId="139" priority="33" operator="equal">
      <formula>0</formula>
    </cfRule>
    <cfRule type="cellIs" dxfId="138" priority="34" operator="greaterThan">
      <formula>0</formula>
    </cfRule>
  </conditionalFormatting>
  <conditionalFormatting sqref="T52">
    <cfRule type="cellIs" dxfId="137" priority="8" operator="lessThan">
      <formula>0</formula>
    </cfRule>
    <cfRule type="cellIs" dxfId="136" priority="9" operator="equal">
      <formula>0</formula>
    </cfRule>
    <cfRule type="cellIs" dxfId="135" priority="10" operator="greaterThan">
      <formula>0</formula>
    </cfRule>
  </conditionalFormatting>
  <conditionalFormatting sqref="P52">
    <cfRule type="cellIs" dxfId="134" priority="19" operator="lessThan">
      <formula>0</formula>
    </cfRule>
    <cfRule type="cellIs" dxfId="133" priority="20" operator="equal">
      <formula>0</formula>
    </cfRule>
    <cfRule type="cellIs" dxfId="132" priority="21" operator="greaterThan">
      <formula>0</formula>
    </cfRule>
  </conditionalFormatting>
  <conditionalFormatting sqref="P65">
    <cfRule type="cellIs" dxfId="131" priority="16" operator="lessThan">
      <formula>0</formula>
    </cfRule>
    <cfRule type="cellIs" dxfId="130" priority="17" operator="equal">
      <formula>0</formula>
    </cfRule>
    <cfRule type="cellIs" dxfId="129" priority="18" operator="greaterThan">
      <formula>0</formula>
    </cfRule>
  </conditionalFormatting>
  <conditionalFormatting sqref="T39">
    <cfRule type="cellIs" dxfId="128" priority="11" operator="lessThan">
      <formula>0</formula>
    </cfRule>
    <cfRule type="cellIs" dxfId="127" priority="12" operator="equal">
      <formula>0</formula>
    </cfRule>
    <cfRule type="cellIs" dxfId="126" priority="13" operator="greaterThan">
      <formula>0</formula>
    </cfRule>
  </conditionalFormatting>
  <conditionalFormatting sqref="T65">
    <cfRule type="cellIs" dxfId="125" priority="5" operator="lessThan">
      <formula>0</formula>
    </cfRule>
    <cfRule type="cellIs" dxfId="124" priority="6" operator="equal">
      <formula>0</formula>
    </cfRule>
    <cfRule type="cellIs" dxfId="123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122" priority="3" rank="4"/>
  </conditionalFormatting>
  <conditionalFormatting sqref="C11:Z13">
    <cfRule type="top10" dxfId="121" priority="2" rank="4"/>
  </conditionalFormatting>
  <conditionalFormatting sqref="C18:Z20">
    <cfRule type="top10" dxfId="120" priority="1" rank="4"/>
  </conditionalFormatting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26" r:id="rId8" name="btnForm">
          <controlPr defaultSize="0" autoLine="0" r:id="rId9">
            <anchor moveWithCells="1">
              <from>
                <xdr:col>10</xdr:col>
                <xdr:colOff>123825</xdr:colOff>
                <xdr:row>50</xdr:row>
                <xdr:rowOff>171450</xdr:rowOff>
              </from>
              <to>
                <xdr:col>11</xdr:col>
                <xdr:colOff>466725</xdr:colOff>
                <xdr:row>53</xdr:row>
                <xdr:rowOff>0</xdr:rowOff>
              </to>
            </anchor>
          </controlPr>
        </control>
      </mc:Choice>
      <mc:Fallback>
        <control shapeId="1026" r:id="rId8" name="btnForm"/>
      </mc:Fallback>
    </mc:AlternateContent>
    <mc:AlternateContent xmlns:mc="http://schemas.openxmlformats.org/markup-compatibility/2006">
      <mc:Choice Requires="x14">
        <control shapeId="1048" r:id="rId10" name="Button 24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9525</xdr:rowOff>
              </from>
              <to>
                <xdr:col>7</xdr:col>
                <xdr:colOff>438150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get_impiled_yield">
            <anchor moveWithCells="1" sizeWithCells="1">
              <from>
                <xdr:col>7</xdr:col>
                <xdr:colOff>514350</xdr:colOff>
                <xdr:row>50</xdr:row>
                <xdr:rowOff>171450</xdr:rowOff>
              </from>
              <to>
                <xdr:col>8</xdr:col>
                <xdr:colOff>819150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2" name="Button 26">
          <controlPr defaultSize="0" print="0" autoFill="0" autoPict="0" macro="[0]!clear_ws">
            <anchor moveWithCells="1" sizeWithCells="1">
              <from>
                <xdr:col>8</xdr:col>
                <xdr:colOff>923925</xdr:colOff>
                <xdr:row>50</xdr:row>
                <xdr:rowOff>171450</xdr:rowOff>
              </from>
              <to>
                <xdr:col>9</xdr:col>
                <xdr:colOff>1114425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1358A1-B9DF-4043-B25A-791FAA0CF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AF30:AF53</xm:sqref>
        </x14:conditionalFormatting>
        <x14:conditionalFormatting xmlns:xm="http://schemas.microsoft.com/office/excel/2006/main">
          <x14:cfRule type="iconSet" priority="66" id="{60FD38A3-2561-481C-BDAB-836B2DD1A07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AB30:AB53</xm:sqref>
        </x14:conditionalFormatting>
        <x14:conditionalFormatting xmlns:xm="http://schemas.microsoft.com/office/excel/2006/main">
          <x14:cfRule type="iconSet" priority="68" id="{5F847777-C564-4492-9119-49D885FF7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Z30:AA53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F25B9-1D04-4A72-A553-52367B01B825}">
  <sheetPr codeName="Sheet3"/>
  <dimension ref="A1:AS66"/>
  <sheetViews>
    <sheetView topLeftCell="B1" zoomScale="70" zoomScaleNormal="70" workbookViewId="0">
      <selection activeCell="G10" sqref="G10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0" customWidth="1"/>
    <col min="4" max="4" width="13.125" customWidth="1"/>
    <col min="5" max="5" width="14.625" customWidth="1"/>
    <col min="6" max="6" width="12" customWidth="1"/>
    <col min="7" max="7" width="15.625" customWidth="1"/>
    <col min="8" max="8" width="15.375" customWidth="1"/>
    <col min="9" max="9" width="16.875" customWidth="1"/>
    <col min="10" max="10" width="16.5" customWidth="1"/>
    <col min="11" max="11" width="15" customWidth="1"/>
    <col min="12" max="12" width="15.125" customWidth="1"/>
    <col min="13" max="13" width="14.875" customWidth="1"/>
    <col min="14" max="14" width="14.375" customWidth="1"/>
    <col min="15" max="15" width="12.875" customWidth="1"/>
    <col min="16" max="16" width="12.625" customWidth="1"/>
    <col min="17" max="17" width="13" customWidth="1"/>
    <col min="18" max="18" width="13.125" customWidth="1"/>
    <col min="19" max="19" width="13.625" customWidth="1"/>
    <col min="20" max="21" width="12.375" customWidth="1"/>
    <col min="22" max="22" width="11.625" customWidth="1"/>
    <col min="23" max="23" width="12.5" hidden="1" customWidth="1" outlineLevel="1"/>
    <col min="24" max="24" width="10.875" hidden="1" customWidth="1" outlineLevel="1"/>
    <col min="25" max="25" width="10.625" hidden="1" customWidth="1" outlineLevel="1"/>
    <col min="26" max="26" width="11.375" hidden="1" customWidth="1" outlineLevel="1"/>
    <col min="27" max="27" width="11.375" customWidth="1" collapsed="1"/>
    <col min="28" max="28" width="12.125" customWidth="1"/>
    <col min="29" max="29" width="12.375" customWidth="1"/>
    <col min="30" max="30" width="12.5" customWidth="1"/>
    <col min="31" max="31" width="9.5" customWidth="1"/>
    <col min="34" max="34" width="4.5" customWidth="1"/>
    <col min="36" max="36" width="23.87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3" t="str">
        <f xml:space="preserve"> "Auction Dashboard "</f>
        <v xml:space="preserve">Auction Dashboard </v>
      </c>
      <c r="C1" s="53"/>
      <c r="D1" s="54">
        <v>43378</v>
      </c>
      <c r="E1" s="42"/>
    </row>
    <row r="2" spans="2:45" ht="16.149999999999999" customHeight="1" x14ac:dyDescent="0.2">
      <c r="B2" s="75" t="str">
        <f>G30 &amp; " Total Auction Size: " &amp;H30</f>
        <v>CB18O24A Total Auction Size: 35000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7"/>
      <c r="AD2" s="49"/>
    </row>
    <row r="3" spans="2:45" x14ac:dyDescent="0.2">
      <c r="B3" s="20" t="s">
        <v>0</v>
      </c>
      <c r="C3" s="21" t="str">
        <f t="array" ref="C3:Z3">TRANSPOSE($AC$30:$AC$53)</f>
        <v>BNP</v>
      </c>
      <c r="D3" s="21" t="str">
        <v>BBL</v>
      </c>
      <c r="E3" s="21" t="str">
        <v>TMB</v>
      </c>
      <c r="F3" s="21" t="str">
        <v>KBANK</v>
      </c>
      <c r="G3" s="21" t="str">
        <v>KTB</v>
      </c>
      <c r="H3" s="21" t="str">
        <v>BAY</v>
      </c>
      <c r="I3" s="21" t="str">
        <v>CIMBT</v>
      </c>
      <c r="J3" s="21" t="str">
        <v>SCBT</v>
      </c>
      <c r="K3" s="21" t="str">
        <v>TBANK</v>
      </c>
      <c r="L3" s="21" t="str">
        <v>TISCOBANK</v>
      </c>
      <c r="M3" s="21" t="str">
        <v>KKP</v>
      </c>
      <c r="N3" s="21" t="str">
        <v>GSB</v>
      </c>
      <c r="O3" s="21" t="str">
        <v>SCB</v>
      </c>
      <c r="P3" s="21" t="str">
        <v>KGI</v>
      </c>
      <c r="Q3" s="21" t="str">
        <v>CITIBANK</v>
      </c>
      <c r="R3" s="21" t="str">
        <v>HSBC</v>
      </c>
      <c r="S3" s="21" t="str">
        <v>BAML</v>
      </c>
      <c r="T3" s="21" t="str">
        <v>JP_MORGAN</v>
      </c>
      <c r="U3" s="21" t="str">
        <v>DEUTSCHE_BAN</v>
      </c>
      <c r="V3" s="21" t="str">
        <v>UOBT</v>
      </c>
      <c r="W3" s="21" t="str">
        <v>CNS</v>
      </c>
      <c r="X3" s="21" t="str">
        <v>ANZT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CB18O24A</v>
      </c>
      <c r="AS3" s="4"/>
    </row>
    <row r="4" spans="2:45" x14ac:dyDescent="0.2">
      <c r="B4" s="20" t="s">
        <v>1</v>
      </c>
      <c r="C4" s="6"/>
      <c r="D4" s="6">
        <v>1.1519999999999999</v>
      </c>
      <c r="E4" s="6">
        <v>1.1299999999999999</v>
      </c>
      <c r="F4" s="6">
        <v>1.1279999999999999</v>
      </c>
      <c r="G4" s="6">
        <v>1.1479999999999999</v>
      </c>
      <c r="H4" s="6">
        <v>1.1299999999999999</v>
      </c>
      <c r="I4" s="6">
        <v>1.1419999999999999</v>
      </c>
      <c r="J4" s="6"/>
      <c r="K4" s="6"/>
      <c r="L4" s="6"/>
      <c r="M4" s="6"/>
      <c r="N4" s="6"/>
      <c r="O4" s="6">
        <v>1.17</v>
      </c>
      <c r="P4" s="6"/>
      <c r="Q4" s="6"/>
      <c r="R4" s="6">
        <v>1.1299999999999999</v>
      </c>
      <c r="S4" s="6"/>
      <c r="T4" s="6"/>
      <c r="U4" s="6"/>
      <c r="V4" s="6"/>
      <c r="W4" s="6"/>
      <c r="X4" s="6"/>
      <c r="Y4" s="6"/>
      <c r="Z4" s="6"/>
      <c r="AA4" s="18">
        <f>MIN(C4:Z4)</f>
        <v>1.1279999999999999</v>
      </c>
      <c r="AB4" s="18">
        <f>MAX(C4:Z4)</f>
        <v>1.17</v>
      </c>
      <c r="AC4" s="18">
        <f>IFERROR(AVERAGE(C4:Z4),0)</f>
        <v>1.1412499999999999</v>
      </c>
      <c r="AD4" s="49"/>
    </row>
    <row r="5" spans="2:45" x14ac:dyDescent="0.2">
      <c r="B5" s="20" t="s">
        <v>2</v>
      </c>
      <c r="C5" s="6"/>
      <c r="D5" s="6"/>
      <c r="E5" s="6"/>
      <c r="F5" s="6">
        <v>1.1399999999999999</v>
      </c>
      <c r="G5" s="6"/>
      <c r="H5" s="6"/>
      <c r="I5" s="6">
        <v>1.1499999999999999</v>
      </c>
      <c r="J5" s="6"/>
      <c r="K5" s="6"/>
      <c r="L5" s="6"/>
      <c r="M5" s="6"/>
      <c r="N5" s="6"/>
      <c r="O5" s="6"/>
      <c r="P5" s="6"/>
      <c r="Q5" s="6"/>
      <c r="R5" s="6">
        <v>1.1399999999999999</v>
      </c>
      <c r="S5" s="6"/>
      <c r="T5" s="6"/>
      <c r="U5" s="6"/>
      <c r="V5" s="6"/>
      <c r="W5" s="6"/>
      <c r="X5" s="6"/>
      <c r="Y5" s="6"/>
      <c r="Z5" s="6"/>
      <c r="AA5" s="18">
        <f>MIN(C5:Z5)</f>
        <v>1.1399999999999999</v>
      </c>
      <c r="AB5" s="18">
        <f>MAX(C5:Z5)</f>
        <v>1.1499999999999999</v>
      </c>
      <c r="AC5" s="18">
        <f>IFERROR(AVERAGE(C5:Z5),0)</f>
        <v>1.1433333333333333</v>
      </c>
      <c r="AD5" s="49"/>
    </row>
    <row r="6" spans="2:45" x14ac:dyDescent="0.2">
      <c r="B6" s="20" t="s">
        <v>3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0</v>
      </c>
      <c r="AB6" s="18">
        <f>MAX(C6:Z6)</f>
        <v>0</v>
      </c>
      <c r="AC6" s="18">
        <f>IFERROR(AVERAGE(C6:Z6),0)</f>
        <v>0</v>
      </c>
      <c r="AD6" s="49"/>
    </row>
    <row r="7" spans="2:45" x14ac:dyDescent="0.2">
      <c r="B7" s="20" t="s">
        <v>61</v>
      </c>
      <c r="C7" s="46"/>
      <c r="D7" s="46"/>
      <c r="E7" s="46"/>
      <c r="F7" s="46" t="s">
        <v>88</v>
      </c>
      <c r="G7" s="46" t="s">
        <v>89</v>
      </c>
      <c r="H7" s="46" t="s">
        <v>98</v>
      </c>
      <c r="I7" s="46" t="s">
        <v>89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1.1399999999999999</v>
      </c>
      <c r="AB7" s="19">
        <f>MAX(AB4:AB6)</f>
        <v>1.17</v>
      </c>
      <c r="AC7" s="19">
        <f>MAX(AC4:AC6)</f>
        <v>1.1433333333333333</v>
      </c>
      <c r="AD7" s="49"/>
      <c r="AF7" s="48"/>
    </row>
    <row r="8" spans="2:45" x14ac:dyDescent="0.2">
      <c r="B8" s="47"/>
      <c r="AD8" s="49"/>
    </row>
    <row r="9" spans="2:45" outlineLevel="1" x14ac:dyDescent="0.2">
      <c r="B9" s="75" t="str">
        <f>G31 &amp; " Total Auction Size: " &amp;H31</f>
        <v xml:space="preserve"> Total Auction Size: </v>
      </c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7"/>
      <c r="AD9" s="49"/>
    </row>
    <row r="10" spans="2:45" outlineLevel="1" x14ac:dyDescent="0.2">
      <c r="B10" s="20" t="s">
        <v>0</v>
      </c>
      <c r="C10" s="21" t="str">
        <f t="array" ref="C10:Z10">TRANSPOSE($AC$30:$AC$53)</f>
        <v>BNP</v>
      </c>
      <c r="D10" s="21" t="str">
        <v>BBL</v>
      </c>
      <c r="E10" s="21" t="str">
        <v>TMB</v>
      </c>
      <c r="F10" s="21" t="str">
        <v>KBANK</v>
      </c>
      <c r="G10" s="21" t="str">
        <v>KTB</v>
      </c>
      <c r="H10" s="21" t="str">
        <v>BAY</v>
      </c>
      <c r="I10" s="21" t="str">
        <v>CIMBT</v>
      </c>
      <c r="J10" s="21" t="str">
        <v>SCBT</v>
      </c>
      <c r="K10" s="21" t="str">
        <v>TBANK</v>
      </c>
      <c r="L10" s="21" t="str">
        <v>TISCOBANK</v>
      </c>
      <c r="M10" s="21" t="str">
        <v>KKP</v>
      </c>
      <c r="N10" s="21" t="str">
        <v>GSB</v>
      </c>
      <c r="O10" s="21" t="str">
        <v>SCB</v>
      </c>
      <c r="P10" s="21" t="str">
        <v>KGI</v>
      </c>
      <c r="Q10" s="21" t="str">
        <v>CITIBANK</v>
      </c>
      <c r="R10" s="21" t="str">
        <v>HSBC</v>
      </c>
      <c r="S10" s="21" t="str">
        <v>BAML</v>
      </c>
      <c r="T10" s="21" t="str">
        <v>JP_MORGAN</v>
      </c>
      <c r="U10" s="21" t="str">
        <v>DEUTSCHE_BAN</v>
      </c>
      <c r="V10" s="21" t="str">
        <v>UOBT</v>
      </c>
      <c r="W10" s="21" t="str">
        <v>CNS</v>
      </c>
      <c r="X10" s="21" t="str">
        <v>ANZT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>
        <f>G31</f>
        <v>0</v>
      </c>
    </row>
    <row r="11" spans="2:45" outlineLevel="1" x14ac:dyDescent="0.2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 x14ac:dyDescent="0.2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 x14ac:dyDescent="0.2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 x14ac:dyDescent="0.2">
      <c r="B14" s="20" t="s">
        <v>61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 x14ac:dyDescent="0.2">
      <c r="AD15" s="49"/>
    </row>
    <row r="16" spans="2:45" hidden="1" outlineLevel="1" x14ac:dyDescent="0.2">
      <c r="B16" s="75" t="str">
        <f>G32 &amp; " Total Auction Size: " &amp;H32</f>
        <v xml:space="preserve"> Total Auction Size: 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7"/>
      <c r="AD16" s="49"/>
    </row>
    <row r="17" spans="1:36" hidden="1" outlineLevel="1" x14ac:dyDescent="0.2">
      <c r="B17" s="20" t="s">
        <v>0</v>
      </c>
      <c r="C17" s="21" t="str">
        <f t="array" ref="C17:Z17">TRANSPOSE($AC$30:$AC$53)</f>
        <v>BNP</v>
      </c>
      <c r="D17" s="21" t="str">
        <v>BBL</v>
      </c>
      <c r="E17" s="21" t="str">
        <v>TMB</v>
      </c>
      <c r="F17" s="21" t="str">
        <v>KBANK</v>
      </c>
      <c r="G17" s="21" t="str">
        <v>KTB</v>
      </c>
      <c r="H17" s="21" t="str">
        <v>BAY</v>
      </c>
      <c r="I17" s="21" t="str">
        <v>CIMBT</v>
      </c>
      <c r="J17" s="21" t="str">
        <v>SCBT</v>
      </c>
      <c r="K17" s="21" t="str">
        <v>TBANK</v>
      </c>
      <c r="L17" s="21" t="str">
        <v>TISCOBANK</v>
      </c>
      <c r="M17" s="21" t="str">
        <v>KKP</v>
      </c>
      <c r="N17" s="21" t="str">
        <v>GSB</v>
      </c>
      <c r="O17" s="21" t="str">
        <v>SCB</v>
      </c>
      <c r="P17" s="21" t="str">
        <v>KGI</v>
      </c>
      <c r="Q17" s="21" t="str">
        <v>CITIBANK</v>
      </c>
      <c r="R17" s="21" t="str">
        <v>HSBC</v>
      </c>
      <c r="S17" s="21" t="str">
        <v>BAML</v>
      </c>
      <c r="T17" s="21" t="str">
        <v>JP_MORGAN</v>
      </c>
      <c r="U17" s="21" t="str">
        <v>DEUTSCHE_BAN</v>
      </c>
      <c r="V17" s="21" t="str">
        <v>UOBT</v>
      </c>
      <c r="W17" s="21" t="str">
        <v>CNS</v>
      </c>
      <c r="X17" s="21" t="str">
        <v>ANZT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 x14ac:dyDescent="0.2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 x14ac:dyDescent="0.2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 x14ac:dyDescent="0.2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 x14ac:dyDescent="0.2">
      <c r="B21" s="20" t="s">
        <v>61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 x14ac:dyDescent="0.2"/>
    <row r="23" spans="1:36" hidden="1" outlineLevel="1" x14ac:dyDescent="0.2"/>
    <row r="24" spans="1:36" hidden="1" outlineLevel="1" x14ac:dyDescent="0.2"/>
    <row r="25" spans="1:36" hidden="1" outlineLevel="1" x14ac:dyDescent="0.2"/>
    <row r="26" spans="1:36" hidden="1" outlineLevel="1" x14ac:dyDescent="0.2"/>
    <row r="27" spans="1:36" collapsed="1" x14ac:dyDescent="0.2"/>
    <row r="28" spans="1:36" ht="24.75" customHeight="1" x14ac:dyDescent="0.2">
      <c r="B28" s="25" t="str">
        <f>"Auction Recommend : "</f>
        <v xml:space="preserve">Auction Recommend : </v>
      </c>
      <c r="D28" s="12" t="str">
        <f>G30</f>
        <v>CB18O24A</v>
      </c>
      <c r="G28" s="4" t="s">
        <v>20</v>
      </c>
      <c r="P28" s="27" t="str">
        <f>"Auction Excute : " &amp; G30</f>
        <v>Auction Excute : CB18O24A</v>
      </c>
      <c r="T28" s="4" t="s">
        <v>18</v>
      </c>
      <c r="X28" s="4" t="s">
        <v>49</v>
      </c>
    </row>
    <row r="29" spans="1:36" x14ac:dyDescent="0.2">
      <c r="A29" s="41">
        <f>MATCH($D$28,$AD$1:$AD$21,0)</f>
        <v>3</v>
      </c>
      <c r="B29" s="20" t="s">
        <v>16</v>
      </c>
      <c r="C29" s="20" t="s">
        <v>0</v>
      </c>
      <c r="D29" s="20" t="s">
        <v>63</v>
      </c>
      <c r="E29" s="20" t="s">
        <v>62</v>
      </c>
      <c r="F29" s="47"/>
      <c r="G29" s="20" t="s">
        <v>24</v>
      </c>
      <c r="H29" s="20" t="s">
        <v>69</v>
      </c>
      <c r="I29" s="20" t="s">
        <v>17</v>
      </c>
      <c r="J29" s="20" t="s">
        <v>21</v>
      </c>
      <c r="K29" s="20" t="s">
        <v>22</v>
      </c>
      <c r="L29" s="20" t="s">
        <v>47</v>
      </c>
      <c r="M29" s="20" t="s">
        <v>48</v>
      </c>
      <c r="N29" s="20" t="s">
        <v>53</v>
      </c>
      <c r="P29" s="20" t="s">
        <v>0</v>
      </c>
      <c r="Q29" s="20" t="s">
        <v>64</v>
      </c>
      <c r="R29" s="20" t="s">
        <v>23</v>
      </c>
      <c r="T29" s="20" t="s">
        <v>0</v>
      </c>
      <c r="U29" s="20" t="s">
        <v>64</v>
      </c>
      <c r="V29" s="20" t="s">
        <v>23</v>
      </c>
      <c r="X29" s="20" t="s">
        <v>4</v>
      </c>
      <c r="Y29" s="20" t="s">
        <v>16</v>
      </c>
      <c r="Z29" s="20" t="s">
        <v>21</v>
      </c>
      <c r="AA29" s="20" t="s">
        <v>22</v>
      </c>
      <c r="AB29" s="20" t="s">
        <v>25</v>
      </c>
      <c r="AC29" s="20" t="s">
        <v>0</v>
      </c>
      <c r="AD29" s="20" t="s">
        <v>19</v>
      </c>
      <c r="AE29" s="20" t="s">
        <v>55</v>
      </c>
      <c r="AF29" s="20" t="s">
        <v>46</v>
      </c>
      <c r="AG29" s="20" t="s">
        <v>30</v>
      </c>
      <c r="AJ29" s="52"/>
    </row>
    <row r="30" spans="1:36" x14ac:dyDescent="0.2">
      <c r="A30">
        <f t="shared" ref="A30:A53" si="0">MATCH(C30,$A$3:$Z$3,0)</f>
        <v>3</v>
      </c>
      <c r="B30" s="58">
        <f t="shared" ref="B30:B53" si="1">INDEX($Y$30:$Y$53,MATCH(C30,$AC$30:$AC$53,0))</f>
        <v>1</v>
      </c>
      <c r="C30" s="1" t="str">
        <f t="shared" ref="C30:C53" si="2">AC30</f>
        <v>BNP</v>
      </c>
      <c r="D30" s="26">
        <v>1110</v>
      </c>
      <c r="E30" s="22">
        <v>1.1410466666666665</v>
      </c>
      <c r="F30" s="47"/>
      <c r="G30" s="7" t="s">
        <v>72</v>
      </c>
      <c r="H30" s="7">
        <v>35000</v>
      </c>
      <c r="I30" s="51">
        <f>SUM(J30:M30)</f>
        <v>3170</v>
      </c>
      <c r="J30" s="7">
        <v>3170</v>
      </c>
      <c r="K30" s="7"/>
      <c r="L30" s="7"/>
      <c r="M30" s="7"/>
      <c r="N30" s="6"/>
      <c r="P30" s="23" t="s">
        <v>10</v>
      </c>
      <c r="Q30" s="57">
        <v>1000</v>
      </c>
      <c r="R30" s="57">
        <v>1.137</v>
      </c>
      <c r="T30" s="2" t="str">
        <f>IF(ISBLANK(P30),"",P30)</f>
        <v>BBL</v>
      </c>
      <c r="U30" s="57">
        <v>2037</v>
      </c>
      <c r="V30" s="57">
        <v>1.137</v>
      </c>
      <c r="X30" s="33">
        <v>1</v>
      </c>
      <c r="Y30" s="5">
        <v>1</v>
      </c>
      <c r="Z30" s="5">
        <v>1</v>
      </c>
      <c r="AA30" s="5">
        <v>1</v>
      </c>
      <c r="AB30" s="5">
        <f t="shared" ref="AB30:AB53" ca="1" si="3">IF(SUM(OFFSET(INDIRECT(ADDRESS($A$29,$A30)),1,0,3)) &gt; 0,1,0)</f>
        <v>0</v>
      </c>
      <c r="AC30" s="17" t="s">
        <v>12</v>
      </c>
      <c r="AD30" s="58">
        <f t="shared" ref="AD30:AD53" si="4">SUMIF($T$30:$T$64,AC30,$U$30:$U$64)</f>
        <v>1130</v>
      </c>
      <c r="AE30" s="58">
        <f ca="1">INDIRECT("'"&amp;$A$55&amp;"'!"&amp;ADDRESS(ROW(),COLUMN()))+AD30</f>
        <v>4480</v>
      </c>
      <c r="AF30" s="24">
        <f t="shared" ref="AF30:AF53" ca="1" si="5">IFERROR(AE30/$AE$54,0)</f>
        <v>0.34416532227087654</v>
      </c>
      <c r="AG30" s="14"/>
    </row>
    <row r="31" spans="1:36" x14ac:dyDescent="0.2">
      <c r="A31">
        <f t="shared" si="0"/>
        <v>4</v>
      </c>
      <c r="B31" s="58">
        <f t="shared" si="1"/>
        <v>2</v>
      </c>
      <c r="C31" s="1" t="str">
        <f t="shared" si="2"/>
        <v>BBL</v>
      </c>
      <c r="D31" s="26">
        <v>950</v>
      </c>
      <c r="E31" s="22">
        <v>1.14219</v>
      </c>
      <c r="F31" s="47"/>
      <c r="G31" s="7"/>
      <c r="H31" s="7"/>
      <c r="I31" s="51">
        <f t="shared" ref="I31:I32" si="6">SUM(J31:M31)</f>
        <v>0</v>
      </c>
      <c r="J31" s="7"/>
      <c r="K31" s="7"/>
      <c r="L31" s="7"/>
      <c r="M31" s="7"/>
      <c r="N31" s="6"/>
      <c r="P31" s="23" t="s">
        <v>12</v>
      </c>
      <c r="Q31" s="57">
        <v>1170</v>
      </c>
      <c r="R31" s="57">
        <v>1.1399999999999999</v>
      </c>
      <c r="T31" s="2" t="str">
        <f t="shared" ref="T31:T38" si="7">IF(ISBLANK(P31),"",P31)</f>
        <v>BNP</v>
      </c>
      <c r="U31" s="57">
        <v>1130</v>
      </c>
      <c r="V31" s="57">
        <v>1.1399999999999999</v>
      </c>
      <c r="X31" s="33">
        <v>1</v>
      </c>
      <c r="Y31" s="5">
        <v>2</v>
      </c>
      <c r="Z31" s="5">
        <v>1</v>
      </c>
      <c r="AA31" s="5">
        <v>1</v>
      </c>
      <c r="AB31" s="5">
        <f t="shared" ca="1" si="3"/>
        <v>1</v>
      </c>
      <c r="AC31" s="17" t="s">
        <v>10</v>
      </c>
      <c r="AD31" s="58">
        <f t="shared" si="4"/>
        <v>2037</v>
      </c>
      <c r="AE31" s="58">
        <f t="shared" ref="AE31:AE53" ca="1" si="8">INDIRECT("'"&amp;$A$55&amp;"'!"&amp;ADDRESS(ROW(),COLUMN()))+AD31</f>
        <v>5197</v>
      </c>
      <c r="AF31" s="24">
        <f t="shared" ca="1" si="5"/>
        <v>0.39924713835753245</v>
      </c>
      <c r="AG31" s="15"/>
    </row>
    <row r="32" spans="1:36" x14ac:dyDescent="0.2">
      <c r="A32">
        <f t="shared" si="0"/>
        <v>5</v>
      </c>
      <c r="B32" s="58">
        <f t="shared" si="1"/>
        <v>3</v>
      </c>
      <c r="C32" s="1" t="str">
        <f t="shared" si="2"/>
        <v>TMB</v>
      </c>
      <c r="D32" s="26">
        <v>790</v>
      </c>
      <c r="E32" s="22">
        <v>1.1433333333333333</v>
      </c>
      <c r="F32" s="47"/>
      <c r="G32" s="7"/>
      <c r="H32" s="7"/>
      <c r="I32" s="51">
        <f t="shared" si="6"/>
        <v>0</v>
      </c>
      <c r="J32" s="7"/>
      <c r="K32" s="7"/>
      <c r="L32" s="7"/>
      <c r="M32" s="7"/>
      <c r="N32" s="6"/>
      <c r="P32" s="23" t="s">
        <v>9</v>
      </c>
      <c r="Q32" s="57">
        <v>1000</v>
      </c>
      <c r="R32" s="57">
        <v>1.143</v>
      </c>
      <c r="T32" s="2" t="str">
        <f t="shared" si="7"/>
        <v>TMB</v>
      </c>
      <c r="U32" s="57"/>
      <c r="V32" s="57"/>
      <c r="X32" s="33">
        <v>1</v>
      </c>
      <c r="Y32" s="5">
        <v>3</v>
      </c>
      <c r="Z32" s="5">
        <v>1</v>
      </c>
      <c r="AA32" s="5">
        <v>0</v>
      </c>
      <c r="AB32" s="5">
        <f t="shared" ca="1" si="3"/>
        <v>1</v>
      </c>
      <c r="AC32" s="17" t="s">
        <v>9</v>
      </c>
      <c r="AD32" s="58">
        <f t="shared" si="4"/>
        <v>0</v>
      </c>
      <c r="AE32" s="58">
        <f t="shared" ca="1" si="8"/>
        <v>840</v>
      </c>
      <c r="AF32" s="16">
        <f t="shared" ca="1" si="5"/>
        <v>6.4530997925789355E-2</v>
      </c>
      <c r="AG32" s="56">
        <f ca="1">IFERROR(SUMIF($X$30:$X$53,$X$32,$AE$30:$AE$53)/$AE$54,0)</f>
        <v>0.80794345855419836</v>
      </c>
    </row>
    <row r="33" spans="1:33" x14ac:dyDescent="0.2">
      <c r="A33">
        <f t="shared" si="0"/>
        <v>6</v>
      </c>
      <c r="B33" s="58">
        <f t="shared" si="1"/>
        <v>4</v>
      </c>
      <c r="C33" s="1" t="str">
        <f t="shared" si="2"/>
        <v>KBANK</v>
      </c>
      <c r="D33" s="26">
        <v>320</v>
      </c>
      <c r="E33" s="22">
        <v>1.1444766666666666</v>
      </c>
      <c r="F33" s="47"/>
      <c r="G33" s="34"/>
      <c r="P33" s="23"/>
      <c r="Q33" s="57"/>
      <c r="R33" s="57"/>
      <c r="T33" s="2" t="str">
        <f t="shared" si="7"/>
        <v/>
      </c>
      <c r="U33" s="57"/>
      <c r="V33" s="57"/>
      <c r="X33" s="58">
        <v>2</v>
      </c>
      <c r="Y33" s="5">
        <v>4</v>
      </c>
      <c r="Z33" s="5">
        <v>1</v>
      </c>
      <c r="AA33" s="5">
        <v>0</v>
      </c>
      <c r="AB33" s="5">
        <f t="shared" ca="1" si="3"/>
        <v>1</v>
      </c>
      <c r="AC33" s="17" t="s">
        <v>11</v>
      </c>
      <c r="AD33" s="58">
        <f t="shared" si="4"/>
        <v>0</v>
      </c>
      <c r="AE33" s="58">
        <f t="shared" ca="1" si="8"/>
        <v>2500</v>
      </c>
      <c r="AF33" s="24">
        <f t="shared" ca="1" si="5"/>
        <v>0.19205654144580164</v>
      </c>
      <c r="AG33" s="15"/>
    </row>
    <row r="34" spans="1:33" x14ac:dyDescent="0.2">
      <c r="A34">
        <f t="shared" si="0"/>
        <v>7</v>
      </c>
      <c r="B34" s="58">
        <f t="shared" si="1"/>
        <v>5</v>
      </c>
      <c r="C34" s="1" t="str">
        <f t="shared" si="2"/>
        <v>KTB</v>
      </c>
      <c r="D34" s="26"/>
      <c r="E34" s="22"/>
      <c r="G34" s="35"/>
      <c r="P34" s="23"/>
      <c r="Q34" s="57"/>
      <c r="R34" s="57"/>
      <c r="T34" s="2" t="str">
        <f t="shared" si="7"/>
        <v/>
      </c>
      <c r="U34" s="57"/>
      <c r="V34" s="57"/>
      <c r="X34" s="58">
        <v>2</v>
      </c>
      <c r="Y34" s="5">
        <v>5</v>
      </c>
      <c r="Z34" s="5">
        <v>1</v>
      </c>
      <c r="AA34" s="5">
        <v>0</v>
      </c>
      <c r="AB34" s="5">
        <f t="shared" ca="1" si="3"/>
        <v>1</v>
      </c>
      <c r="AC34" s="17" t="s">
        <v>13</v>
      </c>
      <c r="AD34" s="58">
        <f t="shared" si="4"/>
        <v>0</v>
      </c>
      <c r="AE34" s="58">
        <f t="shared" ca="1" si="8"/>
        <v>0</v>
      </c>
      <c r="AF34" s="24">
        <f t="shared" ca="1" si="5"/>
        <v>0</v>
      </c>
      <c r="AG34" s="15"/>
    </row>
    <row r="35" spans="1:33" x14ac:dyDescent="0.2">
      <c r="A35">
        <f t="shared" si="0"/>
        <v>8</v>
      </c>
      <c r="B35" s="58">
        <f t="shared" si="1"/>
        <v>6</v>
      </c>
      <c r="C35" s="1" t="str">
        <f t="shared" si="2"/>
        <v>BAY</v>
      </c>
      <c r="D35" s="26"/>
      <c r="E35" s="22"/>
      <c r="G35" s="4" t="s">
        <v>54</v>
      </c>
      <c r="P35" s="23"/>
      <c r="Q35" s="57"/>
      <c r="R35" s="57"/>
      <c r="T35" s="2" t="str">
        <f t="shared" si="7"/>
        <v/>
      </c>
      <c r="U35" s="57"/>
      <c r="V35" s="57"/>
      <c r="X35" s="58">
        <v>2</v>
      </c>
      <c r="Y35" s="5">
        <v>6</v>
      </c>
      <c r="Z35" s="5">
        <v>1</v>
      </c>
      <c r="AA35" s="5">
        <v>0</v>
      </c>
      <c r="AB35" s="5">
        <f t="shared" ca="1" si="3"/>
        <v>1</v>
      </c>
      <c r="AC35" s="17" t="s">
        <v>32</v>
      </c>
      <c r="AD35" s="58">
        <f t="shared" si="4"/>
        <v>0</v>
      </c>
      <c r="AE35" s="58">
        <f t="shared" ca="1" si="8"/>
        <v>0</v>
      </c>
      <c r="AF35" s="24">
        <f t="shared" ca="1" si="5"/>
        <v>0</v>
      </c>
      <c r="AG35" s="15"/>
    </row>
    <row r="36" spans="1:33" x14ac:dyDescent="0.2">
      <c r="A36">
        <f t="shared" si="0"/>
        <v>9</v>
      </c>
      <c r="B36" s="58">
        <f t="shared" si="1"/>
        <v>7</v>
      </c>
      <c r="C36" s="1" t="str">
        <f t="shared" si="2"/>
        <v>CIMBT</v>
      </c>
      <c r="D36" s="26"/>
      <c r="E36" s="22"/>
      <c r="G36" s="20" t="s">
        <v>24</v>
      </c>
      <c r="H36" s="20" t="s">
        <v>56</v>
      </c>
      <c r="I36" s="20" t="s">
        <v>50</v>
      </c>
      <c r="J36" s="20" t="s">
        <v>51</v>
      </c>
      <c r="K36" s="20" t="s">
        <v>60</v>
      </c>
      <c r="L36" s="20" t="s">
        <v>57</v>
      </c>
      <c r="M36" s="20" t="s">
        <v>52</v>
      </c>
      <c r="P36" s="23"/>
      <c r="Q36" s="57"/>
      <c r="R36" s="57"/>
      <c r="T36" s="2" t="str">
        <f t="shared" si="7"/>
        <v/>
      </c>
      <c r="U36" s="57"/>
      <c r="V36" s="57"/>
      <c r="X36" s="58">
        <v>2</v>
      </c>
      <c r="Y36" s="5">
        <v>7</v>
      </c>
      <c r="Z36" s="5">
        <v>1</v>
      </c>
      <c r="AA36" s="5">
        <v>0</v>
      </c>
      <c r="AB36" s="5">
        <f t="shared" ca="1" si="3"/>
        <v>1</v>
      </c>
      <c r="AC36" s="17" t="s">
        <v>31</v>
      </c>
      <c r="AD36" s="58">
        <f t="shared" si="4"/>
        <v>0</v>
      </c>
      <c r="AE36" s="58">
        <f t="shared" ca="1" si="8"/>
        <v>0</v>
      </c>
      <c r="AF36" s="24">
        <f t="shared" ca="1" si="5"/>
        <v>0</v>
      </c>
      <c r="AG36" s="15"/>
    </row>
    <row r="37" spans="1:33" ht="16.5" customHeight="1" x14ac:dyDescent="0.2">
      <c r="A37">
        <f t="shared" si="0"/>
        <v>10</v>
      </c>
      <c r="B37" s="58">
        <f t="shared" si="1"/>
        <v>8</v>
      </c>
      <c r="C37" s="1" t="str">
        <f t="shared" si="2"/>
        <v>SCBT</v>
      </c>
      <c r="D37" s="26"/>
      <c r="E37" s="22"/>
      <c r="G37" s="38" t="s">
        <v>90</v>
      </c>
      <c r="H37" s="36">
        <v>43377</v>
      </c>
      <c r="I37" s="22">
        <v>1.145</v>
      </c>
      <c r="J37" s="22">
        <v>1.145</v>
      </c>
      <c r="K37" s="22">
        <v>1.145</v>
      </c>
      <c r="L37" s="37">
        <v>1.0958000000000001E-2</v>
      </c>
      <c r="M37" s="37">
        <v>2.4000000000000001E-4</v>
      </c>
      <c r="P37" s="23"/>
      <c r="Q37" s="57"/>
      <c r="R37" s="57"/>
      <c r="T37" s="2" t="str">
        <f t="shared" si="7"/>
        <v/>
      </c>
      <c r="U37" s="57"/>
      <c r="V37" s="57"/>
      <c r="X37" s="58">
        <v>2</v>
      </c>
      <c r="Y37" s="5">
        <v>8</v>
      </c>
      <c r="Z37" s="5">
        <v>1</v>
      </c>
      <c r="AA37" s="5">
        <v>0</v>
      </c>
      <c r="AB37" s="5">
        <f t="shared" ca="1" si="3"/>
        <v>0</v>
      </c>
      <c r="AC37" s="17" t="s">
        <v>35</v>
      </c>
      <c r="AD37" s="58">
        <f t="shared" si="4"/>
        <v>0</v>
      </c>
      <c r="AE37" s="58">
        <f t="shared" ca="1" si="8"/>
        <v>0</v>
      </c>
      <c r="AF37" s="16">
        <f t="shared" ca="1" si="5"/>
        <v>0</v>
      </c>
      <c r="AG37" s="56">
        <f ca="1">IFERROR(SUMIF($X$30:$X$53,$X$37,$AE$30:$AE$53)/$AE$54,0)</f>
        <v>0.19205654144580164</v>
      </c>
    </row>
    <row r="38" spans="1:33" x14ac:dyDescent="0.2">
      <c r="A38">
        <f t="shared" si="0"/>
        <v>11</v>
      </c>
      <c r="B38" s="58">
        <f t="shared" si="1"/>
        <v>9</v>
      </c>
      <c r="C38" s="1" t="str">
        <f t="shared" si="2"/>
        <v>TBANK</v>
      </c>
      <c r="D38" s="26"/>
      <c r="E38" s="22"/>
      <c r="G38" s="38" t="s">
        <v>91</v>
      </c>
      <c r="H38" s="36">
        <v>43377</v>
      </c>
      <c r="I38" s="22">
        <v>1.1399999999999999</v>
      </c>
      <c r="J38" s="22">
        <v>1.1399999999999999</v>
      </c>
      <c r="K38" s="22">
        <v>1.1399999999999999</v>
      </c>
      <c r="L38" s="37">
        <v>1.6435000000000002E-2</v>
      </c>
      <c r="M38" s="37">
        <v>5.4000000000000001E-4</v>
      </c>
      <c r="P38" s="23"/>
      <c r="Q38" s="57"/>
      <c r="R38" s="57"/>
      <c r="T38" s="2" t="str">
        <f t="shared" si="7"/>
        <v/>
      </c>
      <c r="U38" s="57"/>
      <c r="V38" s="57"/>
      <c r="X38" s="58">
        <v>3</v>
      </c>
      <c r="Y38" s="5">
        <v>9</v>
      </c>
      <c r="Z38" s="5">
        <v>1</v>
      </c>
      <c r="AA38" s="5">
        <v>0</v>
      </c>
      <c r="AB38" s="5">
        <f t="shared" ca="1" si="3"/>
        <v>0</v>
      </c>
      <c r="AC38" s="17" t="s">
        <v>33</v>
      </c>
      <c r="AD38" s="58">
        <f t="shared" si="4"/>
        <v>0</v>
      </c>
      <c r="AE38" s="58">
        <f t="shared" ca="1" si="8"/>
        <v>0</v>
      </c>
      <c r="AF38" s="24">
        <f t="shared" ca="1" si="5"/>
        <v>0</v>
      </c>
      <c r="AG38" s="15"/>
    </row>
    <row r="39" spans="1:33" ht="15" thickBot="1" x14ac:dyDescent="0.25">
      <c r="A39">
        <f t="shared" si="0"/>
        <v>12</v>
      </c>
      <c r="B39" s="58">
        <f t="shared" si="1"/>
        <v>10</v>
      </c>
      <c r="C39" s="1" t="str">
        <f t="shared" si="2"/>
        <v>TISCOBANK</v>
      </c>
      <c r="D39" s="26"/>
      <c r="E39" s="22"/>
      <c r="G39" s="38" t="s">
        <v>92</v>
      </c>
      <c r="H39" s="36">
        <v>43377</v>
      </c>
      <c r="I39" s="22">
        <v>1.1399999999999999</v>
      </c>
      <c r="J39" s="22">
        <v>1.1399999999999999</v>
      </c>
      <c r="K39" s="22">
        <v>1.1399999999999999</v>
      </c>
      <c r="L39" s="37">
        <v>1.6435000000000002E-2</v>
      </c>
      <c r="M39" s="37">
        <v>5.4000000000000001E-4</v>
      </c>
      <c r="O39" s="39" t="s">
        <v>58</v>
      </c>
      <c r="P39" s="40">
        <f>I30-Q39</f>
        <v>0</v>
      </c>
      <c r="Q39" s="50">
        <f>SUM(Q30:Q38)</f>
        <v>3170</v>
      </c>
      <c r="R39" s="55">
        <f>IFERROR(SUMPRODUCT(Q30:Q38,R30:R38)/SUM(Q30:Q38),0)</f>
        <v>1.1400000000000001</v>
      </c>
      <c r="S39" s="39" t="s">
        <v>59</v>
      </c>
      <c r="T39" s="40">
        <f>I30-U39</f>
        <v>3</v>
      </c>
      <c r="U39" s="50">
        <f>SUM(U30:U38)</f>
        <v>3167</v>
      </c>
      <c r="V39" s="55">
        <f>IFERROR(SUMPRODUCT(U30:U38,V30:V38)/SUM(U30:U38),0)</f>
        <v>1.1380704136406694</v>
      </c>
      <c r="X39" s="58">
        <v>3</v>
      </c>
      <c r="Y39" s="5">
        <v>10</v>
      </c>
      <c r="Z39" s="5">
        <v>1</v>
      </c>
      <c r="AA39" s="5">
        <v>0</v>
      </c>
      <c r="AB39" s="5">
        <f t="shared" ca="1" si="3"/>
        <v>0</v>
      </c>
      <c r="AC39" s="17" t="s">
        <v>34</v>
      </c>
      <c r="AD39" s="58">
        <f t="shared" si="4"/>
        <v>0</v>
      </c>
      <c r="AE39" s="58">
        <f t="shared" ca="1" si="8"/>
        <v>0</v>
      </c>
      <c r="AF39" s="24">
        <f t="shared" ca="1" si="5"/>
        <v>0</v>
      </c>
      <c r="AG39" s="15"/>
    </row>
    <row r="40" spans="1:33" ht="15" thickTop="1" x14ac:dyDescent="0.2">
      <c r="A40">
        <f t="shared" si="0"/>
        <v>13</v>
      </c>
      <c r="B40" s="58">
        <f t="shared" si="1"/>
        <v>11</v>
      </c>
      <c r="C40" s="1" t="str">
        <f t="shared" si="2"/>
        <v>KKP</v>
      </c>
      <c r="D40" s="26"/>
      <c r="E40" s="22"/>
      <c r="G40" s="38" t="s">
        <v>93</v>
      </c>
      <c r="H40" s="36">
        <v>43377</v>
      </c>
      <c r="I40" s="22">
        <v>1.1100000000000001</v>
      </c>
      <c r="J40" s="22">
        <v>1.1100000000000001</v>
      </c>
      <c r="K40" s="22">
        <v>1.1100000000000001</v>
      </c>
      <c r="L40" s="37">
        <v>3.0127000000000001E-2</v>
      </c>
      <c r="M40" s="37">
        <v>1.815E-3</v>
      </c>
      <c r="X40" s="58">
        <v>3</v>
      </c>
      <c r="Y40" s="5">
        <v>11</v>
      </c>
      <c r="Z40" s="5">
        <v>1</v>
      </c>
      <c r="AA40" s="5">
        <v>0</v>
      </c>
      <c r="AB40" s="5">
        <f t="shared" ca="1" si="3"/>
        <v>0</v>
      </c>
      <c r="AC40" s="17" t="s">
        <v>37</v>
      </c>
      <c r="AD40" s="58">
        <f t="shared" si="4"/>
        <v>0</v>
      </c>
      <c r="AE40" s="58">
        <f t="shared" ca="1" si="8"/>
        <v>0</v>
      </c>
      <c r="AF40" s="24">
        <f t="shared" ca="1" si="5"/>
        <v>0</v>
      </c>
      <c r="AG40" s="15"/>
    </row>
    <row r="41" spans="1:33" x14ac:dyDescent="0.2">
      <c r="A41">
        <f t="shared" si="0"/>
        <v>14</v>
      </c>
      <c r="B41" s="58">
        <f t="shared" si="1"/>
        <v>12</v>
      </c>
      <c r="C41" s="1" t="str">
        <f t="shared" si="2"/>
        <v>GSB</v>
      </c>
      <c r="D41" s="26"/>
      <c r="E41" s="22"/>
      <c r="G41" s="38" t="s">
        <v>94</v>
      </c>
      <c r="H41" s="36">
        <v>43377</v>
      </c>
      <c r="I41" s="22">
        <v>1.1399999999999999</v>
      </c>
      <c r="J41" s="22">
        <v>1.1399999999999999</v>
      </c>
      <c r="K41" s="22">
        <v>1.1399999999999999</v>
      </c>
      <c r="L41" s="37">
        <v>3.5602000000000002E-2</v>
      </c>
      <c r="M41" s="37">
        <v>2.5349999999999999E-3</v>
      </c>
      <c r="P41" s="28" t="str">
        <f>"Auction Excute : " &amp;G31</f>
        <v xml:space="preserve">Auction Excute : </v>
      </c>
      <c r="T41" s="4" t="s">
        <v>18</v>
      </c>
      <c r="X41" s="58">
        <v>3</v>
      </c>
      <c r="Y41" s="5">
        <v>12</v>
      </c>
      <c r="Z41" s="5">
        <v>1</v>
      </c>
      <c r="AA41" s="5">
        <v>0</v>
      </c>
      <c r="AB41" s="5">
        <f t="shared" ca="1" si="3"/>
        <v>0</v>
      </c>
      <c r="AC41" s="17" t="s">
        <v>14</v>
      </c>
      <c r="AD41" s="58">
        <f t="shared" si="4"/>
        <v>0</v>
      </c>
      <c r="AE41" s="58">
        <f t="shared" ca="1" si="8"/>
        <v>0</v>
      </c>
      <c r="AF41" s="24">
        <f t="shared" ca="1" si="5"/>
        <v>0</v>
      </c>
      <c r="AG41" s="15"/>
    </row>
    <row r="42" spans="1:33" x14ac:dyDescent="0.2">
      <c r="A42">
        <f t="shared" si="0"/>
        <v>15</v>
      </c>
      <c r="B42" s="58">
        <f t="shared" si="1"/>
        <v>13</v>
      </c>
      <c r="C42" s="1" t="str">
        <f t="shared" si="2"/>
        <v>SCB</v>
      </c>
      <c r="D42" s="26"/>
      <c r="E42" s="22"/>
      <c r="G42" s="38" t="s">
        <v>95</v>
      </c>
      <c r="H42" s="36">
        <v>43377</v>
      </c>
      <c r="I42" s="22">
        <v>1.145</v>
      </c>
      <c r="J42" s="22">
        <v>1.145</v>
      </c>
      <c r="K42" s="22">
        <v>1.145</v>
      </c>
      <c r="L42" s="37">
        <v>3.5602000000000002E-2</v>
      </c>
      <c r="M42" s="37">
        <v>2.5349999999999999E-3</v>
      </c>
      <c r="P42" s="20" t="s">
        <v>0</v>
      </c>
      <c r="Q42" s="20" t="s">
        <v>64</v>
      </c>
      <c r="R42" s="20" t="s">
        <v>23</v>
      </c>
      <c r="T42" s="20" t="s">
        <v>0</v>
      </c>
      <c r="U42" s="20" t="s">
        <v>64</v>
      </c>
      <c r="V42" s="20" t="s">
        <v>23</v>
      </c>
      <c r="X42" s="58">
        <v>3</v>
      </c>
      <c r="Y42" s="5">
        <v>13</v>
      </c>
      <c r="Z42" s="5">
        <v>1</v>
      </c>
      <c r="AA42" s="5">
        <v>0</v>
      </c>
      <c r="AB42" s="5">
        <f t="shared" ca="1" si="3"/>
        <v>1</v>
      </c>
      <c r="AC42" s="17" t="s">
        <v>8</v>
      </c>
      <c r="AD42" s="58">
        <f t="shared" si="4"/>
        <v>0</v>
      </c>
      <c r="AE42" s="58">
        <f t="shared" ca="1" si="8"/>
        <v>0</v>
      </c>
      <c r="AF42" s="24">
        <f t="shared" ca="1" si="5"/>
        <v>0</v>
      </c>
      <c r="AG42" s="15"/>
    </row>
    <row r="43" spans="1:33" x14ac:dyDescent="0.2">
      <c r="A43">
        <f t="shared" si="0"/>
        <v>16</v>
      </c>
      <c r="B43" s="58">
        <f t="shared" si="1"/>
        <v>14</v>
      </c>
      <c r="C43" s="1" t="str">
        <f t="shared" si="2"/>
        <v>KGI</v>
      </c>
      <c r="D43" s="26"/>
      <c r="E43" s="22"/>
      <c r="G43" s="38" t="s">
        <v>96</v>
      </c>
      <c r="H43" s="36">
        <v>43377</v>
      </c>
      <c r="I43" s="22">
        <v>1.1399999999999999</v>
      </c>
      <c r="J43" s="22">
        <v>1.1399999999999999</v>
      </c>
      <c r="K43" s="22">
        <v>1.1399999999999999</v>
      </c>
      <c r="L43" s="37">
        <v>5.4760000000000003E-2</v>
      </c>
      <c r="M43" s="37">
        <v>5.9969999999999997E-3</v>
      </c>
      <c r="P43" s="23"/>
      <c r="Q43" s="57"/>
      <c r="R43" s="57"/>
      <c r="T43" s="2" t="str">
        <f>IF(ISBLANK(P43),"",P43)</f>
        <v/>
      </c>
      <c r="U43" s="57"/>
      <c r="V43" s="57"/>
      <c r="X43" s="58">
        <v>3</v>
      </c>
      <c r="Y43" s="5">
        <v>14</v>
      </c>
      <c r="Z43" s="5">
        <v>1</v>
      </c>
      <c r="AA43" s="5">
        <v>0</v>
      </c>
      <c r="AB43" s="5">
        <f t="shared" ca="1" si="3"/>
        <v>0</v>
      </c>
      <c r="AC43" s="17" t="s">
        <v>39</v>
      </c>
      <c r="AD43" s="58">
        <f t="shared" si="4"/>
        <v>0</v>
      </c>
      <c r="AE43" s="58">
        <f t="shared" ca="1" si="8"/>
        <v>0</v>
      </c>
      <c r="AF43" s="24">
        <f t="shared" ca="1" si="5"/>
        <v>0</v>
      </c>
      <c r="AG43" s="15"/>
    </row>
    <row r="44" spans="1:33" x14ac:dyDescent="0.2">
      <c r="A44">
        <f t="shared" si="0"/>
        <v>17</v>
      </c>
      <c r="B44" s="58">
        <f t="shared" si="1"/>
        <v>15</v>
      </c>
      <c r="C44" s="1" t="str">
        <f t="shared" si="2"/>
        <v>CITIBANK</v>
      </c>
      <c r="D44" s="26"/>
      <c r="E44" s="22"/>
      <c r="G44" s="38" t="s">
        <v>97</v>
      </c>
      <c r="H44" s="36">
        <v>43377</v>
      </c>
      <c r="I44" s="22">
        <v>1.1000000000000001</v>
      </c>
      <c r="J44" s="22">
        <v>1.1000000000000001</v>
      </c>
      <c r="K44" s="22">
        <v>1.1000000000000001</v>
      </c>
      <c r="L44" s="37">
        <v>5.4761999999999998E-2</v>
      </c>
      <c r="M44" s="37">
        <v>5.9979999999999999E-3</v>
      </c>
      <c r="P44" s="23"/>
      <c r="Q44" s="57"/>
      <c r="R44" s="57"/>
      <c r="T44" s="2" t="str">
        <f t="shared" ref="T44:T51" si="9">IF(ISBLANK(P44),"",P44)</f>
        <v/>
      </c>
      <c r="U44" s="57"/>
      <c r="V44" s="57"/>
      <c r="X44" s="58">
        <v>3</v>
      </c>
      <c r="Y44" s="5">
        <v>15</v>
      </c>
      <c r="Z44" s="5">
        <v>1</v>
      </c>
      <c r="AA44" s="5">
        <v>0</v>
      </c>
      <c r="AB44" s="5">
        <f t="shared" ca="1" si="3"/>
        <v>0</v>
      </c>
      <c r="AC44" s="17" t="s">
        <v>36</v>
      </c>
      <c r="AD44" s="58">
        <f t="shared" si="4"/>
        <v>0</v>
      </c>
      <c r="AE44" s="58">
        <f t="shared" ca="1" si="8"/>
        <v>0</v>
      </c>
      <c r="AF44" s="24">
        <f t="shared" ca="1" si="5"/>
        <v>0</v>
      </c>
      <c r="AG44" s="15"/>
    </row>
    <row r="45" spans="1:33" x14ac:dyDescent="0.2">
      <c r="A45">
        <f t="shared" si="0"/>
        <v>18</v>
      </c>
      <c r="B45" s="58">
        <f t="shared" si="1"/>
        <v>16</v>
      </c>
      <c r="C45" s="1" t="str">
        <f t="shared" si="2"/>
        <v>HSBC</v>
      </c>
      <c r="D45" s="26"/>
      <c r="E45" s="22"/>
      <c r="G45" s="38"/>
      <c r="H45" s="36"/>
      <c r="I45" s="22"/>
      <c r="J45" s="22"/>
      <c r="K45" s="22"/>
      <c r="L45" s="37"/>
      <c r="M45" s="37"/>
      <c r="P45" s="23"/>
      <c r="Q45" s="57"/>
      <c r="R45" s="57"/>
      <c r="T45" s="2" t="str">
        <f t="shared" si="9"/>
        <v/>
      </c>
      <c r="U45" s="57"/>
      <c r="V45" s="57"/>
      <c r="X45" s="58">
        <v>3</v>
      </c>
      <c r="Y45" s="5">
        <v>16</v>
      </c>
      <c r="Z45" s="5">
        <v>1</v>
      </c>
      <c r="AA45" s="5">
        <v>0</v>
      </c>
      <c r="AB45" s="5">
        <f t="shared" ca="1" si="3"/>
        <v>1</v>
      </c>
      <c r="AC45" s="17" t="s">
        <v>15</v>
      </c>
      <c r="AD45" s="58">
        <f t="shared" si="4"/>
        <v>0</v>
      </c>
      <c r="AE45" s="58">
        <f t="shared" ca="1" si="8"/>
        <v>0</v>
      </c>
      <c r="AF45" s="24">
        <f t="shared" ca="1" si="5"/>
        <v>0</v>
      </c>
      <c r="AG45" s="15"/>
    </row>
    <row r="46" spans="1:33" x14ac:dyDescent="0.2">
      <c r="A46">
        <f t="shared" si="0"/>
        <v>19</v>
      </c>
      <c r="B46" s="58">
        <f t="shared" si="1"/>
        <v>17</v>
      </c>
      <c r="C46" s="1" t="str">
        <f t="shared" si="2"/>
        <v>BAML</v>
      </c>
      <c r="D46" s="26"/>
      <c r="E46" s="22"/>
      <c r="G46" s="38"/>
      <c r="H46" s="36"/>
      <c r="I46" s="22"/>
      <c r="J46" s="22"/>
      <c r="K46" s="22"/>
      <c r="L46" s="37"/>
      <c r="M46" s="37"/>
      <c r="P46" s="23"/>
      <c r="Q46" s="57"/>
      <c r="R46" s="57"/>
      <c r="T46" s="2" t="str">
        <f t="shared" si="9"/>
        <v/>
      </c>
      <c r="U46" s="57"/>
      <c r="V46" s="57"/>
      <c r="X46" s="58">
        <v>3</v>
      </c>
      <c r="Y46" s="5">
        <v>17</v>
      </c>
      <c r="Z46" s="5">
        <v>1</v>
      </c>
      <c r="AA46" s="5">
        <v>0</v>
      </c>
      <c r="AB46" s="5">
        <f t="shared" ca="1" si="3"/>
        <v>0</v>
      </c>
      <c r="AC46" s="17" t="s">
        <v>40</v>
      </c>
      <c r="AD46" s="58">
        <f t="shared" si="4"/>
        <v>0</v>
      </c>
      <c r="AE46" s="58">
        <f t="shared" ca="1" si="8"/>
        <v>0</v>
      </c>
      <c r="AF46" s="24">
        <f t="shared" ca="1" si="5"/>
        <v>0</v>
      </c>
      <c r="AG46" s="15"/>
    </row>
    <row r="47" spans="1:33" x14ac:dyDescent="0.2">
      <c r="A47">
        <f t="shared" si="0"/>
        <v>20</v>
      </c>
      <c r="B47" s="58">
        <f t="shared" si="1"/>
        <v>18</v>
      </c>
      <c r="C47" s="1" t="str">
        <f t="shared" si="2"/>
        <v>JP_MORGAN</v>
      </c>
      <c r="D47" s="26"/>
      <c r="E47" s="22"/>
      <c r="G47" s="38"/>
      <c r="H47" s="36"/>
      <c r="I47" s="22"/>
      <c r="J47" s="22"/>
      <c r="K47" s="22"/>
      <c r="L47" s="37"/>
      <c r="M47" s="37"/>
      <c r="P47" s="23"/>
      <c r="Q47" s="57"/>
      <c r="R47" s="57"/>
      <c r="T47" s="2" t="str">
        <f t="shared" si="9"/>
        <v/>
      </c>
      <c r="U47" s="57"/>
      <c r="V47" s="57"/>
      <c r="X47" s="58">
        <v>3</v>
      </c>
      <c r="Y47" s="5">
        <v>18</v>
      </c>
      <c r="Z47" s="5">
        <v>1</v>
      </c>
      <c r="AA47" s="5">
        <v>0</v>
      </c>
      <c r="AB47" s="5">
        <f t="shared" ca="1" si="3"/>
        <v>0</v>
      </c>
      <c r="AC47" s="17" t="s">
        <v>41</v>
      </c>
      <c r="AD47" s="58">
        <f t="shared" si="4"/>
        <v>0</v>
      </c>
      <c r="AE47" s="58">
        <f t="shared" ca="1" si="8"/>
        <v>0</v>
      </c>
      <c r="AF47" s="24">
        <f t="shared" ca="1" si="5"/>
        <v>0</v>
      </c>
      <c r="AG47" s="15"/>
    </row>
    <row r="48" spans="1:33" x14ac:dyDescent="0.2">
      <c r="A48">
        <f t="shared" si="0"/>
        <v>21</v>
      </c>
      <c r="B48" s="58">
        <f t="shared" si="1"/>
        <v>19</v>
      </c>
      <c r="C48" s="1" t="str">
        <f t="shared" si="2"/>
        <v>DEUTSCHE_BAN</v>
      </c>
      <c r="D48" s="26"/>
      <c r="E48" s="22"/>
      <c r="G48" s="38"/>
      <c r="H48" s="36"/>
      <c r="I48" s="22"/>
      <c r="J48" s="22"/>
      <c r="K48" s="22"/>
      <c r="L48" s="37"/>
      <c r="M48" s="37"/>
      <c r="P48" s="23"/>
      <c r="Q48" s="57"/>
      <c r="R48" s="57"/>
      <c r="T48" s="2" t="str">
        <f t="shared" si="9"/>
        <v/>
      </c>
      <c r="U48" s="57"/>
      <c r="V48" s="57"/>
      <c r="X48" s="58">
        <v>3</v>
      </c>
      <c r="Y48" s="5">
        <v>19</v>
      </c>
      <c r="Z48" s="5">
        <v>1</v>
      </c>
      <c r="AA48" s="5">
        <v>0</v>
      </c>
      <c r="AB48" s="5">
        <f t="shared" ca="1" si="3"/>
        <v>0</v>
      </c>
      <c r="AC48" s="17" t="s">
        <v>68</v>
      </c>
      <c r="AD48" s="58">
        <f t="shared" si="4"/>
        <v>0</v>
      </c>
      <c r="AE48" s="58">
        <f t="shared" ca="1" si="8"/>
        <v>0</v>
      </c>
      <c r="AF48" s="24">
        <f t="shared" ca="1" si="5"/>
        <v>0</v>
      </c>
      <c r="AG48" s="15"/>
    </row>
    <row r="49" spans="1:33" x14ac:dyDescent="0.2">
      <c r="A49">
        <f t="shared" si="0"/>
        <v>22</v>
      </c>
      <c r="B49" s="58">
        <f t="shared" si="1"/>
        <v>20</v>
      </c>
      <c r="C49" s="1" t="str">
        <f t="shared" si="2"/>
        <v>UOBT</v>
      </c>
      <c r="D49" s="26"/>
      <c r="E49" s="22"/>
      <c r="G49" s="38"/>
      <c r="H49" s="36"/>
      <c r="I49" s="22"/>
      <c r="J49" s="22"/>
      <c r="K49" s="22"/>
      <c r="L49" s="37"/>
      <c r="M49" s="37"/>
      <c r="P49" s="23"/>
      <c r="Q49" s="57"/>
      <c r="R49" s="57"/>
      <c r="T49" s="2" t="str">
        <f t="shared" si="9"/>
        <v/>
      </c>
      <c r="U49" s="57"/>
      <c r="V49" s="57"/>
      <c r="X49" s="58">
        <v>3</v>
      </c>
      <c r="Y49" s="5">
        <v>20</v>
      </c>
      <c r="Z49" s="5">
        <v>1</v>
      </c>
      <c r="AA49" s="5">
        <v>0</v>
      </c>
      <c r="AB49" s="5">
        <f t="shared" ca="1" si="3"/>
        <v>0</v>
      </c>
      <c r="AC49" s="17" t="s">
        <v>38</v>
      </c>
      <c r="AD49" s="58">
        <f t="shared" si="4"/>
        <v>0</v>
      </c>
      <c r="AE49" s="58">
        <f t="shared" ca="1" si="8"/>
        <v>0</v>
      </c>
      <c r="AF49" s="24">
        <f t="shared" ca="1" si="5"/>
        <v>0</v>
      </c>
      <c r="AG49" s="15"/>
    </row>
    <row r="50" spans="1:33" x14ac:dyDescent="0.2">
      <c r="A50">
        <f t="shared" si="0"/>
        <v>23</v>
      </c>
      <c r="B50" s="58">
        <f t="shared" si="1"/>
        <v>21</v>
      </c>
      <c r="C50" s="1" t="str">
        <f t="shared" si="2"/>
        <v>CNS</v>
      </c>
      <c r="D50" s="26"/>
      <c r="E50" s="22"/>
      <c r="G50" s="38"/>
      <c r="H50" s="36"/>
      <c r="I50" s="22"/>
      <c r="J50" s="22"/>
      <c r="K50" s="22"/>
      <c r="L50" s="37"/>
      <c r="M50" s="37"/>
      <c r="P50" s="23"/>
      <c r="Q50" s="57"/>
      <c r="R50" s="57"/>
      <c r="T50" s="2" t="str">
        <f t="shared" si="9"/>
        <v/>
      </c>
      <c r="U50" s="57"/>
      <c r="V50" s="57"/>
      <c r="X50" s="58">
        <v>3</v>
      </c>
      <c r="Y50" s="5">
        <v>21</v>
      </c>
      <c r="Z50" s="5">
        <v>1</v>
      </c>
      <c r="AA50" s="5">
        <v>0</v>
      </c>
      <c r="AB50" s="5">
        <f t="shared" ca="1" si="3"/>
        <v>0</v>
      </c>
      <c r="AC50" s="17" t="s">
        <v>43</v>
      </c>
      <c r="AD50" s="58">
        <f t="shared" si="4"/>
        <v>0</v>
      </c>
      <c r="AE50" s="58">
        <f t="shared" ca="1" si="8"/>
        <v>0</v>
      </c>
      <c r="AF50" s="24">
        <f t="shared" ca="1" si="5"/>
        <v>0</v>
      </c>
      <c r="AG50" s="15"/>
    </row>
    <row r="51" spans="1:33" x14ac:dyDescent="0.2">
      <c r="A51">
        <f t="shared" si="0"/>
        <v>24</v>
      </c>
      <c r="B51" s="58">
        <f t="shared" si="1"/>
        <v>22</v>
      </c>
      <c r="C51" s="1" t="str">
        <f t="shared" si="2"/>
        <v>ANZT</v>
      </c>
      <c r="D51" s="26"/>
      <c r="E51" s="22"/>
      <c r="P51" s="23"/>
      <c r="Q51" s="57"/>
      <c r="R51" s="57"/>
      <c r="T51" s="2" t="str">
        <f t="shared" si="9"/>
        <v/>
      </c>
      <c r="U51" s="57"/>
      <c r="V51" s="57"/>
      <c r="X51" s="58">
        <v>3</v>
      </c>
      <c r="Y51" s="5">
        <v>22</v>
      </c>
      <c r="Z51" s="5">
        <v>1</v>
      </c>
      <c r="AA51" s="5">
        <v>0</v>
      </c>
      <c r="AB51" s="5">
        <f t="shared" ca="1" si="3"/>
        <v>0</v>
      </c>
      <c r="AC51" s="17" t="s">
        <v>42</v>
      </c>
      <c r="AD51" s="58">
        <f t="shared" si="4"/>
        <v>0</v>
      </c>
      <c r="AE51" s="58">
        <f t="shared" ca="1" si="8"/>
        <v>0</v>
      </c>
      <c r="AF51" s="24">
        <f t="shared" ca="1" si="5"/>
        <v>0</v>
      </c>
      <c r="AG51" s="15"/>
    </row>
    <row r="52" spans="1:33" ht="15" thickBot="1" x14ac:dyDescent="0.25">
      <c r="A52">
        <f t="shared" si="0"/>
        <v>25</v>
      </c>
      <c r="B52" s="58">
        <f t="shared" si="1"/>
        <v>23</v>
      </c>
      <c r="C52" s="1" t="str">
        <f t="shared" si="2"/>
        <v>PHATRA</v>
      </c>
      <c r="D52" s="26"/>
      <c r="E52" s="22"/>
      <c r="O52" s="39" t="s">
        <v>58</v>
      </c>
      <c r="P52" s="40">
        <f>I31-Q52</f>
        <v>0</v>
      </c>
      <c r="Q52" s="50">
        <f>SUM(Q43:Q51)</f>
        <v>0</v>
      </c>
      <c r="R52" s="55">
        <f>IFERROR(SUMPRODUCT(Q43:Q51,R43:R51)/SUM(Q43:Q51),0)</f>
        <v>0</v>
      </c>
      <c r="S52" s="39" t="s">
        <v>59</v>
      </c>
      <c r="T52" s="40">
        <f>I31-U52</f>
        <v>0</v>
      </c>
      <c r="U52" s="50">
        <f>SUM(U43:U51)</f>
        <v>0</v>
      </c>
      <c r="V52" s="55">
        <f>IFERROR(SUMPRODUCT(U43:U51,V43:V51)/SUM(U43:U51),0)</f>
        <v>0</v>
      </c>
      <c r="X52" s="58">
        <v>3</v>
      </c>
      <c r="Y52" s="5">
        <v>23</v>
      </c>
      <c r="Z52" s="5">
        <v>1</v>
      </c>
      <c r="AA52" s="5">
        <v>0</v>
      </c>
      <c r="AB52" s="5">
        <f t="shared" ca="1" si="3"/>
        <v>0</v>
      </c>
      <c r="AC52" s="17" t="s">
        <v>44</v>
      </c>
      <c r="AD52" s="58">
        <f t="shared" si="4"/>
        <v>0</v>
      </c>
      <c r="AE52" s="58">
        <f t="shared" ca="1" si="8"/>
        <v>0</v>
      </c>
      <c r="AF52" s="24">
        <f t="shared" ca="1" si="5"/>
        <v>0</v>
      </c>
      <c r="AG52" s="15"/>
    </row>
    <row r="53" spans="1:33" ht="15" thickTop="1" x14ac:dyDescent="0.2">
      <c r="A53">
        <f t="shared" si="0"/>
        <v>26</v>
      </c>
      <c r="B53" s="58">
        <f t="shared" si="1"/>
        <v>24</v>
      </c>
      <c r="C53" s="1" t="str">
        <f t="shared" si="2"/>
        <v>MBKET</v>
      </c>
      <c r="D53" s="26"/>
      <c r="E53" s="22"/>
      <c r="X53" s="58">
        <v>3</v>
      </c>
      <c r="Y53" s="5">
        <v>24</v>
      </c>
      <c r="Z53" s="5">
        <v>1</v>
      </c>
      <c r="AA53" s="5">
        <v>0</v>
      </c>
      <c r="AB53" s="5">
        <f t="shared" ca="1" si="3"/>
        <v>0</v>
      </c>
      <c r="AC53" s="17" t="s">
        <v>45</v>
      </c>
      <c r="AD53" s="58">
        <f t="shared" si="4"/>
        <v>0</v>
      </c>
      <c r="AE53" s="58">
        <f t="shared" ca="1" si="8"/>
        <v>0</v>
      </c>
      <c r="AF53" s="16">
        <f t="shared" ca="1" si="5"/>
        <v>0</v>
      </c>
      <c r="AG53" s="56">
        <f ca="1">IFERROR(SUMIF($X$30:$X$53,$X$53,$AE$30:$AE$53)/$AE$54,0)</f>
        <v>0</v>
      </c>
    </row>
    <row r="54" spans="1:33" ht="15" thickBot="1" x14ac:dyDescent="0.25">
      <c r="D54" s="50">
        <f>SUM(D30:D53)</f>
        <v>3170</v>
      </c>
      <c r="E54" s="45">
        <f>IFERROR(SUMPRODUCT(D30:D33,E30:E33)/SUM(D30:D33),0)</f>
        <v>1.1423054153522607</v>
      </c>
      <c r="F54" s="48"/>
      <c r="P54" s="29" t="str">
        <f>"Auction Excute : " &amp;G32</f>
        <v xml:space="preserve">Auction Excute : </v>
      </c>
      <c r="T54" s="4" t="s">
        <v>18</v>
      </c>
      <c r="AC54" s="20" t="s">
        <v>17</v>
      </c>
      <c r="AD54" s="44">
        <f>SUM(AD30:AD53)</f>
        <v>3167</v>
      </c>
      <c r="AE54" s="44">
        <f ca="1">SUM(AE30:AE53)</f>
        <v>13017</v>
      </c>
    </row>
    <row r="55" spans="1:33" ht="15" thickTop="1" x14ac:dyDescent="0.2">
      <c r="A55" s="43" t="s">
        <v>67</v>
      </c>
      <c r="G55" s="4" t="s">
        <v>65</v>
      </c>
      <c r="P55" s="20" t="s">
        <v>0</v>
      </c>
      <c r="Q55" s="20" t="s">
        <v>64</v>
      </c>
      <c r="R55" s="20" t="s">
        <v>23</v>
      </c>
      <c r="T55" s="20" t="s">
        <v>0</v>
      </c>
      <c r="U55" s="20" t="s">
        <v>64</v>
      </c>
      <c r="V55" s="20" t="s">
        <v>23</v>
      </c>
    </row>
    <row r="56" spans="1:33" x14ac:dyDescent="0.2">
      <c r="B56" s="4" t="s">
        <v>26</v>
      </c>
      <c r="G56" s="20" t="s">
        <v>24</v>
      </c>
      <c r="H56" s="78" t="s">
        <v>66</v>
      </c>
      <c r="I56" s="79"/>
      <c r="J56" s="79"/>
      <c r="K56" s="80"/>
      <c r="P56" s="23"/>
      <c r="Q56" s="57"/>
      <c r="R56" s="57"/>
      <c r="T56" s="2" t="str">
        <f>IF(ISBLANK(P56),"",P56)</f>
        <v/>
      </c>
      <c r="U56" s="57"/>
      <c r="V56" s="57"/>
    </row>
    <row r="57" spans="1:33" ht="15" customHeight="1" x14ac:dyDescent="0.2">
      <c r="B57" t="s">
        <v>27</v>
      </c>
      <c r="C57" s="8">
        <v>1</v>
      </c>
      <c r="G57" s="30" t="str">
        <f>G30</f>
        <v>CB18O24A</v>
      </c>
      <c r="H57" s="81" t="s">
        <v>99</v>
      </c>
      <c r="I57" s="81"/>
      <c r="J57" s="81"/>
      <c r="K57" s="81"/>
      <c r="P57" s="23"/>
      <c r="Q57" s="57"/>
      <c r="R57" s="57"/>
      <c r="T57" s="2" t="str">
        <f t="shared" ref="T57:T64" si="10">IF(ISBLANK(P57),"",P57)</f>
        <v/>
      </c>
      <c r="U57" s="57"/>
      <c r="V57" s="57"/>
    </row>
    <row r="58" spans="1:33" x14ac:dyDescent="0.2">
      <c r="B58" t="s">
        <v>28</v>
      </c>
      <c r="C58" s="8">
        <v>0.4</v>
      </c>
      <c r="G58" s="31">
        <f>G31</f>
        <v>0</v>
      </c>
      <c r="H58" s="81"/>
      <c r="I58" s="81"/>
      <c r="J58" s="81"/>
      <c r="K58" s="81"/>
      <c r="P58" s="23"/>
      <c r="Q58" s="57"/>
      <c r="R58" s="57"/>
      <c r="T58" s="2" t="str">
        <f t="shared" si="10"/>
        <v/>
      </c>
      <c r="U58" s="57"/>
      <c r="V58" s="57"/>
    </row>
    <row r="59" spans="1:33" x14ac:dyDescent="0.2">
      <c r="B59" t="s">
        <v>29</v>
      </c>
      <c r="C59" s="8">
        <v>0.1</v>
      </c>
      <c r="G59" s="32">
        <f>G32</f>
        <v>0</v>
      </c>
      <c r="H59" s="81"/>
      <c r="I59" s="81"/>
      <c r="J59" s="81"/>
      <c r="K59" s="81"/>
      <c r="P59" s="23"/>
      <c r="Q59" s="57"/>
      <c r="R59" s="57"/>
      <c r="T59" s="2" t="str">
        <f t="shared" si="10"/>
        <v/>
      </c>
      <c r="U59" s="57"/>
      <c r="V59" s="57"/>
    </row>
    <row r="60" spans="1:33" x14ac:dyDescent="0.2">
      <c r="P60" s="23"/>
      <c r="Q60" s="57"/>
      <c r="R60" s="57"/>
      <c r="T60" s="2" t="str">
        <f t="shared" si="10"/>
        <v/>
      </c>
      <c r="U60" s="57"/>
      <c r="V60" s="57"/>
    </row>
    <row r="61" spans="1:33" x14ac:dyDescent="0.2">
      <c r="P61" s="23"/>
      <c r="Q61" s="57"/>
      <c r="R61" s="57"/>
      <c r="T61" s="2" t="str">
        <f t="shared" si="10"/>
        <v/>
      </c>
      <c r="U61" s="57"/>
      <c r="V61" s="57"/>
    </row>
    <row r="62" spans="1:33" x14ac:dyDescent="0.2">
      <c r="P62" s="23"/>
      <c r="Q62" s="57"/>
      <c r="R62" s="57"/>
      <c r="T62" s="2" t="str">
        <f t="shared" si="10"/>
        <v/>
      </c>
      <c r="U62" s="57"/>
      <c r="V62" s="57"/>
    </row>
    <row r="63" spans="1:33" x14ac:dyDescent="0.2">
      <c r="P63" s="23"/>
      <c r="Q63" s="57"/>
      <c r="R63" s="57"/>
      <c r="T63" s="2" t="str">
        <f t="shared" si="10"/>
        <v/>
      </c>
      <c r="U63" s="57"/>
      <c r="V63" s="57"/>
    </row>
    <row r="64" spans="1:33" x14ac:dyDescent="0.2">
      <c r="P64" s="23"/>
      <c r="Q64" s="57"/>
      <c r="R64" s="57"/>
      <c r="T64" s="2" t="str">
        <f t="shared" si="10"/>
        <v/>
      </c>
      <c r="U64" s="57"/>
      <c r="V64" s="57"/>
    </row>
    <row r="65" spans="15:22" ht="15" thickBot="1" x14ac:dyDescent="0.25">
      <c r="O65" s="39" t="s">
        <v>58</v>
      </c>
      <c r="P65" s="40">
        <f>I32-Q65</f>
        <v>0</v>
      </c>
      <c r="Q65" s="50">
        <f>SUM(Q56:Q64)</f>
        <v>0</v>
      </c>
      <c r="R65" s="55">
        <f>IFERROR(SUMPRODUCT(Q56:Q64,R56:R64)/SUM(Q56:Q64),0)</f>
        <v>0</v>
      </c>
      <c r="S65" s="39" t="s">
        <v>59</v>
      </c>
      <c r="T65" s="40">
        <f>I32-U65</f>
        <v>0</v>
      </c>
      <c r="U65" s="50">
        <f>SUM(U56:U64)</f>
        <v>0</v>
      </c>
      <c r="V65" s="55">
        <f>IFERROR(SUMPRODUCT(U56:U64,V56:V64)/SUM(U56:U64),0)</f>
        <v>0</v>
      </c>
    </row>
    <row r="66" spans="15:22" ht="15" thickTop="1" x14ac:dyDescent="0.2"/>
  </sheetData>
  <customSheetViews>
    <customSheetView guid="{6C15DDE3-FDA1-4043-B112-CF97717BCD32}" hiddenRows="1" hiddenColumns="1" topLeftCell="B8">
      <selection activeCell="O35" sqref="O35"/>
      <pageMargins left="0.7" right="0.7" top="0.75" bottom="0.75" header="0.3" footer="0.3"/>
      <pageSetup orientation="portrait" r:id="rId1"/>
    </customSheetView>
    <customSheetView guid="{03C5F87C-F6F2-4365-B32B-39A15CBBFBBD}" scale="70" hiddenColumns="1" topLeftCell="E1">
      <selection activeCell="L25" sqref="L25"/>
      <pageMargins left="0.7" right="0.7" top="0.75" bottom="0.75" header="0.3" footer="0.3"/>
      <pageSetup orientation="portrait" r:id="rId2"/>
    </customSheetView>
    <customSheetView guid="{32135529-8649-4BD8-8AEE-977D9F2AF573}" scale="70" hiddenRows="1" hiddenColumns="1" topLeftCell="B1">
      <selection activeCell="G10" sqref="G10"/>
      <pageMargins left="0.7" right="0.7" top="0.75" bottom="0.75" header="0.3" footer="0.3"/>
      <pageSetup orientation="portrait" r:id="rId3"/>
    </customSheetView>
    <customSheetView guid="{446F2FA9-979D-4645-8D3C-C345EFBD6336}" scale="70" hiddenRows="1" hiddenColumns="1" topLeftCell="B1">
      <selection activeCell="G10" sqref="G10"/>
      <pageMargins left="0.7" right="0.7" top="0.75" bottom="0.75" header="0.3" footer="0.3"/>
      <pageSetup orientation="portrait" r:id="rId4"/>
    </customSheetView>
  </customSheetViews>
  <mergeCells count="7">
    <mergeCell ref="H59:K59"/>
    <mergeCell ref="B2:AC2"/>
    <mergeCell ref="B9:AC9"/>
    <mergeCell ref="B16:AC16"/>
    <mergeCell ref="H56:K56"/>
    <mergeCell ref="H57:K57"/>
    <mergeCell ref="H58:K58"/>
  </mergeCells>
  <conditionalFormatting sqref="AG32">
    <cfRule type="cellIs" dxfId="119" priority="31" operator="greaterThan">
      <formula>0.5</formula>
    </cfRule>
    <cfRule type="cellIs" dxfId="118" priority="32" operator="lessThan">
      <formula>0.5</formula>
    </cfRule>
  </conditionalFormatting>
  <conditionalFormatting sqref="AF30:AF53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{B16D9820-EEA5-414A-9C63-FF1C7BB5A3E7}</x14:id>
        </ext>
      </extLst>
    </cfRule>
  </conditionalFormatting>
  <conditionalFormatting sqref="E30:E5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0:X53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3">
    <cfRule type="cellIs" dxfId="117" priority="35" operator="lessThan">
      <formula>$C$59</formula>
    </cfRule>
    <cfRule type="cellIs" dxfId="116" priority="36" operator="greaterThan">
      <formula>$C$59</formula>
    </cfRule>
  </conditionalFormatting>
  <conditionalFormatting sqref="AG37">
    <cfRule type="cellIs" dxfId="115" priority="37" operator="greaterThan">
      <formula>$C$58</formula>
    </cfRule>
    <cfRule type="cellIs" dxfId="114" priority="38" operator="lessThan">
      <formula>$C$58</formula>
    </cfRule>
  </conditionalFormatting>
  <conditionalFormatting sqref="P39">
    <cfRule type="cellIs" dxfId="113" priority="25" operator="lessThan">
      <formula>0</formula>
    </cfRule>
    <cfRule type="cellIs" dxfId="112" priority="26" operator="equal">
      <formula>0</formula>
    </cfRule>
    <cfRule type="cellIs" dxfId="111" priority="27" operator="greaterThan">
      <formula>0</formula>
    </cfRule>
  </conditionalFormatting>
  <conditionalFormatting sqref="T52">
    <cfRule type="cellIs" dxfId="110" priority="13" operator="lessThan">
      <formula>0</formula>
    </cfRule>
    <cfRule type="cellIs" dxfId="109" priority="14" operator="equal">
      <formula>0</formula>
    </cfRule>
    <cfRule type="cellIs" dxfId="108" priority="15" operator="greaterThan">
      <formula>0</formula>
    </cfRule>
  </conditionalFormatting>
  <conditionalFormatting sqref="P52">
    <cfRule type="cellIs" dxfId="107" priority="22" operator="lessThan">
      <formula>0</formula>
    </cfRule>
    <cfRule type="cellIs" dxfId="106" priority="23" operator="equal">
      <formula>0</formula>
    </cfRule>
    <cfRule type="cellIs" dxfId="105" priority="24" operator="greaterThan">
      <formula>0</formula>
    </cfRule>
  </conditionalFormatting>
  <conditionalFormatting sqref="P65">
    <cfRule type="cellIs" dxfId="104" priority="19" operator="lessThan">
      <formula>0</formula>
    </cfRule>
    <cfRule type="cellIs" dxfId="103" priority="20" operator="equal">
      <formula>0</formula>
    </cfRule>
    <cfRule type="cellIs" dxfId="102" priority="21" operator="greaterThan">
      <formula>0</formula>
    </cfRule>
  </conditionalFormatting>
  <conditionalFormatting sqref="T39">
    <cfRule type="cellIs" dxfId="101" priority="16" operator="lessThan">
      <formula>0</formula>
    </cfRule>
    <cfRule type="cellIs" dxfId="100" priority="17" operator="equal">
      <formula>0</formula>
    </cfRule>
    <cfRule type="cellIs" dxfId="99" priority="18" operator="greaterThan">
      <formula>0</formula>
    </cfRule>
  </conditionalFormatting>
  <conditionalFormatting sqref="T65">
    <cfRule type="cellIs" dxfId="98" priority="10" operator="lessThan">
      <formula>0</formula>
    </cfRule>
    <cfRule type="cellIs" dxfId="97" priority="11" operator="equal">
      <formula>0</formula>
    </cfRule>
    <cfRule type="cellIs" dxfId="96" priority="12" operator="greaterThan">
      <formula>0</formula>
    </cfRule>
  </conditionalFormatting>
  <conditionalFormatting sqref="D30:D5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95" priority="5" bottom="1" rank="4"/>
    <cfRule type="top10" dxfId="94" priority="8" rank="4"/>
  </conditionalFormatting>
  <conditionalFormatting sqref="C11:Z13">
    <cfRule type="top10" dxfId="93" priority="3" bottom="1" rank="4"/>
    <cfRule type="top10" dxfId="92" priority="4" rank="4"/>
  </conditionalFormatting>
  <conditionalFormatting sqref="C18:Z20">
    <cfRule type="top10" dxfId="91" priority="1" bottom="1" rank="4"/>
    <cfRule type="top10" dxfId="90" priority="2" rank="4"/>
  </conditionalFormatting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25601" r:id="rId8" name="btnForm">
          <controlPr defaultSize="0" autoLine="0" r:id="rId9">
            <anchor moveWithCells="1">
              <from>
                <xdr:col>10</xdr:col>
                <xdr:colOff>0</xdr:colOff>
                <xdr:row>50</xdr:row>
                <xdr:rowOff>171450</xdr:rowOff>
              </from>
              <to>
                <xdr:col>11</xdr:col>
                <xdr:colOff>228600</xdr:colOff>
                <xdr:row>53</xdr:row>
                <xdr:rowOff>0</xdr:rowOff>
              </to>
            </anchor>
          </controlPr>
        </control>
      </mc:Choice>
      <mc:Fallback>
        <control shapeId="25601" r:id="rId8" name="btnForm"/>
      </mc:Fallback>
    </mc:AlternateContent>
    <mc:AlternateContent xmlns:mc="http://schemas.openxmlformats.org/markup-compatibility/2006">
      <mc:Choice Requires="x14">
        <control shapeId="25602" r:id="rId10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9525</xdr:rowOff>
              </from>
              <to>
                <xdr:col>7</xdr:col>
                <xdr:colOff>438150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03" r:id="rId11" name="Button 3">
          <controlPr defaultSize="0" print="0" autoFill="0" autoPict="0" macro="[0]!get_impiled_yield">
            <anchor moveWithCells="1" sizeWithCells="1">
              <from>
                <xdr:col>7</xdr:col>
                <xdr:colOff>514350</xdr:colOff>
                <xdr:row>50</xdr:row>
                <xdr:rowOff>171450</xdr:rowOff>
              </from>
              <to>
                <xdr:col>8</xdr:col>
                <xdr:colOff>819150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04" r:id="rId12" name="Button 4">
          <controlPr defaultSize="0" print="0" autoFill="0" autoPict="0" macro="[0]!clear_ws">
            <anchor moveWithCells="1" sizeWithCells="1">
              <from>
                <xdr:col>8</xdr:col>
                <xdr:colOff>923925</xdr:colOff>
                <xdr:row>50</xdr:row>
                <xdr:rowOff>171450</xdr:rowOff>
              </from>
              <to>
                <xdr:col>9</xdr:col>
                <xdr:colOff>1114425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6D9820-EEA5-414A-9C63-FF1C7BB5A3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AF30:AF53</xm:sqref>
        </x14:conditionalFormatting>
        <x14:conditionalFormatting xmlns:xm="http://schemas.microsoft.com/office/excel/2006/main">
          <x14:cfRule type="iconSet" priority="33" id="{5C537742-6E3C-4FB8-A86D-E4F32B8F514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AB30:AB53</xm:sqref>
        </x14:conditionalFormatting>
        <x14:conditionalFormatting xmlns:xm="http://schemas.microsoft.com/office/excel/2006/main">
          <x14:cfRule type="iconSet" priority="34" id="{07C2689B-FBCB-4332-9532-2A347EFAF0D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Z30:AA53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E7B74-5EB7-461D-A69A-EF5196C8813A}">
  <sheetPr codeName="Sheet4"/>
  <dimension ref="A1:AS66"/>
  <sheetViews>
    <sheetView topLeftCell="C1" zoomScale="70" zoomScaleNormal="70" workbookViewId="0">
      <selection activeCell="N43" sqref="N43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0" customWidth="1"/>
    <col min="4" max="4" width="13.125" customWidth="1"/>
    <col min="5" max="5" width="14.625" customWidth="1"/>
    <col min="6" max="6" width="12" customWidth="1"/>
    <col min="7" max="7" width="15.625" customWidth="1"/>
    <col min="8" max="8" width="15.375" customWidth="1"/>
    <col min="9" max="9" width="16.875" customWidth="1"/>
    <col min="10" max="10" width="16.5" customWidth="1"/>
    <col min="11" max="11" width="15" customWidth="1"/>
    <col min="12" max="12" width="15.125" customWidth="1"/>
    <col min="13" max="13" width="14.875" customWidth="1"/>
    <col min="14" max="14" width="14.375" customWidth="1"/>
    <col min="15" max="15" width="12.875" customWidth="1"/>
    <col min="16" max="16" width="12.625" customWidth="1"/>
    <col min="17" max="17" width="13" customWidth="1"/>
    <col min="18" max="18" width="13.125" customWidth="1"/>
    <col min="19" max="19" width="13.625" customWidth="1"/>
    <col min="20" max="21" width="12.37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375" customWidth="1" outlineLevel="1"/>
    <col min="27" max="27" width="11.375" customWidth="1"/>
    <col min="28" max="28" width="12.125" customWidth="1"/>
    <col min="29" max="29" width="12.375" customWidth="1"/>
    <col min="30" max="30" width="12.5" customWidth="1"/>
    <col min="31" max="31" width="12.375" customWidth="1"/>
    <col min="34" max="34" width="4.5" customWidth="1"/>
    <col min="36" max="36" width="23.87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3" t="str">
        <f xml:space="preserve"> "Auction Dashboard "</f>
        <v xml:space="preserve">Auction Dashboard </v>
      </c>
      <c r="C1" s="53"/>
      <c r="D1" s="54">
        <v>43382</v>
      </c>
      <c r="E1" s="42"/>
    </row>
    <row r="2" spans="2:45" ht="16.149999999999999" customHeight="1" x14ac:dyDescent="0.2">
      <c r="B2" s="75" t="str">
        <f>G30 &amp; " Total Auction Size: " &amp;H30</f>
        <v>CB19110B Total Auction Size: 40000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7"/>
      <c r="AD2" s="49"/>
    </row>
    <row r="3" spans="2:45" x14ac:dyDescent="0.2">
      <c r="B3" s="20" t="s">
        <v>0</v>
      </c>
      <c r="C3" s="21" t="str">
        <f t="array" ref="C3:Z3">TRANSPOSE($AC$30:$AC$53)</f>
        <v>BNP</v>
      </c>
      <c r="D3" s="21" t="str">
        <v>BBL</v>
      </c>
      <c r="E3" s="21" t="str">
        <v>TMB</v>
      </c>
      <c r="F3" s="21" t="str">
        <v>KBANK</v>
      </c>
      <c r="G3" s="21" t="str">
        <v>KTB</v>
      </c>
      <c r="H3" s="21" t="str">
        <v>BAY</v>
      </c>
      <c r="I3" s="21" t="str">
        <v>CIMBT</v>
      </c>
      <c r="J3" s="21" t="str">
        <v>SCBT</v>
      </c>
      <c r="K3" s="21" t="str">
        <v>TBANK</v>
      </c>
      <c r="L3" s="21" t="str">
        <v>TISCOBANK</v>
      </c>
      <c r="M3" s="21" t="str">
        <v>KKP</v>
      </c>
      <c r="N3" s="21" t="str">
        <v>GSB</v>
      </c>
      <c r="O3" s="21" t="str">
        <v>SCB</v>
      </c>
      <c r="P3" s="21" t="str">
        <v>KGI</v>
      </c>
      <c r="Q3" s="21" t="str">
        <v>CITIBANK</v>
      </c>
      <c r="R3" s="21" t="str">
        <v>HSBC</v>
      </c>
      <c r="S3" s="21" t="str">
        <v>BAML</v>
      </c>
      <c r="T3" s="21" t="str">
        <v>JP_MORGAN</v>
      </c>
      <c r="U3" s="21" t="str">
        <v>DEUTSCHE_BAN</v>
      </c>
      <c r="V3" s="21" t="str">
        <v>UOBT</v>
      </c>
      <c r="W3" s="21" t="str">
        <v>CNS</v>
      </c>
      <c r="X3" s="21" t="str">
        <v>ANZT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CB19110B</v>
      </c>
      <c r="AS3" s="4"/>
    </row>
    <row r="4" spans="2:45" x14ac:dyDescent="0.2">
      <c r="B4" s="20" t="s">
        <v>1</v>
      </c>
      <c r="C4" s="6">
        <v>1.5549999999999999</v>
      </c>
      <c r="D4" s="6">
        <v>1.548</v>
      </c>
      <c r="E4" s="6">
        <v>1.56</v>
      </c>
      <c r="F4" s="6">
        <v>1.55</v>
      </c>
      <c r="G4" s="6">
        <v>1.528</v>
      </c>
      <c r="H4" s="6">
        <v>1.53</v>
      </c>
      <c r="I4" s="6">
        <v>1.538</v>
      </c>
      <c r="J4" s="6"/>
      <c r="K4" s="6"/>
      <c r="L4" s="6">
        <v>1.5549999999999999</v>
      </c>
      <c r="M4" s="6"/>
      <c r="N4" s="6"/>
      <c r="O4" s="6">
        <v>1.5</v>
      </c>
      <c r="P4" s="6"/>
      <c r="Q4" s="6">
        <v>1.534</v>
      </c>
      <c r="R4" s="6">
        <v>1.52</v>
      </c>
      <c r="S4" s="6">
        <v>1.524</v>
      </c>
      <c r="T4" s="6"/>
      <c r="U4" s="6"/>
      <c r="V4" s="6"/>
      <c r="W4" s="6"/>
      <c r="X4" s="6"/>
      <c r="Y4" s="6"/>
      <c r="Z4" s="6"/>
      <c r="AA4" s="18">
        <f>MIN(C4:Z4)</f>
        <v>1.5</v>
      </c>
      <c r="AB4" s="18">
        <f>MAX(C4:Z4)</f>
        <v>1.56</v>
      </c>
      <c r="AC4" s="18">
        <f>IFERROR(AVERAGE(C4:Z4),0)</f>
        <v>1.5368333333333333</v>
      </c>
      <c r="AD4" s="49"/>
    </row>
    <row r="5" spans="2:45" x14ac:dyDescent="0.2">
      <c r="B5" s="20" t="s">
        <v>2</v>
      </c>
      <c r="C5" s="6"/>
      <c r="D5" s="6">
        <v>1.5820000000000001</v>
      </c>
      <c r="E5" s="6">
        <v>1.569</v>
      </c>
      <c r="F5" s="6">
        <v>1.53</v>
      </c>
      <c r="G5" s="6">
        <v>1.5349999999999999</v>
      </c>
      <c r="H5" s="6">
        <v>1.5449999999999999</v>
      </c>
      <c r="I5" s="6"/>
      <c r="J5" s="6"/>
      <c r="K5" s="6"/>
      <c r="L5" s="6"/>
      <c r="M5" s="6"/>
      <c r="N5" s="6"/>
      <c r="O5" s="6"/>
      <c r="P5" s="6"/>
      <c r="Q5" s="6">
        <v>1.542</v>
      </c>
      <c r="R5" s="6">
        <v>1.55</v>
      </c>
      <c r="S5" s="6"/>
      <c r="T5" s="6"/>
      <c r="U5" s="6"/>
      <c r="V5" s="6"/>
      <c r="W5" s="6"/>
      <c r="X5" s="6"/>
      <c r="Y5" s="6"/>
      <c r="Z5" s="6"/>
      <c r="AA5" s="18">
        <f>MIN(C5:Z5)</f>
        <v>1.53</v>
      </c>
      <c r="AB5" s="18">
        <f>MAX(C5:Z5)</f>
        <v>1.5820000000000001</v>
      </c>
      <c r="AC5" s="18">
        <f>IFERROR(AVERAGE(C5:Z5),0)</f>
        <v>1.5504285714285717</v>
      </c>
      <c r="AD5" s="49"/>
    </row>
    <row r="6" spans="2:45" x14ac:dyDescent="0.2">
      <c r="B6" s="20" t="s">
        <v>3</v>
      </c>
      <c r="C6" s="10"/>
      <c r="D6" s="10">
        <v>1.6</v>
      </c>
      <c r="E6" s="10">
        <v>1.5780000000000001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1.5780000000000001</v>
      </c>
      <c r="AB6" s="18">
        <f>MAX(C6:Z6)</f>
        <v>1.6</v>
      </c>
      <c r="AC6" s="18">
        <f>IFERROR(AVERAGE(C6:Z6),0)</f>
        <v>1.589</v>
      </c>
      <c r="AD6" s="49"/>
    </row>
    <row r="7" spans="2:45" x14ac:dyDescent="0.2">
      <c r="B7" s="20" t="s">
        <v>61</v>
      </c>
      <c r="C7" s="46"/>
      <c r="D7" s="46"/>
      <c r="E7" s="46"/>
      <c r="F7" s="46"/>
      <c r="G7" s="46"/>
      <c r="H7" s="46"/>
      <c r="I7" s="46" t="s">
        <v>110</v>
      </c>
      <c r="J7" s="46" t="s">
        <v>108</v>
      </c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1.5780000000000001</v>
      </c>
      <c r="AB7" s="19">
        <f>MAX(AB4:AB6)</f>
        <v>1.6</v>
      </c>
      <c r="AC7" s="19">
        <f>MAX(AC4:AC6)</f>
        <v>1.589</v>
      </c>
      <c r="AD7" s="49"/>
      <c r="AF7" s="48"/>
    </row>
    <row r="8" spans="2:45" x14ac:dyDescent="0.2">
      <c r="B8" s="47"/>
      <c r="AD8" s="49"/>
    </row>
    <row r="9" spans="2:45" outlineLevel="1" x14ac:dyDescent="0.2">
      <c r="B9" s="75" t="str">
        <f>G31 &amp; " Total Auction Size: " &amp;H31</f>
        <v>CB19411A Total Auction Size: 40000</v>
      </c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7"/>
      <c r="AD9" s="49"/>
    </row>
    <row r="10" spans="2:45" outlineLevel="1" x14ac:dyDescent="0.2">
      <c r="B10" s="20" t="s">
        <v>0</v>
      </c>
      <c r="C10" s="21" t="str">
        <f t="array" ref="C10:Z10">TRANSPOSE($AC$30:$AC$53)</f>
        <v>BNP</v>
      </c>
      <c r="D10" s="21" t="str">
        <v>BBL</v>
      </c>
      <c r="E10" s="21" t="str">
        <v>TMB</v>
      </c>
      <c r="F10" s="21" t="str">
        <v>KBANK</v>
      </c>
      <c r="G10" s="21" t="str">
        <v>KTB</v>
      </c>
      <c r="H10" s="21" t="str">
        <v>BAY</v>
      </c>
      <c r="I10" s="21" t="str">
        <v>CIMBT</v>
      </c>
      <c r="J10" s="21" t="str">
        <v>SCBT</v>
      </c>
      <c r="K10" s="21" t="str">
        <v>TBANK</v>
      </c>
      <c r="L10" s="21" t="str">
        <v>TISCOBANK</v>
      </c>
      <c r="M10" s="21" t="str">
        <v>KKP</v>
      </c>
      <c r="N10" s="21" t="str">
        <v>GSB</v>
      </c>
      <c r="O10" s="21" t="str">
        <v>SCB</v>
      </c>
      <c r="P10" s="21" t="str">
        <v>KGI</v>
      </c>
      <c r="Q10" s="21" t="str">
        <v>CITIBANK</v>
      </c>
      <c r="R10" s="21" t="str">
        <v>HSBC</v>
      </c>
      <c r="S10" s="21" t="str">
        <v>BAML</v>
      </c>
      <c r="T10" s="21" t="str">
        <v>JP_MORGAN</v>
      </c>
      <c r="U10" s="21" t="str">
        <v>DEUTSCHE_BAN</v>
      </c>
      <c r="V10" s="21" t="str">
        <v>UOBT</v>
      </c>
      <c r="W10" s="21" t="str">
        <v>CNS</v>
      </c>
      <c r="X10" s="21" t="str">
        <v>ANZT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 t="str">
        <f>G31</f>
        <v>CB19411A</v>
      </c>
    </row>
    <row r="11" spans="2:45" outlineLevel="1" x14ac:dyDescent="0.2">
      <c r="B11" s="20" t="s">
        <v>1</v>
      </c>
      <c r="C11" s="6"/>
      <c r="D11" s="6">
        <v>1.643</v>
      </c>
      <c r="E11" s="6">
        <v>1.66</v>
      </c>
      <c r="F11" s="6">
        <v>1.65</v>
      </c>
      <c r="G11" s="6">
        <v>1.6479999999999999</v>
      </c>
      <c r="H11" s="6">
        <v>1.635</v>
      </c>
      <c r="I11" s="6">
        <v>1.6379999999999999</v>
      </c>
      <c r="J11" s="6"/>
      <c r="K11" s="6"/>
      <c r="L11" s="6"/>
      <c r="M11" s="6"/>
      <c r="N11" s="6"/>
      <c r="O11" s="6">
        <v>1.62</v>
      </c>
      <c r="P11" s="6"/>
      <c r="Q11" s="6">
        <v>1.639</v>
      </c>
      <c r="R11" s="6">
        <v>1.64</v>
      </c>
      <c r="S11" s="6">
        <v>1.645</v>
      </c>
      <c r="T11" s="6"/>
      <c r="U11" s="6"/>
      <c r="V11" s="6"/>
      <c r="W11" s="6"/>
      <c r="X11" s="6"/>
      <c r="Y11" s="6"/>
      <c r="Z11" s="6"/>
      <c r="AA11" s="18">
        <f>MIN(C11:S11)</f>
        <v>1.62</v>
      </c>
      <c r="AB11" s="18">
        <f>MAX(C11:S11)</f>
        <v>1.66</v>
      </c>
      <c r="AC11" s="18">
        <f>IFERROR(AVERAGE(C11:Z11),0)</f>
        <v>1.6417999999999999</v>
      </c>
      <c r="AD11" s="49"/>
    </row>
    <row r="12" spans="2:45" outlineLevel="1" x14ac:dyDescent="0.2">
      <c r="B12" s="20" t="s">
        <v>2</v>
      </c>
      <c r="C12" s="6"/>
      <c r="D12" s="6"/>
      <c r="E12" s="6">
        <v>1.68</v>
      </c>
      <c r="F12" s="6">
        <v>1.7</v>
      </c>
      <c r="G12" s="6"/>
      <c r="H12" s="6">
        <v>1.65</v>
      </c>
      <c r="I12" s="6">
        <v>1.69</v>
      </c>
      <c r="J12" s="6"/>
      <c r="K12" s="6"/>
      <c r="L12" s="6"/>
      <c r="M12" s="6"/>
      <c r="N12" s="6"/>
      <c r="O12" s="6"/>
      <c r="P12" s="6"/>
      <c r="Q12" s="6"/>
      <c r="R12" s="6">
        <v>1.6659999999999999</v>
      </c>
      <c r="S12" s="6"/>
      <c r="T12" s="6"/>
      <c r="U12" s="6"/>
      <c r="V12" s="6"/>
      <c r="W12" s="6"/>
      <c r="X12" s="6"/>
      <c r="Y12" s="6"/>
      <c r="Z12" s="6"/>
      <c r="AA12" s="18">
        <f>MIN(C12:S12)</f>
        <v>1.65</v>
      </c>
      <c r="AB12" s="18">
        <f>MAX(C12:S12)</f>
        <v>1.7</v>
      </c>
      <c r="AC12" s="18">
        <f>IFERROR(AVERAGE(C12:Z12),0)</f>
        <v>1.6771999999999998</v>
      </c>
      <c r="AD12" s="49"/>
    </row>
    <row r="13" spans="2:45" outlineLevel="1" x14ac:dyDescent="0.2">
      <c r="B13" s="20" t="s">
        <v>3</v>
      </c>
      <c r="C13" s="10"/>
      <c r="D13" s="10"/>
      <c r="E13" s="10"/>
      <c r="F13" s="10">
        <v>1.75</v>
      </c>
      <c r="G13" s="10"/>
      <c r="H13" s="10"/>
      <c r="I13" s="10">
        <v>1.74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1.74</v>
      </c>
      <c r="AB13" s="18">
        <f>MAX(C13:S13)</f>
        <v>1.75</v>
      </c>
      <c r="AC13" s="18">
        <f>IFERROR(AVERAGE(C13:Z13),0)</f>
        <v>1.7450000000000001</v>
      </c>
      <c r="AD13" s="49"/>
    </row>
    <row r="14" spans="2:45" outlineLevel="1" x14ac:dyDescent="0.2">
      <c r="B14" s="20" t="s">
        <v>61</v>
      </c>
      <c r="C14" s="46"/>
      <c r="D14" s="46"/>
      <c r="E14" s="46"/>
      <c r="F14" s="46"/>
      <c r="G14" s="46"/>
      <c r="H14" s="46"/>
      <c r="I14" s="46" t="s">
        <v>111</v>
      </c>
      <c r="J14" s="46" t="s">
        <v>109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1.74</v>
      </c>
      <c r="AB14" s="19">
        <f>MAX(AB11:AB13)</f>
        <v>1.75</v>
      </c>
      <c r="AC14" s="19">
        <f>MAX(AC11:AC13)</f>
        <v>1.7450000000000001</v>
      </c>
      <c r="AD14" s="49"/>
      <c r="AE14" s="48"/>
    </row>
    <row r="15" spans="2:45" x14ac:dyDescent="0.2">
      <c r="AD15" s="49"/>
    </row>
    <row r="16" spans="2:45" hidden="1" outlineLevel="1" x14ac:dyDescent="0.2">
      <c r="B16" s="75" t="str">
        <f>G32 &amp; " Total Auction Size: " &amp;H32</f>
        <v xml:space="preserve"> Total Auction Size: 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7"/>
      <c r="AD16" s="49"/>
    </row>
    <row r="17" spans="1:36" hidden="1" outlineLevel="1" x14ac:dyDescent="0.2">
      <c r="B17" s="20" t="s">
        <v>0</v>
      </c>
      <c r="C17" s="21" t="str">
        <f t="array" ref="C17:Z17">TRANSPOSE($AC$30:$AC$53)</f>
        <v>BNP</v>
      </c>
      <c r="D17" s="21" t="str">
        <v>BBL</v>
      </c>
      <c r="E17" s="21" t="str">
        <v>TMB</v>
      </c>
      <c r="F17" s="21" t="str">
        <v>KBANK</v>
      </c>
      <c r="G17" s="21" t="str">
        <v>KTB</v>
      </c>
      <c r="H17" s="21" t="str">
        <v>BAY</v>
      </c>
      <c r="I17" s="21" t="str">
        <v>CIMBT</v>
      </c>
      <c r="J17" s="21" t="str">
        <v>SCBT</v>
      </c>
      <c r="K17" s="21" t="str">
        <v>TBANK</v>
      </c>
      <c r="L17" s="21" t="str">
        <v>TISCOBANK</v>
      </c>
      <c r="M17" s="21" t="str">
        <v>KKP</v>
      </c>
      <c r="N17" s="21" t="str">
        <v>GSB</v>
      </c>
      <c r="O17" s="21" t="str">
        <v>SCB</v>
      </c>
      <c r="P17" s="21" t="str">
        <v>KGI</v>
      </c>
      <c r="Q17" s="21" t="str">
        <v>CITIBANK</v>
      </c>
      <c r="R17" s="21" t="str">
        <v>HSBC</v>
      </c>
      <c r="S17" s="21" t="str">
        <v>BAML</v>
      </c>
      <c r="T17" s="21" t="str">
        <v>JP_MORGAN</v>
      </c>
      <c r="U17" s="21" t="str">
        <v>DEUTSCHE_BAN</v>
      </c>
      <c r="V17" s="21" t="str">
        <v>UOBT</v>
      </c>
      <c r="W17" s="21" t="str">
        <v>CNS</v>
      </c>
      <c r="X17" s="21" t="str">
        <v>ANZT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 x14ac:dyDescent="0.2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 x14ac:dyDescent="0.2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 x14ac:dyDescent="0.2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 x14ac:dyDescent="0.2">
      <c r="B21" s="20" t="s">
        <v>61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 x14ac:dyDescent="0.2"/>
    <row r="23" spans="1:36" hidden="1" outlineLevel="1" x14ac:dyDescent="0.2"/>
    <row r="24" spans="1:36" hidden="1" outlineLevel="1" x14ac:dyDescent="0.2"/>
    <row r="25" spans="1:36" hidden="1" outlineLevel="1" x14ac:dyDescent="0.2"/>
    <row r="26" spans="1:36" hidden="1" outlineLevel="1" x14ac:dyDescent="0.2"/>
    <row r="27" spans="1:36" collapsed="1" x14ac:dyDescent="0.2"/>
    <row r="28" spans="1:36" ht="24.75" customHeight="1" x14ac:dyDescent="0.2">
      <c r="B28" s="25" t="str">
        <f>"Auction Recommend : "</f>
        <v xml:space="preserve">Auction Recommend : </v>
      </c>
      <c r="D28" s="12" t="str">
        <f>G30</f>
        <v>CB19110B</v>
      </c>
      <c r="G28" s="4" t="s">
        <v>20</v>
      </c>
      <c r="P28" s="27" t="str">
        <f>"Auction Excute : " &amp; G30</f>
        <v>Auction Excute : CB19110B</v>
      </c>
      <c r="T28" s="4" t="s">
        <v>18</v>
      </c>
      <c r="X28" s="4" t="s">
        <v>49</v>
      </c>
    </row>
    <row r="29" spans="1:36" x14ac:dyDescent="0.2">
      <c r="A29" s="41">
        <f>MATCH($D$28,$AD$1:$AD$21,0)</f>
        <v>3</v>
      </c>
      <c r="B29" s="20" t="s">
        <v>16</v>
      </c>
      <c r="C29" s="20" t="s">
        <v>0</v>
      </c>
      <c r="D29" s="20" t="s">
        <v>63</v>
      </c>
      <c r="E29" s="20" t="s">
        <v>62</v>
      </c>
      <c r="F29" s="47"/>
      <c r="G29" s="20" t="s">
        <v>24</v>
      </c>
      <c r="H29" s="20" t="s">
        <v>69</v>
      </c>
      <c r="I29" s="20" t="s">
        <v>17</v>
      </c>
      <c r="J29" s="20" t="s">
        <v>21</v>
      </c>
      <c r="K29" s="20" t="s">
        <v>22</v>
      </c>
      <c r="L29" s="20" t="s">
        <v>47</v>
      </c>
      <c r="M29" s="20" t="s">
        <v>48</v>
      </c>
      <c r="N29" s="20" t="s">
        <v>53</v>
      </c>
      <c r="P29" s="20" t="s">
        <v>0</v>
      </c>
      <c r="Q29" s="20" t="s">
        <v>64</v>
      </c>
      <c r="R29" s="20" t="s">
        <v>23</v>
      </c>
      <c r="T29" s="20" t="s">
        <v>0</v>
      </c>
      <c r="U29" s="20" t="s">
        <v>64</v>
      </c>
      <c r="V29" s="20" t="s">
        <v>23</v>
      </c>
      <c r="X29" s="20" t="s">
        <v>4</v>
      </c>
      <c r="Y29" s="20" t="s">
        <v>16</v>
      </c>
      <c r="Z29" s="20" t="s">
        <v>21</v>
      </c>
      <c r="AA29" s="20" t="s">
        <v>22</v>
      </c>
      <c r="AB29" s="20" t="s">
        <v>25</v>
      </c>
      <c r="AC29" s="20" t="s">
        <v>0</v>
      </c>
      <c r="AD29" s="20" t="s">
        <v>19</v>
      </c>
      <c r="AE29" s="20" t="s">
        <v>55</v>
      </c>
      <c r="AF29" s="20" t="s">
        <v>46</v>
      </c>
      <c r="AG29" s="20" t="s">
        <v>30</v>
      </c>
      <c r="AJ29" s="52"/>
    </row>
    <row r="30" spans="1:36" x14ac:dyDescent="0.2">
      <c r="A30">
        <f t="shared" ref="A30:A53" si="0">MATCH(C30,$A$3:$Z$3,0)</f>
        <v>3</v>
      </c>
      <c r="B30" s="58">
        <f t="shared" ref="B30:B53" si="1">INDEX($Y$30:$Y$53,MATCH(C30,$AC$30:$AC$53,0))</f>
        <v>1</v>
      </c>
      <c r="C30" s="1" t="str">
        <f t="shared" ref="C30:C53" si="2">AC30</f>
        <v>BNP</v>
      </c>
      <c r="D30" s="26">
        <v>3710</v>
      </c>
      <c r="E30" s="22">
        <v>1.5444049999999998</v>
      </c>
      <c r="F30" s="47"/>
      <c r="G30" s="7" t="s">
        <v>101</v>
      </c>
      <c r="H30" s="7">
        <v>40000</v>
      </c>
      <c r="I30" s="51">
        <f>SUM(J30:M30)</f>
        <v>10750</v>
      </c>
      <c r="J30" s="7">
        <v>9600</v>
      </c>
      <c r="K30" s="7">
        <v>1000</v>
      </c>
      <c r="L30" s="7">
        <v>150</v>
      </c>
      <c r="M30" s="7"/>
      <c r="N30" s="6"/>
      <c r="P30" s="23" t="s">
        <v>10</v>
      </c>
      <c r="Q30" s="60">
        <v>5000</v>
      </c>
      <c r="R30" s="60">
        <v>1.548</v>
      </c>
      <c r="T30" s="2" t="str">
        <f t="shared" ref="T30:T38" si="3">IF(ISBLANK(P30),"",P30)</f>
        <v>BBL</v>
      </c>
      <c r="U30" s="60">
        <v>5000</v>
      </c>
      <c r="V30" s="60">
        <v>1.548</v>
      </c>
      <c r="X30" s="33">
        <v>1</v>
      </c>
      <c r="Y30" s="5">
        <v>1</v>
      </c>
      <c r="Z30" s="5">
        <v>1</v>
      </c>
      <c r="AA30" s="5">
        <v>1</v>
      </c>
      <c r="AB30" s="5">
        <f t="shared" ref="AB30:AB53" ca="1" si="4">IF(SUM(OFFSET(INDIRECT(ADDRESS($A$29,$A30)),1,0,3)) &gt; 0,1,0)</f>
        <v>1</v>
      </c>
      <c r="AC30" s="17" t="s">
        <v>12</v>
      </c>
      <c r="AD30" s="58">
        <f t="shared" ref="AD30:AD53" si="5">SUMIF($T$30:$T$64,AC30,$U$30:$U$64)</f>
        <v>3000</v>
      </c>
      <c r="AE30" s="58">
        <f ca="1">INDIRECT("'"&amp;$A$55&amp;"'!"&amp;ADDRESS(ROW(),COLUMN()))+AD30</f>
        <v>7480</v>
      </c>
      <c r="AF30" s="24">
        <f t="shared" ref="AF30:AF53" ca="1" si="6">IFERROR(AE30/$AE$54,0)</f>
        <v>0.31472209365927545</v>
      </c>
      <c r="AG30" s="14"/>
    </row>
    <row r="31" spans="1:36" x14ac:dyDescent="0.2">
      <c r="A31">
        <f t="shared" si="0"/>
        <v>4</v>
      </c>
      <c r="B31" s="58">
        <f t="shared" si="1"/>
        <v>2</v>
      </c>
      <c r="C31" s="1" t="str">
        <f t="shared" si="2"/>
        <v>BBL</v>
      </c>
      <c r="D31" s="26">
        <v>3180</v>
      </c>
      <c r="E31" s="22">
        <v>1.5459524999999998</v>
      </c>
      <c r="F31" s="47"/>
      <c r="G31" s="7" t="s">
        <v>102</v>
      </c>
      <c r="H31" s="7">
        <v>40000</v>
      </c>
      <c r="I31" s="51">
        <f t="shared" ref="I31:I32" si="7">SUM(J31:M31)</f>
        <v>0</v>
      </c>
      <c r="J31" s="7"/>
      <c r="K31" s="7"/>
      <c r="L31" s="7"/>
      <c r="M31" s="7"/>
      <c r="N31" s="6"/>
      <c r="P31" s="23" t="s">
        <v>9</v>
      </c>
      <c r="Q31" s="60">
        <v>2000</v>
      </c>
      <c r="R31" s="60">
        <v>1.569</v>
      </c>
      <c r="T31" s="2" t="str">
        <f t="shared" si="3"/>
        <v>TMB</v>
      </c>
      <c r="U31" s="60">
        <v>2000</v>
      </c>
      <c r="V31" s="60">
        <v>1.569</v>
      </c>
      <c r="X31" s="33">
        <v>1</v>
      </c>
      <c r="Y31" s="5">
        <v>2</v>
      </c>
      <c r="Z31" s="5">
        <v>1</v>
      </c>
      <c r="AA31" s="5">
        <v>1</v>
      </c>
      <c r="AB31" s="5">
        <f t="shared" ca="1" si="4"/>
        <v>1</v>
      </c>
      <c r="AC31" s="17" t="s">
        <v>10</v>
      </c>
      <c r="AD31" s="58">
        <f t="shared" si="5"/>
        <v>5000</v>
      </c>
      <c r="AE31" s="58">
        <f t="shared" ref="AE31:AE53" ca="1" si="8">INDIRECT("'"&amp;$A$55&amp;"'!"&amp;ADDRESS(ROW(),COLUMN()))+AD31</f>
        <v>10197</v>
      </c>
      <c r="AF31" s="24">
        <f t="shared" ca="1" si="6"/>
        <v>0.42904026591492406</v>
      </c>
      <c r="AG31" s="15"/>
    </row>
    <row r="32" spans="1:36" x14ac:dyDescent="0.2">
      <c r="A32">
        <f t="shared" si="0"/>
        <v>5</v>
      </c>
      <c r="B32" s="58">
        <f t="shared" si="1"/>
        <v>3</v>
      </c>
      <c r="C32" s="1" t="str">
        <f t="shared" si="2"/>
        <v>TMB</v>
      </c>
      <c r="D32" s="26">
        <v>2650</v>
      </c>
      <c r="E32" s="22">
        <v>1.5474999999999999</v>
      </c>
      <c r="F32" s="47"/>
      <c r="G32" s="7"/>
      <c r="H32" s="7"/>
      <c r="I32" s="51">
        <f t="shared" si="7"/>
        <v>0</v>
      </c>
      <c r="J32" s="7"/>
      <c r="K32" s="7"/>
      <c r="L32" s="7"/>
      <c r="M32" s="7"/>
      <c r="N32" s="6"/>
      <c r="P32" s="23" t="s">
        <v>12</v>
      </c>
      <c r="Q32" s="60">
        <v>3000</v>
      </c>
      <c r="R32" s="60">
        <v>1.5549999999999999</v>
      </c>
      <c r="T32" s="2" t="str">
        <f t="shared" si="3"/>
        <v>BNP</v>
      </c>
      <c r="U32" s="60">
        <v>3000</v>
      </c>
      <c r="V32" s="60">
        <v>1.5549999999999999</v>
      </c>
      <c r="X32" s="33">
        <v>1</v>
      </c>
      <c r="Y32" s="5">
        <v>3</v>
      </c>
      <c r="Z32" s="5">
        <v>1</v>
      </c>
      <c r="AA32" s="5">
        <v>0</v>
      </c>
      <c r="AB32" s="5">
        <f t="shared" ca="1" si="4"/>
        <v>1</v>
      </c>
      <c r="AC32" s="17" t="s">
        <v>9</v>
      </c>
      <c r="AD32" s="58">
        <f t="shared" si="5"/>
        <v>2250</v>
      </c>
      <c r="AE32" s="58">
        <f t="shared" ca="1" si="8"/>
        <v>3090</v>
      </c>
      <c r="AF32" s="16">
        <f t="shared" ca="1" si="6"/>
        <v>0.13001220179240122</v>
      </c>
      <c r="AG32" s="56">
        <f ca="1">IFERROR(SUMIF($X$30:$X$53,$X$32,$AE$30:$AE$53)/$AE$54,0)</f>
        <v>0.8737745613666007</v>
      </c>
    </row>
    <row r="33" spans="1:33" x14ac:dyDescent="0.2">
      <c r="A33">
        <f t="shared" si="0"/>
        <v>6</v>
      </c>
      <c r="B33" s="58">
        <f t="shared" si="1"/>
        <v>4</v>
      </c>
      <c r="C33" s="1" t="str">
        <f t="shared" si="2"/>
        <v>KBANK</v>
      </c>
      <c r="D33" s="26">
        <v>1060</v>
      </c>
      <c r="E33" s="22">
        <v>1.5490474999999999</v>
      </c>
      <c r="F33" s="47"/>
      <c r="G33" s="34"/>
      <c r="P33" s="23" t="s">
        <v>34</v>
      </c>
      <c r="Q33" s="60">
        <v>500</v>
      </c>
      <c r="R33" s="62">
        <v>1.5549999999999999</v>
      </c>
      <c r="T33" s="2" t="str">
        <f t="shared" si="3"/>
        <v>TISCOBANK</v>
      </c>
      <c r="U33" s="60">
        <v>500</v>
      </c>
      <c r="V33" s="60">
        <v>1.5549999999999999</v>
      </c>
      <c r="X33" s="58">
        <v>2</v>
      </c>
      <c r="Y33" s="5">
        <v>4</v>
      </c>
      <c r="Z33" s="5">
        <v>1</v>
      </c>
      <c r="AA33" s="5">
        <v>0</v>
      </c>
      <c r="AB33" s="5">
        <f t="shared" ca="1" si="4"/>
        <v>1</v>
      </c>
      <c r="AC33" s="17" t="s">
        <v>11</v>
      </c>
      <c r="AD33" s="58">
        <f t="shared" si="5"/>
        <v>0</v>
      </c>
      <c r="AE33" s="58">
        <f t="shared" ca="1" si="8"/>
        <v>2500</v>
      </c>
      <c r="AF33" s="24">
        <f t="shared" ca="1" si="6"/>
        <v>0.10518786552783271</v>
      </c>
      <c r="AG33" s="15"/>
    </row>
    <row r="34" spans="1:33" x14ac:dyDescent="0.2">
      <c r="A34">
        <f t="shared" si="0"/>
        <v>7</v>
      </c>
      <c r="B34" s="58">
        <f t="shared" si="1"/>
        <v>5</v>
      </c>
      <c r="C34" s="1" t="str">
        <f t="shared" si="2"/>
        <v>KTB</v>
      </c>
      <c r="D34" s="26"/>
      <c r="E34" s="22"/>
      <c r="G34" s="35"/>
      <c r="P34" s="23" t="s">
        <v>9</v>
      </c>
      <c r="Q34" s="60">
        <v>250</v>
      </c>
      <c r="R34" s="60">
        <v>1.56</v>
      </c>
      <c r="T34" s="2" t="str">
        <f t="shared" si="3"/>
        <v>TMB</v>
      </c>
      <c r="U34" s="60">
        <v>250</v>
      </c>
      <c r="V34" s="60">
        <v>1.56</v>
      </c>
      <c r="X34" s="58">
        <v>2</v>
      </c>
      <c r="Y34" s="5">
        <v>5</v>
      </c>
      <c r="Z34" s="5">
        <v>1</v>
      </c>
      <c r="AA34" s="5">
        <v>0</v>
      </c>
      <c r="AB34" s="5">
        <f t="shared" ca="1" si="4"/>
        <v>1</v>
      </c>
      <c r="AC34" s="17" t="s">
        <v>13</v>
      </c>
      <c r="AD34" s="58">
        <f t="shared" si="5"/>
        <v>0</v>
      </c>
      <c r="AE34" s="58">
        <f t="shared" ca="1" si="8"/>
        <v>0</v>
      </c>
      <c r="AF34" s="24">
        <f t="shared" ca="1" si="6"/>
        <v>0</v>
      </c>
      <c r="AG34" s="15"/>
    </row>
    <row r="35" spans="1:33" x14ac:dyDescent="0.2">
      <c r="A35">
        <f t="shared" si="0"/>
        <v>8</v>
      </c>
      <c r="B35" s="58">
        <f t="shared" si="1"/>
        <v>6</v>
      </c>
      <c r="C35" s="1" t="str">
        <f t="shared" si="2"/>
        <v>BAY</v>
      </c>
      <c r="D35" s="26"/>
      <c r="E35" s="22"/>
      <c r="G35" s="4" t="s">
        <v>54</v>
      </c>
      <c r="P35" s="23"/>
      <c r="Q35" s="60"/>
      <c r="R35" s="60"/>
      <c r="T35" s="2" t="str">
        <f t="shared" si="3"/>
        <v/>
      </c>
      <c r="U35" s="60"/>
      <c r="V35" s="60"/>
      <c r="X35" s="58">
        <v>2</v>
      </c>
      <c r="Y35" s="5">
        <v>6</v>
      </c>
      <c r="Z35" s="5">
        <v>1</v>
      </c>
      <c r="AA35" s="5">
        <v>0</v>
      </c>
      <c r="AB35" s="5">
        <f t="shared" ca="1" si="4"/>
        <v>1</v>
      </c>
      <c r="AC35" s="17" t="s">
        <v>32</v>
      </c>
      <c r="AD35" s="58">
        <f t="shared" si="5"/>
        <v>0</v>
      </c>
      <c r="AE35" s="58">
        <f t="shared" ca="1" si="8"/>
        <v>0</v>
      </c>
      <c r="AF35" s="24">
        <f t="shared" ca="1" si="6"/>
        <v>0</v>
      </c>
      <c r="AG35" s="15"/>
    </row>
    <row r="36" spans="1:33" x14ac:dyDescent="0.2">
      <c r="A36">
        <f t="shared" si="0"/>
        <v>9</v>
      </c>
      <c r="B36" s="58">
        <f t="shared" si="1"/>
        <v>7</v>
      </c>
      <c r="C36" s="1" t="str">
        <f t="shared" si="2"/>
        <v>CIMBT</v>
      </c>
      <c r="D36" s="26"/>
      <c r="E36" s="22"/>
      <c r="G36" s="20" t="s">
        <v>24</v>
      </c>
      <c r="H36" s="20" t="s">
        <v>56</v>
      </c>
      <c r="I36" s="20" t="s">
        <v>50</v>
      </c>
      <c r="J36" s="20" t="s">
        <v>51</v>
      </c>
      <c r="K36" s="20" t="s">
        <v>60</v>
      </c>
      <c r="L36" s="20" t="s">
        <v>57</v>
      </c>
      <c r="M36" s="20" t="s">
        <v>52</v>
      </c>
      <c r="P36" s="23"/>
      <c r="Q36" s="60"/>
      <c r="R36" s="60"/>
      <c r="T36" s="2" t="str">
        <f t="shared" si="3"/>
        <v/>
      </c>
      <c r="U36" s="60"/>
      <c r="V36" s="60"/>
      <c r="X36" s="58">
        <v>2</v>
      </c>
      <c r="Y36" s="5">
        <v>7</v>
      </c>
      <c r="Z36" s="5">
        <v>1</v>
      </c>
      <c r="AA36" s="5">
        <v>0</v>
      </c>
      <c r="AB36" s="5">
        <f t="shared" ca="1" si="4"/>
        <v>1</v>
      </c>
      <c r="AC36" s="17" t="s">
        <v>31</v>
      </c>
      <c r="AD36" s="58">
        <f t="shared" si="5"/>
        <v>0</v>
      </c>
      <c r="AE36" s="58">
        <f t="shared" ca="1" si="8"/>
        <v>0</v>
      </c>
      <c r="AF36" s="24">
        <f t="shared" ca="1" si="6"/>
        <v>0</v>
      </c>
      <c r="AG36" s="15"/>
    </row>
    <row r="37" spans="1:33" ht="16.5" customHeight="1" x14ac:dyDescent="0.2">
      <c r="A37">
        <f t="shared" si="0"/>
        <v>10</v>
      </c>
      <c r="B37" s="58">
        <f t="shared" si="1"/>
        <v>8</v>
      </c>
      <c r="C37" s="1" t="str">
        <f t="shared" si="2"/>
        <v>SCBT</v>
      </c>
      <c r="D37" s="26"/>
      <c r="E37" s="22"/>
      <c r="G37" s="38" t="s">
        <v>105</v>
      </c>
      <c r="H37" s="36">
        <v>43381</v>
      </c>
      <c r="I37" s="22">
        <v>1.5</v>
      </c>
      <c r="J37" s="22">
        <v>1.5</v>
      </c>
      <c r="K37" s="22">
        <v>1.5</v>
      </c>
      <c r="L37" s="37">
        <v>0.234787</v>
      </c>
      <c r="M37" s="37">
        <v>0.11025</v>
      </c>
      <c r="P37" s="23"/>
      <c r="Q37" s="60"/>
      <c r="R37" s="60"/>
      <c r="T37" s="2" t="str">
        <f t="shared" si="3"/>
        <v/>
      </c>
      <c r="U37" s="60"/>
      <c r="V37" s="60"/>
      <c r="X37" s="58">
        <v>2</v>
      </c>
      <c r="Y37" s="5">
        <v>8</v>
      </c>
      <c r="Z37" s="5">
        <v>1</v>
      </c>
      <c r="AA37" s="5">
        <v>0</v>
      </c>
      <c r="AB37" s="5">
        <f t="shared" ca="1" si="4"/>
        <v>0</v>
      </c>
      <c r="AC37" s="17" t="s">
        <v>35</v>
      </c>
      <c r="AD37" s="58">
        <f t="shared" si="5"/>
        <v>0</v>
      </c>
      <c r="AE37" s="58">
        <f t="shared" ca="1" si="8"/>
        <v>0</v>
      </c>
      <c r="AF37" s="16">
        <f t="shared" ca="1" si="6"/>
        <v>0</v>
      </c>
      <c r="AG37" s="56">
        <f ca="1">IFERROR(SUMIF($X$30:$X$53,$X$37,$AE$30:$AE$53)/$AE$54,0)</f>
        <v>0.10518786552783271</v>
      </c>
    </row>
    <row r="38" spans="1:33" x14ac:dyDescent="0.2">
      <c r="A38">
        <f t="shared" si="0"/>
        <v>11</v>
      </c>
      <c r="B38" s="58">
        <f t="shared" si="1"/>
        <v>9</v>
      </c>
      <c r="C38" s="1" t="str">
        <f t="shared" si="2"/>
        <v>TBANK</v>
      </c>
      <c r="D38" s="26"/>
      <c r="E38" s="22"/>
      <c r="G38" s="38" t="s">
        <v>73</v>
      </c>
      <c r="H38" s="36">
        <v>43381</v>
      </c>
      <c r="I38" s="22">
        <v>1.47</v>
      </c>
      <c r="J38" s="22">
        <v>1.47</v>
      </c>
      <c r="K38" s="22">
        <v>1.47</v>
      </c>
      <c r="L38" s="37">
        <v>0.23480300000000001</v>
      </c>
      <c r="M38" s="37">
        <v>0.110265</v>
      </c>
      <c r="P38" s="23"/>
      <c r="Q38" s="60"/>
      <c r="R38" s="60"/>
      <c r="T38" s="2" t="str">
        <f t="shared" si="3"/>
        <v/>
      </c>
      <c r="U38" s="60"/>
      <c r="V38" s="60"/>
      <c r="X38" s="58">
        <v>3</v>
      </c>
      <c r="Y38" s="5">
        <v>9</v>
      </c>
      <c r="Z38" s="5">
        <v>1</v>
      </c>
      <c r="AA38" s="5">
        <v>0</v>
      </c>
      <c r="AB38" s="5">
        <f t="shared" ca="1" si="4"/>
        <v>0</v>
      </c>
      <c r="AC38" s="17" t="s">
        <v>33</v>
      </c>
      <c r="AD38" s="58">
        <f t="shared" si="5"/>
        <v>0</v>
      </c>
      <c r="AE38" s="58">
        <f t="shared" ca="1" si="8"/>
        <v>0</v>
      </c>
      <c r="AF38" s="24">
        <f t="shared" ca="1" si="6"/>
        <v>0</v>
      </c>
      <c r="AG38" s="15"/>
    </row>
    <row r="39" spans="1:33" ht="15" thickBot="1" x14ac:dyDescent="0.25">
      <c r="A39">
        <f t="shared" si="0"/>
        <v>12</v>
      </c>
      <c r="B39" s="58">
        <f t="shared" si="1"/>
        <v>10</v>
      </c>
      <c r="C39" s="1" t="str">
        <f t="shared" si="2"/>
        <v>TISCOBANK</v>
      </c>
      <c r="D39" s="26"/>
      <c r="E39" s="22"/>
      <c r="G39" s="38" t="s">
        <v>106</v>
      </c>
      <c r="H39" s="36">
        <v>43381</v>
      </c>
      <c r="I39" s="22">
        <v>1.48</v>
      </c>
      <c r="J39" s="22">
        <v>1.48</v>
      </c>
      <c r="K39" s="22">
        <v>1.48</v>
      </c>
      <c r="L39" s="37">
        <v>0.25383699999999998</v>
      </c>
      <c r="M39" s="37">
        <v>0.12886700000000001</v>
      </c>
      <c r="O39" s="39" t="s">
        <v>58</v>
      </c>
      <c r="P39" s="40">
        <f>I30-Q39</f>
        <v>0</v>
      </c>
      <c r="Q39" s="61">
        <f>SUM(Q30:Q38)</f>
        <v>10750</v>
      </c>
      <c r="R39" s="55">
        <f>IFERROR(SUMPRODUCT(Q30:Q38,R30:R38)/SUM(Q30:Q38),0)</f>
        <v>1.5544651162790697</v>
      </c>
      <c r="S39" s="39" t="s">
        <v>59</v>
      </c>
      <c r="T39" s="40">
        <f>I30-U39</f>
        <v>0</v>
      </c>
      <c r="U39" s="50">
        <f>SUM(U30:U38)</f>
        <v>10750</v>
      </c>
      <c r="V39" s="55">
        <f>IFERROR(SUMPRODUCT(U30:U38,V30:V38)/SUM(U30:U38),0)</f>
        <v>1.5544651162790697</v>
      </c>
      <c r="X39" s="58">
        <v>3</v>
      </c>
      <c r="Y39" s="5">
        <v>10</v>
      </c>
      <c r="Z39" s="5">
        <v>1</v>
      </c>
      <c r="AA39" s="5">
        <v>0</v>
      </c>
      <c r="AB39" s="5">
        <f t="shared" ca="1" si="4"/>
        <v>1</v>
      </c>
      <c r="AC39" s="17" t="s">
        <v>34</v>
      </c>
      <c r="AD39" s="58">
        <f t="shared" si="5"/>
        <v>500</v>
      </c>
      <c r="AE39" s="58">
        <f t="shared" ca="1" si="8"/>
        <v>500</v>
      </c>
      <c r="AF39" s="24">
        <f t="shared" ca="1" si="6"/>
        <v>2.1037573105566542E-2</v>
      </c>
      <c r="AG39" s="15"/>
    </row>
    <row r="40" spans="1:33" ht="15" thickTop="1" x14ac:dyDescent="0.2">
      <c r="A40">
        <f t="shared" si="0"/>
        <v>13</v>
      </c>
      <c r="B40" s="58">
        <f t="shared" si="1"/>
        <v>11</v>
      </c>
      <c r="C40" s="1" t="str">
        <f t="shared" si="2"/>
        <v>KKP</v>
      </c>
      <c r="D40" s="26"/>
      <c r="E40" s="22"/>
      <c r="G40" s="38" t="s">
        <v>107</v>
      </c>
      <c r="H40" s="36">
        <v>43381</v>
      </c>
      <c r="I40" s="22">
        <v>1.51</v>
      </c>
      <c r="J40" s="22">
        <v>1.51</v>
      </c>
      <c r="K40" s="22">
        <v>1.51</v>
      </c>
      <c r="L40" s="37">
        <v>0.27284399999999998</v>
      </c>
      <c r="M40" s="37">
        <v>0.14888799999999999</v>
      </c>
      <c r="X40" s="58">
        <v>3</v>
      </c>
      <c r="Y40" s="5">
        <v>11</v>
      </c>
      <c r="Z40" s="5">
        <v>1</v>
      </c>
      <c r="AA40" s="5">
        <v>0</v>
      </c>
      <c r="AB40" s="5">
        <f t="shared" ca="1" si="4"/>
        <v>0</v>
      </c>
      <c r="AC40" s="17" t="s">
        <v>37</v>
      </c>
      <c r="AD40" s="58">
        <f t="shared" si="5"/>
        <v>0</v>
      </c>
      <c r="AE40" s="58">
        <f t="shared" ca="1" si="8"/>
        <v>0</v>
      </c>
      <c r="AF40" s="24">
        <f t="shared" ca="1" si="6"/>
        <v>0</v>
      </c>
      <c r="AG40" s="15"/>
    </row>
    <row r="41" spans="1:33" x14ac:dyDescent="0.2">
      <c r="A41">
        <f t="shared" si="0"/>
        <v>14</v>
      </c>
      <c r="B41" s="58">
        <f t="shared" si="1"/>
        <v>12</v>
      </c>
      <c r="C41" s="1" t="str">
        <f t="shared" si="2"/>
        <v>GSB</v>
      </c>
      <c r="D41" s="26"/>
      <c r="E41" s="22"/>
      <c r="G41" s="38" t="s">
        <v>103</v>
      </c>
      <c r="H41" s="36">
        <v>43378</v>
      </c>
      <c r="I41" s="22">
        <v>1.47</v>
      </c>
      <c r="J41" s="22">
        <v>1.401457</v>
      </c>
      <c r="K41" s="22">
        <v>1.401457</v>
      </c>
      <c r="L41" s="37">
        <v>0.29195100000000002</v>
      </c>
      <c r="M41" s="37">
        <v>0.17047100000000001</v>
      </c>
      <c r="P41" s="28" t="str">
        <f>"Auction Excute : " &amp;G31</f>
        <v>Auction Excute : CB19411A</v>
      </c>
      <c r="T41" s="4" t="s">
        <v>18</v>
      </c>
      <c r="X41" s="58">
        <v>3</v>
      </c>
      <c r="Y41" s="5">
        <v>12</v>
      </c>
      <c r="Z41" s="5">
        <v>1</v>
      </c>
      <c r="AA41" s="5">
        <v>0</v>
      </c>
      <c r="AB41" s="5">
        <f t="shared" ca="1" si="4"/>
        <v>0</v>
      </c>
      <c r="AC41" s="17" t="s">
        <v>14</v>
      </c>
      <c r="AD41" s="58">
        <f t="shared" si="5"/>
        <v>0</v>
      </c>
      <c r="AE41" s="58">
        <f t="shared" ca="1" si="8"/>
        <v>0</v>
      </c>
      <c r="AF41" s="24">
        <f t="shared" ca="1" si="6"/>
        <v>0</v>
      </c>
      <c r="AG41" s="15"/>
    </row>
    <row r="42" spans="1:33" x14ac:dyDescent="0.2">
      <c r="A42">
        <f t="shared" si="0"/>
        <v>15</v>
      </c>
      <c r="B42" s="58">
        <f t="shared" si="1"/>
        <v>13</v>
      </c>
      <c r="C42" s="1" t="str">
        <f t="shared" si="2"/>
        <v>SCB</v>
      </c>
      <c r="D42" s="26"/>
      <c r="E42" s="22"/>
      <c r="G42" s="38" t="s">
        <v>104</v>
      </c>
      <c r="H42" s="36">
        <v>43381</v>
      </c>
      <c r="I42" s="22">
        <v>1.5549999999999999</v>
      </c>
      <c r="J42" s="22">
        <v>1.5549999999999999</v>
      </c>
      <c r="K42" s="22">
        <v>1.5549999999999999</v>
      </c>
      <c r="L42" s="37">
        <v>0.31081900000000001</v>
      </c>
      <c r="M42" s="37">
        <v>0.193217</v>
      </c>
      <c r="P42" s="20" t="s">
        <v>0</v>
      </c>
      <c r="Q42" s="20" t="s">
        <v>64</v>
      </c>
      <c r="R42" s="20" t="s">
        <v>23</v>
      </c>
      <c r="T42" s="20" t="s">
        <v>0</v>
      </c>
      <c r="U42" s="20" t="s">
        <v>64</v>
      </c>
      <c r="V42" s="20" t="s">
        <v>23</v>
      </c>
      <c r="X42" s="58">
        <v>3</v>
      </c>
      <c r="Y42" s="5">
        <v>13</v>
      </c>
      <c r="Z42" s="5">
        <v>1</v>
      </c>
      <c r="AA42" s="5">
        <v>0</v>
      </c>
      <c r="AB42" s="5">
        <f t="shared" ca="1" si="4"/>
        <v>1</v>
      </c>
      <c r="AC42" s="17" t="s">
        <v>8</v>
      </c>
      <c r="AD42" s="58">
        <f t="shared" si="5"/>
        <v>0</v>
      </c>
      <c r="AE42" s="58">
        <f t="shared" ca="1" si="8"/>
        <v>0</v>
      </c>
      <c r="AF42" s="24">
        <f t="shared" ca="1" si="6"/>
        <v>0</v>
      </c>
      <c r="AG42" s="15"/>
    </row>
    <row r="43" spans="1:33" x14ac:dyDescent="0.2">
      <c r="A43">
        <f t="shared" si="0"/>
        <v>16</v>
      </c>
      <c r="B43" s="58">
        <f t="shared" si="1"/>
        <v>14</v>
      </c>
      <c r="C43" s="1" t="str">
        <f t="shared" si="2"/>
        <v>KGI</v>
      </c>
      <c r="D43" s="26"/>
      <c r="E43" s="22"/>
      <c r="G43" s="38"/>
      <c r="H43" s="36"/>
      <c r="I43" s="22"/>
      <c r="J43" s="22"/>
      <c r="K43" s="22"/>
      <c r="L43" s="37"/>
      <c r="M43" s="37"/>
      <c r="P43" s="23"/>
      <c r="Q43" s="60"/>
      <c r="R43" s="60"/>
      <c r="T43" s="2" t="str">
        <f>IF(ISBLANK(P43),"",P43)</f>
        <v/>
      </c>
      <c r="U43" s="60"/>
      <c r="V43" s="60"/>
      <c r="X43" s="58">
        <v>3</v>
      </c>
      <c r="Y43" s="5">
        <v>14</v>
      </c>
      <c r="Z43" s="5">
        <v>1</v>
      </c>
      <c r="AA43" s="5">
        <v>0</v>
      </c>
      <c r="AB43" s="5">
        <f t="shared" ca="1" si="4"/>
        <v>0</v>
      </c>
      <c r="AC43" s="17" t="s">
        <v>39</v>
      </c>
      <c r="AD43" s="58">
        <f t="shared" si="5"/>
        <v>0</v>
      </c>
      <c r="AE43" s="58">
        <f t="shared" ca="1" si="8"/>
        <v>0</v>
      </c>
      <c r="AF43" s="24">
        <f t="shared" ca="1" si="6"/>
        <v>0</v>
      </c>
      <c r="AG43" s="15"/>
    </row>
    <row r="44" spans="1:33" x14ac:dyDescent="0.2">
      <c r="A44">
        <f t="shared" si="0"/>
        <v>17</v>
      </c>
      <c r="B44" s="58">
        <f t="shared" si="1"/>
        <v>15</v>
      </c>
      <c r="C44" s="1" t="str">
        <f t="shared" si="2"/>
        <v>CITIBANK</v>
      </c>
      <c r="D44" s="26"/>
      <c r="E44" s="22"/>
      <c r="G44" s="38"/>
      <c r="H44" s="36"/>
      <c r="I44" s="22"/>
      <c r="J44" s="22"/>
      <c r="K44" s="22"/>
      <c r="L44" s="37"/>
      <c r="M44" s="37"/>
      <c r="P44" s="23"/>
      <c r="Q44" s="60"/>
      <c r="R44" s="60"/>
      <c r="T44" s="2" t="str">
        <f t="shared" ref="T44:T51" si="9">IF(ISBLANK(P44),"",P44)</f>
        <v/>
      </c>
      <c r="U44" s="60"/>
      <c r="V44" s="60"/>
      <c r="X44" s="58">
        <v>3</v>
      </c>
      <c r="Y44" s="5">
        <v>15</v>
      </c>
      <c r="Z44" s="5">
        <v>1</v>
      </c>
      <c r="AA44" s="5">
        <v>0</v>
      </c>
      <c r="AB44" s="5">
        <f t="shared" ca="1" si="4"/>
        <v>1</v>
      </c>
      <c r="AC44" s="17" t="s">
        <v>36</v>
      </c>
      <c r="AD44" s="58">
        <f t="shared" si="5"/>
        <v>0</v>
      </c>
      <c r="AE44" s="58">
        <f t="shared" ca="1" si="8"/>
        <v>0</v>
      </c>
      <c r="AF44" s="24">
        <f t="shared" ca="1" si="6"/>
        <v>0</v>
      </c>
      <c r="AG44" s="15"/>
    </row>
    <row r="45" spans="1:33" x14ac:dyDescent="0.2">
      <c r="A45">
        <f t="shared" si="0"/>
        <v>18</v>
      </c>
      <c r="B45" s="58">
        <f t="shared" si="1"/>
        <v>16</v>
      </c>
      <c r="C45" s="1" t="str">
        <f t="shared" si="2"/>
        <v>HSBC</v>
      </c>
      <c r="D45" s="26"/>
      <c r="E45" s="22"/>
      <c r="G45" s="38"/>
      <c r="H45" s="36"/>
      <c r="I45" s="22"/>
      <c r="J45" s="22"/>
      <c r="K45" s="22"/>
      <c r="L45" s="37"/>
      <c r="M45" s="37"/>
      <c r="P45" s="23"/>
      <c r="Q45" s="60"/>
      <c r="R45" s="60"/>
      <c r="T45" s="2" t="str">
        <f t="shared" si="9"/>
        <v/>
      </c>
      <c r="U45" s="60"/>
      <c r="V45" s="60"/>
      <c r="X45" s="58">
        <v>3</v>
      </c>
      <c r="Y45" s="5">
        <v>16</v>
      </c>
      <c r="Z45" s="5">
        <v>1</v>
      </c>
      <c r="AA45" s="5">
        <v>0</v>
      </c>
      <c r="AB45" s="5">
        <f t="shared" ca="1" si="4"/>
        <v>1</v>
      </c>
      <c r="AC45" s="17" t="s">
        <v>15</v>
      </c>
      <c r="AD45" s="58">
        <f t="shared" si="5"/>
        <v>0</v>
      </c>
      <c r="AE45" s="58">
        <f t="shared" ca="1" si="8"/>
        <v>0</v>
      </c>
      <c r="AF45" s="24">
        <f t="shared" ca="1" si="6"/>
        <v>0</v>
      </c>
      <c r="AG45" s="15"/>
    </row>
    <row r="46" spans="1:33" x14ac:dyDescent="0.2">
      <c r="A46">
        <f t="shared" si="0"/>
        <v>19</v>
      </c>
      <c r="B46" s="58">
        <f t="shared" si="1"/>
        <v>17</v>
      </c>
      <c r="C46" s="1" t="str">
        <f t="shared" si="2"/>
        <v>BAML</v>
      </c>
      <c r="D46" s="26"/>
      <c r="E46" s="22"/>
      <c r="G46" s="38"/>
      <c r="H46" s="36"/>
      <c r="I46" s="22"/>
      <c r="J46" s="22"/>
      <c r="K46" s="22"/>
      <c r="L46" s="37"/>
      <c r="M46" s="37"/>
      <c r="P46" s="23"/>
      <c r="Q46" s="60"/>
      <c r="R46" s="60"/>
      <c r="T46" s="2" t="str">
        <f t="shared" si="9"/>
        <v/>
      </c>
      <c r="U46" s="60"/>
      <c r="V46" s="60"/>
      <c r="X46" s="58">
        <v>3</v>
      </c>
      <c r="Y46" s="5">
        <v>17</v>
      </c>
      <c r="Z46" s="5">
        <v>1</v>
      </c>
      <c r="AA46" s="5">
        <v>0</v>
      </c>
      <c r="AB46" s="5">
        <f t="shared" ca="1" si="4"/>
        <v>1</v>
      </c>
      <c r="AC46" s="17" t="s">
        <v>40</v>
      </c>
      <c r="AD46" s="58">
        <f t="shared" si="5"/>
        <v>0</v>
      </c>
      <c r="AE46" s="58">
        <f t="shared" ca="1" si="8"/>
        <v>0</v>
      </c>
      <c r="AF46" s="24">
        <f t="shared" ca="1" si="6"/>
        <v>0</v>
      </c>
      <c r="AG46" s="15"/>
    </row>
    <row r="47" spans="1:33" x14ac:dyDescent="0.2">
      <c r="A47">
        <f t="shared" si="0"/>
        <v>20</v>
      </c>
      <c r="B47" s="58">
        <f t="shared" si="1"/>
        <v>18</v>
      </c>
      <c r="C47" s="1" t="str">
        <f t="shared" si="2"/>
        <v>JP_MORGAN</v>
      </c>
      <c r="D47" s="26"/>
      <c r="E47" s="22"/>
      <c r="G47" s="38"/>
      <c r="H47" s="36"/>
      <c r="I47" s="22"/>
      <c r="J47" s="22"/>
      <c r="K47" s="22"/>
      <c r="L47" s="37"/>
      <c r="M47" s="37"/>
      <c r="P47" s="23"/>
      <c r="Q47" s="60"/>
      <c r="R47" s="60"/>
      <c r="T47" s="2" t="str">
        <f t="shared" si="9"/>
        <v/>
      </c>
      <c r="U47" s="60"/>
      <c r="V47" s="60"/>
      <c r="X47" s="58">
        <v>3</v>
      </c>
      <c r="Y47" s="5">
        <v>18</v>
      </c>
      <c r="Z47" s="5">
        <v>1</v>
      </c>
      <c r="AA47" s="5">
        <v>0</v>
      </c>
      <c r="AB47" s="5">
        <f t="shared" ca="1" si="4"/>
        <v>0</v>
      </c>
      <c r="AC47" s="17" t="s">
        <v>41</v>
      </c>
      <c r="AD47" s="58">
        <f t="shared" si="5"/>
        <v>0</v>
      </c>
      <c r="AE47" s="58">
        <f t="shared" ca="1" si="8"/>
        <v>0</v>
      </c>
      <c r="AF47" s="24">
        <f t="shared" ca="1" si="6"/>
        <v>0</v>
      </c>
      <c r="AG47" s="15"/>
    </row>
    <row r="48" spans="1:33" x14ac:dyDescent="0.2">
      <c r="A48">
        <f t="shared" si="0"/>
        <v>21</v>
      </c>
      <c r="B48" s="58">
        <f t="shared" si="1"/>
        <v>19</v>
      </c>
      <c r="C48" s="1" t="str">
        <f t="shared" si="2"/>
        <v>DEUTSCHE_BAN</v>
      </c>
      <c r="D48" s="26"/>
      <c r="E48" s="22"/>
      <c r="G48" s="38"/>
      <c r="H48" s="36"/>
      <c r="I48" s="22"/>
      <c r="J48" s="22"/>
      <c r="K48" s="22"/>
      <c r="L48" s="37"/>
      <c r="M48" s="37"/>
      <c r="P48" s="23"/>
      <c r="Q48" s="60"/>
      <c r="R48" s="60"/>
      <c r="T48" s="2" t="str">
        <f t="shared" si="9"/>
        <v/>
      </c>
      <c r="U48" s="60"/>
      <c r="V48" s="60"/>
      <c r="X48" s="58">
        <v>3</v>
      </c>
      <c r="Y48" s="5">
        <v>19</v>
      </c>
      <c r="Z48" s="5">
        <v>1</v>
      </c>
      <c r="AA48" s="5">
        <v>0</v>
      </c>
      <c r="AB48" s="5">
        <f t="shared" ca="1" si="4"/>
        <v>0</v>
      </c>
      <c r="AC48" s="17" t="s">
        <v>68</v>
      </c>
      <c r="AD48" s="58">
        <f t="shared" si="5"/>
        <v>0</v>
      </c>
      <c r="AE48" s="58">
        <f t="shared" ca="1" si="8"/>
        <v>0</v>
      </c>
      <c r="AF48" s="24">
        <f t="shared" ca="1" si="6"/>
        <v>0</v>
      </c>
      <c r="AG48" s="15"/>
    </row>
    <row r="49" spans="1:33" x14ac:dyDescent="0.2">
      <c r="A49">
        <f t="shared" si="0"/>
        <v>22</v>
      </c>
      <c r="B49" s="58">
        <f t="shared" si="1"/>
        <v>20</v>
      </c>
      <c r="C49" s="1" t="str">
        <f t="shared" si="2"/>
        <v>UOBT</v>
      </c>
      <c r="D49" s="26"/>
      <c r="E49" s="22"/>
      <c r="G49" s="38"/>
      <c r="H49" s="36"/>
      <c r="I49" s="22"/>
      <c r="J49" s="22"/>
      <c r="K49" s="22"/>
      <c r="L49" s="37"/>
      <c r="M49" s="37"/>
      <c r="P49" s="23"/>
      <c r="Q49" s="60"/>
      <c r="R49" s="60"/>
      <c r="T49" s="2" t="str">
        <f t="shared" si="9"/>
        <v/>
      </c>
      <c r="U49" s="60"/>
      <c r="V49" s="60"/>
      <c r="X49" s="58">
        <v>3</v>
      </c>
      <c r="Y49" s="5">
        <v>20</v>
      </c>
      <c r="Z49" s="5">
        <v>1</v>
      </c>
      <c r="AA49" s="5">
        <v>0</v>
      </c>
      <c r="AB49" s="5">
        <f t="shared" ca="1" si="4"/>
        <v>0</v>
      </c>
      <c r="AC49" s="17" t="s">
        <v>38</v>
      </c>
      <c r="AD49" s="58">
        <f t="shared" si="5"/>
        <v>0</v>
      </c>
      <c r="AE49" s="58">
        <f t="shared" ca="1" si="8"/>
        <v>0</v>
      </c>
      <c r="AF49" s="24">
        <f t="shared" ca="1" si="6"/>
        <v>0</v>
      </c>
      <c r="AG49" s="15"/>
    </row>
    <row r="50" spans="1:33" x14ac:dyDescent="0.2">
      <c r="A50">
        <f t="shared" si="0"/>
        <v>23</v>
      </c>
      <c r="B50" s="58">
        <f t="shared" si="1"/>
        <v>21</v>
      </c>
      <c r="C50" s="1" t="str">
        <f t="shared" si="2"/>
        <v>CNS</v>
      </c>
      <c r="D50" s="26"/>
      <c r="E50" s="22"/>
      <c r="G50" s="38"/>
      <c r="H50" s="36"/>
      <c r="I50" s="22"/>
      <c r="J50" s="22"/>
      <c r="K50" s="22"/>
      <c r="L50" s="37"/>
      <c r="M50" s="37"/>
      <c r="P50" s="23"/>
      <c r="Q50" s="60"/>
      <c r="R50" s="60"/>
      <c r="T50" s="2" t="str">
        <f t="shared" si="9"/>
        <v/>
      </c>
      <c r="U50" s="60"/>
      <c r="V50" s="60"/>
      <c r="X50" s="58">
        <v>3</v>
      </c>
      <c r="Y50" s="5">
        <v>21</v>
      </c>
      <c r="Z50" s="5">
        <v>1</v>
      </c>
      <c r="AA50" s="5">
        <v>0</v>
      </c>
      <c r="AB50" s="5">
        <f t="shared" ca="1" si="4"/>
        <v>0</v>
      </c>
      <c r="AC50" s="17" t="s">
        <v>43</v>
      </c>
      <c r="AD50" s="58">
        <f t="shared" si="5"/>
        <v>0</v>
      </c>
      <c r="AE50" s="58">
        <f t="shared" ca="1" si="8"/>
        <v>0</v>
      </c>
      <c r="AF50" s="24">
        <f t="shared" ca="1" si="6"/>
        <v>0</v>
      </c>
      <c r="AG50" s="15"/>
    </row>
    <row r="51" spans="1:33" x14ac:dyDescent="0.2">
      <c r="A51">
        <f t="shared" si="0"/>
        <v>24</v>
      </c>
      <c r="B51" s="58">
        <f t="shared" si="1"/>
        <v>22</v>
      </c>
      <c r="C51" s="1" t="str">
        <f t="shared" si="2"/>
        <v>ANZT</v>
      </c>
      <c r="D51" s="26"/>
      <c r="E51" s="22"/>
      <c r="P51" s="23"/>
      <c r="Q51" s="60"/>
      <c r="R51" s="60"/>
      <c r="T51" s="2" t="str">
        <f t="shared" si="9"/>
        <v/>
      </c>
      <c r="U51" s="60"/>
      <c r="V51" s="60"/>
      <c r="X51" s="58">
        <v>3</v>
      </c>
      <c r="Y51" s="5">
        <v>22</v>
      </c>
      <c r="Z51" s="5">
        <v>1</v>
      </c>
      <c r="AA51" s="5">
        <v>0</v>
      </c>
      <c r="AB51" s="5">
        <f t="shared" ca="1" si="4"/>
        <v>0</v>
      </c>
      <c r="AC51" s="17" t="s">
        <v>42</v>
      </c>
      <c r="AD51" s="58">
        <f t="shared" si="5"/>
        <v>0</v>
      </c>
      <c r="AE51" s="58">
        <f t="shared" ca="1" si="8"/>
        <v>0</v>
      </c>
      <c r="AF51" s="24">
        <f t="shared" ca="1" si="6"/>
        <v>0</v>
      </c>
      <c r="AG51" s="15"/>
    </row>
    <row r="52" spans="1:33" ht="15" thickBot="1" x14ac:dyDescent="0.25">
      <c r="A52">
        <f t="shared" si="0"/>
        <v>25</v>
      </c>
      <c r="B52" s="58">
        <f t="shared" si="1"/>
        <v>23</v>
      </c>
      <c r="C52" s="1" t="str">
        <f t="shared" si="2"/>
        <v>PHATRA</v>
      </c>
      <c r="D52" s="26"/>
      <c r="E52" s="22"/>
      <c r="O52" s="39" t="s">
        <v>58</v>
      </c>
      <c r="P52" s="40">
        <f>I31-Q52</f>
        <v>0</v>
      </c>
      <c r="Q52" s="50">
        <f>SUM(Q43:Q51)</f>
        <v>0</v>
      </c>
      <c r="R52" s="55">
        <f>IFERROR(SUMPRODUCT(Q43:Q51,R43:R51)/SUM(Q43:Q51),0)</f>
        <v>0</v>
      </c>
      <c r="S52" s="39" t="s">
        <v>59</v>
      </c>
      <c r="T52" s="40">
        <f>I31-U52</f>
        <v>0</v>
      </c>
      <c r="U52" s="50">
        <f>SUM(U43:U51)</f>
        <v>0</v>
      </c>
      <c r="V52" s="55">
        <f>IFERROR(SUMPRODUCT(U43:U51,V43:V51)/SUM(U43:U51),0)</f>
        <v>0</v>
      </c>
      <c r="X52" s="58">
        <v>3</v>
      </c>
      <c r="Y52" s="5">
        <v>23</v>
      </c>
      <c r="Z52" s="5">
        <v>1</v>
      </c>
      <c r="AA52" s="5">
        <v>0</v>
      </c>
      <c r="AB52" s="5">
        <f t="shared" ca="1" si="4"/>
        <v>0</v>
      </c>
      <c r="AC52" s="17" t="s">
        <v>44</v>
      </c>
      <c r="AD52" s="58">
        <f t="shared" si="5"/>
        <v>0</v>
      </c>
      <c r="AE52" s="58">
        <f t="shared" ca="1" si="8"/>
        <v>0</v>
      </c>
      <c r="AF52" s="24">
        <f t="shared" ca="1" si="6"/>
        <v>0</v>
      </c>
      <c r="AG52" s="15"/>
    </row>
    <row r="53" spans="1:33" ht="15" thickTop="1" x14ac:dyDescent="0.2">
      <c r="A53">
        <f t="shared" si="0"/>
        <v>26</v>
      </c>
      <c r="B53" s="58">
        <f t="shared" si="1"/>
        <v>24</v>
      </c>
      <c r="C53" s="1" t="str">
        <f t="shared" si="2"/>
        <v>MBKET</v>
      </c>
      <c r="D53" s="26"/>
      <c r="E53" s="22"/>
      <c r="X53" s="58">
        <v>3</v>
      </c>
      <c r="Y53" s="5">
        <v>24</v>
      </c>
      <c r="Z53" s="5">
        <v>1</v>
      </c>
      <c r="AA53" s="5">
        <v>0</v>
      </c>
      <c r="AB53" s="5">
        <f t="shared" ca="1" si="4"/>
        <v>0</v>
      </c>
      <c r="AC53" s="17" t="s">
        <v>45</v>
      </c>
      <c r="AD53" s="58">
        <f t="shared" si="5"/>
        <v>0</v>
      </c>
      <c r="AE53" s="58">
        <f t="shared" ca="1" si="8"/>
        <v>0</v>
      </c>
      <c r="AF53" s="16">
        <f t="shared" ca="1" si="6"/>
        <v>0</v>
      </c>
      <c r="AG53" s="56">
        <f ca="1">IFERROR(SUMIF($X$30:$X$53,$X$53,$AE$30:$AE$53)/$AE$54,0)</f>
        <v>2.1037573105566542E-2</v>
      </c>
    </row>
    <row r="54" spans="1:33" ht="15" thickBot="1" x14ac:dyDescent="0.25">
      <c r="D54" s="61">
        <f>SUM(D30:D53)</f>
        <v>10600</v>
      </c>
      <c r="E54" s="45">
        <f>IFERROR(SUMPRODUCT(D30:D33,E30:E33)/SUM(D30:D33),0)</f>
        <v>1.5461072499999997</v>
      </c>
      <c r="F54" s="48"/>
      <c r="P54" s="29" t="str">
        <f>"Auction Excute : " &amp;G32</f>
        <v xml:space="preserve">Auction Excute : </v>
      </c>
      <c r="T54" s="4" t="s">
        <v>18</v>
      </c>
      <c r="AC54" s="20" t="s">
        <v>17</v>
      </c>
      <c r="AD54" s="44">
        <f>SUM(AD30:AD53)</f>
        <v>10750</v>
      </c>
      <c r="AE54" s="44">
        <f ca="1">SUM(AE30:AE53)</f>
        <v>23767</v>
      </c>
    </row>
    <row r="55" spans="1:33" ht="15" thickTop="1" x14ac:dyDescent="0.2">
      <c r="A55" s="43" t="s">
        <v>100</v>
      </c>
      <c r="G55" s="4" t="s">
        <v>65</v>
      </c>
      <c r="P55" s="20" t="s">
        <v>0</v>
      </c>
      <c r="Q55" s="20" t="s">
        <v>64</v>
      </c>
      <c r="R55" s="20" t="s">
        <v>23</v>
      </c>
      <c r="T55" s="20" t="s">
        <v>0</v>
      </c>
      <c r="U55" s="20" t="s">
        <v>64</v>
      </c>
      <c r="V55" s="20" t="s">
        <v>23</v>
      </c>
    </row>
    <row r="56" spans="1:33" x14ac:dyDescent="0.2">
      <c r="B56" s="4" t="s">
        <v>26</v>
      </c>
      <c r="G56" s="20" t="s">
        <v>24</v>
      </c>
      <c r="H56" s="78" t="s">
        <v>66</v>
      </c>
      <c r="I56" s="79"/>
      <c r="J56" s="79"/>
      <c r="K56" s="80"/>
      <c r="P56" s="23"/>
      <c r="Q56" s="60"/>
      <c r="R56" s="60"/>
      <c r="T56" s="2" t="str">
        <f>IF(ISBLANK(P56),"",P56)</f>
        <v/>
      </c>
      <c r="U56" s="60"/>
      <c r="V56" s="60"/>
    </row>
    <row r="57" spans="1:33" ht="15" customHeight="1" x14ac:dyDescent="0.2">
      <c r="B57" t="s">
        <v>27</v>
      </c>
      <c r="C57" s="8">
        <v>1</v>
      </c>
      <c r="G57" s="30" t="str">
        <f>G30</f>
        <v>CB19110B</v>
      </c>
      <c r="H57" s="66" t="s">
        <v>112</v>
      </c>
      <c r="I57" s="67"/>
      <c r="J57" s="67"/>
      <c r="K57" s="68"/>
      <c r="P57" s="23"/>
      <c r="Q57" s="60"/>
      <c r="R57" s="60"/>
      <c r="T57" s="2" t="str">
        <f t="shared" ref="T57:T64" si="10">IF(ISBLANK(P57),"",P57)</f>
        <v/>
      </c>
      <c r="U57" s="60"/>
      <c r="V57" s="60"/>
    </row>
    <row r="58" spans="1:33" x14ac:dyDescent="0.2">
      <c r="B58" t="s">
        <v>28</v>
      </c>
      <c r="C58" s="8">
        <v>0.4</v>
      </c>
      <c r="G58" s="31" t="str">
        <f>G31</f>
        <v>CB19411A</v>
      </c>
      <c r="H58" s="66" t="s">
        <v>113</v>
      </c>
      <c r="I58" s="67"/>
      <c r="J58" s="67"/>
      <c r="K58" s="68"/>
      <c r="P58" s="23"/>
      <c r="Q58" s="60"/>
      <c r="R58" s="60"/>
      <c r="T58" s="2" t="str">
        <f t="shared" si="10"/>
        <v/>
      </c>
      <c r="U58" s="60"/>
      <c r="V58" s="60"/>
    </row>
    <row r="59" spans="1:33" x14ac:dyDescent="0.2">
      <c r="B59" t="s">
        <v>29</v>
      </c>
      <c r="C59" s="8">
        <v>0.1</v>
      </c>
      <c r="G59" s="32">
        <f>G32</f>
        <v>0</v>
      </c>
      <c r="H59" s="63"/>
      <c r="I59" s="64"/>
      <c r="J59" s="64"/>
      <c r="K59" s="65"/>
      <c r="P59" s="23"/>
      <c r="Q59" s="60"/>
      <c r="R59" s="60"/>
      <c r="T59" s="2" t="str">
        <f t="shared" si="10"/>
        <v/>
      </c>
      <c r="U59" s="60"/>
      <c r="V59" s="60"/>
    </row>
    <row r="60" spans="1:33" x14ac:dyDescent="0.2">
      <c r="P60" s="23"/>
      <c r="Q60" s="60"/>
      <c r="R60" s="60"/>
      <c r="T60" s="2" t="str">
        <f t="shared" si="10"/>
        <v/>
      </c>
      <c r="U60" s="60"/>
      <c r="V60" s="60"/>
    </row>
    <row r="61" spans="1:33" x14ac:dyDescent="0.2">
      <c r="P61" s="23"/>
      <c r="Q61" s="60"/>
      <c r="R61" s="60"/>
      <c r="T61" s="2" t="str">
        <f t="shared" si="10"/>
        <v/>
      </c>
      <c r="U61" s="60"/>
      <c r="V61" s="60"/>
    </row>
    <row r="62" spans="1:33" x14ac:dyDescent="0.2">
      <c r="H62" t="s">
        <v>112</v>
      </c>
      <c r="P62" s="23"/>
      <c r="Q62" s="60"/>
      <c r="R62" s="60"/>
      <c r="T62" s="2" t="str">
        <f t="shared" si="10"/>
        <v/>
      </c>
      <c r="U62" s="60"/>
      <c r="V62" s="60"/>
    </row>
    <row r="63" spans="1:33" x14ac:dyDescent="0.2">
      <c r="H63" t="s">
        <v>113</v>
      </c>
      <c r="P63" s="23"/>
      <c r="Q63" s="60"/>
      <c r="R63" s="60"/>
      <c r="T63" s="2" t="str">
        <f t="shared" si="10"/>
        <v/>
      </c>
      <c r="U63" s="60"/>
      <c r="V63" s="60"/>
    </row>
    <row r="64" spans="1:33" x14ac:dyDescent="0.2">
      <c r="P64" s="23"/>
      <c r="Q64" s="60"/>
      <c r="R64" s="60"/>
      <c r="T64" s="2" t="str">
        <f t="shared" si="10"/>
        <v/>
      </c>
      <c r="U64" s="60"/>
      <c r="V64" s="60"/>
    </row>
    <row r="65" spans="15:22" ht="15" thickBot="1" x14ac:dyDescent="0.25">
      <c r="O65" s="39" t="s">
        <v>58</v>
      </c>
      <c r="P65" s="40">
        <f>I32-Q65</f>
        <v>0</v>
      </c>
      <c r="Q65" s="50">
        <f>SUM(Q56:Q64)</f>
        <v>0</v>
      </c>
      <c r="R65" s="55">
        <f>IFERROR(SUMPRODUCT(Q56:Q64,R56:R64)/SUM(Q56:Q64),0)</f>
        <v>0</v>
      </c>
      <c r="S65" s="39" t="s">
        <v>59</v>
      </c>
      <c r="T65" s="40">
        <f>I32-U65</f>
        <v>0</v>
      </c>
      <c r="U65" s="50">
        <f>SUM(U56:U64)</f>
        <v>0</v>
      </c>
      <c r="V65" s="55">
        <f>IFERROR(SUMPRODUCT(U56:U64,V56:V64)/SUM(U56:U64),0)</f>
        <v>0</v>
      </c>
    </row>
    <row r="66" spans="15:22" ht="15" thickTop="1" x14ac:dyDescent="0.2"/>
  </sheetData>
  <customSheetViews>
    <customSheetView guid="{6C15DDE3-FDA1-4043-B112-CF97717BCD32}" scale="70" hiddenRows="1" hiddenColumns="1" topLeftCell="B1">
      <selection activeCell="E13" sqref="E13"/>
      <pageMargins left="0.7" right="0.7" top="0.75" bottom="0.75" header="0.3" footer="0.3"/>
      <pageSetup orientation="portrait" r:id="rId1"/>
    </customSheetView>
    <customSheetView guid="{03C5F87C-F6F2-4365-B32B-39A15CBBFBBD}" scale="70" hiddenRows="1" hiddenColumns="1" topLeftCell="B1">
      <selection activeCell="I13" sqref="I13"/>
      <pageMargins left="0.7" right="0.7" top="0.75" bottom="0.75" header="0.3" footer="0.3"/>
      <pageSetup orientation="portrait" r:id="rId2"/>
    </customSheetView>
    <customSheetView guid="{32135529-8649-4BD8-8AEE-977D9F2AF573}" scale="70" hiddenRows="1" hiddenColumns="1" topLeftCell="B1">
      <selection activeCell="O28" sqref="O28"/>
      <pageMargins left="0.7" right="0.7" top="0.75" bottom="0.75" header="0.3" footer="0.3"/>
      <pageSetup orientation="portrait" r:id="rId3"/>
    </customSheetView>
    <customSheetView guid="{446F2FA9-979D-4645-8D3C-C345EFBD6336}" scale="70" hiddenRows="1" hiddenColumns="1" topLeftCell="C1">
      <selection activeCell="N43" sqref="N43"/>
      <pageMargins left="0.7" right="0.7" top="0.75" bottom="0.75" header="0.3" footer="0.3"/>
      <pageSetup orientation="portrait" r:id="rId4"/>
    </customSheetView>
  </customSheetViews>
  <mergeCells count="4">
    <mergeCell ref="B2:AC2"/>
    <mergeCell ref="B9:AC9"/>
    <mergeCell ref="B16:AC16"/>
    <mergeCell ref="H56:K56"/>
  </mergeCells>
  <conditionalFormatting sqref="AG32">
    <cfRule type="cellIs" dxfId="89" priority="29" operator="greaterThan">
      <formula>0.5</formula>
    </cfRule>
    <cfRule type="cellIs" dxfId="88" priority="30" operator="lessThan">
      <formula>0.5</formula>
    </cfRule>
  </conditionalFormatting>
  <conditionalFormatting sqref="AF30:AF5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{FBD51851-7568-4800-B7CC-8863DCFC69AA}</x14:id>
        </ext>
      </extLst>
    </cfRule>
  </conditionalFormatting>
  <conditionalFormatting sqref="E30:E5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0:X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3">
    <cfRule type="cellIs" dxfId="87" priority="33" operator="lessThan">
      <formula>$C$59</formula>
    </cfRule>
    <cfRule type="cellIs" dxfId="86" priority="34" operator="greaterThan">
      <formula>$C$59</formula>
    </cfRule>
  </conditionalFormatting>
  <conditionalFormatting sqref="AG37">
    <cfRule type="cellIs" dxfId="85" priority="35" operator="greaterThan">
      <formula>$C$58</formula>
    </cfRule>
    <cfRule type="cellIs" dxfId="84" priority="36" operator="lessThan">
      <formula>$C$58</formula>
    </cfRule>
  </conditionalFormatting>
  <conditionalFormatting sqref="P39">
    <cfRule type="cellIs" dxfId="83" priority="23" operator="lessThan">
      <formula>0</formula>
    </cfRule>
    <cfRule type="cellIs" dxfId="82" priority="24" operator="equal">
      <formula>0</formula>
    </cfRule>
    <cfRule type="cellIs" dxfId="81" priority="25" operator="greaterThan">
      <formula>0</formula>
    </cfRule>
  </conditionalFormatting>
  <conditionalFormatting sqref="T52">
    <cfRule type="cellIs" dxfId="80" priority="11" operator="lessThan">
      <formula>0</formula>
    </cfRule>
    <cfRule type="cellIs" dxfId="79" priority="12" operator="equal">
      <formula>0</formula>
    </cfRule>
    <cfRule type="cellIs" dxfId="78" priority="13" operator="greaterThan">
      <formula>0</formula>
    </cfRule>
  </conditionalFormatting>
  <conditionalFormatting sqref="P52">
    <cfRule type="cellIs" dxfId="77" priority="20" operator="lessThan">
      <formula>0</formula>
    </cfRule>
    <cfRule type="cellIs" dxfId="76" priority="21" operator="equal">
      <formula>0</formula>
    </cfRule>
    <cfRule type="cellIs" dxfId="75" priority="22" operator="greaterThan">
      <formula>0</formula>
    </cfRule>
  </conditionalFormatting>
  <conditionalFormatting sqref="P65">
    <cfRule type="cellIs" dxfId="74" priority="17" operator="lessThan">
      <formula>0</formula>
    </cfRule>
    <cfRule type="cellIs" dxfId="73" priority="18" operator="equal">
      <formula>0</formula>
    </cfRule>
    <cfRule type="cellIs" dxfId="72" priority="19" operator="greaterThan">
      <formula>0</formula>
    </cfRule>
  </conditionalFormatting>
  <conditionalFormatting sqref="T39">
    <cfRule type="cellIs" dxfId="71" priority="14" operator="lessThan">
      <formula>0</formula>
    </cfRule>
    <cfRule type="cellIs" dxfId="70" priority="15" operator="equal">
      <formula>0</formula>
    </cfRule>
    <cfRule type="cellIs" dxfId="69" priority="16" operator="greaterThan">
      <formula>0</formula>
    </cfRule>
  </conditionalFormatting>
  <conditionalFormatting sqref="T65">
    <cfRule type="cellIs" dxfId="68" priority="8" operator="lessThan">
      <formula>0</formula>
    </cfRule>
    <cfRule type="cellIs" dxfId="67" priority="9" operator="equal">
      <formula>0</formula>
    </cfRule>
    <cfRule type="cellIs" dxfId="66" priority="10" operator="greaterThan">
      <formula>0</formula>
    </cfRule>
  </conditionalFormatting>
  <conditionalFormatting sqref="D30:D5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65" priority="5" bottom="1" rank="4"/>
    <cfRule type="top10" dxfId="64" priority="6" rank="4"/>
  </conditionalFormatting>
  <conditionalFormatting sqref="C11:Z13">
    <cfRule type="top10" dxfId="63" priority="3" bottom="1" rank="4"/>
    <cfRule type="top10" dxfId="62" priority="4" rank="4"/>
  </conditionalFormatting>
  <conditionalFormatting sqref="C18:Z20">
    <cfRule type="top10" dxfId="61" priority="1" bottom="1" rank="4"/>
    <cfRule type="top10" dxfId="60" priority="2" rank="4"/>
  </conditionalFormatting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26625" r:id="rId8" name="btnForm">
          <controlPr defaultSize="0" autoLine="0" r:id="rId9">
            <anchor moveWithCells="1">
              <from>
                <xdr:col>10</xdr:col>
                <xdr:colOff>0</xdr:colOff>
                <xdr:row>50</xdr:row>
                <xdr:rowOff>171450</xdr:rowOff>
              </from>
              <to>
                <xdr:col>11</xdr:col>
                <xdr:colOff>228600</xdr:colOff>
                <xdr:row>53</xdr:row>
                <xdr:rowOff>0</xdr:rowOff>
              </to>
            </anchor>
          </controlPr>
        </control>
      </mc:Choice>
      <mc:Fallback>
        <control shapeId="26625" r:id="rId8" name="btnForm"/>
      </mc:Fallback>
    </mc:AlternateContent>
    <mc:AlternateContent xmlns:mc="http://schemas.openxmlformats.org/markup-compatibility/2006">
      <mc:Choice Requires="x14">
        <control shapeId="26626" r:id="rId10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9525</xdr:rowOff>
              </from>
              <to>
                <xdr:col>7</xdr:col>
                <xdr:colOff>438150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27" r:id="rId11" name="Button 3">
          <controlPr defaultSize="0" print="0" autoFill="0" autoPict="0" macro="[0]!get_impiled_yield">
            <anchor moveWithCells="1" sizeWithCells="1">
              <from>
                <xdr:col>7</xdr:col>
                <xdr:colOff>514350</xdr:colOff>
                <xdr:row>50</xdr:row>
                <xdr:rowOff>171450</xdr:rowOff>
              </from>
              <to>
                <xdr:col>8</xdr:col>
                <xdr:colOff>819150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28" r:id="rId12" name="Button 4">
          <controlPr defaultSize="0" print="0" autoFill="0" autoPict="0" macro="[0]!clear_ws">
            <anchor moveWithCells="1" sizeWithCells="1">
              <from>
                <xdr:col>8</xdr:col>
                <xdr:colOff>923925</xdr:colOff>
                <xdr:row>50</xdr:row>
                <xdr:rowOff>171450</xdr:rowOff>
              </from>
              <to>
                <xdr:col>9</xdr:col>
                <xdr:colOff>1114425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D51851-7568-4800-B7CC-8863DCFC69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AF30:AF53</xm:sqref>
        </x14:conditionalFormatting>
        <x14:conditionalFormatting xmlns:xm="http://schemas.microsoft.com/office/excel/2006/main">
          <x14:cfRule type="iconSet" priority="31" id="{C0061463-9436-49F5-B8CE-56A3E34714D9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AB30:AB53</xm:sqref>
        </x14:conditionalFormatting>
        <x14:conditionalFormatting xmlns:xm="http://schemas.microsoft.com/office/excel/2006/main">
          <x14:cfRule type="iconSet" priority="32" id="{D7D07EB4-A644-47BA-BE6A-1CC96D58BDF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Z30:AA53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503C-0967-481C-860E-D302216134AF}">
  <sheetPr codeName="Sheet5"/>
  <dimension ref="A1:AS66"/>
  <sheetViews>
    <sheetView topLeftCell="B1" zoomScale="70" zoomScaleNormal="70" workbookViewId="0">
      <selection activeCell="G27" sqref="G27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0" customWidth="1"/>
    <col min="4" max="4" width="13.125" customWidth="1"/>
    <col min="5" max="5" width="14.625" customWidth="1"/>
    <col min="6" max="6" width="12" customWidth="1"/>
    <col min="7" max="7" width="15.625" customWidth="1"/>
    <col min="8" max="8" width="15.375" customWidth="1"/>
    <col min="9" max="9" width="16.875" customWidth="1"/>
    <col min="10" max="10" width="16.5" customWidth="1"/>
    <col min="11" max="11" width="15" customWidth="1"/>
    <col min="12" max="12" width="15.125" customWidth="1"/>
    <col min="13" max="13" width="14.875" customWidth="1"/>
    <col min="14" max="14" width="14.375" customWidth="1"/>
    <col min="15" max="15" width="12.875" customWidth="1"/>
    <col min="16" max="16" width="12.625" customWidth="1"/>
    <col min="17" max="17" width="13" customWidth="1"/>
    <col min="18" max="18" width="13.125" customWidth="1"/>
    <col min="19" max="19" width="13.625" customWidth="1"/>
    <col min="20" max="21" width="12.375" customWidth="1"/>
    <col min="22" max="22" width="11.625" customWidth="1"/>
    <col min="23" max="23" width="12.5" hidden="1" customWidth="1" outlineLevel="1"/>
    <col min="24" max="24" width="10.875" hidden="1" customWidth="1" outlineLevel="1"/>
    <col min="25" max="25" width="10.625" hidden="1" customWidth="1" outlineLevel="1"/>
    <col min="26" max="26" width="11.375" hidden="1" customWidth="1" outlineLevel="1"/>
    <col min="27" max="27" width="11.375" customWidth="1" collapsed="1"/>
    <col min="28" max="28" width="12.125" customWidth="1"/>
    <col min="29" max="29" width="12.375" customWidth="1"/>
    <col min="30" max="30" width="12.5" customWidth="1"/>
    <col min="31" max="31" width="12.375" customWidth="1"/>
    <col min="34" max="34" width="4.5" customWidth="1"/>
    <col min="36" max="36" width="23.87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3" t="str">
        <f xml:space="preserve"> "Auction Dashboard "</f>
        <v xml:space="preserve">Auction Dashboard </v>
      </c>
      <c r="C1" s="53"/>
      <c r="D1" s="54">
        <v>43384</v>
      </c>
      <c r="E1" s="42"/>
    </row>
    <row r="2" spans="2:45" ht="16.149999999999999" customHeight="1" x14ac:dyDescent="0.2">
      <c r="B2" s="75" t="str">
        <f>G30 &amp; " Total Auction Size: " &amp;H30</f>
        <v>CB18O30A Total Auction Size: 35000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7"/>
      <c r="AD2" s="49"/>
    </row>
    <row r="3" spans="2:45" x14ac:dyDescent="0.2">
      <c r="B3" s="20" t="s">
        <v>0</v>
      </c>
      <c r="C3" s="21" t="str">
        <f t="array" ref="C3:Z3">TRANSPOSE($AC$30:$AC$53)</f>
        <v>BNP</v>
      </c>
      <c r="D3" s="21" t="str">
        <v>BBL</v>
      </c>
      <c r="E3" s="21" t="str">
        <v>TMB</v>
      </c>
      <c r="F3" s="21" t="str">
        <v>KBANK</v>
      </c>
      <c r="G3" s="21" t="str">
        <v>KTB</v>
      </c>
      <c r="H3" s="21" t="str">
        <v>BAY</v>
      </c>
      <c r="I3" s="21" t="str">
        <v>CIMBT</v>
      </c>
      <c r="J3" s="21" t="str">
        <v>SCBT</v>
      </c>
      <c r="K3" s="21" t="str">
        <v>TBANK</v>
      </c>
      <c r="L3" s="21" t="str">
        <v>TISCOBANK</v>
      </c>
      <c r="M3" s="21" t="str">
        <v>KKP</v>
      </c>
      <c r="N3" s="21" t="str">
        <v>GSB</v>
      </c>
      <c r="O3" s="21" t="str">
        <v>SCB</v>
      </c>
      <c r="P3" s="21" t="str">
        <v>KGI</v>
      </c>
      <c r="Q3" s="21" t="str">
        <v>CITIBANK</v>
      </c>
      <c r="R3" s="21" t="str">
        <v>HSBC</v>
      </c>
      <c r="S3" s="21" t="str">
        <v>BAML</v>
      </c>
      <c r="T3" s="21" t="str">
        <v>JP_MORGAN</v>
      </c>
      <c r="U3" s="21" t="str">
        <v>DEUTSCHE_BAN</v>
      </c>
      <c r="V3" s="21" t="str">
        <v>UOBT</v>
      </c>
      <c r="W3" s="21" t="str">
        <v>CNS</v>
      </c>
      <c r="X3" s="21" t="str">
        <v>ANZT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CB18O30A</v>
      </c>
      <c r="AS3" s="4"/>
    </row>
    <row r="4" spans="2:45" x14ac:dyDescent="0.2">
      <c r="B4" s="20" t="s">
        <v>1</v>
      </c>
      <c r="C4" s="6">
        <v>1.298</v>
      </c>
      <c r="D4" s="6">
        <v>1.21</v>
      </c>
      <c r="E4" s="6">
        <v>1.2350000000000001</v>
      </c>
      <c r="F4" s="6">
        <v>1.27</v>
      </c>
      <c r="G4" s="6">
        <v>1.2090000000000001</v>
      </c>
      <c r="H4" s="6">
        <v>1.2</v>
      </c>
      <c r="I4" s="6">
        <v>1.2470000000000001</v>
      </c>
      <c r="J4" s="6"/>
      <c r="K4" s="6"/>
      <c r="L4" s="6"/>
      <c r="M4" s="6"/>
      <c r="N4" s="6"/>
      <c r="O4" s="6">
        <v>1.17</v>
      </c>
      <c r="P4" s="6"/>
      <c r="Q4" s="6">
        <v>1.268</v>
      </c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1.17</v>
      </c>
      <c r="AB4" s="18">
        <f>MAX(C4:Z4)</f>
        <v>1.298</v>
      </c>
      <c r="AC4" s="18">
        <f>IFERROR(AVERAGE(C4:Z4),0)</f>
        <v>1.2341111111111112</v>
      </c>
      <c r="AD4" s="49"/>
    </row>
    <row r="5" spans="2:45" x14ac:dyDescent="0.2">
      <c r="B5" s="20" t="s">
        <v>2</v>
      </c>
      <c r="C5" s="6"/>
      <c r="D5" s="6">
        <v>1.222</v>
      </c>
      <c r="E5" s="6">
        <v>1.2150000000000001</v>
      </c>
      <c r="F5" s="6">
        <v>1.24</v>
      </c>
      <c r="G5" s="6">
        <v>1.2170000000000001</v>
      </c>
      <c r="H5" s="6">
        <v>1.2350000000000001</v>
      </c>
      <c r="I5" s="6"/>
      <c r="J5" s="6"/>
      <c r="K5" s="6"/>
      <c r="L5" s="6"/>
      <c r="M5" s="6"/>
      <c r="N5" s="6"/>
      <c r="O5" s="6">
        <v>1.18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1.18</v>
      </c>
      <c r="AB5" s="18">
        <f>MAX(C5:Z5)</f>
        <v>1.24</v>
      </c>
      <c r="AC5" s="18">
        <f>IFERROR(AVERAGE(C5:Z5),0)</f>
        <v>1.2181666666666666</v>
      </c>
      <c r="AD5" s="49"/>
    </row>
    <row r="6" spans="2:45" x14ac:dyDescent="0.2">
      <c r="B6" s="20" t="s">
        <v>3</v>
      </c>
      <c r="C6" s="10"/>
      <c r="D6" s="10">
        <v>1.23</v>
      </c>
      <c r="E6" s="10">
        <v>1.2509999999999999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1.23</v>
      </c>
      <c r="AB6" s="18">
        <f>MAX(C6:Z6)</f>
        <v>1.2509999999999999</v>
      </c>
      <c r="AC6" s="18">
        <f>IFERROR(AVERAGE(C6:Z6),0)</f>
        <v>1.2404999999999999</v>
      </c>
      <c r="AD6" s="49"/>
    </row>
    <row r="7" spans="2:45" x14ac:dyDescent="0.2">
      <c r="B7" s="20" t="s">
        <v>61</v>
      </c>
      <c r="C7" s="46" t="s">
        <v>120</v>
      </c>
      <c r="D7" s="46"/>
      <c r="E7" s="46"/>
      <c r="F7" s="46" t="s">
        <v>119</v>
      </c>
      <c r="G7" s="46" t="s">
        <v>118</v>
      </c>
      <c r="H7" s="46"/>
      <c r="I7" s="46" t="s">
        <v>121</v>
      </c>
      <c r="J7" s="46"/>
      <c r="K7" s="46"/>
      <c r="L7" s="46"/>
      <c r="M7" s="46"/>
      <c r="N7" s="46"/>
      <c r="O7" s="46" t="s">
        <v>117</v>
      </c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1.23</v>
      </c>
      <c r="AB7" s="19">
        <f>MAX(AB4:AB6)</f>
        <v>1.298</v>
      </c>
      <c r="AC7" s="19">
        <f>MAX(AC4:AC6)</f>
        <v>1.2404999999999999</v>
      </c>
      <c r="AD7" s="49"/>
      <c r="AF7" s="48"/>
    </row>
    <row r="8" spans="2:45" x14ac:dyDescent="0.2">
      <c r="B8" s="47"/>
      <c r="AD8" s="49"/>
    </row>
    <row r="9" spans="2:45" outlineLevel="1" x14ac:dyDescent="0.2">
      <c r="B9" s="75" t="str">
        <f>G31 &amp; " Total Auction Size: " &amp;H31</f>
        <v xml:space="preserve"> Total Auction Size: </v>
      </c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7"/>
      <c r="AD9" s="49"/>
    </row>
    <row r="10" spans="2:45" outlineLevel="1" x14ac:dyDescent="0.2">
      <c r="B10" s="20" t="s">
        <v>0</v>
      </c>
      <c r="C10" s="21" t="str">
        <f t="array" ref="C10:Z10">TRANSPOSE($AC$30:$AC$53)</f>
        <v>BNP</v>
      </c>
      <c r="D10" s="21" t="str">
        <v>BBL</v>
      </c>
      <c r="E10" s="21" t="str">
        <v>TMB</v>
      </c>
      <c r="F10" s="21" t="str">
        <v>KBANK</v>
      </c>
      <c r="G10" s="21" t="str">
        <v>KTB</v>
      </c>
      <c r="H10" s="21" t="str">
        <v>BAY</v>
      </c>
      <c r="I10" s="21" t="str">
        <v>CIMBT</v>
      </c>
      <c r="J10" s="21" t="str">
        <v>SCBT</v>
      </c>
      <c r="K10" s="21" t="str">
        <v>TBANK</v>
      </c>
      <c r="L10" s="21" t="str">
        <v>TISCOBANK</v>
      </c>
      <c r="M10" s="21" t="str">
        <v>KKP</v>
      </c>
      <c r="N10" s="21" t="str">
        <v>GSB</v>
      </c>
      <c r="O10" s="21" t="str">
        <v>SCB</v>
      </c>
      <c r="P10" s="21" t="str">
        <v>KGI</v>
      </c>
      <c r="Q10" s="21" t="str">
        <v>CITIBANK</v>
      </c>
      <c r="R10" s="21" t="str">
        <v>HSBC</v>
      </c>
      <c r="S10" s="21" t="str">
        <v>BAML</v>
      </c>
      <c r="T10" s="21" t="str">
        <v>JP_MORGAN</v>
      </c>
      <c r="U10" s="21" t="str">
        <v>DEUTSCHE_BAN</v>
      </c>
      <c r="V10" s="21" t="str">
        <v>UOBT</v>
      </c>
      <c r="W10" s="21" t="str">
        <v>CNS</v>
      </c>
      <c r="X10" s="21" t="str">
        <v>ANZT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>
        <f>G31</f>
        <v>0</v>
      </c>
    </row>
    <row r="11" spans="2:45" outlineLevel="1" x14ac:dyDescent="0.2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 x14ac:dyDescent="0.2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 x14ac:dyDescent="0.2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 x14ac:dyDescent="0.2">
      <c r="B14" s="20" t="s">
        <v>61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 x14ac:dyDescent="0.2">
      <c r="AD15" s="49"/>
    </row>
    <row r="16" spans="2:45" hidden="1" outlineLevel="1" x14ac:dyDescent="0.2">
      <c r="B16" s="75" t="str">
        <f>G32 &amp; " Total Auction Size: " &amp;H32</f>
        <v xml:space="preserve"> Total Auction Size: 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7"/>
      <c r="AD16" s="49"/>
    </row>
    <row r="17" spans="1:36" hidden="1" outlineLevel="1" x14ac:dyDescent="0.2">
      <c r="B17" s="20" t="s">
        <v>0</v>
      </c>
      <c r="C17" s="21" t="str">
        <f t="array" ref="C17:Z17">TRANSPOSE($AC$30:$AC$53)</f>
        <v>BNP</v>
      </c>
      <c r="D17" s="21" t="str">
        <v>BBL</v>
      </c>
      <c r="E17" s="21" t="str">
        <v>TMB</v>
      </c>
      <c r="F17" s="21" t="str">
        <v>KBANK</v>
      </c>
      <c r="G17" s="21" t="str">
        <v>KTB</v>
      </c>
      <c r="H17" s="21" t="str">
        <v>BAY</v>
      </c>
      <c r="I17" s="21" t="str">
        <v>CIMBT</v>
      </c>
      <c r="J17" s="21" t="str">
        <v>SCBT</v>
      </c>
      <c r="K17" s="21" t="str">
        <v>TBANK</v>
      </c>
      <c r="L17" s="21" t="str">
        <v>TISCOBANK</v>
      </c>
      <c r="M17" s="21" t="str">
        <v>KKP</v>
      </c>
      <c r="N17" s="21" t="str">
        <v>GSB</v>
      </c>
      <c r="O17" s="21" t="str">
        <v>SCB</v>
      </c>
      <c r="P17" s="21" t="str">
        <v>KGI</v>
      </c>
      <c r="Q17" s="21" t="str">
        <v>CITIBANK</v>
      </c>
      <c r="R17" s="21" t="str">
        <v>HSBC</v>
      </c>
      <c r="S17" s="21" t="str">
        <v>BAML</v>
      </c>
      <c r="T17" s="21" t="str">
        <v>JP_MORGAN</v>
      </c>
      <c r="U17" s="21" t="str">
        <v>DEUTSCHE_BAN</v>
      </c>
      <c r="V17" s="21" t="str">
        <v>UOBT</v>
      </c>
      <c r="W17" s="21" t="str">
        <v>CNS</v>
      </c>
      <c r="X17" s="21" t="str">
        <v>ANZT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 x14ac:dyDescent="0.2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 x14ac:dyDescent="0.2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 x14ac:dyDescent="0.2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 x14ac:dyDescent="0.2">
      <c r="B21" s="20" t="s">
        <v>61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 x14ac:dyDescent="0.2"/>
    <row r="23" spans="1:36" hidden="1" outlineLevel="1" x14ac:dyDescent="0.2"/>
    <row r="24" spans="1:36" hidden="1" outlineLevel="1" x14ac:dyDescent="0.2"/>
    <row r="25" spans="1:36" hidden="1" outlineLevel="1" x14ac:dyDescent="0.2"/>
    <row r="26" spans="1:36" hidden="1" outlineLevel="1" x14ac:dyDescent="0.2"/>
    <row r="27" spans="1:36" collapsed="1" x14ac:dyDescent="0.2"/>
    <row r="28" spans="1:36" ht="24.75" customHeight="1" x14ac:dyDescent="0.2">
      <c r="B28" s="25" t="str">
        <f>"Auction Recommend : "</f>
        <v xml:space="preserve">Auction Recommend : </v>
      </c>
      <c r="D28" s="12" t="str">
        <f>G30</f>
        <v>CB18O30A</v>
      </c>
      <c r="G28" s="4" t="s">
        <v>20</v>
      </c>
      <c r="P28" s="27" t="str">
        <f>"Auction Excute : " &amp; G30</f>
        <v>Auction Excute : CB18O30A</v>
      </c>
      <c r="T28" s="4" t="s">
        <v>18</v>
      </c>
      <c r="X28" s="4" t="s">
        <v>49</v>
      </c>
    </row>
    <row r="29" spans="1:36" x14ac:dyDescent="0.2">
      <c r="A29" s="41">
        <f>MATCH($D$28,$AD$1:$AD$21,0)</f>
        <v>3</v>
      </c>
      <c r="B29" s="20" t="s">
        <v>16</v>
      </c>
      <c r="C29" s="20" t="s">
        <v>0</v>
      </c>
      <c r="D29" s="20" t="s">
        <v>63</v>
      </c>
      <c r="E29" s="20" t="s">
        <v>62</v>
      </c>
      <c r="F29" s="47"/>
      <c r="G29" s="20" t="s">
        <v>24</v>
      </c>
      <c r="H29" s="20" t="s">
        <v>69</v>
      </c>
      <c r="I29" s="20" t="s">
        <v>17</v>
      </c>
      <c r="J29" s="20" t="s">
        <v>21</v>
      </c>
      <c r="K29" s="20" t="s">
        <v>22</v>
      </c>
      <c r="L29" s="20" t="s">
        <v>47</v>
      </c>
      <c r="M29" s="20" t="s">
        <v>48</v>
      </c>
      <c r="N29" s="20" t="s">
        <v>53</v>
      </c>
      <c r="P29" s="20" t="s">
        <v>0</v>
      </c>
      <c r="Q29" s="20" t="s">
        <v>64</v>
      </c>
      <c r="R29" s="20" t="s">
        <v>23</v>
      </c>
      <c r="T29" s="20" t="s">
        <v>0</v>
      </c>
      <c r="U29" s="20" t="s">
        <v>64</v>
      </c>
      <c r="V29" s="20" t="s">
        <v>23</v>
      </c>
      <c r="X29" s="20" t="s">
        <v>4</v>
      </c>
      <c r="Y29" s="20" t="s">
        <v>16</v>
      </c>
      <c r="Z29" s="20" t="s">
        <v>21</v>
      </c>
      <c r="AA29" s="20" t="s">
        <v>22</v>
      </c>
      <c r="AB29" s="20" t="s">
        <v>25</v>
      </c>
      <c r="AC29" s="20" t="s">
        <v>0</v>
      </c>
      <c r="AD29" s="20" t="s">
        <v>19</v>
      </c>
      <c r="AE29" s="20" t="s">
        <v>55</v>
      </c>
      <c r="AF29" s="20" t="s">
        <v>46</v>
      </c>
      <c r="AG29" s="20" t="s">
        <v>30</v>
      </c>
      <c r="AJ29" s="52"/>
    </row>
    <row r="30" spans="1:36" x14ac:dyDescent="0.2">
      <c r="A30">
        <f t="shared" ref="A30:A53" si="0">MATCH(C30,$A$3:$Z$3,0)</f>
        <v>3</v>
      </c>
      <c r="B30" s="58">
        <f t="shared" ref="B30:B53" si="1">INDEX($Y$30:$Y$53,MATCH(C30,$AC$30:$AC$53,0))</f>
        <v>1</v>
      </c>
      <c r="C30" s="1" t="str">
        <f t="shared" ref="C30:C53" si="2">AC30</f>
        <v>BNP</v>
      </c>
      <c r="D30" s="26">
        <v>3020</v>
      </c>
      <c r="E30" s="22">
        <v>1.238019</v>
      </c>
      <c r="F30" s="47"/>
      <c r="G30" s="7" t="s">
        <v>115</v>
      </c>
      <c r="H30" s="7">
        <v>35000</v>
      </c>
      <c r="I30" s="51">
        <f>SUM(J30:M30)</f>
        <v>8637</v>
      </c>
      <c r="J30" s="7">
        <v>8547</v>
      </c>
      <c r="K30" s="7">
        <v>90</v>
      </c>
      <c r="L30" s="7"/>
      <c r="M30" s="7"/>
      <c r="N30" s="6" t="s">
        <v>116</v>
      </c>
      <c r="P30" s="23" t="s">
        <v>10</v>
      </c>
      <c r="Q30" s="69">
        <v>2400</v>
      </c>
      <c r="R30" s="69">
        <v>1.21</v>
      </c>
      <c r="T30" s="2" t="str">
        <f t="shared" ref="T30:T38" si="3">IF(ISBLANK(P30),"",P30)</f>
        <v>BBL</v>
      </c>
      <c r="U30" s="69">
        <v>900</v>
      </c>
      <c r="V30" s="69">
        <v>1.21</v>
      </c>
      <c r="X30" s="33">
        <v>1</v>
      </c>
      <c r="Y30" s="5">
        <v>1</v>
      </c>
      <c r="Z30" s="5">
        <v>1</v>
      </c>
      <c r="AA30" s="5">
        <v>1</v>
      </c>
      <c r="AB30" s="5">
        <f t="shared" ref="AB30:AB53" ca="1" si="4">IF(SUM(OFFSET(INDIRECT(ADDRESS($A$29,$A30)),1,0,3)) &gt; 0,1,0)</f>
        <v>1</v>
      </c>
      <c r="AC30" s="17" t="s">
        <v>12</v>
      </c>
      <c r="AD30" s="58">
        <f t="shared" ref="AD30:AD53" si="5">SUMIF($T$30:$T$64,AC30,$U$30:$U$64)</f>
        <v>3000</v>
      </c>
      <c r="AE30" s="58">
        <f ca="1">INDIRECT("'"&amp;$A$55&amp;"'!"&amp;ADDRESS(ROW(),COLUMN()))+AD30</f>
        <v>10480</v>
      </c>
      <c r="AF30" s="24">
        <f t="shared" ref="AF30:AF53" ca="1" si="6">IFERROR(AE30/$AE$54,0)</f>
        <v>0.3787906169805183</v>
      </c>
      <c r="AG30" s="14"/>
    </row>
    <row r="31" spans="1:36" x14ac:dyDescent="0.2">
      <c r="A31">
        <f t="shared" si="0"/>
        <v>4</v>
      </c>
      <c r="B31" s="58">
        <f t="shared" si="1"/>
        <v>2</v>
      </c>
      <c r="C31" s="1" t="str">
        <f t="shared" si="2"/>
        <v>BBL</v>
      </c>
      <c r="D31" s="26">
        <v>2590</v>
      </c>
      <c r="E31" s="22">
        <v>1.2392595</v>
      </c>
      <c r="F31" s="47"/>
      <c r="G31" s="7"/>
      <c r="H31" s="7"/>
      <c r="I31" s="51">
        <f t="shared" ref="I31:I32" si="7">SUM(J31:M31)</f>
        <v>0</v>
      </c>
      <c r="J31" s="7"/>
      <c r="K31" s="7"/>
      <c r="L31" s="7"/>
      <c r="M31" s="7"/>
      <c r="N31" s="6"/>
      <c r="P31" s="23" t="s">
        <v>12</v>
      </c>
      <c r="Q31" s="69">
        <v>3000</v>
      </c>
      <c r="R31" s="69">
        <v>1.2050000000000001</v>
      </c>
      <c r="T31" s="2" t="str">
        <f t="shared" si="3"/>
        <v>BNP</v>
      </c>
      <c r="U31" s="69">
        <v>3000</v>
      </c>
      <c r="V31" s="69">
        <v>1.2050000000000001</v>
      </c>
      <c r="X31" s="33">
        <v>1</v>
      </c>
      <c r="Y31" s="5">
        <v>2</v>
      </c>
      <c r="Z31" s="5">
        <v>1</v>
      </c>
      <c r="AA31" s="5">
        <v>1</v>
      </c>
      <c r="AB31" s="5">
        <f t="shared" ca="1" si="4"/>
        <v>1</v>
      </c>
      <c r="AC31" s="17" t="s">
        <v>10</v>
      </c>
      <c r="AD31" s="58">
        <f t="shared" si="5"/>
        <v>900</v>
      </c>
      <c r="AE31" s="58">
        <f t="shared" ref="AE31:AE53" ca="1" si="8">INDIRECT("'"&amp;$A$55&amp;"'!"&amp;ADDRESS(ROW(),COLUMN()))+AD31</f>
        <v>11097</v>
      </c>
      <c r="AF31" s="24">
        <f t="shared" ca="1" si="6"/>
        <v>0.40109155311381789</v>
      </c>
      <c r="AG31" s="15"/>
    </row>
    <row r="32" spans="1:36" x14ac:dyDescent="0.2">
      <c r="A32">
        <f t="shared" si="0"/>
        <v>5</v>
      </c>
      <c r="B32" s="58">
        <f t="shared" si="1"/>
        <v>3</v>
      </c>
      <c r="C32" s="1" t="str">
        <f t="shared" si="2"/>
        <v>TMB</v>
      </c>
      <c r="D32" s="26">
        <v>2160</v>
      </c>
      <c r="E32" s="22">
        <v>1.2404999999999999</v>
      </c>
      <c r="F32" s="47"/>
      <c r="G32" s="7"/>
      <c r="H32" s="7"/>
      <c r="I32" s="51">
        <f t="shared" si="7"/>
        <v>0</v>
      </c>
      <c r="J32" s="7"/>
      <c r="K32" s="7"/>
      <c r="L32" s="7"/>
      <c r="M32" s="7"/>
      <c r="N32" s="6"/>
      <c r="P32" s="23" t="s">
        <v>9</v>
      </c>
      <c r="Q32" s="69">
        <v>2237</v>
      </c>
      <c r="R32" s="69">
        <v>1.2150000000000001</v>
      </c>
      <c r="T32" s="2" t="str">
        <f t="shared" si="3"/>
        <v>TMB</v>
      </c>
      <c r="U32" s="69"/>
      <c r="V32" s="69"/>
      <c r="X32" s="33">
        <v>1</v>
      </c>
      <c r="Y32" s="5">
        <v>3</v>
      </c>
      <c r="Z32" s="5">
        <v>1</v>
      </c>
      <c r="AA32" s="5">
        <v>0</v>
      </c>
      <c r="AB32" s="5">
        <f t="shared" ca="1" si="4"/>
        <v>1</v>
      </c>
      <c r="AC32" s="17" t="s">
        <v>9</v>
      </c>
      <c r="AD32" s="58">
        <f t="shared" si="5"/>
        <v>0</v>
      </c>
      <c r="AE32" s="58">
        <f t="shared" ca="1" si="8"/>
        <v>3090</v>
      </c>
      <c r="AF32" s="16">
        <f t="shared" ca="1" si="6"/>
        <v>0.11168540138070626</v>
      </c>
      <c r="AG32" s="56">
        <f ca="1">IFERROR(SUMIF($X$30:$X$53,$X$32,$AE$30:$AE$53)/$AE$54,0)</f>
        <v>0.89156757147504251</v>
      </c>
    </row>
    <row r="33" spans="1:33" x14ac:dyDescent="0.2">
      <c r="A33">
        <f t="shared" si="0"/>
        <v>6</v>
      </c>
      <c r="B33" s="58">
        <f t="shared" si="1"/>
        <v>4</v>
      </c>
      <c r="C33" s="1" t="str">
        <f t="shared" si="2"/>
        <v>KBANK</v>
      </c>
      <c r="D33" s="26">
        <v>867</v>
      </c>
      <c r="E33" s="22">
        <v>1.2417404999999999</v>
      </c>
      <c r="F33" s="47"/>
      <c r="G33" s="34"/>
      <c r="P33" s="23" t="s">
        <v>11</v>
      </c>
      <c r="Q33" s="69">
        <v>1000</v>
      </c>
      <c r="R33" s="62">
        <v>1.22</v>
      </c>
      <c r="T33" s="2" t="str">
        <f t="shared" si="3"/>
        <v>KBANK</v>
      </c>
      <c r="U33" s="69"/>
      <c r="V33" s="69"/>
      <c r="X33" s="58">
        <v>2</v>
      </c>
      <c r="Y33" s="5">
        <v>4</v>
      </c>
      <c r="Z33" s="5">
        <v>1</v>
      </c>
      <c r="AA33" s="5">
        <v>0</v>
      </c>
      <c r="AB33" s="5">
        <f t="shared" ca="1" si="4"/>
        <v>1</v>
      </c>
      <c r="AC33" s="17" t="s">
        <v>11</v>
      </c>
      <c r="AD33" s="58">
        <f t="shared" si="5"/>
        <v>0</v>
      </c>
      <c r="AE33" s="58">
        <f t="shared" ca="1" si="8"/>
        <v>2500</v>
      </c>
      <c r="AF33" s="24">
        <f t="shared" ca="1" si="6"/>
        <v>9.0360357104131275E-2</v>
      </c>
      <c r="AG33" s="15"/>
    </row>
    <row r="34" spans="1:33" x14ac:dyDescent="0.2">
      <c r="A34">
        <f t="shared" si="0"/>
        <v>7</v>
      </c>
      <c r="B34" s="58">
        <f t="shared" si="1"/>
        <v>5</v>
      </c>
      <c r="C34" s="1" t="str">
        <f t="shared" si="2"/>
        <v>KTB</v>
      </c>
      <c r="D34" s="26"/>
      <c r="E34" s="22"/>
      <c r="G34" s="35"/>
      <c r="P34" s="23"/>
      <c r="Q34" s="69"/>
      <c r="R34" s="69"/>
      <c r="T34" s="2" t="str">
        <f t="shared" si="3"/>
        <v/>
      </c>
      <c r="U34" s="69"/>
      <c r="V34" s="69"/>
      <c r="X34" s="58">
        <v>2</v>
      </c>
      <c r="Y34" s="5">
        <v>5</v>
      </c>
      <c r="Z34" s="5">
        <v>1</v>
      </c>
      <c r="AA34" s="5">
        <v>0</v>
      </c>
      <c r="AB34" s="5">
        <f t="shared" ca="1" si="4"/>
        <v>1</v>
      </c>
      <c r="AC34" s="17" t="s">
        <v>13</v>
      </c>
      <c r="AD34" s="58">
        <f t="shared" si="5"/>
        <v>0</v>
      </c>
      <c r="AE34" s="58">
        <f t="shared" ca="1" si="8"/>
        <v>0</v>
      </c>
      <c r="AF34" s="24">
        <f t="shared" ca="1" si="6"/>
        <v>0</v>
      </c>
      <c r="AG34" s="15"/>
    </row>
    <row r="35" spans="1:33" x14ac:dyDescent="0.2">
      <c r="A35">
        <f t="shared" si="0"/>
        <v>8</v>
      </c>
      <c r="B35" s="58">
        <f t="shared" si="1"/>
        <v>6</v>
      </c>
      <c r="C35" s="1" t="str">
        <f t="shared" si="2"/>
        <v>BAY</v>
      </c>
      <c r="D35" s="26"/>
      <c r="E35" s="22"/>
      <c r="G35" s="4" t="s">
        <v>54</v>
      </c>
      <c r="P35" s="23"/>
      <c r="Q35" s="69"/>
      <c r="R35" s="69"/>
      <c r="T35" s="2" t="str">
        <f t="shared" si="3"/>
        <v/>
      </c>
      <c r="U35" s="69"/>
      <c r="V35" s="69"/>
      <c r="X35" s="58">
        <v>2</v>
      </c>
      <c r="Y35" s="5">
        <v>6</v>
      </c>
      <c r="Z35" s="5">
        <v>1</v>
      </c>
      <c r="AA35" s="5">
        <v>0</v>
      </c>
      <c r="AB35" s="5">
        <f t="shared" ca="1" si="4"/>
        <v>1</v>
      </c>
      <c r="AC35" s="17" t="s">
        <v>32</v>
      </c>
      <c r="AD35" s="58">
        <f t="shared" si="5"/>
        <v>0</v>
      </c>
      <c r="AE35" s="58">
        <f t="shared" ca="1" si="8"/>
        <v>0</v>
      </c>
      <c r="AF35" s="24">
        <f t="shared" ca="1" si="6"/>
        <v>0</v>
      </c>
      <c r="AG35" s="15"/>
    </row>
    <row r="36" spans="1:33" x14ac:dyDescent="0.2">
      <c r="A36">
        <f t="shared" si="0"/>
        <v>9</v>
      </c>
      <c r="B36" s="58">
        <f t="shared" si="1"/>
        <v>7</v>
      </c>
      <c r="C36" s="1" t="str">
        <f t="shared" si="2"/>
        <v>CIMBT</v>
      </c>
      <c r="D36" s="26"/>
      <c r="E36" s="22"/>
      <c r="G36" s="20" t="s">
        <v>24</v>
      </c>
      <c r="H36" s="20" t="s">
        <v>56</v>
      </c>
      <c r="I36" s="20" t="s">
        <v>50</v>
      </c>
      <c r="J36" s="20" t="s">
        <v>51</v>
      </c>
      <c r="K36" s="20" t="s">
        <v>60</v>
      </c>
      <c r="L36" s="20" t="s">
        <v>57</v>
      </c>
      <c r="M36" s="20" t="s">
        <v>52</v>
      </c>
      <c r="P36" s="23"/>
      <c r="Q36" s="69"/>
      <c r="R36" s="69"/>
      <c r="T36" s="2" t="str">
        <f t="shared" si="3"/>
        <v/>
      </c>
      <c r="U36" s="69"/>
      <c r="V36" s="69"/>
      <c r="X36" s="58">
        <v>2</v>
      </c>
      <c r="Y36" s="5">
        <v>7</v>
      </c>
      <c r="Z36" s="5">
        <v>1</v>
      </c>
      <c r="AA36" s="5">
        <v>0</v>
      </c>
      <c r="AB36" s="5">
        <f t="shared" ca="1" si="4"/>
        <v>1</v>
      </c>
      <c r="AC36" s="17" t="s">
        <v>31</v>
      </c>
      <c r="AD36" s="58">
        <f t="shared" si="5"/>
        <v>0</v>
      </c>
      <c r="AE36" s="58">
        <f t="shared" ca="1" si="8"/>
        <v>0</v>
      </c>
      <c r="AF36" s="24">
        <f t="shared" ca="1" si="6"/>
        <v>0</v>
      </c>
      <c r="AG36" s="15"/>
    </row>
    <row r="37" spans="1:33" ht="16.5" customHeight="1" x14ac:dyDescent="0.2">
      <c r="A37">
        <f t="shared" si="0"/>
        <v>10</v>
      </c>
      <c r="B37" s="58">
        <f t="shared" si="1"/>
        <v>8</v>
      </c>
      <c r="C37" s="1" t="str">
        <f t="shared" si="2"/>
        <v>SCBT</v>
      </c>
      <c r="D37" s="26"/>
      <c r="E37" s="22"/>
      <c r="G37" s="38" t="s">
        <v>93</v>
      </c>
      <c r="H37" s="36">
        <v>43383</v>
      </c>
      <c r="I37" s="22">
        <v>1.19</v>
      </c>
      <c r="J37" s="22">
        <v>1.19</v>
      </c>
      <c r="K37" s="22">
        <v>1.19</v>
      </c>
      <c r="L37" s="37">
        <v>1.3696E-2</v>
      </c>
      <c r="M37" s="37">
        <v>3.7500000000000001E-4</v>
      </c>
      <c r="P37" s="23"/>
      <c r="Q37" s="69"/>
      <c r="R37" s="69"/>
      <c r="T37" s="2" t="str">
        <f t="shared" si="3"/>
        <v/>
      </c>
      <c r="U37" s="69"/>
      <c r="V37" s="69"/>
      <c r="X37" s="58">
        <v>2</v>
      </c>
      <c r="Y37" s="5">
        <v>8</v>
      </c>
      <c r="Z37" s="5">
        <v>1</v>
      </c>
      <c r="AA37" s="5">
        <v>0</v>
      </c>
      <c r="AB37" s="5">
        <f t="shared" ca="1" si="4"/>
        <v>0</v>
      </c>
      <c r="AC37" s="17" t="s">
        <v>35</v>
      </c>
      <c r="AD37" s="58">
        <f t="shared" si="5"/>
        <v>0</v>
      </c>
      <c r="AE37" s="58">
        <f t="shared" ca="1" si="8"/>
        <v>0</v>
      </c>
      <c r="AF37" s="16">
        <f t="shared" ca="1" si="6"/>
        <v>0</v>
      </c>
      <c r="AG37" s="56">
        <f ca="1">IFERROR(SUMIF($X$30:$X$53,$X$37,$AE$30:$AE$53)/$AE$54,0)</f>
        <v>9.0360357104131275E-2</v>
      </c>
    </row>
    <row r="38" spans="1:33" x14ac:dyDescent="0.2">
      <c r="A38">
        <f t="shared" si="0"/>
        <v>11</v>
      </c>
      <c r="B38" s="58">
        <f t="shared" si="1"/>
        <v>9</v>
      </c>
      <c r="C38" s="1" t="str">
        <f t="shared" si="2"/>
        <v>TBANK</v>
      </c>
      <c r="D38" s="26"/>
      <c r="E38" s="22"/>
      <c r="G38" s="38" t="s">
        <v>94</v>
      </c>
      <c r="H38" s="36">
        <v>43383</v>
      </c>
      <c r="I38" s="22">
        <v>1.1499999999999999</v>
      </c>
      <c r="J38" s="22">
        <v>1.1499999999999999</v>
      </c>
      <c r="K38" s="22">
        <v>1.1499999999999999</v>
      </c>
      <c r="L38" s="37">
        <v>1.9174E-2</v>
      </c>
      <c r="M38" s="37">
        <v>7.3499999999999998E-4</v>
      </c>
      <c r="P38" s="23"/>
      <c r="Q38" s="69"/>
      <c r="R38" s="69"/>
      <c r="T38" s="2" t="str">
        <f t="shared" si="3"/>
        <v/>
      </c>
      <c r="U38" s="69"/>
      <c r="V38" s="69"/>
      <c r="X38" s="58">
        <v>3</v>
      </c>
      <c r="Y38" s="5">
        <v>9</v>
      </c>
      <c r="Z38" s="5">
        <v>1</v>
      </c>
      <c r="AA38" s="5">
        <v>0</v>
      </c>
      <c r="AB38" s="5">
        <f t="shared" ca="1" si="4"/>
        <v>0</v>
      </c>
      <c r="AC38" s="17" t="s">
        <v>33</v>
      </c>
      <c r="AD38" s="58">
        <f t="shared" si="5"/>
        <v>0</v>
      </c>
      <c r="AE38" s="58">
        <f t="shared" ca="1" si="8"/>
        <v>0</v>
      </c>
      <c r="AF38" s="24">
        <f t="shared" ca="1" si="6"/>
        <v>0</v>
      </c>
      <c r="AG38" s="15"/>
    </row>
    <row r="39" spans="1:33" ht="15" thickBot="1" x14ac:dyDescent="0.25">
      <c r="A39">
        <f t="shared" si="0"/>
        <v>12</v>
      </c>
      <c r="B39" s="58">
        <f t="shared" si="1"/>
        <v>10</v>
      </c>
      <c r="C39" s="1" t="str">
        <f t="shared" si="2"/>
        <v>TISCOBANK</v>
      </c>
      <c r="D39" s="26"/>
      <c r="E39" s="22"/>
      <c r="G39" s="38" t="s">
        <v>95</v>
      </c>
      <c r="H39" s="36">
        <v>43383</v>
      </c>
      <c r="I39" s="22">
        <v>1.18</v>
      </c>
      <c r="J39" s="22">
        <v>1.18</v>
      </c>
      <c r="K39" s="22">
        <v>1.18</v>
      </c>
      <c r="L39" s="37">
        <v>1.9174E-2</v>
      </c>
      <c r="M39" s="37">
        <v>7.3499999999999998E-4</v>
      </c>
      <c r="O39" s="39" t="s">
        <v>58</v>
      </c>
      <c r="P39" s="71">
        <f>I30-Q39</f>
        <v>0</v>
      </c>
      <c r="Q39" s="61">
        <f>SUM(Q30:Q38)</f>
        <v>8637</v>
      </c>
      <c r="R39" s="55">
        <f>IFERROR(SUMPRODUCT(Q30:Q38,R30:R38)/SUM(Q30:Q38),0)</f>
        <v>1.2107161051290958</v>
      </c>
      <c r="S39" s="39" t="s">
        <v>59</v>
      </c>
      <c r="T39" s="40">
        <f>I30-U39</f>
        <v>4737</v>
      </c>
      <c r="U39" s="50">
        <f>SUM(U30:U38)</f>
        <v>3900</v>
      </c>
      <c r="V39" s="55">
        <f>IFERROR(SUMPRODUCT(U30:U38,V30:V38)/SUM(U30:U38),0)</f>
        <v>1.2061538461538461</v>
      </c>
      <c r="X39" s="58">
        <v>3</v>
      </c>
      <c r="Y39" s="5">
        <v>10</v>
      </c>
      <c r="Z39" s="5">
        <v>1</v>
      </c>
      <c r="AA39" s="5">
        <v>0</v>
      </c>
      <c r="AB39" s="5">
        <f t="shared" ca="1" si="4"/>
        <v>0</v>
      </c>
      <c r="AC39" s="17" t="s">
        <v>34</v>
      </c>
      <c r="AD39" s="58">
        <f t="shared" si="5"/>
        <v>0</v>
      </c>
      <c r="AE39" s="58">
        <f t="shared" ca="1" si="8"/>
        <v>500</v>
      </c>
      <c r="AF39" s="24">
        <f t="shared" ca="1" si="6"/>
        <v>1.8072071420826254E-2</v>
      </c>
      <c r="AG39" s="15"/>
    </row>
    <row r="40" spans="1:33" ht="15" thickTop="1" x14ac:dyDescent="0.2">
      <c r="A40">
        <f t="shared" si="0"/>
        <v>13</v>
      </c>
      <c r="B40" s="58">
        <f t="shared" si="1"/>
        <v>11</v>
      </c>
      <c r="C40" s="1" t="str">
        <f t="shared" si="2"/>
        <v>KKP</v>
      </c>
      <c r="D40" s="26"/>
      <c r="E40" s="22"/>
      <c r="G40" s="38" t="s">
        <v>72</v>
      </c>
      <c r="H40" s="36">
        <v>43383</v>
      </c>
      <c r="I40" s="22">
        <v>1.18</v>
      </c>
      <c r="J40" s="22">
        <v>1.18</v>
      </c>
      <c r="K40" s="22">
        <v>1.18</v>
      </c>
      <c r="L40" s="37">
        <v>3.5601000000000001E-2</v>
      </c>
      <c r="M40" s="37">
        <v>2.5349999999999999E-3</v>
      </c>
      <c r="X40" s="58">
        <v>3</v>
      </c>
      <c r="Y40" s="5">
        <v>11</v>
      </c>
      <c r="Z40" s="5">
        <v>1</v>
      </c>
      <c r="AA40" s="5">
        <v>0</v>
      </c>
      <c r="AB40" s="5">
        <f t="shared" ca="1" si="4"/>
        <v>0</v>
      </c>
      <c r="AC40" s="17" t="s">
        <v>37</v>
      </c>
      <c r="AD40" s="58">
        <f t="shared" si="5"/>
        <v>0</v>
      </c>
      <c r="AE40" s="58">
        <f t="shared" ca="1" si="8"/>
        <v>0</v>
      </c>
      <c r="AF40" s="24">
        <f t="shared" ca="1" si="6"/>
        <v>0</v>
      </c>
      <c r="AG40" s="15"/>
    </row>
    <row r="41" spans="1:33" x14ac:dyDescent="0.2">
      <c r="A41">
        <f t="shared" si="0"/>
        <v>14</v>
      </c>
      <c r="B41" s="58">
        <f t="shared" si="1"/>
        <v>12</v>
      </c>
      <c r="C41" s="1" t="str">
        <f t="shared" si="2"/>
        <v>GSB</v>
      </c>
      <c r="D41" s="26"/>
      <c r="E41" s="22"/>
      <c r="G41" s="38" t="s">
        <v>96</v>
      </c>
      <c r="H41" s="36">
        <v>43383</v>
      </c>
      <c r="I41" s="22">
        <v>1.1599999999999999</v>
      </c>
      <c r="J41" s="22">
        <v>1.1599999999999999</v>
      </c>
      <c r="K41" s="22">
        <v>1.1599999999999999</v>
      </c>
      <c r="L41" s="37">
        <v>3.8338999999999998E-2</v>
      </c>
      <c r="M41" s="37">
        <v>2.9399999999999999E-3</v>
      </c>
      <c r="P41" s="28" t="str">
        <f>"Auction Excute : " &amp;G31</f>
        <v xml:space="preserve">Auction Excute : </v>
      </c>
      <c r="T41" s="4" t="s">
        <v>18</v>
      </c>
      <c r="X41" s="58">
        <v>3</v>
      </c>
      <c r="Y41" s="5">
        <v>12</v>
      </c>
      <c r="Z41" s="5">
        <v>1</v>
      </c>
      <c r="AA41" s="5">
        <v>0</v>
      </c>
      <c r="AB41" s="5">
        <f t="shared" ca="1" si="4"/>
        <v>0</v>
      </c>
      <c r="AC41" s="17" t="s">
        <v>14</v>
      </c>
      <c r="AD41" s="58">
        <f t="shared" si="5"/>
        <v>0</v>
      </c>
      <c r="AE41" s="58">
        <f t="shared" ca="1" si="8"/>
        <v>0</v>
      </c>
      <c r="AF41" s="24">
        <f t="shared" ca="1" si="6"/>
        <v>0</v>
      </c>
      <c r="AG41" s="15"/>
    </row>
    <row r="42" spans="1:33" x14ac:dyDescent="0.2">
      <c r="A42">
        <f t="shared" si="0"/>
        <v>15</v>
      </c>
      <c r="B42" s="58">
        <f t="shared" si="1"/>
        <v>13</v>
      </c>
      <c r="C42" s="1" t="str">
        <f t="shared" si="2"/>
        <v>SCB</v>
      </c>
      <c r="D42" s="26"/>
      <c r="E42" s="22"/>
      <c r="G42" s="38" t="s">
        <v>97</v>
      </c>
      <c r="H42" s="36">
        <v>43383</v>
      </c>
      <c r="I42" s="22">
        <v>1.18</v>
      </c>
      <c r="J42" s="22">
        <v>1.18</v>
      </c>
      <c r="K42" s="22">
        <v>1.18</v>
      </c>
      <c r="L42" s="37">
        <v>3.8338999999999998E-2</v>
      </c>
      <c r="M42" s="37">
        <v>2.9399999999999999E-3</v>
      </c>
      <c r="P42" s="20" t="s">
        <v>0</v>
      </c>
      <c r="Q42" s="20" t="s">
        <v>64</v>
      </c>
      <c r="R42" s="20" t="s">
        <v>23</v>
      </c>
      <c r="T42" s="20" t="s">
        <v>0</v>
      </c>
      <c r="U42" s="20" t="s">
        <v>64</v>
      </c>
      <c r="V42" s="20" t="s">
        <v>23</v>
      </c>
      <c r="X42" s="58">
        <v>3</v>
      </c>
      <c r="Y42" s="5">
        <v>13</v>
      </c>
      <c r="Z42" s="5">
        <v>1</v>
      </c>
      <c r="AA42" s="5">
        <v>0</v>
      </c>
      <c r="AB42" s="5">
        <f t="shared" ca="1" si="4"/>
        <v>1</v>
      </c>
      <c r="AC42" s="17" t="s">
        <v>8</v>
      </c>
      <c r="AD42" s="58">
        <f t="shared" si="5"/>
        <v>0</v>
      </c>
      <c r="AE42" s="58">
        <f t="shared" ca="1" si="8"/>
        <v>0</v>
      </c>
      <c r="AF42" s="24">
        <f t="shared" ca="1" si="6"/>
        <v>0</v>
      </c>
      <c r="AG42" s="15"/>
    </row>
    <row r="43" spans="1:33" x14ac:dyDescent="0.2">
      <c r="A43">
        <f t="shared" si="0"/>
        <v>16</v>
      </c>
      <c r="B43" s="58">
        <f t="shared" si="1"/>
        <v>14</v>
      </c>
      <c r="C43" s="1" t="str">
        <f t="shared" si="2"/>
        <v>KGI</v>
      </c>
      <c r="D43" s="26"/>
      <c r="E43" s="22"/>
      <c r="G43" s="38"/>
      <c r="H43" s="36"/>
      <c r="I43" s="22"/>
      <c r="J43" s="22"/>
      <c r="K43" s="22"/>
      <c r="L43" s="37"/>
      <c r="M43" s="37"/>
      <c r="P43" s="23"/>
      <c r="Q43" s="69"/>
      <c r="R43" s="69"/>
      <c r="T43" s="2" t="str">
        <f>IF(ISBLANK(P43),"",P43)</f>
        <v/>
      </c>
      <c r="U43" s="69"/>
      <c r="V43" s="69"/>
      <c r="X43" s="58">
        <v>3</v>
      </c>
      <c r="Y43" s="5">
        <v>14</v>
      </c>
      <c r="Z43" s="5">
        <v>1</v>
      </c>
      <c r="AA43" s="5">
        <v>0</v>
      </c>
      <c r="AB43" s="5">
        <f t="shared" ca="1" si="4"/>
        <v>0</v>
      </c>
      <c r="AC43" s="17" t="s">
        <v>39</v>
      </c>
      <c r="AD43" s="58">
        <f t="shared" si="5"/>
        <v>0</v>
      </c>
      <c r="AE43" s="58">
        <f t="shared" ca="1" si="8"/>
        <v>0</v>
      </c>
      <c r="AF43" s="24">
        <f t="shared" ca="1" si="6"/>
        <v>0</v>
      </c>
      <c r="AG43" s="15"/>
    </row>
    <row r="44" spans="1:33" x14ac:dyDescent="0.2">
      <c r="A44">
        <f t="shared" si="0"/>
        <v>17</v>
      </c>
      <c r="B44" s="58">
        <f t="shared" si="1"/>
        <v>15</v>
      </c>
      <c r="C44" s="1" t="str">
        <f t="shared" si="2"/>
        <v>CITIBANK</v>
      </c>
      <c r="D44" s="26"/>
      <c r="E44" s="22"/>
      <c r="G44" s="38"/>
      <c r="H44" s="36"/>
      <c r="I44" s="22"/>
      <c r="J44" s="22"/>
      <c r="K44" s="22"/>
      <c r="L44" s="37"/>
      <c r="M44" s="37"/>
      <c r="P44" s="23"/>
      <c r="Q44" s="69"/>
      <c r="R44" s="69"/>
      <c r="T44" s="2" t="str">
        <f t="shared" ref="T44:T51" si="9">IF(ISBLANK(P44),"",P44)</f>
        <v/>
      </c>
      <c r="U44" s="69"/>
      <c r="V44" s="69"/>
      <c r="X44" s="58">
        <v>3</v>
      </c>
      <c r="Y44" s="5">
        <v>15</v>
      </c>
      <c r="Z44" s="5">
        <v>1</v>
      </c>
      <c r="AA44" s="5">
        <v>0</v>
      </c>
      <c r="AB44" s="5">
        <f t="shared" ca="1" si="4"/>
        <v>1</v>
      </c>
      <c r="AC44" s="17" t="s">
        <v>36</v>
      </c>
      <c r="AD44" s="58">
        <f t="shared" si="5"/>
        <v>0</v>
      </c>
      <c r="AE44" s="58">
        <f t="shared" ca="1" si="8"/>
        <v>0</v>
      </c>
      <c r="AF44" s="24">
        <f t="shared" ca="1" si="6"/>
        <v>0</v>
      </c>
      <c r="AG44" s="15"/>
    </row>
    <row r="45" spans="1:33" x14ac:dyDescent="0.2">
      <c r="A45">
        <f t="shared" si="0"/>
        <v>18</v>
      </c>
      <c r="B45" s="58">
        <f t="shared" si="1"/>
        <v>16</v>
      </c>
      <c r="C45" s="1" t="str">
        <f t="shared" si="2"/>
        <v>HSBC</v>
      </c>
      <c r="D45" s="26"/>
      <c r="E45" s="22"/>
      <c r="G45" s="38"/>
      <c r="H45" s="36"/>
      <c r="I45" s="22"/>
      <c r="J45" s="22"/>
      <c r="K45" s="22"/>
      <c r="L45" s="37"/>
      <c r="M45" s="37"/>
      <c r="P45" s="23"/>
      <c r="Q45" s="69"/>
      <c r="R45" s="69"/>
      <c r="T45" s="2" t="str">
        <f t="shared" si="9"/>
        <v/>
      </c>
      <c r="U45" s="69"/>
      <c r="V45" s="69"/>
      <c r="X45" s="58">
        <v>3</v>
      </c>
      <c r="Y45" s="5">
        <v>16</v>
      </c>
      <c r="Z45" s="5">
        <v>1</v>
      </c>
      <c r="AA45" s="5">
        <v>0</v>
      </c>
      <c r="AB45" s="5">
        <f t="shared" ca="1" si="4"/>
        <v>0</v>
      </c>
      <c r="AC45" s="17" t="s">
        <v>15</v>
      </c>
      <c r="AD45" s="58">
        <f t="shared" si="5"/>
        <v>0</v>
      </c>
      <c r="AE45" s="58">
        <f t="shared" ca="1" si="8"/>
        <v>0</v>
      </c>
      <c r="AF45" s="24">
        <f t="shared" ca="1" si="6"/>
        <v>0</v>
      </c>
      <c r="AG45" s="15"/>
    </row>
    <row r="46" spans="1:33" x14ac:dyDescent="0.2">
      <c r="A46">
        <f t="shared" si="0"/>
        <v>19</v>
      </c>
      <c r="B46" s="58">
        <f t="shared" si="1"/>
        <v>17</v>
      </c>
      <c r="C46" s="1" t="str">
        <f t="shared" si="2"/>
        <v>BAML</v>
      </c>
      <c r="D46" s="26"/>
      <c r="E46" s="22"/>
      <c r="G46" s="38"/>
      <c r="H46" s="36"/>
      <c r="I46" s="22"/>
      <c r="J46" s="22"/>
      <c r="K46" s="22"/>
      <c r="L46" s="37"/>
      <c r="M46" s="37"/>
      <c r="P46" s="23"/>
      <c r="Q46" s="69"/>
      <c r="R46" s="69"/>
      <c r="T46" s="2" t="str">
        <f t="shared" si="9"/>
        <v/>
      </c>
      <c r="U46" s="69"/>
      <c r="V46" s="69"/>
      <c r="X46" s="58">
        <v>3</v>
      </c>
      <c r="Y46" s="5">
        <v>17</v>
      </c>
      <c r="Z46" s="5">
        <v>1</v>
      </c>
      <c r="AA46" s="5">
        <v>0</v>
      </c>
      <c r="AB46" s="5">
        <f t="shared" ca="1" si="4"/>
        <v>0</v>
      </c>
      <c r="AC46" s="17" t="s">
        <v>40</v>
      </c>
      <c r="AD46" s="58">
        <f t="shared" si="5"/>
        <v>0</v>
      </c>
      <c r="AE46" s="58">
        <f t="shared" ca="1" si="8"/>
        <v>0</v>
      </c>
      <c r="AF46" s="24">
        <f t="shared" ca="1" si="6"/>
        <v>0</v>
      </c>
      <c r="AG46" s="15"/>
    </row>
    <row r="47" spans="1:33" x14ac:dyDescent="0.2">
      <c r="A47">
        <f t="shared" si="0"/>
        <v>20</v>
      </c>
      <c r="B47" s="58">
        <f t="shared" si="1"/>
        <v>18</v>
      </c>
      <c r="C47" s="1" t="str">
        <f t="shared" si="2"/>
        <v>JP_MORGAN</v>
      </c>
      <c r="D47" s="26"/>
      <c r="E47" s="22"/>
      <c r="G47" s="38"/>
      <c r="H47" s="36"/>
      <c r="I47" s="22"/>
      <c r="J47" s="22"/>
      <c r="K47" s="22"/>
      <c r="L47" s="37"/>
      <c r="M47" s="37"/>
      <c r="P47" s="23"/>
      <c r="Q47" s="69"/>
      <c r="R47" s="69"/>
      <c r="T47" s="2" t="str">
        <f t="shared" si="9"/>
        <v/>
      </c>
      <c r="U47" s="69"/>
      <c r="V47" s="69"/>
      <c r="X47" s="58">
        <v>3</v>
      </c>
      <c r="Y47" s="5">
        <v>18</v>
      </c>
      <c r="Z47" s="5">
        <v>1</v>
      </c>
      <c r="AA47" s="5">
        <v>0</v>
      </c>
      <c r="AB47" s="5">
        <f t="shared" ca="1" si="4"/>
        <v>0</v>
      </c>
      <c r="AC47" s="17" t="s">
        <v>41</v>
      </c>
      <c r="AD47" s="58">
        <f t="shared" si="5"/>
        <v>0</v>
      </c>
      <c r="AE47" s="58">
        <f t="shared" ca="1" si="8"/>
        <v>0</v>
      </c>
      <c r="AF47" s="24">
        <f t="shared" ca="1" si="6"/>
        <v>0</v>
      </c>
      <c r="AG47" s="15"/>
    </row>
    <row r="48" spans="1:33" x14ac:dyDescent="0.2">
      <c r="A48">
        <f t="shared" si="0"/>
        <v>21</v>
      </c>
      <c r="B48" s="58">
        <f t="shared" si="1"/>
        <v>19</v>
      </c>
      <c r="C48" s="1" t="str">
        <f t="shared" si="2"/>
        <v>DEUTSCHE_BAN</v>
      </c>
      <c r="D48" s="26"/>
      <c r="E48" s="22"/>
      <c r="G48" s="38"/>
      <c r="H48" s="36"/>
      <c r="I48" s="22"/>
      <c r="J48" s="22"/>
      <c r="K48" s="22"/>
      <c r="L48" s="37"/>
      <c r="M48" s="37"/>
      <c r="P48" s="23"/>
      <c r="Q48" s="69"/>
      <c r="R48" s="69"/>
      <c r="T48" s="2" t="str">
        <f t="shared" si="9"/>
        <v/>
      </c>
      <c r="U48" s="69"/>
      <c r="V48" s="69"/>
      <c r="X48" s="58">
        <v>3</v>
      </c>
      <c r="Y48" s="5">
        <v>19</v>
      </c>
      <c r="Z48" s="5">
        <v>1</v>
      </c>
      <c r="AA48" s="5">
        <v>0</v>
      </c>
      <c r="AB48" s="5">
        <f t="shared" ca="1" si="4"/>
        <v>0</v>
      </c>
      <c r="AC48" s="17" t="s">
        <v>68</v>
      </c>
      <c r="AD48" s="58">
        <f t="shared" si="5"/>
        <v>0</v>
      </c>
      <c r="AE48" s="58">
        <f t="shared" ca="1" si="8"/>
        <v>0</v>
      </c>
      <c r="AF48" s="24">
        <f t="shared" ca="1" si="6"/>
        <v>0</v>
      </c>
      <c r="AG48" s="15"/>
    </row>
    <row r="49" spans="1:33" x14ac:dyDescent="0.2">
      <c r="A49">
        <f t="shared" si="0"/>
        <v>22</v>
      </c>
      <c r="B49" s="58">
        <f t="shared" si="1"/>
        <v>20</v>
      </c>
      <c r="C49" s="1" t="str">
        <f t="shared" si="2"/>
        <v>UOBT</v>
      </c>
      <c r="D49" s="26"/>
      <c r="E49" s="22"/>
      <c r="G49" s="38"/>
      <c r="H49" s="36"/>
      <c r="I49" s="22"/>
      <c r="J49" s="22"/>
      <c r="K49" s="22"/>
      <c r="L49" s="37"/>
      <c r="M49" s="37"/>
      <c r="P49" s="23"/>
      <c r="Q49" s="69"/>
      <c r="R49" s="69"/>
      <c r="T49" s="2" t="str">
        <f t="shared" si="9"/>
        <v/>
      </c>
      <c r="U49" s="69"/>
      <c r="V49" s="69"/>
      <c r="X49" s="58">
        <v>3</v>
      </c>
      <c r="Y49" s="5">
        <v>20</v>
      </c>
      <c r="Z49" s="5">
        <v>1</v>
      </c>
      <c r="AA49" s="5">
        <v>0</v>
      </c>
      <c r="AB49" s="5">
        <f t="shared" ca="1" si="4"/>
        <v>0</v>
      </c>
      <c r="AC49" s="17" t="s">
        <v>38</v>
      </c>
      <c r="AD49" s="58">
        <f t="shared" si="5"/>
        <v>0</v>
      </c>
      <c r="AE49" s="58">
        <f t="shared" ca="1" si="8"/>
        <v>0</v>
      </c>
      <c r="AF49" s="24">
        <f t="shared" ca="1" si="6"/>
        <v>0</v>
      </c>
      <c r="AG49" s="15"/>
    </row>
    <row r="50" spans="1:33" x14ac:dyDescent="0.2">
      <c r="A50">
        <f t="shared" si="0"/>
        <v>23</v>
      </c>
      <c r="B50" s="58">
        <f t="shared" si="1"/>
        <v>21</v>
      </c>
      <c r="C50" s="1" t="str">
        <f t="shared" si="2"/>
        <v>CNS</v>
      </c>
      <c r="D50" s="26"/>
      <c r="E50" s="22"/>
      <c r="G50" s="38"/>
      <c r="H50" s="36"/>
      <c r="I50" s="22"/>
      <c r="J50" s="22"/>
      <c r="K50" s="22"/>
      <c r="L50" s="37"/>
      <c r="M50" s="37"/>
      <c r="P50" s="23"/>
      <c r="Q50" s="69"/>
      <c r="R50" s="69"/>
      <c r="T50" s="2" t="str">
        <f t="shared" si="9"/>
        <v/>
      </c>
      <c r="U50" s="69"/>
      <c r="V50" s="69"/>
      <c r="X50" s="58">
        <v>3</v>
      </c>
      <c r="Y50" s="5">
        <v>21</v>
      </c>
      <c r="Z50" s="5">
        <v>1</v>
      </c>
      <c r="AA50" s="5">
        <v>0</v>
      </c>
      <c r="AB50" s="5">
        <f t="shared" ca="1" si="4"/>
        <v>0</v>
      </c>
      <c r="AC50" s="17" t="s">
        <v>43</v>
      </c>
      <c r="AD50" s="58">
        <f t="shared" si="5"/>
        <v>0</v>
      </c>
      <c r="AE50" s="58">
        <f t="shared" ca="1" si="8"/>
        <v>0</v>
      </c>
      <c r="AF50" s="24">
        <f t="shared" ca="1" si="6"/>
        <v>0</v>
      </c>
      <c r="AG50" s="15"/>
    </row>
    <row r="51" spans="1:33" x14ac:dyDescent="0.2">
      <c r="A51">
        <f t="shared" si="0"/>
        <v>24</v>
      </c>
      <c r="B51" s="58">
        <f t="shared" si="1"/>
        <v>22</v>
      </c>
      <c r="C51" s="1" t="str">
        <f t="shared" si="2"/>
        <v>ANZT</v>
      </c>
      <c r="D51" s="26"/>
      <c r="E51" s="22"/>
      <c r="P51" s="23"/>
      <c r="Q51" s="69"/>
      <c r="R51" s="69"/>
      <c r="T51" s="2" t="str">
        <f t="shared" si="9"/>
        <v/>
      </c>
      <c r="U51" s="69"/>
      <c r="V51" s="69"/>
      <c r="X51" s="58">
        <v>3</v>
      </c>
      <c r="Y51" s="5">
        <v>22</v>
      </c>
      <c r="Z51" s="5">
        <v>1</v>
      </c>
      <c r="AA51" s="5">
        <v>0</v>
      </c>
      <c r="AB51" s="5">
        <f t="shared" ca="1" si="4"/>
        <v>0</v>
      </c>
      <c r="AC51" s="17" t="s">
        <v>42</v>
      </c>
      <c r="AD51" s="58">
        <f t="shared" si="5"/>
        <v>0</v>
      </c>
      <c r="AE51" s="58">
        <f t="shared" ca="1" si="8"/>
        <v>0</v>
      </c>
      <c r="AF51" s="24">
        <f t="shared" ca="1" si="6"/>
        <v>0</v>
      </c>
      <c r="AG51" s="15"/>
    </row>
    <row r="52" spans="1:33" ht="15" thickBot="1" x14ac:dyDescent="0.25">
      <c r="A52">
        <f t="shared" si="0"/>
        <v>25</v>
      </c>
      <c r="B52" s="58">
        <f t="shared" si="1"/>
        <v>23</v>
      </c>
      <c r="C52" s="1" t="str">
        <f t="shared" si="2"/>
        <v>PHATRA</v>
      </c>
      <c r="D52" s="26"/>
      <c r="E52" s="22"/>
      <c r="O52" s="39" t="s">
        <v>58</v>
      </c>
      <c r="P52" s="40">
        <f>I31-Q52</f>
        <v>0</v>
      </c>
      <c r="Q52" s="50">
        <f>SUM(Q43:Q51)</f>
        <v>0</v>
      </c>
      <c r="R52" s="55">
        <f>IFERROR(SUMPRODUCT(Q43:Q51,R43:R51)/SUM(Q43:Q51),0)</f>
        <v>0</v>
      </c>
      <c r="S52" s="39" t="s">
        <v>59</v>
      </c>
      <c r="T52" s="40">
        <f>I31-U52</f>
        <v>0</v>
      </c>
      <c r="U52" s="50">
        <f>SUM(U43:U51)</f>
        <v>0</v>
      </c>
      <c r="V52" s="55">
        <f>IFERROR(SUMPRODUCT(U43:U51,V43:V51)/SUM(U43:U51),0)</f>
        <v>0</v>
      </c>
      <c r="X52" s="58">
        <v>3</v>
      </c>
      <c r="Y52" s="5">
        <v>23</v>
      </c>
      <c r="Z52" s="5">
        <v>1</v>
      </c>
      <c r="AA52" s="5">
        <v>0</v>
      </c>
      <c r="AB52" s="5">
        <f t="shared" ca="1" si="4"/>
        <v>0</v>
      </c>
      <c r="AC52" s="17" t="s">
        <v>44</v>
      </c>
      <c r="AD52" s="58">
        <f t="shared" si="5"/>
        <v>0</v>
      </c>
      <c r="AE52" s="58">
        <f t="shared" ca="1" si="8"/>
        <v>0</v>
      </c>
      <c r="AF52" s="24">
        <f t="shared" ca="1" si="6"/>
        <v>0</v>
      </c>
      <c r="AG52" s="15"/>
    </row>
    <row r="53" spans="1:33" ht="15" thickTop="1" x14ac:dyDescent="0.2">
      <c r="A53">
        <f t="shared" si="0"/>
        <v>26</v>
      </c>
      <c r="B53" s="58">
        <f t="shared" si="1"/>
        <v>24</v>
      </c>
      <c r="C53" s="1" t="str">
        <f t="shared" si="2"/>
        <v>MBKET</v>
      </c>
      <c r="D53" s="26"/>
      <c r="E53" s="22"/>
      <c r="X53" s="58">
        <v>3</v>
      </c>
      <c r="Y53" s="5">
        <v>24</v>
      </c>
      <c r="Z53" s="5">
        <v>1</v>
      </c>
      <c r="AA53" s="5">
        <v>0</v>
      </c>
      <c r="AB53" s="5">
        <f t="shared" ca="1" si="4"/>
        <v>0</v>
      </c>
      <c r="AC53" s="17" t="s">
        <v>45</v>
      </c>
      <c r="AD53" s="58">
        <f t="shared" si="5"/>
        <v>0</v>
      </c>
      <c r="AE53" s="58">
        <f t="shared" ca="1" si="8"/>
        <v>0</v>
      </c>
      <c r="AF53" s="16">
        <f t="shared" ca="1" si="6"/>
        <v>0</v>
      </c>
      <c r="AG53" s="56">
        <f ca="1">IFERROR(SUMIF($X$30:$X$53,$X$53,$AE$30:$AE$53)/$AE$54,0)</f>
        <v>1.8072071420826254E-2</v>
      </c>
    </row>
    <row r="54" spans="1:33" ht="15" thickBot="1" x14ac:dyDescent="0.25">
      <c r="D54" s="61">
        <f>SUM(D30:D53)</f>
        <v>8637</v>
      </c>
      <c r="E54" s="45">
        <f>IFERROR(SUMPRODUCT(D30:D33,E30:E33)/SUM(D30:D33),0)</f>
        <v>1.2393850293504689</v>
      </c>
      <c r="F54" s="48"/>
      <c r="P54" s="29" t="str">
        <f>"Auction Excute : " &amp;G32</f>
        <v xml:space="preserve">Auction Excute : </v>
      </c>
      <c r="T54" s="4" t="s">
        <v>18</v>
      </c>
      <c r="AC54" s="20" t="s">
        <v>17</v>
      </c>
      <c r="AD54" s="44">
        <f>SUM(AD30:AD53)</f>
        <v>3900</v>
      </c>
      <c r="AE54" s="44">
        <f ca="1">SUM(AE30:AE53)</f>
        <v>27667</v>
      </c>
    </row>
    <row r="55" spans="1:33" ht="15" thickTop="1" x14ac:dyDescent="0.2">
      <c r="A55" s="43" t="s">
        <v>114</v>
      </c>
      <c r="G55" s="4" t="s">
        <v>65</v>
      </c>
      <c r="P55" s="20" t="s">
        <v>0</v>
      </c>
      <c r="Q55" s="20" t="s">
        <v>64</v>
      </c>
      <c r="R55" s="20" t="s">
        <v>23</v>
      </c>
      <c r="T55" s="20" t="s">
        <v>0</v>
      </c>
      <c r="U55" s="20" t="s">
        <v>64</v>
      </c>
      <c r="V55" s="20" t="s">
        <v>23</v>
      </c>
    </row>
    <row r="56" spans="1:33" x14ac:dyDescent="0.2">
      <c r="B56" s="4" t="s">
        <v>26</v>
      </c>
      <c r="G56" s="20" t="s">
        <v>24</v>
      </c>
      <c r="H56" s="78" t="s">
        <v>66</v>
      </c>
      <c r="I56" s="79"/>
      <c r="J56" s="79"/>
      <c r="K56" s="80"/>
      <c r="P56" s="23"/>
      <c r="Q56" s="69"/>
      <c r="R56" s="69"/>
      <c r="T56" s="2" t="str">
        <f>IF(ISBLANK(P56),"",P56)</f>
        <v/>
      </c>
      <c r="U56" s="69"/>
      <c r="V56" s="69"/>
    </row>
    <row r="57" spans="1:33" ht="15" customHeight="1" x14ac:dyDescent="0.2">
      <c r="B57" t="s">
        <v>27</v>
      </c>
      <c r="C57" s="8">
        <v>1</v>
      </c>
      <c r="G57" s="30" t="str">
        <f>G30</f>
        <v>CB18O30A</v>
      </c>
      <c r="H57" s="70" t="s">
        <v>122</v>
      </c>
      <c r="I57" s="67"/>
      <c r="J57" s="67"/>
      <c r="K57" s="68"/>
      <c r="P57" s="23"/>
      <c r="Q57" s="69"/>
      <c r="R57" s="69"/>
      <c r="T57" s="2" t="str">
        <f t="shared" ref="T57:T64" si="10">IF(ISBLANK(P57),"",P57)</f>
        <v/>
      </c>
      <c r="U57" s="69"/>
      <c r="V57" s="69"/>
    </row>
    <row r="58" spans="1:33" x14ac:dyDescent="0.2">
      <c r="B58" t="s">
        <v>28</v>
      </c>
      <c r="C58" s="8">
        <v>0.4</v>
      </c>
      <c r="G58" s="31">
        <f>G31</f>
        <v>0</v>
      </c>
      <c r="H58" s="66"/>
      <c r="I58" s="67"/>
      <c r="J58" s="67"/>
      <c r="K58" s="68"/>
      <c r="P58" s="23"/>
      <c r="Q58" s="69"/>
      <c r="R58" s="69"/>
      <c r="T58" s="2" t="str">
        <f t="shared" si="10"/>
        <v/>
      </c>
      <c r="U58" s="69"/>
      <c r="V58" s="69"/>
    </row>
    <row r="59" spans="1:33" x14ac:dyDescent="0.2">
      <c r="B59" t="s">
        <v>29</v>
      </c>
      <c r="C59" s="8">
        <v>0.1</v>
      </c>
      <c r="G59" s="32">
        <f>G32</f>
        <v>0</v>
      </c>
      <c r="H59" s="63"/>
      <c r="I59" s="64"/>
      <c r="J59" s="64"/>
      <c r="K59" s="65"/>
      <c r="P59" s="23"/>
      <c r="Q59" s="69"/>
      <c r="R59" s="69"/>
      <c r="T59" s="2" t="str">
        <f t="shared" si="10"/>
        <v/>
      </c>
      <c r="U59" s="69"/>
      <c r="V59" s="69"/>
    </row>
    <row r="60" spans="1:33" x14ac:dyDescent="0.2">
      <c r="P60" s="23"/>
      <c r="Q60" s="69"/>
      <c r="R60" s="69"/>
      <c r="T60" s="2" t="str">
        <f t="shared" si="10"/>
        <v/>
      </c>
      <c r="U60" s="69"/>
      <c r="V60" s="69"/>
    </row>
    <row r="61" spans="1:33" x14ac:dyDescent="0.2">
      <c r="P61" s="23"/>
      <c r="Q61" s="69"/>
      <c r="R61" s="69"/>
      <c r="T61" s="2" t="str">
        <f t="shared" si="10"/>
        <v/>
      </c>
      <c r="U61" s="69"/>
      <c r="V61" s="69"/>
    </row>
    <row r="62" spans="1:33" x14ac:dyDescent="0.2">
      <c r="P62" s="23"/>
      <c r="Q62" s="69"/>
      <c r="R62" s="69"/>
      <c r="T62" s="2" t="str">
        <f t="shared" si="10"/>
        <v/>
      </c>
      <c r="U62" s="69"/>
      <c r="V62" s="69"/>
    </row>
    <row r="63" spans="1:33" x14ac:dyDescent="0.2">
      <c r="P63" s="23"/>
      <c r="Q63" s="69"/>
      <c r="R63" s="69"/>
      <c r="T63" s="2" t="str">
        <f t="shared" si="10"/>
        <v/>
      </c>
      <c r="U63" s="69"/>
      <c r="V63" s="69"/>
    </row>
    <row r="64" spans="1:33" x14ac:dyDescent="0.2">
      <c r="P64" s="23"/>
      <c r="Q64" s="69"/>
      <c r="R64" s="69"/>
      <c r="T64" s="2" t="str">
        <f t="shared" si="10"/>
        <v/>
      </c>
      <c r="U64" s="69"/>
      <c r="V64" s="69"/>
    </row>
    <row r="65" spans="15:22" ht="15" thickBot="1" x14ac:dyDescent="0.25">
      <c r="O65" s="39" t="s">
        <v>58</v>
      </c>
      <c r="P65" s="40">
        <f>I32-Q65</f>
        <v>0</v>
      </c>
      <c r="Q65" s="50">
        <f>SUM(Q56:Q64)</f>
        <v>0</v>
      </c>
      <c r="R65" s="55">
        <f>IFERROR(SUMPRODUCT(Q56:Q64,R56:R64)/SUM(Q56:Q64),0)</f>
        <v>0</v>
      </c>
      <c r="S65" s="39" t="s">
        <v>59</v>
      </c>
      <c r="T65" s="40">
        <f>I32-U65</f>
        <v>0</v>
      </c>
      <c r="U65" s="50">
        <f>SUM(U56:U64)</f>
        <v>0</v>
      </c>
      <c r="V65" s="55">
        <f>IFERROR(SUMPRODUCT(U56:U64,V56:V64)/SUM(U56:U64),0)</f>
        <v>0</v>
      </c>
    </row>
    <row r="66" spans="15:22" ht="15" thickTop="1" x14ac:dyDescent="0.2"/>
  </sheetData>
  <customSheetViews>
    <customSheetView guid="{446F2FA9-979D-4645-8D3C-C345EFBD6336}" scale="70" hiddenRows="1" hiddenColumns="1" topLeftCell="B1">
      <selection activeCell="G27" sqref="G27"/>
      <pageMargins left="0.7" right="0.7" top="0.75" bottom="0.75" header="0.3" footer="0.3"/>
      <pageSetup orientation="portrait" r:id="rId1"/>
    </customSheetView>
  </customSheetViews>
  <mergeCells count="4">
    <mergeCell ref="B2:AC2"/>
    <mergeCell ref="B9:AC9"/>
    <mergeCell ref="B16:AC16"/>
    <mergeCell ref="H56:K56"/>
  </mergeCells>
  <conditionalFormatting sqref="AG32">
    <cfRule type="cellIs" dxfId="59" priority="29" operator="greaterThan">
      <formula>0.5</formula>
    </cfRule>
    <cfRule type="cellIs" dxfId="58" priority="30" operator="lessThan">
      <formula>0.5</formula>
    </cfRule>
  </conditionalFormatting>
  <conditionalFormatting sqref="AF30:AF5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{B616ED3F-3E59-4F28-B95C-E93057190AB5}</x14:id>
        </ext>
      </extLst>
    </cfRule>
  </conditionalFormatting>
  <conditionalFormatting sqref="E30:E5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0:X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3">
    <cfRule type="cellIs" dxfId="57" priority="33" operator="lessThan">
      <formula>$C$59</formula>
    </cfRule>
    <cfRule type="cellIs" dxfId="56" priority="34" operator="greaterThan">
      <formula>$C$59</formula>
    </cfRule>
  </conditionalFormatting>
  <conditionalFormatting sqref="AG37">
    <cfRule type="cellIs" dxfId="55" priority="35" operator="greaterThan">
      <formula>$C$58</formula>
    </cfRule>
    <cfRule type="cellIs" dxfId="54" priority="36" operator="lessThan">
      <formula>$C$58</formula>
    </cfRule>
  </conditionalFormatting>
  <conditionalFormatting sqref="P39">
    <cfRule type="cellIs" dxfId="53" priority="23" operator="lessThan">
      <formula>0</formula>
    </cfRule>
    <cfRule type="cellIs" dxfId="52" priority="24" operator="equal">
      <formula>0</formula>
    </cfRule>
    <cfRule type="cellIs" dxfId="51" priority="25" operator="greaterThan">
      <formula>0</formula>
    </cfRule>
  </conditionalFormatting>
  <conditionalFormatting sqref="T52">
    <cfRule type="cellIs" dxfId="50" priority="11" operator="lessThan">
      <formula>0</formula>
    </cfRule>
    <cfRule type="cellIs" dxfId="49" priority="12" operator="equal">
      <formula>0</formula>
    </cfRule>
    <cfRule type="cellIs" dxfId="48" priority="13" operator="greaterThan">
      <formula>0</formula>
    </cfRule>
  </conditionalFormatting>
  <conditionalFormatting sqref="P52">
    <cfRule type="cellIs" dxfId="47" priority="20" operator="lessThan">
      <formula>0</formula>
    </cfRule>
    <cfRule type="cellIs" dxfId="46" priority="21" operator="equal">
      <formula>0</formula>
    </cfRule>
    <cfRule type="cellIs" dxfId="45" priority="22" operator="greaterThan">
      <formula>0</formula>
    </cfRule>
  </conditionalFormatting>
  <conditionalFormatting sqref="P65:P66">
    <cfRule type="cellIs" dxfId="44" priority="17" operator="lessThan">
      <formula>0</formula>
    </cfRule>
    <cfRule type="cellIs" dxfId="43" priority="18" operator="equal">
      <formula>0</formula>
    </cfRule>
    <cfRule type="cellIs" dxfId="42" priority="19" operator="greaterThan">
      <formula>0</formula>
    </cfRule>
  </conditionalFormatting>
  <conditionalFormatting sqref="T39">
    <cfRule type="cellIs" dxfId="41" priority="14" operator="lessThan">
      <formula>0</formula>
    </cfRule>
    <cfRule type="cellIs" dxfId="40" priority="15" operator="equal">
      <formula>0</formula>
    </cfRule>
    <cfRule type="cellIs" dxfId="39" priority="16" operator="greaterThan">
      <formula>0</formula>
    </cfRule>
  </conditionalFormatting>
  <conditionalFormatting sqref="T65:T66">
    <cfRule type="cellIs" dxfId="38" priority="8" operator="lessThan">
      <formula>0</formula>
    </cfRule>
    <cfRule type="cellIs" dxfId="37" priority="9" operator="equal">
      <formula>0</formula>
    </cfRule>
    <cfRule type="cellIs" dxfId="36" priority="10" operator="greaterThan">
      <formula>0</formula>
    </cfRule>
  </conditionalFormatting>
  <conditionalFormatting sqref="D30:D5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35" priority="5" bottom="1" rank="4"/>
    <cfRule type="top10" dxfId="34" priority="6" rank="4"/>
  </conditionalFormatting>
  <conditionalFormatting sqref="C11:Z13">
    <cfRule type="top10" dxfId="33" priority="3" bottom="1" rank="4"/>
    <cfRule type="top10" dxfId="32" priority="4" rank="4"/>
  </conditionalFormatting>
  <conditionalFormatting sqref="C18:Z20">
    <cfRule type="top10" dxfId="31" priority="1" bottom="1" rank="4"/>
    <cfRule type="top10" dxfId="30" priority="2" rank="4"/>
  </conditionalFormatting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7649" r:id="rId5" name="btnForm">
          <controlPr defaultSize="0" autoLine="0" r:id="rId6">
            <anchor moveWithCells="1">
              <from>
                <xdr:col>10</xdr:col>
                <xdr:colOff>0</xdr:colOff>
                <xdr:row>50</xdr:row>
                <xdr:rowOff>171450</xdr:rowOff>
              </from>
              <to>
                <xdr:col>11</xdr:col>
                <xdr:colOff>228600</xdr:colOff>
                <xdr:row>53</xdr:row>
                <xdr:rowOff>0</xdr:rowOff>
              </to>
            </anchor>
          </controlPr>
        </control>
      </mc:Choice>
      <mc:Fallback>
        <control shapeId="27649" r:id="rId5" name="btnForm"/>
      </mc:Fallback>
    </mc:AlternateContent>
    <mc:AlternateContent xmlns:mc="http://schemas.openxmlformats.org/markup-compatibility/2006">
      <mc:Choice Requires="x14">
        <control shapeId="27650" r:id="rId7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9525</xdr:rowOff>
              </from>
              <to>
                <xdr:col>7</xdr:col>
                <xdr:colOff>438150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651" r:id="rId8" name="Button 3">
          <controlPr defaultSize="0" print="0" autoFill="0" autoPict="0" macro="[0]!get_impiled_yield">
            <anchor moveWithCells="1" sizeWithCells="1">
              <from>
                <xdr:col>7</xdr:col>
                <xdr:colOff>514350</xdr:colOff>
                <xdr:row>50</xdr:row>
                <xdr:rowOff>171450</xdr:rowOff>
              </from>
              <to>
                <xdr:col>8</xdr:col>
                <xdr:colOff>819150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652" r:id="rId9" name="Button 4">
          <controlPr defaultSize="0" print="0" autoFill="0" autoPict="0" macro="[0]!clear_ws">
            <anchor moveWithCells="1" sizeWithCells="1">
              <from>
                <xdr:col>8</xdr:col>
                <xdr:colOff>923925</xdr:colOff>
                <xdr:row>50</xdr:row>
                <xdr:rowOff>171450</xdr:rowOff>
              </from>
              <to>
                <xdr:col>9</xdr:col>
                <xdr:colOff>1114425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6ED3F-3E59-4F28-B95C-E93057190A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AF30:AF53</xm:sqref>
        </x14:conditionalFormatting>
        <x14:conditionalFormatting xmlns:xm="http://schemas.microsoft.com/office/excel/2006/main">
          <x14:cfRule type="iconSet" priority="31" id="{3EE8CEA4-8A4A-454F-BBBA-72C07511D6E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AB30:AB53</xm:sqref>
        </x14:conditionalFormatting>
        <x14:conditionalFormatting xmlns:xm="http://schemas.microsoft.com/office/excel/2006/main">
          <x14:cfRule type="iconSet" priority="32" id="{25F4F147-55BF-4AB4-8302-97862348D55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Z30:AA53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08596-22CB-47EA-9F30-3A779D264872}">
  <sheetPr codeName="Sheet6"/>
  <dimension ref="A1:AS66"/>
  <sheetViews>
    <sheetView tabSelected="1" topLeftCell="B1" zoomScale="70" zoomScaleNormal="70" workbookViewId="0">
      <selection activeCell="E26" sqref="E26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0" customWidth="1"/>
    <col min="4" max="4" width="13.125" customWidth="1"/>
    <col min="5" max="5" width="14.625" customWidth="1"/>
    <col min="6" max="6" width="12" customWidth="1"/>
    <col min="7" max="7" width="15.625" customWidth="1"/>
    <col min="8" max="8" width="15.375" customWidth="1"/>
    <col min="9" max="9" width="16.875" customWidth="1"/>
    <col min="10" max="10" width="16.5" customWidth="1"/>
    <col min="11" max="11" width="15" customWidth="1"/>
    <col min="12" max="12" width="15.125" customWidth="1"/>
    <col min="13" max="13" width="14.875" customWidth="1"/>
    <col min="14" max="14" width="14.375" customWidth="1"/>
    <col min="15" max="15" width="12.875" customWidth="1"/>
    <col min="16" max="16" width="12.625" customWidth="1"/>
    <col min="17" max="17" width="13" customWidth="1"/>
    <col min="18" max="18" width="13.125" customWidth="1"/>
    <col min="19" max="19" width="13.625" customWidth="1"/>
    <col min="20" max="21" width="12.375" customWidth="1"/>
    <col min="22" max="22" width="11.625" customWidth="1"/>
    <col min="23" max="23" width="12.5" hidden="1" customWidth="1" outlineLevel="1"/>
    <col min="24" max="24" width="10.875" hidden="1" customWidth="1" outlineLevel="1"/>
    <col min="25" max="25" width="10.625" hidden="1" customWidth="1" outlineLevel="1"/>
    <col min="26" max="26" width="11.375" hidden="1" customWidth="1" outlineLevel="1"/>
    <col min="27" max="27" width="11.375" customWidth="1" collapsed="1"/>
    <col min="28" max="28" width="12.125" customWidth="1"/>
    <col min="29" max="29" width="12.375" customWidth="1"/>
    <col min="30" max="30" width="12.5" customWidth="1"/>
    <col min="31" max="31" width="12.375" customWidth="1"/>
    <col min="34" max="34" width="4.5" customWidth="1"/>
    <col min="36" max="36" width="23.87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53" t="str">
        <f xml:space="preserve"> "Auction Dashboard "</f>
        <v xml:space="preserve">Auction Dashboard </v>
      </c>
      <c r="C1" s="53"/>
      <c r="D1" s="54">
        <v>43389</v>
      </c>
      <c r="E1" s="42"/>
    </row>
    <row r="2" spans="2:45" ht="16.149999999999999" customHeight="1" x14ac:dyDescent="0.2">
      <c r="B2" s="75" t="str">
        <f>G30 &amp; " Total Auction Size: " &amp;H30</f>
        <v>CB19117B Total Auction Size: 40000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7"/>
      <c r="AD2" s="49"/>
    </row>
    <row r="3" spans="2:45" x14ac:dyDescent="0.2">
      <c r="B3" s="20" t="s">
        <v>0</v>
      </c>
      <c r="C3" s="21" t="str">
        <f t="array" ref="C3:Z3">TRANSPOSE($AC$30:$AC$53)</f>
        <v>BNP</v>
      </c>
      <c r="D3" s="21" t="str">
        <v>BBL</v>
      </c>
      <c r="E3" s="21" t="str">
        <v>TMB</v>
      </c>
      <c r="F3" s="21" t="str">
        <v>KBANK</v>
      </c>
      <c r="G3" s="21" t="str">
        <v>KTB</v>
      </c>
      <c r="H3" s="21" t="str">
        <v>BAY</v>
      </c>
      <c r="I3" s="21" t="str">
        <v>CIMBT</v>
      </c>
      <c r="J3" s="21" t="str">
        <v>SCBT</v>
      </c>
      <c r="K3" s="21" t="str">
        <v>TBANK</v>
      </c>
      <c r="L3" s="21" t="str">
        <v>TISCOBANK</v>
      </c>
      <c r="M3" s="21" t="str">
        <v>KKP</v>
      </c>
      <c r="N3" s="21" t="str">
        <v>GSB</v>
      </c>
      <c r="O3" s="21" t="str">
        <v>SCB</v>
      </c>
      <c r="P3" s="21" t="str">
        <v>KGI</v>
      </c>
      <c r="Q3" s="21" t="str">
        <v>CITIBANK</v>
      </c>
      <c r="R3" s="21" t="str">
        <v>HSBC</v>
      </c>
      <c r="S3" s="21" t="str">
        <v>BAML</v>
      </c>
      <c r="T3" s="21" t="str">
        <v>JP_MORGAN</v>
      </c>
      <c r="U3" s="21" t="str">
        <v>DEUTSCHE_BAN</v>
      </c>
      <c r="V3" s="21" t="str">
        <v>UOBT</v>
      </c>
      <c r="W3" s="21" t="str">
        <v>CNS</v>
      </c>
      <c r="X3" s="21" t="str">
        <v>ANZT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CB19117B</v>
      </c>
      <c r="AS3" s="4"/>
    </row>
    <row r="4" spans="2:45" x14ac:dyDescent="0.2">
      <c r="B4" s="20" t="s">
        <v>1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0</v>
      </c>
      <c r="AB4" s="18">
        <f>MAX(C4:Z4)</f>
        <v>0</v>
      </c>
      <c r="AC4" s="18">
        <f>IFERROR(AVERAGE(C4:Z4),0)</f>
        <v>0</v>
      </c>
      <c r="AD4" s="49"/>
    </row>
    <row r="5" spans="2:45" x14ac:dyDescent="0.2">
      <c r="B5" s="20" t="s">
        <v>2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0</v>
      </c>
      <c r="AB5" s="18">
        <f>MAX(C5:Z5)</f>
        <v>0</v>
      </c>
      <c r="AC5" s="18">
        <f>IFERROR(AVERAGE(C5:Z5),0)</f>
        <v>0</v>
      </c>
      <c r="AD5" s="49"/>
    </row>
    <row r="6" spans="2:45" x14ac:dyDescent="0.2">
      <c r="B6" s="20" t="s">
        <v>3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0</v>
      </c>
      <c r="AB6" s="18">
        <f>MAX(C6:Z6)</f>
        <v>0</v>
      </c>
      <c r="AC6" s="18">
        <f>IFERROR(AVERAGE(C6:Z6),0)</f>
        <v>0</v>
      </c>
      <c r="AD6" s="49"/>
    </row>
    <row r="7" spans="2:45" x14ac:dyDescent="0.2">
      <c r="B7" s="20" t="s">
        <v>61</v>
      </c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0</v>
      </c>
      <c r="AB7" s="19">
        <f>MAX(AB4:AB6)</f>
        <v>0</v>
      </c>
      <c r="AC7" s="19">
        <f>MAX(AC4:AC6)</f>
        <v>0</v>
      </c>
      <c r="AD7" s="49"/>
      <c r="AF7" s="48"/>
    </row>
    <row r="8" spans="2:45" x14ac:dyDescent="0.2">
      <c r="B8" s="47"/>
      <c r="AD8" s="49"/>
    </row>
    <row r="9" spans="2:45" outlineLevel="1" x14ac:dyDescent="0.2">
      <c r="B9" s="75" t="str">
        <f>G31 &amp; " Total Auction Size: " &amp;H31</f>
        <v>CB19418A Total Auction Size: 40000</v>
      </c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7"/>
      <c r="AD9" s="49"/>
    </row>
    <row r="10" spans="2:45" outlineLevel="1" x14ac:dyDescent="0.2">
      <c r="B10" s="20" t="s">
        <v>0</v>
      </c>
      <c r="C10" s="21" t="str">
        <f t="array" ref="C10:Z10">TRANSPOSE($AC$30:$AC$53)</f>
        <v>BNP</v>
      </c>
      <c r="D10" s="21" t="str">
        <v>BBL</v>
      </c>
      <c r="E10" s="21" t="str">
        <v>TMB</v>
      </c>
      <c r="F10" s="21" t="str">
        <v>KBANK</v>
      </c>
      <c r="G10" s="21" t="str">
        <v>KTB</v>
      </c>
      <c r="H10" s="21" t="str">
        <v>BAY</v>
      </c>
      <c r="I10" s="21" t="str">
        <v>CIMBT</v>
      </c>
      <c r="J10" s="21" t="str">
        <v>SCBT</v>
      </c>
      <c r="K10" s="21" t="str">
        <v>TBANK</v>
      </c>
      <c r="L10" s="21" t="str">
        <v>TISCOBANK</v>
      </c>
      <c r="M10" s="21" t="str">
        <v>KKP</v>
      </c>
      <c r="N10" s="21" t="str">
        <v>GSB</v>
      </c>
      <c r="O10" s="21" t="str">
        <v>SCB</v>
      </c>
      <c r="P10" s="21" t="str">
        <v>KGI</v>
      </c>
      <c r="Q10" s="21" t="str">
        <v>CITIBANK</v>
      </c>
      <c r="R10" s="21" t="str">
        <v>HSBC</v>
      </c>
      <c r="S10" s="21" t="str">
        <v>BAML</v>
      </c>
      <c r="T10" s="21" t="str">
        <v>JP_MORGAN</v>
      </c>
      <c r="U10" s="21" t="str">
        <v>DEUTSCHE_BAN</v>
      </c>
      <c r="V10" s="21" t="str">
        <v>UOBT</v>
      </c>
      <c r="W10" s="21" t="str">
        <v>CNS</v>
      </c>
      <c r="X10" s="21" t="str">
        <v>ANZT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 t="str">
        <f>G31</f>
        <v>CB19418A</v>
      </c>
    </row>
    <row r="11" spans="2:45" outlineLevel="1" x14ac:dyDescent="0.2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 x14ac:dyDescent="0.2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 x14ac:dyDescent="0.2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 x14ac:dyDescent="0.2">
      <c r="B14" s="20" t="s">
        <v>61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 x14ac:dyDescent="0.2">
      <c r="AD15" s="49"/>
    </row>
    <row r="16" spans="2:45" outlineLevel="1" x14ac:dyDescent="0.2">
      <c r="B16" s="75" t="str">
        <f>G32 &amp; " Total Auction Size: " &amp;H32</f>
        <v>CB19905A Total Auction Size: 35000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7"/>
      <c r="AD16" s="49"/>
    </row>
    <row r="17" spans="1:36" outlineLevel="1" x14ac:dyDescent="0.2">
      <c r="B17" s="20" t="s">
        <v>0</v>
      </c>
      <c r="C17" s="21" t="str">
        <f t="array" ref="C17:Z17">TRANSPOSE($AC$30:$AC$53)</f>
        <v>BNP</v>
      </c>
      <c r="D17" s="21" t="str">
        <v>BBL</v>
      </c>
      <c r="E17" s="21" t="str">
        <v>TMB</v>
      </c>
      <c r="F17" s="21" t="str">
        <v>KBANK</v>
      </c>
      <c r="G17" s="21" t="str">
        <v>KTB</v>
      </c>
      <c r="H17" s="21" t="str">
        <v>BAY</v>
      </c>
      <c r="I17" s="21" t="str">
        <v>CIMBT</v>
      </c>
      <c r="J17" s="21" t="str">
        <v>SCBT</v>
      </c>
      <c r="K17" s="21" t="str">
        <v>TBANK</v>
      </c>
      <c r="L17" s="21" t="str">
        <v>TISCOBANK</v>
      </c>
      <c r="M17" s="21" t="str">
        <v>KKP</v>
      </c>
      <c r="N17" s="21" t="str">
        <v>GSB</v>
      </c>
      <c r="O17" s="21" t="str">
        <v>SCB</v>
      </c>
      <c r="P17" s="21" t="str">
        <v>KGI</v>
      </c>
      <c r="Q17" s="21" t="str">
        <v>CITIBANK</v>
      </c>
      <c r="R17" s="21" t="str">
        <v>HSBC</v>
      </c>
      <c r="S17" s="21" t="str">
        <v>BAML</v>
      </c>
      <c r="T17" s="21" t="str">
        <v>JP_MORGAN</v>
      </c>
      <c r="U17" s="21" t="str">
        <v>DEUTSCHE_BAN</v>
      </c>
      <c r="V17" s="21" t="str">
        <v>UOBT</v>
      </c>
      <c r="W17" s="21" t="str">
        <v>CNS</v>
      </c>
      <c r="X17" s="21" t="str">
        <v>ANZT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 t="str">
        <f>G32</f>
        <v>CB19905A</v>
      </c>
    </row>
    <row r="18" spans="1:36" outlineLevel="1" x14ac:dyDescent="0.2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outlineLevel="1" x14ac:dyDescent="0.2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outlineLevel="1" x14ac:dyDescent="0.2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outlineLevel="1" x14ac:dyDescent="0.2">
      <c r="B21" s="20" t="s">
        <v>61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outlineLevel="1" x14ac:dyDescent="0.2"/>
    <row r="23" spans="1:36" outlineLevel="1" x14ac:dyDescent="0.2"/>
    <row r="24" spans="1:36" outlineLevel="1" x14ac:dyDescent="0.2"/>
    <row r="25" spans="1:36" outlineLevel="1" x14ac:dyDescent="0.2"/>
    <row r="26" spans="1:36" outlineLevel="1" x14ac:dyDescent="0.2"/>
    <row r="28" spans="1:36" ht="24.75" customHeight="1" x14ac:dyDescent="0.2">
      <c r="B28" s="25" t="str">
        <f>"Auction Recommend : "</f>
        <v xml:space="preserve">Auction Recommend : </v>
      </c>
      <c r="D28" s="12" t="str">
        <f>G30</f>
        <v>CB19117B</v>
      </c>
      <c r="G28" s="4" t="s">
        <v>20</v>
      </c>
      <c r="P28" s="27" t="str">
        <f>"Auction Excute : " &amp; G30</f>
        <v>Auction Excute : CB19117B</v>
      </c>
      <c r="T28" s="4" t="s">
        <v>18</v>
      </c>
      <c r="X28" s="4" t="s">
        <v>49</v>
      </c>
    </row>
    <row r="29" spans="1:36" x14ac:dyDescent="0.2">
      <c r="A29" s="41">
        <f>MATCH($D$28,$AD$1:$AD$21,0)</f>
        <v>3</v>
      </c>
      <c r="B29" s="20" t="s">
        <v>16</v>
      </c>
      <c r="C29" s="20" t="s">
        <v>0</v>
      </c>
      <c r="D29" s="20" t="s">
        <v>63</v>
      </c>
      <c r="E29" s="20" t="s">
        <v>62</v>
      </c>
      <c r="F29" s="47"/>
      <c r="G29" s="20" t="s">
        <v>24</v>
      </c>
      <c r="H29" s="20" t="s">
        <v>69</v>
      </c>
      <c r="I29" s="20" t="s">
        <v>17</v>
      </c>
      <c r="J29" s="20" t="s">
        <v>21</v>
      </c>
      <c r="K29" s="20" t="s">
        <v>22</v>
      </c>
      <c r="L29" s="20" t="s">
        <v>47</v>
      </c>
      <c r="M29" s="20" t="s">
        <v>48</v>
      </c>
      <c r="N29" s="20" t="s">
        <v>53</v>
      </c>
      <c r="P29" s="20" t="s">
        <v>0</v>
      </c>
      <c r="Q29" s="20" t="s">
        <v>64</v>
      </c>
      <c r="R29" s="20" t="s">
        <v>23</v>
      </c>
      <c r="T29" s="20" t="s">
        <v>0</v>
      </c>
      <c r="U29" s="20" t="s">
        <v>64</v>
      </c>
      <c r="V29" s="20" t="s">
        <v>23</v>
      </c>
      <c r="X29" s="20" t="s">
        <v>4</v>
      </c>
      <c r="Y29" s="20" t="s">
        <v>16</v>
      </c>
      <c r="Z29" s="20" t="s">
        <v>21</v>
      </c>
      <c r="AA29" s="20" t="s">
        <v>22</v>
      </c>
      <c r="AB29" s="20" t="s">
        <v>25</v>
      </c>
      <c r="AC29" s="20" t="s">
        <v>0</v>
      </c>
      <c r="AD29" s="20" t="s">
        <v>19</v>
      </c>
      <c r="AE29" s="20" t="s">
        <v>55</v>
      </c>
      <c r="AF29" s="20" t="s">
        <v>46</v>
      </c>
      <c r="AG29" s="20" t="s">
        <v>30</v>
      </c>
      <c r="AJ29" s="52"/>
    </row>
    <row r="30" spans="1:36" x14ac:dyDescent="0.2">
      <c r="A30">
        <f t="shared" ref="A30:A53" si="0">MATCH(C30,$A$3:$Z$3,0)</f>
        <v>3</v>
      </c>
      <c r="B30" s="58">
        <f t="shared" ref="B30:B53" si="1">INDEX($Y$30:$Y$53,MATCH(C30,$AC$30:$AC$53,0))</f>
        <v>1</v>
      </c>
      <c r="C30" s="1" t="str">
        <f t="shared" ref="C30:C53" si="2">AC30</f>
        <v>BNP</v>
      </c>
      <c r="D30" s="26"/>
      <c r="E30" s="22"/>
      <c r="F30" s="47"/>
      <c r="G30" s="7" t="s">
        <v>124</v>
      </c>
      <c r="H30" s="7">
        <v>40000</v>
      </c>
      <c r="I30" s="51">
        <f>SUM(J30:M30)</f>
        <v>9150</v>
      </c>
      <c r="J30" s="7">
        <v>9150</v>
      </c>
      <c r="K30" s="7"/>
      <c r="L30" s="7"/>
      <c r="M30" s="7"/>
      <c r="N30" s="6"/>
      <c r="P30" s="23"/>
      <c r="Q30" s="69"/>
      <c r="R30" s="69"/>
      <c r="T30" s="2" t="str">
        <f t="shared" ref="T30:T38" si="3">IF(ISBLANK(P30),"",P30)</f>
        <v/>
      </c>
      <c r="U30" s="69"/>
      <c r="V30" s="69"/>
      <c r="X30" s="33">
        <v>1</v>
      </c>
      <c r="Y30" s="5">
        <v>1</v>
      </c>
      <c r="Z30" s="5">
        <v>1</v>
      </c>
      <c r="AA30" s="5">
        <v>1</v>
      </c>
      <c r="AB30" s="5">
        <f t="shared" ref="AB30:AB53" ca="1" si="4">IF(SUM(OFFSET(INDIRECT(ADDRESS($A$29,$A30)),1,0,3)) &gt; 0,1,0)</f>
        <v>0</v>
      </c>
      <c r="AC30" s="17" t="s">
        <v>12</v>
      </c>
      <c r="AD30" s="58">
        <f t="shared" ref="AD30:AD53" si="5">SUMIF($T$30:$T$64,AC30,$U$30:$U$64)</f>
        <v>0</v>
      </c>
      <c r="AE30" s="58">
        <f ca="1">INDIRECT("'"&amp;$A$55&amp;"'!"&amp;ADDRESS(ROW(),COLUMN()))+AD30</f>
        <v>10480</v>
      </c>
      <c r="AF30" s="24">
        <f t="shared" ref="AF30:AF53" ca="1" si="6">IFERROR(AE30/$AE$54,0)</f>
        <v>0.3787906169805183</v>
      </c>
      <c r="AG30" s="14"/>
    </row>
    <row r="31" spans="1:36" x14ac:dyDescent="0.2">
      <c r="A31">
        <f t="shared" si="0"/>
        <v>4</v>
      </c>
      <c r="B31" s="58">
        <f t="shared" si="1"/>
        <v>2</v>
      </c>
      <c r="C31" s="1" t="str">
        <f t="shared" si="2"/>
        <v>BBL</v>
      </c>
      <c r="D31" s="26"/>
      <c r="E31" s="22"/>
      <c r="F31" s="47"/>
      <c r="G31" s="7" t="s">
        <v>125</v>
      </c>
      <c r="H31" s="7">
        <v>40000</v>
      </c>
      <c r="I31" s="51">
        <f t="shared" ref="I31:I32" si="7">SUM(J31:M31)</f>
        <v>0</v>
      </c>
      <c r="J31" s="7"/>
      <c r="K31" s="7"/>
      <c r="L31" s="7"/>
      <c r="M31" s="7"/>
      <c r="N31" s="6"/>
      <c r="P31" s="23"/>
      <c r="Q31" s="69"/>
      <c r="R31" s="69"/>
      <c r="T31" s="2" t="str">
        <f t="shared" si="3"/>
        <v/>
      </c>
      <c r="U31" s="69"/>
      <c r="V31" s="69"/>
      <c r="X31" s="33">
        <v>1</v>
      </c>
      <c r="Y31" s="5">
        <v>2</v>
      </c>
      <c r="Z31" s="5">
        <v>1</v>
      </c>
      <c r="AA31" s="5">
        <v>1</v>
      </c>
      <c r="AB31" s="5">
        <f t="shared" ca="1" si="4"/>
        <v>0</v>
      </c>
      <c r="AC31" s="17" t="s">
        <v>10</v>
      </c>
      <c r="AD31" s="58">
        <f t="shared" si="5"/>
        <v>0</v>
      </c>
      <c r="AE31" s="58">
        <f t="shared" ref="AE31:AE53" ca="1" si="8">INDIRECT("'"&amp;$A$55&amp;"'!"&amp;ADDRESS(ROW(),COLUMN()))+AD31</f>
        <v>11097</v>
      </c>
      <c r="AF31" s="24">
        <f t="shared" ca="1" si="6"/>
        <v>0.40109155311381789</v>
      </c>
      <c r="AG31" s="15"/>
    </row>
    <row r="32" spans="1:36" x14ac:dyDescent="0.2">
      <c r="A32">
        <f t="shared" si="0"/>
        <v>5</v>
      </c>
      <c r="B32" s="58">
        <f t="shared" si="1"/>
        <v>3</v>
      </c>
      <c r="C32" s="1" t="str">
        <f t="shared" si="2"/>
        <v>TMB</v>
      </c>
      <c r="D32" s="26"/>
      <c r="E32" s="22"/>
      <c r="F32" s="47"/>
      <c r="G32" s="7" t="s">
        <v>126</v>
      </c>
      <c r="H32" s="7">
        <v>35000</v>
      </c>
      <c r="I32" s="51">
        <f t="shared" si="7"/>
        <v>0</v>
      </c>
      <c r="J32" s="7"/>
      <c r="K32" s="7"/>
      <c r="L32" s="7"/>
      <c r="M32" s="7"/>
      <c r="N32" s="6"/>
      <c r="P32" s="23"/>
      <c r="Q32" s="69"/>
      <c r="R32" s="69"/>
      <c r="T32" s="2" t="str">
        <f t="shared" si="3"/>
        <v/>
      </c>
      <c r="U32" s="69"/>
      <c r="V32" s="69"/>
      <c r="X32" s="33">
        <v>1</v>
      </c>
      <c r="Y32" s="5">
        <v>3</v>
      </c>
      <c r="Z32" s="5">
        <v>1</v>
      </c>
      <c r="AA32" s="5">
        <v>0</v>
      </c>
      <c r="AB32" s="5">
        <f t="shared" ca="1" si="4"/>
        <v>0</v>
      </c>
      <c r="AC32" s="17" t="s">
        <v>9</v>
      </c>
      <c r="AD32" s="58">
        <f t="shared" si="5"/>
        <v>0</v>
      </c>
      <c r="AE32" s="58">
        <f t="shared" ca="1" si="8"/>
        <v>3090</v>
      </c>
      <c r="AF32" s="16">
        <f t="shared" ca="1" si="6"/>
        <v>0.11168540138070626</v>
      </c>
      <c r="AG32" s="56">
        <f ca="1">IFERROR(SUMIF($X$30:$X$53,$X$32,$AE$30:$AE$53)/$AE$54,0)</f>
        <v>0.89156757147504251</v>
      </c>
    </row>
    <row r="33" spans="1:33" x14ac:dyDescent="0.2">
      <c r="A33">
        <f t="shared" si="0"/>
        <v>6</v>
      </c>
      <c r="B33" s="58">
        <f t="shared" si="1"/>
        <v>4</v>
      </c>
      <c r="C33" s="1" t="str">
        <f t="shared" si="2"/>
        <v>KBANK</v>
      </c>
      <c r="D33" s="26"/>
      <c r="E33" s="22"/>
      <c r="F33" s="47"/>
      <c r="G33" s="34"/>
      <c r="P33" s="23"/>
      <c r="Q33" s="69"/>
      <c r="R33" s="62"/>
      <c r="T33" s="2" t="str">
        <f t="shared" si="3"/>
        <v/>
      </c>
      <c r="U33" s="69"/>
      <c r="V33" s="69"/>
      <c r="X33" s="58">
        <v>2</v>
      </c>
      <c r="Y33" s="5">
        <v>4</v>
      </c>
      <c r="Z33" s="5">
        <v>1</v>
      </c>
      <c r="AA33" s="5">
        <v>0</v>
      </c>
      <c r="AB33" s="5">
        <f t="shared" ca="1" si="4"/>
        <v>0</v>
      </c>
      <c r="AC33" s="17" t="s">
        <v>11</v>
      </c>
      <c r="AD33" s="58">
        <f t="shared" si="5"/>
        <v>0</v>
      </c>
      <c r="AE33" s="58">
        <f t="shared" ca="1" si="8"/>
        <v>2500</v>
      </c>
      <c r="AF33" s="24">
        <f t="shared" ca="1" si="6"/>
        <v>9.0360357104131275E-2</v>
      </c>
      <c r="AG33" s="15"/>
    </row>
    <row r="34" spans="1:33" x14ac:dyDescent="0.2">
      <c r="A34">
        <f t="shared" si="0"/>
        <v>7</v>
      </c>
      <c r="B34" s="58">
        <f t="shared" si="1"/>
        <v>5</v>
      </c>
      <c r="C34" s="1" t="str">
        <f t="shared" si="2"/>
        <v>KTB</v>
      </c>
      <c r="D34" s="26"/>
      <c r="E34" s="22"/>
      <c r="G34" s="35"/>
      <c r="P34" s="23"/>
      <c r="Q34" s="69"/>
      <c r="R34" s="69"/>
      <c r="T34" s="2" t="str">
        <f t="shared" si="3"/>
        <v/>
      </c>
      <c r="U34" s="69"/>
      <c r="V34" s="69"/>
      <c r="X34" s="58">
        <v>2</v>
      </c>
      <c r="Y34" s="5">
        <v>5</v>
      </c>
      <c r="Z34" s="5">
        <v>1</v>
      </c>
      <c r="AA34" s="5">
        <v>0</v>
      </c>
      <c r="AB34" s="5">
        <f t="shared" ca="1" si="4"/>
        <v>0</v>
      </c>
      <c r="AC34" s="17" t="s">
        <v>13</v>
      </c>
      <c r="AD34" s="58">
        <f t="shared" si="5"/>
        <v>0</v>
      </c>
      <c r="AE34" s="58">
        <f t="shared" ca="1" si="8"/>
        <v>0</v>
      </c>
      <c r="AF34" s="24">
        <f t="shared" ca="1" si="6"/>
        <v>0</v>
      </c>
      <c r="AG34" s="15"/>
    </row>
    <row r="35" spans="1:33" x14ac:dyDescent="0.2">
      <c r="A35">
        <f t="shared" si="0"/>
        <v>8</v>
      </c>
      <c r="B35" s="58">
        <f t="shared" si="1"/>
        <v>6</v>
      </c>
      <c r="C35" s="1" t="str">
        <f t="shared" si="2"/>
        <v>BAY</v>
      </c>
      <c r="D35" s="26"/>
      <c r="E35" s="22"/>
      <c r="G35" s="4" t="s">
        <v>54</v>
      </c>
      <c r="P35" s="23"/>
      <c r="Q35" s="69"/>
      <c r="R35" s="69"/>
      <c r="T35" s="2" t="str">
        <f t="shared" si="3"/>
        <v/>
      </c>
      <c r="U35" s="69"/>
      <c r="V35" s="69"/>
      <c r="X35" s="58">
        <v>2</v>
      </c>
      <c r="Y35" s="5">
        <v>6</v>
      </c>
      <c r="Z35" s="5">
        <v>1</v>
      </c>
      <c r="AA35" s="5">
        <v>0</v>
      </c>
      <c r="AB35" s="5">
        <f t="shared" ca="1" si="4"/>
        <v>0</v>
      </c>
      <c r="AC35" s="17" t="s">
        <v>32</v>
      </c>
      <c r="AD35" s="58">
        <f t="shared" si="5"/>
        <v>0</v>
      </c>
      <c r="AE35" s="58">
        <f t="shared" ca="1" si="8"/>
        <v>0</v>
      </c>
      <c r="AF35" s="24">
        <f t="shared" ca="1" si="6"/>
        <v>0</v>
      </c>
      <c r="AG35" s="15"/>
    </row>
    <row r="36" spans="1:33" x14ac:dyDescent="0.2">
      <c r="A36">
        <f t="shared" si="0"/>
        <v>9</v>
      </c>
      <c r="B36" s="58">
        <f t="shared" si="1"/>
        <v>7</v>
      </c>
      <c r="C36" s="1" t="str">
        <f t="shared" si="2"/>
        <v>CIMBT</v>
      </c>
      <c r="D36" s="26"/>
      <c r="E36" s="22"/>
      <c r="G36" s="20" t="s">
        <v>24</v>
      </c>
      <c r="H36" s="20" t="s">
        <v>56</v>
      </c>
      <c r="I36" s="20" t="s">
        <v>50</v>
      </c>
      <c r="J36" s="20" t="s">
        <v>51</v>
      </c>
      <c r="K36" s="20" t="s">
        <v>60</v>
      </c>
      <c r="L36" s="20" t="s">
        <v>57</v>
      </c>
      <c r="M36" s="20" t="s">
        <v>52</v>
      </c>
      <c r="P36" s="23"/>
      <c r="Q36" s="69"/>
      <c r="R36" s="69"/>
      <c r="T36" s="2" t="str">
        <f t="shared" si="3"/>
        <v/>
      </c>
      <c r="U36" s="69"/>
      <c r="V36" s="69"/>
      <c r="X36" s="58">
        <v>2</v>
      </c>
      <c r="Y36" s="5">
        <v>7</v>
      </c>
      <c r="Z36" s="5">
        <v>1</v>
      </c>
      <c r="AA36" s="5">
        <v>0</v>
      </c>
      <c r="AB36" s="5">
        <f t="shared" ca="1" si="4"/>
        <v>0</v>
      </c>
      <c r="AC36" s="17" t="s">
        <v>31</v>
      </c>
      <c r="AD36" s="58">
        <f t="shared" si="5"/>
        <v>0</v>
      </c>
      <c r="AE36" s="58">
        <f t="shared" ca="1" si="8"/>
        <v>0</v>
      </c>
      <c r="AF36" s="24">
        <f t="shared" ca="1" si="6"/>
        <v>0</v>
      </c>
      <c r="AG36" s="15"/>
    </row>
    <row r="37" spans="1:33" ht="16.5" customHeight="1" x14ac:dyDescent="0.2">
      <c r="A37">
        <f t="shared" si="0"/>
        <v>10</v>
      </c>
      <c r="B37" s="58">
        <f t="shared" si="1"/>
        <v>8</v>
      </c>
      <c r="C37" s="1" t="str">
        <f t="shared" si="2"/>
        <v>SCBT</v>
      </c>
      <c r="D37" s="26"/>
      <c r="E37" s="22"/>
      <c r="G37" s="38"/>
      <c r="H37" s="36"/>
      <c r="I37" s="22"/>
      <c r="J37" s="22"/>
      <c r="K37" s="22"/>
      <c r="L37" s="37"/>
      <c r="M37" s="37"/>
      <c r="P37" s="23"/>
      <c r="Q37" s="69"/>
      <c r="R37" s="69"/>
      <c r="T37" s="2" t="str">
        <f t="shared" si="3"/>
        <v/>
      </c>
      <c r="U37" s="69"/>
      <c r="V37" s="69"/>
      <c r="X37" s="58">
        <v>2</v>
      </c>
      <c r="Y37" s="5">
        <v>8</v>
      </c>
      <c r="Z37" s="5">
        <v>1</v>
      </c>
      <c r="AA37" s="5">
        <v>0</v>
      </c>
      <c r="AB37" s="5">
        <f t="shared" ca="1" si="4"/>
        <v>0</v>
      </c>
      <c r="AC37" s="17" t="s">
        <v>35</v>
      </c>
      <c r="AD37" s="58">
        <f t="shared" si="5"/>
        <v>0</v>
      </c>
      <c r="AE37" s="58">
        <f t="shared" ca="1" si="8"/>
        <v>0</v>
      </c>
      <c r="AF37" s="16">
        <f t="shared" ca="1" si="6"/>
        <v>0</v>
      </c>
      <c r="AG37" s="56">
        <f ca="1">IFERROR(SUMIF($X$30:$X$53,$X$37,$AE$30:$AE$53)/$AE$54,0)</f>
        <v>9.0360357104131275E-2</v>
      </c>
    </row>
    <row r="38" spans="1:33" x14ac:dyDescent="0.2">
      <c r="A38">
        <f t="shared" si="0"/>
        <v>11</v>
      </c>
      <c r="B38" s="58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P38" s="23"/>
      <c r="Q38" s="69"/>
      <c r="R38" s="69"/>
      <c r="T38" s="2" t="str">
        <f t="shared" si="3"/>
        <v/>
      </c>
      <c r="U38" s="69"/>
      <c r="V38" s="69"/>
      <c r="X38" s="58">
        <v>3</v>
      </c>
      <c r="Y38" s="5">
        <v>9</v>
      </c>
      <c r="Z38" s="5">
        <v>1</v>
      </c>
      <c r="AA38" s="5">
        <v>0</v>
      </c>
      <c r="AB38" s="5">
        <f t="shared" ca="1" si="4"/>
        <v>0</v>
      </c>
      <c r="AC38" s="17" t="s">
        <v>33</v>
      </c>
      <c r="AD38" s="58">
        <f t="shared" si="5"/>
        <v>0</v>
      </c>
      <c r="AE38" s="58">
        <f t="shared" ca="1" si="8"/>
        <v>0</v>
      </c>
      <c r="AF38" s="24">
        <f t="shared" ca="1" si="6"/>
        <v>0</v>
      </c>
      <c r="AG38" s="15"/>
    </row>
    <row r="39" spans="1:33" ht="15" thickBot="1" x14ac:dyDescent="0.25">
      <c r="A39">
        <f t="shared" si="0"/>
        <v>12</v>
      </c>
      <c r="B39" s="58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O39" s="39" t="s">
        <v>58</v>
      </c>
      <c r="P39" s="40">
        <f>I30-Q39</f>
        <v>9150</v>
      </c>
      <c r="Q39" s="61">
        <f>SUM(Q30:Q38)</f>
        <v>0</v>
      </c>
      <c r="R39" s="55">
        <f>IFERROR(SUMPRODUCT(Q30:Q38,R30:R38)/SUM(Q30:Q38),0)</f>
        <v>0</v>
      </c>
      <c r="S39" s="39" t="s">
        <v>59</v>
      </c>
      <c r="T39" s="40">
        <f>I30-U39</f>
        <v>9150</v>
      </c>
      <c r="U39" s="50">
        <f>SUM(U30:U38)</f>
        <v>0</v>
      </c>
      <c r="V39" s="55">
        <f>IFERROR(SUMPRODUCT(U30:U38,V30:V38)/SUM(U30:U38),0)</f>
        <v>0</v>
      </c>
      <c r="X39" s="58">
        <v>3</v>
      </c>
      <c r="Y39" s="5">
        <v>10</v>
      </c>
      <c r="Z39" s="5">
        <v>1</v>
      </c>
      <c r="AA39" s="5">
        <v>0</v>
      </c>
      <c r="AB39" s="5">
        <f t="shared" ca="1" si="4"/>
        <v>0</v>
      </c>
      <c r="AC39" s="17" t="s">
        <v>34</v>
      </c>
      <c r="AD39" s="58">
        <f t="shared" si="5"/>
        <v>0</v>
      </c>
      <c r="AE39" s="58">
        <f t="shared" ca="1" si="8"/>
        <v>500</v>
      </c>
      <c r="AF39" s="24">
        <f t="shared" ca="1" si="6"/>
        <v>1.8072071420826254E-2</v>
      </c>
      <c r="AG39" s="15"/>
    </row>
    <row r="40" spans="1:33" ht="15" thickTop="1" x14ac:dyDescent="0.2">
      <c r="A40">
        <f t="shared" si="0"/>
        <v>13</v>
      </c>
      <c r="B40" s="58">
        <f t="shared" si="1"/>
        <v>11</v>
      </c>
      <c r="C40" s="1" t="str">
        <f t="shared" si="2"/>
        <v>KKP</v>
      </c>
      <c r="D40" s="26"/>
      <c r="E40" s="22"/>
      <c r="G40" s="38"/>
      <c r="H40" s="36"/>
      <c r="I40" s="22"/>
      <c r="J40" s="22"/>
      <c r="K40" s="22"/>
      <c r="L40" s="37"/>
      <c r="M40" s="37"/>
      <c r="X40" s="58">
        <v>3</v>
      </c>
      <c r="Y40" s="5">
        <v>11</v>
      </c>
      <c r="Z40" s="5">
        <v>1</v>
      </c>
      <c r="AA40" s="5">
        <v>0</v>
      </c>
      <c r="AB40" s="5">
        <f t="shared" ca="1" si="4"/>
        <v>0</v>
      </c>
      <c r="AC40" s="17" t="s">
        <v>37</v>
      </c>
      <c r="AD40" s="58">
        <f t="shared" si="5"/>
        <v>0</v>
      </c>
      <c r="AE40" s="58">
        <f t="shared" ca="1" si="8"/>
        <v>0</v>
      </c>
      <c r="AF40" s="24">
        <f t="shared" ca="1" si="6"/>
        <v>0</v>
      </c>
      <c r="AG40" s="15"/>
    </row>
    <row r="41" spans="1:33" x14ac:dyDescent="0.2">
      <c r="A41">
        <f t="shared" si="0"/>
        <v>14</v>
      </c>
      <c r="B41" s="58">
        <f t="shared" si="1"/>
        <v>12</v>
      </c>
      <c r="C41" s="1" t="str">
        <f t="shared" si="2"/>
        <v>GSB</v>
      </c>
      <c r="D41" s="26"/>
      <c r="E41" s="22"/>
      <c r="G41" s="38" t="s">
        <v>96</v>
      </c>
      <c r="H41" s="36">
        <v>43383</v>
      </c>
      <c r="I41" s="22">
        <v>1.1599999999999999</v>
      </c>
      <c r="J41" s="22">
        <v>1.1599999999999999</v>
      </c>
      <c r="K41" s="22">
        <v>1.1599999999999999</v>
      </c>
      <c r="L41" s="37">
        <v>3.8338999999999998E-2</v>
      </c>
      <c r="M41" s="37">
        <v>2.9399999999999999E-3</v>
      </c>
      <c r="P41" s="28" t="str">
        <f>"Auction Excute : " &amp;G31</f>
        <v>Auction Excute : CB19418A</v>
      </c>
      <c r="T41" s="4" t="s">
        <v>18</v>
      </c>
      <c r="X41" s="58">
        <v>3</v>
      </c>
      <c r="Y41" s="5">
        <v>12</v>
      </c>
      <c r="Z41" s="5">
        <v>1</v>
      </c>
      <c r="AA41" s="5">
        <v>0</v>
      </c>
      <c r="AB41" s="5">
        <f t="shared" ca="1" si="4"/>
        <v>0</v>
      </c>
      <c r="AC41" s="17" t="s">
        <v>14</v>
      </c>
      <c r="AD41" s="58">
        <f t="shared" si="5"/>
        <v>0</v>
      </c>
      <c r="AE41" s="58">
        <f t="shared" ca="1" si="8"/>
        <v>0</v>
      </c>
      <c r="AF41" s="24">
        <f t="shared" ca="1" si="6"/>
        <v>0</v>
      </c>
      <c r="AG41" s="15"/>
    </row>
    <row r="42" spans="1:33" x14ac:dyDescent="0.2">
      <c r="A42">
        <f t="shared" si="0"/>
        <v>15</v>
      </c>
      <c r="B42" s="58">
        <f t="shared" si="1"/>
        <v>13</v>
      </c>
      <c r="C42" s="1" t="str">
        <f t="shared" si="2"/>
        <v>SCB</v>
      </c>
      <c r="D42" s="26"/>
      <c r="E42" s="22"/>
      <c r="G42" s="38" t="s">
        <v>97</v>
      </c>
      <c r="H42" s="36">
        <v>43383</v>
      </c>
      <c r="I42" s="22">
        <v>1.18</v>
      </c>
      <c r="J42" s="22">
        <v>1.18</v>
      </c>
      <c r="K42" s="22">
        <v>1.18</v>
      </c>
      <c r="L42" s="37">
        <v>3.8338999999999998E-2</v>
      </c>
      <c r="M42" s="37">
        <v>2.9399999999999999E-3</v>
      </c>
      <c r="P42" s="20" t="s">
        <v>0</v>
      </c>
      <c r="Q42" s="20" t="s">
        <v>64</v>
      </c>
      <c r="R42" s="20" t="s">
        <v>23</v>
      </c>
      <c r="T42" s="20" t="s">
        <v>0</v>
      </c>
      <c r="U42" s="20" t="s">
        <v>64</v>
      </c>
      <c r="V42" s="20" t="s">
        <v>23</v>
      </c>
      <c r="X42" s="58">
        <v>3</v>
      </c>
      <c r="Y42" s="5">
        <v>13</v>
      </c>
      <c r="Z42" s="5">
        <v>1</v>
      </c>
      <c r="AA42" s="5">
        <v>0</v>
      </c>
      <c r="AB42" s="5">
        <f t="shared" ca="1" si="4"/>
        <v>0</v>
      </c>
      <c r="AC42" s="17" t="s">
        <v>8</v>
      </c>
      <c r="AD42" s="58">
        <f t="shared" si="5"/>
        <v>0</v>
      </c>
      <c r="AE42" s="58">
        <f t="shared" ca="1" si="8"/>
        <v>0</v>
      </c>
      <c r="AF42" s="24">
        <f t="shared" ca="1" si="6"/>
        <v>0</v>
      </c>
      <c r="AG42" s="15"/>
    </row>
    <row r="43" spans="1:33" x14ac:dyDescent="0.2">
      <c r="A43">
        <f t="shared" si="0"/>
        <v>16</v>
      </c>
      <c r="B43" s="58">
        <f t="shared" si="1"/>
        <v>14</v>
      </c>
      <c r="C43" s="1" t="str">
        <f t="shared" si="2"/>
        <v>KGI</v>
      </c>
      <c r="D43" s="26"/>
      <c r="E43" s="22"/>
      <c r="G43" s="38"/>
      <c r="H43" s="36"/>
      <c r="I43" s="22"/>
      <c r="J43" s="22"/>
      <c r="K43" s="22"/>
      <c r="L43" s="37"/>
      <c r="M43" s="37"/>
      <c r="P43" s="23"/>
      <c r="Q43" s="69"/>
      <c r="R43" s="69"/>
      <c r="T43" s="2" t="str">
        <f>IF(ISBLANK(P43),"",P43)</f>
        <v/>
      </c>
      <c r="U43" s="69"/>
      <c r="V43" s="69"/>
      <c r="X43" s="58">
        <v>3</v>
      </c>
      <c r="Y43" s="5">
        <v>14</v>
      </c>
      <c r="Z43" s="5">
        <v>1</v>
      </c>
      <c r="AA43" s="5">
        <v>0</v>
      </c>
      <c r="AB43" s="5">
        <f t="shared" ca="1" si="4"/>
        <v>0</v>
      </c>
      <c r="AC43" s="17" t="s">
        <v>39</v>
      </c>
      <c r="AD43" s="58">
        <f t="shared" si="5"/>
        <v>0</v>
      </c>
      <c r="AE43" s="58">
        <f t="shared" ca="1" si="8"/>
        <v>0</v>
      </c>
      <c r="AF43" s="24">
        <f t="shared" ca="1" si="6"/>
        <v>0</v>
      </c>
      <c r="AG43" s="15"/>
    </row>
    <row r="44" spans="1:33" x14ac:dyDescent="0.2">
      <c r="A44">
        <f t="shared" si="0"/>
        <v>17</v>
      </c>
      <c r="B44" s="58">
        <f t="shared" si="1"/>
        <v>15</v>
      </c>
      <c r="C44" s="1" t="str">
        <f t="shared" si="2"/>
        <v>CITIBANK</v>
      </c>
      <c r="D44" s="26"/>
      <c r="E44" s="22"/>
      <c r="G44" s="38"/>
      <c r="H44" s="36"/>
      <c r="I44" s="22"/>
      <c r="J44" s="22"/>
      <c r="K44" s="22"/>
      <c r="L44" s="37"/>
      <c r="M44" s="37"/>
      <c r="P44" s="23"/>
      <c r="Q44" s="69"/>
      <c r="R44" s="69"/>
      <c r="T44" s="2" t="str">
        <f t="shared" ref="T44:T51" si="9">IF(ISBLANK(P44),"",P44)</f>
        <v/>
      </c>
      <c r="U44" s="69"/>
      <c r="V44" s="69"/>
      <c r="X44" s="58">
        <v>3</v>
      </c>
      <c r="Y44" s="5">
        <v>15</v>
      </c>
      <c r="Z44" s="5">
        <v>1</v>
      </c>
      <c r="AA44" s="5">
        <v>0</v>
      </c>
      <c r="AB44" s="5">
        <f t="shared" ca="1" si="4"/>
        <v>0</v>
      </c>
      <c r="AC44" s="17" t="s">
        <v>36</v>
      </c>
      <c r="AD44" s="58">
        <f t="shared" si="5"/>
        <v>0</v>
      </c>
      <c r="AE44" s="58">
        <f t="shared" ca="1" si="8"/>
        <v>0</v>
      </c>
      <c r="AF44" s="24">
        <f t="shared" ca="1" si="6"/>
        <v>0</v>
      </c>
      <c r="AG44" s="15"/>
    </row>
    <row r="45" spans="1:33" x14ac:dyDescent="0.2">
      <c r="A45">
        <f t="shared" si="0"/>
        <v>18</v>
      </c>
      <c r="B45" s="58">
        <f t="shared" si="1"/>
        <v>16</v>
      </c>
      <c r="C45" s="1" t="str">
        <f t="shared" si="2"/>
        <v>HSBC</v>
      </c>
      <c r="D45" s="26"/>
      <c r="E45" s="22"/>
      <c r="G45" s="38"/>
      <c r="H45" s="36"/>
      <c r="I45" s="22"/>
      <c r="J45" s="22"/>
      <c r="K45" s="22"/>
      <c r="L45" s="37"/>
      <c r="M45" s="37"/>
      <c r="P45" s="23"/>
      <c r="Q45" s="69"/>
      <c r="R45" s="69"/>
      <c r="T45" s="2" t="str">
        <f t="shared" si="9"/>
        <v/>
      </c>
      <c r="U45" s="69"/>
      <c r="V45" s="69"/>
      <c r="X45" s="58">
        <v>3</v>
      </c>
      <c r="Y45" s="5">
        <v>16</v>
      </c>
      <c r="Z45" s="5">
        <v>1</v>
      </c>
      <c r="AA45" s="5">
        <v>0</v>
      </c>
      <c r="AB45" s="5">
        <f t="shared" ca="1" si="4"/>
        <v>0</v>
      </c>
      <c r="AC45" s="17" t="s">
        <v>15</v>
      </c>
      <c r="AD45" s="58">
        <f t="shared" si="5"/>
        <v>0</v>
      </c>
      <c r="AE45" s="58">
        <f t="shared" ca="1" si="8"/>
        <v>0</v>
      </c>
      <c r="AF45" s="24">
        <f t="shared" ca="1" si="6"/>
        <v>0</v>
      </c>
      <c r="AG45" s="15"/>
    </row>
    <row r="46" spans="1:33" x14ac:dyDescent="0.2">
      <c r="A46">
        <f t="shared" si="0"/>
        <v>19</v>
      </c>
      <c r="B46" s="58">
        <f t="shared" si="1"/>
        <v>17</v>
      </c>
      <c r="C46" s="1" t="str">
        <f t="shared" si="2"/>
        <v>BAML</v>
      </c>
      <c r="D46" s="26"/>
      <c r="E46" s="22"/>
      <c r="G46" s="38"/>
      <c r="H46" s="36"/>
      <c r="I46" s="22"/>
      <c r="J46" s="22"/>
      <c r="K46" s="22"/>
      <c r="L46" s="37"/>
      <c r="M46" s="37"/>
      <c r="P46" s="23"/>
      <c r="Q46" s="69"/>
      <c r="R46" s="69"/>
      <c r="T46" s="2" t="str">
        <f t="shared" si="9"/>
        <v/>
      </c>
      <c r="U46" s="69"/>
      <c r="V46" s="69"/>
      <c r="X46" s="58">
        <v>3</v>
      </c>
      <c r="Y46" s="5">
        <v>17</v>
      </c>
      <c r="Z46" s="5">
        <v>1</v>
      </c>
      <c r="AA46" s="5">
        <v>0</v>
      </c>
      <c r="AB46" s="5">
        <f t="shared" ca="1" si="4"/>
        <v>0</v>
      </c>
      <c r="AC46" s="17" t="s">
        <v>40</v>
      </c>
      <c r="AD46" s="58">
        <f t="shared" si="5"/>
        <v>0</v>
      </c>
      <c r="AE46" s="58">
        <f t="shared" ca="1" si="8"/>
        <v>0</v>
      </c>
      <c r="AF46" s="24">
        <f t="shared" ca="1" si="6"/>
        <v>0</v>
      </c>
      <c r="AG46" s="15"/>
    </row>
    <row r="47" spans="1:33" x14ac:dyDescent="0.2">
      <c r="A47">
        <f t="shared" si="0"/>
        <v>20</v>
      </c>
      <c r="B47" s="58">
        <f t="shared" si="1"/>
        <v>18</v>
      </c>
      <c r="C47" s="1" t="str">
        <f t="shared" si="2"/>
        <v>JP_MORGAN</v>
      </c>
      <c r="D47" s="26"/>
      <c r="E47" s="22"/>
      <c r="G47" s="38"/>
      <c r="H47" s="36"/>
      <c r="I47" s="22"/>
      <c r="J47" s="22"/>
      <c r="K47" s="22"/>
      <c r="L47" s="37"/>
      <c r="M47" s="37"/>
      <c r="P47" s="23"/>
      <c r="Q47" s="69"/>
      <c r="R47" s="69"/>
      <c r="T47" s="2" t="str">
        <f t="shared" si="9"/>
        <v/>
      </c>
      <c r="U47" s="69"/>
      <c r="V47" s="69"/>
      <c r="X47" s="58">
        <v>3</v>
      </c>
      <c r="Y47" s="5">
        <v>18</v>
      </c>
      <c r="Z47" s="5">
        <v>1</v>
      </c>
      <c r="AA47" s="5">
        <v>0</v>
      </c>
      <c r="AB47" s="5">
        <f t="shared" ca="1" si="4"/>
        <v>0</v>
      </c>
      <c r="AC47" s="17" t="s">
        <v>41</v>
      </c>
      <c r="AD47" s="58">
        <f t="shared" si="5"/>
        <v>0</v>
      </c>
      <c r="AE47" s="58">
        <f t="shared" ca="1" si="8"/>
        <v>0</v>
      </c>
      <c r="AF47" s="24">
        <f t="shared" ca="1" si="6"/>
        <v>0</v>
      </c>
      <c r="AG47" s="15"/>
    </row>
    <row r="48" spans="1:33" x14ac:dyDescent="0.2">
      <c r="A48">
        <f t="shared" si="0"/>
        <v>21</v>
      </c>
      <c r="B48" s="58">
        <f t="shared" si="1"/>
        <v>19</v>
      </c>
      <c r="C48" s="1" t="str">
        <f t="shared" si="2"/>
        <v>DEUTSCHE_BAN</v>
      </c>
      <c r="D48" s="26"/>
      <c r="E48" s="22"/>
      <c r="G48" s="38"/>
      <c r="H48" s="36"/>
      <c r="I48" s="22"/>
      <c r="J48" s="22"/>
      <c r="K48" s="22"/>
      <c r="L48" s="37"/>
      <c r="M48" s="37"/>
      <c r="P48" s="23"/>
      <c r="Q48" s="69"/>
      <c r="R48" s="69"/>
      <c r="T48" s="2" t="str">
        <f t="shared" si="9"/>
        <v/>
      </c>
      <c r="U48" s="69"/>
      <c r="V48" s="69"/>
      <c r="X48" s="58">
        <v>3</v>
      </c>
      <c r="Y48" s="5">
        <v>19</v>
      </c>
      <c r="Z48" s="5">
        <v>1</v>
      </c>
      <c r="AA48" s="5">
        <v>0</v>
      </c>
      <c r="AB48" s="5">
        <f t="shared" ca="1" si="4"/>
        <v>0</v>
      </c>
      <c r="AC48" s="17" t="s">
        <v>68</v>
      </c>
      <c r="AD48" s="58">
        <f t="shared" si="5"/>
        <v>0</v>
      </c>
      <c r="AE48" s="58">
        <f t="shared" ca="1" si="8"/>
        <v>0</v>
      </c>
      <c r="AF48" s="24">
        <f t="shared" ca="1" si="6"/>
        <v>0</v>
      </c>
      <c r="AG48" s="15"/>
    </row>
    <row r="49" spans="1:33" x14ac:dyDescent="0.2">
      <c r="A49">
        <f t="shared" si="0"/>
        <v>22</v>
      </c>
      <c r="B49" s="58">
        <f t="shared" si="1"/>
        <v>20</v>
      </c>
      <c r="C49" s="1" t="str">
        <f t="shared" si="2"/>
        <v>UOBT</v>
      </c>
      <c r="D49" s="26"/>
      <c r="E49" s="22"/>
      <c r="G49" s="38"/>
      <c r="H49" s="36"/>
      <c r="I49" s="22"/>
      <c r="J49" s="22"/>
      <c r="K49" s="22"/>
      <c r="L49" s="37"/>
      <c r="M49" s="37"/>
      <c r="P49" s="23"/>
      <c r="Q49" s="69"/>
      <c r="R49" s="69"/>
      <c r="T49" s="2" t="str">
        <f t="shared" si="9"/>
        <v/>
      </c>
      <c r="U49" s="69"/>
      <c r="V49" s="69"/>
      <c r="X49" s="58">
        <v>3</v>
      </c>
      <c r="Y49" s="5">
        <v>20</v>
      </c>
      <c r="Z49" s="5">
        <v>1</v>
      </c>
      <c r="AA49" s="5">
        <v>0</v>
      </c>
      <c r="AB49" s="5">
        <f t="shared" ca="1" si="4"/>
        <v>0</v>
      </c>
      <c r="AC49" s="17" t="s">
        <v>38</v>
      </c>
      <c r="AD49" s="58">
        <f t="shared" si="5"/>
        <v>0</v>
      </c>
      <c r="AE49" s="58">
        <f t="shared" ca="1" si="8"/>
        <v>0</v>
      </c>
      <c r="AF49" s="24">
        <f t="shared" ca="1" si="6"/>
        <v>0</v>
      </c>
      <c r="AG49" s="15"/>
    </row>
    <row r="50" spans="1:33" x14ac:dyDescent="0.2">
      <c r="A50">
        <f t="shared" si="0"/>
        <v>23</v>
      </c>
      <c r="B50" s="58">
        <f t="shared" si="1"/>
        <v>21</v>
      </c>
      <c r="C50" s="1" t="str">
        <f t="shared" si="2"/>
        <v>CNS</v>
      </c>
      <c r="D50" s="26"/>
      <c r="E50" s="22"/>
      <c r="G50" s="38"/>
      <c r="H50" s="36"/>
      <c r="I50" s="22"/>
      <c r="J50" s="22"/>
      <c r="K50" s="22"/>
      <c r="L50" s="37"/>
      <c r="M50" s="37"/>
      <c r="P50" s="23"/>
      <c r="Q50" s="69"/>
      <c r="R50" s="69"/>
      <c r="T50" s="2" t="str">
        <f t="shared" si="9"/>
        <v/>
      </c>
      <c r="U50" s="69"/>
      <c r="V50" s="69"/>
      <c r="X50" s="58">
        <v>3</v>
      </c>
      <c r="Y50" s="5">
        <v>21</v>
      </c>
      <c r="Z50" s="5">
        <v>1</v>
      </c>
      <c r="AA50" s="5">
        <v>0</v>
      </c>
      <c r="AB50" s="5">
        <f t="shared" ca="1" si="4"/>
        <v>0</v>
      </c>
      <c r="AC50" s="17" t="s">
        <v>43</v>
      </c>
      <c r="AD50" s="58">
        <f t="shared" si="5"/>
        <v>0</v>
      </c>
      <c r="AE50" s="58">
        <f t="shared" ca="1" si="8"/>
        <v>0</v>
      </c>
      <c r="AF50" s="24">
        <f t="shared" ca="1" si="6"/>
        <v>0</v>
      </c>
      <c r="AG50" s="15"/>
    </row>
    <row r="51" spans="1:33" x14ac:dyDescent="0.2">
      <c r="A51">
        <f t="shared" si="0"/>
        <v>24</v>
      </c>
      <c r="B51" s="58">
        <f t="shared" si="1"/>
        <v>22</v>
      </c>
      <c r="C51" s="1" t="str">
        <f t="shared" si="2"/>
        <v>ANZT</v>
      </c>
      <c r="D51" s="26"/>
      <c r="E51" s="22"/>
      <c r="P51" s="23"/>
      <c r="Q51" s="69"/>
      <c r="R51" s="69"/>
      <c r="T51" s="2" t="str">
        <f t="shared" si="9"/>
        <v/>
      </c>
      <c r="U51" s="69"/>
      <c r="V51" s="69"/>
      <c r="X51" s="58">
        <v>3</v>
      </c>
      <c r="Y51" s="5">
        <v>22</v>
      </c>
      <c r="Z51" s="5">
        <v>1</v>
      </c>
      <c r="AA51" s="5">
        <v>0</v>
      </c>
      <c r="AB51" s="5">
        <f t="shared" ca="1" si="4"/>
        <v>0</v>
      </c>
      <c r="AC51" s="17" t="s">
        <v>42</v>
      </c>
      <c r="AD51" s="58">
        <f t="shared" si="5"/>
        <v>0</v>
      </c>
      <c r="AE51" s="58">
        <f t="shared" ca="1" si="8"/>
        <v>0</v>
      </c>
      <c r="AF51" s="24">
        <f t="shared" ca="1" si="6"/>
        <v>0</v>
      </c>
      <c r="AG51" s="15"/>
    </row>
    <row r="52" spans="1:33" ht="15" thickBot="1" x14ac:dyDescent="0.25">
      <c r="A52">
        <f t="shared" si="0"/>
        <v>25</v>
      </c>
      <c r="B52" s="58">
        <f t="shared" si="1"/>
        <v>23</v>
      </c>
      <c r="C52" s="1" t="str">
        <f t="shared" si="2"/>
        <v>PHATRA</v>
      </c>
      <c r="D52" s="26"/>
      <c r="E52" s="22"/>
      <c r="O52" s="39" t="s">
        <v>58</v>
      </c>
      <c r="P52" s="40">
        <f>I31-Q52</f>
        <v>0</v>
      </c>
      <c r="Q52" s="50">
        <f>SUM(Q43:Q51)</f>
        <v>0</v>
      </c>
      <c r="R52" s="55">
        <f>IFERROR(SUMPRODUCT(Q43:Q51,R43:R51)/SUM(Q43:Q51),0)</f>
        <v>0</v>
      </c>
      <c r="S52" s="39" t="s">
        <v>59</v>
      </c>
      <c r="T52" s="40">
        <f>I31-U52</f>
        <v>0</v>
      </c>
      <c r="U52" s="50">
        <f>SUM(U43:U51)</f>
        <v>0</v>
      </c>
      <c r="V52" s="55">
        <f>IFERROR(SUMPRODUCT(U43:U51,V43:V51)/SUM(U43:U51),0)</f>
        <v>0</v>
      </c>
      <c r="X52" s="58">
        <v>3</v>
      </c>
      <c r="Y52" s="5">
        <v>23</v>
      </c>
      <c r="Z52" s="5">
        <v>1</v>
      </c>
      <c r="AA52" s="5">
        <v>0</v>
      </c>
      <c r="AB52" s="5">
        <f t="shared" ca="1" si="4"/>
        <v>0</v>
      </c>
      <c r="AC52" s="17" t="s">
        <v>44</v>
      </c>
      <c r="AD52" s="58">
        <f t="shared" si="5"/>
        <v>0</v>
      </c>
      <c r="AE52" s="58">
        <f t="shared" ca="1" si="8"/>
        <v>0</v>
      </c>
      <c r="AF52" s="24">
        <f t="shared" ca="1" si="6"/>
        <v>0</v>
      </c>
      <c r="AG52" s="15"/>
    </row>
    <row r="53" spans="1:33" ht="15" thickTop="1" x14ac:dyDescent="0.2">
      <c r="A53">
        <f t="shared" si="0"/>
        <v>26</v>
      </c>
      <c r="B53" s="58">
        <f t="shared" si="1"/>
        <v>24</v>
      </c>
      <c r="C53" s="1" t="str">
        <f t="shared" si="2"/>
        <v>MBKET</v>
      </c>
      <c r="D53" s="26"/>
      <c r="E53" s="22"/>
      <c r="X53" s="58">
        <v>3</v>
      </c>
      <c r="Y53" s="5">
        <v>24</v>
      </c>
      <c r="Z53" s="5">
        <v>1</v>
      </c>
      <c r="AA53" s="5">
        <v>0</v>
      </c>
      <c r="AB53" s="5">
        <f t="shared" ca="1" si="4"/>
        <v>0</v>
      </c>
      <c r="AC53" s="17" t="s">
        <v>45</v>
      </c>
      <c r="AD53" s="58">
        <f t="shared" si="5"/>
        <v>0</v>
      </c>
      <c r="AE53" s="58">
        <f t="shared" ca="1" si="8"/>
        <v>0</v>
      </c>
      <c r="AF53" s="16">
        <f t="shared" ca="1" si="6"/>
        <v>0</v>
      </c>
      <c r="AG53" s="56">
        <f ca="1">IFERROR(SUMIF($X$30:$X$53,$X$53,$AE$30:$AE$53)/$AE$54,0)</f>
        <v>1.8072071420826254E-2</v>
      </c>
    </row>
    <row r="54" spans="1:33" ht="15" thickBot="1" x14ac:dyDescent="0.25">
      <c r="D54" s="61">
        <f>SUM(D30:D53)</f>
        <v>0</v>
      </c>
      <c r="E54" s="45">
        <f>IFERROR(SUMPRODUCT(D30:D33,E30:E33)/SUM(D30:D33),0)</f>
        <v>0</v>
      </c>
      <c r="F54" s="48"/>
      <c r="P54" s="29" t="str">
        <f>"Auction Excute : " &amp;G32</f>
        <v>Auction Excute : CB19905A</v>
      </c>
      <c r="T54" s="4" t="s">
        <v>18</v>
      </c>
      <c r="AC54" s="20" t="s">
        <v>17</v>
      </c>
      <c r="AD54" s="44">
        <f>SUM(AD30:AD53)</f>
        <v>0</v>
      </c>
      <c r="AE54" s="44">
        <f ca="1">SUM(AE30:AE53)</f>
        <v>27667</v>
      </c>
    </row>
    <row r="55" spans="1:33" ht="15" thickTop="1" x14ac:dyDescent="0.2">
      <c r="A55" s="43" t="s">
        <v>123</v>
      </c>
      <c r="G55" s="4" t="s">
        <v>65</v>
      </c>
      <c r="P55" s="20" t="s">
        <v>0</v>
      </c>
      <c r="Q55" s="20" t="s">
        <v>64</v>
      </c>
      <c r="R55" s="20" t="s">
        <v>23</v>
      </c>
      <c r="T55" s="20" t="s">
        <v>0</v>
      </c>
      <c r="U55" s="20" t="s">
        <v>64</v>
      </c>
      <c r="V55" s="20" t="s">
        <v>23</v>
      </c>
    </row>
    <row r="56" spans="1:33" x14ac:dyDescent="0.2">
      <c r="B56" s="4" t="s">
        <v>26</v>
      </c>
      <c r="G56" s="20" t="s">
        <v>24</v>
      </c>
      <c r="H56" s="78" t="s">
        <v>66</v>
      </c>
      <c r="I56" s="79"/>
      <c r="J56" s="79"/>
      <c r="K56" s="80"/>
      <c r="P56" s="23"/>
      <c r="Q56" s="69"/>
      <c r="R56" s="69"/>
      <c r="T56" s="2" t="str">
        <f>IF(ISBLANK(P56),"",P56)</f>
        <v/>
      </c>
      <c r="U56" s="69"/>
      <c r="V56" s="69"/>
    </row>
    <row r="57" spans="1:33" ht="15" customHeight="1" x14ac:dyDescent="0.2">
      <c r="B57" t="s">
        <v>27</v>
      </c>
      <c r="C57" s="8">
        <v>1</v>
      </c>
      <c r="G57" s="30" t="str">
        <f>G30</f>
        <v>CB19117B</v>
      </c>
      <c r="H57" s="70"/>
      <c r="I57" s="67"/>
      <c r="J57" s="67"/>
      <c r="K57" s="68"/>
      <c r="P57" s="23"/>
      <c r="Q57" s="69"/>
      <c r="R57" s="69"/>
      <c r="T57" s="2" t="str">
        <f t="shared" ref="T57:T64" si="10">IF(ISBLANK(P57),"",P57)</f>
        <v/>
      </c>
      <c r="U57" s="69"/>
      <c r="V57" s="69"/>
    </row>
    <row r="58" spans="1:33" x14ac:dyDescent="0.2">
      <c r="B58" t="s">
        <v>28</v>
      </c>
      <c r="C58" s="8">
        <v>0.4</v>
      </c>
      <c r="G58" s="31" t="str">
        <f>G31</f>
        <v>CB19418A</v>
      </c>
      <c r="H58" s="66"/>
      <c r="I58" s="67"/>
      <c r="J58" s="67"/>
      <c r="K58" s="68"/>
      <c r="P58" s="23"/>
      <c r="Q58" s="69"/>
      <c r="R58" s="69"/>
      <c r="T58" s="2" t="str">
        <f t="shared" si="10"/>
        <v/>
      </c>
      <c r="U58" s="69"/>
      <c r="V58" s="69"/>
    </row>
    <row r="59" spans="1:33" x14ac:dyDescent="0.2">
      <c r="B59" t="s">
        <v>29</v>
      </c>
      <c r="C59" s="8">
        <v>0.1</v>
      </c>
      <c r="G59" s="32" t="str">
        <f>G32</f>
        <v>CB19905A</v>
      </c>
      <c r="H59" s="63"/>
      <c r="I59" s="64"/>
      <c r="J59" s="64"/>
      <c r="K59" s="65"/>
      <c r="P59" s="23"/>
      <c r="Q59" s="69"/>
      <c r="R59" s="69"/>
      <c r="T59" s="2" t="str">
        <f t="shared" si="10"/>
        <v/>
      </c>
      <c r="U59" s="69"/>
      <c r="V59" s="69"/>
    </row>
    <row r="60" spans="1:33" x14ac:dyDescent="0.2">
      <c r="P60" s="23"/>
      <c r="Q60" s="69"/>
      <c r="R60" s="69"/>
      <c r="T60" s="2" t="str">
        <f t="shared" si="10"/>
        <v/>
      </c>
      <c r="U60" s="69"/>
      <c r="V60" s="69"/>
    </row>
    <row r="61" spans="1:33" x14ac:dyDescent="0.2">
      <c r="P61" s="23"/>
      <c r="Q61" s="69"/>
      <c r="R61" s="69"/>
      <c r="T61" s="2" t="str">
        <f t="shared" si="10"/>
        <v/>
      </c>
      <c r="U61" s="69"/>
      <c r="V61" s="69"/>
    </row>
    <row r="62" spans="1:33" x14ac:dyDescent="0.2">
      <c r="P62" s="23"/>
      <c r="Q62" s="69"/>
      <c r="R62" s="69"/>
      <c r="T62" s="2" t="str">
        <f t="shared" si="10"/>
        <v/>
      </c>
      <c r="U62" s="69"/>
      <c r="V62" s="69"/>
    </row>
    <row r="63" spans="1:33" x14ac:dyDescent="0.2">
      <c r="P63" s="23"/>
      <c r="Q63" s="69"/>
      <c r="R63" s="69"/>
      <c r="T63" s="2" t="str">
        <f t="shared" si="10"/>
        <v/>
      </c>
      <c r="U63" s="69"/>
      <c r="V63" s="69"/>
    </row>
    <row r="64" spans="1:33" x14ac:dyDescent="0.2">
      <c r="P64" s="23"/>
      <c r="Q64" s="69"/>
      <c r="R64" s="69"/>
      <c r="T64" s="2" t="str">
        <f t="shared" si="10"/>
        <v/>
      </c>
      <c r="U64" s="69"/>
      <c r="V64" s="69"/>
    </row>
    <row r="65" spans="15:22" ht="15" thickBot="1" x14ac:dyDescent="0.25">
      <c r="O65" s="39" t="s">
        <v>58</v>
      </c>
      <c r="P65" s="40">
        <f>I32-Q65</f>
        <v>0</v>
      </c>
      <c r="Q65" s="50">
        <f>SUM(Q56:Q64)</f>
        <v>0</v>
      </c>
      <c r="R65" s="55">
        <f>IFERROR(SUMPRODUCT(Q56:Q64,R56:R64)/SUM(Q56:Q64),0)</f>
        <v>0</v>
      </c>
      <c r="S65" s="39" t="s">
        <v>59</v>
      </c>
      <c r="T65" s="40">
        <f>I32-U65</f>
        <v>0</v>
      </c>
      <c r="U65" s="50">
        <f>SUM(U56:U64)</f>
        <v>0</v>
      </c>
      <c r="V65" s="55">
        <f>IFERROR(SUMPRODUCT(U56:U64,V56:V64)/SUM(U56:U64),0)</f>
        <v>0</v>
      </c>
    </row>
    <row r="66" spans="15:22" ht="15" thickTop="1" x14ac:dyDescent="0.2"/>
  </sheetData>
  <customSheetViews>
    <customSheetView guid="{446F2FA9-979D-4645-8D3C-C345EFBD6336}" scale="70" hiddenColumns="1" topLeftCell="B1">
      <selection activeCell="M26" sqref="M26"/>
      <pageMargins left="0.7" right="0.7" top="0.75" bottom="0.75" header="0.3" footer="0.3"/>
      <pageSetup orientation="portrait" r:id="rId1"/>
    </customSheetView>
  </customSheetViews>
  <mergeCells count="4">
    <mergeCell ref="B2:AC2"/>
    <mergeCell ref="B9:AC9"/>
    <mergeCell ref="B16:AC16"/>
    <mergeCell ref="H56:K56"/>
  </mergeCells>
  <conditionalFormatting sqref="AG32">
    <cfRule type="cellIs" dxfId="29" priority="29" operator="greaterThan">
      <formula>0.5</formula>
    </cfRule>
    <cfRule type="cellIs" dxfId="28" priority="30" operator="lessThan">
      <formula>0.5</formula>
    </cfRule>
  </conditionalFormatting>
  <conditionalFormatting sqref="AF30:AF5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{9561BC8B-4AFE-4ED3-8E3F-0394AB87E9B9}</x14:id>
        </ext>
      </extLst>
    </cfRule>
  </conditionalFormatting>
  <conditionalFormatting sqref="E30:E5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0:X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3">
    <cfRule type="cellIs" dxfId="27" priority="33" operator="lessThan">
      <formula>$C$59</formula>
    </cfRule>
    <cfRule type="cellIs" dxfId="26" priority="34" operator="greaterThan">
      <formula>$C$59</formula>
    </cfRule>
  </conditionalFormatting>
  <conditionalFormatting sqref="AG37">
    <cfRule type="cellIs" dxfId="25" priority="35" operator="greaterThan">
      <formula>$C$58</formula>
    </cfRule>
    <cfRule type="cellIs" dxfId="24" priority="36" operator="lessThan">
      <formula>$C$58</formula>
    </cfRule>
  </conditionalFormatting>
  <conditionalFormatting sqref="P39">
    <cfRule type="cellIs" dxfId="23" priority="23" operator="lessThan">
      <formula>0</formula>
    </cfRule>
    <cfRule type="cellIs" dxfId="22" priority="24" operator="equal">
      <formula>0</formula>
    </cfRule>
    <cfRule type="cellIs" dxfId="21" priority="25" operator="greaterThan">
      <formula>0</formula>
    </cfRule>
  </conditionalFormatting>
  <conditionalFormatting sqref="T52">
    <cfRule type="cellIs" dxfId="20" priority="11" operator="lessThan">
      <formula>0</formula>
    </cfRule>
    <cfRule type="cellIs" dxfId="19" priority="12" operator="equal">
      <formula>0</formula>
    </cfRule>
    <cfRule type="cellIs" dxfId="18" priority="13" operator="greaterThan">
      <formula>0</formula>
    </cfRule>
  </conditionalFormatting>
  <conditionalFormatting sqref="P52">
    <cfRule type="cellIs" dxfId="17" priority="20" operator="lessThan">
      <formula>0</formula>
    </cfRule>
    <cfRule type="cellIs" dxfId="16" priority="21" operator="equal">
      <formula>0</formula>
    </cfRule>
    <cfRule type="cellIs" dxfId="15" priority="22" operator="greaterThan">
      <formula>0</formula>
    </cfRule>
  </conditionalFormatting>
  <conditionalFormatting sqref="P65:P66">
    <cfRule type="cellIs" dxfId="14" priority="17" operator="lessThan">
      <formula>0</formula>
    </cfRule>
    <cfRule type="cellIs" dxfId="13" priority="18" operator="equal">
      <formula>0</formula>
    </cfRule>
    <cfRule type="cellIs" dxfId="12" priority="19" operator="greaterThan">
      <formula>0</formula>
    </cfRule>
  </conditionalFormatting>
  <conditionalFormatting sqref="T39">
    <cfRule type="cellIs" dxfId="11" priority="14" operator="lessThan">
      <formula>0</formula>
    </cfRule>
    <cfRule type="cellIs" dxfId="10" priority="15" operator="equal">
      <formula>0</formula>
    </cfRule>
    <cfRule type="cellIs" dxfId="9" priority="16" operator="greaterThan">
      <formula>0</formula>
    </cfRule>
  </conditionalFormatting>
  <conditionalFormatting sqref="T65:T66">
    <cfRule type="cellIs" dxfId="8" priority="8" operator="lessThan">
      <formula>0</formula>
    </cfRule>
    <cfRule type="cellIs" dxfId="7" priority="9" operator="equal">
      <formula>0</formula>
    </cfRule>
    <cfRule type="cellIs" dxfId="6" priority="10" operator="greaterThan">
      <formula>0</formula>
    </cfRule>
  </conditionalFormatting>
  <conditionalFormatting sqref="D30:D5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5" priority="5" bottom="1" rank="4"/>
    <cfRule type="top10" dxfId="4" priority="6" rank="4"/>
  </conditionalFormatting>
  <conditionalFormatting sqref="C11:Z13">
    <cfRule type="top10" dxfId="3" priority="3" bottom="1" rank="4"/>
    <cfRule type="top10" dxfId="2" priority="4" rank="4"/>
  </conditionalFormatting>
  <conditionalFormatting sqref="C18:Z20">
    <cfRule type="top10" dxfId="1" priority="1" bottom="1" rank="4"/>
    <cfRule type="top10" dxfId="0" priority="2" rank="4"/>
  </conditionalFormatting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8673" r:id="rId5" name="btnForm">
          <controlPr defaultSize="0" autoLine="0" r:id="rId6">
            <anchor moveWithCells="1">
              <from>
                <xdr:col>10</xdr:col>
                <xdr:colOff>0</xdr:colOff>
                <xdr:row>50</xdr:row>
                <xdr:rowOff>171450</xdr:rowOff>
              </from>
              <to>
                <xdr:col>11</xdr:col>
                <xdr:colOff>228600</xdr:colOff>
                <xdr:row>53</xdr:row>
                <xdr:rowOff>0</xdr:rowOff>
              </to>
            </anchor>
          </controlPr>
        </control>
      </mc:Choice>
      <mc:Fallback>
        <control shapeId="28673" r:id="rId5" name="btnForm"/>
      </mc:Fallback>
    </mc:AlternateContent>
    <mc:AlternateContent xmlns:mc="http://schemas.openxmlformats.org/markup-compatibility/2006">
      <mc:Choice Requires="x14">
        <control shapeId="28674" r:id="rId7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9525</xdr:rowOff>
              </from>
              <to>
                <xdr:col>7</xdr:col>
                <xdr:colOff>438150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75" r:id="rId8" name="Button 3">
          <controlPr defaultSize="0" print="0" autoFill="0" autoPict="0" macro="[0]!get_impiled_yield">
            <anchor moveWithCells="1" sizeWithCells="1">
              <from>
                <xdr:col>7</xdr:col>
                <xdr:colOff>514350</xdr:colOff>
                <xdr:row>50</xdr:row>
                <xdr:rowOff>171450</xdr:rowOff>
              </from>
              <to>
                <xdr:col>8</xdr:col>
                <xdr:colOff>819150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676" r:id="rId9" name="Button 4">
          <controlPr defaultSize="0" print="0" autoFill="0" autoPict="0" macro="[0]!clear_ws">
            <anchor moveWithCells="1" sizeWithCells="1">
              <from>
                <xdr:col>8</xdr:col>
                <xdr:colOff>923925</xdr:colOff>
                <xdr:row>50</xdr:row>
                <xdr:rowOff>171450</xdr:rowOff>
              </from>
              <to>
                <xdr:col>9</xdr:col>
                <xdr:colOff>1114425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1BC8B-4AFE-4ED3-8E3F-0394AB87E9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AF30:AF53</xm:sqref>
        </x14:conditionalFormatting>
        <x14:conditionalFormatting xmlns:xm="http://schemas.microsoft.com/office/excel/2006/main">
          <x14:cfRule type="iconSet" priority="31" id="{CB4C7DFB-33D4-40C4-8124-81E7B6CCC54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AB30:AB53</xm:sqref>
        </x14:conditionalFormatting>
        <x14:conditionalFormatting xmlns:xm="http://schemas.microsoft.com/office/excel/2006/main">
          <x14:cfRule type="iconSet" priority="32" id="{FE9F1A2B-0034-4539-BE64-36F87B74BC3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Z30:AA53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CC0D7-3E27-4564-9800-47962C170C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2Oct</vt:lpstr>
      <vt:lpstr>5Oct</vt:lpstr>
      <vt:lpstr>9Oct</vt:lpstr>
      <vt:lpstr>11Oct</vt:lpstr>
      <vt:lpstr>16Oct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ISSADAPORN THUNLAVANICH</cp:lastModifiedBy>
  <dcterms:created xsi:type="dcterms:W3CDTF">2018-09-22T09:56:34Z</dcterms:created>
  <dcterms:modified xsi:type="dcterms:W3CDTF">2018-10-12T10:49:05Z</dcterms:modified>
</cp:coreProperties>
</file>