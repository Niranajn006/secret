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SCBAM\"/>
    </mc:Choice>
  </mc:AlternateContent>
  <xr:revisionPtr revIDLastSave="0" documentId="13_ncr:1_{1450D565-57BA-4026-BB09-8DED88321DF6}" xr6:coauthVersionLast="36" xr6:coauthVersionMax="36" xr10:uidLastSave="{00000000-0000-0000-0000-000000000000}"/>
  <bookViews>
    <workbookView xWindow="0" yWindow="0" windowWidth="23040" windowHeight="8916" activeTab="3" xr2:uid="{2C2574F7-6CD0-48B8-8A77-318407D29ED0}"/>
  </bookViews>
  <sheets>
    <sheet name="25Sep" sheetId="1" r:id="rId1"/>
    <sheet name="2Oct" sheetId="37" r:id="rId2"/>
    <sheet name="24Oct" sheetId="36" r:id="rId3"/>
    <sheet name="28Oct" sheetId="38" r:id="rId4"/>
    <sheet name="13Oct" sheetId="35" r:id="rId5"/>
  </sheets>
  <functionGroups builtInGroupCount="19"/>
  <definedNames>
    <definedName name="_xlnm._FilterDatabase" localSheetId="4" hidden="1">'13Oct'!$A$2:$Z$60</definedName>
    <definedName name="_xlnm._FilterDatabase" localSheetId="2" hidden="1">'24Oct'!$A$2:$Z$60</definedName>
    <definedName name="_xlnm._FilterDatabase" localSheetId="0" hidden="1">'25Sep'!$A$2:$Z$60</definedName>
    <definedName name="_xlnm._FilterDatabase" localSheetId="3" hidden="1">'28Oct'!$A$2:$Z$60</definedName>
    <definedName name="_xlnm._FilterDatabase" localSheetId="1" hidden="1">'2Oct'!$A$2:$Z$60</definedName>
    <definedName name="Rank" localSheetId="4">OFFSET('13Oct'!$X$30,0,0,COUNTA('13Oct'!$AJ:$AJ),1)</definedName>
    <definedName name="Rank" localSheetId="2">OFFSET('24Oct'!$X$30,0,0,COUNTA('24Oct'!$AJ:$AJ),1)</definedName>
    <definedName name="Rank" localSheetId="3">OFFSET('28Oct'!$X$30,0,0,COUNTA('28Oct'!$AJ:$AJ),1)</definedName>
    <definedName name="Rank" localSheetId="1">OFFSET('2Oct'!$X$30,0,0,COUNTA('2Oct'!$AJ:$AJ),1)</definedName>
    <definedName name="Rank">OFFSET('25Sep'!$X$30,0,0,COUNTA('25Sep'!$AJ:$AJ),1)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65" i="38" l="1"/>
  <c r="T65" i="38"/>
  <c r="Q65" i="38"/>
  <c r="P65" i="38"/>
  <c r="S64" i="38"/>
  <c r="S63" i="38"/>
  <c r="S62" i="38"/>
  <c r="S61" i="38"/>
  <c r="S60" i="38"/>
  <c r="S59" i="38"/>
  <c r="G59" i="38"/>
  <c r="S58" i="38"/>
  <c r="G58" i="38"/>
  <c r="S57" i="38"/>
  <c r="G57" i="38"/>
  <c r="S56" i="38"/>
  <c r="O54" i="38"/>
  <c r="E54" i="38"/>
  <c r="D54" i="38"/>
  <c r="C53" i="38"/>
  <c r="B53" i="38" s="1"/>
  <c r="U52" i="38"/>
  <c r="T52" i="38"/>
  <c r="Q52" i="38"/>
  <c r="P52" i="38"/>
  <c r="C52" i="38"/>
  <c r="B52" i="38" s="1"/>
  <c r="S51" i="38"/>
  <c r="C51" i="38"/>
  <c r="B51" i="38" s="1"/>
  <c r="S50" i="38"/>
  <c r="C50" i="38"/>
  <c r="B50" i="38" s="1"/>
  <c r="S49" i="38"/>
  <c r="C49" i="38"/>
  <c r="B49" i="38" s="1"/>
  <c r="S48" i="38"/>
  <c r="C48" i="38"/>
  <c r="B48" i="38" s="1"/>
  <c r="S47" i="38"/>
  <c r="C47" i="38"/>
  <c r="B47" i="38" s="1"/>
  <c r="S46" i="38"/>
  <c r="C46" i="38"/>
  <c r="B46" i="38" s="1"/>
  <c r="S45" i="38"/>
  <c r="C45" i="38"/>
  <c r="B45" i="38" s="1"/>
  <c r="S44" i="38"/>
  <c r="C44" i="38"/>
  <c r="B44" i="38" s="1"/>
  <c r="S43" i="38"/>
  <c r="C43" i="38"/>
  <c r="B43" i="38" s="1"/>
  <c r="C42" i="38"/>
  <c r="B42" i="38"/>
  <c r="O41" i="38"/>
  <c r="C41" i="38"/>
  <c r="B41" i="38"/>
  <c r="C40" i="38"/>
  <c r="B40" i="38" s="1"/>
  <c r="U39" i="38"/>
  <c r="T39" i="38"/>
  <c r="Q39" i="38"/>
  <c r="P39" i="38"/>
  <c r="C39" i="38"/>
  <c r="B39" i="38" s="1"/>
  <c r="S38" i="38"/>
  <c r="C38" i="38"/>
  <c r="B38" i="38" s="1"/>
  <c r="S37" i="38"/>
  <c r="C37" i="38"/>
  <c r="B37" i="38"/>
  <c r="S36" i="38"/>
  <c r="C36" i="38"/>
  <c r="B36" i="38"/>
  <c r="S35" i="38"/>
  <c r="C35" i="38"/>
  <c r="B35" i="38"/>
  <c r="S34" i="38"/>
  <c r="C34" i="38"/>
  <c r="B34" i="38"/>
  <c r="S33" i="38"/>
  <c r="C33" i="38"/>
  <c r="B33" i="38"/>
  <c r="S32" i="38"/>
  <c r="H32" i="38"/>
  <c r="S65" i="38" s="1"/>
  <c r="C32" i="38"/>
  <c r="B32" i="38" s="1"/>
  <c r="S31" i="38"/>
  <c r="H31" i="38"/>
  <c r="C31" i="38"/>
  <c r="B31" i="38"/>
  <c r="S30" i="38"/>
  <c r="H30" i="38"/>
  <c r="S39" i="38" s="1"/>
  <c r="C30" i="38"/>
  <c r="B30" i="38" s="1"/>
  <c r="O28" i="38"/>
  <c r="D28" i="38"/>
  <c r="B28" i="38"/>
  <c r="AC20" i="38"/>
  <c r="AB20" i="38"/>
  <c r="AA20" i="38"/>
  <c r="AC19" i="38"/>
  <c r="AB19" i="38"/>
  <c r="AB21" i="38" s="1"/>
  <c r="AA19" i="38"/>
  <c r="AC18" i="38"/>
  <c r="AB18" i="38"/>
  <c r="AA18" i="38"/>
  <c r="AA21" i="38" s="1"/>
  <c r="AD17" i="38"/>
  <c r="Y17" i="38"/>
  <c r="X17" i="38"/>
  <c r="V17" i="38"/>
  <c r="Q17" i="38"/>
  <c r="P17" i="38"/>
  <c r="N17" i="38"/>
  <c r="I17" i="38"/>
  <c r="H17" i="38"/>
  <c r="F17" i="38"/>
  <c r="C17" i="38" a="1"/>
  <c r="W17" i="38" s="1"/>
  <c r="B16" i="38"/>
  <c r="AC13" i="38"/>
  <c r="AB13" i="38"/>
  <c r="AA13" i="38"/>
  <c r="AC12" i="38"/>
  <c r="AB12" i="38"/>
  <c r="AA12" i="38"/>
  <c r="AC11" i="38"/>
  <c r="AC14" i="38" s="1"/>
  <c r="AB11" i="38"/>
  <c r="AA11" i="38"/>
  <c r="AD10" i="38"/>
  <c r="Y10" i="38"/>
  <c r="X10" i="38"/>
  <c r="W10" i="38"/>
  <c r="U10" i="38"/>
  <c r="Q10" i="38"/>
  <c r="P10" i="38"/>
  <c r="O10" i="38"/>
  <c r="M10" i="38"/>
  <c r="I10" i="38"/>
  <c r="H10" i="38"/>
  <c r="G10" i="38"/>
  <c r="E10" i="38"/>
  <c r="C10" i="38" a="1"/>
  <c r="V10" i="38" s="1"/>
  <c r="B9" i="38"/>
  <c r="AC6" i="38"/>
  <c r="AB6" i="38"/>
  <c r="AA6" i="38"/>
  <c r="AC5" i="38"/>
  <c r="AB5" i="38"/>
  <c r="AA5" i="38"/>
  <c r="AC4" i="38"/>
  <c r="AB4" i="38"/>
  <c r="AB7" i="38" s="1"/>
  <c r="AA4" i="38"/>
  <c r="AD3" i="38"/>
  <c r="X3" i="38"/>
  <c r="W3" i="38"/>
  <c r="V3" i="38"/>
  <c r="T3" i="38"/>
  <c r="P3" i="38"/>
  <c r="O3" i="38"/>
  <c r="N3" i="38"/>
  <c r="L3" i="38"/>
  <c r="H3" i="38"/>
  <c r="G3" i="38"/>
  <c r="F3" i="38"/>
  <c r="D3" i="38"/>
  <c r="C3" i="38" a="1"/>
  <c r="U3" i="38" s="1"/>
  <c r="B2" i="38"/>
  <c r="B1" i="38"/>
  <c r="U65" i="37"/>
  <c r="T65" i="37"/>
  <c r="Q65" i="37"/>
  <c r="P65" i="37"/>
  <c r="S64" i="37"/>
  <c r="S63" i="37"/>
  <c r="S62" i="37"/>
  <c r="S61" i="37"/>
  <c r="S60" i="37"/>
  <c r="S59" i="37"/>
  <c r="G59" i="37"/>
  <c r="S58" i="37"/>
  <c r="G58" i="37"/>
  <c r="S57" i="37"/>
  <c r="G57" i="37"/>
  <c r="S56" i="37"/>
  <c r="O54" i="37"/>
  <c r="E54" i="37"/>
  <c r="D54" i="37"/>
  <c r="C53" i="37"/>
  <c r="B53" i="37"/>
  <c r="U52" i="37"/>
  <c r="T52" i="37"/>
  <c r="S52" i="37"/>
  <c r="Q52" i="37"/>
  <c r="P52" i="37"/>
  <c r="C52" i="37"/>
  <c r="B52" i="37" s="1"/>
  <c r="S51" i="37"/>
  <c r="C51" i="37"/>
  <c r="B51" i="37" s="1"/>
  <c r="S50" i="37"/>
  <c r="C50" i="37"/>
  <c r="B50" i="37" s="1"/>
  <c r="S49" i="37"/>
  <c r="C49" i="37"/>
  <c r="B49" i="37" s="1"/>
  <c r="S48" i="37"/>
  <c r="C48" i="37"/>
  <c r="B48" i="37" s="1"/>
  <c r="S47" i="37"/>
  <c r="C47" i="37"/>
  <c r="B47" i="37" s="1"/>
  <c r="S46" i="37"/>
  <c r="C46" i="37"/>
  <c r="B46" i="37" s="1"/>
  <c r="S45" i="37"/>
  <c r="C45" i="37"/>
  <c r="B45" i="37" s="1"/>
  <c r="S44" i="37"/>
  <c r="C44" i="37"/>
  <c r="B44" i="37" s="1"/>
  <c r="S43" i="37"/>
  <c r="C43" i="37"/>
  <c r="B43" i="37" s="1"/>
  <c r="C42" i="37"/>
  <c r="B42" i="37"/>
  <c r="O41" i="37"/>
  <c r="C41" i="37"/>
  <c r="B41" i="37"/>
  <c r="C40" i="37"/>
  <c r="B40" i="37" s="1"/>
  <c r="U39" i="37"/>
  <c r="T39" i="37"/>
  <c r="Q39" i="37"/>
  <c r="P39" i="37"/>
  <c r="C39" i="37"/>
  <c r="B39" i="37" s="1"/>
  <c r="S38" i="37"/>
  <c r="C38" i="37"/>
  <c r="B38" i="37" s="1"/>
  <c r="S37" i="37"/>
  <c r="C37" i="37"/>
  <c r="B37" i="37"/>
  <c r="S36" i="37"/>
  <c r="C36" i="37"/>
  <c r="B36" i="37"/>
  <c r="S35" i="37"/>
  <c r="C35" i="37"/>
  <c r="B35" i="37"/>
  <c r="S34" i="37"/>
  <c r="C34" i="37"/>
  <c r="B34" i="37"/>
  <c r="S33" i="37"/>
  <c r="C33" i="37"/>
  <c r="B33" i="37"/>
  <c r="S32" i="37"/>
  <c r="H32" i="37"/>
  <c r="S65" i="37" s="1"/>
  <c r="C32" i="37"/>
  <c r="B32" i="37" s="1"/>
  <c r="S31" i="37"/>
  <c r="AC38" i="37" s="1"/>
  <c r="H31" i="37"/>
  <c r="O52" i="37" s="1"/>
  <c r="C31" i="37"/>
  <c r="B31" i="37"/>
  <c r="S30" i="37"/>
  <c r="AC52" i="37" s="1"/>
  <c r="H30" i="37"/>
  <c r="S39" i="37" s="1"/>
  <c r="C30" i="37"/>
  <c r="B30" i="37" s="1"/>
  <c r="A29" i="37"/>
  <c r="O28" i="37"/>
  <c r="D28" i="37"/>
  <c r="B28" i="37"/>
  <c r="AC20" i="37"/>
  <c r="AB20" i="37"/>
  <c r="AB21" i="37" s="1"/>
  <c r="AA20" i="37"/>
  <c r="AA21" i="37" s="1"/>
  <c r="AC19" i="37"/>
  <c r="AB19" i="37"/>
  <c r="AA19" i="37"/>
  <c r="AC18" i="37"/>
  <c r="AC21" i="37" s="1"/>
  <c r="AB18" i="37"/>
  <c r="AA18" i="37"/>
  <c r="AD17" i="37"/>
  <c r="C17" i="37" a="1"/>
  <c r="W17" i="37" s="1"/>
  <c r="B16" i="37"/>
  <c r="AC13" i="37"/>
  <c r="AB13" i="37"/>
  <c r="AA13" i="37"/>
  <c r="AA14" i="37" s="1"/>
  <c r="AC12" i="37"/>
  <c r="AB12" i="37"/>
  <c r="AA12" i="37"/>
  <c r="AC11" i="37"/>
  <c r="AC14" i="37" s="1"/>
  <c r="AB11" i="37"/>
  <c r="AB14" i="37" s="1"/>
  <c r="AA11" i="37"/>
  <c r="AD10" i="37"/>
  <c r="C10" i="37" a="1"/>
  <c r="V10" i="37" s="1"/>
  <c r="B9" i="37"/>
  <c r="AC6" i="37"/>
  <c r="AB6" i="37"/>
  <c r="AA6" i="37"/>
  <c r="AC5" i="37"/>
  <c r="AC7" i="37" s="1"/>
  <c r="AB5" i="37"/>
  <c r="AA5" i="37"/>
  <c r="AC4" i="37"/>
  <c r="AB4" i="37"/>
  <c r="AB7" i="37" s="1"/>
  <c r="AA4" i="37"/>
  <c r="AA7" i="37" s="1"/>
  <c r="AD3" i="37"/>
  <c r="Y3" i="37"/>
  <c r="X3" i="37"/>
  <c r="W3" i="37"/>
  <c r="T3" i="37"/>
  <c r="Q3" i="37"/>
  <c r="P3" i="37"/>
  <c r="O3" i="37"/>
  <c r="L3" i="37"/>
  <c r="I3" i="37"/>
  <c r="H3" i="37"/>
  <c r="G3" i="37"/>
  <c r="D3" i="37"/>
  <c r="C3" i="37"/>
  <c r="C3" i="37" a="1"/>
  <c r="U3" i="37" s="1"/>
  <c r="B2" i="37"/>
  <c r="B1" i="37"/>
  <c r="U65" i="36"/>
  <c r="T65" i="36"/>
  <c r="Q65" i="36"/>
  <c r="P65" i="36"/>
  <c r="S64" i="36"/>
  <c r="S63" i="36"/>
  <c r="S62" i="36"/>
  <c r="S61" i="36"/>
  <c r="S60" i="36"/>
  <c r="S59" i="36"/>
  <c r="G59" i="36"/>
  <c r="S58" i="36"/>
  <c r="G58" i="36"/>
  <c r="S57" i="36"/>
  <c r="G57" i="36"/>
  <c r="S56" i="36"/>
  <c r="O54" i="36"/>
  <c r="E54" i="36"/>
  <c r="D54" i="36"/>
  <c r="C53" i="36"/>
  <c r="B53" i="36"/>
  <c r="U52" i="36"/>
  <c r="T52" i="36"/>
  <c r="Q52" i="36"/>
  <c r="P52" i="36"/>
  <c r="C52" i="36"/>
  <c r="B52" i="36" s="1"/>
  <c r="S51" i="36"/>
  <c r="C51" i="36"/>
  <c r="B51" i="36" s="1"/>
  <c r="S50" i="36"/>
  <c r="C50" i="36"/>
  <c r="B50" i="36" s="1"/>
  <c r="S49" i="36"/>
  <c r="C49" i="36"/>
  <c r="B49" i="36" s="1"/>
  <c r="S48" i="36"/>
  <c r="C48" i="36"/>
  <c r="B48" i="36" s="1"/>
  <c r="S47" i="36"/>
  <c r="C47" i="36"/>
  <c r="B47" i="36" s="1"/>
  <c r="S46" i="36"/>
  <c r="C46" i="36"/>
  <c r="B46" i="36" s="1"/>
  <c r="S45" i="36"/>
  <c r="C45" i="36"/>
  <c r="B45" i="36" s="1"/>
  <c r="S44" i="36"/>
  <c r="C44" i="36"/>
  <c r="B44" i="36" s="1"/>
  <c r="S43" i="36"/>
  <c r="C43" i="36"/>
  <c r="B43" i="36" s="1"/>
  <c r="C42" i="36"/>
  <c r="B42" i="36"/>
  <c r="O41" i="36"/>
  <c r="C41" i="36"/>
  <c r="B41" i="36"/>
  <c r="C40" i="36"/>
  <c r="B40" i="36" s="1"/>
  <c r="U39" i="36"/>
  <c r="T39" i="36"/>
  <c r="Q39" i="36"/>
  <c r="P39" i="36"/>
  <c r="C39" i="36"/>
  <c r="B39" i="36"/>
  <c r="S38" i="36"/>
  <c r="C38" i="36"/>
  <c r="B38" i="36"/>
  <c r="S37" i="36"/>
  <c r="C37" i="36"/>
  <c r="B37" i="36" s="1"/>
  <c r="S36" i="36"/>
  <c r="C36" i="36"/>
  <c r="B36" i="36" s="1"/>
  <c r="S35" i="36"/>
  <c r="C35" i="36"/>
  <c r="B35" i="36" s="1"/>
  <c r="S34" i="36"/>
  <c r="C34" i="36"/>
  <c r="B34" i="36" s="1"/>
  <c r="S33" i="36"/>
  <c r="C33" i="36"/>
  <c r="B33" i="36" s="1"/>
  <c r="S32" i="36"/>
  <c r="H32" i="36"/>
  <c r="S65" i="36" s="1"/>
  <c r="C32" i="36"/>
  <c r="B32" i="36" s="1"/>
  <c r="S31" i="36"/>
  <c r="H31" i="36"/>
  <c r="O52" i="36" s="1"/>
  <c r="C31" i="36"/>
  <c r="B31" i="36"/>
  <c r="S30" i="36"/>
  <c r="H30" i="36"/>
  <c r="S39" i="36" s="1"/>
  <c r="C30" i="36"/>
  <c r="B30" i="36" s="1"/>
  <c r="O28" i="36"/>
  <c r="D28" i="36"/>
  <c r="A29" i="36" s="1"/>
  <c r="B28" i="36"/>
  <c r="AC20" i="36"/>
  <c r="AB20" i="36"/>
  <c r="AA20" i="36"/>
  <c r="AA21" i="36" s="1"/>
  <c r="AC19" i="36"/>
  <c r="AB19" i="36"/>
  <c r="AB21" i="36" s="1"/>
  <c r="AA19" i="36"/>
  <c r="AC18" i="36"/>
  <c r="AC21" i="36" s="1"/>
  <c r="AB18" i="36"/>
  <c r="AA18" i="36"/>
  <c r="AD17" i="36"/>
  <c r="X17" i="36"/>
  <c r="P17" i="36"/>
  <c r="H17" i="36"/>
  <c r="C17" i="36" a="1"/>
  <c r="W17" i="36" s="1"/>
  <c r="B16" i="36"/>
  <c r="AC14" i="36"/>
  <c r="AC13" i="36"/>
  <c r="AB13" i="36"/>
  <c r="AA13" i="36"/>
  <c r="AC12" i="36"/>
  <c r="AB12" i="36"/>
  <c r="AA12" i="36"/>
  <c r="AA14" i="36" s="1"/>
  <c r="AC11" i="36"/>
  <c r="AB11" i="36"/>
  <c r="AB14" i="36" s="1"/>
  <c r="AA11" i="36"/>
  <c r="AD10" i="36"/>
  <c r="Y10" i="36"/>
  <c r="W10" i="36"/>
  <c r="U10" i="36"/>
  <c r="Q10" i="36"/>
  <c r="O10" i="36"/>
  <c r="M10" i="36"/>
  <c r="I10" i="36"/>
  <c r="G10" i="36"/>
  <c r="E10" i="36"/>
  <c r="C10" i="36" a="1"/>
  <c r="V10" i="36" s="1"/>
  <c r="B9" i="36"/>
  <c r="AB7" i="36"/>
  <c r="AC6" i="36"/>
  <c r="AB6" i="36"/>
  <c r="AA6" i="36"/>
  <c r="AC5" i="36"/>
  <c r="AB5" i="36"/>
  <c r="AA5" i="36"/>
  <c r="AC4" i="36"/>
  <c r="AC7" i="36" s="1"/>
  <c r="AB4" i="36"/>
  <c r="AA4" i="36"/>
  <c r="AA7" i="36" s="1"/>
  <c r="AD3" i="36"/>
  <c r="Y3" i="36"/>
  <c r="X3" i="36"/>
  <c r="W3" i="36"/>
  <c r="V3" i="36"/>
  <c r="T3" i="36"/>
  <c r="S3" i="36"/>
  <c r="Q3" i="36"/>
  <c r="P3" i="36"/>
  <c r="O3" i="36"/>
  <c r="N3" i="36"/>
  <c r="L3" i="36"/>
  <c r="K3" i="36"/>
  <c r="I3" i="36"/>
  <c r="H3" i="36"/>
  <c r="G3" i="36"/>
  <c r="F3" i="36"/>
  <c r="D3" i="36"/>
  <c r="C3" i="36"/>
  <c r="C3" i="36" a="1"/>
  <c r="U3" i="36" s="1"/>
  <c r="B2" i="36"/>
  <c r="B1" i="36"/>
  <c r="U65" i="35"/>
  <c r="T65" i="35"/>
  <c r="Q65" i="35"/>
  <c r="P65" i="35"/>
  <c r="S64" i="35"/>
  <c r="S63" i="35"/>
  <c r="S62" i="35"/>
  <c r="S61" i="35"/>
  <c r="S60" i="35"/>
  <c r="S59" i="35"/>
  <c r="G59" i="35"/>
  <c r="S58" i="35"/>
  <c r="G58" i="35"/>
  <c r="S57" i="35"/>
  <c r="G57" i="35"/>
  <c r="S56" i="35"/>
  <c r="O54" i="35"/>
  <c r="E54" i="35"/>
  <c r="D54" i="35"/>
  <c r="C53" i="35"/>
  <c r="B53" i="35"/>
  <c r="U52" i="35"/>
  <c r="T52" i="35"/>
  <c r="S52" i="35"/>
  <c r="Q52" i="35"/>
  <c r="P52" i="35"/>
  <c r="C52" i="35"/>
  <c r="B52" i="35" s="1"/>
  <c r="S51" i="35"/>
  <c r="C51" i="35"/>
  <c r="B51" i="35" s="1"/>
  <c r="S50" i="35"/>
  <c r="C50" i="35"/>
  <c r="B50" i="35" s="1"/>
  <c r="S49" i="35"/>
  <c r="C49" i="35"/>
  <c r="B49" i="35" s="1"/>
  <c r="S48" i="35"/>
  <c r="C48" i="35"/>
  <c r="B48" i="35" s="1"/>
  <c r="S47" i="35"/>
  <c r="C47" i="35"/>
  <c r="B47" i="35" s="1"/>
  <c r="S46" i="35"/>
  <c r="C46" i="35"/>
  <c r="B46" i="35" s="1"/>
  <c r="S45" i="35"/>
  <c r="C45" i="35"/>
  <c r="B45" i="35" s="1"/>
  <c r="S44" i="35"/>
  <c r="C44" i="35"/>
  <c r="B44" i="35" s="1"/>
  <c r="S43" i="35"/>
  <c r="C43" i="35"/>
  <c r="B43" i="35" s="1"/>
  <c r="C42" i="35"/>
  <c r="B42" i="35"/>
  <c r="O41" i="35"/>
  <c r="C41" i="35"/>
  <c r="B41" i="35"/>
  <c r="C40" i="35"/>
  <c r="B40" i="35"/>
  <c r="U39" i="35"/>
  <c r="T39" i="35"/>
  <c r="Q39" i="35"/>
  <c r="P39" i="35"/>
  <c r="C39" i="35"/>
  <c r="B39" i="35"/>
  <c r="S38" i="35"/>
  <c r="C38" i="35"/>
  <c r="B38" i="35"/>
  <c r="S37" i="35"/>
  <c r="C37" i="35"/>
  <c r="B37" i="35" s="1"/>
  <c r="S36" i="35"/>
  <c r="C36" i="35"/>
  <c r="B36" i="35" s="1"/>
  <c r="S35" i="35"/>
  <c r="C35" i="35"/>
  <c r="B35" i="35" s="1"/>
  <c r="S34" i="35"/>
  <c r="C34" i="35"/>
  <c r="B34" i="35" s="1"/>
  <c r="S33" i="35"/>
  <c r="C33" i="35"/>
  <c r="B33" i="35" s="1"/>
  <c r="S32" i="35"/>
  <c r="H32" i="35"/>
  <c r="S65" i="35" s="1"/>
  <c r="C32" i="35"/>
  <c r="B32" i="35"/>
  <c r="S31" i="35"/>
  <c r="H31" i="35"/>
  <c r="O52" i="35" s="1"/>
  <c r="C31" i="35"/>
  <c r="B31" i="35"/>
  <c r="S30" i="35"/>
  <c r="H30" i="35"/>
  <c r="C30" i="35"/>
  <c r="B30" i="35" s="1"/>
  <c r="O28" i="35"/>
  <c r="D28" i="35"/>
  <c r="A29" i="35" s="1"/>
  <c r="B28" i="35"/>
  <c r="AB21" i="35"/>
  <c r="AC20" i="35"/>
  <c r="AB20" i="35"/>
  <c r="AA20" i="35"/>
  <c r="AC19" i="35"/>
  <c r="AB19" i="35"/>
  <c r="AA19" i="35"/>
  <c r="AC18" i="35"/>
  <c r="AB18" i="35"/>
  <c r="AA18" i="35"/>
  <c r="AD17" i="35"/>
  <c r="C17" i="35" a="1"/>
  <c r="W17" i="35" s="1"/>
  <c r="B16" i="35"/>
  <c r="AC13" i="35"/>
  <c r="AB13" i="35"/>
  <c r="AA13" i="35"/>
  <c r="AC12" i="35"/>
  <c r="AB12" i="35"/>
  <c r="AA12" i="35"/>
  <c r="AC11" i="35"/>
  <c r="AB11" i="35"/>
  <c r="AA11" i="35"/>
  <c r="AA14" i="35" s="1"/>
  <c r="AD10" i="35"/>
  <c r="Y10" i="35"/>
  <c r="U10" i="35"/>
  <c r="T10" i="35"/>
  <c r="Q10" i="35"/>
  <c r="M10" i="35"/>
  <c r="L10" i="35"/>
  <c r="I10" i="35"/>
  <c r="E10" i="35"/>
  <c r="D10" i="35"/>
  <c r="C10" i="35" a="1"/>
  <c r="V10" i="35" s="1"/>
  <c r="B9" i="35"/>
  <c r="AC6" i="35"/>
  <c r="AB6" i="35"/>
  <c r="AA6" i="35"/>
  <c r="AC5" i="35"/>
  <c r="AB5" i="35"/>
  <c r="AA5" i="35"/>
  <c r="AC4" i="35"/>
  <c r="AB4" i="35"/>
  <c r="AB7" i="35" s="1"/>
  <c r="AA4" i="35"/>
  <c r="AD3" i="35"/>
  <c r="Y3" i="35"/>
  <c r="X3" i="35"/>
  <c r="W3" i="35"/>
  <c r="U3" i="35"/>
  <c r="T3" i="35"/>
  <c r="S3" i="35"/>
  <c r="Q3" i="35"/>
  <c r="P3" i="35"/>
  <c r="O3" i="35"/>
  <c r="M3" i="35"/>
  <c r="L3" i="35"/>
  <c r="K3" i="35"/>
  <c r="I3" i="35"/>
  <c r="H3" i="35"/>
  <c r="G3" i="35"/>
  <c r="E3" i="35"/>
  <c r="D3" i="35"/>
  <c r="C3" i="35"/>
  <c r="C3" i="35" a="1"/>
  <c r="Z3" i="35" s="1"/>
  <c r="B2" i="35"/>
  <c r="B1" i="35"/>
  <c r="AF53" i="1"/>
  <c r="AF37" i="1"/>
  <c r="AF32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D28" i="1"/>
  <c r="AD53" i="37"/>
  <c r="AD45" i="37"/>
  <c r="AD37" i="37"/>
  <c r="AD34" i="37"/>
  <c r="AD46" i="37"/>
  <c r="AD52" i="37"/>
  <c r="AD44" i="37"/>
  <c r="AD36" i="37"/>
  <c r="AD42" i="37"/>
  <c r="AD51" i="37"/>
  <c r="AD43" i="37"/>
  <c r="AD35" i="37"/>
  <c r="AD50" i="37"/>
  <c r="AD49" i="37"/>
  <c r="AD41" i="37"/>
  <c r="AD33" i="37"/>
  <c r="AD39" i="37"/>
  <c r="AD31" i="37"/>
  <c r="AD38" i="37"/>
  <c r="AD48" i="37"/>
  <c r="AD40" i="37"/>
  <c r="AD32" i="37"/>
  <c r="AD47" i="37"/>
  <c r="AD30" i="37"/>
  <c r="AD53" i="36"/>
  <c r="AD45" i="36"/>
  <c r="AD37" i="36"/>
  <c r="AD46" i="36"/>
  <c r="AD52" i="36"/>
  <c r="AD44" i="36"/>
  <c r="AD36" i="36"/>
  <c r="AD31" i="36"/>
  <c r="AD51" i="36"/>
  <c r="AD43" i="36"/>
  <c r="AD35" i="36"/>
  <c r="AD50" i="36"/>
  <c r="AD42" i="36"/>
  <c r="AD34" i="36"/>
  <c r="AD38" i="36"/>
  <c r="AD49" i="36"/>
  <c r="AD41" i="36"/>
  <c r="AD33" i="36"/>
  <c r="AD39" i="36"/>
  <c r="AD48" i="36"/>
  <c r="AD40" i="36"/>
  <c r="AD32" i="36"/>
  <c r="AD47" i="36"/>
  <c r="AD30" i="36"/>
  <c r="AA7" i="38" l="1"/>
  <c r="AC21" i="38"/>
  <c r="O52" i="38"/>
  <c r="AC7" i="38"/>
  <c r="AB14" i="38"/>
  <c r="A29" i="38"/>
  <c r="AA14" i="38"/>
  <c r="AC42" i="38"/>
  <c r="AD42" i="38" s="1"/>
  <c r="AC45" i="38"/>
  <c r="AD45" i="38" s="1"/>
  <c r="AC50" i="38"/>
  <c r="AD50" i="38" s="1"/>
  <c r="J17" i="38"/>
  <c r="R17" i="38"/>
  <c r="Z17" i="38"/>
  <c r="S52" i="38"/>
  <c r="AC43" i="38" s="1"/>
  <c r="AD43" i="38" s="1"/>
  <c r="O65" i="38"/>
  <c r="I3" i="38"/>
  <c r="Q3" i="38"/>
  <c r="Y3" i="38"/>
  <c r="J10" i="38"/>
  <c r="R10" i="38"/>
  <c r="Z10" i="38"/>
  <c r="C17" i="38"/>
  <c r="K17" i="38"/>
  <c r="S17" i="38"/>
  <c r="AC31" i="38"/>
  <c r="AD31" i="38" s="1"/>
  <c r="J3" i="38"/>
  <c r="R3" i="38"/>
  <c r="Z3" i="38"/>
  <c r="C10" i="38"/>
  <c r="K10" i="38"/>
  <c r="S10" i="38"/>
  <c r="D17" i="38"/>
  <c r="L17" i="38"/>
  <c r="T17" i="38"/>
  <c r="O39" i="38"/>
  <c r="C3" i="38"/>
  <c r="A43" i="38" s="1"/>
  <c r="K3" i="38"/>
  <c r="S3" i="38"/>
  <c r="D10" i="38"/>
  <c r="L10" i="38"/>
  <c r="T10" i="38"/>
  <c r="E17" i="38"/>
  <c r="M17" i="38"/>
  <c r="U17" i="38"/>
  <c r="AC37" i="38"/>
  <c r="AD37" i="38" s="1"/>
  <c r="AC38" i="38"/>
  <c r="AD38" i="38" s="1"/>
  <c r="E3" i="38"/>
  <c r="M3" i="38"/>
  <c r="F10" i="38"/>
  <c r="N10" i="38"/>
  <c r="G17" i="38"/>
  <c r="O17" i="38"/>
  <c r="AC31" i="37"/>
  <c r="AC39" i="37"/>
  <c r="F3" i="37"/>
  <c r="N3" i="37"/>
  <c r="V3" i="37"/>
  <c r="G10" i="37"/>
  <c r="O10" i="37"/>
  <c r="W10" i="37"/>
  <c r="H17" i="37"/>
  <c r="P17" i="37"/>
  <c r="X17" i="37"/>
  <c r="H10" i="37"/>
  <c r="P10" i="37"/>
  <c r="X10" i="37"/>
  <c r="I17" i="37"/>
  <c r="Q17" i="37"/>
  <c r="Y17" i="37"/>
  <c r="AC42" i="37"/>
  <c r="AC43" i="37"/>
  <c r="AC44" i="37"/>
  <c r="AC45" i="37"/>
  <c r="AC46" i="37"/>
  <c r="AC47" i="37"/>
  <c r="AC48" i="37"/>
  <c r="AC49" i="37"/>
  <c r="AC50" i="37"/>
  <c r="AC51" i="37"/>
  <c r="I10" i="37"/>
  <c r="Q10" i="37"/>
  <c r="Y10" i="37"/>
  <c r="J17" i="37"/>
  <c r="R17" i="37"/>
  <c r="Z17" i="37"/>
  <c r="AC30" i="37"/>
  <c r="AC40" i="37"/>
  <c r="AC41" i="37"/>
  <c r="O65" i="37"/>
  <c r="J3" i="37"/>
  <c r="R3" i="37"/>
  <c r="Z3" i="37"/>
  <c r="C10" i="37"/>
  <c r="K10" i="37"/>
  <c r="S10" i="37"/>
  <c r="D17" i="37"/>
  <c r="L17" i="37"/>
  <c r="T17" i="37"/>
  <c r="A30" i="37"/>
  <c r="AC32" i="37"/>
  <c r="O39" i="37"/>
  <c r="J10" i="37"/>
  <c r="Z10" i="37"/>
  <c r="C17" i="37"/>
  <c r="K17" i="37"/>
  <c r="S17" i="37"/>
  <c r="K3" i="37"/>
  <c r="A41" i="37" s="1"/>
  <c r="S3" i="37"/>
  <c r="D10" i="37"/>
  <c r="L10" i="37"/>
  <c r="T10" i="37"/>
  <c r="E17" i="37"/>
  <c r="M17" i="37"/>
  <c r="U17" i="37"/>
  <c r="A31" i="37"/>
  <c r="AC33" i="37"/>
  <c r="AC34" i="37"/>
  <c r="AC35" i="37"/>
  <c r="AC36" i="37"/>
  <c r="AC37" i="37"/>
  <c r="A42" i="37"/>
  <c r="AC53" i="37"/>
  <c r="E10" i="37"/>
  <c r="M10" i="37"/>
  <c r="U10" i="37"/>
  <c r="F17" i="37"/>
  <c r="N17" i="37"/>
  <c r="V17" i="37"/>
  <c r="A32" i="37"/>
  <c r="R10" i="37"/>
  <c r="E3" i="37"/>
  <c r="A36" i="37" s="1"/>
  <c r="M3" i="37"/>
  <c r="F10" i="37"/>
  <c r="N10" i="37"/>
  <c r="G17" i="37"/>
  <c r="O17" i="37"/>
  <c r="AC52" i="36"/>
  <c r="H10" i="36"/>
  <c r="P10" i="36"/>
  <c r="X10" i="36"/>
  <c r="I17" i="36"/>
  <c r="Q17" i="36"/>
  <c r="Y17" i="36"/>
  <c r="AC43" i="36"/>
  <c r="AC44" i="36"/>
  <c r="AC47" i="36"/>
  <c r="AC48" i="36"/>
  <c r="AC51" i="36"/>
  <c r="J17" i="36"/>
  <c r="R17" i="36"/>
  <c r="Z17" i="36"/>
  <c r="AC30" i="36"/>
  <c r="AC40" i="36"/>
  <c r="S52" i="36"/>
  <c r="AC49" i="36" s="1"/>
  <c r="O65" i="36"/>
  <c r="J10" i="36"/>
  <c r="R10" i="36"/>
  <c r="Z10" i="36"/>
  <c r="C17" i="36"/>
  <c r="K17" i="36"/>
  <c r="S17" i="36"/>
  <c r="AC31" i="36"/>
  <c r="AC39" i="36"/>
  <c r="J3" i="36"/>
  <c r="A53" i="36" s="1"/>
  <c r="R3" i="36"/>
  <c r="Z3" i="36"/>
  <c r="C10" i="36"/>
  <c r="K10" i="36"/>
  <c r="S10" i="36"/>
  <c r="D17" i="36"/>
  <c r="L17" i="36"/>
  <c r="T17" i="36"/>
  <c r="A30" i="36"/>
  <c r="O39" i="36"/>
  <c r="A43" i="36"/>
  <c r="A47" i="36"/>
  <c r="A51" i="36"/>
  <c r="D10" i="36"/>
  <c r="L10" i="36"/>
  <c r="T10" i="36"/>
  <c r="E17" i="36"/>
  <c r="M17" i="36"/>
  <c r="U17" i="36"/>
  <c r="A31" i="36"/>
  <c r="AC33" i="36"/>
  <c r="AC34" i="36"/>
  <c r="AC35" i="36"/>
  <c r="AC36" i="36"/>
  <c r="AC37" i="36"/>
  <c r="AC53" i="36"/>
  <c r="F17" i="36"/>
  <c r="N17" i="36"/>
  <c r="V17" i="36"/>
  <c r="A32" i="36"/>
  <c r="AC38" i="36"/>
  <c r="E3" i="36"/>
  <c r="M3" i="36"/>
  <c r="F10" i="36"/>
  <c r="N10" i="36"/>
  <c r="G17" i="36"/>
  <c r="O17" i="36"/>
  <c r="AC21" i="35"/>
  <c r="AC7" i="35"/>
  <c r="AB14" i="35"/>
  <c r="AC14" i="35"/>
  <c r="AA7" i="35"/>
  <c r="AA21" i="35"/>
  <c r="S39" i="35"/>
  <c r="AC30" i="35" s="1"/>
  <c r="AD30" i="35" s="1"/>
  <c r="AC38" i="35"/>
  <c r="AD38" i="35" s="1"/>
  <c r="AC52" i="35"/>
  <c r="AD52" i="35" s="1"/>
  <c r="F3" i="35"/>
  <c r="A34" i="35" s="1"/>
  <c r="N3" i="35"/>
  <c r="V3" i="35"/>
  <c r="G10" i="35"/>
  <c r="O10" i="35"/>
  <c r="W10" i="35"/>
  <c r="H17" i="35"/>
  <c r="P17" i="35"/>
  <c r="X17" i="35"/>
  <c r="A35" i="35"/>
  <c r="A36" i="35"/>
  <c r="H10" i="35"/>
  <c r="P10" i="35"/>
  <c r="X10" i="35"/>
  <c r="I17" i="35"/>
  <c r="Q17" i="35"/>
  <c r="Y17" i="35"/>
  <c r="A38" i="35"/>
  <c r="AC42" i="35"/>
  <c r="AD42" i="35" s="1"/>
  <c r="AC43" i="35"/>
  <c r="AD43" i="35" s="1"/>
  <c r="AC44" i="35"/>
  <c r="AD44" i="35" s="1"/>
  <c r="AC45" i="35"/>
  <c r="AD45" i="35" s="1"/>
  <c r="AC46" i="35"/>
  <c r="AD46" i="35" s="1"/>
  <c r="AC47" i="35"/>
  <c r="AD47" i="35" s="1"/>
  <c r="AC48" i="35"/>
  <c r="AD48" i="35" s="1"/>
  <c r="AC49" i="35"/>
  <c r="AD49" i="35" s="1"/>
  <c r="AC50" i="35"/>
  <c r="AD50" i="35" s="1"/>
  <c r="AC51" i="35"/>
  <c r="AD51" i="35" s="1"/>
  <c r="J17" i="35"/>
  <c r="R17" i="35"/>
  <c r="Z17" i="35"/>
  <c r="AC40" i="35"/>
  <c r="AD40" i="35" s="1"/>
  <c r="AC41" i="35"/>
  <c r="AD41" i="35" s="1"/>
  <c r="O65" i="35"/>
  <c r="J10" i="35"/>
  <c r="R10" i="35"/>
  <c r="Z10" i="35"/>
  <c r="C17" i="35"/>
  <c r="K17" i="35"/>
  <c r="S17" i="35"/>
  <c r="AC31" i="35"/>
  <c r="AD31" i="35" s="1"/>
  <c r="AC39" i="35"/>
  <c r="AD39" i="35" s="1"/>
  <c r="J3" i="35"/>
  <c r="A44" i="35" s="1"/>
  <c r="R3" i="35"/>
  <c r="A52" i="35" s="1"/>
  <c r="C10" i="35"/>
  <c r="K10" i="35"/>
  <c r="S10" i="35"/>
  <c r="D17" i="35"/>
  <c r="L17" i="35"/>
  <c r="T17" i="35"/>
  <c r="A30" i="35"/>
  <c r="AC32" i="35"/>
  <c r="AD32" i="35" s="1"/>
  <c r="O39" i="35"/>
  <c r="A45" i="35"/>
  <c r="A46" i="35"/>
  <c r="A49" i="35"/>
  <c r="E17" i="35"/>
  <c r="M17" i="35"/>
  <c r="U17" i="35"/>
  <c r="A31" i="35"/>
  <c r="AC33" i="35"/>
  <c r="AD33" i="35" s="1"/>
  <c r="AC34" i="35"/>
  <c r="AD34" i="35" s="1"/>
  <c r="AC35" i="35"/>
  <c r="AD35" i="35" s="1"/>
  <c r="AC36" i="35"/>
  <c r="AD36" i="35" s="1"/>
  <c r="AC37" i="35"/>
  <c r="AD37" i="35" s="1"/>
  <c r="A41" i="35"/>
  <c r="AC53" i="35"/>
  <c r="AD53" i="35" s="1"/>
  <c r="F17" i="35"/>
  <c r="N17" i="35"/>
  <c r="V17" i="35"/>
  <c r="A32" i="35"/>
  <c r="F10" i="35"/>
  <c r="N10" i="35"/>
  <c r="G17" i="35"/>
  <c r="O17" i="35"/>
  <c r="E54" i="1"/>
  <c r="AA43" i="38"/>
  <c r="AA41" i="37"/>
  <c r="AA32" i="37"/>
  <c r="AA31" i="37"/>
  <c r="AA42" i="37"/>
  <c r="AA36" i="37"/>
  <c r="AA30" i="37"/>
  <c r="AA51" i="36"/>
  <c r="AA32" i="36"/>
  <c r="AA53" i="36"/>
  <c r="AA30" i="36"/>
  <c r="AA43" i="36"/>
  <c r="AA47" i="36"/>
  <c r="AA31" i="36"/>
  <c r="AA34" i="35"/>
  <c r="AA35" i="35"/>
  <c r="AA38" i="35"/>
  <c r="AA41" i="35"/>
  <c r="AA36" i="35"/>
  <c r="AA44" i="35"/>
  <c r="AA30" i="35"/>
  <c r="AA52" i="35"/>
  <c r="AA45" i="35"/>
  <c r="AA46" i="35"/>
  <c r="AA32" i="35"/>
  <c r="AA49" i="35"/>
  <c r="AA31" i="35"/>
  <c r="A50" i="38" l="1"/>
  <c r="A49" i="38"/>
  <c r="AC49" i="38"/>
  <c r="AD49" i="38" s="1"/>
  <c r="AC35" i="38"/>
  <c r="AD35" i="38" s="1"/>
  <c r="A48" i="38"/>
  <c r="A30" i="38"/>
  <c r="AC40" i="38"/>
  <c r="AD40" i="38" s="1"/>
  <c r="AC48" i="38"/>
  <c r="AD48" i="38" s="1"/>
  <c r="AC32" i="38"/>
  <c r="AD32" i="38" s="1"/>
  <c r="AC52" i="38"/>
  <c r="AD52" i="38" s="1"/>
  <c r="AC34" i="38"/>
  <c r="AD34" i="38" s="1"/>
  <c r="A47" i="38"/>
  <c r="AC30" i="38"/>
  <c r="AD30" i="38" s="1"/>
  <c r="AC47" i="38"/>
  <c r="AD47" i="38" s="1"/>
  <c r="AC36" i="38"/>
  <c r="AD36" i="38" s="1"/>
  <c r="AC41" i="38"/>
  <c r="AD41" i="38" s="1"/>
  <c r="A40" i="38"/>
  <c r="AC33" i="38"/>
  <c r="AD33" i="38" s="1"/>
  <c r="A46" i="38"/>
  <c r="AC39" i="38"/>
  <c r="AD39" i="38" s="1"/>
  <c r="AC46" i="38"/>
  <c r="AD46" i="38" s="1"/>
  <c r="A45" i="38"/>
  <c r="A32" i="38"/>
  <c r="A52" i="38"/>
  <c r="A44" i="38"/>
  <c r="AC44" i="38"/>
  <c r="AD44" i="38" s="1"/>
  <c r="AC53" i="38"/>
  <c r="AD53" i="38" s="1"/>
  <c r="A51" i="38"/>
  <c r="AC51" i="38"/>
  <c r="AD51" i="38" s="1"/>
  <c r="A37" i="38"/>
  <c r="A42" i="38"/>
  <c r="A41" i="38"/>
  <c r="A31" i="38"/>
  <c r="A35" i="38"/>
  <c r="A34" i="38"/>
  <c r="A33" i="38"/>
  <c r="A36" i="38"/>
  <c r="A53" i="38"/>
  <c r="A39" i="38"/>
  <c r="A38" i="38"/>
  <c r="A48" i="37"/>
  <c r="A47" i="37"/>
  <c r="A39" i="37"/>
  <c r="A37" i="37"/>
  <c r="A46" i="37"/>
  <c r="A38" i="37"/>
  <c r="A45" i="37"/>
  <c r="A52" i="37"/>
  <c r="A44" i="37"/>
  <c r="A53" i="37"/>
  <c r="A34" i="37"/>
  <c r="A51" i="37"/>
  <c r="A43" i="37"/>
  <c r="AC54" i="37"/>
  <c r="A33" i="37"/>
  <c r="A50" i="37"/>
  <c r="A35" i="37"/>
  <c r="A40" i="37"/>
  <c r="A49" i="37"/>
  <c r="A38" i="36"/>
  <c r="A50" i="36"/>
  <c r="A34" i="36"/>
  <c r="A35" i="36"/>
  <c r="A33" i="36"/>
  <c r="A37" i="36"/>
  <c r="A36" i="36"/>
  <c r="A41" i="36"/>
  <c r="A49" i="36"/>
  <c r="AC32" i="36"/>
  <c r="AC46" i="36"/>
  <c r="A40" i="36"/>
  <c r="A48" i="36"/>
  <c r="AC45" i="36"/>
  <c r="A46" i="36"/>
  <c r="A45" i="36"/>
  <c r="AC50" i="36"/>
  <c r="AC42" i="36"/>
  <c r="A52" i="36"/>
  <c r="A44" i="36"/>
  <c r="AC41" i="36"/>
  <c r="A39" i="36"/>
  <c r="A42" i="36"/>
  <c r="A51" i="35"/>
  <c r="A43" i="35"/>
  <c r="A33" i="35"/>
  <c r="A50" i="35"/>
  <c r="A53" i="35"/>
  <c r="A48" i="35"/>
  <c r="A42" i="35"/>
  <c r="A47" i="35"/>
  <c r="A39" i="35"/>
  <c r="A37" i="35"/>
  <c r="A40" i="35"/>
  <c r="AD54" i="35"/>
  <c r="AE30" i="35" s="1"/>
  <c r="AC54" i="35"/>
  <c r="AA49" i="38"/>
  <c r="AA35" i="38"/>
  <c r="AA44" i="38"/>
  <c r="AA46" i="38"/>
  <c r="AA34" i="38"/>
  <c r="AA33" i="38"/>
  <c r="AA40" i="38"/>
  <c r="AA47" i="38"/>
  <c r="AA51" i="38"/>
  <c r="AA50" i="38"/>
  <c r="AA48" i="38"/>
  <c r="AA36" i="38"/>
  <c r="AA42" i="38"/>
  <c r="AA38" i="38"/>
  <c r="AA30" i="38"/>
  <c r="AA45" i="38"/>
  <c r="AA37" i="38"/>
  <c r="AA53" i="38"/>
  <c r="AA39" i="38"/>
  <c r="AA32" i="38"/>
  <c r="AA31" i="38"/>
  <c r="AA52" i="38"/>
  <c r="AA41" i="38"/>
  <c r="AA39" i="37"/>
  <c r="AA45" i="37"/>
  <c r="AA33" i="37"/>
  <c r="AA48" i="37"/>
  <c r="AA37" i="37"/>
  <c r="AA34" i="37"/>
  <c r="AA50" i="37"/>
  <c r="AA51" i="37"/>
  <c r="AA53" i="37"/>
  <c r="AA46" i="37"/>
  <c r="AA43" i="37"/>
  <c r="AA52" i="37"/>
  <c r="AA35" i="37"/>
  <c r="AA47" i="37"/>
  <c r="AA44" i="37"/>
  <c r="AA40" i="37"/>
  <c r="AA38" i="37"/>
  <c r="AA49" i="37"/>
  <c r="AA44" i="36"/>
  <c r="AA34" i="36"/>
  <c r="AA39" i="36"/>
  <c r="AA35" i="36"/>
  <c r="AA33" i="36"/>
  <c r="AA42" i="36"/>
  <c r="AA37" i="36"/>
  <c r="AA36" i="36"/>
  <c r="AA40" i="36"/>
  <c r="AA38" i="36"/>
  <c r="AA41" i="36"/>
  <c r="AA50" i="36"/>
  <c r="AA49" i="36"/>
  <c r="AA48" i="36"/>
  <c r="AA45" i="36"/>
  <c r="AA52" i="36"/>
  <c r="AA46" i="36"/>
  <c r="AA50" i="35"/>
  <c r="AA48" i="35"/>
  <c r="AA39" i="35"/>
  <c r="AA37" i="35"/>
  <c r="AA40" i="35"/>
  <c r="AA51" i="35"/>
  <c r="AA43" i="35"/>
  <c r="AA53" i="35"/>
  <c r="AA42" i="35"/>
  <c r="AA47" i="35"/>
  <c r="AA33" i="35"/>
  <c r="AC54" i="38" l="1"/>
  <c r="AD54" i="37"/>
  <c r="AE30" i="37" s="1"/>
  <c r="AD54" i="36"/>
  <c r="AE30" i="36" s="1"/>
  <c r="AC54" i="36"/>
  <c r="AE32" i="35"/>
  <c r="AE36" i="35"/>
  <c r="AE43" i="35"/>
  <c r="AE31" i="35"/>
  <c r="AE34" i="35"/>
  <c r="AE52" i="35"/>
  <c r="AE49" i="35"/>
  <c r="AF32" i="35"/>
  <c r="AF53" i="35"/>
  <c r="AF37" i="35"/>
  <c r="AE39" i="35"/>
  <c r="AE33" i="35"/>
  <c r="AE40" i="35"/>
  <c r="AE48" i="35"/>
  <c r="AE53" i="35"/>
  <c r="AE45" i="35"/>
  <c r="AE37" i="35"/>
  <c r="AE41" i="35"/>
  <c r="AE42" i="35"/>
  <c r="AE51" i="35"/>
  <c r="AE35" i="35"/>
  <c r="AE50" i="35"/>
  <c r="AE44" i="35"/>
  <c r="AE38" i="35"/>
  <c r="AE47" i="35"/>
  <c r="AE46" i="35"/>
  <c r="AD54" i="38" l="1"/>
  <c r="AF32" i="37"/>
  <c r="AF53" i="37"/>
  <c r="AF37" i="37"/>
  <c r="AE52" i="37"/>
  <c r="AE38" i="37"/>
  <c r="AE37" i="37"/>
  <c r="AE44" i="37"/>
  <c r="AE39" i="37"/>
  <c r="AE49" i="37"/>
  <c r="AE45" i="37"/>
  <c r="AE48" i="37"/>
  <c r="AE35" i="37"/>
  <c r="AE53" i="37"/>
  <c r="AE50" i="37"/>
  <c r="AE34" i="37"/>
  <c r="AE31" i="37"/>
  <c r="AE33" i="37"/>
  <c r="AE42" i="37"/>
  <c r="AE47" i="37"/>
  <c r="AE43" i="37"/>
  <c r="AE36" i="37"/>
  <c r="AE40" i="37"/>
  <c r="AE46" i="37"/>
  <c r="AE41" i="37"/>
  <c r="AE32" i="37"/>
  <c r="AE51" i="37"/>
  <c r="AE42" i="36"/>
  <c r="AE41" i="36"/>
  <c r="AE50" i="36"/>
  <c r="AE46" i="36"/>
  <c r="AF32" i="36"/>
  <c r="AF53" i="36"/>
  <c r="AF37" i="36"/>
  <c r="AE52" i="36"/>
  <c r="AE44" i="36"/>
  <c r="AE31" i="36"/>
  <c r="AE53" i="36"/>
  <c r="AE43" i="36"/>
  <c r="AE38" i="36"/>
  <c r="AE47" i="36"/>
  <c r="AE36" i="36"/>
  <c r="AE35" i="36"/>
  <c r="AE40" i="36"/>
  <c r="AE49" i="36"/>
  <c r="AE39" i="36"/>
  <c r="AE51" i="36"/>
  <c r="AE37" i="36"/>
  <c r="AE34" i="36"/>
  <c r="AE33" i="36"/>
  <c r="AE48" i="36"/>
  <c r="AE45" i="36"/>
  <c r="AE32" i="36"/>
  <c r="B16" i="1"/>
  <c r="B9" i="1"/>
  <c r="B2" i="1"/>
  <c r="B28" i="1"/>
  <c r="AF32" i="38" l="1"/>
  <c r="AF53" i="38"/>
  <c r="AF37" i="38"/>
  <c r="AE43" i="38"/>
  <c r="AE37" i="38"/>
  <c r="AE50" i="38"/>
  <c r="AE42" i="38"/>
  <c r="AE31" i="38"/>
  <c r="AE38" i="38"/>
  <c r="AE45" i="38"/>
  <c r="AE48" i="38"/>
  <c r="AE35" i="38"/>
  <c r="AE49" i="38"/>
  <c r="AE36" i="38"/>
  <c r="AE53" i="38"/>
  <c r="AE32" i="38"/>
  <c r="AE40" i="38"/>
  <c r="AE34" i="38"/>
  <c r="AE44" i="38"/>
  <c r="AE47" i="38"/>
  <c r="AE51" i="38"/>
  <c r="AE33" i="38"/>
  <c r="AE46" i="38"/>
  <c r="AE52" i="38"/>
  <c r="AE41" i="38"/>
  <c r="AE39" i="38"/>
  <c r="AE30" i="38"/>
  <c r="B1" i="1"/>
  <c r="H31" i="1" l="1"/>
  <c r="H32" i="1"/>
  <c r="H30" i="1"/>
  <c r="AD3" i="1"/>
  <c r="A29" i="1" s="1"/>
  <c r="AD10" i="1"/>
  <c r="AD17" i="1"/>
  <c r="AC20" i="1" l="1"/>
  <c r="AC19" i="1"/>
  <c r="AC18" i="1"/>
  <c r="AC13" i="1"/>
  <c r="AC12" i="1"/>
  <c r="AC11" i="1"/>
  <c r="AC6" i="1"/>
  <c r="AC5" i="1"/>
  <c r="AC4" i="1"/>
  <c r="Q65" i="1"/>
  <c r="P65" i="1"/>
  <c r="O65" i="1" s="1"/>
  <c r="O54" i="1"/>
  <c r="U65" i="1"/>
  <c r="T65" i="1"/>
  <c r="S65" i="1" s="1"/>
  <c r="U52" i="1"/>
  <c r="T52" i="1"/>
  <c r="S52" i="1" s="1"/>
  <c r="U39" i="1"/>
  <c r="T39" i="1"/>
  <c r="S39" i="1" s="1"/>
  <c r="Q52" i="1"/>
  <c r="P52" i="1"/>
  <c r="O52" i="1" s="1"/>
  <c r="S64" i="1"/>
  <c r="S63" i="1"/>
  <c r="S62" i="1"/>
  <c r="S61" i="1"/>
  <c r="S60" i="1"/>
  <c r="S59" i="1"/>
  <c r="S58" i="1"/>
  <c r="S57" i="1"/>
  <c r="S56" i="1"/>
  <c r="S31" i="1"/>
  <c r="S32" i="1"/>
  <c r="S33" i="1"/>
  <c r="S34" i="1"/>
  <c r="S35" i="1"/>
  <c r="S36" i="1"/>
  <c r="S37" i="1"/>
  <c r="S38" i="1"/>
  <c r="Q39" i="1" l="1"/>
  <c r="P39" i="1"/>
  <c r="O39" i="1" s="1"/>
  <c r="S51" i="1"/>
  <c r="S50" i="1"/>
  <c r="S49" i="1"/>
  <c r="S48" i="1"/>
  <c r="S47" i="1"/>
  <c r="S46" i="1"/>
  <c r="S45" i="1"/>
  <c r="S44" i="1"/>
  <c r="S43" i="1"/>
  <c r="S30" i="1"/>
  <c r="AB19" i="1"/>
  <c r="AB20" i="1"/>
  <c r="AB18" i="1"/>
  <c r="AA19" i="1"/>
  <c r="AA20" i="1"/>
  <c r="AA18" i="1"/>
  <c r="C53" i="1"/>
  <c r="C52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30" i="1"/>
  <c r="AB5" i="1"/>
  <c r="AB6" i="1"/>
  <c r="AB4" i="1"/>
  <c r="AA5" i="1"/>
  <c r="AA6" i="1"/>
  <c r="AA4" i="1"/>
  <c r="C17" i="1" a="1"/>
  <c r="Y17" i="1" s="1"/>
  <c r="C10" i="1" a="1"/>
  <c r="Z10" i="1" s="1"/>
  <c r="C3" i="1" a="1"/>
  <c r="C3" i="1" s="1"/>
  <c r="B49" i="1" l="1"/>
  <c r="B53" i="1"/>
  <c r="B51" i="1"/>
  <c r="B47" i="1"/>
  <c r="B43" i="1"/>
  <c r="B39" i="1"/>
  <c r="B35" i="1"/>
  <c r="B31" i="1"/>
  <c r="AC31" i="1"/>
  <c r="AC35" i="1"/>
  <c r="AC39" i="1"/>
  <c r="AC43" i="1"/>
  <c r="AC47" i="1"/>
  <c r="AC51" i="1"/>
  <c r="AC42" i="1"/>
  <c r="AC30" i="1"/>
  <c r="AC32" i="1"/>
  <c r="AC36" i="1"/>
  <c r="AC40" i="1"/>
  <c r="AC44" i="1"/>
  <c r="AC48" i="1"/>
  <c r="AC52" i="1"/>
  <c r="AC33" i="1"/>
  <c r="AC37" i="1"/>
  <c r="AC41" i="1"/>
  <c r="AC45" i="1"/>
  <c r="AC49" i="1"/>
  <c r="AC53" i="1"/>
  <c r="AC34" i="1"/>
  <c r="AC38" i="1"/>
  <c r="AC46" i="1"/>
  <c r="AC50" i="1"/>
  <c r="A30" i="1"/>
  <c r="B30" i="1"/>
  <c r="B50" i="1"/>
  <c r="B46" i="1"/>
  <c r="B42" i="1"/>
  <c r="B38" i="1"/>
  <c r="B34" i="1"/>
  <c r="B45" i="1"/>
  <c r="B41" i="1"/>
  <c r="B37" i="1"/>
  <c r="B33" i="1"/>
  <c r="B52" i="1"/>
  <c r="B48" i="1"/>
  <c r="B44" i="1"/>
  <c r="B40" i="1"/>
  <c r="B36" i="1"/>
  <c r="B32" i="1"/>
  <c r="J17" i="1"/>
  <c r="R17" i="1"/>
  <c r="Z17" i="1"/>
  <c r="C17" i="1"/>
  <c r="K17" i="1"/>
  <c r="S17" i="1"/>
  <c r="D17" i="1"/>
  <c r="H17" i="1"/>
  <c r="L17" i="1"/>
  <c r="P17" i="1"/>
  <c r="T17" i="1"/>
  <c r="X17" i="1"/>
  <c r="F17" i="1"/>
  <c r="N17" i="1"/>
  <c r="V17" i="1"/>
  <c r="G17" i="1"/>
  <c r="O17" i="1"/>
  <c r="W17" i="1"/>
  <c r="E17" i="1"/>
  <c r="I17" i="1"/>
  <c r="M17" i="1"/>
  <c r="Q17" i="1"/>
  <c r="U17" i="1"/>
  <c r="C10" i="1"/>
  <c r="G10" i="1"/>
  <c r="K10" i="1"/>
  <c r="O10" i="1"/>
  <c r="S10" i="1"/>
  <c r="W10" i="1"/>
  <c r="D10" i="1"/>
  <c r="H10" i="1"/>
  <c r="L10" i="1"/>
  <c r="P10" i="1"/>
  <c r="T10" i="1"/>
  <c r="X10" i="1"/>
  <c r="E10" i="1"/>
  <c r="I10" i="1"/>
  <c r="M10" i="1"/>
  <c r="Q10" i="1"/>
  <c r="U10" i="1"/>
  <c r="Y10" i="1"/>
  <c r="F10" i="1"/>
  <c r="J10" i="1"/>
  <c r="N10" i="1"/>
  <c r="R10" i="1"/>
  <c r="V10" i="1"/>
  <c r="Z3" i="1"/>
  <c r="V3" i="1"/>
  <c r="R3" i="1"/>
  <c r="N3" i="1"/>
  <c r="J3" i="1"/>
  <c r="F3" i="1"/>
  <c r="Y3" i="1"/>
  <c r="U3" i="1"/>
  <c r="Q3" i="1"/>
  <c r="M3" i="1"/>
  <c r="I3" i="1"/>
  <c r="E3" i="1"/>
  <c r="X3" i="1"/>
  <c r="T3" i="1"/>
  <c r="P3" i="1"/>
  <c r="L3" i="1"/>
  <c r="H3" i="1"/>
  <c r="D3" i="1"/>
  <c r="A31" i="1" s="1"/>
  <c r="W3" i="1"/>
  <c r="S3" i="1"/>
  <c r="O3" i="1"/>
  <c r="K3" i="1"/>
  <c r="G3" i="1"/>
  <c r="O41" i="1"/>
  <c r="AB13" i="1"/>
  <c r="AA13" i="1"/>
  <c r="AB12" i="1"/>
  <c r="AA12" i="1"/>
  <c r="AB11" i="1"/>
  <c r="AA11" i="1"/>
  <c r="O28" i="1"/>
  <c r="G58" i="1"/>
  <c r="G59" i="1"/>
  <c r="G57" i="1"/>
  <c r="AC7" i="1"/>
  <c r="AB7" i="1"/>
  <c r="AA7" i="1"/>
  <c r="AA31" i="1"/>
  <c r="AA30" i="1"/>
  <c r="D54" i="1" l="1"/>
  <c r="AA14" i="1"/>
  <c r="AC14" i="1" l="1"/>
  <c r="A53" i="1"/>
  <c r="A50" i="1"/>
  <c r="A47" i="1"/>
  <c r="A45" i="1"/>
  <c r="AB14" i="1"/>
  <c r="A35" i="1"/>
  <c r="A40" i="1"/>
  <c r="A33" i="1"/>
  <c r="A49" i="1"/>
  <c r="A42" i="1"/>
  <c r="A36" i="1"/>
  <c r="A38" i="1"/>
  <c r="A39" i="1"/>
  <c r="A44" i="1"/>
  <c r="A37" i="1"/>
  <c r="A52" i="1"/>
  <c r="A46" i="1"/>
  <c r="A51" i="1"/>
  <c r="A43" i="1"/>
  <c r="A32" i="1"/>
  <c r="A48" i="1"/>
  <c r="A41" i="1"/>
  <c r="A34" i="1"/>
  <c r="AB21" i="1"/>
  <c r="AA21" i="1"/>
  <c r="AC21" i="1"/>
  <c r="AA34" i="1"/>
  <c r="AA42" i="1"/>
  <c r="AA47" i="1"/>
  <c r="AA35" i="1"/>
  <c r="AA52" i="1"/>
  <c r="AA51" i="1"/>
  <c r="AA53" i="1"/>
  <c r="AA44" i="1"/>
  <c r="AA43" i="1"/>
  <c r="AA48" i="1"/>
  <c r="AA50" i="1"/>
  <c r="AA36" i="1"/>
  <c r="AA46" i="1"/>
  <c r="AA38" i="1"/>
  <c r="AA39" i="1"/>
  <c r="AA33" i="1"/>
  <c r="AA32" i="1"/>
  <c r="AA49" i="1"/>
  <c r="AA40" i="1"/>
  <c r="AA41" i="1"/>
  <c r="AA45" i="1"/>
  <c r="AA37" i="1"/>
  <c r="AD52" i="1" l="1"/>
  <c r="AD48" i="1"/>
  <c r="AD44" i="1"/>
  <c r="AD51" i="1"/>
  <c r="AD47" i="1"/>
  <c r="AD50" i="1"/>
  <c r="AD46" i="1"/>
  <c r="AD49" i="1"/>
  <c r="AD45" i="1"/>
  <c r="AD31" i="1"/>
  <c r="AD39" i="1"/>
  <c r="AD32" i="1"/>
  <c r="AD40" i="1"/>
  <c r="AD33" i="1"/>
  <c r="AD41" i="1"/>
  <c r="AD34" i="1"/>
  <c r="AD42" i="1"/>
  <c r="AD35" i="1"/>
  <c r="AD43" i="1"/>
  <c r="AD36" i="1"/>
  <c r="AD37" i="1"/>
  <c r="AD38" i="1"/>
  <c r="AC54" i="1" l="1"/>
  <c r="AD53" i="1"/>
  <c r="AD30" i="1"/>
  <c r="AD54" i="1" l="1"/>
</calcChain>
</file>

<file path=xl/sharedStrings.xml><?xml version="1.0" encoding="utf-8"?>
<sst xmlns="http://schemas.openxmlformats.org/spreadsheetml/2006/main" count="589" uniqueCount="75">
  <si>
    <t>Bank</t>
  </si>
  <si>
    <t>Slot1</t>
  </si>
  <si>
    <t>Slot2</t>
  </si>
  <si>
    <t>Slot3</t>
  </si>
  <si>
    <t>Tier</t>
  </si>
  <si>
    <t>Min</t>
  </si>
  <si>
    <t>Max</t>
  </si>
  <si>
    <t>Average</t>
  </si>
  <si>
    <t>SCB</t>
  </si>
  <si>
    <t>TMB</t>
  </si>
  <si>
    <t>BBL</t>
  </si>
  <si>
    <t>KBANK</t>
  </si>
  <si>
    <t>BNP</t>
  </si>
  <si>
    <t>KTB</t>
  </si>
  <si>
    <t>GSB</t>
  </si>
  <si>
    <t>HSBC</t>
  </si>
  <si>
    <t>Rank</t>
  </si>
  <si>
    <t>Amount</t>
  </si>
  <si>
    <t>Auction Result</t>
  </si>
  <si>
    <t>Auction Amt.</t>
  </si>
  <si>
    <t>Input Auction</t>
  </si>
  <si>
    <t>T+2</t>
  </si>
  <si>
    <t>T+3</t>
  </si>
  <si>
    <t>Yied(%)</t>
  </si>
  <si>
    <t>Bonds</t>
  </si>
  <si>
    <t>CB19207A</t>
  </si>
  <si>
    <t>Available</t>
  </si>
  <si>
    <t>Institution tier limit</t>
  </si>
  <si>
    <t>Tier 1</t>
  </si>
  <si>
    <t>Tier 2</t>
  </si>
  <si>
    <t>Tier 3</t>
  </si>
  <si>
    <t>% Limit</t>
  </si>
  <si>
    <t>CIMBT</t>
  </si>
  <si>
    <t>BAY</t>
  </si>
  <si>
    <t>TBANK</t>
  </si>
  <si>
    <t>TISCOBANK</t>
  </si>
  <si>
    <t>SCBT</t>
  </si>
  <si>
    <t>CITIBANK</t>
  </si>
  <si>
    <t>KKP</t>
  </si>
  <si>
    <t>UOBT</t>
  </si>
  <si>
    <t>KGI</t>
  </si>
  <si>
    <t>BAML</t>
  </si>
  <si>
    <t>JP_MORGAN</t>
  </si>
  <si>
    <t>ANZT</t>
  </si>
  <si>
    <t>DEUTSCHE_BANK</t>
  </si>
  <si>
    <t>CNS</t>
  </si>
  <si>
    <t>PHATRA</t>
  </si>
  <si>
    <t>MBKET</t>
  </si>
  <si>
    <t>CB19209A</t>
  </si>
  <si>
    <t>% Portion</t>
  </si>
  <si>
    <t>BET(T+2)</t>
  </si>
  <si>
    <t>BET(T+3)</t>
  </si>
  <si>
    <t>Instiitution tier and Condition Table</t>
  </si>
  <si>
    <t>Last Exec.Yield %</t>
  </si>
  <si>
    <t>Model Yield(%)</t>
  </si>
  <si>
    <t>Convexity</t>
  </si>
  <si>
    <t>TB19327A</t>
  </si>
  <si>
    <t>Note</t>
  </si>
  <si>
    <t>Impiled Yield</t>
  </si>
  <si>
    <t>Cumulative</t>
  </si>
  <si>
    <t>LastTradeDate</t>
  </si>
  <si>
    <t>Mod. Duration</t>
  </si>
  <si>
    <t>Remaining -&gt;</t>
  </si>
  <si>
    <t>Miss Target -&gt;</t>
  </si>
  <si>
    <t>Mkt. Yield(%)</t>
  </si>
  <si>
    <t>Indicative</t>
  </si>
  <si>
    <t>1.2-1.3</t>
  </si>
  <si>
    <t>Rec. Yield(%)</t>
  </si>
  <si>
    <t>Rec. Amt.</t>
  </si>
  <si>
    <t>Amt.</t>
  </si>
  <si>
    <t>ThaiBMA Auction Result</t>
  </si>
  <si>
    <t>Result</t>
  </si>
  <si>
    <t>2Oct</t>
  </si>
  <si>
    <t>25Sep</t>
  </si>
  <si>
    <t>24Oct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</si>
</sst>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000"/>
    <numFmt numFmtId="166" formatCode="_(* #,##0_);_(* \(#,##0\);_(* &quot;-&quot;??_);_(@_)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0" fillId="0" borderId="0"/>
  </cellStyleXfs>
  <cellXfs count="63">
    <xf numFmtId="0" fontId="0" fillId="0" borderId="0" xfId="0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4" fillId="0" borderId="0" xfId="0" applyFont="1"/>
    <xf numFmtId="0" fontId="0" fillId="0" borderId="2" xfId="0" applyBorder="1" applyAlignment="1">
      <alignment horizontal="center" vertical="center"/>
    </xf>
    <xf numFmtId="0" fontId="3" fillId="3" borderId="1" xfId="4" applyAlignment="1">
      <alignment horizontal="center"/>
    </xf>
    <xf numFmtId="0" fontId="3" fillId="3" borderId="1" xfId="4"/>
    <xf numFmtId="9" fontId="3" fillId="3" borderId="1" xfId="4" applyNumberFormat="1"/>
    <xf numFmtId="0" fontId="4" fillId="4" borderId="2" xfId="0" applyFont="1" applyFill="1" applyBorder="1" applyAlignment="1">
      <alignment horizontal="center"/>
    </xf>
    <xf numFmtId="0" fontId="3" fillId="3" borderId="4" xfId="4" applyBorder="1" applyAlignment="1">
      <alignment horizontal="center"/>
    </xf>
    <xf numFmtId="0" fontId="3" fillId="3" borderId="2" xfId="4" applyBorder="1" applyAlignment="1">
      <alignment horizontal="center"/>
    </xf>
    <xf numFmtId="0" fontId="3" fillId="3" borderId="1" xfId="4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0" fontId="0" fillId="0" borderId="8" xfId="2" applyNumberFormat="1" applyFont="1" applyBorder="1" applyAlignment="1">
      <alignment horizontal="center"/>
    </xf>
    <xf numFmtId="0" fontId="3" fillId="3" borderId="1" xfId="4" applyAlignment="1">
      <alignment horizontal="left" vertical="center"/>
    </xf>
    <xf numFmtId="164" fontId="0" fillId="0" borderId="0" xfId="0" applyNumberFormat="1" applyAlignment="1">
      <alignment horizontal="center"/>
    </xf>
    <xf numFmtId="164" fontId="2" fillId="2" borderId="2" xfId="3" applyNumberFormat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164" fontId="0" fillId="0" borderId="2" xfId="0" applyNumberFormat="1" applyBorder="1"/>
    <xf numFmtId="0" fontId="3" fillId="3" borderId="2" xfId="4" applyBorder="1"/>
    <xf numFmtId="10" fontId="0" fillId="0" borderId="3" xfId="2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0" fontId="0" fillId="0" borderId="2" xfId="0" applyBorder="1" applyAlignment="1">
      <alignment horizontal="righ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2" xfId="0" applyFont="1" applyBorder="1"/>
    <xf numFmtId="0" fontId="8" fillId="0" borderId="2" xfId="0" applyFont="1" applyBorder="1"/>
    <xf numFmtId="0" fontId="9" fillId="0" borderId="2" xfId="0" applyFont="1" applyBorder="1"/>
    <xf numFmtId="0" fontId="0" fillId="7" borderId="2" xfId="0" applyFont="1" applyFill="1" applyBorder="1" applyAlignment="1">
      <alignment horizontal="center"/>
    </xf>
    <xf numFmtId="0" fontId="10" fillId="0" borderId="0" xfId="5"/>
    <xf numFmtId="0" fontId="4" fillId="0" borderId="0" xfId="0" applyFont="1" applyAlignment="1">
      <alignment horizontal="right"/>
    </xf>
    <xf numFmtId="14" fontId="0" fillId="0" borderId="2" xfId="0" applyNumberFormat="1" applyBorder="1"/>
    <xf numFmtId="165" fontId="0" fillId="0" borderId="2" xfId="0" applyNumberFormat="1" applyBorder="1"/>
    <xf numFmtId="0" fontId="4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6" fillId="8" borderId="1" xfId="4" applyFont="1" applyFill="1"/>
    <xf numFmtId="0" fontId="11" fillId="0" borderId="0" xfId="0" applyFont="1"/>
    <xf numFmtId="15" fontId="0" fillId="0" borderId="0" xfId="0" applyNumberFormat="1"/>
    <xf numFmtId="49" fontId="0" fillId="0" borderId="0" xfId="0" applyNumberFormat="1"/>
    <xf numFmtId="0" fontId="4" fillId="0" borderId="9" xfId="0" applyFont="1" applyBorder="1"/>
    <xf numFmtId="164" fontId="4" fillId="0" borderId="9" xfId="0" applyNumberFormat="1" applyFont="1" applyBorder="1"/>
    <xf numFmtId="0" fontId="6" fillId="8" borderId="2" xfId="4" applyNumberFormat="1" applyFont="1" applyFill="1" applyBorder="1" applyAlignment="1">
      <alignment horizontal="center"/>
    </xf>
    <xf numFmtId="0" fontId="12" fillId="0" borderId="0" xfId="0" applyFont="1"/>
    <xf numFmtId="164" fontId="0" fillId="0" borderId="0" xfId="0" applyNumberFormat="1"/>
    <xf numFmtId="0" fontId="13" fillId="9" borderId="0" xfId="0" applyFont="1" applyFill="1"/>
    <xf numFmtId="43" fontId="4" fillId="0" borderId="9" xfId="1" applyFont="1" applyBorder="1"/>
    <xf numFmtId="166" fontId="6" fillId="8" borderId="1" xfId="1" applyNumberFormat="1" applyFont="1" applyFill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0" fillId="0" borderId="0" xfId="0" quotePrefix="1"/>
    <xf numFmtId="14" fontId="14" fillId="0" borderId="10" xfId="0" applyNumberFormat="1" applyFont="1" applyBorder="1" applyAlignment="1"/>
    <xf numFmtId="15" fontId="14" fillId="0" borderId="0" xfId="0" applyNumberFormat="1" applyFont="1" applyAlignment="1">
      <alignment horizontal="center"/>
    </xf>
  </cellXfs>
  <cellStyles count="6">
    <cellStyle name="Comma" xfId="1" builtinId="3"/>
    <cellStyle name="Good" xfId="3" builtinId="26"/>
    <cellStyle name="Input" xfId="4" builtinId="20"/>
    <cellStyle name="Normal" xfId="0" builtinId="0"/>
    <cellStyle name="Normal 2 3 12 4" xfId="5" xr:uid="{46101C59-0C9A-4CA2-94FC-CDB299D98255}"/>
    <cellStyle name="Percent" xfId="2" builtinId="5"/>
  </cellStyles>
  <dxfs count="13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103093</xdr:colOff>
          <xdr:row>50</xdr:row>
          <xdr:rowOff>173803</xdr:rowOff>
        </xdr:from>
        <xdr:to>
          <xdr:col>11</xdr:col>
          <xdr:colOff>436513</xdr:colOff>
          <xdr:row>52</xdr:row>
          <xdr:rowOff>188057</xdr:rowOff>
        </xdr:to>
        <xdr:sp macro="" textlink="">
          <xdr:nvSpPr>
            <xdr:cNvPr id="1026" name="btn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1120</xdr:colOff>
          <xdr:row>51</xdr:row>
          <xdr:rowOff>11317</xdr:rowOff>
        </xdr:from>
        <xdr:to>
          <xdr:col>7</xdr:col>
          <xdr:colOff>440884</xdr:colOff>
          <xdr:row>53</xdr:row>
          <xdr:rowOff>9793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B9CB3908-DF7C-464D-93D0-334F4582C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513005</xdr:colOff>
          <xdr:row>50</xdr:row>
          <xdr:rowOff>175148</xdr:rowOff>
        </xdr:from>
        <xdr:to>
          <xdr:col>8</xdr:col>
          <xdr:colOff>818679</xdr:colOff>
          <xdr:row>52</xdr:row>
          <xdr:rowOff>189402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4DCBE80D-E1C4-4C5C-A41D-C83A573E4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925381</xdr:colOff>
          <xdr:row>50</xdr:row>
          <xdr:rowOff>174364</xdr:rowOff>
        </xdr:from>
        <xdr:to>
          <xdr:col>9</xdr:col>
          <xdr:colOff>1114805</xdr:colOff>
          <xdr:row>52</xdr:row>
          <xdr:rowOff>188618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6A6E97FA-92C5-4DE4-9F87-669AC7670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103093</xdr:colOff>
          <xdr:row>50</xdr:row>
          <xdr:rowOff>173803</xdr:rowOff>
        </xdr:from>
        <xdr:to>
          <xdr:col>11</xdr:col>
          <xdr:colOff>440323</xdr:colOff>
          <xdr:row>52</xdr:row>
          <xdr:rowOff>188057</xdr:rowOff>
        </xdr:to>
        <xdr:sp macro="" textlink="">
          <xdr:nvSpPr>
            <xdr:cNvPr id="17409" name="btnFor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A0AEB588-16E3-4397-9D39-65C352FFF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1120</xdr:colOff>
          <xdr:row>51</xdr:row>
          <xdr:rowOff>11317</xdr:rowOff>
        </xdr:from>
        <xdr:to>
          <xdr:col>7</xdr:col>
          <xdr:colOff>440884</xdr:colOff>
          <xdr:row>53</xdr:row>
          <xdr:rowOff>9793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E3B9242B-B4C7-459F-A721-F185AC2D8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513005</xdr:colOff>
          <xdr:row>50</xdr:row>
          <xdr:rowOff>175148</xdr:rowOff>
        </xdr:from>
        <xdr:to>
          <xdr:col>8</xdr:col>
          <xdr:colOff>818679</xdr:colOff>
          <xdr:row>52</xdr:row>
          <xdr:rowOff>189402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EF335CB5-BA94-4BD8-ACFE-2BE2339C7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925381</xdr:colOff>
          <xdr:row>50</xdr:row>
          <xdr:rowOff>174364</xdr:rowOff>
        </xdr:from>
        <xdr:to>
          <xdr:col>9</xdr:col>
          <xdr:colOff>1114805</xdr:colOff>
          <xdr:row>52</xdr:row>
          <xdr:rowOff>188618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EC4F9515-1CE0-471D-861E-114F233FF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103093</xdr:colOff>
          <xdr:row>50</xdr:row>
          <xdr:rowOff>173803</xdr:rowOff>
        </xdr:from>
        <xdr:to>
          <xdr:col>11</xdr:col>
          <xdr:colOff>436513</xdr:colOff>
          <xdr:row>52</xdr:row>
          <xdr:rowOff>188057</xdr:rowOff>
        </xdr:to>
        <xdr:sp macro="" textlink="">
          <xdr:nvSpPr>
            <xdr:cNvPr id="16385" name="btnForm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8573D577-B5A4-48B3-A843-3E648478A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1120</xdr:colOff>
          <xdr:row>51</xdr:row>
          <xdr:rowOff>11317</xdr:rowOff>
        </xdr:from>
        <xdr:to>
          <xdr:col>7</xdr:col>
          <xdr:colOff>440884</xdr:colOff>
          <xdr:row>53</xdr:row>
          <xdr:rowOff>9793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5FCCDE7C-5DF5-4C94-9174-5AF185079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513005</xdr:colOff>
          <xdr:row>50</xdr:row>
          <xdr:rowOff>175148</xdr:rowOff>
        </xdr:from>
        <xdr:to>
          <xdr:col>8</xdr:col>
          <xdr:colOff>818679</xdr:colOff>
          <xdr:row>52</xdr:row>
          <xdr:rowOff>189402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9322B0E-16BE-4420-937B-449400941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925381</xdr:colOff>
          <xdr:row>50</xdr:row>
          <xdr:rowOff>174364</xdr:rowOff>
        </xdr:from>
        <xdr:to>
          <xdr:col>9</xdr:col>
          <xdr:colOff>1114805</xdr:colOff>
          <xdr:row>52</xdr:row>
          <xdr:rowOff>188618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8FE50500-D2E0-43D8-A89A-6DC5BD38E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103093</xdr:colOff>
          <xdr:row>50</xdr:row>
          <xdr:rowOff>173803</xdr:rowOff>
        </xdr:from>
        <xdr:to>
          <xdr:col>11</xdr:col>
          <xdr:colOff>440323</xdr:colOff>
          <xdr:row>52</xdr:row>
          <xdr:rowOff>188057</xdr:rowOff>
        </xdr:to>
        <xdr:sp macro="" textlink="">
          <xdr:nvSpPr>
            <xdr:cNvPr id="18433" name="btnForm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D3933132-0786-4F6E-8102-8ED4CDCEF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1120</xdr:colOff>
          <xdr:row>51</xdr:row>
          <xdr:rowOff>11317</xdr:rowOff>
        </xdr:from>
        <xdr:to>
          <xdr:col>7</xdr:col>
          <xdr:colOff>440884</xdr:colOff>
          <xdr:row>53</xdr:row>
          <xdr:rowOff>9793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6651090F-95DA-4808-A98F-D983A948B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513005</xdr:colOff>
          <xdr:row>50</xdr:row>
          <xdr:rowOff>175148</xdr:rowOff>
        </xdr:from>
        <xdr:to>
          <xdr:col>8</xdr:col>
          <xdr:colOff>818679</xdr:colOff>
          <xdr:row>52</xdr:row>
          <xdr:rowOff>189402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AFDE4234-D90A-455C-A111-CE498CF15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925381</xdr:colOff>
          <xdr:row>50</xdr:row>
          <xdr:rowOff>174364</xdr:rowOff>
        </xdr:from>
        <xdr:to>
          <xdr:col>9</xdr:col>
          <xdr:colOff>1114805</xdr:colOff>
          <xdr:row>52</xdr:row>
          <xdr:rowOff>188618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3762839D-6032-4E04-A8C6-F2C8DB263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103093</xdr:colOff>
          <xdr:row>50</xdr:row>
          <xdr:rowOff>173803</xdr:rowOff>
        </xdr:from>
        <xdr:to>
          <xdr:col>11</xdr:col>
          <xdr:colOff>440323</xdr:colOff>
          <xdr:row>52</xdr:row>
          <xdr:rowOff>188057</xdr:rowOff>
        </xdr:to>
        <xdr:sp macro="" textlink="">
          <xdr:nvSpPr>
            <xdr:cNvPr id="15361" name="btnForm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1ED7F6AE-770D-424B-90DA-E04C216A3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1120</xdr:colOff>
          <xdr:row>51</xdr:row>
          <xdr:rowOff>11317</xdr:rowOff>
        </xdr:from>
        <xdr:to>
          <xdr:col>7</xdr:col>
          <xdr:colOff>440884</xdr:colOff>
          <xdr:row>53</xdr:row>
          <xdr:rowOff>9793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506ED257-1F33-4CEB-9E21-B581DBE17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513005</xdr:colOff>
          <xdr:row>50</xdr:row>
          <xdr:rowOff>175148</xdr:rowOff>
        </xdr:from>
        <xdr:to>
          <xdr:col>8</xdr:col>
          <xdr:colOff>818679</xdr:colOff>
          <xdr:row>52</xdr:row>
          <xdr:rowOff>189402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43327CEA-A0E3-4C19-B85E-65CA5F45E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Impiled Yield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925381</xdr:colOff>
          <xdr:row>50</xdr:row>
          <xdr:rowOff>174364</xdr:rowOff>
        </xdr:from>
        <xdr:to>
          <xdr:col>9</xdr:col>
          <xdr:colOff>1114805</xdr:colOff>
          <xdr:row>52</xdr:row>
          <xdr:rowOff>188618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18BE542D-21C6-4D04-9861-D73C45EBB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0090E-C668-4318-85DC-1592295F760B}">
  <sheetPr codeName="Sheet1"/>
  <dimension ref="A1:AS66"/>
  <sheetViews>
    <sheetView topLeftCell="B13" zoomScale="85" zoomScaleNormal="85" workbookViewId="0">
      <selection activeCell="D67" sqref="D67"/>
    </sheetView>
  </sheetViews>
  <sheetFormatPr defaultRowHeight="14.4" outlineLevelRow="1" outlineLevelCol="1"/>
  <cols>
    <col min="1" max="1" width="8.109375" hidden="1" customWidth="1"/>
    <col min="2" max="2" width="10.6640625" customWidth="1"/>
    <col min="3" max="3" width="10" customWidth="1"/>
    <col min="4" max="4" width="13.109375" customWidth="1"/>
    <col min="5" max="5" width="14.77734375" customWidth="1"/>
    <col min="6" max="6" width="9" customWidth="1"/>
    <col min="7" max="7" width="13.33203125" customWidth="1"/>
    <col min="8" max="8" width="15.21875" customWidth="1"/>
    <col min="9" max="9" width="16.88671875" customWidth="1"/>
    <col min="10" max="10" width="16.44140625" customWidth="1"/>
    <col min="11" max="11" width="15" customWidth="1"/>
    <col min="12" max="12" width="15.109375" customWidth="1"/>
    <col min="13" max="13" width="14.88671875" customWidth="1"/>
    <col min="14" max="14" width="12.6640625" customWidth="1"/>
    <col min="15" max="15" width="11.44140625" customWidth="1"/>
    <col min="16" max="16" width="12.6640625" customWidth="1"/>
    <col min="18" max="18" width="13.109375" customWidth="1"/>
    <col min="19" max="19" width="10.88671875" customWidth="1"/>
    <col min="20" max="20" width="12.88671875" customWidth="1"/>
    <col min="21" max="21" width="12.21875" customWidth="1"/>
    <col min="22" max="22" width="11.6640625" customWidth="1"/>
    <col min="23" max="23" width="12.44140625" customWidth="1" outlineLevel="1"/>
    <col min="24" max="24" width="10.88671875" customWidth="1" outlineLevel="1"/>
    <col min="25" max="25" width="10.6640625" customWidth="1" outlineLevel="1"/>
    <col min="26" max="26" width="11.21875" customWidth="1" outlineLevel="1"/>
    <col min="27" max="27" width="11.21875" customWidth="1"/>
    <col min="28" max="28" width="12.109375" customWidth="1"/>
    <col min="29" max="29" width="12.21875" customWidth="1"/>
    <col min="30" max="30" width="12.44140625" customWidth="1"/>
    <col min="31" max="31" width="9.44140625" customWidth="1"/>
    <col min="34" max="34" width="4.44140625" customWidth="1"/>
    <col min="36" max="36" width="23.88671875" customWidth="1"/>
    <col min="41" max="41" width="13.44140625" customWidth="1"/>
    <col min="42" max="42" width="16" customWidth="1"/>
    <col min="43" max="43" width="10" customWidth="1"/>
  </cols>
  <sheetData>
    <row r="1" spans="2:45" ht="16.5" customHeight="1">
      <c r="B1" s="61" t="str">
        <f xml:space="preserve"> "Auction Dashboard "</f>
        <v xml:space="preserve">Auction Dashboard </v>
      </c>
      <c r="C1" s="61"/>
      <c r="D1" s="62">
        <v>43368</v>
      </c>
      <c r="E1" s="42"/>
    </row>
    <row r="2" spans="2:45" ht="16.2" customHeight="1">
      <c r="B2" s="54" t="str">
        <f>G30</f>
        <v>TB19327A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6"/>
      <c r="AD2" s="49"/>
    </row>
    <row r="3" spans="2:45">
      <c r="B3" s="20" t="s">
        <v>0</v>
      </c>
      <c r="C3" s="21" t="str">
        <f t="array" ref="C3:Z3">TRANSPOSE($AB$30:$AB$53)</f>
        <v>BNP</v>
      </c>
      <c r="D3" s="21" t="str">
        <v>BBL</v>
      </c>
      <c r="E3" s="21" t="str">
        <v>KBANK</v>
      </c>
      <c r="F3" s="21" t="str">
        <v>TMB</v>
      </c>
      <c r="G3" s="21" t="str">
        <v>KTB</v>
      </c>
      <c r="H3" s="21" t="str">
        <v>CIMBT</v>
      </c>
      <c r="I3" s="21" t="str">
        <v>BAY</v>
      </c>
      <c r="J3" s="21" t="str">
        <v>SCB</v>
      </c>
      <c r="K3" s="21" t="str">
        <v>TBANK</v>
      </c>
      <c r="L3" s="21" t="str">
        <v>TISCOBANK</v>
      </c>
      <c r="M3" s="21" t="str">
        <v>SCBT</v>
      </c>
      <c r="N3" s="21" t="str">
        <v>HSBC</v>
      </c>
      <c r="O3" s="21" t="str">
        <v>CITIBANK</v>
      </c>
      <c r="P3" s="21" t="str">
        <v>KKP</v>
      </c>
      <c r="Q3" s="21" t="str">
        <v>UOBT</v>
      </c>
      <c r="R3" s="21" t="str">
        <v>GSB</v>
      </c>
      <c r="S3" s="21" t="str">
        <v>KGI</v>
      </c>
      <c r="T3" s="21" t="str">
        <v>BAML</v>
      </c>
      <c r="U3" s="21" t="str">
        <v>JP_MORGAN</v>
      </c>
      <c r="V3" s="21" t="str">
        <v>ANZT</v>
      </c>
      <c r="W3" s="21" t="str">
        <v>DEUTSCHE_BANK</v>
      </c>
      <c r="X3" s="21" t="str">
        <v>CNS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 t="str">
        <f>G30</f>
        <v>TB19327A</v>
      </c>
      <c r="AS3" s="4"/>
    </row>
    <row r="4" spans="2:45">
      <c r="B4" s="20" t="s">
        <v>1</v>
      </c>
      <c r="C4" s="6"/>
      <c r="D4" s="6">
        <v>2.1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8">
        <f>MIN(C4:Z4)</f>
        <v>2.1</v>
      </c>
      <c r="AB4" s="18">
        <f>MAX(C4:Z4)</f>
        <v>2.1</v>
      </c>
      <c r="AC4" s="18">
        <f>IFERROR(AVERAGE(C4:Z4),0)</f>
        <v>2.1</v>
      </c>
      <c r="AD4" s="49"/>
    </row>
    <row r="5" spans="2:45">
      <c r="B5" s="20" t="s">
        <v>2</v>
      </c>
      <c r="C5" s="6"/>
      <c r="D5" s="6"/>
      <c r="E5" s="6"/>
      <c r="F5" s="6">
        <v>2</v>
      </c>
      <c r="G5" s="6"/>
      <c r="H5" s="6"/>
      <c r="I5" s="6"/>
      <c r="J5" s="6"/>
      <c r="K5" s="6"/>
      <c r="L5" s="6">
        <v>1.5</v>
      </c>
      <c r="M5" s="6"/>
      <c r="N5" s="6">
        <v>4</v>
      </c>
      <c r="O5" s="6"/>
      <c r="P5" s="6">
        <v>3</v>
      </c>
      <c r="Q5" s="6"/>
      <c r="R5" s="6"/>
      <c r="S5" s="6"/>
      <c r="T5" s="6"/>
      <c r="U5" s="6"/>
      <c r="V5" s="6"/>
      <c r="W5" s="6"/>
      <c r="X5" s="6"/>
      <c r="Y5" s="6"/>
      <c r="Z5" s="6"/>
      <c r="AA5" s="18">
        <f>MIN(C5:Z5)</f>
        <v>1.5</v>
      </c>
      <c r="AB5" s="18">
        <f>MAX(C5:Z5)</f>
        <v>4</v>
      </c>
      <c r="AC5" s="18">
        <f>IFERROR(AVERAGE(C5:Z5),0)</f>
        <v>2.625</v>
      </c>
      <c r="AD5" s="49"/>
    </row>
    <row r="6" spans="2:45">
      <c r="B6" s="20" t="s">
        <v>3</v>
      </c>
      <c r="C6" s="10"/>
      <c r="D6" s="10"/>
      <c r="E6" s="10"/>
      <c r="F6" s="10"/>
      <c r="G6" s="10"/>
      <c r="H6" s="10"/>
      <c r="I6" s="10">
        <v>3</v>
      </c>
      <c r="J6" s="10">
        <v>2.2999999999999998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2.2999999999999998</v>
      </c>
      <c r="AB6" s="18">
        <f>MAX(C6:Z6)</f>
        <v>3</v>
      </c>
      <c r="AC6" s="18">
        <f>IFERROR(AVERAGE(C6:Z6),0)</f>
        <v>2.65</v>
      </c>
      <c r="AD6" s="49"/>
    </row>
    <row r="7" spans="2:45">
      <c r="B7" s="20" t="s">
        <v>65</v>
      </c>
      <c r="C7" s="46" t="s">
        <v>66</v>
      </c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2.2999999999999998</v>
      </c>
      <c r="AB7" s="19">
        <f>MAX(AB4:AB6)</f>
        <v>4</v>
      </c>
      <c r="AC7" s="19">
        <f>MAX(AC4:AC6)</f>
        <v>2.65</v>
      </c>
      <c r="AD7" s="49"/>
      <c r="AF7" s="48"/>
    </row>
    <row r="8" spans="2:45">
      <c r="B8" s="47"/>
      <c r="AD8" s="49"/>
    </row>
    <row r="9" spans="2:45" outlineLevel="1">
      <c r="B9" s="54" t="str">
        <f>G31</f>
        <v>CB19209A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6"/>
      <c r="AD9" s="49"/>
    </row>
    <row r="10" spans="2:45" outlineLevel="1">
      <c r="B10" s="20" t="s">
        <v>0</v>
      </c>
      <c r="C10" s="21" t="str">
        <f t="array" ref="C10:Z10">TRANSPOSE($AB$30:$AB$53)</f>
        <v>BNP</v>
      </c>
      <c r="D10" s="21" t="str">
        <v>BBL</v>
      </c>
      <c r="E10" s="21" t="str">
        <v>KBANK</v>
      </c>
      <c r="F10" s="21" t="str">
        <v>TMB</v>
      </c>
      <c r="G10" s="21" t="str">
        <v>KTB</v>
      </c>
      <c r="H10" s="21" t="str">
        <v>CIMBT</v>
      </c>
      <c r="I10" s="21" t="str">
        <v>BAY</v>
      </c>
      <c r="J10" s="21" t="str">
        <v>SCB</v>
      </c>
      <c r="K10" s="21" t="str">
        <v>TBANK</v>
      </c>
      <c r="L10" s="21" t="str">
        <v>TISCOBANK</v>
      </c>
      <c r="M10" s="21" t="str">
        <v>SCBT</v>
      </c>
      <c r="N10" s="21" t="str">
        <v>HSBC</v>
      </c>
      <c r="O10" s="21" t="str">
        <v>CITIBANK</v>
      </c>
      <c r="P10" s="21" t="str">
        <v>KKP</v>
      </c>
      <c r="Q10" s="21" t="str">
        <v>UOBT</v>
      </c>
      <c r="R10" s="21" t="str">
        <v>GSB</v>
      </c>
      <c r="S10" s="21" t="str">
        <v>KGI</v>
      </c>
      <c r="T10" s="21" t="str">
        <v>BAML</v>
      </c>
      <c r="U10" s="21" t="str">
        <v>JP_MORGAN</v>
      </c>
      <c r="V10" s="21" t="str">
        <v>ANZT</v>
      </c>
      <c r="W10" s="21" t="str">
        <v>DEUTSCHE_BANK</v>
      </c>
      <c r="X10" s="21" t="str">
        <v>CNS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 t="str">
        <f>G31</f>
        <v>CB19209A</v>
      </c>
    </row>
    <row r="11" spans="2:45" outlineLevel="1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>
      <c r="B14" s="20" t="s">
        <v>65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>
      <c r="AD15" s="49"/>
    </row>
    <row r="16" spans="2:45" hidden="1" outlineLevel="1">
      <c r="B16" s="54" t="str">
        <f>G32</f>
        <v>CB19207A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6"/>
      <c r="AD16" s="49"/>
    </row>
    <row r="17" spans="1:36" hidden="1" outlineLevel="1">
      <c r="B17" s="20" t="s">
        <v>0</v>
      </c>
      <c r="C17" s="21" t="str">
        <f t="array" ref="C17:Z17">TRANSPOSE($AB$30:$AB$53)</f>
        <v>BNP</v>
      </c>
      <c r="D17" s="21" t="str">
        <v>BBL</v>
      </c>
      <c r="E17" s="21" t="str">
        <v>KBANK</v>
      </c>
      <c r="F17" s="21" t="str">
        <v>TMB</v>
      </c>
      <c r="G17" s="21" t="str">
        <v>KTB</v>
      </c>
      <c r="H17" s="21" t="str">
        <v>CIMBT</v>
      </c>
      <c r="I17" s="21" t="str">
        <v>BAY</v>
      </c>
      <c r="J17" s="21" t="str">
        <v>SCB</v>
      </c>
      <c r="K17" s="21" t="str">
        <v>TBANK</v>
      </c>
      <c r="L17" s="21" t="str">
        <v>TISCOBANK</v>
      </c>
      <c r="M17" s="21" t="str">
        <v>SCBT</v>
      </c>
      <c r="N17" s="21" t="str">
        <v>HSBC</v>
      </c>
      <c r="O17" s="21" t="str">
        <v>CITIBANK</v>
      </c>
      <c r="P17" s="21" t="str">
        <v>KKP</v>
      </c>
      <c r="Q17" s="21" t="str">
        <v>UOBT</v>
      </c>
      <c r="R17" s="21" t="str">
        <v>GSB</v>
      </c>
      <c r="S17" s="21" t="str">
        <v>KGI</v>
      </c>
      <c r="T17" s="21" t="str">
        <v>BAML</v>
      </c>
      <c r="U17" s="21" t="str">
        <v>JP_MORGAN</v>
      </c>
      <c r="V17" s="21" t="str">
        <v>ANZT</v>
      </c>
      <c r="W17" s="21" t="str">
        <v>DEUTSCHE_BANK</v>
      </c>
      <c r="X17" s="21" t="str">
        <v>CNS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 t="str">
        <f>G32</f>
        <v>CB19207A</v>
      </c>
    </row>
    <row r="18" spans="1:36" hidden="1" outlineLevel="1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>
      <c r="B21" s="20" t="s">
        <v>65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/>
    <row r="23" spans="1:36" hidden="1" outlineLevel="1"/>
    <row r="24" spans="1:36" hidden="1" outlineLevel="1"/>
    <row r="25" spans="1:36" hidden="1" outlineLevel="1"/>
    <row r="26" spans="1:36" hidden="1" outlineLevel="1"/>
    <row r="27" spans="1:36" collapsed="1"/>
    <row r="28" spans="1:36" ht="24.75" customHeight="1">
      <c r="B28" s="25" t="str">
        <f>"Auction Recommend : "</f>
        <v xml:space="preserve">Auction Recommend : </v>
      </c>
      <c r="D28" s="12" t="str">
        <f>G30</f>
        <v>TB19327A</v>
      </c>
      <c r="G28" s="4" t="s">
        <v>20</v>
      </c>
      <c r="O28" s="27" t="str">
        <f>"Auction Excute : " &amp; G30</f>
        <v>Auction Excute : TB19327A</v>
      </c>
      <c r="S28" s="4" t="s">
        <v>18</v>
      </c>
      <c r="W28" s="4" t="s">
        <v>52</v>
      </c>
    </row>
    <row r="29" spans="1:36">
      <c r="A29" s="41">
        <f>MATCH($D$28,$AD$1:$AD$21,0)</f>
        <v>3</v>
      </c>
      <c r="B29" s="20" t="s">
        <v>16</v>
      </c>
      <c r="C29" s="20" t="s">
        <v>0</v>
      </c>
      <c r="D29" s="20" t="s">
        <v>68</v>
      </c>
      <c r="E29" s="20" t="s">
        <v>67</v>
      </c>
      <c r="G29" s="20" t="s">
        <v>24</v>
      </c>
      <c r="H29" s="20" t="s">
        <v>17</v>
      </c>
      <c r="I29" s="20" t="s">
        <v>21</v>
      </c>
      <c r="J29" s="20" t="s">
        <v>22</v>
      </c>
      <c r="K29" s="20" t="s">
        <v>50</v>
      </c>
      <c r="L29" s="20" t="s">
        <v>51</v>
      </c>
      <c r="M29" s="20" t="s">
        <v>57</v>
      </c>
      <c r="O29" s="20" t="s">
        <v>0</v>
      </c>
      <c r="P29" s="20" t="s">
        <v>69</v>
      </c>
      <c r="Q29" s="20" t="s">
        <v>23</v>
      </c>
      <c r="S29" s="20" t="s">
        <v>0</v>
      </c>
      <c r="T29" s="20" t="s">
        <v>69</v>
      </c>
      <c r="U29" s="20" t="s">
        <v>23</v>
      </c>
      <c r="W29" s="20" t="s">
        <v>4</v>
      </c>
      <c r="X29" s="20" t="s">
        <v>16</v>
      </c>
      <c r="Y29" s="20" t="s">
        <v>21</v>
      </c>
      <c r="Z29" s="20" t="s">
        <v>22</v>
      </c>
      <c r="AA29" s="20" t="s">
        <v>26</v>
      </c>
      <c r="AB29" s="20" t="s">
        <v>0</v>
      </c>
      <c r="AC29" s="20" t="s">
        <v>19</v>
      </c>
      <c r="AD29" s="20" t="s">
        <v>59</v>
      </c>
      <c r="AE29" s="20" t="s">
        <v>49</v>
      </c>
      <c r="AF29" s="20" t="s">
        <v>31</v>
      </c>
      <c r="AJ29" s="60"/>
    </row>
    <row r="30" spans="1:36">
      <c r="A30">
        <f t="shared" ref="A30:A53" si="0">MATCH(C30,$A$3:$Z$3,0)</f>
        <v>3</v>
      </c>
      <c r="B30" s="3">
        <f t="shared" ref="B30:B53" si="1">INDEX($X$30:$X$53,MATCH(C30,$AB$30:$AB$53,0))</f>
        <v>1</v>
      </c>
      <c r="C30" s="1" t="str">
        <f t="shared" ref="C30:C53" si="2">AB30</f>
        <v>BNP</v>
      </c>
      <c r="D30" s="26">
        <v>3570</v>
      </c>
      <c r="E30" s="22">
        <v>2.6446999999999998</v>
      </c>
      <c r="G30" s="7" t="s">
        <v>56</v>
      </c>
      <c r="H30" s="51">
        <f>SUM(I30:L30)</f>
        <v>10200</v>
      </c>
      <c r="I30" s="7">
        <v>9600</v>
      </c>
      <c r="J30" s="7">
        <v>600</v>
      </c>
      <c r="K30" s="7"/>
      <c r="L30" s="7"/>
      <c r="M30" s="7"/>
      <c r="O30" s="23" t="s">
        <v>12</v>
      </c>
      <c r="P30" s="23">
        <v>5000</v>
      </c>
      <c r="Q30" s="11"/>
      <c r="S30" s="2" t="str">
        <f>IF(ISBLANK(O30),"",O30)</f>
        <v>BNP</v>
      </c>
      <c r="T30" s="23">
        <v>5000</v>
      </c>
      <c r="U30" s="11"/>
      <c r="W30" s="33">
        <v>1</v>
      </c>
      <c r="X30" s="5">
        <v>1</v>
      </c>
      <c r="Y30" s="5">
        <v>1</v>
      </c>
      <c r="Z30" s="5">
        <v>1</v>
      </c>
      <c r="AA30" s="5">
        <f t="shared" ref="AA30:AA53" ca="1" si="3">IF(SUM(OFFSET(INDIRECT(ADDRESS($A$29,$A30)),1,0,3)) &gt; 0,1,0)</f>
        <v>0</v>
      </c>
      <c r="AB30" s="17" t="s">
        <v>12</v>
      </c>
      <c r="AC30" s="3">
        <f t="shared" ref="AC30:AC53" si="4">SUMIF($S$30:$S$64,AB30,$T$30:$T$64)</f>
        <v>5000</v>
      </c>
      <c r="AD30" s="3">
        <f>AC30</f>
        <v>5000</v>
      </c>
      <c r="AE30" s="24">
        <f>IFERROR(AD30/$AD$54,0)</f>
        <v>0.49019607843137253</v>
      </c>
      <c r="AF30" s="14"/>
    </row>
    <row r="31" spans="1:36">
      <c r="A31">
        <f t="shared" si="0"/>
        <v>4</v>
      </c>
      <c r="B31" s="3">
        <f t="shared" si="1"/>
        <v>2</v>
      </c>
      <c r="C31" s="1" t="str">
        <f t="shared" si="2"/>
        <v>BBL</v>
      </c>
      <c r="D31" s="26">
        <v>3060</v>
      </c>
      <c r="E31" s="22">
        <v>2.6473499999999999</v>
      </c>
      <c r="G31" s="7" t="s">
        <v>48</v>
      </c>
      <c r="H31" s="51">
        <f t="shared" ref="H31:H32" si="5">SUM(I31:L31)</f>
        <v>6200</v>
      </c>
      <c r="I31" s="7">
        <v>5200</v>
      </c>
      <c r="J31" s="7"/>
      <c r="K31" s="7">
        <v>1000</v>
      </c>
      <c r="L31" s="7"/>
      <c r="M31" s="7"/>
      <c r="O31" s="23" t="s">
        <v>10</v>
      </c>
      <c r="P31" s="23">
        <v>2200</v>
      </c>
      <c r="Q31" s="23"/>
      <c r="S31" s="2" t="str">
        <f t="shared" ref="S31:S38" si="6">IF(ISBLANK(O31),"",O31)</f>
        <v>BBL</v>
      </c>
      <c r="T31" s="23">
        <v>2200</v>
      </c>
      <c r="U31" s="23"/>
      <c r="W31" s="33">
        <v>1</v>
      </c>
      <c r="X31" s="5">
        <v>2</v>
      </c>
      <c r="Y31" s="5">
        <v>1</v>
      </c>
      <c r="Z31" s="5">
        <v>0</v>
      </c>
      <c r="AA31" s="5">
        <f t="shared" ca="1" si="3"/>
        <v>1</v>
      </c>
      <c r="AB31" s="17" t="s">
        <v>10</v>
      </c>
      <c r="AC31" s="3">
        <f t="shared" si="4"/>
        <v>2200</v>
      </c>
      <c r="AD31" s="3">
        <f t="shared" ref="AD31:AD53" si="7">AC31</f>
        <v>2200</v>
      </c>
      <c r="AE31" s="24">
        <f t="shared" ref="AE31:AE53" si="8">IFERROR(AD31/$AD$54,0)</f>
        <v>0.21568627450980393</v>
      </c>
      <c r="AF31" s="15"/>
    </row>
    <row r="32" spans="1:36">
      <c r="A32">
        <f t="shared" si="0"/>
        <v>5</v>
      </c>
      <c r="B32" s="3">
        <f t="shared" si="1"/>
        <v>3</v>
      </c>
      <c r="C32" s="1" t="str">
        <f t="shared" si="2"/>
        <v>KBANK</v>
      </c>
      <c r="D32" s="26">
        <v>2550</v>
      </c>
      <c r="E32" s="22">
        <v>2.65</v>
      </c>
      <c r="G32" s="7" t="s">
        <v>25</v>
      </c>
      <c r="H32" s="51">
        <f t="shared" si="5"/>
        <v>0</v>
      </c>
      <c r="I32" s="7"/>
      <c r="J32" s="7"/>
      <c r="K32" s="7"/>
      <c r="L32" s="7"/>
      <c r="M32" s="7"/>
      <c r="O32" s="23" t="s">
        <v>11</v>
      </c>
      <c r="P32" s="23">
        <v>3000</v>
      </c>
      <c r="Q32" s="23"/>
      <c r="S32" s="2" t="str">
        <f t="shared" si="6"/>
        <v>KBANK</v>
      </c>
      <c r="T32" s="23">
        <v>3000</v>
      </c>
      <c r="U32" s="23"/>
      <c r="W32" s="33">
        <v>1</v>
      </c>
      <c r="X32" s="5">
        <v>3</v>
      </c>
      <c r="Y32" s="5">
        <v>1</v>
      </c>
      <c r="Z32" s="5">
        <v>1</v>
      </c>
      <c r="AA32" s="5">
        <f t="shared" ca="1" si="3"/>
        <v>0</v>
      </c>
      <c r="AB32" s="17" t="s">
        <v>11</v>
      </c>
      <c r="AC32" s="3">
        <f t="shared" si="4"/>
        <v>3000</v>
      </c>
      <c r="AD32" s="3">
        <f t="shared" si="7"/>
        <v>3000</v>
      </c>
      <c r="AE32" s="16">
        <f t="shared" si="8"/>
        <v>0.29411764705882354</v>
      </c>
      <c r="AF32" s="16">
        <f>IFERROR(SUMIF($W$30:$W$53,$W$32,$AD$30:$AD$53)/$AD$54,0)</f>
        <v>1</v>
      </c>
    </row>
    <row r="33" spans="1:32">
      <c r="A33">
        <f t="shared" si="0"/>
        <v>6</v>
      </c>
      <c r="B33" s="3">
        <f t="shared" si="1"/>
        <v>4</v>
      </c>
      <c r="C33" s="1" t="str">
        <f t="shared" si="2"/>
        <v>TMB</v>
      </c>
      <c r="D33" s="26">
        <v>1020</v>
      </c>
      <c r="E33" s="22">
        <v>2.65265</v>
      </c>
      <c r="G33" s="34"/>
      <c r="O33" s="23"/>
      <c r="P33" s="23"/>
      <c r="Q33" s="23"/>
      <c r="S33" s="2" t="str">
        <f t="shared" si="6"/>
        <v/>
      </c>
      <c r="T33" s="23"/>
      <c r="U33" s="23"/>
      <c r="W33" s="3">
        <v>2</v>
      </c>
      <c r="X33" s="5">
        <v>4</v>
      </c>
      <c r="Y33" s="5">
        <v>1</v>
      </c>
      <c r="Z33" s="5">
        <v>1</v>
      </c>
      <c r="AA33" s="5">
        <f t="shared" ca="1" si="3"/>
        <v>1</v>
      </c>
      <c r="AB33" s="17" t="s">
        <v>9</v>
      </c>
      <c r="AC33" s="3">
        <f t="shared" si="4"/>
        <v>0</v>
      </c>
      <c r="AD33" s="13">
        <f t="shared" si="7"/>
        <v>0</v>
      </c>
      <c r="AE33" s="24">
        <f t="shared" si="8"/>
        <v>0</v>
      </c>
      <c r="AF33" s="15"/>
    </row>
    <row r="34" spans="1:32">
      <c r="A34">
        <f t="shared" si="0"/>
        <v>7</v>
      </c>
      <c r="B34" s="3">
        <f t="shared" si="1"/>
        <v>5</v>
      </c>
      <c r="C34" s="1" t="str">
        <f t="shared" si="2"/>
        <v>KTB</v>
      </c>
      <c r="D34" s="26"/>
      <c r="E34" s="22"/>
      <c r="G34" s="35"/>
      <c r="O34" s="23"/>
      <c r="P34" s="23"/>
      <c r="Q34" s="23"/>
      <c r="S34" s="2" t="str">
        <f t="shared" si="6"/>
        <v/>
      </c>
      <c r="T34" s="23"/>
      <c r="U34" s="23"/>
      <c r="W34" s="3">
        <v>2</v>
      </c>
      <c r="X34" s="5">
        <v>5</v>
      </c>
      <c r="Y34" s="5">
        <v>1</v>
      </c>
      <c r="Z34" s="5">
        <v>0</v>
      </c>
      <c r="AA34" s="5">
        <f t="shared" ca="1" si="3"/>
        <v>0</v>
      </c>
      <c r="AB34" s="17" t="s">
        <v>13</v>
      </c>
      <c r="AC34" s="3">
        <f t="shared" si="4"/>
        <v>0</v>
      </c>
      <c r="AD34" s="3">
        <f t="shared" si="7"/>
        <v>0</v>
      </c>
      <c r="AE34" s="24">
        <f t="shared" si="8"/>
        <v>0</v>
      </c>
      <c r="AF34" s="15"/>
    </row>
    <row r="35" spans="1:32">
      <c r="A35">
        <f t="shared" si="0"/>
        <v>8</v>
      </c>
      <c r="B35" s="3">
        <f t="shared" si="1"/>
        <v>6</v>
      </c>
      <c r="C35" s="1" t="str">
        <f t="shared" si="2"/>
        <v>CIMBT</v>
      </c>
      <c r="D35" s="26"/>
      <c r="E35" s="22"/>
      <c r="G35" s="4" t="s">
        <v>58</v>
      </c>
      <c r="O35" s="23"/>
      <c r="P35" s="23"/>
      <c r="Q35" s="23"/>
      <c r="S35" s="2" t="str">
        <f t="shared" si="6"/>
        <v/>
      </c>
      <c r="T35" s="23"/>
      <c r="U35" s="23"/>
      <c r="W35" s="3">
        <v>2</v>
      </c>
      <c r="X35" s="5">
        <v>6</v>
      </c>
      <c r="Y35" s="5">
        <v>1</v>
      </c>
      <c r="Z35" s="5">
        <v>0</v>
      </c>
      <c r="AA35" s="5">
        <f t="shared" ca="1" si="3"/>
        <v>0</v>
      </c>
      <c r="AB35" s="17" t="s">
        <v>32</v>
      </c>
      <c r="AC35" s="3">
        <f t="shared" si="4"/>
        <v>0</v>
      </c>
      <c r="AD35" s="3">
        <f t="shared" si="7"/>
        <v>0</v>
      </c>
      <c r="AE35" s="24">
        <f t="shared" si="8"/>
        <v>0</v>
      </c>
      <c r="AF35" s="15"/>
    </row>
    <row r="36" spans="1:32">
      <c r="A36">
        <f t="shared" si="0"/>
        <v>9</v>
      </c>
      <c r="B36" s="3">
        <f t="shared" si="1"/>
        <v>7</v>
      </c>
      <c r="C36" s="1" t="str">
        <f t="shared" si="2"/>
        <v>BAY</v>
      </c>
      <c r="D36" s="26"/>
      <c r="E36" s="22"/>
      <c r="G36" s="20" t="s">
        <v>24</v>
      </c>
      <c r="H36" s="20" t="s">
        <v>60</v>
      </c>
      <c r="I36" s="20" t="s">
        <v>53</v>
      </c>
      <c r="J36" s="20" t="s">
        <v>54</v>
      </c>
      <c r="K36" s="20" t="s">
        <v>64</v>
      </c>
      <c r="L36" s="20" t="s">
        <v>61</v>
      </c>
      <c r="M36" s="20" t="s">
        <v>55</v>
      </c>
      <c r="O36" s="23"/>
      <c r="P36" s="23"/>
      <c r="Q36" s="23"/>
      <c r="S36" s="2" t="str">
        <f t="shared" si="6"/>
        <v/>
      </c>
      <c r="T36" s="23"/>
      <c r="U36" s="23"/>
      <c r="W36" s="3">
        <v>2</v>
      </c>
      <c r="X36" s="5">
        <v>7</v>
      </c>
      <c r="Y36" s="5">
        <v>1</v>
      </c>
      <c r="Z36" s="5">
        <v>0</v>
      </c>
      <c r="AA36" s="5">
        <f t="shared" ca="1" si="3"/>
        <v>1</v>
      </c>
      <c r="AB36" s="17" t="s">
        <v>33</v>
      </c>
      <c r="AC36" s="3">
        <f t="shared" si="4"/>
        <v>0</v>
      </c>
      <c r="AD36" s="3">
        <f t="shared" si="7"/>
        <v>0</v>
      </c>
      <c r="AE36" s="24">
        <f t="shared" si="8"/>
        <v>0</v>
      </c>
      <c r="AF36" s="15"/>
    </row>
    <row r="37" spans="1:32" ht="16.5" customHeight="1">
      <c r="A37">
        <f t="shared" si="0"/>
        <v>10</v>
      </c>
      <c r="B37" s="3">
        <f t="shared" si="1"/>
        <v>8</v>
      </c>
      <c r="C37" s="1" t="str">
        <f t="shared" si="2"/>
        <v>SCB</v>
      </c>
      <c r="D37" s="26"/>
      <c r="E37" s="22"/>
      <c r="G37" s="38"/>
      <c r="H37" s="36"/>
      <c r="I37" s="22"/>
      <c r="J37" s="22"/>
      <c r="K37" s="22"/>
      <c r="L37" s="37"/>
      <c r="M37" s="37"/>
      <c r="O37" s="23"/>
      <c r="P37" s="23"/>
      <c r="Q37" s="23"/>
      <c r="S37" s="2" t="str">
        <f t="shared" si="6"/>
        <v/>
      </c>
      <c r="T37" s="23"/>
      <c r="U37" s="23"/>
      <c r="W37" s="3">
        <v>2</v>
      </c>
      <c r="X37" s="5">
        <v>8</v>
      </c>
      <c r="Y37" s="5">
        <v>1</v>
      </c>
      <c r="Z37" s="5">
        <v>0</v>
      </c>
      <c r="AA37" s="5">
        <f t="shared" ca="1" si="3"/>
        <v>1</v>
      </c>
      <c r="AB37" s="17" t="s">
        <v>8</v>
      </c>
      <c r="AC37" s="3">
        <f t="shared" si="4"/>
        <v>0</v>
      </c>
      <c r="AD37" s="3">
        <f t="shared" si="7"/>
        <v>0</v>
      </c>
      <c r="AE37" s="16">
        <f t="shared" si="8"/>
        <v>0</v>
      </c>
      <c r="AF37" s="16">
        <f>IFERROR(SUMIF($W$30:$W$53,$W$37,$AD$30:$AD$53)/$AD$54,0)</f>
        <v>0</v>
      </c>
    </row>
    <row r="38" spans="1:32">
      <c r="A38">
        <f t="shared" si="0"/>
        <v>11</v>
      </c>
      <c r="B38" s="3">
        <f t="shared" si="1"/>
        <v>9</v>
      </c>
      <c r="C38" s="1" t="str">
        <f t="shared" si="2"/>
        <v>TBANK</v>
      </c>
      <c r="D38" s="26"/>
      <c r="E38" s="22"/>
      <c r="G38" s="38"/>
      <c r="H38" s="36"/>
      <c r="I38" s="22"/>
      <c r="J38" s="22"/>
      <c r="K38" s="22"/>
      <c r="L38" s="37"/>
      <c r="M38" s="37"/>
      <c r="O38" s="23"/>
      <c r="P38" s="23"/>
      <c r="Q38" s="23"/>
      <c r="S38" s="2" t="str">
        <f t="shared" si="6"/>
        <v/>
      </c>
      <c r="T38" s="23"/>
      <c r="U38" s="23"/>
      <c r="W38" s="3">
        <v>3</v>
      </c>
      <c r="X38" s="5">
        <v>9</v>
      </c>
      <c r="Y38" s="5">
        <v>1</v>
      </c>
      <c r="Z38" s="5">
        <v>0</v>
      </c>
      <c r="AA38" s="5">
        <f t="shared" ca="1" si="3"/>
        <v>0</v>
      </c>
      <c r="AB38" s="17" t="s">
        <v>34</v>
      </c>
      <c r="AC38" s="3">
        <f t="shared" si="4"/>
        <v>0</v>
      </c>
      <c r="AD38" s="13">
        <f t="shared" si="7"/>
        <v>0</v>
      </c>
      <c r="AE38" s="24">
        <f t="shared" si="8"/>
        <v>0</v>
      </c>
      <c r="AF38" s="15"/>
    </row>
    <row r="39" spans="1:32" ht="15" thickBot="1">
      <c r="A39">
        <f t="shared" si="0"/>
        <v>12</v>
      </c>
      <c r="B39" s="3">
        <f t="shared" si="1"/>
        <v>10</v>
      </c>
      <c r="C39" s="1" t="str">
        <f t="shared" si="2"/>
        <v>TISCOBANK</v>
      </c>
      <c r="D39" s="26"/>
      <c r="E39" s="22"/>
      <c r="G39" s="38"/>
      <c r="H39" s="36"/>
      <c r="I39" s="22"/>
      <c r="J39" s="22"/>
      <c r="K39" s="22"/>
      <c r="L39" s="37"/>
      <c r="M39" s="37"/>
      <c r="N39" s="39" t="s">
        <v>62</v>
      </c>
      <c r="O39" s="40">
        <f>H30-P39</f>
        <v>0</v>
      </c>
      <c r="P39" s="50">
        <f>SUM(P30:P38)</f>
        <v>10200</v>
      </c>
      <c r="Q39" s="44">
        <f>IFERROR(AVERAGE(Q30:Q38),0)</f>
        <v>0</v>
      </c>
      <c r="R39" s="39" t="s">
        <v>63</v>
      </c>
      <c r="S39" s="40">
        <f>H30-T39</f>
        <v>0</v>
      </c>
      <c r="T39" s="50">
        <f>SUM(T30:T38)</f>
        <v>10200</v>
      </c>
      <c r="U39" s="44">
        <f>SUM(U30:U38)</f>
        <v>0</v>
      </c>
      <c r="W39" s="3">
        <v>3</v>
      </c>
      <c r="X39" s="5">
        <v>10</v>
      </c>
      <c r="Y39" s="5">
        <v>1</v>
      </c>
      <c r="Z39" s="5">
        <v>0</v>
      </c>
      <c r="AA39" s="5">
        <f t="shared" ca="1" si="3"/>
        <v>1</v>
      </c>
      <c r="AB39" s="17" t="s">
        <v>35</v>
      </c>
      <c r="AC39" s="3">
        <f t="shared" si="4"/>
        <v>0</v>
      </c>
      <c r="AD39" s="3">
        <f t="shared" si="7"/>
        <v>0</v>
      </c>
      <c r="AE39" s="24">
        <f t="shared" si="8"/>
        <v>0</v>
      </c>
      <c r="AF39" s="15"/>
    </row>
    <row r="40" spans="1:32" ht="15" thickTop="1">
      <c r="A40">
        <f t="shared" si="0"/>
        <v>13</v>
      </c>
      <c r="B40" s="3">
        <f t="shared" si="1"/>
        <v>11</v>
      </c>
      <c r="C40" s="1" t="str">
        <f t="shared" si="2"/>
        <v>SCBT</v>
      </c>
      <c r="D40" s="26"/>
      <c r="E40" s="22"/>
      <c r="G40" s="38"/>
      <c r="H40" s="36"/>
      <c r="I40" s="22"/>
      <c r="J40" s="22"/>
      <c r="K40" s="22"/>
      <c r="L40" s="37"/>
      <c r="M40" s="37"/>
      <c r="W40" s="3">
        <v>3</v>
      </c>
      <c r="X40" s="5">
        <v>11</v>
      </c>
      <c r="Y40" s="5">
        <v>1</v>
      </c>
      <c r="Z40" s="5">
        <v>0</v>
      </c>
      <c r="AA40" s="5">
        <f t="shared" ca="1" si="3"/>
        <v>0</v>
      </c>
      <c r="AB40" s="17" t="s">
        <v>36</v>
      </c>
      <c r="AC40" s="3">
        <f t="shared" si="4"/>
        <v>0</v>
      </c>
      <c r="AD40" s="3">
        <f t="shared" si="7"/>
        <v>0</v>
      </c>
      <c r="AE40" s="24">
        <f t="shared" si="8"/>
        <v>0</v>
      </c>
      <c r="AF40" s="15"/>
    </row>
    <row r="41" spans="1:32">
      <c r="A41">
        <f t="shared" si="0"/>
        <v>14</v>
      </c>
      <c r="B41" s="3">
        <f t="shared" si="1"/>
        <v>12</v>
      </c>
      <c r="C41" s="1" t="str">
        <f t="shared" si="2"/>
        <v>HSBC</v>
      </c>
      <c r="D41" s="26"/>
      <c r="E41" s="22"/>
      <c r="G41" s="38"/>
      <c r="H41" s="36"/>
      <c r="I41" s="22"/>
      <c r="J41" s="22"/>
      <c r="K41" s="22"/>
      <c r="L41" s="37"/>
      <c r="M41" s="37"/>
      <c r="O41" s="28" t="str">
        <f>"Auction Excute : " &amp;G31</f>
        <v>Auction Excute : CB19209A</v>
      </c>
      <c r="S41" s="4" t="s">
        <v>18</v>
      </c>
      <c r="W41" s="3">
        <v>3</v>
      </c>
      <c r="X41" s="5">
        <v>12</v>
      </c>
      <c r="Y41" s="5">
        <v>1</v>
      </c>
      <c r="Z41" s="5">
        <v>0</v>
      </c>
      <c r="AA41" s="5">
        <f t="shared" ca="1" si="3"/>
        <v>1</v>
      </c>
      <c r="AB41" s="17" t="s">
        <v>15</v>
      </c>
      <c r="AC41" s="3">
        <f t="shared" si="4"/>
        <v>0</v>
      </c>
      <c r="AD41" s="3">
        <f t="shared" si="7"/>
        <v>0</v>
      </c>
      <c r="AE41" s="24">
        <f t="shared" si="8"/>
        <v>0</v>
      </c>
      <c r="AF41" s="15"/>
    </row>
    <row r="42" spans="1:32">
      <c r="A42">
        <f t="shared" si="0"/>
        <v>15</v>
      </c>
      <c r="B42" s="3">
        <f t="shared" si="1"/>
        <v>13</v>
      </c>
      <c r="C42" s="1" t="str">
        <f t="shared" si="2"/>
        <v>CITIBANK</v>
      </c>
      <c r="D42" s="26"/>
      <c r="E42" s="22"/>
      <c r="G42" s="38"/>
      <c r="H42" s="36"/>
      <c r="I42" s="22"/>
      <c r="J42" s="22"/>
      <c r="K42" s="22"/>
      <c r="L42" s="37"/>
      <c r="M42" s="37"/>
      <c r="O42" s="20" t="s">
        <v>0</v>
      </c>
      <c r="P42" s="20" t="s">
        <v>69</v>
      </c>
      <c r="Q42" s="20" t="s">
        <v>23</v>
      </c>
      <c r="S42" s="20" t="s">
        <v>0</v>
      </c>
      <c r="T42" s="20" t="s">
        <v>69</v>
      </c>
      <c r="U42" s="20" t="s">
        <v>23</v>
      </c>
      <c r="W42" s="3">
        <v>3</v>
      </c>
      <c r="X42" s="5">
        <v>13</v>
      </c>
      <c r="Y42" s="5">
        <v>1</v>
      </c>
      <c r="Z42" s="5">
        <v>0</v>
      </c>
      <c r="AA42" s="5">
        <f t="shared" ca="1" si="3"/>
        <v>0</v>
      </c>
      <c r="AB42" s="17" t="s">
        <v>37</v>
      </c>
      <c r="AC42" s="3">
        <f t="shared" si="4"/>
        <v>0</v>
      </c>
      <c r="AD42" s="3">
        <f t="shared" si="7"/>
        <v>0</v>
      </c>
      <c r="AE42" s="24">
        <f t="shared" si="8"/>
        <v>0</v>
      </c>
      <c r="AF42" s="15"/>
    </row>
    <row r="43" spans="1:32">
      <c r="A43">
        <f t="shared" si="0"/>
        <v>16</v>
      </c>
      <c r="B43" s="3">
        <f t="shared" si="1"/>
        <v>14</v>
      </c>
      <c r="C43" s="1" t="str">
        <f t="shared" si="2"/>
        <v>KKP</v>
      </c>
      <c r="D43" s="26"/>
      <c r="E43" s="22"/>
      <c r="G43" s="38"/>
      <c r="H43" s="36"/>
      <c r="I43" s="22"/>
      <c r="J43" s="22"/>
      <c r="K43" s="22"/>
      <c r="L43" s="37"/>
      <c r="M43" s="37"/>
      <c r="O43" s="23"/>
      <c r="P43" s="23"/>
      <c r="Q43" s="11"/>
      <c r="S43" s="2" t="str">
        <f>IF(ISBLANK(O43),"",O43)</f>
        <v/>
      </c>
      <c r="T43" s="23"/>
      <c r="U43" s="11"/>
      <c r="W43" s="3">
        <v>3</v>
      </c>
      <c r="X43" s="5">
        <v>14</v>
      </c>
      <c r="Y43" s="5">
        <v>1</v>
      </c>
      <c r="Z43" s="5">
        <v>0</v>
      </c>
      <c r="AA43" s="5">
        <f t="shared" ca="1" si="3"/>
        <v>1</v>
      </c>
      <c r="AB43" s="17" t="s">
        <v>38</v>
      </c>
      <c r="AC43" s="3">
        <f t="shared" si="4"/>
        <v>0</v>
      </c>
      <c r="AD43" s="3">
        <f t="shared" si="7"/>
        <v>0</v>
      </c>
      <c r="AE43" s="24">
        <f t="shared" si="8"/>
        <v>0</v>
      </c>
      <c r="AF43" s="15"/>
    </row>
    <row r="44" spans="1:32">
      <c r="A44">
        <f t="shared" si="0"/>
        <v>17</v>
      </c>
      <c r="B44" s="3">
        <f t="shared" si="1"/>
        <v>15</v>
      </c>
      <c r="C44" s="1" t="str">
        <f t="shared" si="2"/>
        <v>UOBT</v>
      </c>
      <c r="D44" s="26"/>
      <c r="E44" s="22"/>
      <c r="G44" s="38"/>
      <c r="H44" s="36"/>
      <c r="I44" s="22"/>
      <c r="J44" s="22"/>
      <c r="K44" s="22"/>
      <c r="L44" s="37"/>
      <c r="M44" s="37"/>
      <c r="O44" s="23"/>
      <c r="P44" s="23"/>
      <c r="Q44" s="23"/>
      <c r="S44" s="2" t="str">
        <f t="shared" ref="S44:S51" si="9">IF(ISBLANK(O44),"",O44)</f>
        <v/>
      </c>
      <c r="T44" s="23"/>
      <c r="U44" s="23"/>
      <c r="W44" s="3">
        <v>3</v>
      </c>
      <c r="X44" s="5">
        <v>15</v>
      </c>
      <c r="Y44" s="5">
        <v>1</v>
      </c>
      <c r="Z44" s="5">
        <v>0</v>
      </c>
      <c r="AA44" s="5">
        <f t="shared" ca="1" si="3"/>
        <v>0</v>
      </c>
      <c r="AB44" s="17" t="s">
        <v>39</v>
      </c>
      <c r="AC44" s="3">
        <f t="shared" si="4"/>
        <v>0</v>
      </c>
      <c r="AD44" s="13">
        <f t="shared" si="7"/>
        <v>0</v>
      </c>
      <c r="AE44" s="24">
        <f t="shared" si="8"/>
        <v>0</v>
      </c>
      <c r="AF44" s="15"/>
    </row>
    <row r="45" spans="1:32">
      <c r="A45">
        <f t="shared" si="0"/>
        <v>18</v>
      </c>
      <c r="B45" s="3">
        <f t="shared" si="1"/>
        <v>16</v>
      </c>
      <c r="C45" s="1" t="str">
        <f t="shared" si="2"/>
        <v>GSB</v>
      </c>
      <c r="D45" s="26"/>
      <c r="E45" s="22"/>
      <c r="G45" s="38"/>
      <c r="H45" s="36"/>
      <c r="I45" s="22"/>
      <c r="J45" s="22"/>
      <c r="K45" s="22"/>
      <c r="L45" s="37"/>
      <c r="M45" s="37"/>
      <c r="O45" s="23"/>
      <c r="P45" s="23"/>
      <c r="Q45" s="23"/>
      <c r="S45" s="2" t="str">
        <f t="shared" si="9"/>
        <v/>
      </c>
      <c r="T45" s="23"/>
      <c r="U45" s="23"/>
      <c r="W45" s="3">
        <v>3</v>
      </c>
      <c r="X45" s="5">
        <v>16</v>
      </c>
      <c r="Y45" s="5">
        <v>1</v>
      </c>
      <c r="Z45" s="5">
        <v>0</v>
      </c>
      <c r="AA45" s="5">
        <f t="shared" ca="1" si="3"/>
        <v>0</v>
      </c>
      <c r="AB45" s="17" t="s">
        <v>14</v>
      </c>
      <c r="AC45" s="3">
        <f t="shared" si="4"/>
        <v>0</v>
      </c>
      <c r="AD45" s="13">
        <f t="shared" si="7"/>
        <v>0</v>
      </c>
      <c r="AE45" s="24">
        <f t="shared" si="8"/>
        <v>0</v>
      </c>
      <c r="AF45" s="15"/>
    </row>
    <row r="46" spans="1:32">
      <c r="A46">
        <f t="shared" si="0"/>
        <v>19</v>
      </c>
      <c r="B46" s="3">
        <f t="shared" si="1"/>
        <v>17</v>
      </c>
      <c r="C46" s="1" t="str">
        <f t="shared" si="2"/>
        <v>KGI</v>
      </c>
      <c r="D46" s="26"/>
      <c r="E46" s="22"/>
      <c r="G46" s="38"/>
      <c r="H46" s="36"/>
      <c r="I46" s="22"/>
      <c r="J46" s="22"/>
      <c r="K46" s="22"/>
      <c r="L46" s="37"/>
      <c r="M46" s="37"/>
      <c r="O46" s="23"/>
      <c r="P46" s="23"/>
      <c r="Q46" s="23"/>
      <c r="S46" s="2" t="str">
        <f t="shared" si="9"/>
        <v/>
      </c>
      <c r="T46" s="23"/>
      <c r="U46" s="23"/>
      <c r="W46" s="3">
        <v>3</v>
      </c>
      <c r="X46" s="5">
        <v>17</v>
      </c>
      <c r="Y46" s="5">
        <v>1</v>
      </c>
      <c r="Z46" s="5">
        <v>0</v>
      </c>
      <c r="AA46" s="5">
        <f t="shared" ca="1" si="3"/>
        <v>0</v>
      </c>
      <c r="AB46" s="17" t="s">
        <v>40</v>
      </c>
      <c r="AC46" s="3">
        <f t="shared" si="4"/>
        <v>0</v>
      </c>
      <c r="AD46" s="13">
        <f t="shared" si="7"/>
        <v>0</v>
      </c>
      <c r="AE46" s="24">
        <f t="shared" si="8"/>
        <v>0</v>
      </c>
      <c r="AF46" s="15"/>
    </row>
    <row r="47" spans="1:32">
      <c r="A47">
        <f t="shared" si="0"/>
        <v>20</v>
      </c>
      <c r="B47" s="3">
        <f t="shared" si="1"/>
        <v>18</v>
      </c>
      <c r="C47" s="1" t="str">
        <f t="shared" si="2"/>
        <v>BAML</v>
      </c>
      <c r="D47" s="26"/>
      <c r="E47" s="22"/>
      <c r="G47" s="38"/>
      <c r="H47" s="36"/>
      <c r="I47" s="22"/>
      <c r="J47" s="22"/>
      <c r="K47" s="22"/>
      <c r="L47" s="37"/>
      <c r="M47" s="37"/>
      <c r="O47" s="23"/>
      <c r="P47" s="23"/>
      <c r="Q47" s="23"/>
      <c r="S47" s="2" t="str">
        <f t="shared" si="9"/>
        <v/>
      </c>
      <c r="T47" s="23"/>
      <c r="U47" s="23"/>
      <c r="W47" s="3">
        <v>3</v>
      </c>
      <c r="X47" s="5">
        <v>18</v>
      </c>
      <c r="Y47" s="5">
        <v>1</v>
      </c>
      <c r="Z47" s="5">
        <v>0</v>
      </c>
      <c r="AA47" s="5">
        <f t="shared" ca="1" si="3"/>
        <v>0</v>
      </c>
      <c r="AB47" s="17" t="s">
        <v>41</v>
      </c>
      <c r="AC47" s="3">
        <f t="shared" si="4"/>
        <v>0</v>
      </c>
      <c r="AD47" s="13">
        <f t="shared" si="7"/>
        <v>0</v>
      </c>
      <c r="AE47" s="24">
        <f t="shared" si="8"/>
        <v>0</v>
      </c>
      <c r="AF47" s="15"/>
    </row>
    <row r="48" spans="1:32">
      <c r="A48">
        <f t="shared" si="0"/>
        <v>21</v>
      </c>
      <c r="B48" s="3">
        <f t="shared" si="1"/>
        <v>19</v>
      </c>
      <c r="C48" s="1" t="str">
        <f t="shared" si="2"/>
        <v>JP_MORGAN</v>
      </c>
      <c r="D48" s="26"/>
      <c r="E48" s="22"/>
      <c r="G48" s="38"/>
      <c r="H48" s="36"/>
      <c r="I48" s="22"/>
      <c r="J48" s="22"/>
      <c r="K48" s="22"/>
      <c r="L48" s="37"/>
      <c r="M48" s="37"/>
      <c r="O48" s="23"/>
      <c r="P48" s="23"/>
      <c r="Q48" s="23"/>
      <c r="S48" s="2" t="str">
        <f t="shared" si="9"/>
        <v/>
      </c>
      <c r="T48" s="23"/>
      <c r="U48" s="23"/>
      <c r="W48" s="3">
        <v>3</v>
      </c>
      <c r="X48" s="5">
        <v>19</v>
      </c>
      <c r="Y48" s="5">
        <v>1</v>
      </c>
      <c r="Z48" s="5">
        <v>0</v>
      </c>
      <c r="AA48" s="5">
        <f t="shared" ca="1" si="3"/>
        <v>0</v>
      </c>
      <c r="AB48" s="17" t="s">
        <v>42</v>
      </c>
      <c r="AC48" s="3">
        <f t="shared" si="4"/>
        <v>0</v>
      </c>
      <c r="AD48" s="13">
        <f t="shared" si="7"/>
        <v>0</v>
      </c>
      <c r="AE48" s="24">
        <f t="shared" si="8"/>
        <v>0</v>
      </c>
      <c r="AF48" s="15"/>
    </row>
    <row r="49" spans="1:32">
      <c r="A49">
        <f t="shared" si="0"/>
        <v>22</v>
      </c>
      <c r="B49" s="3">
        <f t="shared" si="1"/>
        <v>20</v>
      </c>
      <c r="C49" s="1" t="str">
        <f t="shared" si="2"/>
        <v>ANZT</v>
      </c>
      <c r="D49" s="26"/>
      <c r="E49" s="22"/>
      <c r="G49" s="38"/>
      <c r="H49" s="36"/>
      <c r="I49" s="22"/>
      <c r="J49" s="22"/>
      <c r="K49" s="22"/>
      <c r="L49" s="37"/>
      <c r="M49" s="37"/>
      <c r="O49" s="23"/>
      <c r="P49" s="23"/>
      <c r="Q49" s="23"/>
      <c r="S49" s="2" t="str">
        <f t="shared" si="9"/>
        <v/>
      </c>
      <c r="T49" s="23"/>
      <c r="U49" s="23"/>
      <c r="W49" s="3">
        <v>3</v>
      </c>
      <c r="X49" s="5">
        <v>20</v>
      </c>
      <c r="Y49" s="5">
        <v>1</v>
      </c>
      <c r="Z49" s="5">
        <v>0</v>
      </c>
      <c r="AA49" s="5">
        <f t="shared" ca="1" si="3"/>
        <v>0</v>
      </c>
      <c r="AB49" s="17" t="s">
        <v>43</v>
      </c>
      <c r="AC49" s="3">
        <f t="shared" si="4"/>
        <v>0</v>
      </c>
      <c r="AD49" s="13">
        <f t="shared" si="7"/>
        <v>0</v>
      </c>
      <c r="AE49" s="24">
        <f t="shared" si="8"/>
        <v>0</v>
      </c>
      <c r="AF49" s="15"/>
    </row>
    <row r="50" spans="1:32">
      <c r="A50">
        <f t="shared" si="0"/>
        <v>23</v>
      </c>
      <c r="B50" s="3">
        <f t="shared" si="1"/>
        <v>21</v>
      </c>
      <c r="C50" s="1" t="str">
        <f t="shared" si="2"/>
        <v>DEUTSCHE_BANK</v>
      </c>
      <c r="D50" s="26"/>
      <c r="E50" s="22"/>
      <c r="G50" s="38"/>
      <c r="H50" s="36"/>
      <c r="I50" s="22"/>
      <c r="J50" s="22"/>
      <c r="K50" s="22"/>
      <c r="L50" s="37"/>
      <c r="M50" s="37"/>
      <c r="O50" s="23"/>
      <c r="P50" s="23"/>
      <c r="Q50" s="23"/>
      <c r="S50" s="2" t="str">
        <f t="shared" si="9"/>
        <v/>
      </c>
      <c r="T50" s="23"/>
      <c r="U50" s="23"/>
      <c r="W50" s="3">
        <v>3</v>
      </c>
      <c r="X50" s="5">
        <v>21</v>
      </c>
      <c r="Y50" s="5">
        <v>1</v>
      </c>
      <c r="Z50" s="5">
        <v>0</v>
      </c>
      <c r="AA50" s="5">
        <f t="shared" ca="1" si="3"/>
        <v>0</v>
      </c>
      <c r="AB50" s="17" t="s">
        <v>44</v>
      </c>
      <c r="AC50" s="3">
        <f t="shared" si="4"/>
        <v>0</v>
      </c>
      <c r="AD50" s="13">
        <f t="shared" si="7"/>
        <v>0</v>
      </c>
      <c r="AE50" s="24">
        <f t="shared" si="8"/>
        <v>0</v>
      </c>
      <c r="AF50" s="15"/>
    </row>
    <row r="51" spans="1:32">
      <c r="A51">
        <f t="shared" si="0"/>
        <v>24</v>
      </c>
      <c r="B51" s="3">
        <f t="shared" si="1"/>
        <v>22</v>
      </c>
      <c r="C51" s="1" t="str">
        <f t="shared" si="2"/>
        <v>CNS</v>
      </c>
      <c r="D51" s="26"/>
      <c r="E51" s="22"/>
      <c r="O51" s="23"/>
      <c r="P51" s="23"/>
      <c r="Q51" s="23"/>
      <c r="S51" s="2" t="str">
        <f t="shared" si="9"/>
        <v/>
      </c>
      <c r="T51" s="23"/>
      <c r="U51" s="23"/>
      <c r="W51" s="3">
        <v>3</v>
      </c>
      <c r="X51" s="5">
        <v>22</v>
      </c>
      <c r="Y51" s="5">
        <v>1</v>
      </c>
      <c r="Z51" s="5">
        <v>0</v>
      </c>
      <c r="AA51" s="5">
        <f t="shared" ca="1" si="3"/>
        <v>0</v>
      </c>
      <c r="AB51" s="17" t="s">
        <v>45</v>
      </c>
      <c r="AC51" s="3">
        <f t="shared" si="4"/>
        <v>0</v>
      </c>
      <c r="AD51" s="13">
        <f t="shared" si="7"/>
        <v>0</v>
      </c>
      <c r="AE51" s="24">
        <f t="shared" si="8"/>
        <v>0</v>
      </c>
      <c r="AF51" s="15"/>
    </row>
    <row r="52" spans="1:32" ht="15" thickBot="1">
      <c r="A52">
        <f t="shared" si="0"/>
        <v>25</v>
      </c>
      <c r="B52" s="3">
        <f t="shared" si="1"/>
        <v>23</v>
      </c>
      <c r="C52" s="1" t="str">
        <f t="shared" si="2"/>
        <v>PHATRA</v>
      </c>
      <c r="D52" s="26"/>
      <c r="E52" s="22"/>
      <c r="N52" s="39" t="s">
        <v>62</v>
      </c>
      <c r="O52" s="40">
        <f>H31-P52</f>
        <v>6200</v>
      </c>
      <c r="P52" s="50">
        <f>SUM(P43:P51)</f>
        <v>0</v>
      </c>
      <c r="Q52" s="44">
        <f>SUM(Q43:Q51)</f>
        <v>0</v>
      </c>
      <c r="R52" s="39" t="s">
        <v>63</v>
      </c>
      <c r="S52" s="40">
        <f>H31-T52</f>
        <v>6200</v>
      </c>
      <c r="T52" s="50">
        <f>SUM(T43:T51)</f>
        <v>0</v>
      </c>
      <c r="U52" s="44">
        <f>SUM(U43:U51)</f>
        <v>0</v>
      </c>
      <c r="W52" s="3">
        <v>3</v>
      </c>
      <c r="X52" s="5">
        <v>23</v>
      </c>
      <c r="Y52" s="5">
        <v>1</v>
      </c>
      <c r="Z52" s="5">
        <v>0</v>
      </c>
      <c r="AA52" s="5">
        <f t="shared" ca="1" si="3"/>
        <v>0</v>
      </c>
      <c r="AB52" s="17" t="s">
        <v>46</v>
      </c>
      <c r="AC52" s="3">
        <f t="shared" si="4"/>
        <v>0</v>
      </c>
      <c r="AD52" s="13">
        <f t="shared" si="7"/>
        <v>0</v>
      </c>
      <c r="AE52" s="24">
        <f t="shared" si="8"/>
        <v>0</v>
      </c>
      <c r="AF52" s="15"/>
    </row>
    <row r="53" spans="1:32" ht="15" thickTop="1">
      <c r="A53">
        <f t="shared" si="0"/>
        <v>26</v>
      </c>
      <c r="B53" s="3">
        <f t="shared" si="1"/>
        <v>24</v>
      </c>
      <c r="C53" s="1" t="str">
        <f t="shared" si="2"/>
        <v>MBKET</v>
      </c>
      <c r="D53" s="26"/>
      <c r="E53" s="22"/>
      <c r="W53" s="3">
        <v>3</v>
      </c>
      <c r="X53" s="5">
        <v>24</v>
      </c>
      <c r="Y53" s="5">
        <v>1</v>
      </c>
      <c r="Z53" s="5">
        <v>0</v>
      </c>
      <c r="AA53" s="5">
        <f t="shared" ca="1" si="3"/>
        <v>0</v>
      </c>
      <c r="AB53" s="17" t="s">
        <v>47</v>
      </c>
      <c r="AC53" s="3">
        <f t="shared" si="4"/>
        <v>0</v>
      </c>
      <c r="AD53" s="13">
        <f t="shared" si="7"/>
        <v>0</v>
      </c>
      <c r="AE53" s="16">
        <f t="shared" si="8"/>
        <v>0</v>
      </c>
      <c r="AF53" s="16">
        <f>IFERROR(SUMIF($W$30:$W$53,$W$53,$AD$30:$AD$53)/$AD$54,0)</f>
        <v>0</v>
      </c>
    </row>
    <row r="54" spans="1:32" ht="15" thickBot="1">
      <c r="D54" s="50">
        <f>SUM(D30:D53)</f>
        <v>10200</v>
      </c>
      <c r="E54" s="45">
        <f>IFERROR(SUMPRODUCT(D30:D33,E30:E33)/SUM(D30:D33),0)</f>
        <v>2.6476150000000001</v>
      </c>
      <c r="F54" s="48"/>
      <c r="O54" s="29" t="str">
        <f>"Auction Excute : " &amp;G32</f>
        <v>Auction Excute : CB19207A</v>
      </c>
      <c r="S54" s="4" t="s">
        <v>18</v>
      </c>
      <c r="AB54" s="20" t="s">
        <v>17</v>
      </c>
      <c r="AC54" s="44">
        <f>SUM(AC30:AC53)</f>
        <v>10200</v>
      </c>
      <c r="AD54" s="44">
        <f>SUM(AD30:AD53)</f>
        <v>10200</v>
      </c>
    </row>
    <row r="55" spans="1:32" ht="15" thickTop="1">
      <c r="A55" s="43" t="s">
        <v>73</v>
      </c>
      <c r="G55" s="4" t="s">
        <v>70</v>
      </c>
      <c r="O55" s="20" t="s">
        <v>0</v>
      </c>
      <c r="P55" s="20" t="s">
        <v>69</v>
      </c>
      <c r="Q55" s="20" t="s">
        <v>23</v>
      </c>
      <c r="S55" s="20" t="s">
        <v>0</v>
      </c>
      <c r="T55" s="20" t="s">
        <v>69</v>
      </c>
      <c r="U55" s="20" t="s">
        <v>23</v>
      </c>
    </row>
    <row r="56" spans="1:32">
      <c r="B56" s="4" t="s">
        <v>27</v>
      </c>
      <c r="G56" s="20" t="s">
        <v>24</v>
      </c>
      <c r="H56" s="57" t="s">
        <v>71</v>
      </c>
      <c r="I56" s="58"/>
      <c r="J56" s="58"/>
      <c r="K56" s="59"/>
      <c r="O56" s="23"/>
      <c r="P56" s="23"/>
      <c r="Q56" s="11"/>
      <c r="S56" s="2" t="str">
        <f>IF(ISBLANK(O56),"",O56)</f>
        <v/>
      </c>
      <c r="T56" s="23"/>
      <c r="U56" s="11"/>
    </row>
    <row r="57" spans="1:32" ht="17.399999999999999" customHeight="1">
      <c r="B57" t="s">
        <v>28</v>
      </c>
      <c r="C57" s="8">
        <v>1</v>
      </c>
      <c r="G57" s="30" t="str">
        <f>G30</f>
        <v>TB19327A</v>
      </c>
      <c r="H57" s="53"/>
      <c r="I57" s="53"/>
      <c r="J57" s="53"/>
      <c r="K57" s="53"/>
      <c r="O57" s="23"/>
      <c r="P57" s="23"/>
      <c r="Q57" s="23"/>
      <c r="S57" s="2" t="str">
        <f t="shared" ref="S57:S64" si="10">IF(ISBLANK(O57),"",O57)</f>
        <v/>
      </c>
      <c r="T57" s="23"/>
      <c r="U57" s="23"/>
    </row>
    <row r="58" spans="1:32">
      <c r="B58" t="s">
        <v>29</v>
      </c>
      <c r="C58" s="8">
        <v>0.4</v>
      </c>
      <c r="G58" s="31" t="str">
        <f>G31</f>
        <v>CB19209A</v>
      </c>
      <c r="H58" s="53"/>
      <c r="I58" s="53"/>
      <c r="J58" s="53"/>
      <c r="K58" s="53"/>
      <c r="O58" s="23"/>
      <c r="P58" s="23"/>
      <c r="Q58" s="23"/>
      <c r="S58" s="2" t="str">
        <f t="shared" si="10"/>
        <v/>
      </c>
      <c r="T58" s="23"/>
      <c r="U58" s="23"/>
    </row>
    <row r="59" spans="1:32">
      <c r="B59" t="s">
        <v>30</v>
      </c>
      <c r="C59" s="8">
        <v>0.1</v>
      </c>
      <c r="G59" s="32" t="str">
        <f>G32</f>
        <v>CB19207A</v>
      </c>
      <c r="H59" s="53"/>
      <c r="I59" s="53"/>
      <c r="J59" s="53"/>
      <c r="K59" s="53"/>
      <c r="O59" s="23"/>
      <c r="P59" s="23"/>
      <c r="Q59" s="23"/>
      <c r="S59" s="2" t="str">
        <f t="shared" si="10"/>
        <v/>
      </c>
      <c r="T59" s="23"/>
      <c r="U59" s="23"/>
    </row>
    <row r="60" spans="1:32">
      <c r="O60" s="23"/>
      <c r="P60" s="23"/>
      <c r="Q60" s="23"/>
      <c r="S60" s="2" t="str">
        <f t="shared" si="10"/>
        <v/>
      </c>
      <c r="T60" s="23"/>
      <c r="U60" s="23"/>
    </row>
    <row r="61" spans="1:32">
      <c r="O61" s="23"/>
      <c r="P61" s="23"/>
      <c r="Q61" s="23"/>
      <c r="S61" s="2" t="str">
        <f t="shared" si="10"/>
        <v/>
      </c>
      <c r="T61" s="23"/>
      <c r="U61" s="23"/>
    </row>
    <row r="62" spans="1:32">
      <c r="O62" s="23"/>
      <c r="P62" s="23"/>
      <c r="Q62" s="23"/>
      <c r="S62" s="2" t="str">
        <f t="shared" si="10"/>
        <v/>
      </c>
      <c r="T62" s="23"/>
      <c r="U62" s="23"/>
    </row>
    <row r="63" spans="1:32">
      <c r="O63" s="23"/>
      <c r="P63" s="23"/>
      <c r="Q63" s="23"/>
      <c r="S63" s="2" t="str">
        <f t="shared" si="10"/>
        <v/>
      </c>
      <c r="T63" s="23"/>
      <c r="U63" s="23"/>
    </row>
    <row r="64" spans="1:32">
      <c r="O64" s="23"/>
      <c r="P64" s="23"/>
      <c r="Q64" s="23"/>
      <c r="S64" s="2" t="str">
        <f t="shared" si="10"/>
        <v/>
      </c>
      <c r="T64" s="23"/>
      <c r="U64" s="23"/>
    </row>
    <row r="65" spans="14:21" ht="15" thickBot="1">
      <c r="N65" s="39" t="s">
        <v>62</v>
      </c>
      <c r="O65" s="40">
        <f>H32-P65</f>
        <v>0</v>
      </c>
      <c r="P65" s="50">
        <f>SUM(P56:P64)</f>
        <v>0</v>
      </c>
      <c r="Q65" s="44">
        <f>SUM(Q56:Q64)</f>
        <v>0</v>
      </c>
      <c r="R65" s="39" t="s">
        <v>63</v>
      </c>
      <c r="S65" s="40">
        <f>H32-T65</f>
        <v>0</v>
      </c>
      <c r="T65" s="50">
        <f>SUM(T56:T64)</f>
        <v>0</v>
      </c>
      <c r="U65" s="44">
        <f>SUM(U56:U64)</f>
        <v>0</v>
      </c>
    </row>
    <row r="66" spans="14:21" ht="15" thickTop="1"/>
  </sheetData>
  <mergeCells count="7">
    <mergeCell ref="H57:K57"/>
    <mergeCell ref="H58:K58"/>
    <mergeCell ref="H59:K59"/>
    <mergeCell ref="B2:AC2"/>
    <mergeCell ref="B9:AC9"/>
    <mergeCell ref="B16:AC16"/>
    <mergeCell ref="H56:K56"/>
  </mergeCells>
  <conditionalFormatting sqref="AF32">
    <cfRule type="cellIs" dxfId="135" priority="51" operator="greaterThan">
      <formula>0.5</formula>
    </cfRule>
    <cfRule type="cellIs" dxfId="134" priority="52" operator="lessThan">
      <formula>0.5</formula>
    </cfRule>
  </conditionalFormatting>
  <conditionalFormatting sqref="AE30:AE53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{F81358A1-B9DF-4043-B25A-791FAA0CF809}</x14:id>
        </ext>
      </extLst>
    </cfRule>
  </conditionalFormatting>
  <conditionalFormatting sqref="E30:E5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133" priority="69" operator="lessThan">
      <formula>$C$59</formula>
    </cfRule>
    <cfRule type="cellIs" dxfId="132" priority="70" operator="greaterThan">
      <formula>$C$59</formula>
    </cfRule>
  </conditionalFormatting>
  <conditionalFormatting sqref="AF37">
    <cfRule type="cellIs" dxfId="131" priority="71" operator="greaterThan">
      <formula>$C$58</formula>
    </cfRule>
    <cfRule type="cellIs" dxfId="130" priority="72" operator="lessThan">
      <formula>$C$58</formula>
    </cfRule>
  </conditionalFormatting>
  <conditionalFormatting sqref="O39">
    <cfRule type="cellIs" dxfId="129" priority="28" operator="lessThan">
      <formula>0</formula>
    </cfRule>
    <cfRule type="cellIs" dxfId="128" priority="33" operator="equal">
      <formula>0</formula>
    </cfRule>
    <cfRule type="cellIs" dxfId="127" priority="34" operator="greaterThan">
      <formula>0</formula>
    </cfRule>
  </conditionalFormatting>
  <conditionalFormatting sqref="S52">
    <cfRule type="cellIs" dxfId="126" priority="8" operator="lessThan">
      <formula>0</formula>
    </cfRule>
    <cfRule type="cellIs" dxfId="125" priority="9" operator="equal">
      <formula>0</formula>
    </cfRule>
    <cfRule type="cellIs" dxfId="124" priority="10" operator="greaterThan">
      <formula>0</formula>
    </cfRule>
  </conditionalFormatting>
  <conditionalFormatting sqref="O52">
    <cfRule type="cellIs" dxfId="123" priority="19" operator="lessThan">
      <formula>0</formula>
    </cfRule>
    <cfRule type="cellIs" dxfId="122" priority="20" operator="equal">
      <formula>0</formula>
    </cfRule>
    <cfRule type="cellIs" dxfId="121" priority="21" operator="greaterThan">
      <formula>0</formula>
    </cfRule>
  </conditionalFormatting>
  <conditionalFormatting sqref="O65">
    <cfRule type="cellIs" dxfId="120" priority="16" operator="lessThan">
      <formula>0</formula>
    </cfRule>
    <cfRule type="cellIs" dxfId="119" priority="17" operator="equal">
      <formula>0</formula>
    </cfRule>
    <cfRule type="cellIs" dxfId="118" priority="18" operator="greaterThan">
      <formula>0</formula>
    </cfRule>
  </conditionalFormatting>
  <conditionalFormatting sqref="S39">
    <cfRule type="cellIs" dxfId="117" priority="11" operator="lessThan">
      <formula>0</formula>
    </cfRule>
    <cfRule type="cellIs" dxfId="116" priority="12" operator="equal">
      <formula>0</formula>
    </cfRule>
    <cfRule type="cellIs" dxfId="115" priority="13" operator="greaterThan">
      <formula>0</formula>
    </cfRule>
  </conditionalFormatting>
  <conditionalFormatting sqref="S65">
    <cfRule type="cellIs" dxfId="114" priority="5" operator="lessThan">
      <formula>0</formula>
    </cfRule>
    <cfRule type="cellIs" dxfId="113" priority="6" operator="equal">
      <formula>0</formula>
    </cfRule>
    <cfRule type="cellIs" dxfId="112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111" priority="3" rank="4"/>
  </conditionalFormatting>
  <conditionalFormatting sqref="C11:Z13">
    <cfRule type="top10" dxfId="110" priority="2" rank="4"/>
  </conditionalFormatting>
  <conditionalFormatting sqref="C18:Z20">
    <cfRule type="top10" dxfId="109" priority="1" rank="4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Form">
          <controlPr defaultSize="0" autoLine="0" r:id="rId5">
            <anchor moveWithCells="1">
              <from>
                <xdr:col>10</xdr:col>
                <xdr:colOff>106680</xdr:colOff>
                <xdr:row>50</xdr:row>
                <xdr:rowOff>175260</xdr:rowOff>
              </from>
              <to>
                <xdr:col>11</xdr:col>
                <xdr:colOff>441960</xdr:colOff>
                <xdr:row>53</xdr:row>
                <xdr:rowOff>0</xdr:rowOff>
              </to>
            </anchor>
          </controlPr>
        </control>
      </mc:Choice>
      <mc:Fallback>
        <control shapeId="1026" r:id="rId4" name="btnForm"/>
      </mc:Fallback>
    </mc:AlternateContent>
    <mc:AlternateContent xmlns:mc="http://schemas.openxmlformats.org/markup-compatibility/2006">
      <mc:Choice Requires="x14">
        <control shapeId="1048" r:id="rId6" name="Button 24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7620</xdr:rowOff>
              </from>
              <to>
                <xdr:col>7</xdr:col>
                <xdr:colOff>441960</xdr:colOff>
                <xdr:row>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7" name="Button 25">
          <controlPr defaultSize="0" print="0" autoFill="0" autoPict="0" macro="[0]!get_impiled_yield">
            <anchor moveWithCells="1" sizeWithCells="1">
              <from>
                <xdr:col>7</xdr:col>
                <xdr:colOff>510540</xdr:colOff>
                <xdr:row>50</xdr:row>
                <xdr:rowOff>175260</xdr:rowOff>
              </from>
              <to>
                <xdr:col>8</xdr:col>
                <xdr:colOff>815340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8" name="Button 26">
          <controlPr defaultSize="0" print="0" autoFill="0" autoPict="0" macro="[0]!clear_ws">
            <anchor moveWithCells="1" sizeWithCells="1">
              <from>
                <xdr:col>8</xdr:col>
                <xdr:colOff>922020</xdr:colOff>
                <xdr:row>50</xdr:row>
                <xdr:rowOff>175260</xdr:rowOff>
              </from>
              <to>
                <xdr:col>9</xdr:col>
                <xdr:colOff>1112520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1358A1-B9DF-4043-B25A-791FAA0CF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66" id="{60FD38A3-2561-481C-BDAB-836B2DD1A07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68" id="{5F847777-C564-4492-9119-49D885FF7E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3DD87-771E-4E45-A426-47B46B2730F5}">
  <sheetPr codeName="Sheet4"/>
  <dimension ref="A1:AS66"/>
  <sheetViews>
    <sheetView topLeftCell="B1" zoomScale="85" zoomScaleNormal="85" workbookViewId="0">
      <selection activeCell="K45" sqref="K45"/>
    </sheetView>
  </sheetViews>
  <sheetFormatPr defaultRowHeight="14.4" outlineLevelRow="1" outlineLevelCol="1"/>
  <cols>
    <col min="1" max="1" width="8.109375" hidden="1" customWidth="1"/>
    <col min="2" max="2" width="10.6640625" customWidth="1"/>
    <col min="3" max="3" width="10" customWidth="1"/>
    <col min="4" max="4" width="13.109375" customWidth="1"/>
    <col min="5" max="5" width="14.77734375" customWidth="1"/>
    <col min="6" max="6" width="9" customWidth="1"/>
    <col min="7" max="7" width="13.33203125" customWidth="1"/>
    <col min="8" max="8" width="15.21875" customWidth="1"/>
    <col min="9" max="9" width="16.88671875" customWidth="1"/>
    <col min="10" max="10" width="16.44140625" customWidth="1"/>
    <col min="11" max="11" width="15" customWidth="1"/>
    <col min="12" max="12" width="15.109375" customWidth="1"/>
    <col min="13" max="13" width="14.88671875" customWidth="1"/>
    <col min="14" max="14" width="12.6640625" customWidth="1"/>
    <col min="15" max="15" width="11.44140625" customWidth="1"/>
    <col min="16" max="16" width="12.6640625" customWidth="1"/>
    <col min="18" max="18" width="13.109375" customWidth="1"/>
    <col min="19" max="19" width="10.88671875" customWidth="1"/>
    <col min="20" max="20" width="12.88671875" customWidth="1"/>
    <col min="21" max="21" width="12.21875" customWidth="1"/>
    <col min="22" max="22" width="11.6640625" customWidth="1"/>
    <col min="23" max="23" width="12.44140625" customWidth="1" outlineLevel="1"/>
    <col min="24" max="24" width="10.88671875" customWidth="1" outlineLevel="1"/>
    <col min="25" max="25" width="10.6640625" customWidth="1" outlineLevel="1"/>
    <col min="26" max="26" width="11.21875" customWidth="1" outlineLevel="1"/>
    <col min="27" max="27" width="11.21875" customWidth="1"/>
    <col min="28" max="28" width="12.109375" customWidth="1"/>
    <col min="29" max="29" width="12.21875" customWidth="1"/>
    <col min="30" max="30" width="12.44140625" customWidth="1"/>
    <col min="31" max="31" width="9.44140625" customWidth="1"/>
    <col min="34" max="34" width="4.44140625" customWidth="1"/>
    <col min="36" max="36" width="23.88671875" customWidth="1"/>
    <col min="41" max="41" width="13.44140625" customWidth="1"/>
    <col min="42" max="42" width="16" customWidth="1"/>
    <col min="43" max="43" width="10" customWidth="1"/>
  </cols>
  <sheetData>
    <row r="1" spans="2:45" ht="16.5" customHeight="1">
      <c r="B1" s="61" t="str">
        <f xml:space="preserve"> "Auction Dashboard "</f>
        <v xml:space="preserve">Auction Dashboard </v>
      </c>
      <c r="C1" s="61"/>
      <c r="D1" s="62">
        <v>43375</v>
      </c>
      <c r="E1" s="42"/>
    </row>
    <row r="2" spans="2:45" ht="16.2" customHeight="1">
      <c r="B2" s="54" t="str">
        <f>G30</f>
        <v>TB19327A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6"/>
      <c r="AD2" s="49"/>
    </row>
    <row r="3" spans="2:45">
      <c r="B3" s="20" t="s">
        <v>0</v>
      </c>
      <c r="C3" s="21" t="str">
        <f t="array" ref="C3:Z3">TRANSPOSE($AB$30:$AB$53)</f>
        <v>BNP</v>
      </c>
      <c r="D3" s="21" t="str">
        <v>BBL</v>
      </c>
      <c r="E3" s="21" t="str">
        <v>KBANK</v>
      </c>
      <c r="F3" s="21" t="str">
        <v>TMB</v>
      </c>
      <c r="G3" s="21" t="str">
        <v>KTB</v>
      </c>
      <c r="H3" s="21" t="str">
        <v>CIMBT</v>
      </c>
      <c r="I3" s="21" t="str">
        <v>BAY</v>
      </c>
      <c r="J3" s="21" t="str">
        <v>SCB</v>
      </c>
      <c r="K3" s="21" t="str">
        <v>TBANK</v>
      </c>
      <c r="L3" s="21" t="str">
        <v>TISCOBANK</v>
      </c>
      <c r="M3" s="21" t="str">
        <v>SCBT</v>
      </c>
      <c r="N3" s="21" t="str">
        <v>HSBC</v>
      </c>
      <c r="O3" s="21" t="str">
        <v>CITIBANK</v>
      </c>
      <c r="P3" s="21" t="str">
        <v>KKP</v>
      </c>
      <c r="Q3" s="21" t="str">
        <v>UOBT</v>
      </c>
      <c r="R3" s="21" t="str">
        <v>GSB</v>
      </c>
      <c r="S3" s="21" t="str">
        <v>KGI</v>
      </c>
      <c r="T3" s="21" t="str">
        <v>BAML</v>
      </c>
      <c r="U3" s="21" t="str">
        <v>JP_MORGAN</v>
      </c>
      <c r="V3" s="21" t="str">
        <v>ANZT</v>
      </c>
      <c r="W3" s="21" t="str">
        <v>DEUTSCHE_BANK</v>
      </c>
      <c r="X3" s="21" t="str">
        <v>CNS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 t="str">
        <f>G30</f>
        <v>TB19327A</v>
      </c>
      <c r="AS3" s="4"/>
    </row>
    <row r="4" spans="2:45">
      <c r="B4" s="20" t="s">
        <v>1</v>
      </c>
      <c r="C4" s="6"/>
      <c r="D4" s="6">
        <v>2.1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8">
        <f>MIN(C4:Z4)</f>
        <v>2.1</v>
      </c>
      <c r="AB4" s="18">
        <f>MAX(C4:Z4)</f>
        <v>2.1</v>
      </c>
      <c r="AC4" s="18">
        <f>IFERROR(AVERAGE(C4:Z4),0)</f>
        <v>2.1</v>
      </c>
      <c r="AD4" s="49"/>
    </row>
    <row r="5" spans="2:45">
      <c r="B5" s="20" t="s">
        <v>2</v>
      </c>
      <c r="C5" s="6"/>
      <c r="D5" s="6"/>
      <c r="E5" s="6"/>
      <c r="F5" s="6">
        <v>2</v>
      </c>
      <c r="G5" s="6"/>
      <c r="H5" s="6"/>
      <c r="I5" s="6"/>
      <c r="J5" s="6"/>
      <c r="K5" s="6"/>
      <c r="L5" s="6">
        <v>1.5</v>
      </c>
      <c r="M5" s="6"/>
      <c r="N5" s="6">
        <v>4</v>
      </c>
      <c r="O5" s="6"/>
      <c r="P5" s="6">
        <v>3</v>
      </c>
      <c r="Q5" s="6"/>
      <c r="R5" s="6"/>
      <c r="S5" s="6"/>
      <c r="T5" s="6"/>
      <c r="U5" s="6"/>
      <c r="V5" s="6"/>
      <c r="W5" s="6"/>
      <c r="X5" s="6"/>
      <c r="Y5" s="6"/>
      <c r="Z5" s="6"/>
      <c r="AA5" s="18">
        <f>MIN(C5:Z5)</f>
        <v>1.5</v>
      </c>
      <c r="AB5" s="18">
        <f>MAX(C5:Z5)</f>
        <v>4</v>
      </c>
      <c r="AC5" s="18">
        <f>IFERROR(AVERAGE(C5:Z5),0)</f>
        <v>2.625</v>
      </c>
      <c r="AD5" s="49"/>
    </row>
    <row r="6" spans="2:45">
      <c r="B6" s="20" t="s">
        <v>3</v>
      </c>
      <c r="C6" s="10"/>
      <c r="D6" s="10"/>
      <c r="E6" s="10"/>
      <c r="F6" s="10"/>
      <c r="G6" s="10"/>
      <c r="H6" s="10"/>
      <c r="I6" s="10">
        <v>3</v>
      </c>
      <c r="J6" s="10">
        <v>2.2999999999999998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2.2999999999999998</v>
      </c>
      <c r="AB6" s="18">
        <f>MAX(C6:Z6)</f>
        <v>3</v>
      </c>
      <c r="AC6" s="18">
        <f>IFERROR(AVERAGE(C6:Z6),0)</f>
        <v>2.65</v>
      </c>
      <c r="AD6" s="49"/>
    </row>
    <row r="7" spans="2:45">
      <c r="B7" s="20" t="s">
        <v>65</v>
      </c>
      <c r="C7" s="46" t="s">
        <v>66</v>
      </c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2.2999999999999998</v>
      </c>
      <c r="AB7" s="19">
        <f>MAX(AB4:AB6)</f>
        <v>4</v>
      </c>
      <c r="AC7" s="19">
        <f>MAX(AC4:AC6)</f>
        <v>2.65</v>
      </c>
      <c r="AD7" s="49"/>
      <c r="AF7" s="48"/>
    </row>
    <row r="8" spans="2:45">
      <c r="B8" s="47"/>
      <c r="AD8" s="49"/>
    </row>
    <row r="9" spans="2:45" outlineLevel="1">
      <c r="B9" s="54" t="str">
        <f>G31</f>
        <v>CB19209A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6"/>
      <c r="AD9" s="49"/>
    </row>
    <row r="10" spans="2:45" outlineLevel="1">
      <c r="B10" s="20" t="s">
        <v>0</v>
      </c>
      <c r="C10" s="21" t="str">
        <f t="array" ref="C10:Z10">TRANSPOSE($AB$30:$AB$53)</f>
        <v>BNP</v>
      </c>
      <c r="D10" s="21" t="str">
        <v>BBL</v>
      </c>
      <c r="E10" s="21" t="str">
        <v>KBANK</v>
      </c>
      <c r="F10" s="21" t="str">
        <v>TMB</v>
      </c>
      <c r="G10" s="21" t="str">
        <v>KTB</v>
      </c>
      <c r="H10" s="21" t="str">
        <v>CIMBT</v>
      </c>
      <c r="I10" s="21" t="str">
        <v>BAY</v>
      </c>
      <c r="J10" s="21" t="str">
        <v>SCB</v>
      </c>
      <c r="K10" s="21" t="str">
        <v>TBANK</v>
      </c>
      <c r="L10" s="21" t="str">
        <v>TISCOBANK</v>
      </c>
      <c r="M10" s="21" t="str">
        <v>SCBT</v>
      </c>
      <c r="N10" s="21" t="str">
        <v>HSBC</v>
      </c>
      <c r="O10" s="21" t="str">
        <v>CITIBANK</v>
      </c>
      <c r="P10" s="21" t="str">
        <v>KKP</v>
      </c>
      <c r="Q10" s="21" t="str">
        <v>UOBT</v>
      </c>
      <c r="R10" s="21" t="str">
        <v>GSB</v>
      </c>
      <c r="S10" s="21" t="str">
        <v>KGI</v>
      </c>
      <c r="T10" s="21" t="str">
        <v>BAML</v>
      </c>
      <c r="U10" s="21" t="str">
        <v>JP_MORGAN</v>
      </c>
      <c r="V10" s="21" t="str">
        <v>ANZT</v>
      </c>
      <c r="W10" s="21" t="str">
        <v>DEUTSCHE_BANK</v>
      </c>
      <c r="X10" s="21" t="str">
        <v>CNS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 t="str">
        <f>G31</f>
        <v>CB19209A</v>
      </c>
    </row>
    <row r="11" spans="2:45" outlineLevel="1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>
      <c r="B14" s="20" t="s">
        <v>65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>
      <c r="AD15" s="49"/>
    </row>
    <row r="16" spans="2:45" hidden="1" outlineLevel="1">
      <c r="B16" s="54" t="str">
        <f>G32</f>
        <v>CB19207A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6"/>
      <c r="AD16" s="49"/>
    </row>
    <row r="17" spans="1:36" hidden="1" outlineLevel="1">
      <c r="B17" s="20" t="s">
        <v>0</v>
      </c>
      <c r="C17" s="21" t="str">
        <f t="array" ref="C17:Z17">TRANSPOSE($AB$30:$AB$53)</f>
        <v>BNP</v>
      </c>
      <c r="D17" s="21" t="str">
        <v>BBL</v>
      </c>
      <c r="E17" s="21" t="str">
        <v>KBANK</v>
      </c>
      <c r="F17" s="21" t="str">
        <v>TMB</v>
      </c>
      <c r="G17" s="21" t="str">
        <v>KTB</v>
      </c>
      <c r="H17" s="21" t="str">
        <v>CIMBT</v>
      </c>
      <c r="I17" s="21" t="str">
        <v>BAY</v>
      </c>
      <c r="J17" s="21" t="str">
        <v>SCB</v>
      </c>
      <c r="K17" s="21" t="str">
        <v>TBANK</v>
      </c>
      <c r="L17" s="21" t="str">
        <v>TISCOBANK</v>
      </c>
      <c r="M17" s="21" t="str">
        <v>SCBT</v>
      </c>
      <c r="N17" s="21" t="str">
        <v>HSBC</v>
      </c>
      <c r="O17" s="21" t="str">
        <v>CITIBANK</v>
      </c>
      <c r="P17" s="21" t="str">
        <v>KKP</v>
      </c>
      <c r="Q17" s="21" t="str">
        <v>UOBT</v>
      </c>
      <c r="R17" s="21" t="str">
        <v>GSB</v>
      </c>
      <c r="S17" s="21" t="str">
        <v>KGI</v>
      </c>
      <c r="T17" s="21" t="str">
        <v>BAML</v>
      </c>
      <c r="U17" s="21" t="str">
        <v>JP_MORGAN</v>
      </c>
      <c r="V17" s="21" t="str">
        <v>ANZT</v>
      </c>
      <c r="W17" s="21" t="str">
        <v>DEUTSCHE_BANK</v>
      </c>
      <c r="X17" s="21" t="str">
        <v>CNS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 t="str">
        <f>G32</f>
        <v>CB19207A</v>
      </c>
    </row>
    <row r="18" spans="1:36" hidden="1" outlineLevel="1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>
      <c r="B21" s="20" t="s">
        <v>65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/>
    <row r="23" spans="1:36" hidden="1" outlineLevel="1"/>
    <row r="24" spans="1:36" hidden="1" outlineLevel="1"/>
    <row r="25" spans="1:36" hidden="1" outlineLevel="1"/>
    <row r="26" spans="1:36" hidden="1" outlineLevel="1"/>
    <row r="27" spans="1:36" collapsed="1"/>
    <row r="28" spans="1:36" ht="24.75" customHeight="1">
      <c r="B28" s="25" t="str">
        <f>"Auction Recommend : "</f>
        <v xml:space="preserve">Auction Recommend : </v>
      </c>
      <c r="D28" s="12" t="str">
        <f>G30</f>
        <v>TB19327A</v>
      </c>
      <c r="G28" s="4" t="s">
        <v>20</v>
      </c>
      <c r="O28" s="27" t="str">
        <f>"Auction Excute : " &amp; G30</f>
        <v>Auction Excute : TB19327A</v>
      </c>
      <c r="S28" s="4" t="s">
        <v>18</v>
      </c>
      <c r="W28" s="4" t="s">
        <v>52</v>
      </c>
    </row>
    <row r="29" spans="1:36">
      <c r="A29" s="41">
        <f>MATCH($D$28,$AD$1:$AD$21,0)</f>
        <v>3</v>
      </c>
      <c r="B29" s="20" t="s">
        <v>16</v>
      </c>
      <c r="C29" s="20" t="s">
        <v>0</v>
      </c>
      <c r="D29" s="20" t="s">
        <v>68</v>
      </c>
      <c r="E29" s="20" t="s">
        <v>67</v>
      </c>
      <c r="G29" s="20" t="s">
        <v>24</v>
      </c>
      <c r="H29" s="20" t="s">
        <v>17</v>
      </c>
      <c r="I29" s="20" t="s">
        <v>21</v>
      </c>
      <c r="J29" s="20" t="s">
        <v>22</v>
      </c>
      <c r="K29" s="20" t="s">
        <v>50</v>
      </c>
      <c r="L29" s="20" t="s">
        <v>51</v>
      </c>
      <c r="M29" s="20" t="s">
        <v>57</v>
      </c>
      <c r="O29" s="20" t="s">
        <v>0</v>
      </c>
      <c r="P29" s="20" t="s">
        <v>69</v>
      </c>
      <c r="Q29" s="20" t="s">
        <v>23</v>
      </c>
      <c r="S29" s="20" t="s">
        <v>0</v>
      </c>
      <c r="T29" s="20" t="s">
        <v>69</v>
      </c>
      <c r="U29" s="20" t="s">
        <v>23</v>
      </c>
      <c r="W29" s="20" t="s">
        <v>4</v>
      </c>
      <c r="X29" s="20" t="s">
        <v>16</v>
      </c>
      <c r="Y29" s="20" t="s">
        <v>21</v>
      </c>
      <c r="Z29" s="20" t="s">
        <v>22</v>
      </c>
      <c r="AA29" s="20" t="s">
        <v>26</v>
      </c>
      <c r="AB29" s="20" t="s">
        <v>0</v>
      </c>
      <c r="AC29" s="20" t="s">
        <v>19</v>
      </c>
      <c r="AD29" s="20" t="s">
        <v>59</v>
      </c>
      <c r="AE29" s="20" t="s">
        <v>49</v>
      </c>
      <c r="AF29" s="20" t="s">
        <v>31</v>
      </c>
      <c r="AJ29" s="60"/>
    </row>
    <row r="30" spans="1:36">
      <c r="A30">
        <f t="shared" ref="A30:A53" si="0">MATCH(C30,$A$3:$Z$3,0)</f>
        <v>3</v>
      </c>
      <c r="B30" s="52">
        <f t="shared" ref="B30:B53" si="1">INDEX($X$30:$X$53,MATCH(C30,$AB$30:$AB$53,0))</f>
        <v>1</v>
      </c>
      <c r="C30" s="1" t="str">
        <f t="shared" ref="C30:C53" si="2">AB30</f>
        <v>BNP</v>
      </c>
      <c r="D30" s="26">
        <v>3570</v>
      </c>
      <c r="E30" s="22">
        <v>2.6446999999999998</v>
      </c>
      <c r="G30" s="7" t="s">
        <v>56</v>
      </c>
      <c r="H30" s="51">
        <f>SUM(I30:L30)</f>
        <v>10200</v>
      </c>
      <c r="I30" s="7">
        <v>9600</v>
      </c>
      <c r="J30" s="7">
        <v>600</v>
      </c>
      <c r="K30" s="7"/>
      <c r="L30" s="7"/>
      <c r="M30" s="7"/>
      <c r="O30" s="23" t="s">
        <v>12</v>
      </c>
      <c r="P30" s="23">
        <v>5000</v>
      </c>
      <c r="Q30" s="11"/>
      <c r="S30" s="2" t="str">
        <f>IF(ISBLANK(O30),"",O30)</f>
        <v>BNP</v>
      </c>
      <c r="T30" s="23">
        <v>5000</v>
      </c>
      <c r="U30" s="11"/>
      <c r="W30" s="33">
        <v>1</v>
      </c>
      <c r="X30" s="5">
        <v>1</v>
      </c>
      <c r="Y30" s="5">
        <v>1</v>
      </c>
      <c r="Z30" s="5">
        <v>1</v>
      </c>
      <c r="AA30" s="5">
        <f t="shared" ref="AA30:AA53" ca="1" si="3">IF(SUM(OFFSET(INDIRECT(ADDRESS($A$29,$A30)),1,0,3)) &gt; 0,1,0)</f>
        <v>0</v>
      </c>
      <c r="AB30" s="17" t="s">
        <v>12</v>
      </c>
      <c r="AC30" s="52">
        <f t="shared" ref="AC30:AC53" si="4">SUMIF($S$30:$S$64,AB30,$T$30:$T$64)</f>
        <v>5000</v>
      </c>
      <c r="AD30" s="52">
        <f ca="1">INDIRECT("'"&amp;$A$55&amp;"'!"&amp;ADDRESS(ROW(),COLUMN()))+AC30</f>
        <v>10000</v>
      </c>
      <c r="AE30" s="24">
        <f ca="1">IFERROR(AD30/$AD$54,0)</f>
        <v>0.49019607843137253</v>
      </c>
      <c r="AF30" s="14"/>
    </row>
    <row r="31" spans="1:36">
      <c r="A31">
        <f t="shared" si="0"/>
        <v>4</v>
      </c>
      <c r="B31" s="52">
        <f t="shared" si="1"/>
        <v>2</v>
      </c>
      <c r="C31" s="1" t="str">
        <f t="shared" si="2"/>
        <v>BBL</v>
      </c>
      <c r="D31" s="26">
        <v>3060</v>
      </c>
      <c r="E31" s="22">
        <v>2.6473499999999999</v>
      </c>
      <c r="G31" s="7" t="s">
        <v>48</v>
      </c>
      <c r="H31" s="51">
        <f t="shared" ref="H31:H32" si="5">SUM(I31:L31)</f>
        <v>6200</v>
      </c>
      <c r="I31" s="7">
        <v>5200</v>
      </c>
      <c r="J31" s="7"/>
      <c r="K31" s="7">
        <v>1000</v>
      </c>
      <c r="L31" s="7"/>
      <c r="M31" s="7"/>
      <c r="O31" s="23" t="s">
        <v>10</v>
      </c>
      <c r="P31" s="23">
        <v>2200</v>
      </c>
      <c r="Q31" s="23"/>
      <c r="S31" s="2" t="str">
        <f t="shared" ref="S31:S38" si="6">IF(ISBLANK(O31),"",O31)</f>
        <v>BBL</v>
      </c>
      <c r="T31" s="23">
        <v>2200</v>
      </c>
      <c r="U31" s="23"/>
      <c r="W31" s="33">
        <v>1</v>
      </c>
      <c r="X31" s="5">
        <v>2</v>
      </c>
      <c r="Y31" s="5">
        <v>1</v>
      </c>
      <c r="Z31" s="5">
        <v>0</v>
      </c>
      <c r="AA31" s="5">
        <f t="shared" ca="1" si="3"/>
        <v>1</v>
      </c>
      <c r="AB31" s="17" t="s">
        <v>10</v>
      </c>
      <c r="AC31" s="52">
        <f t="shared" si="4"/>
        <v>2200</v>
      </c>
      <c r="AD31" s="52">
        <f t="shared" ref="AD31:AD53" ca="1" si="7">INDIRECT("'"&amp;$A$55&amp;"'!"&amp;ADDRESS(ROW(),COLUMN()))+AC31</f>
        <v>4400</v>
      </c>
      <c r="AE31" s="24">
        <f t="shared" ref="AE31:AE53" ca="1" si="8">IFERROR(AD31/$AD$54,0)</f>
        <v>0.21568627450980393</v>
      </c>
      <c r="AF31" s="15"/>
    </row>
    <row r="32" spans="1:36">
      <c r="A32">
        <f t="shared" si="0"/>
        <v>5</v>
      </c>
      <c r="B32" s="52">
        <f t="shared" si="1"/>
        <v>3</v>
      </c>
      <c r="C32" s="1" t="str">
        <f t="shared" si="2"/>
        <v>KBANK</v>
      </c>
      <c r="D32" s="26">
        <v>2550</v>
      </c>
      <c r="E32" s="22">
        <v>2.65</v>
      </c>
      <c r="G32" s="7" t="s">
        <v>25</v>
      </c>
      <c r="H32" s="51">
        <f t="shared" si="5"/>
        <v>0</v>
      </c>
      <c r="I32" s="7"/>
      <c r="J32" s="7"/>
      <c r="K32" s="7"/>
      <c r="L32" s="7"/>
      <c r="M32" s="7"/>
      <c r="O32" s="23" t="s">
        <v>11</v>
      </c>
      <c r="P32" s="23">
        <v>3000</v>
      </c>
      <c r="Q32" s="23"/>
      <c r="S32" s="2" t="str">
        <f t="shared" si="6"/>
        <v>KBANK</v>
      </c>
      <c r="T32" s="23">
        <v>3000</v>
      </c>
      <c r="U32" s="23"/>
      <c r="W32" s="33">
        <v>1</v>
      </c>
      <c r="X32" s="5">
        <v>3</v>
      </c>
      <c r="Y32" s="5">
        <v>1</v>
      </c>
      <c r="Z32" s="5">
        <v>1</v>
      </c>
      <c r="AA32" s="5">
        <f t="shared" ca="1" si="3"/>
        <v>0</v>
      </c>
      <c r="AB32" s="17" t="s">
        <v>11</v>
      </c>
      <c r="AC32" s="52">
        <f t="shared" si="4"/>
        <v>3000</v>
      </c>
      <c r="AD32" s="52">
        <f t="shared" ca="1" si="7"/>
        <v>6000</v>
      </c>
      <c r="AE32" s="16">
        <f t="shared" ca="1" si="8"/>
        <v>0.29411764705882354</v>
      </c>
      <c r="AF32" s="16">
        <f ca="1">IFERROR(SUMIF($W$30:$W$53,$W$32,$AD$30:$AD$53)/$AD$54,0)</f>
        <v>1</v>
      </c>
    </row>
    <row r="33" spans="1:32">
      <c r="A33">
        <f t="shared" si="0"/>
        <v>6</v>
      </c>
      <c r="B33" s="52">
        <f t="shared" si="1"/>
        <v>4</v>
      </c>
      <c r="C33" s="1" t="str">
        <f t="shared" si="2"/>
        <v>TMB</v>
      </c>
      <c r="D33" s="26">
        <v>1020</v>
      </c>
      <c r="E33" s="22">
        <v>2.65265</v>
      </c>
      <c r="G33" s="34"/>
      <c r="O33" s="23"/>
      <c r="P33" s="23"/>
      <c r="Q33" s="23"/>
      <c r="S33" s="2" t="str">
        <f t="shared" si="6"/>
        <v/>
      </c>
      <c r="T33" s="23"/>
      <c r="U33" s="23"/>
      <c r="W33" s="52">
        <v>2</v>
      </c>
      <c r="X33" s="5">
        <v>4</v>
      </c>
      <c r="Y33" s="5">
        <v>1</v>
      </c>
      <c r="Z33" s="5">
        <v>1</v>
      </c>
      <c r="AA33" s="5">
        <f t="shared" ca="1" si="3"/>
        <v>1</v>
      </c>
      <c r="AB33" s="17" t="s">
        <v>9</v>
      </c>
      <c r="AC33" s="52">
        <f t="shared" si="4"/>
        <v>0</v>
      </c>
      <c r="AD33" s="52">
        <f t="shared" ca="1" si="7"/>
        <v>0</v>
      </c>
      <c r="AE33" s="24">
        <f t="shared" ca="1" si="8"/>
        <v>0</v>
      </c>
      <c r="AF33" s="15"/>
    </row>
    <row r="34" spans="1:32">
      <c r="A34">
        <f t="shared" si="0"/>
        <v>7</v>
      </c>
      <c r="B34" s="52">
        <f t="shared" si="1"/>
        <v>5</v>
      </c>
      <c r="C34" s="1" t="str">
        <f t="shared" si="2"/>
        <v>KTB</v>
      </c>
      <c r="D34" s="26"/>
      <c r="E34" s="22"/>
      <c r="G34" s="35"/>
      <c r="O34" s="23"/>
      <c r="P34" s="23"/>
      <c r="Q34" s="23"/>
      <c r="S34" s="2" t="str">
        <f t="shared" si="6"/>
        <v/>
      </c>
      <c r="T34" s="23"/>
      <c r="U34" s="23"/>
      <c r="W34" s="52">
        <v>2</v>
      </c>
      <c r="X34" s="5">
        <v>5</v>
      </c>
      <c r="Y34" s="5">
        <v>1</v>
      </c>
      <c r="Z34" s="5">
        <v>0</v>
      </c>
      <c r="AA34" s="5">
        <f t="shared" ca="1" si="3"/>
        <v>0</v>
      </c>
      <c r="AB34" s="17" t="s">
        <v>13</v>
      </c>
      <c r="AC34" s="52">
        <f t="shared" si="4"/>
        <v>0</v>
      </c>
      <c r="AD34" s="52">
        <f t="shared" ca="1" si="7"/>
        <v>0</v>
      </c>
      <c r="AE34" s="24">
        <f t="shared" ca="1" si="8"/>
        <v>0</v>
      </c>
      <c r="AF34" s="15"/>
    </row>
    <row r="35" spans="1:32">
      <c r="A35">
        <f t="shared" si="0"/>
        <v>8</v>
      </c>
      <c r="B35" s="52">
        <f t="shared" si="1"/>
        <v>6</v>
      </c>
      <c r="C35" s="1" t="str">
        <f t="shared" si="2"/>
        <v>CIMBT</v>
      </c>
      <c r="D35" s="26"/>
      <c r="E35" s="22"/>
      <c r="G35" s="4" t="s">
        <v>58</v>
      </c>
      <c r="O35" s="23"/>
      <c r="P35" s="23"/>
      <c r="Q35" s="23"/>
      <c r="S35" s="2" t="str">
        <f t="shared" si="6"/>
        <v/>
      </c>
      <c r="T35" s="23"/>
      <c r="U35" s="23"/>
      <c r="W35" s="52">
        <v>2</v>
      </c>
      <c r="X35" s="5">
        <v>6</v>
      </c>
      <c r="Y35" s="5">
        <v>1</v>
      </c>
      <c r="Z35" s="5">
        <v>0</v>
      </c>
      <c r="AA35" s="5">
        <f t="shared" ca="1" si="3"/>
        <v>0</v>
      </c>
      <c r="AB35" s="17" t="s">
        <v>32</v>
      </c>
      <c r="AC35" s="52">
        <f t="shared" si="4"/>
        <v>0</v>
      </c>
      <c r="AD35" s="52">
        <f t="shared" ca="1" si="7"/>
        <v>0</v>
      </c>
      <c r="AE35" s="24">
        <f t="shared" ca="1" si="8"/>
        <v>0</v>
      </c>
      <c r="AF35" s="15"/>
    </row>
    <row r="36" spans="1:32">
      <c r="A36">
        <f t="shared" si="0"/>
        <v>9</v>
      </c>
      <c r="B36" s="52">
        <f t="shared" si="1"/>
        <v>7</v>
      </c>
      <c r="C36" s="1" t="str">
        <f t="shared" si="2"/>
        <v>BAY</v>
      </c>
      <c r="D36" s="26"/>
      <c r="E36" s="22"/>
      <c r="G36" s="20" t="s">
        <v>24</v>
      </c>
      <c r="H36" s="20" t="s">
        <v>60</v>
      </c>
      <c r="I36" s="20" t="s">
        <v>53</v>
      </c>
      <c r="J36" s="20" t="s">
        <v>54</v>
      </c>
      <c r="K36" s="20" t="s">
        <v>64</v>
      </c>
      <c r="L36" s="20" t="s">
        <v>61</v>
      </c>
      <c r="M36" s="20" t="s">
        <v>55</v>
      </c>
      <c r="O36" s="23"/>
      <c r="P36" s="23"/>
      <c r="Q36" s="23"/>
      <c r="S36" s="2" t="str">
        <f t="shared" si="6"/>
        <v/>
      </c>
      <c r="T36" s="23"/>
      <c r="U36" s="23"/>
      <c r="W36" s="52">
        <v>2</v>
      </c>
      <c r="X36" s="5">
        <v>7</v>
      </c>
      <c r="Y36" s="5">
        <v>1</v>
      </c>
      <c r="Z36" s="5">
        <v>0</v>
      </c>
      <c r="AA36" s="5">
        <f t="shared" ca="1" si="3"/>
        <v>1</v>
      </c>
      <c r="AB36" s="17" t="s">
        <v>33</v>
      </c>
      <c r="AC36" s="52">
        <f t="shared" si="4"/>
        <v>0</v>
      </c>
      <c r="AD36" s="52">
        <f t="shared" ca="1" si="7"/>
        <v>0</v>
      </c>
      <c r="AE36" s="24">
        <f t="shared" ca="1" si="8"/>
        <v>0</v>
      </c>
      <c r="AF36" s="15"/>
    </row>
    <row r="37" spans="1:32" ht="16.5" customHeight="1">
      <c r="A37">
        <f t="shared" si="0"/>
        <v>10</v>
      </c>
      <c r="B37" s="52">
        <f t="shared" si="1"/>
        <v>8</v>
      </c>
      <c r="C37" s="1" t="str">
        <f t="shared" si="2"/>
        <v>SCB</v>
      </c>
      <c r="D37" s="26"/>
      <c r="E37" s="22"/>
      <c r="G37" s="38"/>
      <c r="H37" s="36"/>
      <c r="I37" s="22"/>
      <c r="J37" s="22"/>
      <c r="K37" s="22"/>
      <c r="L37" s="37"/>
      <c r="M37" s="37"/>
      <c r="O37" s="23"/>
      <c r="P37" s="23"/>
      <c r="Q37" s="23"/>
      <c r="S37" s="2" t="str">
        <f t="shared" si="6"/>
        <v/>
      </c>
      <c r="T37" s="23"/>
      <c r="U37" s="23"/>
      <c r="W37" s="52">
        <v>2</v>
      </c>
      <c r="X37" s="5">
        <v>8</v>
      </c>
      <c r="Y37" s="5">
        <v>1</v>
      </c>
      <c r="Z37" s="5">
        <v>0</v>
      </c>
      <c r="AA37" s="5">
        <f t="shared" ca="1" si="3"/>
        <v>1</v>
      </c>
      <c r="AB37" s="17" t="s">
        <v>8</v>
      </c>
      <c r="AC37" s="52">
        <f t="shared" si="4"/>
        <v>0</v>
      </c>
      <c r="AD37" s="52">
        <f t="shared" ca="1" si="7"/>
        <v>0</v>
      </c>
      <c r="AE37" s="16">
        <f t="shared" ca="1" si="8"/>
        <v>0</v>
      </c>
      <c r="AF37" s="16">
        <f ca="1">IFERROR(SUMIF($W$30:$W$53,$W$37,$AD$30:$AD$53)/$AD$54,0)</f>
        <v>0</v>
      </c>
    </row>
    <row r="38" spans="1:32">
      <c r="A38">
        <f t="shared" si="0"/>
        <v>11</v>
      </c>
      <c r="B38" s="52">
        <f t="shared" si="1"/>
        <v>9</v>
      </c>
      <c r="C38" s="1" t="str">
        <f t="shared" si="2"/>
        <v>TBANK</v>
      </c>
      <c r="D38" s="26"/>
      <c r="E38" s="22"/>
      <c r="G38" s="38"/>
      <c r="H38" s="36"/>
      <c r="I38" s="22"/>
      <c r="J38" s="22"/>
      <c r="K38" s="22"/>
      <c r="L38" s="37"/>
      <c r="M38" s="37"/>
      <c r="O38" s="23"/>
      <c r="P38" s="23"/>
      <c r="Q38" s="23"/>
      <c r="S38" s="2" t="str">
        <f t="shared" si="6"/>
        <v/>
      </c>
      <c r="T38" s="23"/>
      <c r="U38" s="23"/>
      <c r="W38" s="52">
        <v>3</v>
      </c>
      <c r="X38" s="5">
        <v>9</v>
      </c>
      <c r="Y38" s="5">
        <v>1</v>
      </c>
      <c r="Z38" s="5">
        <v>0</v>
      </c>
      <c r="AA38" s="5">
        <f t="shared" ca="1" si="3"/>
        <v>0</v>
      </c>
      <c r="AB38" s="17" t="s">
        <v>34</v>
      </c>
      <c r="AC38" s="52">
        <f t="shared" si="4"/>
        <v>0</v>
      </c>
      <c r="AD38" s="52">
        <f t="shared" ca="1" si="7"/>
        <v>0</v>
      </c>
      <c r="AE38" s="24">
        <f t="shared" ca="1" si="8"/>
        <v>0</v>
      </c>
      <c r="AF38" s="15"/>
    </row>
    <row r="39" spans="1:32" ht="15" thickBot="1">
      <c r="A39">
        <f t="shared" si="0"/>
        <v>12</v>
      </c>
      <c r="B39" s="52">
        <f t="shared" si="1"/>
        <v>10</v>
      </c>
      <c r="C39" s="1" t="str">
        <f t="shared" si="2"/>
        <v>TISCOBANK</v>
      </c>
      <c r="D39" s="26"/>
      <c r="E39" s="22"/>
      <c r="G39" s="38"/>
      <c r="H39" s="36"/>
      <c r="I39" s="22"/>
      <c r="J39" s="22"/>
      <c r="K39" s="22"/>
      <c r="L39" s="37"/>
      <c r="M39" s="37"/>
      <c r="N39" s="39" t="s">
        <v>62</v>
      </c>
      <c r="O39" s="40">
        <f>H30-P39</f>
        <v>0</v>
      </c>
      <c r="P39" s="50">
        <f>SUM(P30:P38)</f>
        <v>10200</v>
      </c>
      <c r="Q39" s="44">
        <f>IFERROR(AVERAGE(Q30:Q38),0)</f>
        <v>0</v>
      </c>
      <c r="R39" s="39" t="s">
        <v>63</v>
      </c>
      <c r="S39" s="40">
        <f>H30-T39</f>
        <v>0</v>
      </c>
      <c r="T39" s="50">
        <f>SUM(T30:T38)</f>
        <v>10200</v>
      </c>
      <c r="U39" s="44">
        <f>SUM(U30:U38)</f>
        <v>0</v>
      </c>
      <c r="W39" s="52">
        <v>3</v>
      </c>
      <c r="X39" s="5">
        <v>10</v>
      </c>
      <c r="Y39" s="5">
        <v>1</v>
      </c>
      <c r="Z39" s="5">
        <v>0</v>
      </c>
      <c r="AA39" s="5">
        <f t="shared" ca="1" si="3"/>
        <v>1</v>
      </c>
      <c r="AB39" s="17" t="s">
        <v>35</v>
      </c>
      <c r="AC39" s="52">
        <f t="shared" si="4"/>
        <v>0</v>
      </c>
      <c r="AD39" s="52">
        <f t="shared" ca="1" si="7"/>
        <v>0</v>
      </c>
      <c r="AE39" s="24">
        <f t="shared" ca="1" si="8"/>
        <v>0</v>
      </c>
      <c r="AF39" s="15"/>
    </row>
    <row r="40" spans="1:32" ht="15" thickTop="1">
      <c r="A40">
        <f t="shared" si="0"/>
        <v>13</v>
      </c>
      <c r="B40" s="52">
        <f t="shared" si="1"/>
        <v>11</v>
      </c>
      <c r="C40" s="1" t="str">
        <f t="shared" si="2"/>
        <v>SCBT</v>
      </c>
      <c r="D40" s="26"/>
      <c r="E40" s="22"/>
      <c r="G40" s="38"/>
      <c r="H40" s="36"/>
      <c r="I40" s="22"/>
      <c r="J40" s="22"/>
      <c r="K40" s="22"/>
      <c r="L40" s="37"/>
      <c r="M40" s="37"/>
      <c r="W40" s="52">
        <v>3</v>
      </c>
      <c r="X40" s="5">
        <v>11</v>
      </c>
      <c r="Y40" s="5">
        <v>1</v>
      </c>
      <c r="Z40" s="5">
        <v>0</v>
      </c>
      <c r="AA40" s="5">
        <f t="shared" ca="1" si="3"/>
        <v>0</v>
      </c>
      <c r="AB40" s="17" t="s">
        <v>36</v>
      </c>
      <c r="AC40" s="52">
        <f t="shared" si="4"/>
        <v>0</v>
      </c>
      <c r="AD40" s="52">
        <f t="shared" ca="1" si="7"/>
        <v>0</v>
      </c>
      <c r="AE40" s="24">
        <f t="shared" ca="1" si="8"/>
        <v>0</v>
      </c>
      <c r="AF40" s="15"/>
    </row>
    <row r="41" spans="1:32">
      <c r="A41">
        <f t="shared" si="0"/>
        <v>14</v>
      </c>
      <c r="B41" s="52">
        <f t="shared" si="1"/>
        <v>12</v>
      </c>
      <c r="C41" s="1" t="str">
        <f t="shared" si="2"/>
        <v>HSBC</v>
      </c>
      <c r="D41" s="26"/>
      <c r="E41" s="22"/>
      <c r="G41" s="38"/>
      <c r="H41" s="36"/>
      <c r="I41" s="22"/>
      <c r="J41" s="22"/>
      <c r="K41" s="22"/>
      <c r="L41" s="37"/>
      <c r="M41" s="37"/>
      <c r="O41" s="28" t="str">
        <f>"Auction Excute : " &amp;G31</f>
        <v>Auction Excute : CB19209A</v>
      </c>
      <c r="S41" s="4" t="s">
        <v>18</v>
      </c>
      <c r="W41" s="52">
        <v>3</v>
      </c>
      <c r="X41" s="5">
        <v>12</v>
      </c>
      <c r="Y41" s="5">
        <v>1</v>
      </c>
      <c r="Z41" s="5">
        <v>0</v>
      </c>
      <c r="AA41" s="5">
        <f t="shared" ca="1" si="3"/>
        <v>1</v>
      </c>
      <c r="AB41" s="17" t="s">
        <v>15</v>
      </c>
      <c r="AC41" s="52">
        <f t="shared" si="4"/>
        <v>0</v>
      </c>
      <c r="AD41" s="52">
        <f t="shared" ca="1" si="7"/>
        <v>0</v>
      </c>
      <c r="AE41" s="24">
        <f t="shared" ca="1" si="8"/>
        <v>0</v>
      </c>
      <c r="AF41" s="15"/>
    </row>
    <row r="42" spans="1:32">
      <c r="A42">
        <f t="shared" si="0"/>
        <v>15</v>
      </c>
      <c r="B42" s="52">
        <f t="shared" si="1"/>
        <v>13</v>
      </c>
      <c r="C42" s="1" t="str">
        <f t="shared" si="2"/>
        <v>CITIBANK</v>
      </c>
      <c r="D42" s="26"/>
      <c r="E42" s="22"/>
      <c r="G42" s="38"/>
      <c r="H42" s="36"/>
      <c r="I42" s="22"/>
      <c r="J42" s="22"/>
      <c r="K42" s="22"/>
      <c r="L42" s="37"/>
      <c r="M42" s="37"/>
      <c r="O42" s="20" t="s">
        <v>0</v>
      </c>
      <c r="P42" s="20" t="s">
        <v>69</v>
      </c>
      <c r="Q42" s="20" t="s">
        <v>23</v>
      </c>
      <c r="S42" s="20" t="s">
        <v>0</v>
      </c>
      <c r="T42" s="20" t="s">
        <v>69</v>
      </c>
      <c r="U42" s="20" t="s">
        <v>23</v>
      </c>
      <c r="W42" s="52">
        <v>3</v>
      </c>
      <c r="X42" s="5">
        <v>13</v>
      </c>
      <c r="Y42" s="5">
        <v>1</v>
      </c>
      <c r="Z42" s="5">
        <v>0</v>
      </c>
      <c r="AA42" s="5">
        <f t="shared" ca="1" si="3"/>
        <v>0</v>
      </c>
      <c r="AB42" s="17" t="s">
        <v>37</v>
      </c>
      <c r="AC42" s="52">
        <f t="shared" si="4"/>
        <v>0</v>
      </c>
      <c r="AD42" s="52">
        <f t="shared" ca="1" si="7"/>
        <v>0</v>
      </c>
      <c r="AE42" s="24">
        <f t="shared" ca="1" si="8"/>
        <v>0</v>
      </c>
      <c r="AF42" s="15"/>
    </row>
    <row r="43" spans="1:32">
      <c r="A43">
        <f t="shared" si="0"/>
        <v>16</v>
      </c>
      <c r="B43" s="52">
        <f t="shared" si="1"/>
        <v>14</v>
      </c>
      <c r="C43" s="1" t="str">
        <f t="shared" si="2"/>
        <v>KKP</v>
      </c>
      <c r="D43" s="26"/>
      <c r="E43" s="22"/>
      <c r="G43" s="38"/>
      <c r="H43" s="36"/>
      <c r="I43" s="22"/>
      <c r="J43" s="22"/>
      <c r="K43" s="22"/>
      <c r="L43" s="37"/>
      <c r="M43" s="37"/>
      <c r="O43" s="23"/>
      <c r="P43" s="23"/>
      <c r="Q43" s="11"/>
      <c r="S43" s="2" t="str">
        <f>IF(ISBLANK(O43),"",O43)</f>
        <v/>
      </c>
      <c r="T43" s="23"/>
      <c r="U43" s="11"/>
      <c r="W43" s="52">
        <v>3</v>
      </c>
      <c r="X43" s="5">
        <v>14</v>
      </c>
      <c r="Y43" s="5">
        <v>1</v>
      </c>
      <c r="Z43" s="5">
        <v>0</v>
      </c>
      <c r="AA43" s="5">
        <f t="shared" ca="1" si="3"/>
        <v>1</v>
      </c>
      <c r="AB43" s="17" t="s">
        <v>38</v>
      </c>
      <c r="AC43" s="52">
        <f t="shared" si="4"/>
        <v>0</v>
      </c>
      <c r="AD43" s="52">
        <f t="shared" ca="1" si="7"/>
        <v>0</v>
      </c>
      <c r="AE43" s="24">
        <f t="shared" ca="1" si="8"/>
        <v>0</v>
      </c>
      <c r="AF43" s="15"/>
    </row>
    <row r="44" spans="1:32">
      <c r="A44">
        <f t="shared" si="0"/>
        <v>17</v>
      </c>
      <c r="B44" s="52">
        <f t="shared" si="1"/>
        <v>15</v>
      </c>
      <c r="C44" s="1" t="str">
        <f t="shared" si="2"/>
        <v>UOBT</v>
      </c>
      <c r="D44" s="26"/>
      <c r="E44" s="22"/>
      <c r="G44" s="38"/>
      <c r="H44" s="36"/>
      <c r="I44" s="22"/>
      <c r="J44" s="22"/>
      <c r="K44" s="22"/>
      <c r="L44" s="37"/>
      <c r="M44" s="37"/>
      <c r="O44" s="23"/>
      <c r="P44" s="23"/>
      <c r="Q44" s="23"/>
      <c r="S44" s="2" t="str">
        <f t="shared" ref="S44:S51" si="9">IF(ISBLANK(O44),"",O44)</f>
        <v/>
      </c>
      <c r="T44" s="23"/>
      <c r="U44" s="23"/>
      <c r="W44" s="52">
        <v>3</v>
      </c>
      <c r="X44" s="5">
        <v>15</v>
      </c>
      <c r="Y44" s="5">
        <v>1</v>
      </c>
      <c r="Z44" s="5">
        <v>0</v>
      </c>
      <c r="AA44" s="5">
        <f t="shared" ca="1" si="3"/>
        <v>0</v>
      </c>
      <c r="AB44" s="17" t="s">
        <v>39</v>
      </c>
      <c r="AC44" s="52">
        <f t="shared" si="4"/>
        <v>0</v>
      </c>
      <c r="AD44" s="52">
        <f t="shared" ca="1" si="7"/>
        <v>0</v>
      </c>
      <c r="AE44" s="24">
        <f t="shared" ca="1" si="8"/>
        <v>0</v>
      </c>
      <c r="AF44" s="15"/>
    </row>
    <row r="45" spans="1:32">
      <c r="A45">
        <f t="shared" si="0"/>
        <v>18</v>
      </c>
      <c r="B45" s="52">
        <f t="shared" si="1"/>
        <v>16</v>
      </c>
      <c r="C45" s="1" t="str">
        <f t="shared" si="2"/>
        <v>GSB</v>
      </c>
      <c r="D45" s="26"/>
      <c r="E45" s="22"/>
      <c r="G45" s="38"/>
      <c r="H45" s="36"/>
      <c r="I45" s="22"/>
      <c r="J45" s="22"/>
      <c r="K45" s="22"/>
      <c r="L45" s="37"/>
      <c r="M45" s="37"/>
      <c r="O45" s="23"/>
      <c r="P45" s="23"/>
      <c r="Q45" s="23"/>
      <c r="S45" s="2" t="str">
        <f t="shared" si="9"/>
        <v/>
      </c>
      <c r="T45" s="23"/>
      <c r="U45" s="23"/>
      <c r="W45" s="52">
        <v>3</v>
      </c>
      <c r="X45" s="5">
        <v>16</v>
      </c>
      <c r="Y45" s="5">
        <v>1</v>
      </c>
      <c r="Z45" s="5">
        <v>0</v>
      </c>
      <c r="AA45" s="5">
        <f t="shared" ca="1" si="3"/>
        <v>0</v>
      </c>
      <c r="AB45" s="17" t="s">
        <v>14</v>
      </c>
      <c r="AC45" s="52">
        <f t="shared" si="4"/>
        <v>0</v>
      </c>
      <c r="AD45" s="52">
        <f t="shared" ca="1" si="7"/>
        <v>0</v>
      </c>
      <c r="AE45" s="24">
        <f t="shared" ca="1" si="8"/>
        <v>0</v>
      </c>
      <c r="AF45" s="15"/>
    </row>
    <row r="46" spans="1:32">
      <c r="A46">
        <f t="shared" si="0"/>
        <v>19</v>
      </c>
      <c r="B46" s="52">
        <f t="shared" si="1"/>
        <v>17</v>
      </c>
      <c r="C46" s="1" t="str">
        <f t="shared" si="2"/>
        <v>KGI</v>
      </c>
      <c r="D46" s="26"/>
      <c r="E46" s="22"/>
      <c r="G46" s="38"/>
      <c r="H46" s="36"/>
      <c r="I46" s="22"/>
      <c r="J46" s="22"/>
      <c r="K46" s="22"/>
      <c r="L46" s="37"/>
      <c r="M46" s="37"/>
      <c r="O46" s="23"/>
      <c r="P46" s="23"/>
      <c r="Q46" s="23"/>
      <c r="S46" s="2" t="str">
        <f t="shared" si="9"/>
        <v/>
      </c>
      <c r="T46" s="23"/>
      <c r="U46" s="23"/>
      <c r="W46" s="52">
        <v>3</v>
      </c>
      <c r="X46" s="5">
        <v>17</v>
      </c>
      <c r="Y46" s="5">
        <v>1</v>
      </c>
      <c r="Z46" s="5">
        <v>0</v>
      </c>
      <c r="AA46" s="5">
        <f t="shared" ca="1" si="3"/>
        <v>0</v>
      </c>
      <c r="AB46" s="17" t="s">
        <v>40</v>
      </c>
      <c r="AC46" s="52">
        <f t="shared" si="4"/>
        <v>0</v>
      </c>
      <c r="AD46" s="52">
        <f t="shared" ca="1" si="7"/>
        <v>0</v>
      </c>
      <c r="AE46" s="24">
        <f t="shared" ca="1" si="8"/>
        <v>0</v>
      </c>
      <c r="AF46" s="15"/>
    </row>
    <row r="47" spans="1:32">
      <c r="A47">
        <f t="shared" si="0"/>
        <v>20</v>
      </c>
      <c r="B47" s="52">
        <f t="shared" si="1"/>
        <v>18</v>
      </c>
      <c r="C47" s="1" t="str">
        <f t="shared" si="2"/>
        <v>BAML</v>
      </c>
      <c r="D47" s="26"/>
      <c r="E47" s="22"/>
      <c r="G47" s="38"/>
      <c r="H47" s="36"/>
      <c r="I47" s="22"/>
      <c r="J47" s="22"/>
      <c r="K47" s="22"/>
      <c r="L47" s="37"/>
      <c r="M47" s="37"/>
      <c r="O47" s="23"/>
      <c r="P47" s="23"/>
      <c r="Q47" s="23"/>
      <c r="S47" s="2" t="str">
        <f t="shared" si="9"/>
        <v/>
      </c>
      <c r="T47" s="23"/>
      <c r="U47" s="23"/>
      <c r="W47" s="52">
        <v>3</v>
      </c>
      <c r="X47" s="5">
        <v>18</v>
      </c>
      <c r="Y47" s="5">
        <v>1</v>
      </c>
      <c r="Z47" s="5">
        <v>0</v>
      </c>
      <c r="AA47" s="5">
        <f t="shared" ca="1" si="3"/>
        <v>0</v>
      </c>
      <c r="AB47" s="17" t="s">
        <v>41</v>
      </c>
      <c r="AC47" s="52">
        <f t="shared" si="4"/>
        <v>0</v>
      </c>
      <c r="AD47" s="52">
        <f t="shared" ca="1" si="7"/>
        <v>0</v>
      </c>
      <c r="AE47" s="24">
        <f t="shared" ca="1" si="8"/>
        <v>0</v>
      </c>
      <c r="AF47" s="15"/>
    </row>
    <row r="48" spans="1:32">
      <c r="A48">
        <f t="shared" si="0"/>
        <v>21</v>
      </c>
      <c r="B48" s="52">
        <f t="shared" si="1"/>
        <v>19</v>
      </c>
      <c r="C48" s="1" t="str">
        <f t="shared" si="2"/>
        <v>JP_MORGAN</v>
      </c>
      <c r="D48" s="26"/>
      <c r="E48" s="22"/>
      <c r="G48" s="38"/>
      <c r="H48" s="36"/>
      <c r="I48" s="22"/>
      <c r="J48" s="22"/>
      <c r="K48" s="22"/>
      <c r="L48" s="37"/>
      <c r="M48" s="37"/>
      <c r="O48" s="23"/>
      <c r="P48" s="23"/>
      <c r="Q48" s="23"/>
      <c r="S48" s="2" t="str">
        <f t="shared" si="9"/>
        <v/>
      </c>
      <c r="T48" s="23"/>
      <c r="U48" s="23"/>
      <c r="W48" s="52">
        <v>3</v>
      </c>
      <c r="X48" s="5">
        <v>19</v>
      </c>
      <c r="Y48" s="5">
        <v>1</v>
      </c>
      <c r="Z48" s="5">
        <v>0</v>
      </c>
      <c r="AA48" s="5">
        <f t="shared" ca="1" si="3"/>
        <v>0</v>
      </c>
      <c r="AB48" s="17" t="s">
        <v>42</v>
      </c>
      <c r="AC48" s="52">
        <f t="shared" si="4"/>
        <v>0</v>
      </c>
      <c r="AD48" s="52">
        <f t="shared" ca="1" si="7"/>
        <v>0</v>
      </c>
      <c r="AE48" s="24">
        <f t="shared" ca="1" si="8"/>
        <v>0</v>
      </c>
      <c r="AF48" s="15"/>
    </row>
    <row r="49" spans="1:32">
      <c r="A49">
        <f t="shared" si="0"/>
        <v>22</v>
      </c>
      <c r="B49" s="52">
        <f t="shared" si="1"/>
        <v>20</v>
      </c>
      <c r="C49" s="1" t="str">
        <f t="shared" si="2"/>
        <v>ANZT</v>
      </c>
      <c r="D49" s="26"/>
      <c r="E49" s="22"/>
      <c r="G49" s="38"/>
      <c r="H49" s="36"/>
      <c r="I49" s="22"/>
      <c r="J49" s="22"/>
      <c r="K49" s="22"/>
      <c r="L49" s="37"/>
      <c r="M49" s="37"/>
      <c r="O49" s="23"/>
      <c r="P49" s="23"/>
      <c r="Q49" s="23"/>
      <c r="S49" s="2" t="str">
        <f t="shared" si="9"/>
        <v/>
      </c>
      <c r="T49" s="23"/>
      <c r="U49" s="23"/>
      <c r="W49" s="52">
        <v>3</v>
      </c>
      <c r="X49" s="5">
        <v>20</v>
      </c>
      <c r="Y49" s="5">
        <v>1</v>
      </c>
      <c r="Z49" s="5">
        <v>0</v>
      </c>
      <c r="AA49" s="5">
        <f t="shared" ca="1" si="3"/>
        <v>0</v>
      </c>
      <c r="AB49" s="17" t="s">
        <v>43</v>
      </c>
      <c r="AC49" s="52">
        <f t="shared" si="4"/>
        <v>0</v>
      </c>
      <c r="AD49" s="52">
        <f t="shared" ca="1" si="7"/>
        <v>0</v>
      </c>
      <c r="AE49" s="24">
        <f t="shared" ca="1" si="8"/>
        <v>0</v>
      </c>
      <c r="AF49" s="15"/>
    </row>
    <row r="50" spans="1:32">
      <c r="A50">
        <f t="shared" si="0"/>
        <v>23</v>
      </c>
      <c r="B50" s="52">
        <f t="shared" si="1"/>
        <v>21</v>
      </c>
      <c r="C50" s="1" t="str">
        <f t="shared" si="2"/>
        <v>DEUTSCHE_BANK</v>
      </c>
      <c r="D50" s="26"/>
      <c r="E50" s="22"/>
      <c r="G50" s="38"/>
      <c r="H50" s="36"/>
      <c r="I50" s="22"/>
      <c r="J50" s="22"/>
      <c r="K50" s="22"/>
      <c r="L50" s="37"/>
      <c r="M50" s="37"/>
      <c r="O50" s="23"/>
      <c r="P50" s="23"/>
      <c r="Q50" s="23"/>
      <c r="S50" s="2" t="str">
        <f t="shared" si="9"/>
        <v/>
      </c>
      <c r="T50" s="23"/>
      <c r="U50" s="23"/>
      <c r="W50" s="52">
        <v>3</v>
      </c>
      <c r="X50" s="5">
        <v>21</v>
      </c>
      <c r="Y50" s="5">
        <v>1</v>
      </c>
      <c r="Z50" s="5">
        <v>0</v>
      </c>
      <c r="AA50" s="5">
        <f t="shared" ca="1" si="3"/>
        <v>0</v>
      </c>
      <c r="AB50" s="17" t="s">
        <v>44</v>
      </c>
      <c r="AC50" s="52">
        <f t="shared" si="4"/>
        <v>0</v>
      </c>
      <c r="AD50" s="52">
        <f t="shared" ca="1" si="7"/>
        <v>0</v>
      </c>
      <c r="AE50" s="24">
        <f t="shared" ca="1" si="8"/>
        <v>0</v>
      </c>
      <c r="AF50" s="15"/>
    </row>
    <row r="51" spans="1:32">
      <c r="A51">
        <f t="shared" si="0"/>
        <v>24</v>
      </c>
      <c r="B51" s="52">
        <f t="shared" si="1"/>
        <v>22</v>
      </c>
      <c r="C51" s="1" t="str">
        <f t="shared" si="2"/>
        <v>CNS</v>
      </c>
      <c r="D51" s="26"/>
      <c r="E51" s="22"/>
      <c r="O51" s="23"/>
      <c r="P51" s="23"/>
      <c r="Q51" s="23"/>
      <c r="S51" s="2" t="str">
        <f t="shared" si="9"/>
        <v/>
      </c>
      <c r="T51" s="23"/>
      <c r="U51" s="23"/>
      <c r="W51" s="52">
        <v>3</v>
      </c>
      <c r="X51" s="5">
        <v>22</v>
      </c>
      <c r="Y51" s="5">
        <v>1</v>
      </c>
      <c r="Z51" s="5">
        <v>0</v>
      </c>
      <c r="AA51" s="5">
        <f t="shared" ca="1" si="3"/>
        <v>0</v>
      </c>
      <c r="AB51" s="17" t="s">
        <v>45</v>
      </c>
      <c r="AC51" s="52">
        <f t="shared" si="4"/>
        <v>0</v>
      </c>
      <c r="AD51" s="52">
        <f t="shared" ca="1" si="7"/>
        <v>0</v>
      </c>
      <c r="AE51" s="24">
        <f t="shared" ca="1" si="8"/>
        <v>0</v>
      </c>
      <c r="AF51" s="15"/>
    </row>
    <row r="52" spans="1:32" ht="15" thickBot="1">
      <c r="A52">
        <f t="shared" si="0"/>
        <v>25</v>
      </c>
      <c r="B52" s="52">
        <f t="shared" si="1"/>
        <v>23</v>
      </c>
      <c r="C52" s="1" t="str">
        <f t="shared" si="2"/>
        <v>PHATRA</v>
      </c>
      <c r="D52" s="26"/>
      <c r="E52" s="22"/>
      <c r="N52" s="39" t="s">
        <v>62</v>
      </c>
      <c r="O52" s="40">
        <f>H31-P52</f>
        <v>6200</v>
      </c>
      <c r="P52" s="50">
        <f>SUM(P43:P51)</f>
        <v>0</v>
      </c>
      <c r="Q52" s="44">
        <f>SUM(Q43:Q51)</f>
        <v>0</v>
      </c>
      <c r="R52" s="39" t="s">
        <v>63</v>
      </c>
      <c r="S52" s="40">
        <f>H31-T52</f>
        <v>6200</v>
      </c>
      <c r="T52" s="50">
        <f>SUM(T43:T51)</f>
        <v>0</v>
      </c>
      <c r="U52" s="44">
        <f>SUM(U43:U51)</f>
        <v>0</v>
      </c>
      <c r="W52" s="52">
        <v>3</v>
      </c>
      <c r="X52" s="5">
        <v>23</v>
      </c>
      <c r="Y52" s="5">
        <v>1</v>
      </c>
      <c r="Z52" s="5">
        <v>0</v>
      </c>
      <c r="AA52" s="5">
        <f t="shared" ca="1" si="3"/>
        <v>0</v>
      </c>
      <c r="AB52" s="17" t="s">
        <v>46</v>
      </c>
      <c r="AC52" s="52">
        <f t="shared" si="4"/>
        <v>0</v>
      </c>
      <c r="AD52" s="52">
        <f t="shared" ca="1" si="7"/>
        <v>0</v>
      </c>
      <c r="AE52" s="24">
        <f t="shared" ca="1" si="8"/>
        <v>0</v>
      </c>
      <c r="AF52" s="15"/>
    </row>
    <row r="53" spans="1:32" ht="15" thickTop="1">
      <c r="A53">
        <f t="shared" si="0"/>
        <v>26</v>
      </c>
      <c r="B53" s="52">
        <f t="shared" si="1"/>
        <v>24</v>
      </c>
      <c r="C53" s="1" t="str">
        <f t="shared" si="2"/>
        <v>MBKET</v>
      </c>
      <c r="D53" s="26"/>
      <c r="E53" s="22"/>
      <c r="W53" s="52">
        <v>3</v>
      </c>
      <c r="X53" s="5">
        <v>24</v>
      </c>
      <c r="Y53" s="5">
        <v>1</v>
      </c>
      <c r="Z53" s="5">
        <v>0</v>
      </c>
      <c r="AA53" s="5">
        <f t="shared" ca="1" si="3"/>
        <v>0</v>
      </c>
      <c r="AB53" s="17" t="s">
        <v>47</v>
      </c>
      <c r="AC53" s="52">
        <f t="shared" si="4"/>
        <v>0</v>
      </c>
      <c r="AD53" s="52">
        <f t="shared" ca="1" si="7"/>
        <v>0</v>
      </c>
      <c r="AE53" s="16">
        <f t="shared" ca="1" si="8"/>
        <v>0</v>
      </c>
      <c r="AF53" s="16">
        <f ca="1">IFERROR(SUMIF($W$30:$W$53,$W$53,$AD$30:$AD$53)/$AD$54,0)</f>
        <v>0</v>
      </c>
    </row>
    <row r="54" spans="1:32" ht="15" thickBot="1">
      <c r="D54" s="50">
        <f>SUM(D30:D53)</f>
        <v>10200</v>
      </c>
      <c r="E54" s="45">
        <f>IFERROR(SUMPRODUCT(D30:D33,E30:E33)/SUM(D30:D33),0)</f>
        <v>2.6476150000000001</v>
      </c>
      <c r="F54" s="48"/>
      <c r="O54" s="29" t="str">
        <f>"Auction Excute : " &amp;G32</f>
        <v>Auction Excute : CB19207A</v>
      </c>
      <c r="S54" s="4" t="s">
        <v>18</v>
      </c>
      <c r="AB54" s="20" t="s">
        <v>17</v>
      </c>
      <c r="AC54" s="44">
        <f>SUM(AC30:AC53)</f>
        <v>10200</v>
      </c>
      <c r="AD54" s="44">
        <f ca="1">SUM(AD30:AD53)</f>
        <v>20400</v>
      </c>
    </row>
    <row r="55" spans="1:32" ht="15" thickTop="1">
      <c r="A55" s="43" t="s">
        <v>73</v>
      </c>
      <c r="G55" s="4" t="s">
        <v>70</v>
      </c>
      <c r="O55" s="20" t="s">
        <v>0</v>
      </c>
      <c r="P55" s="20" t="s">
        <v>69</v>
      </c>
      <c r="Q55" s="20" t="s">
        <v>23</v>
      </c>
      <c r="S55" s="20" t="s">
        <v>0</v>
      </c>
      <c r="T55" s="20" t="s">
        <v>69</v>
      </c>
      <c r="U55" s="20" t="s">
        <v>23</v>
      </c>
    </row>
    <row r="56" spans="1:32">
      <c r="B56" s="4" t="s">
        <v>27</v>
      </c>
      <c r="G56" s="20" t="s">
        <v>24</v>
      </c>
      <c r="H56" s="57" t="s">
        <v>71</v>
      </c>
      <c r="I56" s="58"/>
      <c r="J56" s="58"/>
      <c r="K56" s="59"/>
      <c r="O56" s="23"/>
      <c r="P56" s="23"/>
      <c r="Q56" s="11"/>
      <c r="S56" s="2" t="str">
        <f>IF(ISBLANK(O56),"",O56)</f>
        <v/>
      </c>
      <c r="T56" s="23"/>
      <c r="U56" s="11"/>
    </row>
    <row r="57" spans="1:32" ht="17.399999999999999" customHeight="1">
      <c r="B57" t="s">
        <v>28</v>
      </c>
      <c r="C57" s="8">
        <v>1</v>
      </c>
      <c r="G57" s="30" t="str">
        <f>G30</f>
        <v>TB19327A</v>
      </c>
      <c r="H57" s="53"/>
      <c r="I57" s="53"/>
      <c r="J57" s="53"/>
      <c r="K57" s="53"/>
      <c r="O57" s="23"/>
      <c r="P57" s="23"/>
      <c r="Q57" s="23"/>
      <c r="S57" s="2" t="str">
        <f t="shared" ref="S57:S64" si="10">IF(ISBLANK(O57),"",O57)</f>
        <v/>
      </c>
      <c r="T57" s="23"/>
      <c r="U57" s="23"/>
    </row>
    <row r="58" spans="1:32">
      <c r="B58" t="s">
        <v>29</v>
      </c>
      <c r="C58" s="8">
        <v>0.4</v>
      </c>
      <c r="G58" s="31" t="str">
        <f>G31</f>
        <v>CB19209A</v>
      </c>
      <c r="H58" s="53"/>
      <c r="I58" s="53"/>
      <c r="J58" s="53"/>
      <c r="K58" s="53"/>
      <c r="O58" s="23"/>
      <c r="P58" s="23"/>
      <c r="Q58" s="23"/>
      <c r="S58" s="2" t="str">
        <f t="shared" si="10"/>
        <v/>
      </c>
      <c r="T58" s="23"/>
      <c r="U58" s="23"/>
    </row>
    <row r="59" spans="1:32">
      <c r="B59" t="s">
        <v>30</v>
      </c>
      <c r="C59" s="8">
        <v>0.1</v>
      </c>
      <c r="G59" s="32" t="str">
        <f>G32</f>
        <v>CB19207A</v>
      </c>
      <c r="H59" s="53"/>
      <c r="I59" s="53"/>
      <c r="J59" s="53"/>
      <c r="K59" s="53"/>
      <c r="O59" s="23"/>
      <c r="P59" s="23"/>
      <c r="Q59" s="23"/>
      <c r="S59" s="2" t="str">
        <f t="shared" si="10"/>
        <v/>
      </c>
      <c r="T59" s="23"/>
      <c r="U59" s="23"/>
    </row>
    <row r="60" spans="1:32">
      <c r="O60" s="23"/>
      <c r="P60" s="23"/>
      <c r="Q60" s="23"/>
      <c r="S60" s="2" t="str">
        <f t="shared" si="10"/>
        <v/>
      </c>
      <c r="T60" s="23"/>
      <c r="U60" s="23"/>
    </row>
    <row r="61" spans="1:32">
      <c r="O61" s="23"/>
      <c r="P61" s="23"/>
      <c r="Q61" s="23"/>
      <c r="S61" s="2" t="str">
        <f t="shared" si="10"/>
        <v/>
      </c>
      <c r="T61" s="23"/>
      <c r="U61" s="23"/>
    </row>
    <row r="62" spans="1:32">
      <c r="O62" s="23"/>
      <c r="P62" s="23"/>
      <c r="Q62" s="23"/>
      <c r="S62" s="2" t="str">
        <f t="shared" si="10"/>
        <v/>
      </c>
      <c r="T62" s="23"/>
      <c r="U62" s="23"/>
    </row>
    <row r="63" spans="1:32">
      <c r="O63" s="23"/>
      <c r="P63" s="23"/>
      <c r="Q63" s="23"/>
      <c r="S63" s="2" t="str">
        <f t="shared" si="10"/>
        <v/>
      </c>
      <c r="T63" s="23"/>
      <c r="U63" s="23"/>
    </row>
    <row r="64" spans="1:32">
      <c r="O64" s="23"/>
      <c r="P64" s="23"/>
      <c r="Q64" s="23"/>
      <c r="S64" s="2" t="str">
        <f t="shared" si="10"/>
        <v/>
      </c>
      <c r="T64" s="23"/>
      <c r="U64" s="23"/>
    </row>
    <row r="65" spans="14:21" ht="15" thickBot="1">
      <c r="N65" s="39" t="s">
        <v>62</v>
      </c>
      <c r="O65" s="40">
        <f>H32-P65</f>
        <v>0</v>
      </c>
      <c r="P65" s="50">
        <f>SUM(P56:P64)</f>
        <v>0</v>
      </c>
      <c r="Q65" s="44">
        <f>SUM(Q56:Q64)</f>
        <v>0</v>
      </c>
      <c r="R65" s="39" t="s">
        <v>63</v>
      </c>
      <c r="S65" s="40">
        <f>H32-T65</f>
        <v>0</v>
      </c>
      <c r="T65" s="50">
        <f>SUM(T56:T64)</f>
        <v>0</v>
      </c>
      <c r="U65" s="44">
        <f>SUM(U56:U64)</f>
        <v>0</v>
      </c>
    </row>
    <row r="66" spans="14:21" ht="15" thickTop="1"/>
  </sheetData>
  <mergeCells count="7">
    <mergeCell ref="H59:K59"/>
    <mergeCell ref="B2:AC2"/>
    <mergeCell ref="B9:AC9"/>
    <mergeCell ref="B16:AC16"/>
    <mergeCell ref="H56:K56"/>
    <mergeCell ref="H57:K57"/>
    <mergeCell ref="H58:K58"/>
  </mergeCells>
  <conditionalFormatting sqref="AF32">
    <cfRule type="cellIs" dxfId="53" priority="26" operator="greaterThan">
      <formula>0.5</formula>
    </cfRule>
    <cfRule type="cellIs" dxfId="52" priority="27" operator="lessThan">
      <formula>0.5</formula>
    </cfRule>
  </conditionalFormatting>
  <conditionalFormatting sqref="AE30:AE5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{E56BE71E-2D13-4FDC-BC24-AE9AFD535B16}</x14:id>
        </ext>
      </extLst>
    </cfRule>
  </conditionalFormatting>
  <conditionalFormatting sqref="E30:E5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51" priority="30" operator="lessThan">
      <formula>$C$59</formula>
    </cfRule>
    <cfRule type="cellIs" dxfId="50" priority="31" operator="greaterThan">
      <formula>$C$59</formula>
    </cfRule>
  </conditionalFormatting>
  <conditionalFormatting sqref="AF37">
    <cfRule type="cellIs" dxfId="49" priority="32" operator="greaterThan">
      <formula>$C$58</formula>
    </cfRule>
    <cfRule type="cellIs" dxfId="48" priority="33" operator="lessThan">
      <formula>$C$58</formula>
    </cfRule>
  </conditionalFormatting>
  <conditionalFormatting sqref="O39">
    <cfRule type="cellIs" dxfId="47" priority="20" operator="lessThan">
      <formula>0</formula>
    </cfRule>
    <cfRule type="cellIs" dxfId="46" priority="21" operator="equal">
      <formula>0</formula>
    </cfRule>
    <cfRule type="cellIs" dxfId="45" priority="22" operator="greaterThan">
      <formula>0</formula>
    </cfRule>
  </conditionalFormatting>
  <conditionalFormatting sqref="S52">
    <cfRule type="cellIs" dxfId="44" priority="8" operator="lessThan">
      <formula>0</formula>
    </cfRule>
    <cfRule type="cellIs" dxfId="43" priority="9" operator="equal">
      <formula>0</formula>
    </cfRule>
    <cfRule type="cellIs" dxfId="42" priority="10" operator="greaterThan">
      <formula>0</formula>
    </cfRule>
  </conditionalFormatting>
  <conditionalFormatting sqref="O52">
    <cfRule type="cellIs" dxfId="41" priority="17" operator="lessThan">
      <formula>0</formula>
    </cfRule>
    <cfRule type="cellIs" dxfId="40" priority="18" operator="equal">
      <formula>0</formula>
    </cfRule>
    <cfRule type="cellIs" dxfId="39" priority="19" operator="greaterThan">
      <formula>0</formula>
    </cfRule>
  </conditionalFormatting>
  <conditionalFormatting sqref="O65">
    <cfRule type="cellIs" dxfId="38" priority="14" operator="lessThan">
      <formula>0</formula>
    </cfRule>
    <cfRule type="cellIs" dxfId="37" priority="15" operator="equal">
      <formula>0</formula>
    </cfRule>
    <cfRule type="cellIs" dxfId="36" priority="16" operator="greaterThan">
      <formula>0</formula>
    </cfRule>
  </conditionalFormatting>
  <conditionalFormatting sqref="S39">
    <cfRule type="cellIs" dxfId="35" priority="11" operator="lessThan">
      <formula>0</formula>
    </cfRule>
    <cfRule type="cellIs" dxfId="34" priority="12" operator="equal">
      <formula>0</formula>
    </cfRule>
    <cfRule type="cellIs" dxfId="33" priority="13" operator="greaterThan">
      <formula>0</formula>
    </cfRule>
  </conditionalFormatting>
  <conditionalFormatting sqref="S65">
    <cfRule type="cellIs" dxfId="32" priority="5" operator="lessThan">
      <formula>0</formula>
    </cfRule>
    <cfRule type="cellIs" dxfId="31" priority="6" operator="equal">
      <formula>0</formula>
    </cfRule>
    <cfRule type="cellIs" dxfId="30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29" priority="3" rank="4"/>
  </conditionalFormatting>
  <conditionalFormatting sqref="C11:Z13">
    <cfRule type="top10" dxfId="28" priority="2" rank="4"/>
  </conditionalFormatting>
  <conditionalFormatting sqref="C18:Z20">
    <cfRule type="top10" dxfId="27" priority="1" rank="4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btnForm">
          <controlPr defaultSize="0" autoLine="0" r:id="rId5">
            <anchor moveWithCells="1">
              <from>
                <xdr:col>10</xdr:col>
                <xdr:colOff>106680</xdr:colOff>
                <xdr:row>50</xdr:row>
                <xdr:rowOff>175260</xdr:rowOff>
              </from>
              <to>
                <xdr:col>11</xdr:col>
                <xdr:colOff>441960</xdr:colOff>
                <xdr:row>53</xdr:row>
                <xdr:rowOff>0</xdr:rowOff>
              </to>
            </anchor>
          </controlPr>
        </control>
      </mc:Choice>
      <mc:Fallback>
        <control shapeId="17409" r:id="rId4" name="btnForm"/>
      </mc:Fallback>
    </mc:AlternateContent>
    <mc:AlternateContent xmlns:mc="http://schemas.openxmlformats.org/markup-compatibility/2006">
      <mc:Choice Requires="x14">
        <control shapeId="17410" r:id="rId6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7620</xdr:rowOff>
              </from>
              <to>
                <xdr:col>7</xdr:col>
                <xdr:colOff>441960</xdr:colOff>
                <xdr:row>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7" name="Button 3">
          <controlPr defaultSize="0" print="0" autoFill="0" autoPict="0" macro="[0]!get_impiled_yield">
            <anchor moveWithCells="1" sizeWithCells="1">
              <from>
                <xdr:col>7</xdr:col>
                <xdr:colOff>510540</xdr:colOff>
                <xdr:row>50</xdr:row>
                <xdr:rowOff>175260</xdr:rowOff>
              </from>
              <to>
                <xdr:col>8</xdr:col>
                <xdr:colOff>815340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clear_ws">
            <anchor moveWithCells="1" sizeWithCells="1">
              <from>
                <xdr:col>8</xdr:col>
                <xdr:colOff>922020</xdr:colOff>
                <xdr:row>50</xdr:row>
                <xdr:rowOff>175260</xdr:rowOff>
              </from>
              <to>
                <xdr:col>9</xdr:col>
                <xdr:colOff>1112520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6BE71E-2D13-4FDC-BC24-AE9AFD535B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8" id="{93C563A1-19D5-421B-8317-ABCE9AAD6CF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9" id="{73ABAA8A-1650-4111-A014-C3DCC386E6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A42AA-4529-473C-BB92-8F049EF16784}">
  <sheetPr codeName="Sheet3"/>
  <dimension ref="A1:AS66"/>
  <sheetViews>
    <sheetView topLeftCell="B1" zoomScale="85" zoomScaleNormal="85" workbookViewId="0">
      <selection activeCell="AB36" sqref="AB36"/>
    </sheetView>
  </sheetViews>
  <sheetFormatPr defaultRowHeight="14.4" outlineLevelRow="1" outlineLevelCol="1"/>
  <cols>
    <col min="1" max="1" width="8.109375" hidden="1" customWidth="1"/>
    <col min="2" max="2" width="10.6640625" customWidth="1"/>
    <col min="3" max="3" width="10" customWidth="1"/>
    <col min="4" max="4" width="13.109375" customWidth="1"/>
    <col min="5" max="5" width="14.77734375" customWidth="1"/>
    <col min="6" max="6" width="9" customWidth="1"/>
    <col min="7" max="7" width="13.33203125" customWidth="1"/>
    <col min="8" max="8" width="15.21875" customWidth="1"/>
    <col min="9" max="9" width="16.88671875" customWidth="1"/>
    <col min="10" max="10" width="16.44140625" customWidth="1"/>
    <col min="11" max="11" width="15" customWidth="1"/>
    <col min="12" max="12" width="15.109375" customWidth="1"/>
    <col min="13" max="13" width="14.88671875" customWidth="1"/>
    <col min="14" max="14" width="12.6640625" customWidth="1"/>
    <col min="15" max="15" width="11.44140625" customWidth="1"/>
    <col min="16" max="16" width="12.6640625" customWidth="1"/>
    <col min="18" max="18" width="13.109375" customWidth="1"/>
    <col min="19" max="19" width="10.88671875" customWidth="1"/>
    <col min="20" max="20" width="12.88671875" customWidth="1"/>
    <col min="21" max="21" width="12.21875" customWidth="1"/>
    <col min="22" max="22" width="11.6640625" customWidth="1"/>
    <col min="23" max="23" width="12.44140625" customWidth="1" outlineLevel="1"/>
    <col min="24" max="24" width="10.88671875" customWidth="1" outlineLevel="1"/>
    <col min="25" max="25" width="10.6640625" customWidth="1" outlineLevel="1"/>
    <col min="26" max="26" width="11.21875" customWidth="1" outlineLevel="1"/>
    <col min="27" max="27" width="11.21875" customWidth="1"/>
    <col min="28" max="28" width="12.109375" customWidth="1"/>
    <col min="29" max="29" width="12.21875" customWidth="1"/>
    <col min="30" max="30" width="12.44140625" customWidth="1"/>
    <col min="31" max="31" width="9.44140625" customWidth="1"/>
    <col min="34" max="34" width="4.44140625" customWidth="1"/>
    <col min="36" max="36" width="23.88671875" customWidth="1"/>
    <col min="41" max="41" width="13.44140625" customWidth="1"/>
    <col min="42" max="42" width="16" customWidth="1"/>
    <col min="43" max="43" width="10" customWidth="1"/>
  </cols>
  <sheetData>
    <row r="1" spans="2:45" ht="16.5" customHeight="1">
      <c r="B1" s="61" t="str">
        <f xml:space="preserve"> "Auction Dashboard "</f>
        <v xml:space="preserve">Auction Dashboard </v>
      </c>
      <c r="C1" s="61"/>
      <c r="D1" s="62">
        <v>43397</v>
      </c>
      <c r="E1" s="42"/>
    </row>
    <row r="2" spans="2:45" ht="16.2" customHeight="1">
      <c r="B2" s="54">
        <f>G30</f>
        <v>0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6"/>
      <c r="AD2" s="49"/>
    </row>
    <row r="3" spans="2:45">
      <c r="B3" s="20" t="s">
        <v>0</v>
      </c>
      <c r="C3" s="21" t="str">
        <f t="array" ref="C3:Z3">TRANSPOSE($AB$30:$AB$53)</f>
        <v>BNP</v>
      </c>
      <c r="D3" s="21" t="str">
        <v>BBL</v>
      </c>
      <c r="E3" s="21" t="str">
        <v>KBANK</v>
      </c>
      <c r="F3" s="21" t="str">
        <v>TMB</v>
      </c>
      <c r="G3" s="21" t="str">
        <v>KTB</v>
      </c>
      <c r="H3" s="21" t="str">
        <v>CIMBT</v>
      </c>
      <c r="I3" s="21" t="str">
        <v>BAY</v>
      </c>
      <c r="J3" s="21" t="str">
        <v>SCB</v>
      </c>
      <c r="K3" s="21" t="str">
        <v>TBANK</v>
      </c>
      <c r="L3" s="21" t="str">
        <v>TISCOBANK</v>
      </c>
      <c r="M3" s="21" t="str">
        <v>SCBT</v>
      </c>
      <c r="N3" s="21" t="str">
        <v>HSBC</v>
      </c>
      <c r="O3" s="21" t="str">
        <v>CITIBANK</v>
      </c>
      <c r="P3" s="21" t="str">
        <v>KKP</v>
      </c>
      <c r="Q3" s="21" t="str">
        <v>UOBT</v>
      </c>
      <c r="R3" s="21" t="str">
        <v>GSB</v>
      </c>
      <c r="S3" s="21" t="str">
        <v>KGI</v>
      </c>
      <c r="T3" s="21" t="str">
        <v>BAML</v>
      </c>
      <c r="U3" s="21" t="str">
        <v>JP_MORGAN</v>
      </c>
      <c r="V3" s="21" t="str">
        <v>ANZT</v>
      </c>
      <c r="W3" s="21" t="str">
        <v>DEUTSCHE_BANK</v>
      </c>
      <c r="X3" s="21" t="str">
        <v>CNS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>
        <f>G30</f>
        <v>0</v>
      </c>
      <c r="AS3" s="4"/>
    </row>
    <row r="4" spans="2:45">
      <c r="B4" s="20" t="s">
        <v>1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8">
        <f>MIN(C4:Z4)</f>
        <v>0</v>
      </c>
      <c r="AB4" s="18">
        <f>MAX(C4:Z4)</f>
        <v>0</v>
      </c>
      <c r="AC4" s="18">
        <f>IFERROR(AVERAGE(C4:Z4),0)</f>
        <v>0</v>
      </c>
      <c r="AD4" s="49"/>
    </row>
    <row r="5" spans="2:45">
      <c r="B5" s="20" t="s">
        <v>2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18">
        <f>MIN(C5:Z5)</f>
        <v>0</v>
      </c>
      <c r="AB5" s="18">
        <f>MAX(C5:Z5)</f>
        <v>0</v>
      </c>
      <c r="AC5" s="18">
        <f>IFERROR(AVERAGE(C5:Z5),0)</f>
        <v>0</v>
      </c>
      <c r="AD5" s="49"/>
    </row>
    <row r="6" spans="2:45">
      <c r="B6" s="20" t="s">
        <v>3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0</v>
      </c>
      <c r="AB6" s="18">
        <f>MAX(C6:Z6)</f>
        <v>0</v>
      </c>
      <c r="AC6" s="18">
        <f>IFERROR(AVERAGE(C6:Z6),0)</f>
        <v>0</v>
      </c>
      <c r="AD6" s="49"/>
    </row>
    <row r="7" spans="2:45">
      <c r="B7" s="20" t="s">
        <v>65</v>
      </c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0</v>
      </c>
      <c r="AB7" s="19">
        <f>MAX(AB4:AB6)</f>
        <v>0</v>
      </c>
      <c r="AC7" s="19">
        <f>MAX(AC4:AC6)</f>
        <v>0</v>
      </c>
      <c r="AD7" s="49"/>
      <c r="AF7" s="48"/>
    </row>
    <row r="8" spans="2:45">
      <c r="B8" s="47"/>
      <c r="AD8" s="49"/>
    </row>
    <row r="9" spans="2:45" outlineLevel="1">
      <c r="B9" s="54">
        <f>G31</f>
        <v>0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6"/>
      <c r="AD9" s="49"/>
    </row>
    <row r="10" spans="2:45" outlineLevel="1">
      <c r="B10" s="20" t="s">
        <v>0</v>
      </c>
      <c r="C10" s="21" t="str">
        <f t="array" ref="C10:Z10">TRANSPOSE($AB$30:$AB$53)</f>
        <v>BNP</v>
      </c>
      <c r="D10" s="21" t="str">
        <v>BBL</v>
      </c>
      <c r="E10" s="21" t="str">
        <v>KBANK</v>
      </c>
      <c r="F10" s="21" t="str">
        <v>TMB</v>
      </c>
      <c r="G10" s="21" t="str">
        <v>KTB</v>
      </c>
      <c r="H10" s="21" t="str">
        <v>CIMBT</v>
      </c>
      <c r="I10" s="21" t="str">
        <v>BAY</v>
      </c>
      <c r="J10" s="21" t="str">
        <v>SCB</v>
      </c>
      <c r="K10" s="21" t="str">
        <v>TBANK</v>
      </c>
      <c r="L10" s="21" t="str">
        <v>TISCOBANK</v>
      </c>
      <c r="M10" s="21" t="str">
        <v>SCBT</v>
      </c>
      <c r="N10" s="21" t="str">
        <v>HSBC</v>
      </c>
      <c r="O10" s="21" t="str">
        <v>CITIBANK</v>
      </c>
      <c r="P10" s="21" t="str">
        <v>KKP</v>
      </c>
      <c r="Q10" s="21" t="str">
        <v>UOBT</v>
      </c>
      <c r="R10" s="21" t="str">
        <v>GSB</v>
      </c>
      <c r="S10" s="21" t="str">
        <v>KGI</v>
      </c>
      <c r="T10" s="21" t="str">
        <v>BAML</v>
      </c>
      <c r="U10" s="21" t="str">
        <v>JP_MORGAN</v>
      </c>
      <c r="V10" s="21" t="str">
        <v>ANZT</v>
      </c>
      <c r="W10" s="21" t="str">
        <v>DEUTSCHE_BANK</v>
      </c>
      <c r="X10" s="21" t="str">
        <v>CNS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>
        <f>G31</f>
        <v>0</v>
      </c>
    </row>
    <row r="11" spans="2:45" outlineLevel="1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>
      <c r="B14" s="20" t="s">
        <v>65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>
      <c r="AD15" s="49"/>
    </row>
    <row r="16" spans="2:45" hidden="1" outlineLevel="1">
      <c r="B16" s="54">
        <f>G32</f>
        <v>0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6"/>
      <c r="AD16" s="49"/>
    </row>
    <row r="17" spans="1:36" hidden="1" outlineLevel="1">
      <c r="B17" s="20" t="s">
        <v>0</v>
      </c>
      <c r="C17" s="21" t="str">
        <f t="array" ref="C17:Z17">TRANSPOSE($AB$30:$AB$53)</f>
        <v>BNP</v>
      </c>
      <c r="D17" s="21" t="str">
        <v>BBL</v>
      </c>
      <c r="E17" s="21" t="str">
        <v>KBANK</v>
      </c>
      <c r="F17" s="21" t="str">
        <v>TMB</v>
      </c>
      <c r="G17" s="21" t="str">
        <v>KTB</v>
      </c>
      <c r="H17" s="21" t="str">
        <v>CIMBT</v>
      </c>
      <c r="I17" s="21" t="str">
        <v>BAY</v>
      </c>
      <c r="J17" s="21" t="str">
        <v>SCB</v>
      </c>
      <c r="K17" s="21" t="str">
        <v>TBANK</v>
      </c>
      <c r="L17" s="21" t="str">
        <v>TISCOBANK</v>
      </c>
      <c r="M17" s="21" t="str">
        <v>SCBT</v>
      </c>
      <c r="N17" s="21" t="str">
        <v>HSBC</v>
      </c>
      <c r="O17" s="21" t="str">
        <v>CITIBANK</v>
      </c>
      <c r="P17" s="21" t="str">
        <v>KKP</v>
      </c>
      <c r="Q17" s="21" t="str">
        <v>UOBT</v>
      </c>
      <c r="R17" s="21" t="str">
        <v>GSB</v>
      </c>
      <c r="S17" s="21" t="str">
        <v>KGI</v>
      </c>
      <c r="T17" s="21" t="str">
        <v>BAML</v>
      </c>
      <c r="U17" s="21" t="str">
        <v>JP_MORGAN</v>
      </c>
      <c r="V17" s="21" t="str">
        <v>ANZT</v>
      </c>
      <c r="W17" s="21" t="str">
        <v>DEUTSCHE_BANK</v>
      </c>
      <c r="X17" s="21" t="str">
        <v>CNS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>
        <f>G32</f>
        <v>0</v>
      </c>
    </row>
    <row r="18" spans="1:36" hidden="1" outlineLevel="1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>
      <c r="B21" s="20" t="s">
        <v>65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/>
    <row r="23" spans="1:36" hidden="1" outlineLevel="1"/>
    <row r="24" spans="1:36" hidden="1" outlineLevel="1"/>
    <row r="25" spans="1:36" hidden="1" outlineLevel="1"/>
    <row r="26" spans="1:36" hidden="1" outlineLevel="1"/>
    <row r="27" spans="1:36" collapsed="1"/>
    <row r="28" spans="1:36" ht="24.75" customHeight="1">
      <c r="B28" s="25" t="str">
        <f>"Auction Recommend : "</f>
        <v xml:space="preserve">Auction Recommend : </v>
      </c>
      <c r="D28" s="12">
        <f>G30</f>
        <v>0</v>
      </c>
      <c r="G28" s="4" t="s">
        <v>20</v>
      </c>
      <c r="O28" s="27" t="str">
        <f>"Auction Excute : " &amp; G30</f>
        <v xml:space="preserve">Auction Excute : </v>
      </c>
      <c r="S28" s="4" t="s">
        <v>18</v>
      </c>
      <c r="W28" s="4" t="s">
        <v>52</v>
      </c>
    </row>
    <row r="29" spans="1:36">
      <c r="A29" s="41">
        <f>MATCH($D$28,$AD$1:$AD$21,0)</f>
        <v>3</v>
      </c>
      <c r="B29" s="20" t="s">
        <v>16</v>
      </c>
      <c r="C29" s="20" t="s">
        <v>0</v>
      </c>
      <c r="D29" s="20" t="s">
        <v>68</v>
      </c>
      <c r="E29" s="20" t="s">
        <v>67</v>
      </c>
      <c r="G29" s="20" t="s">
        <v>24</v>
      </c>
      <c r="H29" s="20" t="s">
        <v>17</v>
      </c>
      <c r="I29" s="20" t="s">
        <v>21</v>
      </c>
      <c r="J29" s="20" t="s">
        <v>22</v>
      </c>
      <c r="K29" s="20" t="s">
        <v>50</v>
      </c>
      <c r="L29" s="20" t="s">
        <v>51</v>
      </c>
      <c r="M29" s="20" t="s">
        <v>57</v>
      </c>
      <c r="O29" s="20" t="s">
        <v>0</v>
      </c>
      <c r="P29" s="20" t="s">
        <v>69</v>
      </c>
      <c r="Q29" s="20" t="s">
        <v>23</v>
      </c>
      <c r="S29" s="20" t="s">
        <v>0</v>
      </c>
      <c r="T29" s="20" t="s">
        <v>69</v>
      </c>
      <c r="U29" s="20" t="s">
        <v>23</v>
      </c>
      <c r="W29" s="20" t="s">
        <v>4</v>
      </c>
      <c r="X29" s="20" t="s">
        <v>16</v>
      </c>
      <c r="Y29" s="20" t="s">
        <v>21</v>
      </c>
      <c r="Z29" s="20" t="s">
        <v>22</v>
      </c>
      <c r="AA29" s="20" t="s">
        <v>26</v>
      </c>
      <c r="AB29" s="20" t="s">
        <v>0</v>
      </c>
      <c r="AC29" s="20" t="s">
        <v>19</v>
      </c>
      <c r="AD29" s="20" t="s">
        <v>59</v>
      </c>
      <c r="AE29" s="20" t="s">
        <v>49</v>
      </c>
      <c r="AF29" s="20" t="s">
        <v>31</v>
      </c>
      <c r="AJ29" s="60"/>
    </row>
    <row r="30" spans="1:36">
      <c r="A30">
        <f t="shared" ref="A30:A53" si="0">MATCH(C30,$A$3:$Z$3,0)</f>
        <v>3</v>
      </c>
      <c r="B30" s="52">
        <f t="shared" ref="B30:B53" si="1">INDEX($X$30:$X$53,MATCH(C30,$AB$30:$AB$53,0))</f>
        <v>1</v>
      </c>
      <c r="C30" s="1" t="str">
        <f t="shared" ref="C30:C53" si="2">AB30</f>
        <v>BNP</v>
      </c>
      <c r="D30" s="26"/>
      <c r="E30" s="22"/>
      <c r="G30" s="7"/>
      <c r="H30" s="51">
        <f>SUM(I30:L30)</f>
        <v>0</v>
      </c>
      <c r="I30" s="7"/>
      <c r="J30" s="7"/>
      <c r="K30" s="7"/>
      <c r="L30" s="7"/>
      <c r="M30" s="7"/>
      <c r="O30" s="23"/>
      <c r="P30" s="23"/>
      <c r="Q30" s="11"/>
      <c r="S30" s="2" t="str">
        <f>IF(ISBLANK(O30),"",O30)</f>
        <v/>
      </c>
      <c r="T30" s="23"/>
      <c r="U30" s="11"/>
      <c r="W30" s="33">
        <v>1</v>
      </c>
      <c r="X30" s="5">
        <v>1</v>
      </c>
      <c r="Y30" s="5">
        <v>1</v>
      </c>
      <c r="Z30" s="5">
        <v>1</v>
      </c>
      <c r="AA30" s="5">
        <f t="shared" ref="AA30:AA53" ca="1" si="3">IF(SUM(OFFSET(INDIRECT(ADDRESS($A$29,$A30)),1,0,3)) &gt; 0,1,0)</f>
        <v>0</v>
      </c>
      <c r="AB30" s="17" t="s">
        <v>12</v>
      </c>
      <c r="AC30" s="52">
        <f t="shared" ref="AC30:AC53" si="4">SUMIF($S$30:$S$64,AB30,$T$30:$T$64)</f>
        <v>0</v>
      </c>
      <c r="AD30" s="52">
        <f ca="1">INDIRECT("'"&amp;$A$55&amp;"'!"&amp;ADDRESS(ROW(),COLUMN()))+AC30</f>
        <v>10000</v>
      </c>
      <c r="AE30" s="24">
        <f ca="1">IFERROR(AD30/$AD$54,0)</f>
        <v>0.49019607843137253</v>
      </c>
      <c r="AF30" s="14"/>
    </row>
    <row r="31" spans="1:36">
      <c r="A31">
        <f t="shared" si="0"/>
        <v>4</v>
      </c>
      <c r="B31" s="52">
        <f t="shared" si="1"/>
        <v>2</v>
      </c>
      <c r="C31" s="1" t="str">
        <f t="shared" si="2"/>
        <v>BBL</v>
      </c>
      <c r="D31" s="26"/>
      <c r="E31" s="22"/>
      <c r="G31" s="7"/>
      <c r="H31" s="51">
        <f t="shared" ref="H31:H32" si="5">SUM(I31:L31)</f>
        <v>0</v>
      </c>
      <c r="I31" s="7"/>
      <c r="J31" s="7"/>
      <c r="K31" s="7"/>
      <c r="L31" s="7"/>
      <c r="M31" s="7"/>
      <c r="O31" s="23"/>
      <c r="P31" s="23"/>
      <c r="Q31" s="23"/>
      <c r="S31" s="2" t="str">
        <f t="shared" ref="S31:S38" si="6">IF(ISBLANK(O31),"",O31)</f>
        <v/>
      </c>
      <c r="T31" s="23"/>
      <c r="U31" s="23"/>
      <c r="W31" s="33">
        <v>1</v>
      </c>
      <c r="X31" s="5">
        <v>2</v>
      </c>
      <c r="Y31" s="5">
        <v>1</v>
      </c>
      <c r="Z31" s="5">
        <v>0</v>
      </c>
      <c r="AA31" s="5">
        <f t="shared" ca="1" si="3"/>
        <v>0</v>
      </c>
      <c r="AB31" s="17" t="s">
        <v>10</v>
      </c>
      <c r="AC31" s="52">
        <f t="shared" si="4"/>
        <v>0</v>
      </c>
      <c r="AD31" s="52">
        <f t="shared" ref="AD31:AD53" ca="1" si="7">INDIRECT("'"&amp;$A$55&amp;"'!"&amp;ADDRESS(ROW(),COLUMN()))+AC31</f>
        <v>4400</v>
      </c>
      <c r="AE31" s="24">
        <f t="shared" ref="AE31:AE53" ca="1" si="8">IFERROR(AD31/$AD$54,0)</f>
        <v>0.21568627450980393</v>
      </c>
      <c r="AF31" s="15"/>
    </row>
    <row r="32" spans="1:36">
      <c r="A32">
        <f t="shared" si="0"/>
        <v>5</v>
      </c>
      <c r="B32" s="52">
        <f t="shared" si="1"/>
        <v>3</v>
      </c>
      <c r="C32" s="1" t="str">
        <f t="shared" si="2"/>
        <v>KBANK</v>
      </c>
      <c r="D32" s="26"/>
      <c r="E32" s="22"/>
      <c r="G32" s="7"/>
      <c r="H32" s="51">
        <f t="shared" si="5"/>
        <v>0</v>
      </c>
      <c r="I32" s="7"/>
      <c r="J32" s="7"/>
      <c r="K32" s="7"/>
      <c r="L32" s="7"/>
      <c r="M32" s="7"/>
      <c r="O32" s="23"/>
      <c r="P32" s="23"/>
      <c r="Q32" s="23"/>
      <c r="S32" s="2" t="str">
        <f t="shared" si="6"/>
        <v/>
      </c>
      <c r="T32" s="23"/>
      <c r="U32" s="23"/>
      <c r="W32" s="33">
        <v>1</v>
      </c>
      <c r="X32" s="5">
        <v>3</v>
      </c>
      <c r="Y32" s="5">
        <v>1</v>
      </c>
      <c r="Z32" s="5">
        <v>1</v>
      </c>
      <c r="AA32" s="5">
        <f t="shared" ca="1" si="3"/>
        <v>0</v>
      </c>
      <c r="AB32" s="17" t="s">
        <v>11</v>
      </c>
      <c r="AC32" s="52">
        <f t="shared" si="4"/>
        <v>0</v>
      </c>
      <c r="AD32" s="52">
        <f t="shared" ca="1" si="7"/>
        <v>6000</v>
      </c>
      <c r="AE32" s="16">
        <f t="shared" ca="1" si="8"/>
        <v>0.29411764705882354</v>
      </c>
      <c r="AF32" s="16">
        <f ca="1">IFERROR(SUMIF($W$30:$W$53,$W$32,$AD$30:$AD$53)/$AD$54,0)</f>
        <v>1</v>
      </c>
    </row>
    <row r="33" spans="1:32">
      <c r="A33">
        <f t="shared" si="0"/>
        <v>6</v>
      </c>
      <c r="B33" s="52">
        <f t="shared" si="1"/>
        <v>4</v>
      </c>
      <c r="C33" s="1" t="str">
        <f t="shared" si="2"/>
        <v>TMB</v>
      </c>
      <c r="D33" s="26"/>
      <c r="E33" s="22"/>
      <c r="G33" s="34"/>
      <c r="O33" s="23"/>
      <c r="P33" s="23"/>
      <c r="Q33" s="23"/>
      <c r="S33" s="2" t="str">
        <f t="shared" si="6"/>
        <v/>
      </c>
      <c r="T33" s="23"/>
      <c r="U33" s="23"/>
      <c r="W33" s="52">
        <v>2</v>
      </c>
      <c r="X33" s="5">
        <v>4</v>
      </c>
      <c r="Y33" s="5">
        <v>1</v>
      </c>
      <c r="Z33" s="5">
        <v>1</v>
      </c>
      <c r="AA33" s="5">
        <f t="shared" ca="1" si="3"/>
        <v>0</v>
      </c>
      <c r="AB33" s="17" t="s">
        <v>9</v>
      </c>
      <c r="AC33" s="52">
        <f t="shared" si="4"/>
        <v>0</v>
      </c>
      <c r="AD33" s="52">
        <f t="shared" ca="1" si="7"/>
        <v>0</v>
      </c>
      <c r="AE33" s="24">
        <f t="shared" ca="1" si="8"/>
        <v>0</v>
      </c>
      <c r="AF33" s="15"/>
    </row>
    <row r="34" spans="1:32">
      <c r="A34">
        <f t="shared" si="0"/>
        <v>7</v>
      </c>
      <c r="B34" s="52">
        <f t="shared" si="1"/>
        <v>5</v>
      </c>
      <c r="C34" s="1" t="str">
        <f t="shared" si="2"/>
        <v>KTB</v>
      </c>
      <c r="D34" s="26"/>
      <c r="E34" s="22"/>
      <c r="G34" s="35"/>
      <c r="O34" s="23"/>
      <c r="P34" s="23"/>
      <c r="Q34" s="23"/>
      <c r="S34" s="2" t="str">
        <f t="shared" si="6"/>
        <v/>
      </c>
      <c r="T34" s="23"/>
      <c r="U34" s="23"/>
      <c r="W34" s="52">
        <v>2</v>
      </c>
      <c r="X34" s="5">
        <v>5</v>
      </c>
      <c r="Y34" s="5">
        <v>1</v>
      </c>
      <c r="Z34" s="5">
        <v>0</v>
      </c>
      <c r="AA34" s="5">
        <f t="shared" ca="1" si="3"/>
        <v>0</v>
      </c>
      <c r="AB34" s="17" t="s">
        <v>13</v>
      </c>
      <c r="AC34" s="52">
        <f t="shared" si="4"/>
        <v>0</v>
      </c>
      <c r="AD34" s="52">
        <f t="shared" ca="1" si="7"/>
        <v>0</v>
      </c>
      <c r="AE34" s="24">
        <f t="shared" ca="1" si="8"/>
        <v>0</v>
      </c>
      <c r="AF34" s="15"/>
    </row>
    <row r="35" spans="1:32">
      <c r="A35">
        <f t="shared" si="0"/>
        <v>8</v>
      </c>
      <c r="B35" s="52">
        <f t="shared" si="1"/>
        <v>6</v>
      </c>
      <c r="C35" s="1" t="str">
        <f t="shared" si="2"/>
        <v>CIMBT</v>
      </c>
      <c r="D35" s="26"/>
      <c r="E35" s="22"/>
      <c r="G35" s="4" t="s">
        <v>58</v>
      </c>
      <c r="O35" s="23"/>
      <c r="P35" s="23"/>
      <c r="Q35" s="23"/>
      <c r="S35" s="2" t="str">
        <f t="shared" si="6"/>
        <v/>
      </c>
      <c r="T35" s="23"/>
      <c r="U35" s="23"/>
      <c r="W35" s="52">
        <v>2</v>
      </c>
      <c r="X35" s="5">
        <v>6</v>
      </c>
      <c r="Y35" s="5">
        <v>1</v>
      </c>
      <c r="Z35" s="5">
        <v>0</v>
      </c>
      <c r="AA35" s="5">
        <f t="shared" ca="1" si="3"/>
        <v>0</v>
      </c>
      <c r="AB35" s="17" t="s">
        <v>32</v>
      </c>
      <c r="AC35" s="52">
        <f t="shared" si="4"/>
        <v>0</v>
      </c>
      <c r="AD35" s="52">
        <f t="shared" ca="1" si="7"/>
        <v>0</v>
      </c>
      <c r="AE35" s="24">
        <f t="shared" ca="1" si="8"/>
        <v>0</v>
      </c>
      <c r="AF35" s="15"/>
    </row>
    <row r="36" spans="1:32">
      <c r="A36">
        <f t="shared" si="0"/>
        <v>9</v>
      </c>
      <c r="B36" s="52">
        <f t="shared" si="1"/>
        <v>7</v>
      </c>
      <c r="C36" s="1" t="str">
        <f t="shared" si="2"/>
        <v>BAY</v>
      </c>
      <c r="D36" s="26"/>
      <c r="E36" s="22"/>
      <c r="G36" s="20" t="s">
        <v>24</v>
      </c>
      <c r="H36" s="20" t="s">
        <v>60</v>
      </c>
      <c r="I36" s="20" t="s">
        <v>53</v>
      </c>
      <c r="J36" s="20" t="s">
        <v>54</v>
      </c>
      <c r="K36" s="20" t="s">
        <v>64</v>
      </c>
      <c r="L36" s="20" t="s">
        <v>61</v>
      </c>
      <c r="M36" s="20" t="s">
        <v>55</v>
      </c>
      <c r="O36" s="23"/>
      <c r="P36" s="23"/>
      <c r="Q36" s="23"/>
      <c r="S36" s="2" t="str">
        <f t="shared" si="6"/>
        <v/>
      </c>
      <c r="T36" s="23"/>
      <c r="U36" s="23"/>
      <c r="W36" s="52">
        <v>2</v>
      </c>
      <c r="X36" s="5">
        <v>7</v>
      </c>
      <c r="Y36" s="5">
        <v>1</v>
      </c>
      <c r="Z36" s="5">
        <v>0</v>
      </c>
      <c r="AA36" s="5">
        <f t="shared" ca="1" si="3"/>
        <v>0</v>
      </c>
      <c r="AB36" s="17" t="s">
        <v>33</v>
      </c>
      <c r="AC36" s="52">
        <f t="shared" si="4"/>
        <v>0</v>
      </c>
      <c r="AD36" s="52">
        <f t="shared" ca="1" si="7"/>
        <v>0</v>
      </c>
      <c r="AE36" s="24">
        <f t="shared" ca="1" si="8"/>
        <v>0</v>
      </c>
      <c r="AF36" s="15"/>
    </row>
    <row r="37" spans="1:32" ht="16.5" customHeight="1">
      <c r="A37">
        <f t="shared" si="0"/>
        <v>10</v>
      </c>
      <c r="B37" s="52">
        <f t="shared" si="1"/>
        <v>8</v>
      </c>
      <c r="C37" s="1" t="str">
        <f t="shared" si="2"/>
        <v>SCB</v>
      </c>
      <c r="D37" s="26"/>
      <c r="E37" s="22"/>
      <c r="G37" s="38"/>
      <c r="H37" s="36"/>
      <c r="I37" s="22"/>
      <c r="J37" s="22"/>
      <c r="K37" s="22"/>
      <c r="L37" s="37"/>
      <c r="M37" s="37"/>
      <c r="O37" s="23"/>
      <c r="P37" s="23"/>
      <c r="Q37" s="23"/>
      <c r="S37" s="2" t="str">
        <f t="shared" si="6"/>
        <v/>
      </c>
      <c r="T37" s="23"/>
      <c r="U37" s="23"/>
      <c r="W37" s="52">
        <v>2</v>
      </c>
      <c r="X37" s="5">
        <v>8</v>
      </c>
      <c r="Y37" s="5">
        <v>1</v>
      </c>
      <c r="Z37" s="5">
        <v>0</v>
      </c>
      <c r="AA37" s="5">
        <f t="shared" ca="1" si="3"/>
        <v>0</v>
      </c>
      <c r="AB37" s="17" t="s">
        <v>8</v>
      </c>
      <c r="AC37" s="52">
        <f t="shared" si="4"/>
        <v>0</v>
      </c>
      <c r="AD37" s="52">
        <f t="shared" ca="1" si="7"/>
        <v>0</v>
      </c>
      <c r="AE37" s="16">
        <f t="shared" ca="1" si="8"/>
        <v>0</v>
      </c>
      <c r="AF37" s="16">
        <f ca="1">IFERROR(SUMIF($W$30:$W$53,$W$37,$AD$30:$AD$53)/$AD$54,0)</f>
        <v>0</v>
      </c>
    </row>
    <row r="38" spans="1:32">
      <c r="A38">
        <f t="shared" si="0"/>
        <v>11</v>
      </c>
      <c r="B38" s="52">
        <f t="shared" si="1"/>
        <v>9</v>
      </c>
      <c r="C38" s="1" t="str">
        <f t="shared" si="2"/>
        <v>TBANK</v>
      </c>
      <c r="D38" s="26"/>
      <c r="E38" s="22"/>
      <c r="G38" s="38"/>
      <c r="H38" s="36"/>
      <c r="I38" s="22"/>
      <c r="J38" s="22"/>
      <c r="K38" s="22"/>
      <c r="L38" s="37"/>
      <c r="M38" s="37"/>
      <c r="O38" s="23"/>
      <c r="P38" s="23"/>
      <c r="Q38" s="23"/>
      <c r="S38" s="2" t="str">
        <f t="shared" si="6"/>
        <v/>
      </c>
      <c r="T38" s="23"/>
      <c r="U38" s="23"/>
      <c r="W38" s="52">
        <v>3</v>
      </c>
      <c r="X38" s="5">
        <v>9</v>
      </c>
      <c r="Y38" s="5">
        <v>1</v>
      </c>
      <c r="Z38" s="5">
        <v>0</v>
      </c>
      <c r="AA38" s="5">
        <f t="shared" ca="1" si="3"/>
        <v>0</v>
      </c>
      <c r="AB38" s="17" t="s">
        <v>34</v>
      </c>
      <c r="AC38" s="52">
        <f t="shared" si="4"/>
        <v>0</v>
      </c>
      <c r="AD38" s="52">
        <f t="shared" ca="1" si="7"/>
        <v>0</v>
      </c>
      <c r="AE38" s="24">
        <f t="shared" ca="1" si="8"/>
        <v>0</v>
      </c>
      <c r="AF38" s="15"/>
    </row>
    <row r="39" spans="1:32" ht="15" thickBot="1">
      <c r="A39">
        <f t="shared" si="0"/>
        <v>12</v>
      </c>
      <c r="B39" s="52">
        <f t="shared" si="1"/>
        <v>10</v>
      </c>
      <c r="C39" s="1" t="str">
        <f t="shared" si="2"/>
        <v>TISCOBANK</v>
      </c>
      <c r="D39" s="26"/>
      <c r="E39" s="22"/>
      <c r="G39" s="38"/>
      <c r="H39" s="36"/>
      <c r="I39" s="22"/>
      <c r="J39" s="22"/>
      <c r="K39" s="22"/>
      <c r="L39" s="37"/>
      <c r="M39" s="37"/>
      <c r="N39" s="39" t="s">
        <v>62</v>
      </c>
      <c r="O39" s="40">
        <f>H30-P39</f>
        <v>0</v>
      </c>
      <c r="P39" s="50">
        <f>SUM(P30:P38)</f>
        <v>0</v>
      </c>
      <c r="Q39" s="44">
        <f>IFERROR(AVERAGE(Q30:Q38),0)</f>
        <v>0</v>
      </c>
      <c r="R39" s="39" t="s">
        <v>63</v>
      </c>
      <c r="S39" s="40">
        <f>H30-T39</f>
        <v>0</v>
      </c>
      <c r="T39" s="50">
        <f>SUM(T30:T38)</f>
        <v>0</v>
      </c>
      <c r="U39" s="44">
        <f>SUM(U30:U38)</f>
        <v>0</v>
      </c>
      <c r="W39" s="52">
        <v>3</v>
      </c>
      <c r="X39" s="5">
        <v>10</v>
      </c>
      <c r="Y39" s="5">
        <v>1</v>
      </c>
      <c r="Z39" s="5">
        <v>0</v>
      </c>
      <c r="AA39" s="5">
        <f t="shared" ca="1" si="3"/>
        <v>0</v>
      </c>
      <c r="AB39" s="17" t="s">
        <v>35</v>
      </c>
      <c r="AC39" s="52">
        <f t="shared" si="4"/>
        <v>0</v>
      </c>
      <c r="AD39" s="52">
        <f t="shared" ca="1" si="7"/>
        <v>0</v>
      </c>
      <c r="AE39" s="24">
        <f t="shared" ca="1" si="8"/>
        <v>0</v>
      </c>
      <c r="AF39" s="15"/>
    </row>
    <row r="40" spans="1:32" ht="15" thickTop="1">
      <c r="A40">
        <f t="shared" si="0"/>
        <v>13</v>
      </c>
      <c r="B40" s="52">
        <f t="shared" si="1"/>
        <v>11</v>
      </c>
      <c r="C40" s="1" t="str">
        <f t="shared" si="2"/>
        <v>SCBT</v>
      </c>
      <c r="D40" s="26"/>
      <c r="E40" s="22"/>
      <c r="G40" s="38"/>
      <c r="H40" s="36"/>
      <c r="I40" s="22"/>
      <c r="J40" s="22"/>
      <c r="K40" s="22"/>
      <c r="L40" s="37"/>
      <c r="M40" s="37"/>
      <c r="W40" s="52">
        <v>3</v>
      </c>
      <c r="X40" s="5">
        <v>11</v>
      </c>
      <c r="Y40" s="5">
        <v>1</v>
      </c>
      <c r="Z40" s="5">
        <v>0</v>
      </c>
      <c r="AA40" s="5">
        <f t="shared" ca="1" si="3"/>
        <v>0</v>
      </c>
      <c r="AB40" s="17" t="s">
        <v>36</v>
      </c>
      <c r="AC40" s="52">
        <f t="shared" si="4"/>
        <v>0</v>
      </c>
      <c r="AD40" s="52">
        <f t="shared" ca="1" si="7"/>
        <v>0</v>
      </c>
      <c r="AE40" s="24">
        <f t="shared" ca="1" si="8"/>
        <v>0</v>
      </c>
      <c r="AF40" s="15"/>
    </row>
    <row r="41" spans="1:32">
      <c r="A41">
        <f t="shared" si="0"/>
        <v>14</v>
      </c>
      <c r="B41" s="52">
        <f t="shared" si="1"/>
        <v>12</v>
      </c>
      <c r="C41" s="1" t="str">
        <f t="shared" si="2"/>
        <v>HSBC</v>
      </c>
      <c r="D41" s="26"/>
      <c r="E41" s="22"/>
      <c r="G41" s="38"/>
      <c r="H41" s="36"/>
      <c r="I41" s="22"/>
      <c r="J41" s="22"/>
      <c r="K41" s="22"/>
      <c r="L41" s="37"/>
      <c r="M41" s="37"/>
      <c r="O41" s="28" t="str">
        <f>"Auction Excute : " &amp;G31</f>
        <v xml:space="preserve">Auction Excute : </v>
      </c>
      <c r="S41" s="4" t="s">
        <v>18</v>
      </c>
      <c r="W41" s="52">
        <v>3</v>
      </c>
      <c r="X41" s="5">
        <v>12</v>
      </c>
      <c r="Y41" s="5">
        <v>1</v>
      </c>
      <c r="Z41" s="5">
        <v>0</v>
      </c>
      <c r="AA41" s="5">
        <f t="shared" ca="1" si="3"/>
        <v>0</v>
      </c>
      <c r="AB41" s="17" t="s">
        <v>15</v>
      </c>
      <c r="AC41" s="52">
        <f t="shared" si="4"/>
        <v>0</v>
      </c>
      <c r="AD41" s="52">
        <f t="shared" ca="1" si="7"/>
        <v>0</v>
      </c>
      <c r="AE41" s="24">
        <f t="shared" ca="1" si="8"/>
        <v>0</v>
      </c>
      <c r="AF41" s="15"/>
    </row>
    <row r="42" spans="1:32">
      <c r="A42">
        <f t="shared" si="0"/>
        <v>15</v>
      </c>
      <c r="B42" s="52">
        <f t="shared" si="1"/>
        <v>13</v>
      </c>
      <c r="C42" s="1" t="str">
        <f t="shared" si="2"/>
        <v>CITIBANK</v>
      </c>
      <c r="D42" s="26"/>
      <c r="E42" s="22"/>
      <c r="G42" s="38"/>
      <c r="H42" s="36"/>
      <c r="I42" s="22"/>
      <c r="J42" s="22"/>
      <c r="K42" s="22"/>
      <c r="L42" s="37"/>
      <c r="M42" s="37"/>
      <c r="O42" s="20" t="s">
        <v>0</v>
      </c>
      <c r="P42" s="20" t="s">
        <v>69</v>
      </c>
      <c r="Q42" s="20" t="s">
        <v>23</v>
      </c>
      <c r="S42" s="20" t="s">
        <v>0</v>
      </c>
      <c r="T42" s="20" t="s">
        <v>69</v>
      </c>
      <c r="U42" s="20" t="s">
        <v>23</v>
      </c>
      <c r="W42" s="52">
        <v>3</v>
      </c>
      <c r="X42" s="5">
        <v>13</v>
      </c>
      <c r="Y42" s="5">
        <v>1</v>
      </c>
      <c r="Z42" s="5">
        <v>0</v>
      </c>
      <c r="AA42" s="5">
        <f t="shared" ca="1" si="3"/>
        <v>0</v>
      </c>
      <c r="AB42" s="17" t="s">
        <v>37</v>
      </c>
      <c r="AC42" s="52">
        <f t="shared" si="4"/>
        <v>0</v>
      </c>
      <c r="AD42" s="52">
        <f t="shared" ca="1" si="7"/>
        <v>0</v>
      </c>
      <c r="AE42" s="24">
        <f t="shared" ca="1" si="8"/>
        <v>0</v>
      </c>
      <c r="AF42" s="15"/>
    </row>
    <row r="43" spans="1:32">
      <c r="A43">
        <f t="shared" si="0"/>
        <v>16</v>
      </c>
      <c r="B43" s="52">
        <f t="shared" si="1"/>
        <v>14</v>
      </c>
      <c r="C43" s="1" t="str">
        <f t="shared" si="2"/>
        <v>KKP</v>
      </c>
      <c r="D43" s="26"/>
      <c r="E43" s="22"/>
      <c r="G43" s="38"/>
      <c r="H43" s="36"/>
      <c r="I43" s="22"/>
      <c r="J43" s="22"/>
      <c r="K43" s="22"/>
      <c r="L43" s="37"/>
      <c r="M43" s="37"/>
      <c r="O43" s="23"/>
      <c r="P43" s="23"/>
      <c r="Q43" s="11"/>
      <c r="S43" s="2" t="str">
        <f>IF(ISBLANK(O43),"",O43)</f>
        <v/>
      </c>
      <c r="T43" s="23"/>
      <c r="U43" s="11"/>
      <c r="W43" s="52">
        <v>3</v>
      </c>
      <c r="X43" s="5">
        <v>14</v>
      </c>
      <c r="Y43" s="5">
        <v>1</v>
      </c>
      <c r="Z43" s="5">
        <v>0</v>
      </c>
      <c r="AA43" s="5">
        <f t="shared" ca="1" si="3"/>
        <v>0</v>
      </c>
      <c r="AB43" s="17" t="s">
        <v>38</v>
      </c>
      <c r="AC43" s="52">
        <f t="shared" si="4"/>
        <v>0</v>
      </c>
      <c r="AD43" s="52">
        <f t="shared" ca="1" si="7"/>
        <v>0</v>
      </c>
      <c r="AE43" s="24">
        <f t="shared" ca="1" si="8"/>
        <v>0</v>
      </c>
      <c r="AF43" s="15"/>
    </row>
    <row r="44" spans="1:32">
      <c r="A44">
        <f t="shared" si="0"/>
        <v>17</v>
      </c>
      <c r="B44" s="52">
        <f t="shared" si="1"/>
        <v>15</v>
      </c>
      <c r="C44" s="1" t="str">
        <f t="shared" si="2"/>
        <v>UOBT</v>
      </c>
      <c r="D44" s="26"/>
      <c r="E44" s="22"/>
      <c r="G44" s="38"/>
      <c r="H44" s="36"/>
      <c r="I44" s="22"/>
      <c r="J44" s="22"/>
      <c r="K44" s="22"/>
      <c r="L44" s="37"/>
      <c r="M44" s="37"/>
      <c r="O44" s="23"/>
      <c r="P44" s="23"/>
      <c r="Q44" s="23"/>
      <c r="S44" s="2" t="str">
        <f t="shared" ref="S44:S51" si="9">IF(ISBLANK(O44),"",O44)</f>
        <v/>
      </c>
      <c r="T44" s="23"/>
      <c r="U44" s="23"/>
      <c r="W44" s="52">
        <v>3</v>
      </c>
      <c r="X44" s="5">
        <v>15</v>
      </c>
      <c r="Y44" s="5">
        <v>1</v>
      </c>
      <c r="Z44" s="5">
        <v>0</v>
      </c>
      <c r="AA44" s="5">
        <f t="shared" ca="1" si="3"/>
        <v>0</v>
      </c>
      <c r="AB44" s="17" t="s">
        <v>39</v>
      </c>
      <c r="AC44" s="52">
        <f t="shared" si="4"/>
        <v>0</v>
      </c>
      <c r="AD44" s="52">
        <f t="shared" ca="1" si="7"/>
        <v>0</v>
      </c>
      <c r="AE44" s="24">
        <f t="shared" ca="1" si="8"/>
        <v>0</v>
      </c>
      <c r="AF44" s="15"/>
    </row>
    <row r="45" spans="1:32">
      <c r="A45">
        <f t="shared" si="0"/>
        <v>18</v>
      </c>
      <c r="B45" s="52">
        <f t="shared" si="1"/>
        <v>16</v>
      </c>
      <c r="C45" s="1" t="str">
        <f t="shared" si="2"/>
        <v>GSB</v>
      </c>
      <c r="D45" s="26"/>
      <c r="E45" s="22"/>
      <c r="G45" s="38"/>
      <c r="H45" s="36"/>
      <c r="I45" s="22"/>
      <c r="J45" s="22"/>
      <c r="K45" s="22"/>
      <c r="L45" s="37"/>
      <c r="M45" s="37"/>
      <c r="O45" s="23"/>
      <c r="P45" s="23"/>
      <c r="Q45" s="23"/>
      <c r="S45" s="2" t="str">
        <f t="shared" si="9"/>
        <v/>
      </c>
      <c r="T45" s="23"/>
      <c r="U45" s="23"/>
      <c r="W45" s="52">
        <v>3</v>
      </c>
      <c r="X45" s="5">
        <v>16</v>
      </c>
      <c r="Y45" s="5">
        <v>1</v>
      </c>
      <c r="Z45" s="5">
        <v>0</v>
      </c>
      <c r="AA45" s="5">
        <f t="shared" ca="1" si="3"/>
        <v>0</v>
      </c>
      <c r="AB45" s="17" t="s">
        <v>14</v>
      </c>
      <c r="AC45" s="52">
        <f t="shared" si="4"/>
        <v>0</v>
      </c>
      <c r="AD45" s="52">
        <f t="shared" ca="1" si="7"/>
        <v>0</v>
      </c>
      <c r="AE45" s="24">
        <f t="shared" ca="1" si="8"/>
        <v>0</v>
      </c>
      <c r="AF45" s="15"/>
    </row>
    <row r="46" spans="1:32">
      <c r="A46">
        <f t="shared" si="0"/>
        <v>19</v>
      </c>
      <c r="B46" s="52">
        <f t="shared" si="1"/>
        <v>17</v>
      </c>
      <c r="C46" s="1" t="str">
        <f t="shared" si="2"/>
        <v>KGI</v>
      </c>
      <c r="D46" s="26"/>
      <c r="E46" s="22"/>
      <c r="G46" s="38"/>
      <c r="H46" s="36"/>
      <c r="I46" s="22"/>
      <c r="J46" s="22"/>
      <c r="K46" s="22"/>
      <c r="L46" s="37"/>
      <c r="M46" s="37"/>
      <c r="O46" s="23"/>
      <c r="P46" s="23"/>
      <c r="Q46" s="23"/>
      <c r="S46" s="2" t="str">
        <f t="shared" si="9"/>
        <v/>
      </c>
      <c r="T46" s="23"/>
      <c r="U46" s="23"/>
      <c r="W46" s="52">
        <v>3</v>
      </c>
      <c r="X46" s="5">
        <v>17</v>
      </c>
      <c r="Y46" s="5">
        <v>1</v>
      </c>
      <c r="Z46" s="5">
        <v>0</v>
      </c>
      <c r="AA46" s="5">
        <f t="shared" ca="1" si="3"/>
        <v>0</v>
      </c>
      <c r="AB46" s="17" t="s">
        <v>40</v>
      </c>
      <c r="AC46" s="52">
        <f t="shared" si="4"/>
        <v>0</v>
      </c>
      <c r="AD46" s="52">
        <f t="shared" ca="1" si="7"/>
        <v>0</v>
      </c>
      <c r="AE46" s="24">
        <f t="shared" ca="1" si="8"/>
        <v>0</v>
      </c>
      <c r="AF46" s="15"/>
    </row>
    <row r="47" spans="1:32">
      <c r="A47">
        <f t="shared" si="0"/>
        <v>20</v>
      </c>
      <c r="B47" s="52">
        <f t="shared" si="1"/>
        <v>18</v>
      </c>
      <c r="C47" s="1" t="str">
        <f t="shared" si="2"/>
        <v>BAML</v>
      </c>
      <c r="D47" s="26"/>
      <c r="E47" s="22"/>
      <c r="G47" s="38"/>
      <c r="H47" s="36"/>
      <c r="I47" s="22"/>
      <c r="J47" s="22"/>
      <c r="K47" s="22"/>
      <c r="L47" s="37"/>
      <c r="M47" s="37"/>
      <c r="O47" s="23"/>
      <c r="P47" s="23"/>
      <c r="Q47" s="23"/>
      <c r="S47" s="2" t="str">
        <f t="shared" si="9"/>
        <v/>
      </c>
      <c r="T47" s="23"/>
      <c r="U47" s="23"/>
      <c r="W47" s="52">
        <v>3</v>
      </c>
      <c r="X47" s="5">
        <v>18</v>
      </c>
      <c r="Y47" s="5">
        <v>1</v>
      </c>
      <c r="Z47" s="5">
        <v>0</v>
      </c>
      <c r="AA47" s="5">
        <f t="shared" ca="1" si="3"/>
        <v>0</v>
      </c>
      <c r="AB47" s="17" t="s">
        <v>41</v>
      </c>
      <c r="AC47" s="52">
        <f t="shared" si="4"/>
        <v>0</v>
      </c>
      <c r="AD47" s="52">
        <f t="shared" ca="1" si="7"/>
        <v>0</v>
      </c>
      <c r="AE47" s="24">
        <f t="shared" ca="1" si="8"/>
        <v>0</v>
      </c>
      <c r="AF47" s="15"/>
    </row>
    <row r="48" spans="1:32">
      <c r="A48">
        <f t="shared" si="0"/>
        <v>21</v>
      </c>
      <c r="B48" s="52">
        <f t="shared" si="1"/>
        <v>19</v>
      </c>
      <c r="C48" s="1" t="str">
        <f t="shared" si="2"/>
        <v>JP_MORGAN</v>
      </c>
      <c r="D48" s="26"/>
      <c r="E48" s="22"/>
      <c r="G48" s="38"/>
      <c r="H48" s="36"/>
      <c r="I48" s="22"/>
      <c r="J48" s="22"/>
      <c r="K48" s="22"/>
      <c r="L48" s="37"/>
      <c r="M48" s="37"/>
      <c r="O48" s="23"/>
      <c r="P48" s="23"/>
      <c r="Q48" s="23"/>
      <c r="S48" s="2" t="str">
        <f t="shared" si="9"/>
        <v/>
      </c>
      <c r="T48" s="23"/>
      <c r="U48" s="23"/>
      <c r="W48" s="52">
        <v>3</v>
      </c>
      <c r="X48" s="5">
        <v>19</v>
      </c>
      <c r="Y48" s="5">
        <v>1</v>
      </c>
      <c r="Z48" s="5">
        <v>0</v>
      </c>
      <c r="AA48" s="5">
        <f t="shared" ca="1" si="3"/>
        <v>0</v>
      </c>
      <c r="AB48" s="17" t="s">
        <v>42</v>
      </c>
      <c r="AC48" s="52">
        <f t="shared" si="4"/>
        <v>0</v>
      </c>
      <c r="AD48" s="52">
        <f t="shared" ca="1" si="7"/>
        <v>0</v>
      </c>
      <c r="AE48" s="24">
        <f t="shared" ca="1" si="8"/>
        <v>0</v>
      </c>
      <c r="AF48" s="15"/>
    </row>
    <row r="49" spans="1:32">
      <c r="A49">
        <f t="shared" si="0"/>
        <v>22</v>
      </c>
      <c r="B49" s="52">
        <f t="shared" si="1"/>
        <v>20</v>
      </c>
      <c r="C49" s="1" t="str">
        <f t="shared" si="2"/>
        <v>ANZT</v>
      </c>
      <c r="D49" s="26"/>
      <c r="E49" s="22"/>
      <c r="G49" s="38"/>
      <c r="H49" s="36"/>
      <c r="I49" s="22"/>
      <c r="J49" s="22"/>
      <c r="K49" s="22"/>
      <c r="L49" s="37"/>
      <c r="M49" s="37"/>
      <c r="O49" s="23"/>
      <c r="P49" s="23"/>
      <c r="Q49" s="23"/>
      <c r="S49" s="2" t="str">
        <f t="shared" si="9"/>
        <v/>
      </c>
      <c r="T49" s="23"/>
      <c r="U49" s="23"/>
      <c r="W49" s="52">
        <v>3</v>
      </c>
      <c r="X49" s="5">
        <v>20</v>
      </c>
      <c r="Y49" s="5">
        <v>1</v>
      </c>
      <c r="Z49" s="5">
        <v>0</v>
      </c>
      <c r="AA49" s="5">
        <f t="shared" ca="1" si="3"/>
        <v>0</v>
      </c>
      <c r="AB49" s="17" t="s">
        <v>43</v>
      </c>
      <c r="AC49" s="52">
        <f t="shared" si="4"/>
        <v>0</v>
      </c>
      <c r="AD49" s="52">
        <f t="shared" ca="1" si="7"/>
        <v>0</v>
      </c>
      <c r="AE49" s="24">
        <f t="shared" ca="1" si="8"/>
        <v>0</v>
      </c>
      <c r="AF49" s="15"/>
    </row>
    <row r="50" spans="1:32">
      <c r="A50">
        <f t="shared" si="0"/>
        <v>23</v>
      </c>
      <c r="B50" s="52">
        <f t="shared" si="1"/>
        <v>21</v>
      </c>
      <c r="C50" s="1" t="str">
        <f t="shared" si="2"/>
        <v>DEUTSCHE_BANK</v>
      </c>
      <c r="D50" s="26"/>
      <c r="E50" s="22"/>
      <c r="G50" s="38"/>
      <c r="H50" s="36"/>
      <c r="I50" s="22"/>
      <c r="J50" s="22"/>
      <c r="K50" s="22"/>
      <c r="L50" s="37"/>
      <c r="M50" s="37"/>
      <c r="O50" s="23"/>
      <c r="P50" s="23"/>
      <c r="Q50" s="23"/>
      <c r="S50" s="2" t="str">
        <f t="shared" si="9"/>
        <v/>
      </c>
      <c r="T50" s="23"/>
      <c r="U50" s="23"/>
      <c r="W50" s="52">
        <v>3</v>
      </c>
      <c r="X50" s="5">
        <v>21</v>
      </c>
      <c r="Y50" s="5">
        <v>1</v>
      </c>
      <c r="Z50" s="5">
        <v>0</v>
      </c>
      <c r="AA50" s="5">
        <f t="shared" ca="1" si="3"/>
        <v>0</v>
      </c>
      <c r="AB50" s="17" t="s">
        <v>44</v>
      </c>
      <c r="AC50" s="52">
        <f t="shared" si="4"/>
        <v>0</v>
      </c>
      <c r="AD50" s="52">
        <f t="shared" ca="1" si="7"/>
        <v>0</v>
      </c>
      <c r="AE50" s="24">
        <f t="shared" ca="1" si="8"/>
        <v>0</v>
      </c>
      <c r="AF50" s="15"/>
    </row>
    <row r="51" spans="1:32">
      <c r="A51">
        <f t="shared" si="0"/>
        <v>24</v>
      </c>
      <c r="B51" s="52">
        <f t="shared" si="1"/>
        <v>22</v>
      </c>
      <c r="C51" s="1" t="str">
        <f t="shared" si="2"/>
        <v>CNS</v>
      </c>
      <c r="D51" s="26"/>
      <c r="E51" s="22"/>
      <c r="O51" s="23"/>
      <c r="P51" s="23"/>
      <c r="Q51" s="23"/>
      <c r="S51" s="2" t="str">
        <f t="shared" si="9"/>
        <v/>
      </c>
      <c r="T51" s="23"/>
      <c r="U51" s="23"/>
      <c r="W51" s="52">
        <v>3</v>
      </c>
      <c r="X51" s="5">
        <v>22</v>
      </c>
      <c r="Y51" s="5">
        <v>1</v>
      </c>
      <c r="Z51" s="5">
        <v>0</v>
      </c>
      <c r="AA51" s="5">
        <f t="shared" ca="1" si="3"/>
        <v>0</v>
      </c>
      <c r="AB51" s="17" t="s">
        <v>45</v>
      </c>
      <c r="AC51" s="52">
        <f t="shared" si="4"/>
        <v>0</v>
      </c>
      <c r="AD51" s="52">
        <f t="shared" ca="1" si="7"/>
        <v>0</v>
      </c>
      <c r="AE51" s="24">
        <f t="shared" ca="1" si="8"/>
        <v>0</v>
      </c>
      <c r="AF51" s="15"/>
    </row>
    <row r="52" spans="1:32" ht="15" thickBot="1">
      <c r="A52">
        <f t="shared" si="0"/>
        <v>25</v>
      </c>
      <c r="B52" s="52">
        <f t="shared" si="1"/>
        <v>23</v>
      </c>
      <c r="C52" s="1" t="str">
        <f t="shared" si="2"/>
        <v>PHATRA</v>
      </c>
      <c r="D52" s="26"/>
      <c r="E52" s="22"/>
      <c r="N52" s="39" t="s">
        <v>62</v>
      </c>
      <c r="O52" s="40">
        <f>H31-P52</f>
        <v>0</v>
      </c>
      <c r="P52" s="50">
        <f>SUM(P43:P51)</f>
        <v>0</v>
      </c>
      <c r="Q52" s="44">
        <f>SUM(Q43:Q51)</f>
        <v>0</v>
      </c>
      <c r="R52" s="39" t="s">
        <v>63</v>
      </c>
      <c r="S52" s="40">
        <f>H31-T52</f>
        <v>0</v>
      </c>
      <c r="T52" s="50">
        <f>SUM(T43:T51)</f>
        <v>0</v>
      </c>
      <c r="U52" s="44">
        <f>SUM(U43:U51)</f>
        <v>0</v>
      </c>
      <c r="W52" s="52">
        <v>3</v>
      </c>
      <c r="X52" s="5">
        <v>23</v>
      </c>
      <c r="Y52" s="5">
        <v>1</v>
      </c>
      <c r="Z52" s="5">
        <v>0</v>
      </c>
      <c r="AA52" s="5">
        <f t="shared" ca="1" si="3"/>
        <v>0</v>
      </c>
      <c r="AB52" s="17" t="s">
        <v>46</v>
      </c>
      <c r="AC52" s="52">
        <f t="shared" si="4"/>
        <v>0</v>
      </c>
      <c r="AD52" s="52">
        <f t="shared" ca="1" si="7"/>
        <v>0</v>
      </c>
      <c r="AE52" s="24">
        <f t="shared" ca="1" si="8"/>
        <v>0</v>
      </c>
      <c r="AF52" s="15"/>
    </row>
    <row r="53" spans="1:32" ht="15" thickTop="1">
      <c r="A53">
        <f t="shared" si="0"/>
        <v>26</v>
      </c>
      <c r="B53" s="52">
        <f t="shared" si="1"/>
        <v>24</v>
      </c>
      <c r="C53" s="1" t="str">
        <f t="shared" si="2"/>
        <v>MBKET</v>
      </c>
      <c r="D53" s="26"/>
      <c r="E53" s="22"/>
      <c r="W53" s="52">
        <v>3</v>
      </c>
      <c r="X53" s="5">
        <v>24</v>
      </c>
      <c r="Y53" s="5">
        <v>1</v>
      </c>
      <c r="Z53" s="5">
        <v>0</v>
      </c>
      <c r="AA53" s="5">
        <f t="shared" ca="1" si="3"/>
        <v>0</v>
      </c>
      <c r="AB53" s="17" t="s">
        <v>47</v>
      </c>
      <c r="AC53" s="52">
        <f t="shared" si="4"/>
        <v>0</v>
      </c>
      <c r="AD53" s="52">
        <f t="shared" ca="1" si="7"/>
        <v>0</v>
      </c>
      <c r="AE53" s="16">
        <f t="shared" ca="1" si="8"/>
        <v>0</v>
      </c>
      <c r="AF53" s="16">
        <f ca="1">IFERROR(SUMIF($W$30:$W$53,$W$53,$AD$30:$AD$53)/$AD$54,0)</f>
        <v>0</v>
      </c>
    </row>
    <row r="54" spans="1:32" ht="15" thickBot="1">
      <c r="D54" s="50">
        <f>SUM(D30:D53)</f>
        <v>0</v>
      </c>
      <c r="E54" s="45">
        <f>IFERROR(SUMPRODUCT(D30:D33,E30:E33)/SUM(D30:D33),0)</f>
        <v>0</v>
      </c>
      <c r="F54" s="48"/>
      <c r="O54" s="29" t="str">
        <f>"Auction Excute : " &amp;G32</f>
        <v xml:space="preserve">Auction Excute : </v>
      </c>
      <c r="S54" s="4" t="s">
        <v>18</v>
      </c>
      <c r="AB54" s="20" t="s">
        <v>17</v>
      </c>
      <c r="AC54" s="44">
        <f>SUM(AC30:AC53)</f>
        <v>0</v>
      </c>
      <c r="AD54" s="44">
        <f ca="1">SUM(AD30:AD53)</f>
        <v>20400</v>
      </c>
    </row>
    <row r="55" spans="1:32" ht="15" thickTop="1">
      <c r="A55" s="43" t="s">
        <v>72</v>
      </c>
      <c r="G55" s="4" t="s">
        <v>70</v>
      </c>
      <c r="O55" s="20" t="s">
        <v>0</v>
      </c>
      <c r="P55" s="20" t="s">
        <v>69</v>
      </c>
      <c r="Q55" s="20" t="s">
        <v>23</v>
      </c>
      <c r="S55" s="20" t="s">
        <v>0</v>
      </c>
      <c r="T55" s="20" t="s">
        <v>69</v>
      </c>
      <c r="U55" s="20" t="s">
        <v>23</v>
      </c>
    </row>
    <row r="56" spans="1:32">
      <c r="B56" s="4" t="s">
        <v>27</v>
      </c>
      <c r="G56" s="20" t="s">
        <v>24</v>
      </c>
      <c r="H56" s="57" t="s">
        <v>71</v>
      </c>
      <c r="I56" s="58"/>
      <c r="J56" s="58"/>
      <c r="K56" s="59"/>
      <c r="O56" s="23"/>
      <c r="P56" s="23"/>
      <c r="Q56" s="11"/>
      <c r="S56" s="2" t="str">
        <f>IF(ISBLANK(O56),"",O56)</f>
        <v/>
      </c>
      <c r="T56" s="23"/>
      <c r="U56" s="11"/>
    </row>
    <row r="57" spans="1:32" ht="17.399999999999999" customHeight="1">
      <c r="B57" t="s">
        <v>28</v>
      </c>
      <c r="C57" s="8">
        <v>1</v>
      </c>
      <c r="G57" s="30">
        <f>G30</f>
        <v>0</v>
      </c>
      <c r="H57" s="53"/>
      <c r="I57" s="53"/>
      <c r="J57" s="53"/>
      <c r="K57" s="53"/>
      <c r="O57" s="23"/>
      <c r="P57" s="23"/>
      <c r="Q57" s="23"/>
      <c r="S57" s="2" t="str">
        <f t="shared" ref="S57:S64" si="10">IF(ISBLANK(O57),"",O57)</f>
        <v/>
      </c>
      <c r="T57" s="23"/>
      <c r="U57" s="23"/>
    </row>
    <row r="58" spans="1:32">
      <c r="B58" t="s">
        <v>29</v>
      </c>
      <c r="C58" s="8">
        <v>0.4</v>
      </c>
      <c r="G58" s="31">
        <f>G31</f>
        <v>0</v>
      </c>
      <c r="H58" s="53"/>
      <c r="I58" s="53"/>
      <c r="J58" s="53"/>
      <c r="K58" s="53"/>
      <c r="O58" s="23"/>
      <c r="P58" s="23"/>
      <c r="Q58" s="23"/>
      <c r="S58" s="2" t="str">
        <f t="shared" si="10"/>
        <v/>
      </c>
      <c r="T58" s="23"/>
      <c r="U58" s="23"/>
    </row>
    <row r="59" spans="1:32">
      <c r="B59" t="s">
        <v>30</v>
      </c>
      <c r="C59" s="8">
        <v>0.1</v>
      </c>
      <c r="G59" s="32">
        <f>G32</f>
        <v>0</v>
      </c>
      <c r="H59" s="53"/>
      <c r="I59" s="53"/>
      <c r="J59" s="53"/>
      <c r="K59" s="53"/>
      <c r="O59" s="23"/>
      <c r="P59" s="23"/>
      <c r="Q59" s="23"/>
      <c r="S59" s="2" t="str">
        <f t="shared" si="10"/>
        <v/>
      </c>
      <c r="T59" s="23"/>
      <c r="U59" s="23"/>
    </row>
    <row r="60" spans="1:32">
      <c r="O60" s="23"/>
      <c r="P60" s="23"/>
      <c r="Q60" s="23"/>
      <c r="S60" s="2" t="str">
        <f t="shared" si="10"/>
        <v/>
      </c>
      <c r="T60" s="23"/>
      <c r="U60" s="23"/>
    </row>
    <row r="61" spans="1:32">
      <c r="O61" s="23"/>
      <c r="P61" s="23"/>
      <c r="Q61" s="23"/>
      <c r="S61" s="2" t="str">
        <f t="shared" si="10"/>
        <v/>
      </c>
      <c r="T61" s="23"/>
      <c r="U61" s="23"/>
    </row>
    <row r="62" spans="1:32">
      <c r="O62" s="23"/>
      <c r="P62" s="23"/>
      <c r="Q62" s="23"/>
      <c r="S62" s="2" t="str">
        <f t="shared" si="10"/>
        <v/>
      </c>
      <c r="T62" s="23"/>
      <c r="U62" s="23"/>
    </row>
    <row r="63" spans="1:32">
      <c r="O63" s="23"/>
      <c r="P63" s="23"/>
      <c r="Q63" s="23"/>
      <c r="S63" s="2" t="str">
        <f t="shared" si="10"/>
        <v/>
      </c>
      <c r="T63" s="23"/>
      <c r="U63" s="23"/>
    </row>
    <row r="64" spans="1:32">
      <c r="O64" s="23"/>
      <c r="P64" s="23"/>
      <c r="Q64" s="23"/>
      <c r="S64" s="2" t="str">
        <f t="shared" si="10"/>
        <v/>
      </c>
      <c r="T64" s="23"/>
      <c r="U64" s="23"/>
    </row>
    <row r="65" spans="14:21" ht="15" thickBot="1">
      <c r="N65" s="39" t="s">
        <v>62</v>
      </c>
      <c r="O65" s="40">
        <f>H32-P65</f>
        <v>0</v>
      </c>
      <c r="P65" s="50">
        <f>SUM(P56:P64)</f>
        <v>0</v>
      </c>
      <c r="Q65" s="44">
        <f>SUM(Q56:Q64)</f>
        <v>0</v>
      </c>
      <c r="R65" s="39" t="s">
        <v>63</v>
      </c>
      <c r="S65" s="40">
        <f>H32-T65</f>
        <v>0</v>
      </c>
      <c r="T65" s="50">
        <f>SUM(T56:T64)</f>
        <v>0</v>
      </c>
      <c r="U65" s="44">
        <f>SUM(U56:U64)</f>
        <v>0</v>
      </c>
    </row>
    <row r="66" spans="14:21" ht="15" thickTop="1"/>
  </sheetData>
  <mergeCells count="7">
    <mergeCell ref="H59:K59"/>
    <mergeCell ref="B2:AC2"/>
    <mergeCell ref="B9:AC9"/>
    <mergeCell ref="B16:AC16"/>
    <mergeCell ref="H56:K56"/>
    <mergeCell ref="H57:K57"/>
    <mergeCell ref="H58:K58"/>
  </mergeCells>
  <conditionalFormatting sqref="AF32">
    <cfRule type="cellIs" dxfId="80" priority="26" operator="greaterThan">
      <formula>0.5</formula>
    </cfRule>
    <cfRule type="cellIs" dxfId="79" priority="27" operator="lessThan">
      <formula>0.5</formula>
    </cfRule>
  </conditionalFormatting>
  <conditionalFormatting sqref="AE30:AE5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{FC68B565-3A76-4464-AD2C-865FD826BCF9}</x14:id>
        </ext>
      </extLst>
    </cfRule>
  </conditionalFormatting>
  <conditionalFormatting sqref="E30:E5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78" priority="30" operator="lessThan">
      <formula>$C$59</formula>
    </cfRule>
    <cfRule type="cellIs" dxfId="77" priority="31" operator="greaterThan">
      <formula>$C$59</formula>
    </cfRule>
  </conditionalFormatting>
  <conditionalFormatting sqref="AF37">
    <cfRule type="cellIs" dxfId="76" priority="32" operator="greaterThan">
      <formula>$C$58</formula>
    </cfRule>
    <cfRule type="cellIs" dxfId="75" priority="33" operator="lessThan">
      <formula>$C$58</formula>
    </cfRule>
  </conditionalFormatting>
  <conditionalFormatting sqref="O39">
    <cfRule type="cellIs" dxfId="74" priority="20" operator="lessThan">
      <formula>0</formula>
    </cfRule>
    <cfRule type="cellIs" dxfId="73" priority="21" operator="equal">
      <formula>0</formula>
    </cfRule>
    <cfRule type="cellIs" dxfId="72" priority="22" operator="greaterThan">
      <formula>0</formula>
    </cfRule>
  </conditionalFormatting>
  <conditionalFormatting sqref="S52">
    <cfRule type="cellIs" dxfId="71" priority="8" operator="lessThan">
      <formula>0</formula>
    </cfRule>
    <cfRule type="cellIs" dxfId="70" priority="9" operator="equal">
      <formula>0</formula>
    </cfRule>
    <cfRule type="cellIs" dxfId="69" priority="10" operator="greaterThan">
      <formula>0</formula>
    </cfRule>
  </conditionalFormatting>
  <conditionalFormatting sqref="O52">
    <cfRule type="cellIs" dxfId="68" priority="17" operator="lessThan">
      <formula>0</formula>
    </cfRule>
    <cfRule type="cellIs" dxfId="67" priority="18" operator="equal">
      <formula>0</formula>
    </cfRule>
    <cfRule type="cellIs" dxfId="66" priority="19" operator="greaterThan">
      <formula>0</formula>
    </cfRule>
  </conditionalFormatting>
  <conditionalFormatting sqref="O65">
    <cfRule type="cellIs" dxfId="65" priority="14" operator="lessThan">
      <formula>0</formula>
    </cfRule>
    <cfRule type="cellIs" dxfId="64" priority="15" operator="equal">
      <formula>0</formula>
    </cfRule>
    <cfRule type="cellIs" dxfId="63" priority="16" operator="greaterThan">
      <formula>0</formula>
    </cfRule>
  </conditionalFormatting>
  <conditionalFormatting sqref="S39">
    <cfRule type="cellIs" dxfId="62" priority="11" operator="lessThan">
      <formula>0</formula>
    </cfRule>
    <cfRule type="cellIs" dxfId="61" priority="12" operator="equal">
      <formula>0</formula>
    </cfRule>
    <cfRule type="cellIs" dxfId="60" priority="13" operator="greaterThan">
      <formula>0</formula>
    </cfRule>
  </conditionalFormatting>
  <conditionalFormatting sqref="S65">
    <cfRule type="cellIs" dxfId="59" priority="5" operator="lessThan">
      <formula>0</formula>
    </cfRule>
    <cfRule type="cellIs" dxfId="58" priority="6" operator="equal">
      <formula>0</formula>
    </cfRule>
    <cfRule type="cellIs" dxfId="57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56" priority="3" rank="4"/>
  </conditionalFormatting>
  <conditionalFormatting sqref="C11:Z13">
    <cfRule type="top10" dxfId="55" priority="2" rank="4"/>
  </conditionalFormatting>
  <conditionalFormatting sqref="C18:Z20">
    <cfRule type="top10" dxfId="54" priority="1" rank="4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btnForm">
          <controlPr defaultSize="0" autoLine="0" r:id="rId5">
            <anchor moveWithCells="1">
              <from>
                <xdr:col>10</xdr:col>
                <xdr:colOff>106680</xdr:colOff>
                <xdr:row>50</xdr:row>
                <xdr:rowOff>175260</xdr:rowOff>
              </from>
              <to>
                <xdr:col>11</xdr:col>
                <xdr:colOff>441960</xdr:colOff>
                <xdr:row>53</xdr:row>
                <xdr:rowOff>0</xdr:rowOff>
              </to>
            </anchor>
          </controlPr>
        </control>
      </mc:Choice>
      <mc:Fallback>
        <control shapeId="16385" r:id="rId4" name="btnForm"/>
      </mc:Fallback>
    </mc:AlternateContent>
    <mc:AlternateContent xmlns:mc="http://schemas.openxmlformats.org/markup-compatibility/2006">
      <mc:Choice Requires="x14">
        <control shapeId="16386" r:id="rId6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7620</xdr:rowOff>
              </from>
              <to>
                <xdr:col>7</xdr:col>
                <xdr:colOff>441960</xdr:colOff>
                <xdr:row>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Button 3">
          <controlPr defaultSize="0" print="0" autoFill="0" autoPict="0" macro="[0]!get_impiled_yield">
            <anchor moveWithCells="1" sizeWithCells="1">
              <from>
                <xdr:col>7</xdr:col>
                <xdr:colOff>510540</xdr:colOff>
                <xdr:row>50</xdr:row>
                <xdr:rowOff>175260</xdr:rowOff>
              </from>
              <to>
                <xdr:col>8</xdr:col>
                <xdr:colOff>815340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Button 4">
          <controlPr defaultSize="0" print="0" autoFill="0" autoPict="0" macro="[0]!clear_ws">
            <anchor moveWithCells="1" sizeWithCells="1">
              <from>
                <xdr:col>8</xdr:col>
                <xdr:colOff>922020</xdr:colOff>
                <xdr:row>50</xdr:row>
                <xdr:rowOff>175260</xdr:rowOff>
              </from>
              <to>
                <xdr:col>9</xdr:col>
                <xdr:colOff>1112520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68B565-3A76-4464-AD2C-865FD826BC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8" id="{FFA43B03-1A44-45EC-B0A0-DB4297DC5D5F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9" id="{2DACBD13-930E-4179-AEC8-5AB3CE442C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4A4D2-97B4-4B9B-BF94-FDAF692F786F}">
  <sheetPr codeName="Sheet5"/>
  <dimension ref="A1:AS66"/>
  <sheetViews>
    <sheetView tabSelected="1" topLeftCell="B1" zoomScale="85" zoomScaleNormal="85" workbookViewId="0">
      <selection activeCell="AD32" sqref="AD32"/>
    </sheetView>
  </sheetViews>
  <sheetFormatPr defaultRowHeight="14.4" outlineLevelRow="1" outlineLevelCol="1"/>
  <cols>
    <col min="1" max="1" width="8.109375" hidden="1" customWidth="1"/>
    <col min="2" max="2" width="10.6640625" customWidth="1"/>
    <col min="3" max="3" width="10" customWidth="1"/>
    <col min="4" max="4" width="13.109375" customWidth="1"/>
    <col min="5" max="5" width="14.77734375" customWidth="1"/>
    <col min="6" max="6" width="9" customWidth="1"/>
    <col min="7" max="7" width="13.33203125" customWidth="1"/>
    <col min="8" max="8" width="15.21875" customWidth="1"/>
    <col min="9" max="9" width="16.88671875" customWidth="1"/>
    <col min="10" max="10" width="16.44140625" customWidth="1"/>
    <col min="11" max="11" width="15" customWidth="1"/>
    <col min="12" max="12" width="15.109375" customWidth="1"/>
    <col min="13" max="13" width="14.88671875" customWidth="1"/>
    <col min="14" max="14" width="12.6640625" customWidth="1"/>
    <col min="15" max="15" width="11.44140625" customWidth="1"/>
    <col min="16" max="16" width="12.6640625" customWidth="1"/>
    <col min="18" max="18" width="13.109375" customWidth="1"/>
    <col min="19" max="19" width="10.88671875" customWidth="1"/>
    <col min="20" max="20" width="12.88671875" customWidth="1"/>
    <col min="21" max="21" width="12.21875" customWidth="1"/>
    <col min="22" max="22" width="11.6640625" customWidth="1"/>
    <col min="23" max="23" width="12.44140625" customWidth="1" outlineLevel="1"/>
    <col min="24" max="24" width="10.88671875" customWidth="1" outlineLevel="1"/>
    <col min="25" max="25" width="10.6640625" customWidth="1" outlineLevel="1"/>
    <col min="26" max="26" width="11.21875" customWidth="1" outlineLevel="1"/>
    <col min="27" max="27" width="11.21875" customWidth="1"/>
    <col min="28" max="28" width="12.109375" customWidth="1"/>
    <col min="29" max="29" width="12.21875" customWidth="1"/>
    <col min="30" max="30" width="12.44140625" customWidth="1"/>
    <col min="31" max="31" width="9.44140625" customWidth="1"/>
    <col min="34" max="34" width="4.44140625" customWidth="1"/>
    <col min="36" max="36" width="23.88671875" customWidth="1"/>
    <col min="41" max="41" width="13.44140625" customWidth="1"/>
    <col min="42" max="42" width="16" customWidth="1"/>
    <col min="43" max="43" width="10" customWidth="1"/>
  </cols>
  <sheetData>
    <row r="1" spans="2:45" ht="16.5" customHeight="1">
      <c r="B1" s="61" t="str">
        <f xml:space="preserve"> "Auction Dashboard "</f>
        <v xml:space="preserve">Auction Dashboard </v>
      </c>
      <c r="C1" s="61"/>
      <c r="D1" s="62">
        <v>43401</v>
      </c>
      <c r="E1" s="42"/>
    </row>
    <row r="2" spans="2:45" ht="16.2" customHeight="1">
      <c r="B2" s="54">
        <f>G30</f>
        <v>0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6"/>
      <c r="AD2" s="49"/>
    </row>
    <row r="3" spans="2:45">
      <c r="B3" s="20" t="s">
        <v>0</v>
      </c>
      <c r="C3" s="21" t="str">
        <f t="array" ref="C3:Z3">TRANSPOSE($AB$30:$AB$53)</f>
        <v>BNP</v>
      </c>
      <c r="D3" s="21" t="str">
        <v>BBL</v>
      </c>
      <c r="E3" s="21" t="str">
        <v>KBANK</v>
      </c>
      <c r="F3" s="21" t="str">
        <v>TMB</v>
      </c>
      <c r="G3" s="21" t="str">
        <v>KTB</v>
      </c>
      <c r="H3" s="21" t="str">
        <v>CIMBT</v>
      </c>
      <c r="I3" s="21" t="str">
        <v>BAY</v>
      </c>
      <c r="J3" s="21" t="str">
        <v>SCB</v>
      </c>
      <c r="K3" s="21" t="str">
        <v>TBANK</v>
      </c>
      <c r="L3" s="21" t="str">
        <v>TISCOBANK</v>
      </c>
      <c r="M3" s="21" t="str">
        <v>SCBT</v>
      </c>
      <c r="N3" s="21" t="str">
        <v>HSBC</v>
      </c>
      <c r="O3" s="21" t="str">
        <v>CITIBANK</v>
      </c>
      <c r="P3" s="21" t="str">
        <v>KKP</v>
      </c>
      <c r="Q3" s="21" t="str">
        <v>UOBT</v>
      </c>
      <c r="R3" s="21" t="str">
        <v>GSB</v>
      </c>
      <c r="S3" s="21" t="str">
        <v>KGI</v>
      </c>
      <c r="T3" s="21" t="str">
        <v>BAML</v>
      </c>
      <c r="U3" s="21" t="str">
        <v>JP_MORGAN</v>
      </c>
      <c r="V3" s="21" t="str">
        <v>ANZT</v>
      </c>
      <c r="W3" s="21" t="str">
        <v>DEUTSCHE_BANK</v>
      </c>
      <c r="X3" s="21" t="str">
        <v>CNS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>
        <f>G30</f>
        <v>0</v>
      </c>
      <c r="AS3" s="4"/>
    </row>
    <row r="4" spans="2:45">
      <c r="B4" s="20" t="s">
        <v>1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8">
        <f>MIN(C4:Z4)</f>
        <v>0</v>
      </c>
      <c r="AB4" s="18">
        <f>MAX(C4:Z4)</f>
        <v>0</v>
      </c>
      <c r="AC4" s="18">
        <f>IFERROR(AVERAGE(C4:Z4),0)</f>
        <v>0</v>
      </c>
      <c r="AD4" s="49"/>
    </row>
    <row r="5" spans="2:45">
      <c r="B5" s="20" t="s">
        <v>2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18">
        <f>MIN(C5:Z5)</f>
        <v>0</v>
      </c>
      <c r="AB5" s="18">
        <f>MAX(C5:Z5)</f>
        <v>0</v>
      </c>
      <c r="AC5" s="18">
        <f>IFERROR(AVERAGE(C5:Z5),0)</f>
        <v>0</v>
      </c>
      <c r="AD5" s="49"/>
    </row>
    <row r="6" spans="2:45">
      <c r="B6" s="20" t="s">
        <v>3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0</v>
      </c>
      <c r="AB6" s="18">
        <f>MAX(C6:Z6)</f>
        <v>0</v>
      </c>
      <c r="AC6" s="18">
        <f>IFERROR(AVERAGE(C6:Z6),0)</f>
        <v>0</v>
      </c>
      <c r="AD6" s="49"/>
    </row>
    <row r="7" spans="2:45">
      <c r="B7" s="20" t="s">
        <v>65</v>
      </c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0</v>
      </c>
      <c r="AB7" s="19">
        <f>MAX(AB4:AB6)</f>
        <v>0</v>
      </c>
      <c r="AC7" s="19">
        <f>MAX(AC4:AC6)</f>
        <v>0</v>
      </c>
      <c r="AD7" s="49"/>
      <c r="AF7" s="48"/>
    </row>
    <row r="8" spans="2:45">
      <c r="B8" s="47"/>
      <c r="AD8" s="49"/>
    </row>
    <row r="9" spans="2:45" outlineLevel="1">
      <c r="B9" s="54">
        <f>G31</f>
        <v>0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6"/>
      <c r="AD9" s="49"/>
    </row>
    <row r="10" spans="2:45" outlineLevel="1">
      <c r="B10" s="20" t="s">
        <v>0</v>
      </c>
      <c r="C10" s="21" t="str">
        <f t="array" ref="C10:Z10">TRANSPOSE($AB$30:$AB$53)</f>
        <v>BNP</v>
      </c>
      <c r="D10" s="21" t="str">
        <v>BBL</v>
      </c>
      <c r="E10" s="21" t="str">
        <v>KBANK</v>
      </c>
      <c r="F10" s="21" t="str">
        <v>TMB</v>
      </c>
      <c r="G10" s="21" t="str">
        <v>KTB</v>
      </c>
      <c r="H10" s="21" t="str">
        <v>CIMBT</v>
      </c>
      <c r="I10" s="21" t="str">
        <v>BAY</v>
      </c>
      <c r="J10" s="21" t="str">
        <v>SCB</v>
      </c>
      <c r="K10" s="21" t="str">
        <v>TBANK</v>
      </c>
      <c r="L10" s="21" t="str">
        <v>TISCOBANK</v>
      </c>
      <c r="M10" s="21" t="str">
        <v>SCBT</v>
      </c>
      <c r="N10" s="21" t="str">
        <v>HSBC</v>
      </c>
      <c r="O10" s="21" t="str">
        <v>CITIBANK</v>
      </c>
      <c r="P10" s="21" t="str">
        <v>KKP</v>
      </c>
      <c r="Q10" s="21" t="str">
        <v>UOBT</v>
      </c>
      <c r="R10" s="21" t="str">
        <v>GSB</v>
      </c>
      <c r="S10" s="21" t="str">
        <v>KGI</v>
      </c>
      <c r="T10" s="21" t="str">
        <v>BAML</v>
      </c>
      <c r="U10" s="21" t="str">
        <v>JP_MORGAN</v>
      </c>
      <c r="V10" s="21" t="str">
        <v>ANZT</v>
      </c>
      <c r="W10" s="21" t="str">
        <v>DEUTSCHE_BANK</v>
      </c>
      <c r="X10" s="21" t="str">
        <v>CNS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>
        <f>G31</f>
        <v>0</v>
      </c>
    </row>
    <row r="11" spans="2:45" outlineLevel="1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>
      <c r="B14" s="20" t="s">
        <v>65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>
      <c r="AD15" s="49"/>
    </row>
    <row r="16" spans="2:45" hidden="1" outlineLevel="1">
      <c r="B16" s="54">
        <f>G32</f>
        <v>0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6"/>
      <c r="AD16" s="49"/>
    </row>
    <row r="17" spans="1:36" hidden="1" outlineLevel="1">
      <c r="B17" s="20" t="s">
        <v>0</v>
      </c>
      <c r="C17" s="21" t="str">
        <f t="array" ref="C17:Z17">TRANSPOSE($AB$30:$AB$53)</f>
        <v>BNP</v>
      </c>
      <c r="D17" s="21" t="str">
        <v>BBL</v>
      </c>
      <c r="E17" s="21" t="str">
        <v>KBANK</v>
      </c>
      <c r="F17" s="21" t="str">
        <v>TMB</v>
      </c>
      <c r="G17" s="21" t="str">
        <v>KTB</v>
      </c>
      <c r="H17" s="21" t="str">
        <v>CIMBT</v>
      </c>
      <c r="I17" s="21" t="str">
        <v>BAY</v>
      </c>
      <c r="J17" s="21" t="str">
        <v>SCB</v>
      </c>
      <c r="K17" s="21" t="str">
        <v>TBANK</v>
      </c>
      <c r="L17" s="21" t="str">
        <v>TISCOBANK</v>
      </c>
      <c r="M17" s="21" t="str">
        <v>SCBT</v>
      </c>
      <c r="N17" s="21" t="str">
        <v>HSBC</v>
      </c>
      <c r="O17" s="21" t="str">
        <v>CITIBANK</v>
      </c>
      <c r="P17" s="21" t="str">
        <v>KKP</v>
      </c>
      <c r="Q17" s="21" t="str">
        <v>UOBT</v>
      </c>
      <c r="R17" s="21" t="str">
        <v>GSB</v>
      </c>
      <c r="S17" s="21" t="str">
        <v>KGI</v>
      </c>
      <c r="T17" s="21" t="str">
        <v>BAML</v>
      </c>
      <c r="U17" s="21" t="str">
        <v>JP_MORGAN</v>
      </c>
      <c r="V17" s="21" t="str">
        <v>ANZT</v>
      </c>
      <c r="W17" s="21" t="str">
        <v>DEUTSCHE_BANK</v>
      </c>
      <c r="X17" s="21" t="str">
        <v>CNS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>
        <f>G32</f>
        <v>0</v>
      </c>
    </row>
    <row r="18" spans="1:36" hidden="1" outlineLevel="1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>
      <c r="B21" s="20" t="s">
        <v>65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/>
    <row r="23" spans="1:36" hidden="1" outlineLevel="1"/>
    <row r="24" spans="1:36" hidden="1" outlineLevel="1"/>
    <row r="25" spans="1:36" hidden="1" outlineLevel="1"/>
    <row r="26" spans="1:36" hidden="1" outlineLevel="1"/>
    <row r="27" spans="1:36" collapsed="1"/>
    <row r="28" spans="1:36" ht="24.75" customHeight="1">
      <c r="B28" s="25" t="str">
        <f>"Auction Recommend : "</f>
        <v xml:space="preserve">Auction Recommend : </v>
      </c>
      <c r="D28" s="12">
        <f>G30</f>
        <v>0</v>
      </c>
      <c r="G28" s="4" t="s">
        <v>20</v>
      </c>
      <c r="O28" s="27" t="str">
        <f>"Auction Excute : " &amp; G30</f>
        <v xml:space="preserve">Auction Excute : </v>
      </c>
      <c r="S28" s="4" t="s">
        <v>18</v>
      </c>
      <c r="W28" s="4" t="s">
        <v>52</v>
      </c>
    </row>
    <row r="29" spans="1:36">
      <c r="A29" s="41">
        <f>MATCH($D$28,$AD$1:$AD$21,0)</f>
        <v>3</v>
      </c>
      <c r="B29" s="20" t="s">
        <v>16</v>
      </c>
      <c r="C29" s="20" t="s">
        <v>0</v>
      </c>
      <c r="D29" s="20" t="s">
        <v>68</v>
      </c>
      <c r="E29" s="20" t="s">
        <v>67</v>
      </c>
      <c r="G29" s="20" t="s">
        <v>24</v>
      </c>
      <c r="H29" s="20" t="s">
        <v>17</v>
      </c>
      <c r="I29" s="20" t="s">
        <v>21</v>
      </c>
      <c r="J29" s="20" t="s">
        <v>22</v>
      </c>
      <c r="K29" s="20" t="s">
        <v>50</v>
      </c>
      <c r="L29" s="20" t="s">
        <v>51</v>
      </c>
      <c r="M29" s="20" t="s">
        <v>57</v>
      </c>
      <c r="O29" s="20" t="s">
        <v>0</v>
      </c>
      <c r="P29" s="20" t="s">
        <v>69</v>
      </c>
      <c r="Q29" s="20" t="s">
        <v>23</v>
      </c>
      <c r="S29" s="20" t="s">
        <v>0</v>
      </c>
      <c r="T29" s="20" t="s">
        <v>69</v>
      </c>
      <c r="U29" s="20" t="s">
        <v>23</v>
      </c>
      <c r="W29" s="20" t="s">
        <v>4</v>
      </c>
      <c r="X29" s="20" t="s">
        <v>16</v>
      </c>
      <c r="Y29" s="20" t="s">
        <v>21</v>
      </c>
      <c r="Z29" s="20" t="s">
        <v>22</v>
      </c>
      <c r="AA29" s="20" t="s">
        <v>26</v>
      </c>
      <c r="AB29" s="20" t="s">
        <v>0</v>
      </c>
      <c r="AC29" s="20" t="s">
        <v>19</v>
      </c>
      <c r="AD29" s="20" t="s">
        <v>59</v>
      </c>
      <c r="AE29" s="20" t="s">
        <v>49</v>
      </c>
      <c r="AF29" s="20" t="s">
        <v>31</v>
      </c>
      <c r="AJ29" s="60"/>
    </row>
    <row r="30" spans="1:36">
      <c r="A30">
        <f t="shared" ref="A30:A53" si="0">MATCH(C30,$A$3:$Z$3,0)</f>
        <v>3</v>
      </c>
      <c r="B30" s="52">
        <f t="shared" ref="B30:B53" si="1">INDEX($X$30:$X$53,MATCH(C30,$AB$30:$AB$53,0))</f>
        <v>1</v>
      </c>
      <c r="C30" s="1" t="str">
        <f t="shared" ref="C30:C53" si="2">AB30</f>
        <v>BNP</v>
      </c>
      <c r="D30" s="26"/>
      <c r="E30" s="22"/>
      <c r="G30" s="7"/>
      <c r="H30" s="51">
        <f>SUM(I30:L30)</f>
        <v>0</v>
      </c>
      <c r="I30" s="7"/>
      <c r="J30" s="7"/>
      <c r="K30" s="7"/>
      <c r="L30" s="7"/>
      <c r="M30" s="7"/>
      <c r="O30" s="23"/>
      <c r="P30" s="23"/>
      <c r="Q30" s="11"/>
      <c r="S30" s="2" t="str">
        <f>IF(ISBLANK(O30),"",O30)</f>
        <v/>
      </c>
      <c r="T30" s="23"/>
      <c r="U30" s="11"/>
      <c r="W30" s="33">
        <v>1</v>
      </c>
      <c r="X30" s="5">
        <v>1</v>
      </c>
      <c r="Y30" s="5">
        <v>1</v>
      </c>
      <c r="Z30" s="5">
        <v>1</v>
      </c>
      <c r="AA30" s="5">
        <f t="shared" ref="AA30:AA53" ca="1" si="3">IF(SUM(OFFSET(INDIRECT(ADDRESS($A$29,$A30)),1,0,3)) &gt; 0,1,0)</f>
        <v>0</v>
      </c>
      <c r="AB30" s="17" t="s">
        <v>12</v>
      </c>
      <c r="AC30" s="52">
        <f t="shared" ref="AC30:AC53" si="4">SUMIF($S$30:$S$64,AB30,$T$30:$T$64)</f>
        <v>0</v>
      </c>
      <c r="AD30" s="52">
        <f>AC30</f>
        <v>0</v>
      </c>
      <c r="AE30" s="24">
        <f>IFERROR(AD30/$AD$54,0)</f>
        <v>0</v>
      </c>
      <c r="AF30" s="14"/>
    </row>
    <row r="31" spans="1:36">
      <c r="A31">
        <f t="shared" si="0"/>
        <v>4</v>
      </c>
      <c r="B31" s="52">
        <f t="shared" si="1"/>
        <v>2</v>
      </c>
      <c r="C31" s="1" t="str">
        <f t="shared" si="2"/>
        <v>BBL</v>
      </c>
      <c r="D31" s="26"/>
      <c r="E31" s="22"/>
      <c r="G31" s="7"/>
      <c r="H31" s="51">
        <f t="shared" ref="H31:H32" si="5">SUM(I31:L31)</f>
        <v>0</v>
      </c>
      <c r="I31" s="7"/>
      <c r="J31" s="7"/>
      <c r="K31" s="7"/>
      <c r="L31" s="7"/>
      <c r="M31" s="7"/>
      <c r="O31" s="23"/>
      <c r="P31" s="23"/>
      <c r="Q31" s="23"/>
      <c r="S31" s="2" t="str">
        <f t="shared" ref="S31:S38" si="6">IF(ISBLANK(O31),"",O31)</f>
        <v/>
      </c>
      <c r="T31" s="23"/>
      <c r="U31" s="23"/>
      <c r="W31" s="33">
        <v>1</v>
      </c>
      <c r="X31" s="5">
        <v>2</v>
      </c>
      <c r="Y31" s="5">
        <v>1</v>
      </c>
      <c r="Z31" s="5">
        <v>0</v>
      </c>
      <c r="AA31" s="5">
        <f t="shared" ca="1" si="3"/>
        <v>0</v>
      </c>
      <c r="AB31" s="17" t="s">
        <v>10</v>
      </c>
      <c r="AC31" s="52">
        <f t="shared" si="4"/>
        <v>0</v>
      </c>
      <c r="AD31" s="52">
        <f t="shared" ref="AD31:AD53" si="7">AC31</f>
        <v>0</v>
      </c>
      <c r="AE31" s="24">
        <f t="shared" ref="AE31:AE53" si="8">IFERROR(AD31/$AD$54,0)</f>
        <v>0</v>
      </c>
      <c r="AF31" s="15"/>
    </row>
    <row r="32" spans="1:36">
      <c r="A32">
        <f t="shared" si="0"/>
        <v>5</v>
      </c>
      <c r="B32" s="52">
        <f t="shared" si="1"/>
        <v>3</v>
      </c>
      <c r="C32" s="1" t="str">
        <f t="shared" si="2"/>
        <v>KBANK</v>
      </c>
      <c r="D32" s="26"/>
      <c r="E32" s="22"/>
      <c r="G32" s="7"/>
      <c r="H32" s="51">
        <f t="shared" si="5"/>
        <v>0</v>
      </c>
      <c r="I32" s="7"/>
      <c r="J32" s="7"/>
      <c r="K32" s="7"/>
      <c r="L32" s="7"/>
      <c r="M32" s="7"/>
      <c r="O32" s="23"/>
      <c r="P32" s="23"/>
      <c r="Q32" s="23"/>
      <c r="S32" s="2" t="str">
        <f t="shared" si="6"/>
        <v/>
      </c>
      <c r="T32" s="23"/>
      <c r="U32" s="23"/>
      <c r="W32" s="33">
        <v>1</v>
      </c>
      <c r="X32" s="5">
        <v>3</v>
      </c>
      <c r="Y32" s="5">
        <v>1</v>
      </c>
      <c r="Z32" s="5">
        <v>1</v>
      </c>
      <c r="AA32" s="5">
        <f t="shared" ca="1" si="3"/>
        <v>0</v>
      </c>
      <c r="AB32" s="17" t="s">
        <v>11</v>
      </c>
      <c r="AC32" s="52">
        <f t="shared" si="4"/>
        <v>0</v>
      </c>
      <c r="AD32" s="52">
        <f t="shared" si="7"/>
        <v>0</v>
      </c>
      <c r="AE32" s="16">
        <f t="shared" si="8"/>
        <v>0</v>
      </c>
      <c r="AF32" s="16">
        <f>IFERROR(SUMIF($W$30:$W$53,$W$32,$AD$30:$AD$53)/$AD$54,0)</f>
        <v>0</v>
      </c>
    </row>
    <row r="33" spans="1:32">
      <c r="A33">
        <f t="shared" si="0"/>
        <v>6</v>
      </c>
      <c r="B33" s="52">
        <f t="shared" si="1"/>
        <v>4</v>
      </c>
      <c r="C33" s="1" t="str">
        <f t="shared" si="2"/>
        <v>TMB</v>
      </c>
      <c r="D33" s="26"/>
      <c r="E33" s="22"/>
      <c r="G33" s="34"/>
      <c r="O33" s="23"/>
      <c r="P33" s="23"/>
      <c r="Q33" s="23"/>
      <c r="S33" s="2" t="str">
        <f t="shared" si="6"/>
        <v/>
      </c>
      <c r="T33" s="23"/>
      <c r="U33" s="23"/>
      <c r="W33" s="52">
        <v>2</v>
      </c>
      <c r="X33" s="5">
        <v>4</v>
      </c>
      <c r="Y33" s="5">
        <v>1</v>
      </c>
      <c r="Z33" s="5">
        <v>1</v>
      </c>
      <c r="AA33" s="5">
        <f t="shared" ca="1" si="3"/>
        <v>0</v>
      </c>
      <c r="AB33" s="17" t="s">
        <v>9</v>
      </c>
      <c r="AC33" s="52">
        <f t="shared" si="4"/>
        <v>0</v>
      </c>
      <c r="AD33" s="52">
        <f t="shared" si="7"/>
        <v>0</v>
      </c>
      <c r="AE33" s="24">
        <f t="shared" si="8"/>
        <v>0</v>
      </c>
      <c r="AF33" s="15"/>
    </row>
    <row r="34" spans="1:32">
      <c r="A34">
        <f t="shared" si="0"/>
        <v>7</v>
      </c>
      <c r="B34" s="52">
        <f t="shared" si="1"/>
        <v>5</v>
      </c>
      <c r="C34" s="1" t="str">
        <f t="shared" si="2"/>
        <v>KTB</v>
      </c>
      <c r="D34" s="26"/>
      <c r="E34" s="22"/>
      <c r="G34" s="35"/>
      <c r="O34" s="23"/>
      <c r="P34" s="23"/>
      <c r="Q34" s="23"/>
      <c r="S34" s="2" t="str">
        <f t="shared" si="6"/>
        <v/>
      </c>
      <c r="T34" s="23"/>
      <c r="U34" s="23"/>
      <c r="W34" s="52">
        <v>2</v>
      </c>
      <c r="X34" s="5">
        <v>5</v>
      </c>
      <c r="Y34" s="5">
        <v>1</v>
      </c>
      <c r="Z34" s="5">
        <v>0</v>
      </c>
      <c r="AA34" s="5">
        <f t="shared" ca="1" si="3"/>
        <v>0</v>
      </c>
      <c r="AB34" s="17" t="s">
        <v>13</v>
      </c>
      <c r="AC34" s="52">
        <f t="shared" si="4"/>
        <v>0</v>
      </c>
      <c r="AD34" s="52">
        <f t="shared" si="7"/>
        <v>0</v>
      </c>
      <c r="AE34" s="24">
        <f t="shared" si="8"/>
        <v>0</v>
      </c>
      <c r="AF34" s="15"/>
    </row>
    <row r="35" spans="1:32">
      <c r="A35">
        <f t="shared" si="0"/>
        <v>8</v>
      </c>
      <c r="B35" s="52">
        <f t="shared" si="1"/>
        <v>6</v>
      </c>
      <c r="C35" s="1" t="str">
        <f t="shared" si="2"/>
        <v>CIMBT</v>
      </c>
      <c r="D35" s="26"/>
      <c r="E35" s="22"/>
      <c r="G35" s="4" t="s">
        <v>58</v>
      </c>
      <c r="O35" s="23"/>
      <c r="P35" s="23"/>
      <c r="Q35" s="23"/>
      <c r="S35" s="2" t="str">
        <f t="shared" si="6"/>
        <v/>
      </c>
      <c r="T35" s="23"/>
      <c r="U35" s="23"/>
      <c r="W35" s="52">
        <v>2</v>
      </c>
      <c r="X35" s="5">
        <v>6</v>
      </c>
      <c r="Y35" s="5">
        <v>1</v>
      </c>
      <c r="Z35" s="5">
        <v>0</v>
      </c>
      <c r="AA35" s="5">
        <f t="shared" ca="1" si="3"/>
        <v>0</v>
      </c>
      <c r="AB35" s="17" t="s">
        <v>32</v>
      </c>
      <c r="AC35" s="52">
        <f t="shared" si="4"/>
        <v>0</v>
      </c>
      <c r="AD35" s="52">
        <f t="shared" si="7"/>
        <v>0</v>
      </c>
      <c r="AE35" s="24">
        <f t="shared" si="8"/>
        <v>0</v>
      </c>
      <c r="AF35" s="15"/>
    </row>
    <row r="36" spans="1:32">
      <c r="A36">
        <f t="shared" si="0"/>
        <v>9</v>
      </c>
      <c r="B36" s="52">
        <f t="shared" si="1"/>
        <v>7</v>
      </c>
      <c r="C36" s="1" t="str">
        <f t="shared" si="2"/>
        <v>BAY</v>
      </c>
      <c r="D36" s="26"/>
      <c r="E36" s="22"/>
      <c r="G36" s="20" t="s">
        <v>24</v>
      </c>
      <c r="H36" s="20" t="s">
        <v>60</v>
      </c>
      <c r="I36" s="20" t="s">
        <v>53</v>
      </c>
      <c r="J36" s="20" t="s">
        <v>54</v>
      </c>
      <c r="K36" s="20" t="s">
        <v>64</v>
      </c>
      <c r="L36" s="20" t="s">
        <v>61</v>
      </c>
      <c r="M36" s="20" t="s">
        <v>55</v>
      </c>
      <c r="O36" s="23"/>
      <c r="P36" s="23"/>
      <c r="Q36" s="23"/>
      <c r="S36" s="2" t="str">
        <f t="shared" si="6"/>
        <v/>
      </c>
      <c r="T36" s="23"/>
      <c r="U36" s="23"/>
      <c r="W36" s="52">
        <v>2</v>
      </c>
      <c r="X36" s="5">
        <v>7</v>
      </c>
      <c r="Y36" s="5">
        <v>1</v>
      </c>
      <c r="Z36" s="5">
        <v>0</v>
      </c>
      <c r="AA36" s="5">
        <f t="shared" ca="1" si="3"/>
        <v>0</v>
      </c>
      <c r="AB36" s="17" t="s">
        <v>33</v>
      </c>
      <c r="AC36" s="52">
        <f t="shared" si="4"/>
        <v>0</v>
      </c>
      <c r="AD36" s="52">
        <f t="shared" si="7"/>
        <v>0</v>
      </c>
      <c r="AE36" s="24">
        <f t="shared" si="8"/>
        <v>0</v>
      </c>
      <c r="AF36" s="15"/>
    </row>
    <row r="37" spans="1:32" ht="16.5" customHeight="1">
      <c r="A37">
        <f t="shared" si="0"/>
        <v>10</v>
      </c>
      <c r="B37" s="52">
        <f t="shared" si="1"/>
        <v>8</v>
      </c>
      <c r="C37" s="1" t="str">
        <f t="shared" si="2"/>
        <v>SCB</v>
      </c>
      <c r="D37" s="26"/>
      <c r="E37" s="22"/>
      <c r="G37" s="38"/>
      <c r="H37" s="36"/>
      <c r="I37" s="22"/>
      <c r="J37" s="22"/>
      <c r="K37" s="22"/>
      <c r="L37" s="37"/>
      <c r="M37" s="37"/>
      <c r="O37" s="23"/>
      <c r="P37" s="23"/>
      <c r="Q37" s="23"/>
      <c r="S37" s="2" t="str">
        <f t="shared" si="6"/>
        <v/>
      </c>
      <c r="T37" s="23"/>
      <c r="U37" s="23"/>
      <c r="W37" s="52">
        <v>2</v>
      </c>
      <c r="X37" s="5">
        <v>8</v>
      </c>
      <c r="Y37" s="5">
        <v>1</v>
      </c>
      <c r="Z37" s="5">
        <v>0</v>
      </c>
      <c r="AA37" s="5">
        <f t="shared" ca="1" si="3"/>
        <v>0</v>
      </c>
      <c r="AB37" s="17" t="s">
        <v>8</v>
      </c>
      <c r="AC37" s="52">
        <f t="shared" si="4"/>
        <v>0</v>
      </c>
      <c r="AD37" s="52">
        <f t="shared" si="7"/>
        <v>0</v>
      </c>
      <c r="AE37" s="16">
        <f t="shared" si="8"/>
        <v>0</v>
      </c>
      <c r="AF37" s="16">
        <f>IFERROR(SUMIF($W$30:$W$53,$W$37,$AD$30:$AD$53)/$AD$54,0)</f>
        <v>0</v>
      </c>
    </row>
    <row r="38" spans="1:32">
      <c r="A38">
        <f t="shared" si="0"/>
        <v>11</v>
      </c>
      <c r="B38" s="52">
        <f t="shared" si="1"/>
        <v>9</v>
      </c>
      <c r="C38" s="1" t="str">
        <f t="shared" si="2"/>
        <v>TBANK</v>
      </c>
      <c r="D38" s="26"/>
      <c r="E38" s="22"/>
      <c r="G38" s="38"/>
      <c r="H38" s="36"/>
      <c r="I38" s="22"/>
      <c r="J38" s="22"/>
      <c r="K38" s="22"/>
      <c r="L38" s="37"/>
      <c r="M38" s="37"/>
      <c r="O38" s="23"/>
      <c r="P38" s="23"/>
      <c r="Q38" s="23"/>
      <c r="S38" s="2" t="str">
        <f t="shared" si="6"/>
        <v/>
      </c>
      <c r="T38" s="23"/>
      <c r="U38" s="23"/>
      <c r="W38" s="52">
        <v>3</v>
      </c>
      <c r="X38" s="5">
        <v>9</v>
      </c>
      <c r="Y38" s="5">
        <v>1</v>
      </c>
      <c r="Z38" s="5">
        <v>0</v>
      </c>
      <c r="AA38" s="5">
        <f t="shared" ca="1" si="3"/>
        <v>0</v>
      </c>
      <c r="AB38" s="17" t="s">
        <v>34</v>
      </c>
      <c r="AC38" s="52">
        <f t="shared" si="4"/>
        <v>0</v>
      </c>
      <c r="AD38" s="52">
        <f t="shared" si="7"/>
        <v>0</v>
      </c>
      <c r="AE38" s="24">
        <f t="shared" si="8"/>
        <v>0</v>
      </c>
      <c r="AF38" s="15"/>
    </row>
    <row r="39" spans="1:32" ht="15" thickBot="1">
      <c r="A39">
        <f t="shared" si="0"/>
        <v>12</v>
      </c>
      <c r="B39" s="52">
        <f t="shared" si="1"/>
        <v>10</v>
      </c>
      <c r="C39" s="1" t="str">
        <f t="shared" si="2"/>
        <v>TISCOBANK</v>
      </c>
      <c r="D39" s="26"/>
      <c r="E39" s="22"/>
      <c r="G39" s="38"/>
      <c r="H39" s="36"/>
      <c r="I39" s="22"/>
      <c r="J39" s="22"/>
      <c r="K39" s="22"/>
      <c r="L39" s="37"/>
      <c r="M39" s="37"/>
      <c r="N39" s="39" t="s">
        <v>62</v>
      </c>
      <c r="O39" s="40">
        <f>H30-P39</f>
        <v>0</v>
      </c>
      <c r="P39" s="50">
        <f>SUM(P30:P38)</f>
        <v>0</v>
      </c>
      <c r="Q39" s="44">
        <f>IFERROR(AVERAGE(Q30:Q38),0)</f>
        <v>0</v>
      </c>
      <c r="R39" s="39" t="s">
        <v>63</v>
      </c>
      <c r="S39" s="40">
        <f>H30-T39</f>
        <v>0</v>
      </c>
      <c r="T39" s="50">
        <f>SUM(T30:T38)</f>
        <v>0</v>
      </c>
      <c r="U39" s="44">
        <f>SUM(U30:U38)</f>
        <v>0</v>
      </c>
      <c r="W39" s="52">
        <v>3</v>
      </c>
      <c r="X39" s="5">
        <v>10</v>
      </c>
      <c r="Y39" s="5">
        <v>1</v>
      </c>
      <c r="Z39" s="5">
        <v>0</v>
      </c>
      <c r="AA39" s="5">
        <f t="shared" ca="1" si="3"/>
        <v>0</v>
      </c>
      <c r="AB39" s="17" t="s">
        <v>35</v>
      </c>
      <c r="AC39" s="52">
        <f t="shared" si="4"/>
        <v>0</v>
      </c>
      <c r="AD39" s="52">
        <f t="shared" si="7"/>
        <v>0</v>
      </c>
      <c r="AE39" s="24">
        <f t="shared" si="8"/>
        <v>0</v>
      </c>
      <c r="AF39" s="15"/>
    </row>
    <row r="40" spans="1:32" ht="15" thickTop="1">
      <c r="A40">
        <f t="shared" si="0"/>
        <v>13</v>
      </c>
      <c r="B40" s="52">
        <f t="shared" si="1"/>
        <v>11</v>
      </c>
      <c r="C40" s="1" t="str">
        <f t="shared" si="2"/>
        <v>SCBT</v>
      </c>
      <c r="D40" s="26"/>
      <c r="E40" s="22"/>
      <c r="G40" s="38"/>
      <c r="H40" s="36"/>
      <c r="I40" s="22"/>
      <c r="J40" s="22"/>
      <c r="K40" s="22"/>
      <c r="L40" s="37"/>
      <c r="M40" s="37"/>
      <c r="W40" s="52">
        <v>3</v>
      </c>
      <c r="X40" s="5">
        <v>11</v>
      </c>
      <c r="Y40" s="5">
        <v>1</v>
      </c>
      <c r="Z40" s="5">
        <v>0</v>
      </c>
      <c r="AA40" s="5">
        <f t="shared" ca="1" si="3"/>
        <v>0</v>
      </c>
      <c r="AB40" s="17" t="s">
        <v>36</v>
      </c>
      <c r="AC40" s="52">
        <f t="shared" si="4"/>
        <v>0</v>
      </c>
      <c r="AD40" s="52">
        <f t="shared" si="7"/>
        <v>0</v>
      </c>
      <c r="AE40" s="24">
        <f t="shared" si="8"/>
        <v>0</v>
      </c>
      <c r="AF40" s="15"/>
    </row>
    <row r="41" spans="1:32">
      <c r="A41">
        <f t="shared" si="0"/>
        <v>14</v>
      </c>
      <c r="B41" s="52">
        <f t="shared" si="1"/>
        <v>12</v>
      </c>
      <c r="C41" s="1" t="str">
        <f t="shared" si="2"/>
        <v>HSBC</v>
      </c>
      <c r="D41" s="26"/>
      <c r="E41" s="22"/>
      <c r="G41" s="38"/>
      <c r="H41" s="36"/>
      <c r="I41" s="22"/>
      <c r="J41" s="22"/>
      <c r="K41" s="22"/>
      <c r="L41" s="37"/>
      <c r="M41" s="37"/>
      <c r="O41" s="28" t="str">
        <f>"Auction Excute : " &amp;G31</f>
        <v xml:space="preserve">Auction Excute : </v>
      </c>
      <c r="S41" s="4" t="s">
        <v>18</v>
      </c>
      <c r="W41" s="52">
        <v>3</v>
      </c>
      <c r="X41" s="5">
        <v>12</v>
      </c>
      <c r="Y41" s="5">
        <v>1</v>
      </c>
      <c r="Z41" s="5">
        <v>0</v>
      </c>
      <c r="AA41" s="5">
        <f t="shared" ca="1" si="3"/>
        <v>0</v>
      </c>
      <c r="AB41" s="17" t="s">
        <v>15</v>
      </c>
      <c r="AC41" s="52">
        <f t="shared" si="4"/>
        <v>0</v>
      </c>
      <c r="AD41" s="52">
        <f t="shared" si="7"/>
        <v>0</v>
      </c>
      <c r="AE41" s="24">
        <f t="shared" si="8"/>
        <v>0</v>
      </c>
      <c r="AF41" s="15"/>
    </row>
    <row r="42" spans="1:32">
      <c r="A42">
        <f t="shared" si="0"/>
        <v>15</v>
      </c>
      <c r="B42" s="52">
        <f t="shared" si="1"/>
        <v>13</v>
      </c>
      <c r="C42" s="1" t="str">
        <f t="shared" si="2"/>
        <v>CITIBANK</v>
      </c>
      <c r="D42" s="26"/>
      <c r="E42" s="22"/>
      <c r="G42" s="38"/>
      <c r="H42" s="36"/>
      <c r="I42" s="22"/>
      <c r="J42" s="22"/>
      <c r="K42" s="22"/>
      <c r="L42" s="37"/>
      <c r="M42" s="37"/>
      <c r="O42" s="20" t="s">
        <v>0</v>
      </c>
      <c r="P42" s="20" t="s">
        <v>69</v>
      </c>
      <c r="Q42" s="20" t="s">
        <v>23</v>
      </c>
      <c r="S42" s="20" t="s">
        <v>0</v>
      </c>
      <c r="T42" s="20" t="s">
        <v>69</v>
      </c>
      <c r="U42" s="20" t="s">
        <v>23</v>
      </c>
      <c r="W42" s="52">
        <v>3</v>
      </c>
      <c r="X42" s="5">
        <v>13</v>
      </c>
      <c r="Y42" s="5">
        <v>1</v>
      </c>
      <c r="Z42" s="5">
        <v>0</v>
      </c>
      <c r="AA42" s="5">
        <f t="shared" ca="1" si="3"/>
        <v>0</v>
      </c>
      <c r="AB42" s="17" t="s">
        <v>37</v>
      </c>
      <c r="AC42" s="52">
        <f t="shared" si="4"/>
        <v>0</v>
      </c>
      <c r="AD42" s="52">
        <f t="shared" si="7"/>
        <v>0</v>
      </c>
      <c r="AE42" s="24">
        <f t="shared" si="8"/>
        <v>0</v>
      </c>
      <c r="AF42" s="15"/>
    </row>
    <row r="43" spans="1:32">
      <c r="A43">
        <f t="shared" si="0"/>
        <v>16</v>
      </c>
      <c r="B43" s="52">
        <f t="shared" si="1"/>
        <v>14</v>
      </c>
      <c r="C43" s="1" t="str">
        <f t="shared" si="2"/>
        <v>KKP</v>
      </c>
      <c r="D43" s="26"/>
      <c r="E43" s="22"/>
      <c r="G43" s="38"/>
      <c r="H43" s="36"/>
      <c r="I43" s="22"/>
      <c r="J43" s="22"/>
      <c r="K43" s="22"/>
      <c r="L43" s="37"/>
      <c r="M43" s="37"/>
      <c r="O43" s="23"/>
      <c r="P43" s="23"/>
      <c r="Q43" s="11"/>
      <c r="S43" s="2" t="str">
        <f>IF(ISBLANK(O43),"",O43)</f>
        <v/>
      </c>
      <c r="T43" s="23"/>
      <c r="U43" s="11"/>
      <c r="W43" s="52">
        <v>3</v>
      </c>
      <c r="X43" s="5">
        <v>14</v>
      </c>
      <c r="Y43" s="5">
        <v>1</v>
      </c>
      <c r="Z43" s="5">
        <v>0</v>
      </c>
      <c r="AA43" s="5">
        <f t="shared" ca="1" si="3"/>
        <v>0</v>
      </c>
      <c r="AB43" s="17" t="s">
        <v>38</v>
      </c>
      <c r="AC43" s="52">
        <f t="shared" si="4"/>
        <v>0</v>
      </c>
      <c r="AD43" s="52">
        <f t="shared" si="7"/>
        <v>0</v>
      </c>
      <c r="AE43" s="24">
        <f t="shared" si="8"/>
        <v>0</v>
      </c>
      <c r="AF43" s="15"/>
    </row>
    <row r="44" spans="1:32">
      <c r="A44">
        <f t="shared" si="0"/>
        <v>17</v>
      </c>
      <c r="B44" s="52">
        <f t="shared" si="1"/>
        <v>15</v>
      </c>
      <c r="C44" s="1" t="str">
        <f t="shared" si="2"/>
        <v>UOBT</v>
      </c>
      <c r="D44" s="26"/>
      <c r="E44" s="22"/>
      <c r="G44" s="38"/>
      <c r="H44" s="36"/>
      <c r="I44" s="22"/>
      <c r="J44" s="22"/>
      <c r="K44" s="22"/>
      <c r="L44" s="37"/>
      <c r="M44" s="37"/>
      <c r="O44" s="23"/>
      <c r="P44" s="23"/>
      <c r="Q44" s="23"/>
      <c r="S44" s="2" t="str">
        <f t="shared" ref="S44:S51" si="9">IF(ISBLANK(O44),"",O44)</f>
        <v/>
      </c>
      <c r="T44" s="23"/>
      <c r="U44" s="23"/>
      <c r="W44" s="52">
        <v>3</v>
      </c>
      <c r="X44" s="5">
        <v>15</v>
      </c>
      <c r="Y44" s="5">
        <v>1</v>
      </c>
      <c r="Z44" s="5">
        <v>0</v>
      </c>
      <c r="AA44" s="5">
        <f t="shared" ca="1" si="3"/>
        <v>0</v>
      </c>
      <c r="AB44" s="17" t="s">
        <v>39</v>
      </c>
      <c r="AC44" s="52">
        <f t="shared" si="4"/>
        <v>0</v>
      </c>
      <c r="AD44" s="52">
        <f t="shared" si="7"/>
        <v>0</v>
      </c>
      <c r="AE44" s="24">
        <f t="shared" si="8"/>
        <v>0</v>
      </c>
      <c r="AF44" s="15"/>
    </row>
    <row r="45" spans="1:32">
      <c r="A45">
        <f t="shared" si="0"/>
        <v>18</v>
      </c>
      <c r="B45" s="52">
        <f t="shared" si="1"/>
        <v>16</v>
      </c>
      <c r="C45" s="1" t="str">
        <f t="shared" si="2"/>
        <v>GSB</v>
      </c>
      <c r="D45" s="26"/>
      <c r="E45" s="22"/>
      <c r="G45" s="38"/>
      <c r="H45" s="36"/>
      <c r="I45" s="22"/>
      <c r="J45" s="22"/>
      <c r="K45" s="22"/>
      <c r="L45" s="37"/>
      <c r="M45" s="37"/>
      <c r="O45" s="23"/>
      <c r="P45" s="23"/>
      <c r="Q45" s="23"/>
      <c r="S45" s="2" t="str">
        <f t="shared" si="9"/>
        <v/>
      </c>
      <c r="T45" s="23"/>
      <c r="U45" s="23"/>
      <c r="W45" s="52">
        <v>3</v>
      </c>
      <c r="X45" s="5">
        <v>16</v>
      </c>
      <c r="Y45" s="5">
        <v>1</v>
      </c>
      <c r="Z45" s="5">
        <v>0</v>
      </c>
      <c r="AA45" s="5">
        <f t="shared" ca="1" si="3"/>
        <v>0</v>
      </c>
      <c r="AB45" s="17" t="s">
        <v>14</v>
      </c>
      <c r="AC45" s="52">
        <f t="shared" si="4"/>
        <v>0</v>
      </c>
      <c r="AD45" s="52">
        <f t="shared" si="7"/>
        <v>0</v>
      </c>
      <c r="AE45" s="24">
        <f t="shared" si="8"/>
        <v>0</v>
      </c>
      <c r="AF45" s="15"/>
    </row>
    <row r="46" spans="1:32">
      <c r="A46">
        <f t="shared" si="0"/>
        <v>19</v>
      </c>
      <c r="B46" s="52">
        <f t="shared" si="1"/>
        <v>17</v>
      </c>
      <c r="C46" s="1" t="str">
        <f t="shared" si="2"/>
        <v>KGI</v>
      </c>
      <c r="D46" s="26"/>
      <c r="E46" s="22"/>
      <c r="G46" s="38"/>
      <c r="H46" s="36"/>
      <c r="I46" s="22"/>
      <c r="J46" s="22"/>
      <c r="K46" s="22"/>
      <c r="L46" s="37"/>
      <c r="M46" s="37"/>
      <c r="O46" s="23"/>
      <c r="P46" s="23"/>
      <c r="Q46" s="23"/>
      <c r="S46" s="2" t="str">
        <f t="shared" si="9"/>
        <v/>
      </c>
      <c r="T46" s="23"/>
      <c r="U46" s="23"/>
      <c r="W46" s="52">
        <v>3</v>
      </c>
      <c r="X46" s="5">
        <v>17</v>
      </c>
      <c r="Y46" s="5">
        <v>1</v>
      </c>
      <c r="Z46" s="5">
        <v>0</v>
      </c>
      <c r="AA46" s="5">
        <f t="shared" ca="1" si="3"/>
        <v>0</v>
      </c>
      <c r="AB46" s="17" t="s">
        <v>40</v>
      </c>
      <c r="AC46" s="52">
        <f t="shared" si="4"/>
        <v>0</v>
      </c>
      <c r="AD46" s="52">
        <f t="shared" si="7"/>
        <v>0</v>
      </c>
      <c r="AE46" s="24">
        <f t="shared" si="8"/>
        <v>0</v>
      </c>
      <c r="AF46" s="15"/>
    </row>
    <row r="47" spans="1:32">
      <c r="A47">
        <f t="shared" si="0"/>
        <v>20</v>
      </c>
      <c r="B47" s="52">
        <f t="shared" si="1"/>
        <v>18</v>
      </c>
      <c r="C47" s="1" t="str">
        <f t="shared" si="2"/>
        <v>BAML</v>
      </c>
      <c r="D47" s="26"/>
      <c r="E47" s="22"/>
      <c r="G47" s="38"/>
      <c r="H47" s="36"/>
      <c r="I47" s="22"/>
      <c r="J47" s="22"/>
      <c r="K47" s="22"/>
      <c r="L47" s="37"/>
      <c r="M47" s="37"/>
      <c r="O47" s="23"/>
      <c r="P47" s="23"/>
      <c r="Q47" s="23"/>
      <c r="S47" s="2" t="str">
        <f t="shared" si="9"/>
        <v/>
      </c>
      <c r="T47" s="23"/>
      <c r="U47" s="23"/>
      <c r="W47" s="52">
        <v>3</v>
      </c>
      <c r="X47" s="5">
        <v>18</v>
      </c>
      <c r="Y47" s="5">
        <v>1</v>
      </c>
      <c r="Z47" s="5">
        <v>0</v>
      </c>
      <c r="AA47" s="5">
        <f t="shared" ca="1" si="3"/>
        <v>0</v>
      </c>
      <c r="AB47" s="17" t="s">
        <v>41</v>
      </c>
      <c r="AC47" s="52">
        <f t="shared" si="4"/>
        <v>0</v>
      </c>
      <c r="AD47" s="52">
        <f t="shared" si="7"/>
        <v>0</v>
      </c>
      <c r="AE47" s="24">
        <f t="shared" si="8"/>
        <v>0</v>
      </c>
      <c r="AF47" s="15"/>
    </row>
    <row r="48" spans="1:32">
      <c r="A48">
        <f t="shared" si="0"/>
        <v>21</v>
      </c>
      <c r="B48" s="52">
        <f t="shared" si="1"/>
        <v>19</v>
      </c>
      <c r="C48" s="1" t="str">
        <f t="shared" si="2"/>
        <v>JP_MORGAN</v>
      </c>
      <c r="D48" s="26"/>
      <c r="E48" s="22"/>
      <c r="G48" s="38"/>
      <c r="H48" s="36"/>
      <c r="I48" s="22"/>
      <c r="J48" s="22"/>
      <c r="K48" s="22"/>
      <c r="L48" s="37"/>
      <c r="M48" s="37"/>
      <c r="O48" s="23"/>
      <c r="P48" s="23"/>
      <c r="Q48" s="23"/>
      <c r="S48" s="2" t="str">
        <f t="shared" si="9"/>
        <v/>
      </c>
      <c r="T48" s="23"/>
      <c r="U48" s="23"/>
      <c r="W48" s="52">
        <v>3</v>
      </c>
      <c r="X48" s="5">
        <v>19</v>
      </c>
      <c r="Y48" s="5">
        <v>1</v>
      </c>
      <c r="Z48" s="5">
        <v>0</v>
      </c>
      <c r="AA48" s="5">
        <f t="shared" ca="1" si="3"/>
        <v>0</v>
      </c>
      <c r="AB48" s="17" t="s">
        <v>42</v>
      </c>
      <c r="AC48" s="52">
        <f t="shared" si="4"/>
        <v>0</v>
      </c>
      <c r="AD48" s="52">
        <f t="shared" si="7"/>
        <v>0</v>
      </c>
      <c r="AE48" s="24">
        <f t="shared" si="8"/>
        <v>0</v>
      </c>
      <c r="AF48" s="15"/>
    </row>
    <row r="49" spans="1:32">
      <c r="A49">
        <f t="shared" si="0"/>
        <v>22</v>
      </c>
      <c r="B49" s="52">
        <f t="shared" si="1"/>
        <v>20</v>
      </c>
      <c r="C49" s="1" t="str">
        <f t="shared" si="2"/>
        <v>ANZT</v>
      </c>
      <c r="D49" s="26"/>
      <c r="E49" s="22"/>
      <c r="G49" s="38"/>
      <c r="H49" s="36"/>
      <c r="I49" s="22"/>
      <c r="J49" s="22"/>
      <c r="K49" s="22"/>
      <c r="L49" s="37"/>
      <c r="M49" s="37"/>
      <c r="O49" s="23"/>
      <c r="P49" s="23"/>
      <c r="Q49" s="23"/>
      <c r="S49" s="2" t="str">
        <f t="shared" si="9"/>
        <v/>
      </c>
      <c r="T49" s="23"/>
      <c r="U49" s="23"/>
      <c r="W49" s="52">
        <v>3</v>
      </c>
      <c r="X49" s="5">
        <v>20</v>
      </c>
      <c r="Y49" s="5">
        <v>1</v>
      </c>
      <c r="Z49" s="5">
        <v>0</v>
      </c>
      <c r="AA49" s="5">
        <f t="shared" ca="1" si="3"/>
        <v>0</v>
      </c>
      <c r="AB49" s="17" t="s">
        <v>43</v>
      </c>
      <c r="AC49" s="52">
        <f t="shared" si="4"/>
        <v>0</v>
      </c>
      <c r="AD49" s="52">
        <f t="shared" si="7"/>
        <v>0</v>
      </c>
      <c r="AE49" s="24">
        <f t="shared" si="8"/>
        <v>0</v>
      </c>
      <c r="AF49" s="15"/>
    </row>
    <row r="50" spans="1:32">
      <c r="A50">
        <f t="shared" si="0"/>
        <v>23</v>
      </c>
      <c r="B50" s="52">
        <f t="shared" si="1"/>
        <v>21</v>
      </c>
      <c r="C50" s="1" t="str">
        <f t="shared" si="2"/>
        <v>DEUTSCHE_BANK</v>
      </c>
      <c r="D50" s="26"/>
      <c r="E50" s="22"/>
      <c r="G50" s="38"/>
      <c r="H50" s="36"/>
      <c r="I50" s="22"/>
      <c r="J50" s="22"/>
      <c r="K50" s="22"/>
      <c r="L50" s="37"/>
      <c r="M50" s="37"/>
      <c r="O50" s="23"/>
      <c r="P50" s="23"/>
      <c r="Q50" s="23"/>
      <c r="S50" s="2" t="str">
        <f t="shared" si="9"/>
        <v/>
      </c>
      <c r="T50" s="23"/>
      <c r="U50" s="23"/>
      <c r="W50" s="52">
        <v>3</v>
      </c>
      <c r="X50" s="5">
        <v>21</v>
      </c>
      <c r="Y50" s="5">
        <v>1</v>
      </c>
      <c r="Z50" s="5">
        <v>0</v>
      </c>
      <c r="AA50" s="5">
        <f t="shared" ca="1" si="3"/>
        <v>0</v>
      </c>
      <c r="AB50" s="17" t="s">
        <v>44</v>
      </c>
      <c r="AC50" s="52">
        <f t="shared" si="4"/>
        <v>0</v>
      </c>
      <c r="AD50" s="52">
        <f t="shared" si="7"/>
        <v>0</v>
      </c>
      <c r="AE50" s="24">
        <f t="shared" si="8"/>
        <v>0</v>
      </c>
      <c r="AF50" s="15"/>
    </row>
    <row r="51" spans="1:32">
      <c r="A51">
        <f t="shared" si="0"/>
        <v>24</v>
      </c>
      <c r="B51" s="52">
        <f t="shared" si="1"/>
        <v>22</v>
      </c>
      <c r="C51" s="1" t="str">
        <f t="shared" si="2"/>
        <v>CNS</v>
      </c>
      <c r="D51" s="26"/>
      <c r="E51" s="22"/>
      <c r="O51" s="23"/>
      <c r="P51" s="23"/>
      <c r="Q51" s="23"/>
      <c r="S51" s="2" t="str">
        <f t="shared" si="9"/>
        <v/>
      </c>
      <c r="T51" s="23"/>
      <c r="U51" s="23"/>
      <c r="W51" s="52">
        <v>3</v>
      </c>
      <c r="X51" s="5">
        <v>22</v>
      </c>
      <c r="Y51" s="5">
        <v>1</v>
      </c>
      <c r="Z51" s="5">
        <v>0</v>
      </c>
      <c r="AA51" s="5">
        <f t="shared" ca="1" si="3"/>
        <v>0</v>
      </c>
      <c r="AB51" s="17" t="s">
        <v>45</v>
      </c>
      <c r="AC51" s="52">
        <f t="shared" si="4"/>
        <v>0</v>
      </c>
      <c r="AD51" s="52">
        <f t="shared" si="7"/>
        <v>0</v>
      </c>
      <c r="AE51" s="24">
        <f t="shared" si="8"/>
        <v>0</v>
      </c>
      <c r="AF51" s="15"/>
    </row>
    <row r="52" spans="1:32" ht="15" thickBot="1">
      <c r="A52">
        <f t="shared" si="0"/>
        <v>25</v>
      </c>
      <c r="B52" s="52">
        <f t="shared" si="1"/>
        <v>23</v>
      </c>
      <c r="C52" s="1" t="str">
        <f t="shared" si="2"/>
        <v>PHATRA</v>
      </c>
      <c r="D52" s="26"/>
      <c r="E52" s="22"/>
      <c r="N52" s="39" t="s">
        <v>62</v>
      </c>
      <c r="O52" s="40">
        <f>H31-P52</f>
        <v>0</v>
      </c>
      <c r="P52" s="50">
        <f>SUM(P43:P51)</f>
        <v>0</v>
      </c>
      <c r="Q52" s="44">
        <f>SUM(Q43:Q51)</f>
        <v>0</v>
      </c>
      <c r="R52" s="39" t="s">
        <v>63</v>
      </c>
      <c r="S52" s="40">
        <f>H31-T52</f>
        <v>0</v>
      </c>
      <c r="T52" s="50">
        <f>SUM(T43:T51)</f>
        <v>0</v>
      </c>
      <c r="U52" s="44">
        <f>SUM(U43:U51)</f>
        <v>0</v>
      </c>
      <c r="W52" s="52">
        <v>3</v>
      </c>
      <c r="X52" s="5">
        <v>23</v>
      </c>
      <c r="Y52" s="5">
        <v>1</v>
      </c>
      <c r="Z52" s="5">
        <v>0</v>
      </c>
      <c r="AA52" s="5">
        <f t="shared" ca="1" si="3"/>
        <v>0</v>
      </c>
      <c r="AB52" s="17" t="s">
        <v>46</v>
      </c>
      <c r="AC52" s="52">
        <f t="shared" si="4"/>
        <v>0</v>
      </c>
      <c r="AD52" s="52">
        <f t="shared" si="7"/>
        <v>0</v>
      </c>
      <c r="AE52" s="24">
        <f t="shared" si="8"/>
        <v>0</v>
      </c>
      <c r="AF52" s="15"/>
    </row>
    <row r="53" spans="1:32" ht="15" thickTop="1">
      <c r="A53">
        <f t="shared" si="0"/>
        <v>26</v>
      </c>
      <c r="B53" s="52">
        <f t="shared" si="1"/>
        <v>24</v>
      </c>
      <c r="C53" s="1" t="str">
        <f t="shared" si="2"/>
        <v>MBKET</v>
      </c>
      <c r="D53" s="26"/>
      <c r="E53" s="22"/>
      <c r="W53" s="52">
        <v>3</v>
      </c>
      <c r="X53" s="5">
        <v>24</v>
      </c>
      <c r="Y53" s="5">
        <v>1</v>
      </c>
      <c r="Z53" s="5">
        <v>0</v>
      </c>
      <c r="AA53" s="5">
        <f t="shared" ca="1" si="3"/>
        <v>0</v>
      </c>
      <c r="AB53" s="17" t="s">
        <v>47</v>
      </c>
      <c r="AC53" s="52">
        <f t="shared" si="4"/>
        <v>0</v>
      </c>
      <c r="AD53" s="52">
        <f t="shared" si="7"/>
        <v>0</v>
      </c>
      <c r="AE53" s="16">
        <f t="shared" si="8"/>
        <v>0</v>
      </c>
      <c r="AF53" s="16">
        <f>IFERROR(SUMIF($W$30:$W$53,$W$53,$AD$30:$AD$53)/$AD$54,0)</f>
        <v>0</v>
      </c>
    </row>
    <row r="54" spans="1:32" ht="15" thickBot="1">
      <c r="D54" s="50">
        <f>SUM(D30:D53)</f>
        <v>0</v>
      </c>
      <c r="E54" s="45">
        <f>IFERROR(SUMPRODUCT(D30:D33,E30:E33)/SUM(D30:D33),0)</f>
        <v>0</v>
      </c>
      <c r="F54" s="48"/>
      <c r="O54" s="29" t="str">
        <f>"Auction Excute : " &amp;G32</f>
        <v xml:space="preserve">Auction Excute : </v>
      </c>
      <c r="S54" s="4" t="s">
        <v>18</v>
      </c>
      <c r="AB54" s="20" t="s">
        <v>17</v>
      </c>
      <c r="AC54" s="44">
        <f>SUM(AC30:AC53)</f>
        <v>0</v>
      </c>
      <c r="AD54" s="44">
        <f>SUM(AD30:AD53)</f>
        <v>0</v>
      </c>
    </row>
    <row r="55" spans="1:32" ht="15" thickTop="1">
      <c r="A55" s="43" t="s">
        <v>74</v>
      </c>
      <c r="G55" s="4" t="s">
        <v>70</v>
      </c>
      <c r="O55" s="20" t="s">
        <v>0</v>
      </c>
      <c r="P55" s="20" t="s">
        <v>69</v>
      </c>
      <c r="Q55" s="20" t="s">
        <v>23</v>
      </c>
      <c r="S55" s="20" t="s">
        <v>0</v>
      </c>
      <c r="T55" s="20" t="s">
        <v>69</v>
      </c>
      <c r="U55" s="20" t="s">
        <v>23</v>
      </c>
    </row>
    <row r="56" spans="1:32">
      <c r="B56" s="4" t="s">
        <v>27</v>
      </c>
      <c r="G56" s="20" t="s">
        <v>24</v>
      </c>
      <c r="H56" s="57" t="s">
        <v>71</v>
      </c>
      <c r="I56" s="58"/>
      <c r="J56" s="58"/>
      <c r="K56" s="59"/>
      <c r="O56" s="23"/>
      <c r="P56" s="23"/>
      <c r="Q56" s="11"/>
      <c r="S56" s="2" t="str">
        <f>IF(ISBLANK(O56),"",O56)</f>
        <v/>
      </c>
      <c r="T56" s="23"/>
      <c r="U56" s="11"/>
    </row>
    <row r="57" spans="1:32" ht="17.399999999999999" customHeight="1">
      <c r="B57" t="s">
        <v>28</v>
      </c>
      <c r="C57" s="8">
        <v>1</v>
      </c>
      <c r="G57" s="30">
        <f>G30</f>
        <v>0</v>
      </c>
      <c r="H57" s="53"/>
      <c r="I57" s="53"/>
      <c r="J57" s="53"/>
      <c r="K57" s="53"/>
      <c r="O57" s="23"/>
      <c r="P57" s="23"/>
      <c r="Q57" s="23"/>
      <c r="S57" s="2" t="str">
        <f t="shared" ref="S57:S64" si="10">IF(ISBLANK(O57),"",O57)</f>
        <v/>
      </c>
      <c r="T57" s="23"/>
      <c r="U57" s="23"/>
    </row>
    <row r="58" spans="1:32">
      <c r="B58" t="s">
        <v>29</v>
      </c>
      <c r="C58" s="8">
        <v>0.4</v>
      </c>
      <c r="G58" s="31">
        <f>G31</f>
        <v>0</v>
      </c>
      <c r="H58" s="53"/>
      <c r="I58" s="53"/>
      <c r="J58" s="53"/>
      <c r="K58" s="53"/>
      <c r="O58" s="23"/>
      <c r="P58" s="23"/>
      <c r="Q58" s="23"/>
      <c r="S58" s="2" t="str">
        <f t="shared" si="10"/>
        <v/>
      </c>
      <c r="T58" s="23"/>
      <c r="U58" s="23"/>
    </row>
    <row r="59" spans="1:32">
      <c r="B59" t="s">
        <v>30</v>
      </c>
      <c r="C59" s="8">
        <v>0.1</v>
      </c>
      <c r="G59" s="32">
        <f>G32</f>
        <v>0</v>
      </c>
      <c r="H59" s="53"/>
      <c r="I59" s="53"/>
      <c r="J59" s="53"/>
      <c r="K59" s="53"/>
      <c r="O59" s="23"/>
      <c r="P59" s="23"/>
      <c r="Q59" s="23"/>
      <c r="S59" s="2" t="str">
        <f t="shared" si="10"/>
        <v/>
      </c>
      <c r="T59" s="23"/>
      <c r="U59" s="23"/>
    </row>
    <row r="60" spans="1:32">
      <c r="O60" s="23"/>
      <c r="P60" s="23"/>
      <c r="Q60" s="23"/>
      <c r="S60" s="2" t="str">
        <f t="shared" si="10"/>
        <v/>
      </c>
      <c r="T60" s="23"/>
      <c r="U60" s="23"/>
    </row>
    <row r="61" spans="1:32">
      <c r="O61" s="23"/>
      <c r="P61" s="23"/>
      <c r="Q61" s="23"/>
      <c r="S61" s="2" t="str">
        <f t="shared" si="10"/>
        <v/>
      </c>
      <c r="T61" s="23"/>
      <c r="U61" s="23"/>
    </row>
    <row r="62" spans="1:32">
      <c r="O62" s="23"/>
      <c r="P62" s="23"/>
      <c r="Q62" s="23"/>
      <c r="S62" s="2" t="str">
        <f t="shared" si="10"/>
        <v/>
      </c>
      <c r="T62" s="23"/>
      <c r="U62" s="23"/>
    </row>
    <row r="63" spans="1:32">
      <c r="O63" s="23"/>
      <c r="P63" s="23"/>
      <c r="Q63" s="23"/>
      <c r="S63" s="2" t="str">
        <f t="shared" si="10"/>
        <v/>
      </c>
      <c r="T63" s="23"/>
      <c r="U63" s="23"/>
    </row>
    <row r="64" spans="1:32">
      <c r="O64" s="23"/>
      <c r="P64" s="23"/>
      <c r="Q64" s="23"/>
      <c r="S64" s="2" t="str">
        <f t="shared" si="10"/>
        <v/>
      </c>
      <c r="T64" s="23"/>
      <c r="U64" s="23"/>
    </row>
    <row r="65" spans="14:21" ht="15" thickBot="1">
      <c r="N65" s="39" t="s">
        <v>62</v>
      </c>
      <c r="O65" s="40">
        <f>H32-P65</f>
        <v>0</v>
      </c>
      <c r="P65" s="50">
        <f>SUM(P56:P64)</f>
        <v>0</v>
      </c>
      <c r="Q65" s="44">
        <f>SUM(Q56:Q64)</f>
        <v>0</v>
      </c>
      <c r="R65" s="39" t="s">
        <v>63</v>
      </c>
      <c r="S65" s="40">
        <f>H32-T65</f>
        <v>0</v>
      </c>
      <c r="T65" s="50">
        <f>SUM(T56:T64)</f>
        <v>0</v>
      </c>
      <c r="U65" s="44">
        <f>SUM(U56:U64)</f>
        <v>0</v>
      </c>
    </row>
    <row r="66" spans="14:21" ht="15" thickTop="1"/>
  </sheetData>
  <mergeCells count="7">
    <mergeCell ref="H59:K59"/>
    <mergeCell ref="B2:AC2"/>
    <mergeCell ref="B9:AC9"/>
    <mergeCell ref="B16:AC16"/>
    <mergeCell ref="H56:K56"/>
    <mergeCell ref="H57:K57"/>
    <mergeCell ref="H58:K58"/>
  </mergeCells>
  <conditionalFormatting sqref="AF32">
    <cfRule type="cellIs" dxfId="26" priority="26" operator="greaterThan">
      <formula>0.5</formula>
    </cfRule>
    <cfRule type="cellIs" dxfId="25" priority="27" operator="lessThan">
      <formula>0.5</formula>
    </cfRule>
  </conditionalFormatting>
  <conditionalFormatting sqref="AE30:AE5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{991A5A32-8EB3-4F7C-B172-1FED53D6C824}</x14:id>
        </ext>
      </extLst>
    </cfRule>
  </conditionalFormatting>
  <conditionalFormatting sqref="E30:E5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24" priority="30" operator="lessThan">
      <formula>$C$59</formula>
    </cfRule>
    <cfRule type="cellIs" dxfId="23" priority="31" operator="greaterThan">
      <formula>$C$59</formula>
    </cfRule>
  </conditionalFormatting>
  <conditionalFormatting sqref="AF37">
    <cfRule type="cellIs" dxfId="22" priority="32" operator="greaterThan">
      <formula>$C$58</formula>
    </cfRule>
    <cfRule type="cellIs" dxfId="21" priority="33" operator="lessThan">
      <formula>$C$58</formula>
    </cfRule>
  </conditionalFormatting>
  <conditionalFormatting sqref="O39">
    <cfRule type="cellIs" dxfId="20" priority="20" operator="lessThan">
      <formula>0</formula>
    </cfRule>
    <cfRule type="cellIs" dxfId="19" priority="21" operator="equal">
      <formula>0</formula>
    </cfRule>
    <cfRule type="cellIs" dxfId="18" priority="22" operator="greaterThan">
      <formula>0</formula>
    </cfRule>
  </conditionalFormatting>
  <conditionalFormatting sqref="S52">
    <cfRule type="cellIs" dxfId="17" priority="8" operator="lessThan">
      <formula>0</formula>
    </cfRule>
    <cfRule type="cellIs" dxfId="16" priority="9" operator="equal">
      <formula>0</formula>
    </cfRule>
    <cfRule type="cellIs" dxfId="15" priority="10" operator="greaterThan">
      <formula>0</formula>
    </cfRule>
  </conditionalFormatting>
  <conditionalFormatting sqref="O52">
    <cfRule type="cellIs" dxfId="14" priority="17" operator="lessThan">
      <formula>0</formula>
    </cfRule>
    <cfRule type="cellIs" dxfId="13" priority="18" operator="equal">
      <formula>0</formula>
    </cfRule>
    <cfRule type="cellIs" dxfId="12" priority="19" operator="greaterThan">
      <formula>0</formula>
    </cfRule>
  </conditionalFormatting>
  <conditionalFormatting sqref="O65">
    <cfRule type="cellIs" dxfId="11" priority="14" operator="lessThan">
      <formula>0</formula>
    </cfRule>
    <cfRule type="cellIs" dxfId="10" priority="15" operator="equal">
      <formula>0</formula>
    </cfRule>
    <cfRule type="cellIs" dxfId="9" priority="16" operator="greaterThan">
      <formula>0</formula>
    </cfRule>
  </conditionalFormatting>
  <conditionalFormatting sqref="S39">
    <cfRule type="cellIs" dxfId="8" priority="11" operator="lessThan">
      <formula>0</formula>
    </cfRule>
    <cfRule type="cellIs" dxfId="7" priority="12" operator="equal">
      <formula>0</formula>
    </cfRule>
    <cfRule type="cellIs" dxfId="6" priority="13" operator="greaterThan">
      <formula>0</formula>
    </cfRule>
  </conditionalFormatting>
  <conditionalFormatting sqref="S65">
    <cfRule type="cellIs" dxfId="5" priority="5" operator="lessThan">
      <formula>0</formula>
    </cfRule>
    <cfRule type="cellIs" dxfId="4" priority="6" operator="equal">
      <formula>0</formula>
    </cfRule>
    <cfRule type="cellIs" dxfId="3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2" priority="3" rank="4"/>
  </conditionalFormatting>
  <conditionalFormatting sqref="C11:Z13">
    <cfRule type="top10" dxfId="1" priority="2" rank="4"/>
  </conditionalFormatting>
  <conditionalFormatting sqref="C18:Z20">
    <cfRule type="top10" dxfId="0" priority="1" rank="4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btnForm">
          <controlPr defaultSize="0" autoLine="0" r:id="rId5">
            <anchor moveWithCells="1">
              <from>
                <xdr:col>10</xdr:col>
                <xdr:colOff>106680</xdr:colOff>
                <xdr:row>50</xdr:row>
                <xdr:rowOff>175260</xdr:rowOff>
              </from>
              <to>
                <xdr:col>11</xdr:col>
                <xdr:colOff>441960</xdr:colOff>
                <xdr:row>53</xdr:row>
                <xdr:rowOff>0</xdr:rowOff>
              </to>
            </anchor>
          </controlPr>
        </control>
      </mc:Choice>
      <mc:Fallback>
        <control shapeId="18433" r:id="rId4" name="btnForm"/>
      </mc:Fallback>
    </mc:AlternateContent>
    <mc:AlternateContent xmlns:mc="http://schemas.openxmlformats.org/markup-compatibility/2006">
      <mc:Choice Requires="x14">
        <control shapeId="18434" r:id="rId6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7620</xdr:rowOff>
              </from>
              <to>
                <xdr:col>7</xdr:col>
                <xdr:colOff>441960</xdr:colOff>
                <xdr:row>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5" r:id="rId7" name="Button 3">
          <controlPr defaultSize="0" print="0" autoFill="0" autoPict="0" macro="[0]!get_impiled_yield">
            <anchor moveWithCells="1" sizeWithCells="1">
              <from>
                <xdr:col>7</xdr:col>
                <xdr:colOff>510540</xdr:colOff>
                <xdr:row>50</xdr:row>
                <xdr:rowOff>175260</xdr:rowOff>
              </from>
              <to>
                <xdr:col>8</xdr:col>
                <xdr:colOff>815340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8" name="Button 4">
          <controlPr defaultSize="0" print="0" autoFill="0" autoPict="0" macro="[0]!clear_ws">
            <anchor moveWithCells="1" sizeWithCells="1">
              <from>
                <xdr:col>8</xdr:col>
                <xdr:colOff>922020</xdr:colOff>
                <xdr:row>50</xdr:row>
                <xdr:rowOff>175260</xdr:rowOff>
              </from>
              <to>
                <xdr:col>9</xdr:col>
                <xdr:colOff>1112520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1A5A32-8EB3-4F7C-B172-1FED53D6C8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8" id="{D9A8FB98-D6A2-4646-A625-CDA1091E8C00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9" id="{3E430D8A-CAA2-42D2-A9B0-D3D0D1D0037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B6483-87FA-4BDC-9B21-AC984A2EF1A0}">
  <sheetPr codeName="Sheet2"/>
  <dimension ref="A1:AS66"/>
  <sheetViews>
    <sheetView topLeftCell="B1" zoomScale="85" zoomScaleNormal="85" workbookViewId="0">
      <selection activeCell="M42" sqref="M42"/>
    </sheetView>
  </sheetViews>
  <sheetFormatPr defaultRowHeight="14.4" outlineLevelRow="1" outlineLevelCol="1"/>
  <cols>
    <col min="1" max="1" width="8.109375" hidden="1" customWidth="1"/>
    <col min="2" max="2" width="10.6640625" customWidth="1"/>
    <col min="3" max="3" width="10" customWidth="1"/>
    <col min="4" max="4" width="13.109375" customWidth="1"/>
    <col min="5" max="5" width="14.77734375" customWidth="1"/>
    <col min="6" max="6" width="9" customWidth="1"/>
    <col min="7" max="7" width="13.33203125" customWidth="1"/>
    <col min="8" max="8" width="15.21875" customWidth="1"/>
    <col min="9" max="9" width="16.88671875" customWidth="1"/>
    <col min="10" max="10" width="16.44140625" customWidth="1"/>
    <col min="11" max="11" width="15" customWidth="1"/>
    <col min="12" max="12" width="15.109375" customWidth="1"/>
    <col min="13" max="13" width="14.88671875" customWidth="1"/>
    <col min="14" max="14" width="12.6640625" customWidth="1"/>
    <col min="15" max="15" width="11.44140625" customWidth="1"/>
    <col min="16" max="16" width="12.6640625" customWidth="1"/>
    <col min="18" max="18" width="13.109375" customWidth="1"/>
    <col min="19" max="19" width="10.88671875" customWidth="1"/>
    <col min="20" max="20" width="12.88671875" customWidth="1"/>
    <col min="21" max="21" width="12.21875" customWidth="1"/>
    <col min="22" max="22" width="11.6640625" customWidth="1"/>
    <col min="23" max="23" width="12.44140625" customWidth="1" outlineLevel="1"/>
    <col min="24" max="24" width="10.88671875" customWidth="1" outlineLevel="1"/>
    <col min="25" max="25" width="10.6640625" customWidth="1" outlineLevel="1"/>
    <col min="26" max="26" width="11.21875" customWidth="1" outlineLevel="1"/>
    <col min="27" max="27" width="11.21875" customWidth="1"/>
    <col min="28" max="28" width="12.109375" customWidth="1"/>
    <col min="29" max="29" width="12.21875" customWidth="1"/>
    <col min="30" max="30" width="12.44140625" customWidth="1"/>
    <col min="31" max="31" width="9.44140625" customWidth="1"/>
    <col min="34" max="34" width="4.44140625" customWidth="1"/>
    <col min="36" max="36" width="23.88671875" customWidth="1"/>
    <col min="41" max="41" width="13.44140625" customWidth="1"/>
    <col min="42" max="42" width="16" customWidth="1"/>
    <col min="43" max="43" width="10" customWidth="1"/>
  </cols>
  <sheetData>
    <row r="1" spans="2:45" ht="16.5" customHeight="1">
      <c r="B1" s="61" t="str">
        <f xml:space="preserve"> "Auction Dashboard "</f>
        <v xml:space="preserve">Auction Dashboard </v>
      </c>
      <c r="C1" s="61"/>
      <c r="D1" s="62">
        <v>43386</v>
      </c>
      <c r="E1" s="42"/>
    </row>
    <row r="2" spans="2:45" ht="16.2" customHeight="1">
      <c r="B2" s="54">
        <f>G30</f>
        <v>0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6"/>
      <c r="AD2" s="49"/>
    </row>
    <row r="3" spans="2:45">
      <c r="B3" s="20" t="s">
        <v>0</v>
      </c>
      <c r="C3" s="21" t="str">
        <f t="array" ref="C3:Z3">TRANSPOSE($AB$30:$AB$53)</f>
        <v>BNP</v>
      </c>
      <c r="D3" s="21" t="str">
        <v>BBL</v>
      </c>
      <c r="E3" s="21" t="str">
        <v>KBANK</v>
      </c>
      <c r="F3" s="21" t="str">
        <v>TMB</v>
      </c>
      <c r="G3" s="21" t="str">
        <v>KTB</v>
      </c>
      <c r="H3" s="21" t="str">
        <v>CIMBT</v>
      </c>
      <c r="I3" s="21" t="str">
        <v>BAY</v>
      </c>
      <c r="J3" s="21" t="str">
        <v>SCB</v>
      </c>
      <c r="K3" s="21" t="str">
        <v>TBANK</v>
      </c>
      <c r="L3" s="21" t="str">
        <v>TISCOBANK</v>
      </c>
      <c r="M3" s="21" t="str">
        <v>SCBT</v>
      </c>
      <c r="N3" s="21" t="str">
        <v>HSBC</v>
      </c>
      <c r="O3" s="21" t="str">
        <v>CITIBANK</v>
      </c>
      <c r="P3" s="21" t="str">
        <v>KKP</v>
      </c>
      <c r="Q3" s="21" t="str">
        <v>UOBT</v>
      </c>
      <c r="R3" s="21" t="str">
        <v>GSB</v>
      </c>
      <c r="S3" s="21" t="str">
        <v>KGI</v>
      </c>
      <c r="T3" s="21" t="str">
        <v>BAML</v>
      </c>
      <c r="U3" s="21" t="str">
        <v>JP_MORGAN</v>
      </c>
      <c r="V3" s="21" t="str">
        <v>ANZT</v>
      </c>
      <c r="W3" s="21" t="str">
        <v>DEUTSCHE_BANK</v>
      </c>
      <c r="X3" s="21" t="str">
        <v>CNS</v>
      </c>
      <c r="Y3" s="21" t="str">
        <v>PHATRA</v>
      </c>
      <c r="Z3" s="21" t="str">
        <v>MBKET</v>
      </c>
      <c r="AA3" s="9" t="s">
        <v>5</v>
      </c>
      <c r="AB3" s="9" t="s">
        <v>6</v>
      </c>
      <c r="AC3" s="9" t="s">
        <v>7</v>
      </c>
      <c r="AD3" s="49">
        <f>G30</f>
        <v>0</v>
      </c>
      <c r="AS3" s="4"/>
    </row>
    <row r="4" spans="2:45">
      <c r="B4" s="20" t="s">
        <v>1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18">
        <f>MIN(C4:Z4)</f>
        <v>0</v>
      </c>
      <c r="AB4" s="18">
        <f>MAX(C4:Z4)</f>
        <v>0</v>
      </c>
      <c r="AC4" s="18">
        <f>IFERROR(AVERAGE(C4:Z4),0)</f>
        <v>0</v>
      </c>
      <c r="AD4" s="49"/>
    </row>
    <row r="5" spans="2:45">
      <c r="B5" s="20" t="s">
        <v>2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18">
        <f>MIN(C5:Z5)</f>
        <v>0</v>
      </c>
      <c r="AB5" s="18">
        <f>MAX(C5:Z5)</f>
        <v>0</v>
      </c>
      <c r="AC5" s="18">
        <f>IFERROR(AVERAGE(C5:Z5),0)</f>
        <v>0</v>
      </c>
      <c r="AD5" s="49"/>
    </row>
    <row r="6" spans="2:45">
      <c r="B6" s="20" t="s">
        <v>3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8">
        <f>MIN(C6:Z6)</f>
        <v>0</v>
      </c>
      <c r="AB6" s="18">
        <f>MAX(C6:Z6)</f>
        <v>0</v>
      </c>
      <c r="AC6" s="18">
        <f>IFERROR(AVERAGE(C6:Z6),0)</f>
        <v>0</v>
      </c>
      <c r="AD6" s="49"/>
    </row>
    <row r="7" spans="2:45">
      <c r="B7" s="20" t="s">
        <v>65</v>
      </c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19">
        <f>MAX(AA4:AA6)</f>
        <v>0</v>
      </c>
      <c r="AB7" s="19">
        <f>MAX(AB4:AB6)</f>
        <v>0</v>
      </c>
      <c r="AC7" s="19">
        <f>MAX(AC4:AC6)</f>
        <v>0</v>
      </c>
      <c r="AD7" s="49"/>
      <c r="AF7" s="48"/>
    </row>
    <row r="8" spans="2:45">
      <c r="B8" s="47"/>
      <c r="AD8" s="49"/>
    </row>
    <row r="9" spans="2:45" outlineLevel="1">
      <c r="B9" s="54">
        <f>G31</f>
        <v>0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6"/>
      <c r="AD9" s="49"/>
    </row>
    <row r="10" spans="2:45" outlineLevel="1">
      <c r="B10" s="20" t="s">
        <v>0</v>
      </c>
      <c r="C10" s="21" t="str">
        <f t="array" ref="C10:Z10">TRANSPOSE($AB$30:$AB$53)</f>
        <v>BNP</v>
      </c>
      <c r="D10" s="21" t="str">
        <v>BBL</v>
      </c>
      <c r="E10" s="21" t="str">
        <v>KBANK</v>
      </c>
      <c r="F10" s="21" t="str">
        <v>TMB</v>
      </c>
      <c r="G10" s="21" t="str">
        <v>KTB</v>
      </c>
      <c r="H10" s="21" t="str">
        <v>CIMBT</v>
      </c>
      <c r="I10" s="21" t="str">
        <v>BAY</v>
      </c>
      <c r="J10" s="21" t="str">
        <v>SCB</v>
      </c>
      <c r="K10" s="21" t="str">
        <v>TBANK</v>
      </c>
      <c r="L10" s="21" t="str">
        <v>TISCOBANK</v>
      </c>
      <c r="M10" s="21" t="str">
        <v>SCBT</v>
      </c>
      <c r="N10" s="21" t="str">
        <v>HSBC</v>
      </c>
      <c r="O10" s="21" t="str">
        <v>CITIBANK</v>
      </c>
      <c r="P10" s="21" t="str">
        <v>KKP</v>
      </c>
      <c r="Q10" s="21" t="str">
        <v>UOBT</v>
      </c>
      <c r="R10" s="21" t="str">
        <v>GSB</v>
      </c>
      <c r="S10" s="21" t="str">
        <v>KGI</v>
      </c>
      <c r="T10" s="21" t="str">
        <v>BAML</v>
      </c>
      <c r="U10" s="21" t="str">
        <v>JP_MORGAN</v>
      </c>
      <c r="V10" s="21" t="str">
        <v>ANZT</v>
      </c>
      <c r="W10" s="21" t="str">
        <v>DEUTSCHE_BANK</v>
      </c>
      <c r="X10" s="21" t="str">
        <v>CNS</v>
      </c>
      <c r="Y10" s="21" t="str">
        <v>PHATRA</v>
      </c>
      <c r="Z10" s="21" t="str">
        <v>MBKET</v>
      </c>
      <c r="AA10" s="9" t="s">
        <v>5</v>
      </c>
      <c r="AB10" s="9" t="s">
        <v>6</v>
      </c>
      <c r="AC10" s="9" t="s">
        <v>7</v>
      </c>
      <c r="AD10" s="49">
        <f>G31</f>
        <v>0</v>
      </c>
    </row>
    <row r="11" spans="2:45" outlineLevel="1">
      <c r="B11" s="20" t="s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18">
        <f>MIN(C11:S11)</f>
        <v>0</v>
      </c>
      <c r="AB11" s="18">
        <f>MAX(C11:S11)</f>
        <v>0</v>
      </c>
      <c r="AC11" s="18">
        <f>IFERROR(AVERAGE(C11:Z11),0)</f>
        <v>0</v>
      </c>
      <c r="AD11" s="49"/>
    </row>
    <row r="12" spans="2:45" outlineLevel="1">
      <c r="B12" s="20" t="s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8">
        <f>MIN(C12:S12)</f>
        <v>0</v>
      </c>
      <c r="AB12" s="18">
        <f>MAX(C12:S12)</f>
        <v>0</v>
      </c>
      <c r="AC12" s="18">
        <f>IFERROR(AVERAGE(C12:Z12),0)</f>
        <v>0</v>
      </c>
      <c r="AD12" s="49"/>
    </row>
    <row r="13" spans="2:45" outlineLevel="1">
      <c r="B13" s="20" t="s"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8">
        <f>MIN(C13:S13)</f>
        <v>0</v>
      </c>
      <c r="AB13" s="18">
        <f>MAX(C13:S13)</f>
        <v>0</v>
      </c>
      <c r="AC13" s="18">
        <f>IFERROR(AVERAGE(C13:Z13),0)</f>
        <v>0</v>
      </c>
      <c r="AD13" s="49"/>
    </row>
    <row r="14" spans="2:45" outlineLevel="1">
      <c r="B14" s="20" t="s">
        <v>65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19">
        <f>MAX(AA11:AA13)</f>
        <v>0</v>
      </c>
      <c r="AB14" s="19">
        <f>MAX(AB11:AB13)</f>
        <v>0</v>
      </c>
      <c r="AC14" s="19">
        <f>MAX(AC11:AC13)</f>
        <v>0</v>
      </c>
      <c r="AD14" s="49"/>
      <c r="AE14" s="48"/>
    </row>
    <row r="15" spans="2:45">
      <c r="AD15" s="49"/>
    </row>
    <row r="16" spans="2:45" hidden="1" outlineLevel="1">
      <c r="B16" s="54">
        <f>G32</f>
        <v>0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6"/>
      <c r="AD16" s="49"/>
    </row>
    <row r="17" spans="1:36" hidden="1" outlineLevel="1">
      <c r="B17" s="20" t="s">
        <v>0</v>
      </c>
      <c r="C17" s="21" t="str">
        <f t="array" ref="C17:Z17">TRANSPOSE($AB$30:$AB$53)</f>
        <v>BNP</v>
      </c>
      <c r="D17" s="21" t="str">
        <v>BBL</v>
      </c>
      <c r="E17" s="21" t="str">
        <v>KBANK</v>
      </c>
      <c r="F17" s="21" t="str">
        <v>TMB</v>
      </c>
      <c r="G17" s="21" t="str">
        <v>KTB</v>
      </c>
      <c r="H17" s="21" t="str">
        <v>CIMBT</v>
      </c>
      <c r="I17" s="21" t="str">
        <v>BAY</v>
      </c>
      <c r="J17" s="21" t="str">
        <v>SCB</v>
      </c>
      <c r="K17" s="21" t="str">
        <v>TBANK</v>
      </c>
      <c r="L17" s="21" t="str">
        <v>TISCOBANK</v>
      </c>
      <c r="M17" s="21" t="str">
        <v>SCBT</v>
      </c>
      <c r="N17" s="21" t="str">
        <v>HSBC</v>
      </c>
      <c r="O17" s="21" t="str">
        <v>CITIBANK</v>
      </c>
      <c r="P17" s="21" t="str">
        <v>KKP</v>
      </c>
      <c r="Q17" s="21" t="str">
        <v>UOBT</v>
      </c>
      <c r="R17" s="21" t="str">
        <v>GSB</v>
      </c>
      <c r="S17" s="21" t="str">
        <v>KGI</v>
      </c>
      <c r="T17" s="21" t="str">
        <v>BAML</v>
      </c>
      <c r="U17" s="21" t="str">
        <v>JP_MORGAN</v>
      </c>
      <c r="V17" s="21" t="str">
        <v>ANZT</v>
      </c>
      <c r="W17" s="21" t="str">
        <v>DEUTSCHE_BANK</v>
      </c>
      <c r="X17" s="21" t="str">
        <v>CNS</v>
      </c>
      <c r="Y17" s="21" t="str">
        <v>PHATRA</v>
      </c>
      <c r="Z17" s="21" t="str">
        <v>MBKET</v>
      </c>
      <c r="AA17" s="9" t="s">
        <v>5</v>
      </c>
      <c r="AB17" s="9" t="s">
        <v>6</v>
      </c>
      <c r="AC17" s="9" t="s">
        <v>7</v>
      </c>
      <c r="AD17" s="49">
        <f>G32</f>
        <v>0</v>
      </c>
    </row>
    <row r="18" spans="1:36" hidden="1" outlineLevel="1">
      <c r="B18" s="20" t="s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18">
        <f>MIN(C18:Z18)</f>
        <v>0</v>
      </c>
      <c r="AB18" s="18">
        <f>MAX(C18:Z18)</f>
        <v>0</v>
      </c>
      <c r="AC18" s="18">
        <f>IFERROR(AVERAGE(C18:Z18),0)</f>
        <v>0</v>
      </c>
      <c r="AD18" s="49"/>
    </row>
    <row r="19" spans="1:36" hidden="1" outlineLevel="1">
      <c r="B19" s="20" t="s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18">
        <f>MIN(C19:Z19)</f>
        <v>0</v>
      </c>
      <c r="AB19" s="18">
        <f>MAX(C19:Z19)</f>
        <v>0</v>
      </c>
      <c r="AC19" s="18">
        <f>IFERROR(AVERAGE(C19:Z19),0)</f>
        <v>0</v>
      </c>
      <c r="AD19" s="49"/>
    </row>
    <row r="20" spans="1:36" hidden="1" outlineLevel="1">
      <c r="B20" s="20" t="s">
        <v>3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8">
        <f>MIN(C20:Z20)</f>
        <v>0</v>
      </c>
      <c r="AB20" s="18">
        <f>MAX(C20:Z20)</f>
        <v>0</v>
      </c>
      <c r="AC20" s="18">
        <f>IFERROR(AVERAGE(C20:Z20),0)</f>
        <v>0</v>
      </c>
      <c r="AD20" s="49"/>
    </row>
    <row r="21" spans="1:36" hidden="1" outlineLevel="1">
      <c r="B21" s="20" t="s">
        <v>65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19">
        <f>MAX(AA18:AA20)</f>
        <v>0</v>
      </c>
      <c r="AB21" s="19">
        <f>MAX(AB18:AB20)</f>
        <v>0</v>
      </c>
      <c r="AC21" s="19">
        <f>MAX(AC18:AC20)</f>
        <v>0</v>
      </c>
      <c r="AD21" s="49"/>
    </row>
    <row r="22" spans="1:36" hidden="1" outlineLevel="1"/>
    <row r="23" spans="1:36" hidden="1" outlineLevel="1"/>
    <row r="24" spans="1:36" hidden="1" outlineLevel="1"/>
    <row r="25" spans="1:36" hidden="1" outlineLevel="1"/>
    <row r="26" spans="1:36" hidden="1" outlineLevel="1"/>
    <row r="27" spans="1:36" collapsed="1"/>
    <row r="28" spans="1:36" ht="24.75" customHeight="1">
      <c r="B28" s="25" t="str">
        <f>"Auction Recommend : "</f>
        <v xml:space="preserve">Auction Recommend : </v>
      </c>
      <c r="D28" s="12">
        <f>G30</f>
        <v>0</v>
      </c>
      <c r="G28" s="4" t="s">
        <v>20</v>
      </c>
      <c r="O28" s="27" t="str">
        <f>"Auction Excute : " &amp; G30</f>
        <v xml:space="preserve">Auction Excute : </v>
      </c>
      <c r="S28" s="4" t="s">
        <v>18</v>
      </c>
      <c r="W28" s="4" t="s">
        <v>52</v>
      </c>
    </row>
    <row r="29" spans="1:36">
      <c r="A29" s="41">
        <f>MATCH($D$28,$AD$1:$AD$21,0)</f>
        <v>3</v>
      </c>
      <c r="B29" s="20" t="s">
        <v>16</v>
      </c>
      <c r="C29" s="20" t="s">
        <v>0</v>
      </c>
      <c r="D29" s="20" t="s">
        <v>68</v>
      </c>
      <c r="E29" s="20" t="s">
        <v>67</v>
      </c>
      <c r="G29" s="20" t="s">
        <v>24</v>
      </c>
      <c r="H29" s="20" t="s">
        <v>17</v>
      </c>
      <c r="I29" s="20" t="s">
        <v>21</v>
      </c>
      <c r="J29" s="20" t="s">
        <v>22</v>
      </c>
      <c r="K29" s="20" t="s">
        <v>50</v>
      </c>
      <c r="L29" s="20" t="s">
        <v>51</v>
      </c>
      <c r="M29" s="20" t="s">
        <v>57</v>
      </c>
      <c r="O29" s="20" t="s">
        <v>0</v>
      </c>
      <c r="P29" s="20" t="s">
        <v>69</v>
      </c>
      <c r="Q29" s="20" t="s">
        <v>23</v>
      </c>
      <c r="S29" s="20" t="s">
        <v>0</v>
      </c>
      <c r="T29" s="20" t="s">
        <v>69</v>
      </c>
      <c r="U29" s="20" t="s">
        <v>23</v>
      </c>
      <c r="W29" s="20" t="s">
        <v>4</v>
      </c>
      <c r="X29" s="20" t="s">
        <v>16</v>
      </c>
      <c r="Y29" s="20" t="s">
        <v>21</v>
      </c>
      <c r="Z29" s="20" t="s">
        <v>22</v>
      </c>
      <c r="AA29" s="20" t="s">
        <v>26</v>
      </c>
      <c r="AB29" s="20" t="s">
        <v>0</v>
      </c>
      <c r="AC29" s="20" t="s">
        <v>19</v>
      </c>
      <c r="AD29" s="20" t="s">
        <v>59</v>
      </c>
      <c r="AE29" s="20" t="s">
        <v>49</v>
      </c>
      <c r="AF29" s="20" t="s">
        <v>31</v>
      </c>
      <c r="AJ29" s="60"/>
    </row>
    <row r="30" spans="1:36">
      <c r="A30">
        <f t="shared" ref="A30:A53" si="0">MATCH(C30,$A$3:$Z$3,0)</f>
        <v>3</v>
      </c>
      <c r="B30" s="52">
        <f t="shared" ref="B30:B53" si="1">INDEX($X$30:$X$53,MATCH(C30,$AB$30:$AB$53,0))</f>
        <v>1</v>
      </c>
      <c r="C30" s="1" t="str">
        <f t="shared" ref="C30:C53" si="2">AB30</f>
        <v>BNP</v>
      </c>
      <c r="D30" s="26"/>
      <c r="E30" s="22"/>
      <c r="G30" s="7"/>
      <c r="H30" s="51">
        <f>SUM(I30:L30)</f>
        <v>0</v>
      </c>
      <c r="I30" s="7"/>
      <c r="J30" s="7"/>
      <c r="K30" s="7"/>
      <c r="L30" s="7"/>
      <c r="M30" s="7"/>
      <c r="O30" s="23"/>
      <c r="P30" s="23"/>
      <c r="Q30" s="11"/>
      <c r="S30" s="2" t="str">
        <f>IF(ISBLANK(O30),"",O30)</f>
        <v/>
      </c>
      <c r="T30" s="23"/>
      <c r="U30" s="11"/>
      <c r="W30" s="33">
        <v>1</v>
      </c>
      <c r="X30" s="5">
        <v>1</v>
      </c>
      <c r="Y30" s="5">
        <v>1</v>
      </c>
      <c r="Z30" s="5">
        <v>1</v>
      </c>
      <c r="AA30" s="5">
        <f t="shared" ref="AA30:AA53" ca="1" si="3">IF(SUM(OFFSET(INDIRECT(ADDRESS($A$29,$A30)),1,0,3)) &gt; 0,1,0)</f>
        <v>0</v>
      </c>
      <c r="AB30" s="17" t="s">
        <v>12</v>
      </c>
      <c r="AC30" s="52">
        <f t="shared" ref="AC30:AC53" si="4">SUMIF($S$30:$S$64,AB30,$T$30:$T$64)</f>
        <v>0</v>
      </c>
      <c r="AD30" s="52">
        <f>AC30</f>
        <v>0</v>
      </c>
      <c r="AE30" s="24">
        <f>IFERROR(AD30/$AD$54,0)</f>
        <v>0</v>
      </c>
      <c r="AF30" s="14"/>
    </row>
    <row r="31" spans="1:36">
      <c r="A31">
        <f t="shared" si="0"/>
        <v>4</v>
      </c>
      <c r="B31" s="52">
        <f t="shared" si="1"/>
        <v>2</v>
      </c>
      <c r="C31" s="1" t="str">
        <f t="shared" si="2"/>
        <v>BBL</v>
      </c>
      <c r="D31" s="26"/>
      <c r="E31" s="22"/>
      <c r="G31" s="7"/>
      <c r="H31" s="51">
        <f t="shared" ref="H31:H32" si="5">SUM(I31:L31)</f>
        <v>0</v>
      </c>
      <c r="I31" s="7"/>
      <c r="J31" s="7"/>
      <c r="K31" s="7"/>
      <c r="L31" s="7"/>
      <c r="M31" s="7"/>
      <c r="O31" s="23"/>
      <c r="P31" s="23"/>
      <c r="Q31" s="23"/>
      <c r="S31" s="2" t="str">
        <f t="shared" ref="S31:S38" si="6">IF(ISBLANK(O31),"",O31)</f>
        <v/>
      </c>
      <c r="T31" s="23"/>
      <c r="U31" s="23"/>
      <c r="W31" s="33">
        <v>1</v>
      </c>
      <c r="X31" s="5">
        <v>2</v>
      </c>
      <c r="Y31" s="5">
        <v>1</v>
      </c>
      <c r="Z31" s="5">
        <v>0</v>
      </c>
      <c r="AA31" s="5">
        <f t="shared" ca="1" si="3"/>
        <v>0</v>
      </c>
      <c r="AB31" s="17" t="s">
        <v>10</v>
      </c>
      <c r="AC31" s="52">
        <f t="shared" si="4"/>
        <v>0</v>
      </c>
      <c r="AD31" s="52">
        <f t="shared" ref="AD31:AD53" si="7">AC31</f>
        <v>0</v>
      </c>
      <c r="AE31" s="24">
        <f t="shared" ref="AE31:AE53" si="8">IFERROR(AD31/$AD$54,0)</f>
        <v>0</v>
      </c>
      <c r="AF31" s="15"/>
    </row>
    <row r="32" spans="1:36">
      <c r="A32">
        <f t="shared" si="0"/>
        <v>5</v>
      </c>
      <c r="B32" s="52">
        <f t="shared" si="1"/>
        <v>3</v>
      </c>
      <c r="C32" s="1" t="str">
        <f t="shared" si="2"/>
        <v>KBANK</v>
      </c>
      <c r="D32" s="26"/>
      <c r="E32" s="22"/>
      <c r="G32" s="7"/>
      <c r="H32" s="51">
        <f t="shared" si="5"/>
        <v>0</v>
      </c>
      <c r="I32" s="7"/>
      <c r="J32" s="7"/>
      <c r="K32" s="7"/>
      <c r="L32" s="7"/>
      <c r="M32" s="7"/>
      <c r="O32" s="23"/>
      <c r="P32" s="23"/>
      <c r="Q32" s="23"/>
      <c r="S32" s="2" t="str">
        <f t="shared" si="6"/>
        <v/>
      </c>
      <c r="T32" s="23"/>
      <c r="U32" s="23"/>
      <c r="W32" s="33">
        <v>1</v>
      </c>
      <c r="X32" s="5">
        <v>3</v>
      </c>
      <c r="Y32" s="5">
        <v>1</v>
      </c>
      <c r="Z32" s="5">
        <v>1</v>
      </c>
      <c r="AA32" s="5">
        <f t="shared" ca="1" si="3"/>
        <v>0</v>
      </c>
      <c r="AB32" s="17" t="s">
        <v>11</v>
      </c>
      <c r="AC32" s="52">
        <f t="shared" si="4"/>
        <v>0</v>
      </c>
      <c r="AD32" s="52">
        <f t="shared" si="7"/>
        <v>0</v>
      </c>
      <c r="AE32" s="16">
        <f t="shared" si="8"/>
        <v>0</v>
      </c>
      <c r="AF32" s="16">
        <f>IFERROR(SUMIF($W$30:$W$53,$W$32,$AD$30:$AD$53)/$AD$54,0)</f>
        <v>0</v>
      </c>
    </row>
    <row r="33" spans="1:32">
      <c r="A33">
        <f t="shared" si="0"/>
        <v>6</v>
      </c>
      <c r="B33" s="52">
        <f t="shared" si="1"/>
        <v>4</v>
      </c>
      <c r="C33" s="1" t="str">
        <f t="shared" si="2"/>
        <v>TMB</v>
      </c>
      <c r="D33" s="26"/>
      <c r="E33" s="22"/>
      <c r="G33" s="34"/>
      <c r="O33" s="23"/>
      <c r="P33" s="23"/>
      <c r="Q33" s="23"/>
      <c r="S33" s="2" t="str">
        <f t="shared" si="6"/>
        <v/>
      </c>
      <c r="T33" s="23"/>
      <c r="U33" s="23"/>
      <c r="W33" s="52">
        <v>2</v>
      </c>
      <c r="X33" s="5">
        <v>4</v>
      </c>
      <c r="Y33" s="5">
        <v>1</v>
      </c>
      <c r="Z33" s="5">
        <v>1</v>
      </c>
      <c r="AA33" s="5">
        <f t="shared" ca="1" si="3"/>
        <v>0</v>
      </c>
      <c r="AB33" s="17" t="s">
        <v>9</v>
      </c>
      <c r="AC33" s="52">
        <f t="shared" si="4"/>
        <v>0</v>
      </c>
      <c r="AD33" s="52">
        <f t="shared" si="7"/>
        <v>0</v>
      </c>
      <c r="AE33" s="24">
        <f t="shared" si="8"/>
        <v>0</v>
      </c>
      <c r="AF33" s="15"/>
    </row>
    <row r="34" spans="1:32">
      <c r="A34">
        <f t="shared" si="0"/>
        <v>7</v>
      </c>
      <c r="B34" s="52">
        <f t="shared" si="1"/>
        <v>5</v>
      </c>
      <c r="C34" s="1" t="str">
        <f t="shared" si="2"/>
        <v>KTB</v>
      </c>
      <c r="D34" s="26"/>
      <c r="E34" s="22"/>
      <c r="G34" s="35"/>
      <c r="O34" s="23"/>
      <c r="P34" s="23"/>
      <c r="Q34" s="23"/>
      <c r="S34" s="2" t="str">
        <f t="shared" si="6"/>
        <v/>
      </c>
      <c r="T34" s="23"/>
      <c r="U34" s="23"/>
      <c r="W34" s="52">
        <v>2</v>
      </c>
      <c r="X34" s="5">
        <v>5</v>
      </c>
      <c r="Y34" s="5">
        <v>1</v>
      </c>
      <c r="Z34" s="5">
        <v>0</v>
      </c>
      <c r="AA34" s="5">
        <f t="shared" ca="1" si="3"/>
        <v>0</v>
      </c>
      <c r="AB34" s="17" t="s">
        <v>13</v>
      </c>
      <c r="AC34" s="52">
        <f t="shared" si="4"/>
        <v>0</v>
      </c>
      <c r="AD34" s="52">
        <f t="shared" si="7"/>
        <v>0</v>
      </c>
      <c r="AE34" s="24">
        <f t="shared" si="8"/>
        <v>0</v>
      </c>
      <c r="AF34" s="15"/>
    </row>
    <row r="35" spans="1:32">
      <c r="A35">
        <f t="shared" si="0"/>
        <v>8</v>
      </c>
      <c r="B35" s="52">
        <f t="shared" si="1"/>
        <v>6</v>
      </c>
      <c r="C35" s="1" t="str">
        <f t="shared" si="2"/>
        <v>CIMBT</v>
      </c>
      <c r="D35" s="26"/>
      <c r="E35" s="22"/>
      <c r="G35" s="4" t="s">
        <v>58</v>
      </c>
      <c r="O35" s="23"/>
      <c r="P35" s="23"/>
      <c r="Q35" s="23"/>
      <c r="S35" s="2" t="str">
        <f t="shared" si="6"/>
        <v/>
      </c>
      <c r="T35" s="23"/>
      <c r="U35" s="23"/>
      <c r="W35" s="52">
        <v>2</v>
      </c>
      <c r="X35" s="5">
        <v>6</v>
      </c>
      <c r="Y35" s="5">
        <v>1</v>
      </c>
      <c r="Z35" s="5">
        <v>0</v>
      </c>
      <c r="AA35" s="5">
        <f t="shared" ca="1" si="3"/>
        <v>0</v>
      </c>
      <c r="AB35" s="17" t="s">
        <v>32</v>
      </c>
      <c r="AC35" s="52">
        <f t="shared" si="4"/>
        <v>0</v>
      </c>
      <c r="AD35" s="52">
        <f t="shared" si="7"/>
        <v>0</v>
      </c>
      <c r="AE35" s="24">
        <f t="shared" si="8"/>
        <v>0</v>
      </c>
      <c r="AF35" s="15"/>
    </row>
    <row r="36" spans="1:32">
      <c r="A36">
        <f t="shared" si="0"/>
        <v>9</v>
      </c>
      <c r="B36" s="52">
        <f t="shared" si="1"/>
        <v>7</v>
      </c>
      <c r="C36" s="1" t="str">
        <f t="shared" si="2"/>
        <v>BAY</v>
      </c>
      <c r="D36" s="26"/>
      <c r="E36" s="22"/>
      <c r="G36" s="20" t="s">
        <v>24</v>
      </c>
      <c r="H36" s="20" t="s">
        <v>60</v>
      </c>
      <c r="I36" s="20" t="s">
        <v>53</v>
      </c>
      <c r="J36" s="20" t="s">
        <v>54</v>
      </c>
      <c r="K36" s="20" t="s">
        <v>64</v>
      </c>
      <c r="L36" s="20" t="s">
        <v>61</v>
      </c>
      <c r="M36" s="20" t="s">
        <v>55</v>
      </c>
      <c r="O36" s="23"/>
      <c r="P36" s="23"/>
      <c r="Q36" s="23"/>
      <c r="S36" s="2" t="str">
        <f t="shared" si="6"/>
        <v/>
      </c>
      <c r="T36" s="23"/>
      <c r="U36" s="23"/>
      <c r="W36" s="52">
        <v>2</v>
      </c>
      <c r="X36" s="5">
        <v>7</v>
      </c>
      <c r="Y36" s="5">
        <v>1</v>
      </c>
      <c r="Z36" s="5">
        <v>0</v>
      </c>
      <c r="AA36" s="5">
        <f t="shared" ca="1" si="3"/>
        <v>0</v>
      </c>
      <c r="AB36" s="17" t="s">
        <v>33</v>
      </c>
      <c r="AC36" s="52">
        <f t="shared" si="4"/>
        <v>0</v>
      </c>
      <c r="AD36" s="52">
        <f t="shared" si="7"/>
        <v>0</v>
      </c>
      <c r="AE36" s="24">
        <f t="shared" si="8"/>
        <v>0</v>
      </c>
      <c r="AF36" s="15"/>
    </row>
    <row r="37" spans="1:32" ht="16.5" customHeight="1">
      <c r="A37">
        <f t="shared" si="0"/>
        <v>10</v>
      </c>
      <c r="B37" s="52">
        <f t="shared" si="1"/>
        <v>8</v>
      </c>
      <c r="C37" s="1" t="str">
        <f t="shared" si="2"/>
        <v>SCB</v>
      </c>
      <c r="D37" s="26"/>
      <c r="E37" s="22"/>
      <c r="G37" s="38"/>
      <c r="H37" s="36"/>
      <c r="I37" s="22"/>
      <c r="J37" s="22"/>
      <c r="K37" s="22"/>
      <c r="L37" s="37"/>
      <c r="M37" s="37"/>
      <c r="O37" s="23"/>
      <c r="P37" s="23"/>
      <c r="Q37" s="23"/>
      <c r="S37" s="2" t="str">
        <f t="shared" si="6"/>
        <v/>
      </c>
      <c r="T37" s="23"/>
      <c r="U37" s="23"/>
      <c r="W37" s="52">
        <v>2</v>
      </c>
      <c r="X37" s="5">
        <v>8</v>
      </c>
      <c r="Y37" s="5">
        <v>1</v>
      </c>
      <c r="Z37" s="5">
        <v>0</v>
      </c>
      <c r="AA37" s="5">
        <f t="shared" ca="1" si="3"/>
        <v>0</v>
      </c>
      <c r="AB37" s="17" t="s">
        <v>8</v>
      </c>
      <c r="AC37" s="52">
        <f t="shared" si="4"/>
        <v>0</v>
      </c>
      <c r="AD37" s="52">
        <f t="shared" si="7"/>
        <v>0</v>
      </c>
      <c r="AE37" s="16">
        <f t="shared" si="8"/>
        <v>0</v>
      </c>
      <c r="AF37" s="16">
        <f>IFERROR(SUMIF($W$30:$W$53,$W$37,$AD$30:$AD$53)/$AD$54,0)</f>
        <v>0</v>
      </c>
    </row>
    <row r="38" spans="1:32">
      <c r="A38">
        <f t="shared" si="0"/>
        <v>11</v>
      </c>
      <c r="B38" s="52">
        <f t="shared" si="1"/>
        <v>9</v>
      </c>
      <c r="C38" s="1" t="str">
        <f t="shared" si="2"/>
        <v>TBANK</v>
      </c>
      <c r="D38" s="26"/>
      <c r="E38" s="22"/>
      <c r="G38" s="38"/>
      <c r="H38" s="36"/>
      <c r="I38" s="22"/>
      <c r="J38" s="22"/>
      <c r="K38" s="22"/>
      <c r="L38" s="37"/>
      <c r="M38" s="37"/>
      <c r="O38" s="23"/>
      <c r="P38" s="23"/>
      <c r="Q38" s="23"/>
      <c r="S38" s="2" t="str">
        <f t="shared" si="6"/>
        <v/>
      </c>
      <c r="T38" s="23"/>
      <c r="U38" s="23"/>
      <c r="W38" s="52">
        <v>3</v>
      </c>
      <c r="X38" s="5">
        <v>9</v>
      </c>
      <c r="Y38" s="5">
        <v>1</v>
      </c>
      <c r="Z38" s="5">
        <v>0</v>
      </c>
      <c r="AA38" s="5">
        <f t="shared" ca="1" si="3"/>
        <v>0</v>
      </c>
      <c r="AB38" s="17" t="s">
        <v>34</v>
      </c>
      <c r="AC38" s="52">
        <f t="shared" si="4"/>
        <v>0</v>
      </c>
      <c r="AD38" s="52">
        <f t="shared" si="7"/>
        <v>0</v>
      </c>
      <c r="AE38" s="24">
        <f t="shared" si="8"/>
        <v>0</v>
      </c>
      <c r="AF38" s="15"/>
    </row>
    <row r="39" spans="1:32" ht="15" thickBot="1">
      <c r="A39">
        <f t="shared" si="0"/>
        <v>12</v>
      </c>
      <c r="B39" s="52">
        <f t="shared" si="1"/>
        <v>10</v>
      </c>
      <c r="C39" s="1" t="str">
        <f t="shared" si="2"/>
        <v>TISCOBANK</v>
      </c>
      <c r="D39" s="26"/>
      <c r="E39" s="22"/>
      <c r="G39" s="38"/>
      <c r="H39" s="36"/>
      <c r="I39" s="22"/>
      <c r="J39" s="22"/>
      <c r="K39" s="22"/>
      <c r="L39" s="37"/>
      <c r="M39" s="37"/>
      <c r="N39" s="39" t="s">
        <v>62</v>
      </c>
      <c r="O39" s="40">
        <f>H30-P39</f>
        <v>0</v>
      </c>
      <c r="P39" s="50">
        <f>SUM(P30:P38)</f>
        <v>0</v>
      </c>
      <c r="Q39" s="44">
        <f>IFERROR(AVERAGE(Q30:Q38),0)</f>
        <v>0</v>
      </c>
      <c r="R39" s="39" t="s">
        <v>63</v>
      </c>
      <c r="S39" s="40">
        <f>H30-T39</f>
        <v>0</v>
      </c>
      <c r="T39" s="50">
        <f>SUM(T30:T38)</f>
        <v>0</v>
      </c>
      <c r="U39" s="44">
        <f>SUM(U30:U38)</f>
        <v>0</v>
      </c>
      <c r="W39" s="52">
        <v>3</v>
      </c>
      <c r="X39" s="5">
        <v>10</v>
      </c>
      <c r="Y39" s="5">
        <v>1</v>
      </c>
      <c r="Z39" s="5">
        <v>0</v>
      </c>
      <c r="AA39" s="5">
        <f t="shared" ca="1" si="3"/>
        <v>0</v>
      </c>
      <c r="AB39" s="17" t="s">
        <v>35</v>
      </c>
      <c r="AC39" s="52">
        <f t="shared" si="4"/>
        <v>0</v>
      </c>
      <c r="AD39" s="52">
        <f t="shared" si="7"/>
        <v>0</v>
      </c>
      <c r="AE39" s="24">
        <f t="shared" si="8"/>
        <v>0</v>
      </c>
      <c r="AF39" s="15"/>
    </row>
    <row r="40" spans="1:32" ht="15" thickTop="1">
      <c r="A40">
        <f t="shared" si="0"/>
        <v>13</v>
      </c>
      <c r="B40" s="52">
        <f t="shared" si="1"/>
        <v>11</v>
      </c>
      <c r="C40" s="1" t="str">
        <f t="shared" si="2"/>
        <v>SCBT</v>
      </c>
      <c r="D40" s="26"/>
      <c r="E40" s="22"/>
      <c r="G40" s="38"/>
      <c r="H40" s="36"/>
      <c r="I40" s="22"/>
      <c r="J40" s="22"/>
      <c r="K40" s="22"/>
      <c r="L40" s="37"/>
      <c r="M40" s="37"/>
      <c r="W40" s="52">
        <v>3</v>
      </c>
      <c r="X40" s="5">
        <v>11</v>
      </c>
      <c r="Y40" s="5">
        <v>1</v>
      </c>
      <c r="Z40" s="5">
        <v>0</v>
      </c>
      <c r="AA40" s="5">
        <f t="shared" ca="1" si="3"/>
        <v>0</v>
      </c>
      <c r="AB40" s="17" t="s">
        <v>36</v>
      </c>
      <c r="AC40" s="52">
        <f t="shared" si="4"/>
        <v>0</v>
      </c>
      <c r="AD40" s="52">
        <f t="shared" si="7"/>
        <v>0</v>
      </c>
      <c r="AE40" s="24">
        <f t="shared" si="8"/>
        <v>0</v>
      </c>
      <c r="AF40" s="15"/>
    </row>
    <row r="41" spans="1:32">
      <c r="A41">
        <f t="shared" si="0"/>
        <v>14</v>
      </c>
      <c r="B41" s="52">
        <f t="shared" si="1"/>
        <v>12</v>
      </c>
      <c r="C41" s="1" t="str">
        <f t="shared" si="2"/>
        <v>HSBC</v>
      </c>
      <c r="D41" s="26"/>
      <c r="E41" s="22"/>
      <c r="G41" s="38"/>
      <c r="H41" s="36"/>
      <c r="I41" s="22"/>
      <c r="J41" s="22"/>
      <c r="K41" s="22"/>
      <c r="L41" s="37"/>
      <c r="M41" s="37"/>
      <c r="O41" s="28" t="str">
        <f>"Auction Excute : " &amp;G31</f>
        <v xml:space="preserve">Auction Excute : </v>
      </c>
      <c r="S41" s="4" t="s">
        <v>18</v>
      </c>
      <c r="W41" s="52">
        <v>3</v>
      </c>
      <c r="X41" s="5">
        <v>12</v>
      </c>
      <c r="Y41" s="5">
        <v>1</v>
      </c>
      <c r="Z41" s="5">
        <v>0</v>
      </c>
      <c r="AA41" s="5">
        <f t="shared" ca="1" si="3"/>
        <v>0</v>
      </c>
      <c r="AB41" s="17" t="s">
        <v>15</v>
      </c>
      <c r="AC41" s="52">
        <f t="shared" si="4"/>
        <v>0</v>
      </c>
      <c r="AD41" s="52">
        <f t="shared" si="7"/>
        <v>0</v>
      </c>
      <c r="AE41" s="24">
        <f t="shared" si="8"/>
        <v>0</v>
      </c>
      <c r="AF41" s="15"/>
    </row>
    <row r="42" spans="1:32">
      <c r="A42">
        <f t="shared" si="0"/>
        <v>15</v>
      </c>
      <c r="B42" s="52">
        <f t="shared" si="1"/>
        <v>13</v>
      </c>
      <c r="C42" s="1" t="str">
        <f t="shared" si="2"/>
        <v>CITIBANK</v>
      </c>
      <c r="D42" s="26"/>
      <c r="E42" s="22"/>
      <c r="G42" s="38"/>
      <c r="H42" s="36"/>
      <c r="I42" s="22"/>
      <c r="J42" s="22"/>
      <c r="K42" s="22"/>
      <c r="L42" s="37"/>
      <c r="M42" s="37"/>
      <c r="O42" s="20" t="s">
        <v>0</v>
      </c>
      <c r="P42" s="20" t="s">
        <v>69</v>
      </c>
      <c r="Q42" s="20" t="s">
        <v>23</v>
      </c>
      <c r="S42" s="20" t="s">
        <v>0</v>
      </c>
      <c r="T42" s="20" t="s">
        <v>69</v>
      </c>
      <c r="U42" s="20" t="s">
        <v>23</v>
      </c>
      <c r="W42" s="52">
        <v>3</v>
      </c>
      <c r="X42" s="5">
        <v>13</v>
      </c>
      <c r="Y42" s="5">
        <v>1</v>
      </c>
      <c r="Z42" s="5">
        <v>0</v>
      </c>
      <c r="AA42" s="5">
        <f t="shared" ca="1" si="3"/>
        <v>0</v>
      </c>
      <c r="AB42" s="17" t="s">
        <v>37</v>
      </c>
      <c r="AC42" s="52">
        <f t="shared" si="4"/>
        <v>0</v>
      </c>
      <c r="AD42" s="52">
        <f t="shared" si="7"/>
        <v>0</v>
      </c>
      <c r="AE42" s="24">
        <f t="shared" si="8"/>
        <v>0</v>
      </c>
      <c r="AF42" s="15"/>
    </row>
    <row r="43" spans="1:32">
      <c r="A43">
        <f t="shared" si="0"/>
        <v>16</v>
      </c>
      <c r="B43" s="52">
        <f t="shared" si="1"/>
        <v>14</v>
      </c>
      <c r="C43" s="1" t="str">
        <f t="shared" si="2"/>
        <v>KKP</v>
      </c>
      <c r="D43" s="26"/>
      <c r="E43" s="22"/>
      <c r="G43" s="38"/>
      <c r="H43" s="36"/>
      <c r="I43" s="22"/>
      <c r="J43" s="22"/>
      <c r="K43" s="22"/>
      <c r="L43" s="37"/>
      <c r="M43" s="37"/>
      <c r="O43" s="23"/>
      <c r="P43" s="23"/>
      <c r="Q43" s="11"/>
      <c r="S43" s="2" t="str">
        <f>IF(ISBLANK(O43),"",O43)</f>
        <v/>
      </c>
      <c r="T43" s="23"/>
      <c r="U43" s="11"/>
      <c r="W43" s="52">
        <v>3</v>
      </c>
      <c r="X43" s="5">
        <v>14</v>
      </c>
      <c r="Y43" s="5">
        <v>1</v>
      </c>
      <c r="Z43" s="5">
        <v>0</v>
      </c>
      <c r="AA43" s="5">
        <f t="shared" ca="1" si="3"/>
        <v>0</v>
      </c>
      <c r="AB43" s="17" t="s">
        <v>38</v>
      </c>
      <c r="AC43" s="52">
        <f t="shared" si="4"/>
        <v>0</v>
      </c>
      <c r="AD43" s="52">
        <f t="shared" si="7"/>
        <v>0</v>
      </c>
      <c r="AE43" s="24">
        <f t="shared" si="8"/>
        <v>0</v>
      </c>
      <c r="AF43" s="15"/>
    </row>
    <row r="44" spans="1:32">
      <c r="A44">
        <f t="shared" si="0"/>
        <v>17</v>
      </c>
      <c r="B44" s="52">
        <f t="shared" si="1"/>
        <v>15</v>
      </c>
      <c r="C44" s="1" t="str">
        <f t="shared" si="2"/>
        <v>UOBT</v>
      </c>
      <c r="D44" s="26"/>
      <c r="E44" s="22"/>
      <c r="G44" s="38"/>
      <c r="H44" s="36"/>
      <c r="I44" s="22"/>
      <c r="J44" s="22"/>
      <c r="K44" s="22"/>
      <c r="L44" s="37"/>
      <c r="M44" s="37"/>
      <c r="O44" s="23"/>
      <c r="P44" s="23"/>
      <c r="Q44" s="23"/>
      <c r="S44" s="2" t="str">
        <f t="shared" ref="S44:S51" si="9">IF(ISBLANK(O44),"",O44)</f>
        <v/>
      </c>
      <c r="T44" s="23"/>
      <c r="U44" s="23"/>
      <c r="W44" s="52">
        <v>3</v>
      </c>
      <c r="X44" s="5">
        <v>15</v>
      </c>
      <c r="Y44" s="5">
        <v>1</v>
      </c>
      <c r="Z44" s="5">
        <v>0</v>
      </c>
      <c r="AA44" s="5">
        <f t="shared" ca="1" si="3"/>
        <v>0</v>
      </c>
      <c r="AB44" s="17" t="s">
        <v>39</v>
      </c>
      <c r="AC44" s="52">
        <f t="shared" si="4"/>
        <v>0</v>
      </c>
      <c r="AD44" s="52">
        <f t="shared" si="7"/>
        <v>0</v>
      </c>
      <c r="AE44" s="24">
        <f t="shared" si="8"/>
        <v>0</v>
      </c>
      <c r="AF44" s="15"/>
    </row>
    <row r="45" spans="1:32">
      <c r="A45">
        <f t="shared" si="0"/>
        <v>18</v>
      </c>
      <c r="B45" s="52">
        <f t="shared" si="1"/>
        <v>16</v>
      </c>
      <c r="C45" s="1" t="str">
        <f t="shared" si="2"/>
        <v>GSB</v>
      </c>
      <c r="D45" s="26"/>
      <c r="E45" s="22"/>
      <c r="G45" s="38"/>
      <c r="H45" s="36"/>
      <c r="I45" s="22"/>
      <c r="J45" s="22"/>
      <c r="K45" s="22"/>
      <c r="L45" s="37"/>
      <c r="M45" s="37"/>
      <c r="O45" s="23"/>
      <c r="P45" s="23"/>
      <c r="Q45" s="23"/>
      <c r="S45" s="2" t="str">
        <f t="shared" si="9"/>
        <v/>
      </c>
      <c r="T45" s="23"/>
      <c r="U45" s="23"/>
      <c r="W45" s="52">
        <v>3</v>
      </c>
      <c r="X45" s="5">
        <v>16</v>
      </c>
      <c r="Y45" s="5">
        <v>1</v>
      </c>
      <c r="Z45" s="5">
        <v>0</v>
      </c>
      <c r="AA45" s="5">
        <f t="shared" ca="1" si="3"/>
        <v>0</v>
      </c>
      <c r="AB45" s="17" t="s">
        <v>14</v>
      </c>
      <c r="AC45" s="52">
        <f t="shared" si="4"/>
        <v>0</v>
      </c>
      <c r="AD45" s="52">
        <f t="shared" si="7"/>
        <v>0</v>
      </c>
      <c r="AE45" s="24">
        <f t="shared" si="8"/>
        <v>0</v>
      </c>
      <c r="AF45" s="15"/>
    </row>
    <row r="46" spans="1:32">
      <c r="A46">
        <f t="shared" si="0"/>
        <v>19</v>
      </c>
      <c r="B46" s="52">
        <f t="shared" si="1"/>
        <v>17</v>
      </c>
      <c r="C46" s="1" t="str">
        <f t="shared" si="2"/>
        <v>KGI</v>
      </c>
      <c r="D46" s="26"/>
      <c r="E46" s="22"/>
      <c r="G46" s="38"/>
      <c r="H46" s="36"/>
      <c r="I46" s="22"/>
      <c r="J46" s="22"/>
      <c r="K46" s="22"/>
      <c r="L46" s="37"/>
      <c r="M46" s="37"/>
      <c r="O46" s="23"/>
      <c r="P46" s="23"/>
      <c r="Q46" s="23"/>
      <c r="S46" s="2" t="str">
        <f t="shared" si="9"/>
        <v/>
      </c>
      <c r="T46" s="23"/>
      <c r="U46" s="23"/>
      <c r="W46" s="52">
        <v>3</v>
      </c>
      <c r="X46" s="5">
        <v>17</v>
      </c>
      <c r="Y46" s="5">
        <v>1</v>
      </c>
      <c r="Z46" s="5">
        <v>0</v>
      </c>
      <c r="AA46" s="5">
        <f t="shared" ca="1" si="3"/>
        <v>0</v>
      </c>
      <c r="AB46" s="17" t="s">
        <v>40</v>
      </c>
      <c r="AC46" s="52">
        <f t="shared" si="4"/>
        <v>0</v>
      </c>
      <c r="AD46" s="52">
        <f t="shared" si="7"/>
        <v>0</v>
      </c>
      <c r="AE46" s="24">
        <f t="shared" si="8"/>
        <v>0</v>
      </c>
      <c r="AF46" s="15"/>
    </row>
    <row r="47" spans="1:32">
      <c r="A47">
        <f t="shared" si="0"/>
        <v>20</v>
      </c>
      <c r="B47" s="52">
        <f t="shared" si="1"/>
        <v>18</v>
      </c>
      <c r="C47" s="1" t="str">
        <f t="shared" si="2"/>
        <v>BAML</v>
      </c>
      <c r="D47" s="26"/>
      <c r="E47" s="22"/>
      <c r="G47" s="38"/>
      <c r="H47" s="36"/>
      <c r="I47" s="22"/>
      <c r="J47" s="22"/>
      <c r="K47" s="22"/>
      <c r="L47" s="37"/>
      <c r="M47" s="37"/>
      <c r="O47" s="23"/>
      <c r="P47" s="23"/>
      <c r="Q47" s="23"/>
      <c r="S47" s="2" t="str">
        <f t="shared" si="9"/>
        <v/>
      </c>
      <c r="T47" s="23"/>
      <c r="U47" s="23"/>
      <c r="W47" s="52">
        <v>3</v>
      </c>
      <c r="X47" s="5">
        <v>18</v>
      </c>
      <c r="Y47" s="5">
        <v>1</v>
      </c>
      <c r="Z47" s="5">
        <v>0</v>
      </c>
      <c r="AA47" s="5">
        <f t="shared" ca="1" si="3"/>
        <v>0</v>
      </c>
      <c r="AB47" s="17" t="s">
        <v>41</v>
      </c>
      <c r="AC47" s="52">
        <f t="shared" si="4"/>
        <v>0</v>
      </c>
      <c r="AD47" s="52">
        <f t="shared" si="7"/>
        <v>0</v>
      </c>
      <c r="AE47" s="24">
        <f t="shared" si="8"/>
        <v>0</v>
      </c>
      <c r="AF47" s="15"/>
    </row>
    <row r="48" spans="1:32">
      <c r="A48">
        <f t="shared" si="0"/>
        <v>21</v>
      </c>
      <c r="B48" s="52">
        <f t="shared" si="1"/>
        <v>19</v>
      </c>
      <c r="C48" s="1" t="str">
        <f t="shared" si="2"/>
        <v>JP_MORGAN</v>
      </c>
      <c r="D48" s="26"/>
      <c r="E48" s="22"/>
      <c r="G48" s="38"/>
      <c r="H48" s="36"/>
      <c r="I48" s="22"/>
      <c r="J48" s="22"/>
      <c r="K48" s="22"/>
      <c r="L48" s="37"/>
      <c r="M48" s="37"/>
      <c r="O48" s="23"/>
      <c r="P48" s="23"/>
      <c r="Q48" s="23"/>
      <c r="S48" s="2" t="str">
        <f t="shared" si="9"/>
        <v/>
      </c>
      <c r="T48" s="23"/>
      <c r="U48" s="23"/>
      <c r="W48" s="52">
        <v>3</v>
      </c>
      <c r="X48" s="5">
        <v>19</v>
      </c>
      <c r="Y48" s="5">
        <v>1</v>
      </c>
      <c r="Z48" s="5">
        <v>0</v>
      </c>
      <c r="AA48" s="5">
        <f t="shared" ca="1" si="3"/>
        <v>0</v>
      </c>
      <c r="AB48" s="17" t="s">
        <v>42</v>
      </c>
      <c r="AC48" s="52">
        <f t="shared" si="4"/>
        <v>0</v>
      </c>
      <c r="AD48" s="52">
        <f t="shared" si="7"/>
        <v>0</v>
      </c>
      <c r="AE48" s="24">
        <f t="shared" si="8"/>
        <v>0</v>
      </c>
      <c r="AF48" s="15"/>
    </row>
    <row r="49" spans="1:32">
      <c r="A49">
        <f t="shared" si="0"/>
        <v>22</v>
      </c>
      <c r="B49" s="52">
        <f t="shared" si="1"/>
        <v>20</v>
      </c>
      <c r="C49" s="1" t="str">
        <f t="shared" si="2"/>
        <v>ANZT</v>
      </c>
      <c r="D49" s="26"/>
      <c r="E49" s="22"/>
      <c r="G49" s="38"/>
      <c r="H49" s="36"/>
      <c r="I49" s="22"/>
      <c r="J49" s="22"/>
      <c r="K49" s="22"/>
      <c r="L49" s="37"/>
      <c r="M49" s="37"/>
      <c r="O49" s="23"/>
      <c r="P49" s="23"/>
      <c r="Q49" s="23"/>
      <c r="S49" s="2" t="str">
        <f t="shared" si="9"/>
        <v/>
      </c>
      <c r="T49" s="23"/>
      <c r="U49" s="23"/>
      <c r="W49" s="52">
        <v>3</v>
      </c>
      <c r="X49" s="5">
        <v>20</v>
      </c>
      <c r="Y49" s="5">
        <v>1</v>
      </c>
      <c r="Z49" s="5">
        <v>0</v>
      </c>
      <c r="AA49" s="5">
        <f t="shared" ca="1" si="3"/>
        <v>0</v>
      </c>
      <c r="AB49" s="17" t="s">
        <v>43</v>
      </c>
      <c r="AC49" s="52">
        <f t="shared" si="4"/>
        <v>0</v>
      </c>
      <c r="AD49" s="52">
        <f t="shared" si="7"/>
        <v>0</v>
      </c>
      <c r="AE49" s="24">
        <f t="shared" si="8"/>
        <v>0</v>
      </c>
      <c r="AF49" s="15"/>
    </row>
    <row r="50" spans="1:32">
      <c r="A50">
        <f t="shared" si="0"/>
        <v>23</v>
      </c>
      <c r="B50" s="52">
        <f t="shared" si="1"/>
        <v>21</v>
      </c>
      <c r="C50" s="1" t="str">
        <f t="shared" si="2"/>
        <v>DEUTSCHE_BANK</v>
      </c>
      <c r="D50" s="26"/>
      <c r="E50" s="22"/>
      <c r="G50" s="38"/>
      <c r="H50" s="36"/>
      <c r="I50" s="22"/>
      <c r="J50" s="22"/>
      <c r="K50" s="22"/>
      <c r="L50" s="37"/>
      <c r="M50" s="37"/>
      <c r="O50" s="23"/>
      <c r="P50" s="23"/>
      <c r="Q50" s="23"/>
      <c r="S50" s="2" t="str">
        <f t="shared" si="9"/>
        <v/>
      </c>
      <c r="T50" s="23"/>
      <c r="U50" s="23"/>
      <c r="W50" s="52">
        <v>3</v>
      </c>
      <c r="X50" s="5">
        <v>21</v>
      </c>
      <c r="Y50" s="5">
        <v>1</v>
      </c>
      <c r="Z50" s="5">
        <v>0</v>
      </c>
      <c r="AA50" s="5">
        <f t="shared" ca="1" si="3"/>
        <v>0</v>
      </c>
      <c r="AB50" s="17" t="s">
        <v>44</v>
      </c>
      <c r="AC50" s="52">
        <f t="shared" si="4"/>
        <v>0</v>
      </c>
      <c r="AD50" s="52">
        <f t="shared" si="7"/>
        <v>0</v>
      </c>
      <c r="AE50" s="24">
        <f t="shared" si="8"/>
        <v>0</v>
      </c>
      <c r="AF50" s="15"/>
    </row>
    <row r="51" spans="1:32">
      <c r="A51">
        <f t="shared" si="0"/>
        <v>24</v>
      </c>
      <c r="B51" s="52">
        <f t="shared" si="1"/>
        <v>22</v>
      </c>
      <c r="C51" s="1" t="str">
        <f t="shared" si="2"/>
        <v>CNS</v>
      </c>
      <c r="D51" s="26"/>
      <c r="E51" s="22"/>
      <c r="O51" s="23"/>
      <c r="P51" s="23"/>
      <c r="Q51" s="23"/>
      <c r="S51" s="2" t="str">
        <f t="shared" si="9"/>
        <v/>
      </c>
      <c r="T51" s="23"/>
      <c r="U51" s="23"/>
      <c r="W51" s="52">
        <v>3</v>
      </c>
      <c r="X51" s="5">
        <v>22</v>
      </c>
      <c r="Y51" s="5">
        <v>1</v>
      </c>
      <c r="Z51" s="5">
        <v>0</v>
      </c>
      <c r="AA51" s="5">
        <f t="shared" ca="1" si="3"/>
        <v>0</v>
      </c>
      <c r="AB51" s="17" t="s">
        <v>45</v>
      </c>
      <c r="AC51" s="52">
        <f t="shared" si="4"/>
        <v>0</v>
      </c>
      <c r="AD51" s="52">
        <f t="shared" si="7"/>
        <v>0</v>
      </c>
      <c r="AE51" s="24">
        <f t="shared" si="8"/>
        <v>0</v>
      </c>
      <c r="AF51" s="15"/>
    </row>
    <row r="52" spans="1:32" ht="15" thickBot="1">
      <c r="A52">
        <f t="shared" si="0"/>
        <v>25</v>
      </c>
      <c r="B52" s="52">
        <f t="shared" si="1"/>
        <v>23</v>
      </c>
      <c r="C52" s="1" t="str">
        <f t="shared" si="2"/>
        <v>PHATRA</v>
      </c>
      <c r="D52" s="26"/>
      <c r="E52" s="22"/>
      <c r="N52" s="39" t="s">
        <v>62</v>
      </c>
      <c r="O52" s="40">
        <f>H31-P52</f>
        <v>0</v>
      </c>
      <c r="P52" s="50">
        <f>SUM(P43:P51)</f>
        <v>0</v>
      </c>
      <c r="Q52" s="44">
        <f>SUM(Q43:Q51)</f>
        <v>0</v>
      </c>
      <c r="R52" s="39" t="s">
        <v>63</v>
      </c>
      <c r="S52" s="40">
        <f>H31-T52</f>
        <v>0</v>
      </c>
      <c r="T52" s="50">
        <f>SUM(T43:T51)</f>
        <v>0</v>
      </c>
      <c r="U52" s="44">
        <f>SUM(U43:U51)</f>
        <v>0</v>
      </c>
      <c r="W52" s="52">
        <v>3</v>
      </c>
      <c r="X52" s="5">
        <v>23</v>
      </c>
      <c r="Y52" s="5">
        <v>1</v>
      </c>
      <c r="Z52" s="5">
        <v>0</v>
      </c>
      <c r="AA52" s="5">
        <f t="shared" ca="1" si="3"/>
        <v>0</v>
      </c>
      <c r="AB52" s="17" t="s">
        <v>46</v>
      </c>
      <c r="AC52" s="52">
        <f t="shared" si="4"/>
        <v>0</v>
      </c>
      <c r="AD52" s="52">
        <f t="shared" si="7"/>
        <v>0</v>
      </c>
      <c r="AE52" s="24">
        <f t="shared" si="8"/>
        <v>0</v>
      </c>
      <c r="AF52" s="15"/>
    </row>
    <row r="53" spans="1:32" ht="15" thickTop="1">
      <c r="A53">
        <f t="shared" si="0"/>
        <v>26</v>
      </c>
      <c r="B53" s="52">
        <f t="shared" si="1"/>
        <v>24</v>
      </c>
      <c r="C53" s="1" t="str">
        <f t="shared" si="2"/>
        <v>MBKET</v>
      </c>
      <c r="D53" s="26"/>
      <c r="E53" s="22"/>
      <c r="W53" s="52">
        <v>3</v>
      </c>
      <c r="X53" s="5">
        <v>24</v>
      </c>
      <c r="Y53" s="5">
        <v>1</v>
      </c>
      <c r="Z53" s="5">
        <v>0</v>
      </c>
      <c r="AA53" s="5">
        <f t="shared" ca="1" si="3"/>
        <v>0</v>
      </c>
      <c r="AB53" s="17" t="s">
        <v>47</v>
      </c>
      <c r="AC53" s="52">
        <f t="shared" si="4"/>
        <v>0</v>
      </c>
      <c r="AD53" s="52">
        <f t="shared" si="7"/>
        <v>0</v>
      </c>
      <c r="AE53" s="16">
        <f t="shared" si="8"/>
        <v>0</v>
      </c>
      <c r="AF53" s="16">
        <f>IFERROR(SUMIF($W$30:$W$53,$W$53,$AD$30:$AD$53)/$AD$54,0)</f>
        <v>0</v>
      </c>
    </row>
    <row r="54" spans="1:32" ht="15" thickBot="1">
      <c r="D54" s="50">
        <f>SUM(D30:D53)</f>
        <v>0</v>
      </c>
      <c r="E54" s="45">
        <f>IFERROR(SUMPRODUCT(D30:D33,E30:E33)/SUM(D30:D33),0)</f>
        <v>0</v>
      </c>
      <c r="F54" s="48"/>
      <c r="O54" s="29" t="str">
        <f>"Auction Excute : " &amp;G32</f>
        <v xml:space="preserve">Auction Excute : </v>
      </c>
      <c r="S54" s="4" t="s">
        <v>18</v>
      </c>
      <c r="AB54" s="20" t="s">
        <v>17</v>
      </c>
      <c r="AC54" s="44">
        <f>SUM(AC30:AC53)</f>
        <v>0</v>
      </c>
      <c r="AD54" s="44">
        <f>SUM(AD30:AD53)</f>
        <v>0</v>
      </c>
    </row>
    <row r="55" spans="1:32" ht="15" thickTop="1">
      <c r="A55" s="43" t="s">
        <v>74</v>
      </c>
      <c r="G55" s="4" t="s">
        <v>70</v>
      </c>
      <c r="O55" s="20" t="s">
        <v>0</v>
      </c>
      <c r="P55" s="20" t="s">
        <v>69</v>
      </c>
      <c r="Q55" s="20" t="s">
        <v>23</v>
      </c>
      <c r="S55" s="20" t="s">
        <v>0</v>
      </c>
      <c r="T55" s="20" t="s">
        <v>69</v>
      </c>
      <c r="U55" s="20" t="s">
        <v>23</v>
      </c>
    </row>
    <row r="56" spans="1:32">
      <c r="B56" s="4" t="s">
        <v>27</v>
      </c>
      <c r="G56" s="20" t="s">
        <v>24</v>
      </c>
      <c r="H56" s="57" t="s">
        <v>71</v>
      </c>
      <c r="I56" s="58"/>
      <c r="J56" s="58"/>
      <c r="K56" s="59"/>
      <c r="O56" s="23"/>
      <c r="P56" s="23"/>
      <c r="Q56" s="11"/>
      <c r="S56" s="2" t="str">
        <f>IF(ISBLANK(O56),"",O56)</f>
        <v/>
      </c>
      <c r="T56" s="23"/>
      <c r="U56" s="11"/>
    </row>
    <row r="57" spans="1:32" ht="17.399999999999999" customHeight="1">
      <c r="B57" t="s">
        <v>28</v>
      </c>
      <c r="C57" s="8">
        <v>1</v>
      </c>
      <c r="G57" s="30">
        <f>G30</f>
        <v>0</v>
      </c>
      <c r="H57" s="53"/>
      <c r="I57" s="53"/>
      <c r="J57" s="53"/>
      <c r="K57" s="53"/>
      <c r="O57" s="23"/>
      <c r="P57" s="23"/>
      <c r="Q57" s="23"/>
      <c r="S57" s="2" t="str">
        <f t="shared" ref="S57:S64" si="10">IF(ISBLANK(O57),"",O57)</f>
        <v/>
      </c>
      <c r="T57" s="23"/>
      <c r="U57" s="23"/>
    </row>
    <row r="58" spans="1:32">
      <c r="B58" t="s">
        <v>29</v>
      </c>
      <c r="C58" s="8">
        <v>0.4</v>
      </c>
      <c r="G58" s="31">
        <f>G31</f>
        <v>0</v>
      </c>
      <c r="H58" s="53"/>
      <c r="I58" s="53"/>
      <c r="J58" s="53"/>
      <c r="K58" s="53"/>
      <c r="O58" s="23"/>
      <c r="P58" s="23"/>
      <c r="Q58" s="23"/>
      <c r="S58" s="2" t="str">
        <f t="shared" si="10"/>
        <v/>
      </c>
      <c r="T58" s="23"/>
      <c r="U58" s="23"/>
    </row>
    <row r="59" spans="1:32">
      <c r="B59" t="s">
        <v>30</v>
      </c>
      <c r="C59" s="8">
        <v>0.1</v>
      </c>
      <c r="G59" s="32">
        <f>G32</f>
        <v>0</v>
      </c>
      <c r="H59" s="53"/>
      <c r="I59" s="53"/>
      <c r="J59" s="53"/>
      <c r="K59" s="53"/>
      <c r="O59" s="23"/>
      <c r="P59" s="23"/>
      <c r="Q59" s="23"/>
      <c r="S59" s="2" t="str">
        <f t="shared" si="10"/>
        <v/>
      </c>
      <c r="T59" s="23"/>
      <c r="U59" s="23"/>
    </row>
    <row r="60" spans="1:32">
      <c r="O60" s="23"/>
      <c r="P60" s="23"/>
      <c r="Q60" s="23"/>
      <c r="S60" s="2" t="str">
        <f t="shared" si="10"/>
        <v/>
      </c>
      <c r="T60" s="23"/>
      <c r="U60" s="23"/>
    </row>
    <row r="61" spans="1:32">
      <c r="O61" s="23"/>
      <c r="P61" s="23"/>
      <c r="Q61" s="23"/>
      <c r="S61" s="2" t="str">
        <f t="shared" si="10"/>
        <v/>
      </c>
      <c r="T61" s="23"/>
      <c r="U61" s="23"/>
    </row>
    <row r="62" spans="1:32">
      <c r="O62" s="23"/>
      <c r="P62" s="23"/>
      <c r="Q62" s="23"/>
      <c r="S62" s="2" t="str">
        <f t="shared" si="10"/>
        <v/>
      </c>
      <c r="T62" s="23"/>
      <c r="U62" s="23"/>
    </row>
    <row r="63" spans="1:32">
      <c r="O63" s="23"/>
      <c r="P63" s="23"/>
      <c r="Q63" s="23"/>
      <c r="S63" s="2" t="str">
        <f t="shared" si="10"/>
        <v/>
      </c>
      <c r="T63" s="23"/>
      <c r="U63" s="23"/>
    </row>
    <row r="64" spans="1:32">
      <c r="O64" s="23"/>
      <c r="P64" s="23"/>
      <c r="Q64" s="23"/>
      <c r="S64" s="2" t="str">
        <f t="shared" si="10"/>
        <v/>
      </c>
      <c r="T64" s="23"/>
      <c r="U64" s="23"/>
    </row>
    <row r="65" spans="14:21" ht="15" thickBot="1">
      <c r="N65" s="39" t="s">
        <v>62</v>
      </c>
      <c r="O65" s="40">
        <f>H32-P65</f>
        <v>0</v>
      </c>
      <c r="P65" s="50">
        <f>SUM(P56:P64)</f>
        <v>0</v>
      </c>
      <c r="Q65" s="44">
        <f>SUM(Q56:Q64)</f>
        <v>0</v>
      </c>
      <c r="R65" s="39" t="s">
        <v>63</v>
      </c>
      <c r="S65" s="40">
        <f>H32-T65</f>
        <v>0</v>
      </c>
      <c r="T65" s="50">
        <f>SUM(T56:T64)</f>
        <v>0</v>
      </c>
      <c r="U65" s="44">
        <f>SUM(U56:U64)</f>
        <v>0</v>
      </c>
    </row>
    <row r="66" spans="14:21" ht="15" thickTop="1"/>
  </sheetData>
  <mergeCells count="7">
    <mergeCell ref="H59:K59"/>
    <mergeCell ref="B2:AC2"/>
    <mergeCell ref="B9:AC9"/>
    <mergeCell ref="B16:AC16"/>
    <mergeCell ref="H56:K56"/>
    <mergeCell ref="H57:K57"/>
    <mergeCell ref="H58:K58"/>
  </mergeCells>
  <conditionalFormatting sqref="AF32">
    <cfRule type="cellIs" dxfId="107" priority="26" operator="greaterThan">
      <formula>0.5</formula>
    </cfRule>
    <cfRule type="cellIs" dxfId="106" priority="27" operator="lessThan">
      <formula>0.5</formula>
    </cfRule>
  </conditionalFormatting>
  <conditionalFormatting sqref="AE30:AE5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{D20F7109-2D93-4CDB-978A-9A1D553817A8}</x14:id>
        </ext>
      </extLst>
    </cfRule>
  </conditionalFormatting>
  <conditionalFormatting sqref="E30:E5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53">
    <cfRule type="cellIs" dxfId="105" priority="30" operator="lessThan">
      <formula>$C$59</formula>
    </cfRule>
    <cfRule type="cellIs" dxfId="104" priority="31" operator="greaterThan">
      <formula>$C$59</formula>
    </cfRule>
  </conditionalFormatting>
  <conditionalFormatting sqref="AF37">
    <cfRule type="cellIs" dxfId="103" priority="32" operator="greaterThan">
      <formula>$C$58</formula>
    </cfRule>
    <cfRule type="cellIs" dxfId="102" priority="33" operator="lessThan">
      <formula>$C$58</formula>
    </cfRule>
  </conditionalFormatting>
  <conditionalFormatting sqref="O39">
    <cfRule type="cellIs" dxfId="101" priority="20" operator="lessThan">
      <formula>0</formula>
    </cfRule>
    <cfRule type="cellIs" dxfId="100" priority="21" operator="equal">
      <formula>0</formula>
    </cfRule>
    <cfRule type="cellIs" dxfId="99" priority="22" operator="greaterThan">
      <formula>0</formula>
    </cfRule>
  </conditionalFormatting>
  <conditionalFormatting sqref="S52">
    <cfRule type="cellIs" dxfId="98" priority="8" operator="lessThan">
      <formula>0</formula>
    </cfRule>
    <cfRule type="cellIs" dxfId="97" priority="9" operator="equal">
      <formula>0</formula>
    </cfRule>
    <cfRule type="cellIs" dxfId="96" priority="10" operator="greaterThan">
      <formula>0</formula>
    </cfRule>
  </conditionalFormatting>
  <conditionalFormatting sqref="O52">
    <cfRule type="cellIs" dxfId="95" priority="17" operator="lessThan">
      <formula>0</formula>
    </cfRule>
    <cfRule type="cellIs" dxfId="94" priority="18" operator="equal">
      <formula>0</formula>
    </cfRule>
    <cfRule type="cellIs" dxfId="93" priority="19" operator="greaterThan">
      <formula>0</formula>
    </cfRule>
  </conditionalFormatting>
  <conditionalFormatting sqref="O65">
    <cfRule type="cellIs" dxfId="92" priority="14" operator="lessThan">
      <formula>0</formula>
    </cfRule>
    <cfRule type="cellIs" dxfId="91" priority="15" operator="equal">
      <formula>0</formula>
    </cfRule>
    <cfRule type="cellIs" dxfId="90" priority="16" operator="greaterThan">
      <formula>0</formula>
    </cfRule>
  </conditionalFormatting>
  <conditionalFormatting sqref="S39">
    <cfRule type="cellIs" dxfId="89" priority="11" operator="lessThan">
      <formula>0</formula>
    </cfRule>
    <cfRule type="cellIs" dxfId="88" priority="12" operator="equal">
      <formula>0</formula>
    </cfRule>
    <cfRule type="cellIs" dxfId="87" priority="13" operator="greaterThan">
      <formula>0</formula>
    </cfRule>
  </conditionalFormatting>
  <conditionalFormatting sqref="S65">
    <cfRule type="cellIs" dxfId="86" priority="5" operator="lessThan">
      <formula>0</formula>
    </cfRule>
    <cfRule type="cellIs" dxfId="85" priority="6" operator="equal">
      <formula>0</formula>
    </cfRule>
    <cfRule type="cellIs" dxfId="84" priority="7" operator="greaterThan">
      <formula>0</formula>
    </cfRule>
  </conditionalFormatting>
  <conditionalFormatting sqref="D30:D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Z6">
    <cfRule type="top10" dxfId="83" priority="3" rank="4"/>
  </conditionalFormatting>
  <conditionalFormatting sqref="C11:Z13">
    <cfRule type="top10" dxfId="82" priority="2" rank="4"/>
  </conditionalFormatting>
  <conditionalFormatting sqref="C18:Z20">
    <cfRule type="top10" dxfId="81" priority="1" rank="4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Form">
          <controlPr defaultSize="0" autoLine="0" r:id="rId5">
            <anchor moveWithCells="1">
              <from>
                <xdr:col>10</xdr:col>
                <xdr:colOff>106680</xdr:colOff>
                <xdr:row>50</xdr:row>
                <xdr:rowOff>175260</xdr:rowOff>
              </from>
              <to>
                <xdr:col>11</xdr:col>
                <xdr:colOff>441960</xdr:colOff>
                <xdr:row>53</xdr:row>
                <xdr:rowOff>0</xdr:rowOff>
              </to>
            </anchor>
          </controlPr>
        </control>
      </mc:Choice>
      <mc:Fallback>
        <control shapeId="15361" r:id="rId4" name="btnForm"/>
      </mc:Fallback>
    </mc:AlternateContent>
    <mc:AlternateContent xmlns:mc="http://schemas.openxmlformats.org/markup-compatibility/2006">
      <mc:Choice Requires="x14">
        <control shapeId="15362" r:id="rId6" name="Button 2">
          <controlPr defaultSize="0" print="0" autoFill="0" autoPict="0" macro="[0]!sim_allocate_fixed">
            <anchor moveWithCells="1" sizeWithCells="1">
              <from>
                <xdr:col>6</xdr:col>
                <xdr:colOff>0</xdr:colOff>
                <xdr:row>51</xdr:row>
                <xdr:rowOff>7620</xdr:rowOff>
              </from>
              <to>
                <xdr:col>7</xdr:col>
                <xdr:colOff>441960</xdr:colOff>
                <xdr:row>53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3" r:id="rId7" name="Button 3">
          <controlPr defaultSize="0" print="0" autoFill="0" autoPict="0" macro="[0]!get_impiled_yield">
            <anchor moveWithCells="1" sizeWithCells="1">
              <from>
                <xdr:col>7</xdr:col>
                <xdr:colOff>510540</xdr:colOff>
                <xdr:row>50</xdr:row>
                <xdr:rowOff>175260</xdr:rowOff>
              </from>
              <to>
                <xdr:col>8</xdr:col>
                <xdr:colOff>815340</xdr:colOff>
                <xdr:row>52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4" r:id="rId8" name="Button 4">
          <controlPr defaultSize="0" print="0" autoFill="0" autoPict="0" macro="[0]!clear_ws">
            <anchor moveWithCells="1" sizeWithCells="1">
              <from>
                <xdr:col>8</xdr:col>
                <xdr:colOff>922020</xdr:colOff>
                <xdr:row>50</xdr:row>
                <xdr:rowOff>175260</xdr:rowOff>
              </from>
              <to>
                <xdr:col>9</xdr:col>
                <xdr:colOff>1112520</xdr:colOff>
                <xdr:row>52</xdr:row>
                <xdr:rowOff>190500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0F7109-2D93-4CDB-978A-9A1D553817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AE30:AE53</xm:sqref>
        </x14:conditionalFormatting>
        <x14:conditionalFormatting xmlns:xm="http://schemas.microsoft.com/office/excel/2006/main">
          <x14:cfRule type="iconSet" priority="28" id="{A32A3B7E-65E2-4785-B0C2-F7C22729112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AA30:AA53</xm:sqref>
        </x14:conditionalFormatting>
        <x14:conditionalFormatting xmlns:xm="http://schemas.microsoft.com/office/excel/2006/main">
          <x14:cfRule type="iconSet" priority="29" id="{704A6041-2274-40E2-BDA7-EF9A33BB506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Y30:Z53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6CC0D7-3E27-4564-9800-47962C170C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25Sep</vt:lpstr>
      <vt:lpstr>2Oct</vt:lpstr>
      <vt:lpstr>24Oct</vt:lpstr>
      <vt:lpstr>28Oct</vt:lpstr>
      <vt:lpstr>13Oct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2018-09-22T09:56:34Z</dcterms:created>
  <dcterms:modified xsi:type="dcterms:W3CDTF">2018-10-02T16:24:59Z</dcterms:modified>
</cp:coreProperties>
</file>