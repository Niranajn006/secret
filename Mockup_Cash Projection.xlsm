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 files\"/>
    </mc:Choice>
  </mc:AlternateContent>
  <xr:revisionPtr revIDLastSave="0" documentId="10_ncr:100000_{5AEA520A-FD4C-4018-B9FF-5EF53D9AC9EB}" xr6:coauthVersionLast="31" xr6:coauthVersionMax="37" xr10:uidLastSave="{00000000-0000-0000-0000-000000000000}"/>
  <bookViews>
    <workbookView xWindow="0" yWindow="0" windowWidth="17250" windowHeight="5460" activeTab="3" xr2:uid="{E08E77EE-9924-47FE-AAE7-6DCE3B0B614C}"/>
  </bookViews>
  <sheets>
    <sheet name="Main" sheetId="4" r:id="rId1"/>
    <sheet name="Port Attribute" sheetId="17" r:id="rId2"/>
    <sheet name="Data" sheetId="2" r:id="rId3"/>
    <sheet name="Sheet2" sheetId="18" r:id="rId4"/>
    <sheet name="Cash Intraday" sheetId="6" r:id="rId5"/>
    <sheet name="Cash Projection" sheetId="3" r:id="rId6"/>
    <sheet name="SCBSFF" sheetId="8" r:id="rId7"/>
    <sheet name="SCBRM1" sheetId="7" r:id="rId8"/>
    <sheet name="SCBRM2" sheetId="9" r:id="rId9"/>
    <sheet name="SCBRF" sheetId="10" r:id="rId10"/>
    <sheet name="SCBSFFPLUS" sheetId="11" r:id="rId11"/>
    <sheet name="SCBTMF" sheetId="12" r:id="rId12"/>
    <sheet name="SCBTMFPLUS" sheetId="13" r:id="rId13"/>
    <sheet name="SCBFPFUND" sheetId="14" r:id="rId14"/>
    <sheet name="SCBFIXED" sheetId="15" r:id="rId15"/>
    <sheet name="SCBPLUS" sheetId="16" r:id="rId16"/>
    <sheet name="DDE" sheetId="1" r:id="rId17"/>
  </sheets>
  <externalReferences>
    <externalReference r:id="rId18"/>
  </externalReferences>
  <definedNames>
    <definedName name="_xlnm._FilterDatabase" localSheetId="4" hidden="1">'Cash Intraday'!$A$1:$H$761</definedName>
  </definedNames>
  <calcPr calcId="179017" calcMode="manual"/>
  <pivotCaches>
    <pivotCache cacheId="31" r:id="rId1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2" i="18" l="1"/>
  <c r="Q61" i="18"/>
  <c r="Q60" i="18"/>
  <c r="Q59" i="18"/>
  <c r="Q58" i="18"/>
  <c r="Q57" i="18"/>
  <c r="Q56" i="18"/>
  <c r="Q55" i="18"/>
  <c r="Q54" i="18"/>
  <c r="Q53" i="18"/>
  <c r="Q52" i="18"/>
  <c r="Q51" i="18"/>
  <c r="Q50" i="18"/>
  <c r="Q49" i="18"/>
  <c r="Q48" i="18"/>
  <c r="Q47" i="18"/>
  <c r="Q46" i="18"/>
  <c r="Q45" i="18"/>
  <c r="Q44" i="18"/>
  <c r="Q43" i="18"/>
  <c r="Q42" i="18"/>
  <c r="Q41" i="18"/>
  <c r="Q40" i="18"/>
  <c r="Q39" i="18"/>
  <c r="Q38" i="18"/>
  <c r="Q37" i="18"/>
  <c r="Q36" i="18"/>
  <c r="Q35" i="18"/>
  <c r="Q34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Q4" i="18"/>
  <c r="Q3" i="18"/>
  <c r="Q2" i="18"/>
  <c r="G3" i="18"/>
  <c r="H3" i="18"/>
  <c r="I3" i="18"/>
  <c r="J3" i="18"/>
  <c r="K3" i="18"/>
  <c r="L3" i="18"/>
  <c r="M3" i="18"/>
  <c r="N3" i="18"/>
  <c r="O3" i="18"/>
  <c r="P3" i="18"/>
  <c r="G4" i="18"/>
  <c r="H4" i="18"/>
  <c r="I4" i="18"/>
  <c r="J4" i="18"/>
  <c r="K4" i="18"/>
  <c r="L4" i="18"/>
  <c r="M4" i="18"/>
  <c r="N4" i="18"/>
  <c r="O4" i="18"/>
  <c r="P4" i="18"/>
  <c r="G5" i="18"/>
  <c r="H5" i="18"/>
  <c r="I5" i="18"/>
  <c r="J5" i="18"/>
  <c r="K5" i="18"/>
  <c r="L5" i="18"/>
  <c r="M5" i="18"/>
  <c r="N5" i="18"/>
  <c r="O5" i="18"/>
  <c r="P5" i="18"/>
  <c r="G6" i="18"/>
  <c r="H6" i="18"/>
  <c r="I6" i="18"/>
  <c r="J6" i="18"/>
  <c r="K6" i="18"/>
  <c r="L6" i="18"/>
  <c r="M6" i="18"/>
  <c r="N6" i="18"/>
  <c r="O6" i="18"/>
  <c r="P6" i="18"/>
  <c r="G7" i="18"/>
  <c r="H7" i="18"/>
  <c r="I7" i="18"/>
  <c r="J7" i="18"/>
  <c r="K7" i="18"/>
  <c r="L7" i="18"/>
  <c r="M7" i="18"/>
  <c r="N7" i="18"/>
  <c r="O7" i="18"/>
  <c r="P7" i="18"/>
  <c r="G8" i="18"/>
  <c r="H8" i="18"/>
  <c r="I8" i="18"/>
  <c r="J8" i="18"/>
  <c r="K8" i="18"/>
  <c r="L8" i="18"/>
  <c r="M8" i="18"/>
  <c r="N8" i="18"/>
  <c r="O8" i="18"/>
  <c r="P8" i="18"/>
  <c r="G9" i="18"/>
  <c r="H9" i="18"/>
  <c r="I9" i="18"/>
  <c r="J9" i="18"/>
  <c r="K9" i="18"/>
  <c r="L9" i="18"/>
  <c r="M9" i="18"/>
  <c r="N9" i="18"/>
  <c r="O9" i="18"/>
  <c r="P9" i="18"/>
  <c r="G10" i="18"/>
  <c r="H10" i="18"/>
  <c r="I10" i="18"/>
  <c r="J10" i="18"/>
  <c r="K10" i="18"/>
  <c r="L10" i="18"/>
  <c r="M10" i="18"/>
  <c r="N10" i="18"/>
  <c r="O10" i="18"/>
  <c r="P10" i="18"/>
  <c r="G11" i="18"/>
  <c r="H11" i="18"/>
  <c r="I11" i="18"/>
  <c r="J11" i="18"/>
  <c r="K11" i="18"/>
  <c r="L11" i="18"/>
  <c r="M11" i="18"/>
  <c r="N11" i="18"/>
  <c r="O11" i="18"/>
  <c r="P11" i="18"/>
  <c r="G12" i="18"/>
  <c r="H12" i="18"/>
  <c r="I12" i="18"/>
  <c r="J12" i="18"/>
  <c r="K12" i="18"/>
  <c r="L12" i="18"/>
  <c r="M12" i="18"/>
  <c r="N12" i="18"/>
  <c r="O12" i="18"/>
  <c r="P12" i="18"/>
  <c r="G13" i="18"/>
  <c r="H13" i="18"/>
  <c r="I13" i="18"/>
  <c r="J13" i="18"/>
  <c r="K13" i="18"/>
  <c r="L13" i="18"/>
  <c r="M13" i="18"/>
  <c r="N13" i="18"/>
  <c r="O13" i="18"/>
  <c r="P13" i="18"/>
  <c r="G14" i="18"/>
  <c r="H14" i="18"/>
  <c r="I14" i="18"/>
  <c r="J14" i="18"/>
  <c r="K14" i="18"/>
  <c r="L14" i="18"/>
  <c r="M14" i="18"/>
  <c r="N14" i="18"/>
  <c r="O14" i="18"/>
  <c r="P14" i="18"/>
  <c r="G15" i="18"/>
  <c r="H15" i="18"/>
  <c r="I15" i="18"/>
  <c r="J15" i="18"/>
  <c r="K15" i="18"/>
  <c r="L15" i="18"/>
  <c r="M15" i="18"/>
  <c r="N15" i="18"/>
  <c r="O15" i="18"/>
  <c r="P15" i="18"/>
  <c r="G16" i="18"/>
  <c r="H16" i="18"/>
  <c r="I16" i="18"/>
  <c r="J16" i="18"/>
  <c r="K16" i="18"/>
  <c r="L16" i="18"/>
  <c r="M16" i="18"/>
  <c r="N16" i="18"/>
  <c r="O16" i="18"/>
  <c r="P16" i="18"/>
  <c r="G17" i="18"/>
  <c r="H17" i="18"/>
  <c r="I17" i="18"/>
  <c r="J17" i="18"/>
  <c r="K17" i="18"/>
  <c r="L17" i="18"/>
  <c r="M17" i="18"/>
  <c r="N17" i="18"/>
  <c r="O17" i="18"/>
  <c r="P17" i="18"/>
  <c r="G18" i="18"/>
  <c r="H18" i="18"/>
  <c r="I18" i="18"/>
  <c r="J18" i="18"/>
  <c r="K18" i="18"/>
  <c r="L18" i="18"/>
  <c r="M18" i="18"/>
  <c r="N18" i="18"/>
  <c r="O18" i="18"/>
  <c r="P18" i="18"/>
  <c r="G19" i="18"/>
  <c r="H19" i="18"/>
  <c r="I19" i="18"/>
  <c r="J19" i="18"/>
  <c r="K19" i="18"/>
  <c r="L19" i="18"/>
  <c r="M19" i="18"/>
  <c r="N19" i="18"/>
  <c r="O19" i="18"/>
  <c r="P19" i="18"/>
  <c r="G20" i="18"/>
  <c r="H20" i="18"/>
  <c r="I20" i="18"/>
  <c r="J20" i="18"/>
  <c r="K20" i="18"/>
  <c r="L20" i="18"/>
  <c r="M20" i="18"/>
  <c r="N20" i="18"/>
  <c r="O20" i="18"/>
  <c r="P20" i="18"/>
  <c r="G21" i="18"/>
  <c r="H21" i="18"/>
  <c r="I21" i="18"/>
  <c r="J21" i="18"/>
  <c r="K21" i="18"/>
  <c r="L21" i="18"/>
  <c r="M21" i="18"/>
  <c r="N21" i="18"/>
  <c r="O21" i="18"/>
  <c r="P21" i="18"/>
  <c r="G22" i="18"/>
  <c r="H22" i="18"/>
  <c r="I22" i="18"/>
  <c r="J22" i="18"/>
  <c r="K22" i="18"/>
  <c r="L22" i="18"/>
  <c r="M22" i="18"/>
  <c r="N22" i="18"/>
  <c r="O22" i="18"/>
  <c r="P22" i="18"/>
  <c r="G23" i="18"/>
  <c r="H23" i="18"/>
  <c r="I23" i="18"/>
  <c r="J23" i="18"/>
  <c r="K23" i="18"/>
  <c r="L23" i="18"/>
  <c r="M23" i="18"/>
  <c r="N23" i="18"/>
  <c r="O23" i="18"/>
  <c r="P23" i="18"/>
  <c r="G24" i="18"/>
  <c r="H24" i="18"/>
  <c r="I24" i="18"/>
  <c r="J24" i="18"/>
  <c r="K24" i="18"/>
  <c r="L24" i="18"/>
  <c r="M24" i="18"/>
  <c r="N24" i="18"/>
  <c r="O24" i="18"/>
  <c r="P24" i="18"/>
  <c r="G25" i="18"/>
  <c r="H25" i="18"/>
  <c r="I25" i="18"/>
  <c r="J25" i="18"/>
  <c r="K25" i="18"/>
  <c r="L25" i="18"/>
  <c r="M25" i="18"/>
  <c r="N25" i="18"/>
  <c r="O25" i="18"/>
  <c r="P25" i="18"/>
  <c r="G26" i="18"/>
  <c r="H26" i="18"/>
  <c r="I26" i="18"/>
  <c r="J26" i="18"/>
  <c r="K26" i="18"/>
  <c r="L26" i="18"/>
  <c r="M26" i="18"/>
  <c r="N26" i="18"/>
  <c r="O26" i="18"/>
  <c r="P26" i="18"/>
  <c r="G27" i="18"/>
  <c r="H27" i="18"/>
  <c r="I27" i="18"/>
  <c r="J27" i="18"/>
  <c r="K27" i="18"/>
  <c r="L27" i="18"/>
  <c r="M27" i="18"/>
  <c r="N27" i="18"/>
  <c r="O27" i="18"/>
  <c r="P27" i="18"/>
  <c r="G28" i="18"/>
  <c r="H28" i="18"/>
  <c r="I28" i="18"/>
  <c r="J28" i="18"/>
  <c r="K28" i="18"/>
  <c r="L28" i="18"/>
  <c r="M28" i="18"/>
  <c r="N28" i="18"/>
  <c r="O28" i="18"/>
  <c r="P28" i="18"/>
  <c r="G29" i="18"/>
  <c r="H29" i="18"/>
  <c r="I29" i="18"/>
  <c r="J29" i="18"/>
  <c r="K29" i="18"/>
  <c r="L29" i="18"/>
  <c r="M29" i="18"/>
  <c r="N29" i="18"/>
  <c r="O29" i="18"/>
  <c r="P29" i="18"/>
  <c r="G30" i="18"/>
  <c r="H30" i="18"/>
  <c r="I30" i="18"/>
  <c r="J30" i="18"/>
  <c r="K30" i="18"/>
  <c r="L30" i="18"/>
  <c r="M30" i="18"/>
  <c r="N30" i="18"/>
  <c r="O30" i="18"/>
  <c r="P30" i="18"/>
  <c r="G31" i="18"/>
  <c r="H31" i="18"/>
  <c r="I31" i="18"/>
  <c r="J31" i="18"/>
  <c r="K31" i="18"/>
  <c r="L31" i="18"/>
  <c r="M31" i="18"/>
  <c r="N31" i="18"/>
  <c r="O31" i="18"/>
  <c r="P31" i="18"/>
  <c r="G32" i="18"/>
  <c r="H32" i="18"/>
  <c r="I32" i="18"/>
  <c r="J32" i="18"/>
  <c r="K32" i="18"/>
  <c r="L32" i="18"/>
  <c r="M32" i="18"/>
  <c r="N32" i="18"/>
  <c r="O32" i="18"/>
  <c r="P32" i="18"/>
  <c r="G33" i="18"/>
  <c r="H33" i="18"/>
  <c r="I33" i="18"/>
  <c r="J33" i="18"/>
  <c r="K33" i="18"/>
  <c r="L33" i="18"/>
  <c r="M33" i="18"/>
  <c r="N33" i="18"/>
  <c r="O33" i="18"/>
  <c r="P33" i="18"/>
  <c r="G34" i="18"/>
  <c r="H34" i="18"/>
  <c r="I34" i="18"/>
  <c r="J34" i="18"/>
  <c r="K34" i="18"/>
  <c r="L34" i="18"/>
  <c r="M34" i="18"/>
  <c r="N34" i="18"/>
  <c r="O34" i="18"/>
  <c r="P34" i="18"/>
  <c r="G35" i="18"/>
  <c r="H35" i="18"/>
  <c r="I35" i="18"/>
  <c r="J35" i="18"/>
  <c r="K35" i="18"/>
  <c r="L35" i="18"/>
  <c r="M35" i="18"/>
  <c r="N35" i="18"/>
  <c r="O35" i="18"/>
  <c r="P35" i="18"/>
  <c r="G36" i="18"/>
  <c r="H36" i="18"/>
  <c r="I36" i="18"/>
  <c r="J36" i="18"/>
  <c r="K36" i="18"/>
  <c r="L36" i="18"/>
  <c r="M36" i="18"/>
  <c r="N36" i="18"/>
  <c r="O36" i="18"/>
  <c r="P36" i="18"/>
  <c r="G37" i="18"/>
  <c r="H37" i="18"/>
  <c r="I37" i="18"/>
  <c r="J37" i="18"/>
  <c r="K37" i="18"/>
  <c r="L37" i="18"/>
  <c r="M37" i="18"/>
  <c r="N37" i="18"/>
  <c r="O37" i="18"/>
  <c r="P37" i="18"/>
  <c r="G38" i="18"/>
  <c r="H38" i="18"/>
  <c r="I38" i="18"/>
  <c r="J38" i="18"/>
  <c r="K38" i="18"/>
  <c r="L38" i="18"/>
  <c r="M38" i="18"/>
  <c r="N38" i="18"/>
  <c r="O38" i="18"/>
  <c r="P38" i="18"/>
  <c r="G39" i="18"/>
  <c r="H39" i="18"/>
  <c r="I39" i="18"/>
  <c r="J39" i="18"/>
  <c r="K39" i="18"/>
  <c r="L39" i="18"/>
  <c r="M39" i="18"/>
  <c r="N39" i="18"/>
  <c r="O39" i="18"/>
  <c r="P39" i="18"/>
  <c r="G40" i="18"/>
  <c r="H40" i="18"/>
  <c r="I40" i="18"/>
  <c r="J40" i="18"/>
  <c r="K40" i="18"/>
  <c r="L40" i="18"/>
  <c r="M40" i="18"/>
  <c r="N40" i="18"/>
  <c r="O40" i="18"/>
  <c r="P40" i="18"/>
  <c r="G41" i="18"/>
  <c r="H41" i="18"/>
  <c r="I41" i="18"/>
  <c r="J41" i="18"/>
  <c r="K41" i="18"/>
  <c r="L41" i="18"/>
  <c r="M41" i="18"/>
  <c r="N41" i="18"/>
  <c r="O41" i="18"/>
  <c r="P41" i="18"/>
  <c r="G42" i="18"/>
  <c r="H42" i="18"/>
  <c r="I42" i="18"/>
  <c r="J42" i="18"/>
  <c r="K42" i="18"/>
  <c r="L42" i="18"/>
  <c r="M42" i="18"/>
  <c r="N42" i="18"/>
  <c r="O42" i="18"/>
  <c r="P42" i="18"/>
  <c r="G43" i="18"/>
  <c r="H43" i="18"/>
  <c r="I43" i="18"/>
  <c r="J43" i="18"/>
  <c r="K43" i="18"/>
  <c r="L43" i="18"/>
  <c r="M43" i="18"/>
  <c r="N43" i="18"/>
  <c r="O43" i="18"/>
  <c r="P43" i="18"/>
  <c r="G44" i="18"/>
  <c r="H44" i="18"/>
  <c r="I44" i="18"/>
  <c r="J44" i="18"/>
  <c r="K44" i="18"/>
  <c r="L44" i="18"/>
  <c r="M44" i="18"/>
  <c r="N44" i="18"/>
  <c r="O44" i="18"/>
  <c r="P44" i="18"/>
  <c r="G45" i="18"/>
  <c r="H45" i="18"/>
  <c r="I45" i="18"/>
  <c r="J45" i="18"/>
  <c r="K45" i="18"/>
  <c r="L45" i="18"/>
  <c r="M45" i="18"/>
  <c r="N45" i="18"/>
  <c r="O45" i="18"/>
  <c r="P45" i="18"/>
  <c r="G46" i="18"/>
  <c r="H46" i="18"/>
  <c r="I46" i="18"/>
  <c r="J46" i="18"/>
  <c r="K46" i="18"/>
  <c r="L46" i="18"/>
  <c r="M46" i="18"/>
  <c r="N46" i="18"/>
  <c r="O46" i="18"/>
  <c r="P46" i="18"/>
  <c r="G47" i="18"/>
  <c r="H47" i="18"/>
  <c r="I47" i="18"/>
  <c r="J47" i="18"/>
  <c r="K47" i="18"/>
  <c r="L47" i="18"/>
  <c r="M47" i="18"/>
  <c r="N47" i="18"/>
  <c r="O47" i="18"/>
  <c r="P47" i="18"/>
  <c r="G48" i="18"/>
  <c r="H48" i="18"/>
  <c r="I48" i="18"/>
  <c r="J48" i="18"/>
  <c r="K48" i="18"/>
  <c r="L48" i="18"/>
  <c r="M48" i="18"/>
  <c r="N48" i="18"/>
  <c r="O48" i="18"/>
  <c r="P48" i="18"/>
  <c r="G49" i="18"/>
  <c r="H49" i="18"/>
  <c r="I49" i="18"/>
  <c r="J49" i="18"/>
  <c r="K49" i="18"/>
  <c r="L49" i="18"/>
  <c r="M49" i="18"/>
  <c r="N49" i="18"/>
  <c r="O49" i="18"/>
  <c r="P49" i="18"/>
  <c r="G50" i="18"/>
  <c r="H50" i="18"/>
  <c r="I50" i="18"/>
  <c r="J50" i="18"/>
  <c r="K50" i="18"/>
  <c r="L50" i="18"/>
  <c r="M50" i="18"/>
  <c r="N50" i="18"/>
  <c r="O50" i="18"/>
  <c r="P50" i="18"/>
  <c r="G51" i="18"/>
  <c r="H51" i="18"/>
  <c r="I51" i="18"/>
  <c r="J51" i="18"/>
  <c r="K51" i="18"/>
  <c r="L51" i="18"/>
  <c r="M51" i="18"/>
  <c r="N51" i="18"/>
  <c r="O51" i="18"/>
  <c r="P51" i="18"/>
  <c r="G52" i="18"/>
  <c r="H52" i="18"/>
  <c r="I52" i="18"/>
  <c r="J52" i="18"/>
  <c r="K52" i="18"/>
  <c r="L52" i="18"/>
  <c r="M52" i="18"/>
  <c r="N52" i="18"/>
  <c r="O52" i="18"/>
  <c r="P52" i="18"/>
  <c r="G53" i="18"/>
  <c r="H53" i="18"/>
  <c r="I53" i="18"/>
  <c r="J53" i="18"/>
  <c r="K53" i="18"/>
  <c r="L53" i="18"/>
  <c r="M53" i="18"/>
  <c r="N53" i="18"/>
  <c r="O53" i="18"/>
  <c r="P53" i="18"/>
  <c r="G54" i="18"/>
  <c r="H54" i="18"/>
  <c r="I54" i="18"/>
  <c r="J54" i="18"/>
  <c r="K54" i="18"/>
  <c r="L54" i="18"/>
  <c r="M54" i="18"/>
  <c r="N54" i="18"/>
  <c r="O54" i="18"/>
  <c r="P54" i="18"/>
  <c r="G55" i="18"/>
  <c r="H55" i="18"/>
  <c r="I55" i="18"/>
  <c r="J55" i="18"/>
  <c r="K55" i="18"/>
  <c r="L55" i="18"/>
  <c r="M55" i="18"/>
  <c r="N55" i="18"/>
  <c r="O55" i="18"/>
  <c r="P55" i="18"/>
  <c r="G56" i="18"/>
  <c r="H56" i="18"/>
  <c r="I56" i="18"/>
  <c r="J56" i="18"/>
  <c r="K56" i="18"/>
  <c r="L56" i="18"/>
  <c r="M56" i="18"/>
  <c r="N56" i="18"/>
  <c r="O56" i="18"/>
  <c r="P56" i="18"/>
  <c r="G57" i="18"/>
  <c r="H57" i="18"/>
  <c r="I57" i="18"/>
  <c r="J57" i="18"/>
  <c r="K57" i="18"/>
  <c r="L57" i="18"/>
  <c r="M57" i="18"/>
  <c r="N57" i="18"/>
  <c r="O57" i="18"/>
  <c r="P57" i="18"/>
  <c r="G58" i="18"/>
  <c r="H58" i="18"/>
  <c r="I58" i="18"/>
  <c r="J58" i="18"/>
  <c r="K58" i="18"/>
  <c r="L58" i="18"/>
  <c r="M58" i="18"/>
  <c r="N58" i="18"/>
  <c r="O58" i="18"/>
  <c r="P58" i="18"/>
  <c r="G59" i="18"/>
  <c r="H59" i="18"/>
  <c r="I59" i="18"/>
  <c r="J59" i="18"/>
  <c r="K59" i="18"/>
  <c r="L59" i="18"/>
  <c r="M59" i="18"/>
  <c r="N59" i="18"/>
  <c r="O59" i="18"/>
  <c r="P59" i="18"/>
  <c r="G60" i="18"/>
  <c r="H60" i="18"/>
  <c r="I60" i="18"/>
  <c r="J60" i="18"/>
  <c r="K60" i="18"/>
  <c r="L60" i="18"/>
  <c r="M60" i="18"/>
  <c r="N60" i="18"/>
  <c r="O60" i="18"/>
  <c r="P60" i="18"/>
  <c r="G61" i="18"/>
  <c r="H61" i="18"/>
  <c r="I61" i="18"/>
  <c r="J61" i="18"/>
  <c r="K61" i="18"/>
  <c r="L61" i="18"/>
  <c r="M61" i="18"/>
  <c r="N61" i="18"/>
  <c r="O61" i="18"/>
  <c r="P61" i="18"/>
  <c r="G62" i="18"/>
  <c r="H62" i="18"/>
  <c r="I62" i="18"/>
  <c r="J62" i="18"/>
  <c r="K62" i="18"/>
  <c r="L62" i="18"/>
  <c r="M62" i="18"/>
  <c r="N62" i="18"/>
  <c r="O62" i="18"/>
  <c r="P62" i="18"/>
  <c r="H2" i="18"/>
  <c r="I2" i="18"/>
  <c r="J2" i="18"/>
  <c r="K2" i="18"/>
  <c r="L2" i="18"/>
  <c r="M2" i="18"/>
  <c r="N2" i="18"/>
  <c r="O2" i="18"/>
  <c r="P2" i="18"/>
  <c r="G2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D1" i="18"/>
  <c r="W964" i="2" l="1"/>
  <c r="W963" i="2"/>
  <c r="W962" i="2"/>
  <c r="W961" i="2"/>
  <c r="W960" i="2"/>
  <c r="W959" i="2"/>
  <c r="W958" i="2"/>
  <c r="W957" i="2"/>
  <c r="W956" i="2"/>
  <c r="W955" i="2"/>
  <c r="W954" i="2"/>
  <c r="W953" i="2"/>
  <c r="W952" i="2"/>
  <c r="W951" i="2"/>
  <c r="W950" i="2"/>
  <c r="W949" i="2"/>
  <c r="W948" i="2"/>
  <c r="W947" i="2"/>
  <c r="W946" i="2"/>
  <c r="W945" i="2"/>
  <c r="W944" i="2"/>
  <c r="W943" i="2"/>
  <c r="W942" i="2"/>
  <c r="W941" i="2"/>
  <c r="W940" i="2"/>
  <c r="W939" i="2"/>
  <c r="W938" i="2"/>
  <c r="W937" i="2"/>
  <c r="W936" i="2"/>
  <c r="W935" i="2"/>
  <c r="W934" i="2"/>
  <c r="W933" i="2"/>
  <c r="W932" i="2"/>
  <c r="W931" i="2"/>
  <c r="W930" i="2"/>
  <c r="W929" i="2"/>
  <c r="W928" i="2"/>
  <c r="W927" i="2"/>
  <c r="W926" i="2"/>
  <c r="W925" i="2"/>
  <c r="W924" i="2"/>
  <c r="W923" i="2"/>
  <c r="W922" i="2"/>
  <c r="W921" i="2"/>
  <c r="W920" i="2"/>
  <c r="W919" i="2"/>
  <c r="W918" i="2"/>
  <c r="W917" i="2"/>
  <c r="W916" i="2"/>
  <c r="W915" i="2"/>
  <c r="W914" i="2"/>
  <c r="W913" i="2"/>
  <c r="W912" i="2"/>
  <c r="W911" i="2"/>
  <c r="W910" i="2"/>
  <c r="W909" i="2"/>
  <c r="W908" i="2"/>
  <c r="W907" i="2"/>
  <c r="W906" i="2"/>
  <c r="W905" i="2"/>
  <c r="W904" i="2"/>
  <c r="W903" i="2"/>
  <c r="W902" i="2"/>
  <c r="W901" i="2"/>
  <c r="W900" i="2"/>
  <c r="W899" i="2"/>
  <c r="W898" i="2"/>
  <c r="W897" i="2"/>
  <c r="W896" i="2"/>
  <c r="W895" i="2"/>
  <c r="W894" i="2"/>
  <c r="W893" i="2"/>
  <c r="W892" i="2"/>
  <c r="W891" i="2"/>
  <c r="W890" i="2"/>
  <c r="W889" i="2"/>
  <c r="W888" i="2"/>
  <c r="W887" i="2"/>
  <c r="W886" i="2"/>
  <c r="W885" i="2"/>
  <c r="W884" i="2"/>
  <c r="W883" i="2"/>
  <c r="W882" i="2"/>
  <c r="W881" i="2"/>
  <c r="W880" i="2"/>
  <c r="W879" i="2"/>
  <c r="W878" i="2"/>
  <c r="W877" i="2"/>
  <c r="W876" i="2"/>
  <c r="W875" i="2"/>
  <c r="W874" i="2"/>
  <c r="W873" i="2"/>
  <c r="W872" i="2"/>
  <c r="W871" i="2"/>
  <c r="W870" i="2"/>
  <c r="W869" i="2"/>
  <c r="W868" i="2"/>
  <c r="W867" i="2"/>
  <c r="W866" i="2"/>
  <c r="W865" i="2"/>
  <c r="W864" i="2"/>
  <c r="W863" i="2"/>
  <c r="W862" i="2"/>
  <c r="W861" i="2"/>
  <c r="W860" i="2"/>
  <c r="W859" i="2"/>
  <c r="W858" i="2"/>
  <c r="W857" i="2"/>
  <c r="W856" i="2"/>
  <c r="W855" i="2"/>
  <c r="W854" i="2"/>
  <c r="W853" i="2"/>
  <c r="W852" i="2"/>
  <c r="W851" i="2"/>
  <c r="W850" i="2"/>
  <c r="W849" i="2"/>
  <c r="W848" i="2"/>
  <c r="W847" i="2"/>
  <c r="W846" i="2"/>
  <c r="W845" i="2"/>
  <c r="W844" i="2"/>
  <c r="W843" i="2"/>
  <c r="W842" i="2"/>
  <c r="W841" i="2"/>
  <c r="W840" i="2"/>
  <c r="W839" i="2"/>
  <c r="W838" i="2"/>
  <c r="W837" i="2"/>
  <c r="W836" i="2"/>
  <c r="W835" i="2"/>
  <c r="W834" i="2"/>
  <c r="W833" i="2"/>
  <c r="W832" i="2"/>
  <c r="W831" i="2"/>
  <c r="W830" i="2"/>
  <c r="W829" i="2"/>
  <c r="W828" i="2"/>
  <c r="W827" i="2"/>
  <c r="W826" i="2"/>
  <c r="W825" i="2"/>
  <c r="W824" i="2"/>
  <c r="W823" i="2"/>
  <c r="W822" i="2"/>
  <c r="W821" i="2"/>
  <c r="W820" i="2"/>
  <c r="W819" i="2"/>
  <c r="W818" i="2"/>
  <c r="W817" i="2"/>
  <c r="W816" i="2"/>
  <c r="W815" i="2"/>
  <c r="W814" i="2"/>
  <c r="W813" i="2"/>
  <c r="W812" i="2"/>
  <c r="W811" i="2"/>
  <c r="W810" i="2"/>
  <c r="W809" i="2"/>
  <c r="W808" i="2"/>
  <c r="W807" i="2"/>
  <c r="W806" i="2"/>
  <c r="W805" i="2"/>
  <c r="W804" i="2"/>
  <c r="W803" i="2"/>
  <c r="W802" i="2"/>
  <c r="W801" i="2"/>
  <c r="W800" i="2"/>
  <c r="W799" i="2"/>
  <c r="W798" i="2"/>
  <c r="W797" i="2"/>
  <c r="W796" i="2"/>
  <c r="W795" i="2"/>
  <c r="W794" i="2"/>
  <c r="W793" i="2"/>
  <c r="W792" i="2"/>
  <c r="W791" i="2"/>
  <c r="W790" i="2"/>
  <c r="W789" i="2"/>
  <c r="W788" i="2"/>
  <c r="W787" i="2"/>
  <c r="W786" i="2"/>
  <c r="W785" i="2"/>
  <c r="W784" i="2"/>
  <c r="W783" i="2"/>
  <c r="W782" i="2"/>
  <c r="W781" i="2"/>
  <c r="W780" i="2"/>
  <c r="W779" i="2"/>
  <c r="W778" i="2"/>
  <c r="W777" i="2"/>
  <c r="W776" i="2"/>
  <c r="W775" i="2"/>
  <c r="W774" i="2"/>
  <c r="W773" i="2"/>
  <c r="W772" i="2"/>
  <c r="W771" i="2"/>
  <c r="W770" i="2"/>
  <c r="W769" i="2"/>
  <c r="W768" i="2"/>
  <c r="W767" i="2"/>
  <c r="W766" i="2"/>
  <c r="W765" i="2"/>
  <c r="W764" i="2"/>
  <c r="W763" i="2"/>
  <c r="W762" i="2"/>
  <c r="W761" i="2"/>
  <c r="W760" i="2"/>
  <c r="W759" i="2"/>
  <c r="W758" i="2"/>
  <c r="W757" i="2"/>
  <c r="W756" i="2"/>
  <c r="W755" i="2"/>
  <c r="W754" i="2"/>
  <c r="W753" i="2"/>
  <c r="W752" i="2"/>
  <c r="W751" i="2"/>
  <c r="W750" i="2"/>
  <c r="W749" i="2"/>
  <c r="W748" i="2"/>
  <c r="W747" i="2"/>
  <c r="W746" i="2"/>
  <c r="W745" i="2"/>
  <c r="W744" i="2"/>
  <c r="W743" i="2"/>
  <c r="W742" i="2"/>
  <c r="W741" i="2"/>
  <c r="W740" i="2"/>
  <c r="W739" i="2"/>
  <c r="W738" i="2"/>
  <c r="W737" i="2"/>
  <c r="W736" i="2"/>
  <c r="W735" i="2"/>
  <c r="W734" i="2"/>
  <c r="W733" i="2"/>
  <c r="W732" i="2"/>
  <c r="W731" i="2"/>
  <c r="W730" i="2"/>
  <c r="W729" i="2"/>
  <c r="W728" i="2"/>
  <c r="W727" i="2"/>
  <c r="W726" i="2"/>
  <c r="W725" i="2"/>
  <c r="W724" i="2"/>
  <c r="W723" i="2"/>
  <c r="W722" i="2"/>
  <c r="W721" i="2"/>
  <c r="W720" i="2"/>
  <c r="W719" i="2"/>
  <c r="W718" i="2"/>
  <c r="W717" i="2"/>
  <c r="W716" i="2"/>
  <c r="W715" i="2"/>
  <c r="W714" i="2"/>
  <c r="W713" i="2"/>
  <c r="W712" i="2"/>
  <c r="W711" i="2"/>
  <c r="W710" i="2"/>
  <c r="W709" i="2"/>
  <c r="W708" i="2"/>
  <c r="W707" i="2"/>
  <c r="W706" i="2"/>
  <c r="W705" i="2"/>
  <c r="W704" i="2"/>
  <c r="W703" i="2"/>
  <c r="W702" i="2"/>
  <c r="W701" i="2"/>
  <c r="W700" i="2"/>
  <c r="W699" i="2"/>
  <c r="W698" i="2"/>
  <c r="W697" i="2"/>
  <c r="W696" i="2"/>
  <c r="W695" i="2"/>
  <c r="W694" i="2"/>
  <c r="W693" i="2"/>
  <c r="W692" i="2"/>
  <c r="W691" i="2"/>
  <c r="W690" i="2"/>
  <c r="W689" i="2"/>
  <c r="W688" i="2"/>
  <c r="W687" i="2"/>
  <c r="W686" i="2"/>
  <c r="W685" i="2"/>
  <c r="W684" i="2"/>
  <c r="W683" i="2"/>
  <c r="W682" i="2"/>
  <c r="W681" i="2"/>
  <c r="W680" i="2"/>
  <c r="W679" i="2"/>
  <c r="W678" i="2"/>
  <c r="W677" i="2"/>
  <c r="W676" i="2"/>
  <c r="W675" i="2"/>
  <c r="W674" i="2"/>
  <c r="W673" i="2"/>
  <c r="W672" i="2"/>
  <c r="W671" i="2"/>
  <c r="W670" i="2"/>
  <c r="W669" i="2"/>
  <c r="W668" i="2"/>
  <c r="W667" i="2"/>
  <c r="W666" i="2"/>
  <c r="W665" i="2"/>
  <c r="W664" i="2"/>
  <c r="W663" i="2"/>
  <c r="W662" i="2"/>
  <c r="W661" i="2"/>
  <c r="W660" i="2"/>
  <c r="W659" i="2"/>
  <c r="W658" i="2"/>
  <c r="W657" i="2"/>
  <c r="W656" i="2"/>
  <c r="W655" i="2"/>
  <c r="W654" i="2"/>
  <c r="W653" i="2"/>
  <c r="W652" i="2"/>
  <c r="W651" i="2"/>
  <c r="W650" i="2"/>
  <c r="W649" i="2"/>
  <c r="W648" i="2"/>
  <c r="W647" i="2"/>
  <c r="W646" i="2"/>
  <c r="W645" i="2"/>
  <c r="W644" i="2"/>
  <c r="W643" i="2"/>
  <c r="W642" i="2"/>
  <c r="W641" i="2"/>
  <c r="W640" i="2"/>
  <c r="W639" i="2"/>
  <c r="W638" i="2"/>
  <c r="W637" i="2"/>
  <c r="W636" i="2"/>
  <c r="W635" i="2"/>
  <c r="W634" i="2"/>
  <c r="W633" i="2"/>
  <c r="W632" i="2"/>
  <c r="W631" i="2"/>
  <c r="W630" i="2"/>
  <c r="W629" i="2"/>
  <c r="W628" i="2"/>
  <c r="W627" i="2"/>
  <c r="W626" i="2"/>
  <c r="W625" i="2"/>
  <c r="W624" i="2"/>
  <c r="W623" i="2"/>
  <c r="W622" i="2"/>
  <c r="W621" i="2"/>
  <c r="W620" i="2"/>
  <c r="W619" i="2"/>
  <c r="W618" i="2"/>
  <c r="W617" i="2"/>
  <c r="W616" i="2"/>
  <c r="W615" i="2"/>
  <c r="W614" i="2"/>
  <c r="W613" i="2"/>
  <c r="W612" i="2"/>
  <c r="W611" i="2"/>
  <c r="W610" i="2"/>
  <c r="W609" i="2"/>
  <c r="W608" i="2"/>
  <c r="W607" i="2"/>
  <c r="W606" i="2"/>
  <c r="W605" i="2"/>
  <c r="W604" i="2"/>
  <c r="W603" i="2"/>
  <c r="W602" i="2"/>
  <c r="W601" i="2"/>
  <c r="W600" i="2"/>
  <c r="W599" i="2"/>
  <c r="W598" i="2"/>
  <c r="W597" i="2"/>
  <c r="W596" i="2"/>
  <c r="W595" i="2"/>
  <c r="W594" i="2"/>
  <c r="W593" i="2"/>
  <c r="W592" i="2"/>
  <c r="W591" i="2"/>
  <c r="W590" i="2"/>
  <c r="W589" i="2"/>
  <c r="W588" i="2"/>
  <c r="W587" i="2"/>
  <c r="W586" i="2"/>
  <c r="W585" i="2"/>
  <c r="W584" i="2"/>
  <c r="W583" i="2"/>
  <c r="W582" i="2"/>
  <c r="W581" i="2"/>
  <c r="W580" i="2"/>
  <c r="W579" i="2"/>
  <c r="W578" i="2"/>
  <c r="W577" i="2"/>
  <c r="W576" i="2"/>
  <c r="W575" i="2"/>
  <c r="W574" i="2"/>
  <c r="W573" i="2"/>
  <c r="W572" i="2"/>
  <c r="W571" i="2"/>
  <c r="W570" i="2"/>
  <c r="W569" i="2"/>
  <c r="W568" i="2"/>
  <c r="W567" i="2"/>
  <c r="W566" i="2"/>
  <c r="W565" i="2"/>
  <c r="W564" i="2"/>
  <c r="W563" i="2"/>
  <c r="W562" i="2"/>
  <c r="W561" i="2"/>
  <c r="W560" i="2"/>
  <c r="W559" i="2"/>
  <c r="W558" i="2"/>
  <c r="W557" i="2"/>
  <c r="W556" i="2"/>
  <c r="W555" i="2"/>
  <c r="W554" i="2"/>
  <c r="W553" i="2"/>
  <c r="W552" i="2"/>
  <c r="W551" i="2"/>
  <c r="W550" i="2"/>
  <c r="W549" i="2"/>
  <c r="W548" i="2"/>
  <c r="W547" i="2"/>
  <c r="W546" i="2"/>
  <c r="W545" i="2"/>
  <c r="W544" i="2"/>
  <c r="W543" i="2"/>
  <c r="W542" i="2"/>
  <c r="W541" i="2"/>
  <c r="W540" i="2"/>
  <c r="W539" i="2"/>
  <c r="W538" i="2"/>
  <c r="W537" i="2"/>
  <c r="W536" i="2"/>
  <c r="W535" i="2"/>
  <c r="W534" i="2"/>
  <c r="W533" i="2"/>
  <c r="W532" i="2"/>
  <c r="W531" i="2"/>
  <c r="W530" i="2"/>
  <c r="W529" i="2"/>
  <c r="W528" i="2"/>
  <c r="W527" i="2"/>
  <c r="W526" i="2"/>
  <c r="W525" i="2"/>
  <c r="W524" i="2"/>
  <c r="W523" i="2"/>
  <c r="W522" i="2"/>
  <c r="W521" i="2"/>
  <c r="W520" i="2"/>
  <c r="W519" i="2"/>
  <c r="W518" i="2"/>
  <c r="W517" i="2"/>
  <c r="W516" i="2"/>
  <c r="W515" i="2"/>
  <c r="W514" i="2"/>
  <c r="W513" i="2"/>
  <c r="W512" i="2"/>
  <c r="W511" i="2"/>
  <c r="W510" i="2"/>
  <c r="W509" i="2"/>
  <c r="W508" i="2"/>
  <c r="W507" i="2"/>
  <c r="W506" i="2"/>
  <c r="W505" i="2"/>
  <c r="W504" i="2"/>
  <c r="W503" i="2"/>
  <c r="W502" i="2"/>
  <c r="W501" i="2"/>
  <c r="W500" i="2"/>
  <c r="W499" i="2"/>
  <c r="W498" i="2"/>
  <c r="W497" i="2"/>
  <c r="W496" i="2"/>
  <c r="W495" i="2"/>
  <c r="W494" i="2"/>
  <c r="W493" i="2"/>
  <c r="W492" i="2"/>
  <c r="W491" i="2"/>
  <c r="W490" i="2"/>
  <c r="W489" i="2"/>
  <c r="W488" i="2"/>
  <c r="W487" i="2"/>
  <c r="W486" i="2"/>
  <c r="W485" i="2"/>
  <c r="W484" i="2"/>
  <c r="W483" i="2"/>
  <c r="W482" i="2"/>
  <c r="W481" i="2"/>
  <c r="W480" i="2"/>
  <c r="W479" i="2"/>
  <c r="W478" i="2"/>
  <c r="W477" i="2"/>
  <c r="W476" i="2"/>
  <c r="W475" i="2"/>
  <c r="W474" i="2"/>
  <c r="W473" i="2"/>
  <c r="W472" i="2"/>
  <c r="W471" i="2"/>
  <c r="W470" i="2"/>
  <c r="W469" i="2"/>
  <c r="W468" i="2"/>
  <c r="W467" i="2"/>
  <c r="W466" i="2"/>
  <c r="W465" i="2"/>
  <c r="W464" i="2"/>
  <c r="W463" i="2"/>
  <c r="W462" i="2"/>
  <c r="W461" i="2"/>
  <c r="W460" i="2"/>
  <c r="W459" i="2"/>
  <c r="W458" i="2"/>
  <c r="W457" i="2"/>
  <c r="W456" i="2"/>
  <c r="W455" i="2"/>
  <c r="W454" i="2"/>
  <c r="W453" i="2"/>
  <c r="W452" i="2"/>
  <c r="W451" i="2"/>
  <c r="W450" i="2"/>
  <c r="W449" i="2"/>
  <c r="W448" i="2"/>
  <c r="W447" i="2"/>
  <c r="W446" i="2"/>
  <c r="W445" i="2"/>
  <c r="W444" i="2"/>
  <c r="W443" i="2"/>
  <c r="W442" i="2"/>
  <c r="W441" i="2"/>
  <c r="W440" i="2"/>
  <c r="W439" i="2"/>
  <c r="W438" i="2"/>
  <c r="W437" i="2"/>
  <c r="W436" i="2"/>
  <c r="W435" i="2"/>
  <c r="W434" i="2"/>
  <c r="W433" i="2"/>
  <c r="W432" i="2"/>
  <c r="W431" i="2"/>
  <c r="W430" i="2"/>
  <c r="W429" i="2"/>
  <c r="W428" i="2"/>
  <c r="W427" i="2"/>
  <c r="W426" i="2"/>
  <c r="W425" i="2"/>
  <c r="W424" i="2"/>
  <c r="W423" i="2"/>
  <c r="W422" i="2"/>
  <c r="W421" i="2"/>
  <c r="W420" i="2"/>
  <c r="W419" i="2"/>
  <c r="W418" i="2"/>
  <c r="W417" i="2"/>
  <c r="W416" i="2"/>
  <c r="W415" i="2"/>
  <c r="W414" i="2"/>
  <c r="W413" i="2"/>
  <c r="W412" i="2"/>
  <c r="W411" i="2"/>
  <c r="W410" i="2"/>
  <c r="W409" i="2"/>
  <c r="W408" i="2"/>
  <c r="W407" i="2"/>
  <c r="W406" i="2"/>
  <c r="W405" i="2"/>
  <c r="W404" i="2"/>
  <c r="W403" i="2"/>
  <c r="W402" i="2"/>
  <c r="W401" i="2"/>
  <c r="W400" i="2"/>
  <c r="W399" i="2"/>
  <c r="W398" i="2"/>
  <c r="W397" i="2"/>
  <c r="W396" i="2"/>
  <c r="W395" i="2"/>
  <c r="W394" i="2"/>
  <c r="W393" i="2"/>
  <c r="W392" i="2"/>
  <c r="W391" i="2"/>
  <c r="W390" i="2"/>
  <c r="W389" i="2"/>
  <c r="W388" i="2"/>
  <c r="W387" i="2"/>
  <c r="W386" i="2"/>
  <c r="W385" i="2"/>
  <c r="W384" i="2"/>
  <c r="W383" i="2"/>
  <c r="W382" i="2"/>
  <c r="W381" i="2"/>
  <c r="W380" i="2"/>
  <c r="W379" i="2"/>
  <c r="W378" i="2"/>
  <c r="W377" i="2"/>
  <c r="W376" i="2"/>
  <c r="W375" i="2"/>
  <c r="W374" i="2"/>
  <c r="W373" i="2"/>
  <c r="W372" i="2"/>
  <c r="W371" i="2"/>
  <c r="W370" i="2"/>
  <c r="W369" i="2"/>
  <c r="W368" i="2"/>
  <c r="W367" i="2"/>
  <c r="W366" i="2"/>
  <c r="W365" i="2"/>
  <c r="W364" i="2"/>
  <c r="W363" i="2"/>
  <c r="W362" i="2"/>
  <c r="W361" i="2"/>
  <c r="W360" i="2"/>
  <c r="W359" i="2"/>
  <c r="W358" i="2"/>
  <c r="W357" i="2"/>
  <c r="W356" i="2"/>
  <c r="W355" i="2"/>
  <c r="W354" i="2"/>
  <c r="W353" i="2"/>
  <c r="W352" i="2"/>
  <c r="W351" i="2"/>
  <c r="W350" i="2"/>
  <c r="W349" i="2"/>
  <c r="W348" i="2"/>
  <c r="W347" i="2"/>
  <c r="W346" i="2"/>
  <c r="W345" i="2"/>
  <c r="W344" i="2"/>
  <c r="W343" i="2"/>
  <c r="W342" i="2"/>
  <c r="W341" i="2"/>
  <c r="W340" i="2"/>
  <c r="W339" i="2"/>
  <c r="W338" i="2"/>
  <c r="W337" i="2"/>
  <c r="W336" i="2"/>
  <c r="W335" i="2"/>
  <c r="W334" i="2"/>
  <c r="W333" i="2"/>
  <c r="W332" i="2"/>
  <c r="W331" i="2"/>
  <c r="W330" i="2"/>
  <c r="W329" i="2"/>
  <c r="W328" i="2"/>
  <c r="W327" i="2"/>
  <c r="W326" i="2"/>
  <c r="W325" i="2"/>
  <c r="W324" i="2"/>
  <c r="W323" i="2"/>
  <c r="W322" i="2"/>
  <c r="W321" i="2"/>
  <c r="W320" i="2"/>
  <c r="W319" i="2"/>
  <c r="W318" i="2"/>
  <c r="W317" i="2"/>
  <c r="W316" i="2"/>
  <c r="W315" i="2"/>
  <c r="W314" i="2"/>
  <c r="W313" i="2"/>
  <c r="W312" i="2"/>
  <c r="W311" i="2"/>
  <c r="W310" i="2"/>
  <c r="W309" i="2"/>
  <c r="W308" i="2"/>
  <c r="W307" i="2"/>
  <c r="W306" i="2"/>
  <c r="W305" i="2"/>
  <c r="W304" i="2"/>
  <c r="W303" i="2"/>
  <c r="W302" i="2"/>
  <c r="W301" i="2"/>
  <c r="W300" i="2"/>
  <c r="W299" i="2"/>
  <c r="W298" i="2"/>
  <c r="W297" i="2"/>
  <c r="W296" i="2"/>
  <c r="W295" i="2"/>
  <c r="W294" i="2"/>
  <c r="W293" i="2"/>
  <c r="W292" i="2"/>
  <c r="W291" i="2"/>
  <c r="W290" i="2"/>
  <c r="W289" i="2"/>
  <c r="W288" i="2"/>
  <c r="W287" i="2"/>
  <c r="W286" i="2"/>
  <c r="W285" i="2"/>
  <c r="W284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W239" i="2"/>
  <c r="W238" i="2"/>
  <c r="W237" i="2"/>
  <c r="W236" i="2"/>
  <c r="W235" i="2"/>
  <c r="W234" i="2"/>
  <c r="W233" i="2"/>
  <c r="W232" i="2"/>
  <c r="W231" i="2"/>
  <c r="W230" i="2"/>
  <c r="W229" i="2"/>
  <c r="W228" i="2"/>
  <c r="W227" i="2"/>
  <c r="W226" i="2"/>
  <c r="W225" i="2"/>
  <c r="W224" i="2"/>
  <c r="W223" i="2"/>
  <c r="W222" i="2"/>
  <c r="W221" i="2"/>
  <c r="W220" i="2"/>
  <c r="W219" i="2"/>
  <c r="W218" i="2"/>
  <c r="W217" i="2"/>
  <c r="W216" i="2"/>
  <c r="W215" i="2"/>
  <c r="W214" i="2"/>
  <c r="W213" i="2"/>
  <c r="W212" i="2"/>
  <c r="W211" i="2"/>
  <c r="W210" i="2"/>
  <c r="W209" i="2"/>
  <c r="W208" i="2"/>
  <c r="W207" i="2"/>
  <c r="W206" i="2"/>
  <c r="W205" i="2"/>
  <c r="W204" i="2"/>
  <c r="W203" i="2"/>
  <c r="W202" i="2"/>
  <c r="W201" i="2"/>
  <c r="W200" i="2"/>
  <c r="W199" i="2"/>
  <c r="W198" i="2"/>
  <c r="W197" i="2"/>
  <c r="W196" i="2"/>
  <c r="W195" i="2"/>
  <c r="W194" i="2"/>
  <c r="W193" i="2"/>
  <c r="W192" i="2"/>
  <c r="W191" i="2"/>
  <c r="W190" i="2"/>
  <c r="W189" i="2"/>
  <c r="W188" i="2"/>
  <c r="W187" i="2"/>
  <c r="W186" i="2"/>
  <c r="W185" i="2"/>
  <c r="W184" i="2"/>
  <c r="W183" i="2"/>
  <c r="W182" i="2"/>
  <c r="W181" i="2"/>
  <c r="W180" i="2"/>
  <c r="W179" i="2"/>
  <c r="W178" i="2"/>
  <c r="W177" i="2"/>
  <c r="W176" i="2"/>
  <c r="W175" i="2"/>
  <c r="W174" i="2"/>
  <c r="W173" i="2"/>
  <c r="W172" i="2"/>
  <c r="W171" i="2"/>
  <c r="W170" i="2"/>
  <c r="W169" i="2"/>
  <c r="W168" i="2"/>
  <c r="W167" i="2"/>
  <c r="W166" i="2"/>
  <c r="W165" i="2"/>
  <c r="W164" i="2"/>
  <c r="W163" i="2"/>
  <c r="W162" i="2"/>
  <c r="W161" i="2"/>
  <c r="W160" i="2"/>
  <c r="W159" i="2"/>
  <c r="W158" i="2"/>
  <c r="W157" i="2"/>
  <c r="W156" i="2"/>
  <c r="W155" i="2"/>
  <c r="W154" i="2"/>
  <c r="W153" i="2"/>
  <c r="W152" i="2"/>
  <c r="W151" i="2"/>
  <c r="W150" i="2"/>
  <c r="W149" i="2"/>
  <c r="W148" i="2"/>
  <c r="W147" i="2"/>
  <c r="W146" i="2"/>
  <c r="W145" i="2"/>
  <c r="W144" i="2"/>
  <c r="W143" i="2"/>
  <c r="W142" i="2"/>
  <c r="W141" i="2"/>
  <c r="W140" i="2"/>
  <c r="W139" i="2"/>
  <c r="W138" i="2"/>
  <c r="W137" i="2"/>
  <c r="W136" i="2"/>
  <c r="W135" i="2"/>
  <c r="W134" i="2"/>
  <c r="W133" i="2"/>
  <c r="W132" i="2"/>
  <c r="W131" i="2"/>
  <c r="W130" i="2"/>
  <c r="W129" i="2"/>
  <c r="W128" i="2"/>
  <c r="W127" i="2"/>
  <c r="W126" i="2"/>
  <c r="W125" i="2"/>
  <c r="W124" i="2"/>
  <c r="W123" i="2"/>
  <c r="W122" i="2"/>
  <c r="W121" i="2"/>
  <c r="W120" i="2"/>
  <c r="W119" i="2"/>
  <c r="W118" i="2"/>
  <c r="W117" i="2"/>
  <c r="W116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5" i="2"/>
  <c r="W94" i="2"/>
  <c r="W93" i="2"/>
  <c r="W92" i="2"/>
  <c r="W91" i="2"/>
  <c r="W90" i="2"/>
  <c r="W89" i="2"/>
  <c r="W88" i="2"/>
  <c r="W87" i="2"/>
  <c r="W86" i="2"/>
  <c r="W85" i="2"/>
  <c r="W84" i="2"/>
  <c r="W83" i="2"/>
  <c r="W82" i="2"/>
  <c r="W81" i="2"/>
  <c r="W80" i="2"/>
  <c r="W79" i="2"/>
  <c r="W78" i="2"/>
  <c r="W77" i="2"/>
  <c r="W76" i="2"/>
  <c r="W75" i="2"/>
  <c r="W74" i="2"/>
  <c r="W73" i="2"/>
  <c r="W72" i="2"/>
  <c r="W71" i="2"/>
  <c r="W70" i="2"/>
  <c r="W69" i="2"/>
  <c r="W68" i="2"/>
  <c r="W67" i="2"/>
  <c r="W66" i="2"/>
  <c r="W65" i="2"/>
  <c r="W64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2" i="2"/>
  <c r="X2" i="2" s="1"/>
  <c r="A2" i="16"/>
  <c r="A2" i="15"/>
  <c r="A2" i="14"/>
  <c r="A2" i="13"/>
  <c r="A2" i="12"/>
  <c r="A2" i="11"/>
  <c r="A2" i="10"/>
  <c r="A2" i="9"/>
  <c r="A2" i="7"/>
  <c r="A2" i="8"/>
  <c r="T2" i="2" l="1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D34" i="7" l="1"/>
  <c r="D35" i="7"/>
  <c r="D36" i="7"/>
  <c r="D5" i="4" a="1"/>
  <c r="D5" i="4" s="1"/>
  <c r="D13" i="4" l="1"/>
  <c r="D12" i="4"/>
  <c r="D8" i="4"/>
  <c r="D11" i="4"/>
  <c r="D7" i="4"/>
  <c r="D14" i="4"/>
  <c r="D10" i="4"/>
  <c r="D6" i="4"/>
  <c r="D9" i="4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AA2" i="3" l="1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H34" i="15"/>
  <c r="G34" i="15"/>
  <c r="F34" i="15"/>
  <c r="H22" i="15"/>
  <c r="G22" i="15"/>
  <c r="F22" i="15"/>
  <c r="H34" i="16"/>
  <c r="G34" i="16"/>
  <c r="F34" i="16"/>
  <c r="H22" i="16"/>
  <c r="G22" i="16"/>
  <c r="F22" i="16"/>
  <c r="H34" i="14"/>
  <c r="G34" i="14"/>
  <c r="F34" i="14"/>
  <c r="H22" i="14"/>
  <c r="G22" i="14"/>
  <c r="F22" i="14"/>
  <c r="H34" i="9"/>
  <c r="G34" i="9"/>
  <c r="F34" i="9"/>
  <c r="H22" i="9"/>
  <c r="G22" i="9"/>
  <c r="F22" i="9"/>
  <c r="H34" i="7"/>
  <c r="G34" i="7"/>
  <c r="F34" i="7"/>
  <c r="H22" i="7"/>
  <c r="G22" i="7"/>
  <c r="F22" i="7"/>
  <c r="H34" i="10"/>
  <c r="G34" i="10"/>
  <c r="F34" i="10"/>
  <c r="H22" i="10"/>
  <c r="G22" i="10"/>
  <c r="F22" i="10"/>
  <c r="H34" i="13"/>
  <c r="G34" i="13"/>
  <c r="F34" i="13"/>
  <c r="H22" i="13"/>
  <c r="G22" i="13"/>
  <c r="F22" i="13"/>
  <c r="H34" i="12"/>
  <c r="G34" i="12"/>
  <c r="F34" i="12"/>
  <c r="H22" i="12"/>
  <c r="G22" i="12"/>
  <c r="F22" i="12"/>
  <c r="H34" i="11"/>
  <c r="G34" i="11"/>
  <c r="F34" i="11"/>
  <c r="H22" i="11"/>
  <c r="G22" i="11"/>
  <c r="F22" i="11"/>
  <c r="H41" i="8"/>
  <c r="G41" i="8"/>
  <c r="F41" i="8"/>
  <c r="H29" i="8"/>
  <c r="G29" i="8"/>
  <c r="F29" i="8"/>
  <c r="E34" i="16" l="1"/>
  <c r="I34" i="16"/>
  <c r="J34" i="16"/>
  <c r="D10" i="16"/>
  <c r="D22" i="16" s="1"/>
  <c r="J46" i="16"/>
  <c r="D34" i="16"/>
  <c r="J22" i="16"/>
  <c r="I22" i="16"/>
  <c r="E22" i="16"/>
  <c r="J46" i="15"/>
  <c r="J34" i="15"/>
  <c r="I34" i="15"/>
  <c r="E34" i="15"/>
  <c r="J22" i="15"/>
  <c r="I22" i="15"/>
  <c r="E22" i="15"/>
  <c r="D22" i="15"/>
  <c r="D34" i="14"/>
  <c r="D10" i="14"/>
  <c r="D22" i="14" s="1"/>
  <c r="J46" i="14"/>
  <c r="J34" i="14"/>
  <c r="I34" i="14"/>
  <c r="E34" i="14"/>
  <c r="J22" i="14"/>
  <c r="I22" i="14"/>
  <c r="E22" i="14"/>
  <c r="D10" i="13"/>
  <c r="J46" i="13"/>
  <c r="J34" i="13"/>
  <c r="I34" i="13"/>
  <c r="E34" i="13"/>
  <c r="D34" i="13"/>
  <c r="J22" i="13"/>
  <c r="I22" i="13"/>
  <c r="E22" i="13"/>
  <c r="D22" i="13"/>
  <c r="D10" i="12"/>
  <c r="D10" i="11"/>
  <c r="J46" i="12"/>
  <c r="J34" i="12"/>
  <c r="I34" i="12"/>
  <c r="E34" i="12"/>
  <c r="D34" i="12"/>
  <c r="J22" i="12"/>
  <c r="I22" i="12"/>
  <c r="E22" i="12"/>
  <c r="D22" i="12"/>
  <c r="J46" i="11"/>
  <c r="J34" i="11"/>
  <c r="I34" i="11"/>
  <c r="E34" i="11"/>
  <c r="D34" i="11"/>
  <c r="J22" i="11"/>
  <c r="I22" i="11"/>
  <c r="E22" i="11"/>
  <c r="D22" i="11"/>
  <c r="D10" i="10"/>
  <c r="J46" i="10"/>
  <c r="J34" i="10"/>
  <c r="I34" i="10"/>
  <c r="E34" i="10"/>
  <c r="D34" i="10"/>
  <c r="J22" i="10"/>
  <c r="I22" i="10"/>
  <c r="E22" i="10"/>
  <c r="D22" i="10"/>
  <c r="J46" i="9"/>
  <c r="J34" i="9"/>
  <c r="I34" i="9"/>
  <c r="E34" i="9"/>
  <c r="D34" i="9"/>
  <c r="J22" i="9"/>
  <c r="I22" i="9"/>
  <c r="E22" i="9"/>
  <c r="D22" i="9"/>
  <c r="D5" i="15"/>
  <c r="D5" i="16"/>
  <c r="D45" i="16" s="1"/>
  <c r="D5" i="9"/>
  <c r="E5" i="16"/>
  <c r="F5" i="16" s="1"/>
  <c r="G5" i="16" s="1"/>
  <c r="G45" i="16" s="1"/>
  <c r="E45" i="16"/>
  <c r="F45" i="16"/>
  <c r="H5" i="16"/>
  <c r="I5" i="16" s="1"/>
  <c r="J5" i="16" s="1"/>
  <c r="H45" i="16"/>
  <c r="I45" i="16"/>
  <c r="D5" i="14"/>
  <c r="D5" i="10"/>
  <c r="D5" i="13"/>
  <c r="D5" i="11"/>
  <c r="E5" i="11" s="1"/>
  <c r="F5" i="11" s="1"/>
  <c r="D45" i="13"/>
  <c r="D45" i="11"/>
  <c r="E45" i="11"/>
  <c r="F45" i="11"/>
  <c r="D5" i="12"/>
  <c r="E5" i="13"/>
  <c r="G5" i="11"/>
  <c r="D45" i="15"/>
  <c r="D45" i="9"/>
  <c r="D45" i="14"/>
  <c r="E5" i="14"/>
  <c r="E5" i="10"/>
  <c r="E5" i="12"/>
  <c r="D45" i="12"/>
  <c r="F5" i="13"/>
  <c r="E45" i="13"/>
  <c r="H5" i="11"/>
  <c r="G45" i="11"/>
  <c r="F5" i="14"/>
  <c r="E45" i="14"/>
  <c r="F5" i="10"/>
  <c r="E45" i="10"/>
  <c r="F5" i="12"/>
  <c r="E45" i="12"/>
  <c r="F45" i="13"/>
  <c r="G5" i="13"/>
  <c r="I5" i="11"/>
  <c r="H45" i="11"/>
  <c r="F45" i="14"/>
  <c r="G5" i="14"/>
  <c r="G5" i="10"/>
  <c r="F45" i="10"/>
  <c r="G5" i="12"/>
  <c r="F45" i="12"/>
  <c r="H5" i="13"/>
  <c r="G45" i="13"/>
  <c r="J5" i="11"/>
  <c r="I45" i="11"/>
  <c r="G45" i="14"/>
  <c r="H5" i="14"/>
  <c r="H5" i="10"/>
  <c r="G45" i="10"/>
  <c r="G45" i="12"/>
  <c r="H5" i="12"/>
  <c r="H45" i="13"/>
  <c r="I5" i="13"/>
  <c r="H45" i="14"/>
  <c r="I5" i="14"/>
  <c r="H45" i="10"/>
  <c r="I5" i="10"/>
  <c r="I5" i="12"/>
  <c r="H45" i="12"/>
  <c r="I45" i="13"/>
  <c r="J5" i="13"/>
  <c r="J5" i="14"/>
  <c r="I45" i="14"/>
  <c r="I45" i="10"/>
  <c r="J5" i="10"/>
  <c r="J5" i="12"/>
  <c r="I45" i="12"/>
  <c r="E16" i="10" l="1"/>
  <c r="H42" i="11"/>
  <c r="H30" i="11"/>
  <c r="H17" i="11"/>
  <c r="H25" i="11"/>
  <c r="H36" i="11"/>
  <c r="H31" i="11"/>
  <c r="H24" i="11"/>
  <c r="H18" i="11"/>
  <c r="H48" i="11"/>
  <c r="H32" i="11"/>
  <c r="H20" i="11"/>
  <c r="H49" i="11"/>
  <c r="H21" i="11"/>
  <c r="H16" i="11"/>
  <c r="H33" i="11"/>
  <c r="H36" i="13"/>
  <c r="H31" i="13"/>
  <c r="H24" i="13"/>
  <c r="H18" i="13"/>
  <c r="H48" i="13"/>
  <c r="H32" i="13"/>
  <c r="H25" i="13"/>
  <c r="H33" i="13"/>
  <c r="H20" i="13"/>
  <c r="H21" i="13"/>
  <c r="H30" i="13"/>
  <c r="H17" i="13"/>
  <c r="H49" i="13"/>
  <c r="H42" i="13"/>
  <c r="H16" i="13"/>
  <c r="H48" i="12"/>
  <c r="H32" i="12"/>
  <c r="H21" i="12"/>
  <c r="H16" i="12"/>
  <c r="H42" i="12"/>
  <c r="H18" i="12"/>
  <c r="H36" i="12"/>
  <c r="H30" i="12"/>
  <c r="H17" i="12"/>
  <c r="H33" i="12"/>
  <c r="H24" i="12"/>
  <c r="H31" i="12"/>
  <c r="H25" i="12"/>
  <c r="H49" i="12"/>
  <c r="H20" i="12"/>
  <c r="H36" i="16"/>
  <c r="H31" i="16"/>
  <c r="H24" i="16"/>
  <c r="H18" i="16"/>
  <c r="H48" i="16"/>
  <c r="H32" i="16"/>
  <c r="H25" i="16"/>
  <c r="H20" i="16"/>
  <c r="H49" i="16"/>
  <c r="H33" i="16"/>
  <c r="H21" i="16"/>
  <c r="H16" i="16"/>
  <c r="H42" i="16"/>
  <c r="H30" i="16"/>
  <c r="H17" i="16"/>
  <c r="H48" i="14"/>
  <c r="H32" i="14"/>
  <c r="H25" i="14"/>
  <c r="H20" i="14"/>
  <c r="H49" i="14"/>
  <c r="H33" i="14"/>
  <c r="H21" i="14"/>
  <c r="H16" i="14"/>
  <c r="H42" i="14"/>
  <c r="H30" i="14"/>
  <c r="H17" i="14"/>
  <c r="H36" i="14"/>
  <c r="H24" i="14"/>
  <c r="H31" i="14"/>
  <c r="H18" i="14"/>
  <c r="H49" i="10"/>
  <c r="H33" i="10"/>
  <c r="H21" i="10"/>
  <c r="H16" i="10"/>
  <c r="H42" i="10"/>
  <c r="H30" i="10"/>
  <c r="H17" i="10"/>
  <c r="H36" i="10"/>
  <c r="H31" i="10"/>
  <c r="H24" i="10"/>
  <c r="H18" i="10"/>
  <c r="H25" i="10"/>
  <c r="H32" i="10"/>
  <c r="H20" i="10"/>
  <c r="H48" i="10"/>
  <c r="G49" i="11"/>
  <c r="G33" i="11"/>
  <c r="G21" i="11"/>
  <c r="G16" i="11"/>
  <c r="G36" i="11"/>
  <c r="G42" i="11"/>
  <c r="G30" i="11"/>
  <c r="G17" i="11"/>
  <c r="G31" i="11"/>
  <c r="G24" i="11"/>
  <c r="G18" i="11"/>
  <c r="G48" i="11"/>
  <c r="G32" i="11"/>
  <c r="G25" i="11"/>
  <c r="G20" i="11"/>
  <c r="G49" i="13"/>
  <c r="G42" i="13"/>
  <c r="G30" i="13"/>
  <c r="G17" i="13"/>
  <c r="G36" i="13"/>
  <c r="G31" i="13"/>
  <c r="G24" i="13"/>
  <c r="G48" i="13"/>
  <c r="G25" i="13"/>
  <c r="G16" i="13"/>
  <c r="G33" i="13"/>
  <c r="G20" i="13"/>
  <c r="G32" i="13"/>
  <c r="G18" i="13"/>
  <c r="G21" i="13"/>
  <c r="G36" i="12"/>
  <c r="G31" i="12"/>
  <c r="G25" i="12"/>
  <c r="G20" i="12"/>
  <c r="G48" i="12"/>
  <c r="G32" i="12"/>
  <c r="G21" i="12"/>
  <c r="G16" i="12"/>
  <c r="G30" i="12"/>
  <c r="G17" i="12"/>
  <c r="G49" i="12"/>
  <c r="G42" i="12"/>
  <c r="G33" i="12"/>
  <c r="G24" i="12"/>
  <c r="G18" i="12"/>
  <c r="G42" i="16"/>
  <c r="G30" i="16"/>
  <c r="G17" i="16"/>
  <c r="G36" i="16"/>
  <c r="G31" i="16"/>
  <c r="G24" i="16"/>
  <c r="G18" i="16"/>
  <c r="G48" i="16"/>
  <c r="G32" i="16"/>
  <c r="G25" i="16"/>
  <c r="G20" i="16"/>
  <c r="G16" i="16"/>
  <c r="G33" i="16"/>
  <c r="G21" i="16"/>
  <c r="G49" i="16"/>
  <c r="G36" i="14"/>
  <c r="G31" i="14"/>
  <c r="G24" i="14"/>
  <c r="G18" i="14"/>
  <c r="G48" i="14"/>
  <c r="G32" i="14"/>
  <c r="G25" i="14"/>
  <c r="G20" i="14"/>
  <c r="G49" i="14"/>
  <c r="G33" i="14"/>
  <c r="G21" i="14"/>
  <c r="G16" i="14"/>
  <c r="G42" i="14"/>
  <c r="G30" i="14"/>
  <c r="G38" i="14" s="1"/>
  <c r="G17" i="14"/>
  <c r="G48" i="10"/>
  <c r="G32" i="10"/>
  <c r="G25" i="10"/>
  <c r="G20" i="10"/>
  <c r="G49" i="10"/>
  <c r="G33" i="10"/>
  <c r="G21" i="10"/>
  <c r="G16" i="10"/>
  <c r="G42" i="10"/>
  <c r="G30" i="10"/>
  <c r="G17" i="10"/>
  <c r="G36" i="10"/>
  <c r="G24" i="10"/>
  <c r="G18" i="10"/>
  <c r="G31" i="10"/>
  <c r="F48" i="11"/>
  <c r="F32" i="11"/>
  <c r="F25" i="11"/>
  <c r="F20" i="11"/>
  <c r="F42" i="11"/>
  <c r="F17" i="11"/>
  <c r="F49" i="11"/>
  <c r="F33" i="11"/>
  <c r="F21" i="11"/>
  <c r="F16" i="11"/>
  <c r="F30" i="11"/>
  <c r="F36" i="11"/>
  <c r="F31" i="11"/>
  <c r="F24" i="11"/>
  <c r="F18" i="11"/>
  <c r="F48" i="13"/>
  <c r="F49" i="13"/>
  <c r="F33" i="13"/>
  <c r="F21" i="13"/>
  <c r="F16" i="13"/>
  <c r="F42" i="13"/>
  <c r="F30" i="13"/>
  <c r="F36" i="13"/>
  <c r="F31" i="13"/>
  <c r="F18" i="13"/>
  <c r="F17" i="13"/>
  <c r="F25" i="13"/>
  <c r="F24" i="13"/>
  <c r="F20" i="13"/>
  <c r="F32" i="13"/>
  <c r="F42" i="12"/>
  <c r="F49" i="12"/>
  <c r="F33" i="12"/>
  <c r="F31" i="12"/>
  <c r="F24" i="12"/>
  <c r="F18" i="12"/>
  <c r="F36" i="12"/>
  <c r="F32" i="12"/>
  <c r="F21" i="12"/>
  <c r="F16" i="12"/>
  <c r="F25" i="12"/>
  <c r="F20" i="12"/>
  <c r="F48" i="12"/>
  <c r="F17" i="12"/>
  <c r="F30" i="12"/>
  <c r="F49" i="16"/>
  <c r="F33" i="16"/>
  <c r="F21" i="16"/>
  <c r="F16" i="16"/>
  <c r="F42" i="16"/>
  <c r="F30" i="16"/>
  <c r="F17" i="16"/>
  <c r="F36" i="16"/>
  <c r="F31" i="16"/>
  <c r="F24" i="16"/>
  <c r="F18" i="16"/>
  <c r="F48" i="16"/>
  <c r="F25" i="16"/>
  <c r="F32" i="16"/>
  <c r="F20" i="16"/>
  <c r="F42" i="14"/>
  <c r="F30" i="14"/>
  <c r="F17" i="14"/>
  <c r="F36" i="14"/>
  <c r="F31" i="14"/>
  <c r="F24" i="14"/>
  <c r="F18" i="14"/>
  <c r="F48" i="14"/>
  <c r="F32" i="14"/>
  <c r="F25" i="14"/>
  <c r="F20" i="14"/>
  <c r="F33" i="14"/>
  <c r="F21" i="14"/>
  <c r="F49" i="14"/>
  <c r="F16" i="14"/>
  <c r="F36" i="10"/>
  <c r="F31" i="10"/>
  <c r="F24" i="10"/>
  <c r="F18" i="10"/>
  <c r="F48" i="10"/>
  <c r="F32" i="10"/>
  <c r="F25" i="10"/>
  <c r="F20" i="10"/>
  <c r="F49" i="10"/>
  <c r="F33" i="10"/>
  <c r="F21" i="10"/>
  <c r="F16" i="10"/>
  <c r="F42" i="10"/>
  <c r="F17" i="10"/>
  <c r="F30" i="10"/>
  <c r="J33" i="16"/>
  <c r="J32" i="16"/>
  <c r="I32" i="16"/>
  <c r="I33" i="16"/>
  <c r="E32" i="16"/>
  <c r="E33" i="16"/>
  <c r="D33" i="16"/>
  <c r="D32" i="16"/>
  <c r="J36" i="16"/>
  <c r="J21" i="16"/>
  <c r="J30" i="16"/>
  <c r="J20" i="16"/>
  <c r="J31" i="16"/>
  <c r="I21" i="16"/>
  <c r="I30" i="16"/>
  <c r="I20" i="16"/>
  <c r="I31" i="16"/>
  <c r="I36" i="16"/>
  <c r="E21" i="16"/>
  <c r="E30" i="16"/>
  <c r="E20" i="16"/>
  <c r="E31" i="16"/>
  <c r="E36" i="16"/>
  <c r="D21" i="16"/>
  <c r="D20" i="16"/>
  <c r="D33" i="15"/>
  <c r="D32" i="15"/>
  <c r="D21" i="15"/>
  <c r="D20" i="15"/>
  <c r="J32" i="14"/>
  <c r="J21" i="14"/>
  <c r="J33" i="14"/>
  <c r="J20" i="14"/>
  <c r="I32" i="14"/>
  <c r="I21" i="14"/>
  <c r="I33" i="14"/>
  <c r="I20" i="14"/>
  <c r="E32" i="14"/>
  <c r="E21" i="14"/>
  <c r="E33" i="14"/>
  <c r="E20" i="14"/>
  <c r="D33" i="14"/>
  <c r="D32" i="14"/>
  <c r="D21" i="14"/>
  <c r="D20" i="14"/>
  <c r="J32" i="13"/>
  <c r="J21" i="13"/>
  <c r="J20" i="13"/>
  <c r="J33" i="13"/>
  <c r="I32" i="13"/>
  <c r="I21" i="13"/>
  <c r="I33" i="13"/>
  <c r="I20" i="13"/>
  <c r="E32" i="13"/>
  <c r="E21" i="13"/>
  <c r="E33" i="13"/>
  <c r="E20" i="13"/>
  <c r="D33" i="13"/>
  <c r="D32" i="13"/>
  <c r="D20" i="13"/>
  <c r="D21" i="13"/>
  <c r="J20" i="12"/>
  <c r="J32" i="12"/>
  <c r="J21" i="12"/>
  <c r="J33" i="12"/>
  <c r="I32" i="12"/>
  <c r="I21" i="12"/>
  <c r="I33" i="12"/>
  <c r="I20" i="12"/>
  <c r="E32" i="12"/>
  <c r="E21" i="12"/>
  <c r="E33" i="12"/>
  <c r="E20" i="12"/>
  <c r="D33" i="12"/>
  <c r="D20" i="12"/>
  <c r="D32" i="12"/>
  <c r="D21" i="12"/>
  <c r="J33" i="11"/>
  <c r="J20" i="11"/>
  <c r="J32" i="11"/>
  <c r="J21" i="11"/>
  <c r="I33" i="11"/>
  <c r="I20" i="11"/>
  <c r="I32" i="11"/>
  <c r="I21" i="11"/>
  <c r="E33" i="11"/>
  <c r="E20" i="11"/>
  <c r="E32" i="11"/>
  <c r="E21" i="11"/>
  <c r="D21" i="11"/>
  <c r="D20" i="11"/>
  <c r="D33" i="11"/>
  <c r="D32" i="11"/>
  <c r="J33" i="10"/>
  <c r="J20" i="10"/>
  <c r="J32" i="10"/>
  <c r="J21" i="10"/>
  <c r="I33" i="10"/>
  <c r="I20" i="10"/>
  <c r="I32" i="10"/>
  <c r="I21" i="10"/>
  <c r="E33" i="10"/>
  <c r="E20" i="10"/>
  <c r="E21" i="10"/>
  <c r="E32" i="10"/>
  <c r="D21" i="10"/>
  <c r="D20" i="10"/>
  <c r="D33" i="10"/>
  <c r="D32" i="10"/>
  <c r="D33" i="9"/>
  <c r="D32" i="9"/>
  <c r="D21" i="9"/>
  <c r="D20" i="9"/>
  <c r="D9" i="16"/>
  <c r="D11" i="16" s="1"/>
  <c r="E9" i="16" s="1"/>
  <c r="E11" i="16" s="1"/>
  <c r="F9" i="16" s="1"/>
  <c r="F11" i="16" s="1"/>
  <c r="G9" i="16" s="1"/>
  <c r="G11" i="16" s="1"/>
  <c r="H9" i="16" s="1"/>
  <c r="H11" i="16" s="1"/>
  <c r="J49" i="16"/>
  <c r="J24" i="16"/>
  <c r="J17" i="16"/>
  <c r="J25" i="16"/>
  <c r="J18" i="16"/>
  <c r="J48" i="16"/>
  <c r="J42" i="16"/>
  <c r="J16" i="16"/>
  <c r="I16" i="16"/>
  <c r="I49" i="16"/>
  <c r="I25" i="16"/>
  <c r="I48" i="16"/>
  <c r="I42" i="16"/>
  <c r="I18" i="16"/>
  <c r="I24" i="16"/>
  <c r="I17" i="16"/>
  <c r="E16" i="16"/>
  <c r="E24" i="16"/>
  <c r="E17" i="16"/>
  <c r="E49" i="16"/>
  <c r="E18" i="16"/>
  <c r="E48" i="16"/>
  <c r="E42" i="16"/>
  <c r="E25" i="16"/>
  <c r="D31" i="16"/>
  <c r="D17" i="16"/>
  <c r="D49" i="16"/>
  <c r="D36" i="16"/>
  <c r="D24" i="16"/>
  <c r="D48" i="16"/>
  <c r="D42" i="16"/>
  <c r="D30" i="16"/>
  <c r="D25" i="16"/>
  <c r="D18" i="16"/>
  <c r="D16" i="16"/>
  <c r="D49" i="15"/>
  <c r="D36" i="15"/>
  <c r="D30" i="15"/>
  <c r="D25" i="15"/>
  <c r="D17" i="15"/>
  <c r="D48" i="15"/>
  <c r="D42" i="15"/>
  <c r="D31" i="15"/>
  <c r="D16" i="15"/>
  <c r="D18" i="15"/>
  <c r="D24" i="15"/>
  <c r="D9" i="15"/>
  <c r="D11" i="15" s="1"/>
  <c r="E9" i="15" s="1"/>
  <c r="E11" i="15" s="1"/>
  <c r="D34" i="15"/>
  <c r="J49" i="14"/>
  <c r="J36" i="14"/>
  <c r="J31" i="14"/>
  <c r="J18" i="14"/>
  <c r="J25" i="14"/>
  <c r="J17" i="14"/>
  <c r="J48" i="14"/>
  <c r="J42" i="14"/>
  <c r="J30" i="14"/>
  <c r="J24" i="14"/>
  <c r="J16" i="14"/>
  <c r="I30" i="14"/>
  <c r="I25" i="14"/>
  <c r="I17" i="14"/>
  <c r="I24" i="14"/>
  <c r="I49" i="14"/>
  <c r="I36" i="14"/>
  <c r="I31" i="14"/>
  <c r="I18" i="14"/>
  <c r="I48" i="14"/>
  <c r="I42" i="14"/>
  <c r="I16" i="14"/>
  <c r="E30" i="14"/>
  <c r="E25" i="14"/>
  <c r="E17" i="14"/>
  <c r="E49" i="14"/>
  <c r="E36" i="14"/>
  <c r="E31" i="14"/>
  <c r="E18" i="14"/>
  <c r="E16" i="14"/>
  <c r="E48" i="14"/>
  <c r="E42" i="14"/>
  <c r="E24" i="14"/>
  <c r="D24" i="14"/>
  <c r="D16" i="14"/>
  <c r="D30" i="14"/>
  <c r="D25" i="14"/>
  <c r="D17" i="14"/>
  <c r="D49" i="14"/>
  <c r="D36" i="14"/>
  <c r="D31" i="14"/>
  <c r="D18" i="14"/>
  <c r="D48" i="14"/>
  <c r="D42" i="14"/>
  <c r="D9" i="14"/>
  <c r="D11" i="14" s="1"/>
  <c r="E9" i="14" s="1"/>
  <c r="E11" i="14" s="1"/>
  <c r="J49" i="13"/>
  <c r="J48" i="13"/>
  <c r="J42" i="13"/>
  <c r="J24" i="13"/>
  <c r="J18" i="13"/>
  <c r="J36" i="13"/>
  <c r="J30" i="13"/>
  <c r="J25" i="13"/>
  <c r="J31" i="13"/>
  <c r="J16" i="13"/>
  <c r="J17" i="13"/>
  <c r="I49" i="13"/>
  <c r="I48" i="13"/>
  <c r="I42" i="13"/>
  <c r="I17" i="13"/>
  <c r="I36" i="13"/>
  <c r="I24" i="13"/>
  <c r="I18" i="13"/>
  <c r="I30" i="13"/>
  <c r="I25" i="13"/>
  <c r="I16" i="13"/>
  <c r="I31" i="13"/>
  <c r="E49" i="13"/>
  <c r="E48" i="13"/>
  <c r="E42" i="13"/>
  <c r="E17" i="13"/>
  <c r="E30" i="13"/>
  <c r="E25" i="13"/>
  <c r="E36" i="13"/>
  <c r="E24" i="13"/>
  <c r="E18" i="13"/>
  <c r="E31" i="13"/>
  <c r="E16" i="13"/>
  <c r="D49" i="13"/>
  <c r="D36" i="13"/>
  <c r="D31" i="13"/>
  <c r="D16" i="13"/>
  <c r="D24" i="13"/>
  <c r="D48" i="13"/>
  <c r="D42" i="13"/>
  <c r="D17" i="13"/>
  <c r="D18" i="13"/>
  <c r="D30" i="13"/>
  <c r="D25" i="13"/>
  <c r="D9" i="13"/>
  <c r="D11" i="13" s="1"/>
  <c r="E9" i="13" s="1"/>
  <c r="E11" i="13" s="1"/>
  <c r="F9" i="13" s="1"/>
  <c r="F11" i="13" s="1"/>
  <c r="G9" i="13" s="1"/>
  <c r="G11" i="13" s="1"/>
  <c r="H9" i="13" s="1"/>
  <c r="H11" i="13" s="1"/>
  <c r="D9" i="12"/>
  <c r="D11" i="12" s="1"/>
  <c r="J49" i="12"/>
  <c r="J48" i="12"/>
  <c r="J36" i="12"/>
  <c r="J30" i="12"/>
  <c r="J25" i="12"/>
  <c r="J24" i="12"/>
  <c r="J42" i="12"/>
  <c r="J31" i="12"/>
  <c r="J17" i="12"/>
  <c r="J16" i="12"/>
  <c r="J18" i="12"/>
  <c r="I18" i="12"/>
  <c r="I49" i="12"/>
  <c r="I48" i="12"/>
  <c r="I36" i="12"/>
  <c r="I30" i="12"/>
  <c r="I25" i="12"/>
  <c r="I24" i="12"/>
  <c r="I42" i="12"/>
  <c r="I31" i="12"/>
  <c r="I17" i="12"/>
  <c r="I16" i="12"/>
  <c r="E18" i="12"/>
  <c r="E49" i="12"/>
  <c r="E48" i="12"/>
  <c r="E36" i="12"/>
  <c r="E30" i="12"/>
  <c r="E25" i="12"/>
  <c r="E24" i="12"/>
  <c r="E42" i="12"/>
  <c r="E31" i="12"/>
  <c r="E17" i="12"/>
  <c r="E16" i="12"/>
  <c r="D42" i="12"/>
  <c r="D17" i="12"/>
  <c r="D16" i="12"/>
  <c r="D18" i="12"/>
  <c r="D49" i="12"/>
  <c r="D48" i="12"/>
  <c r="D36" i="12"/>
  <c r="D30" i="12"/>
  <c r="D25" i="12"/>
  <c r="D24" i="12"/>
  <c r="D31" i="12"/>
  <c r="D9" i="11"/>
  <c r="D11" i="11" s="1"/>
  <c r="J49" i="11"/>
  <c r="J48" i="11"/>
  <c r="J30" i="11"/>
  <c r="J25" i="11"/>
  <c r="J24" i="11"/>
  <c r="J18" i="11"/>
  <c r="J17" i="11"/>
  <c r="J16" i="11"/>
  <c r="J36" i="11"/>
  <c r="J31" i="11"/>
  <c r="J42" i="11"/>
  <c r="I48" i="11"/>
  <c r="I42" i="11"/>
  <c r="I30" i="11"/>
  <c r="I25" i="11"/>
  <c r="I24" i="11"/>
  <c r="I18" i="11"/>
  <c r="I17" i="11"/>
  <c r="I16" i="11"/>
  <c r="I49" i="11"/>
  <c r="I36" i="11"/>
  <c r="I31" i="11"/>
  <c r="E48" i="11"/>
  <c r="E42" i="11"/>
  <c r="E25" i="11"/>
  <c r="E24" i="11"/>
  <c r="E18" i="11"/>
  <c r="E17" i="11"/>
  <c r="E16" i="11"/>
  <c r="E49" i="11"/>
  <c r="E30" i="11"/>
  <c r="E36" i="11"/>
  <c r="E31" i="11"/>
  <c r="D49" i="11"/>
  <c r="D36" i="11"/>
  <c r="D31" i="11"/>
  <c r="D48" i="11"/>
  <c r="D42" i="11"/>
  <c r="D30" i="11"/>
  <c r="D25" i="11"/>
  <c r="D18" i="11"/>
  <c r="D16" i="11"/>
  <c r="D24" i="11"/>
  <c r="D17" i="11"/>
  <c r="D9" i="10"/>
  <c r="D11" i="10" s="1"/>
  <c r="J49" i="10"/>
  <c r="J24" i="10"/>
  <c r="J18" i="10"/>
  <c r="J17" i="10"/>
  <c r="J48" i="10"/>
  <c r="J42" i="10"/>
  <c r="J30" i="10"/>
  <c r="J25" i="10"/>
  <c r="J16" i="10"/>
  <c r="J36" i="10"/>
  <c r="J31" i="10"/>
  <c r="I49" i="10"/>
  <c r="I48" i="10"/>
  <c r="I36" i="10"/>
  <c r="I42" i="10"/>
  <c r="I30" i="10"/>
  <c r="I31" i="10"/>
  <c r="I25" i="10"/>
  <c r="I24" i="10"/>
  <c r="I18" i="10"/>
  <c r="I17" i="10"/>
  <c r="I16" i="10"/>
  <c r="E49" i="10"/>
  <c r="E48" i="10"/>
  <c r="E36" i="10"/>
  <c r="E42" i="10"/>
  <c r="E30" i="10"/>
  <c r="E31" i="10"/>
  <c r="E25" i="10"/>
  <c r="E24" i="10"/>
  <c r="E18" i="10"/>
  <c r="E17" i="10"/>
  <c r="D49" i="10"/>
  <c r="D48" i="10"/>
  <c r="D36" i="10"/>
  <c r="D31" i="10"/>
  <c r="D42" i="10"/>
  <c r="D30" i="10"/>
  <c r="D25" i="10"/>
  <c r="D24" i="10"/>
  <c r="D18" i="10"/>
  <c r="D17" i="10"/>
  <c r="D16" i="10"/>
  <c r="D42" i="9"/>
  <c r="D36" i="9"/>
  <c r="D49" i="9"/>
  <c r="D30" i="9"/>
  <c r="D25" i="9"/>
  <c r="D48" i="9"/>
  <c r="D31" i="9"/>
  <c r="D24" i="9"/>
  <c r="D18" i="9"/>
  <c r="D17" i="9"/>
  <c r="D16" i="9"/>
  <c r="J45" i="12"/>
  <c r="J45" i="11"/>
  <c r="E5" i="9"/>
  <c r="J45" i="10"/>
  <c r="E5" i="15"/>
  <c r="J45" i="14"/>
  <c r="D45" i="10"/>
  <c r="J45" i="13"/>
  <c r="J45" i="16"/>
  <c r="F5" i="9"/>
  <c r="E45" i="9"/>
  <c r="F5" i="15"/>
  <c r="E45" i="15"/>
  <c r="F45" i="9"/>
  <c r="G5" i="9"/>
  <c r="G5" i="15"/>
  <c r="F45" i="15"/>
  <c r="G45" i="9"/>
  <c r="H5" i="9"/>
  <c r="G45" i="15"/>
  <c r="H5" i="15"/>
  <c r="I5" i="9"/>
  <c r="H45" i="9"/>
  <c r="H45" i="15"/>
  <c r="I5" i="15"/>
  <c r="I45" i="9"/>
  <c r="J5" i="9"/>
  <c r="J5" i="15"/>
  <c r="I45" i="15"/>
  <c r="H38" i="13" l="1"/>
  <c r="J20" i="15"/>
  <c r="J25" i="15"/>
  <c r="J24" i="15"/>
  <c r="J32" i="15"/>
  <c r="J49" i="15"/>
  <c r="J17" i="15"/>
  <c r="J31" i="15"/>
  <c r="J21" i="15"/>
  <c r="J36" i="15"/>
  <c r="J48" i="15"/>
  <c r="J16" i="15"/>
  <c r="J33" i="15"/>
  <c r="J30" i="15"/>
  <c r="J42" i="15"/>
  <c r="J18" i="15"/>
  <c r="J21" i="9"/>
  <c r="J20" i="9"/>
  <c r="J25" i="9"/>
  <c r="J24" i="9"/>
  <c r="J42" i="9"/>
  <c r="J30" i="9"/>
  <c r="J31" i="9"/>
  <c r="J16" i="9"/>
  <c r="J32" i="9"/>
  <c r="J48" i="9"/>
  <c r="J18" i="9"/>
  <c r="J33" i="9"/>
  <c r="J49" i="9"/>
  <c r="J36" i="9"/>
  <c r="J17" i="9"/>
  <c r="I20" i="15"/>
  <c r="I24" i="15"/>
  <c r="I42" i="15"/>
  <c r="I30" i="15"/>
  <c r="I32" i="15"/>
  <c r="I16" i="15"/>
  <c r="I31" i="15"/>
  <c r="I17" i="15"/>
  <c r="I21" i="15"/>
  <c r="I49" i="15"/>
  <c r="I18" i="15"/>
  <c r="I36" i="15"/>
  <c r="I33" i="15"/>
  <c r="I48" i="15"/>
  <c r="I25" i="15"/>
  <c r="I20" i="9"/>
  <c r="I32" i="9"/>
  <c r="I42" i="9"/>
  <c r="I24" i="9"/>
  <c r="I25" i="9"/>
  <c r="I31" i="9"/>
  <c r="I16" i="9"/>
  <c r="I33" i="9"/>
  <c r="I49" i="9"/>
  <c r="I48" i="9"/>
  <c r="I18" i="9"/>
  <c r="I21" i="9"/>
  <c r="I30" i="9"/>
  <c r="I36" i="9"/>
  <c r="I17" i="9"/>
  <c r="H30" i="15"/>
  <c r="H24" i="15"/>
  <c r="H25" i="15"/>
  <c r="H49" i="15"/>
  <c r="H17" i="15"/>
  <c r="H18" i="15"/>
  <c r="H20" i="15"/>
  <c r="H16" i="15"/>
  <c r="H36" i="15"/>
  <c r="H48" i="15"/>
  <c r="H21" i="15"/>
  <c r="H27" i="15" s="1"/>
  <c r="H42" i="15"/>
  <c r="H31" i="15"/>
  <c r="H32" i="15"/>
  <c r="H33" i="15"/>
  <c r="H38" i="15" s="1"/>
  <c r="H49" i="9"/>
  <c r="H42" i="9"/>
  <c r="H31" i="9"/>
  <c r="H32" i="9"/>
  <c r="H33" i="9"/>
  <c r="H30" i="9"/>
  <c r="H24" i="9"/>
  <c r="H20" i="9"/>
  <c r="H21" i="9"/>
  <c r="H17" i="9"/>
  <c r="H18" i="9"/>
  <c r="H48" i="9"/>
  <c r="H16" i="9"/>
  <c r="H36" i="9"/>
  <c r="H25" i="9"/>
  <c r="G33" i="15"/>
  <c r="G38" i="15" s="1"/>
  <c r="G30" i="15"/>
  <c r="G24" i="15"/>
  <c r="G20" i="15"/>
  <c r="G21" i="15"/>
  <c r="G17" i="15"/>
  <c r="G18" i="15"/>
  <c r="G25" i="15"/>
  <c r="G16" i="15"/>
  <c r="G36" i="15"/>
  <c r="G48" i="15"/>
  <c r="G49" i="15"/>
  <c r="G42" i="15"/>
  <c r="G31" i="15"/>
  <c r="G32" i="15"/>
  <c r="G48" i="9"/>
  <c r="G49" i="9"/>
  <c r="G42" i="9"/>
  <c r="G24" i="9"/>
  <c r="G32" i="9"/>
  <c r="G33" i="9"/>
  <c r="G30" i="9"/>
  <c r="G31" i="9"/>
  <c r="G25" i="9"/>
  <c r="G21" i="9"/>
  <c r="G17" i="9"/>
  <c r="F46" i="9" s="1"/>
  <c r="G18" i="9"/>
  <c r="G20" i="9"/>
  <c r="G16" i="9"/>
  <c r="G36" i="9"/>
  <c r="F32" i="15"/>
  <c r="F33" i="15"/>
  <c r="F30" i="15"/>
  <c r="F18" i="15"/>
  <c r="F27" i="15" s="1"/>
  <c r="F25" i="15"/>
  <c r="F21" i="15"/>
  <c r="F17" i="15"/>
  <c r="F36" i="15"/>
  <c r="F20" i="15"/>
  <c r="F16" i="15"/>
  <c r="F24" i="15"/>
  <c r="F48" i="15"/>
  <c r="F49" i="15"/>
  <c r="F42" i="15"/>
  <c r="F31" i="15"/>
  <c r="F36" i="9"/>
  <c r="F48" i="9"/>
  <c r="F49" i="9"/>
  <c r="F42" i="9"/>
  <c r="F31" i="9"/>
  <c r="F38" i="9" s="1"/>
  <c r="F32" i="9"/>
  <c r="F33" i="9"/>
  <c r="F30" i="9"/>
  <c r="F24" i="9"/>
  <c r="F25" i="9"/>
  <c r="F21" i="9"/>
  <c r="F17" i="9"/>
  <c r="F18" i="9"/>
  <c r="F20" i="9"/>
  <c r="F16" i="9"/>
  <c r="E20" i="15"/>
  <c r="E16" i="15"/>
  <c r="D46" i="15" s="1"/>
  <c r="E31" i="15"/>
  <c r="E17" i="15"/>
  <c r="E32" i="15"/>
  <c r="E49" i="15"/>
  <c r="E18" i="15"/>
  <c r="E36" i="15"/>
  <c r="E21" i="15"/>
  <c r="E48" i="15"/>
  <c r="E30" i="15"/>
  <c r="F9" i="15"/>
  <c r="F11" i="15" s="1"/>
  <c r="G9" i="15" s="1"/>
  <c r="G11" i="15" s="1"/>
  <c r="H9" i="15" s="1"/>
  <c r="H11" i="15" s="1"/>
  <c r="I9" i="15" s="1"/>
  <c r="I11" i="15" s="1"/>
  <c r="J9" i="15" s="1"/>
  <c r="J11" i="15" s="1"/>
  <c r="E33" i="15"/>
  <c r="E38" i="15" s="1"/>
  <c r="E24" i="15"/>
  <c r="E42" i="15"/>
  <c r="E25" i="15"/>
  <c r="E20" i="9"/>
  <c r="E32" i="9"/>
  <c r="E49" i="9"/>
  <c r="E36" i="9"/>
  <c r="E17" i="9"/>
  <c r="E48" i="9"/>
  <c r="E18" i="9"/>
  <c r="E33" i="9"/>
  <c r="E30" i="9"/>
  <c r="E31" i="9"/>
  <c r="D46" i="9" s="1"/>
  <c r="E16" i="9"/>
  <c r="E21" i="9"/>
  <c r="E25" i="9"/>
  <c r="E24" i="9"/>
  <c r="E42" i="9"/>
  <c r="F38" i="13"/>
  <c r="H38" i="16"/>
  <c r="F27" i="12"/>
  <c r="H46" i="12"/>
  <c r="F38" i="12"/>
  <c r="G38" i="10"/>
  <c r="F27" i="11"/>
  <c r="G38" i="13"/>
  <c r="G27" i="11"/>
  <c r="F46" i="11"/>
  <c r="H27" i="10"/>
  <c r="G46" i="10"/>
  <c r="G46" i="13"/>
  <c r="H27" i="13"/>
  <c r="H46" i="16"/>
  <c r="F27" i="16"/>
  <c r="F46" i="15"/>
  <c r="F46" i="12"/>
  <c r="G27" i="12"/>
  <c r="G38" i="11"/>
  <c r="H38" i="14"/>
  <c r="G46" i="11"/>
  <c r="H27" i="11"/>
  <c r="H46" i="10"/>
  <c r="H46" i="11"/>
  <c r="I9" i="16"/>
  <c r="I11" i="16" s="1"/>
  <c r="J9" i="16" s="1"/>
  <c r="J11" i="16" s="1"/>
  <c r="F38" i="10"/>
  <c r="F27" i="10"/>
  <c r="F38" i="14"/>
  <c r="F27" i="13"/>
  <c r="G27" i="10"/>
  <c r="F46" i="10"/>
  <c r="H38" i="10"/>
  <c r="H38" i="11"/>
  <c r="I9" i="13"/>
  <c r="I11" i="13" s="1"/>
  <c r="J9" i="13" s="1"/>
  <c r="J11" i="13" s="1"/>
  <c r="H46" i="13"/>
  <c r="H46" i="14"/>
  <c r="F9" i="14"/>
  <c r="F11" i="14" s="1"/>
  <c r="G9" i="14" s="1"/>
  <c r="G11" i="14" s="1"/>
  <c r="H9" i="14" s="1"/>
  <c r="H11" i="14" s="1"/>
  <c r="I9" i="14" s="1"/>
  <c r="I11" i="14" s="1"/>
  <c r="J9" i="14" s="1"/>
  <c r="J11" i="14" s="1"/>
  <c r="F27" i="14"/>
  <c r="F38" i="16"/>
  <c r="F38" i="11"/>
  <c r="F46" i="14"/>
  <c r="G27" i="14"/>
  <c r="F46" i="16"/>
  <c r="G27" i="16"/>
  <c r="G38" i="16"/>
  <c r="G38" i="12"/>
  <c r="F46" i="13"/>
  <c r="G27" i="13"/>
  <c r="H27" i="14"/>
  <c r="G46" i="14"/>
  <c r="G46" i="16"/>
  <c r="H27" i="16"/>
  <c r="H38" i="12"/>
  <c r="H27" i="12"/>
  <c r="G46" i="12"/>
  <c r="D44" i="15"/>
  <c r="D44" i="14"/>
  <c r="E44" i="14" s="1"/>
  <c r="D44" i="13"/>
  <c r="E44" i="13" s="1"/>
  <c r="D44" i="12"/>
  <c r="E44" i="12" s="1"/>
  <c r="D44" i="11"/>
  <c r="E44" i="11" s="1"/>
  <c r="D44" i="10"/>
  <c r="E44" i="10" s="1"/>
  <c r="D44" i="9"/>
  <c r="J38" i="14"/>
  <c r="D44" i="16"/>
  <c r="E44" i="16" s="1"/>
  <c r="I46" i="16"/>
  <c r="J27" i="16"/>
  <c r="E46" i="16"/>
  <c r="D38" i="16"/>
  <c r="E27" i="16"/>
  <c r="D46" i="16"/>
  <c r="I27" i="16"/>
  <c r="J38" i="16"/>
  <c r="D27" i="16"/>
  <c r="E38" i="16"/>
  <c r="I38" i="16"/>
  <c r="J38" i="15"/>
  <c r="D6" i="15"/>
  <c r="D27" i="15"/>
  <c r="D38" i="15"/>
  <c r="I46" i="15"/>
  <c r="J27" i="15"/>
  <c r="E38" i="14"/>
  <c r="D6" i="14"/>
  <c r="I46" i="14"/>
  <c r="J27" i="14"/>
  <c r="D38" i="14"/>
  <c r="D27" i="14"/>
  <c r="D46" i="14"/>
  <c r="E27" i="14"/>
  <c r="E46" i="14"/>
  <c r="I27" i="14"/>
  <c r="I38" i="14"/>
  <c r="D38" i="13"/>
  <c r="E38" i="13"/>
  <c r="I38" i="13"/>
  <c r="I27" i="13"/>
  <c r="J27" i="13"/>
  <c r="I46" i="13"/>
  <c r="D27" i="13"/>
  <c r="J38" i="13"/>
  <c r="D46" i="13"/>
  <c r="E27" i="13"/>
  <c r="E46" i="13"/>
  <c r="E9" i="12"/>
  <c r="E11" i="12" s="1"/>
  <c r="F9" i="12" s="1"/>
  <c r="F11" i="12" s="1"/>
  <c r="G9" i="12" s="1"/>
  <c r="G11" i="12" s="1"/>
  <c r="H9" i="12" s="1"/>
  <c r="H11" i="12" s="1"/>
  <c r="D27" i="12"/>
  <c r="E38" i="12"/>
  <c r="I27" i="12"/>
  <c r="I46" i="12"/>
  <c r="J27" i="12"/>
  <c r="D46" i="12"/>
  <c r="E27" i="12"/>
  <c r="E46" i="12"/>
  <c r="D38" i="12"/>
  <c r="I38" i="12"/>
  <c r="J38" i="12"/>
  <c r="E9" i="11"/>
  <c r="E11" i="11" s="1"/>
  <c r="F9" i="11" s="1"/>
  <c r="F11" i="11" s="1"/>
  <c r="G9" i="11" s="1"/>
  <c r="G11" i="11" s="1"/>
  <c r="H9" i="11" s="1"/>
  <c r="H11" i="11" s="1"/>
  <c r="I38" i="11"/>
  <c r="J38" i="11"/>
  <c r="D27" i="11"/>
  <c r="D38" i="11"/>
  <c r="J27" i="11"/>
  <c r="I46" i="11"/>
  <c r="E27" i="11"/>
  <c r="D46" i="11"/>
  <c r="E46" i="11"/>
  <c r="E38" i="11"/>
  <c r="I27" i="11"/>
  <c r="D9" i="9"/>
  <c r="D11" i="9" s="1"/>
  <c r="E9" i="10"/>
  <c r="E11" i="10" s="1"/>
  <c r="F9" i="10" s="1"/>
  <c r="F11" i="10" s="1"/>
  <c r="G9" i="10" s="1"/>
  <c r="G11" i="10" s="1"/>
  <c r="H9" i="10" s="1"/>
  <c r="H11" i="10" s="1"/>
  <c r="E38" i="10"/>
  <c r="I38" i="10"/>
  <c r="D46" i="10"/>
  <c r="E27" i="10"/>
  <c r="E46" i="10"/>
  <c r="D27" i="10"/>
  <c r="D38" i="10"/>
  <c r="I27" i="10"/>
  <c r="J27" i="10"/>
  <c r="I46" i="10"/>
  <c r="J38" i="10"/>
  <c r="D38" i="9"/>
  <c r="J38" i="9"/>
  <c r="D27" i="9"/>
  <c r="J45" i="15"/>
  <c r="J45" i="9"/>
  <c r="H38" i="9" l="1"/>
  <c r="I27" i="15"/>
  <c r="I38" i="15"/>
  <c r="E27" i="9"/>
  <c r="G38" i="9"/>
  <c r="F27" i="9"/>
  <c r="E46" i="15"/>
  <c r="F38" i="15"/>
  <c r="G27" i="9"/>
  <c r="G27" i="15"/>
  <c r="H27" i="9"/>
  <c r="G46" i="15"/>
  <c r="H46" i="9"/>
  <c r="I27" i="9"/>
  <c r="J27" i="9"/>
  <c r="E27" i="15"/>
  <c r="I38" i="9"/>
  <c r="E46" i="9"/>
  <c r="E44" i="9"/>
  <c r="F44" i="9" s="1"/>
  <c r="G44" i="9" s="1"/>
  <c r="H44" i="9" s="1"/>
  <c r="I44" i="9" s="1"/>
  <c r="J44" i="9" s="1"/>
  <c r="H46" i="15"/>
  <c r="I46" i="9"/>
  <c r="E38" i="9"/>
  <c r="G46" i="9"/>
  <c r="E44" i="15"/>
  <c r="F44" i="15" s="1"/>
  <c r="G44" i="15" s="1"/>
  <c r="H44" i="15" s="1"/>
  <c r="I44" i="15" s="1"/>
  <c r="J44" i="15" s="1"/>
  <c r="F44" i="16"/>
  <c r="G44" i="16" s="1"/>
  <c r="H44" i="16" s="1"/>
  <c r="I44" i="16" s="1"/>
  <c r="J44" i="16" s="1"/>
  <c r="F44" i="11"/>
  <c r="G44" i="11" s="1"/>
  <c r="H44" i="11" s="1"/>
  <c r="I44" i="11" s="1"/>
  <c r="J44" i="11" s="1"/>
  <c r="F44" i="12"/>
  <c r="G44" i="12" s="1"/>
  <c r="H44" i="12" s="1"/>
  <c r="I44" i="12" s="1"/>
  <c r="J44" i="12" s="1"/>
  <c r="F44" i="13"/>
  <c r="G44" i="13" s="1"/>
  <c r="H44" i="13" s="1"/>
  <c r="I44" i="13" s="1"/>
  <c r="J44" i="13" s="1"/>
  <c r="F44" i="10"/>
  <c r="G44" i="10" s="1"/>
  <c r="H44" i="10" s="1"/>
  <c r="I44" i="10" s="1"/>
  <c r="J44" i="10" s="1"/>
  <c r="F44" i="14"/>
  <c r="G44" i="14" s="1"/>
  <c r="H44" i="14" s="1"/>
  <c r="I44" i="14" s="1"/>
  <c r="J44" i="14" s="1"/>
  <c r="D6" i="16"/>
  <c r="D41" i="16" s="1"/>
  <c r="D47" i="16" s="1"/>
  <c r="D41" i="15"/>
  <c r="D43" i="15" s="1"/>
  <c r="D41" i="14"/>
  <c r="D6" i="13"/>
  <c r="D41" i="13" s="1"/>
  <c r="D43" i="13" s="1"/>
  <c r="D6" i="12"/>
  <c r="D41" i="12" s="1"/>
  <c r="E9" i="9"/>
  <c r="E11" i="9" s="1"/>
  <c r="F9" i="9" s="1"/>
  <c r="F11" i="9" s="1"/>
  <c r="G9" i="9" s="1"/>
  <c r="G11" i="9" s="1"/>
  <c r="H9" i="9" s="1"/>
  <c r="H11" i="9" s="1"/>
  <c r="D6" i="9"/>
  <c r="D41" i="9" s="1"/>
  <c r="D6" i="10" l="1"/>
  <c r="D41" i="10" s="1"/>
  <c r="E6" i="10" s="1"/>
  <c r="E41" i="10" s="1"/>
  <c r="F6" i="10" s="1"/>
  <c r="F41" i="10" s="1"/>
  <c r="D43" i="16"/>
  <c r="E6" i="16"/>
  <c r="E41" i="16" s="1"/>
  <c r="D47" i="15"/>
  <c r="E6" i="15"/>
  <c r="E41" i="15" s="1"/>
  <c r="F6" i="15" s="1"/>
  <c r="F41" i="15" s="1"/>
  <c r="D47" i="14"/>
  <c r="E6" i="14"/>
  <c r="E41" i="14" s="1"/>
  <c r="F6" i="14" s="1"/>
  <c r="F41" i="14" s="1"/>
  <c r="D43" i="14"/>
  <c r="D47" i="13"/>
  <c r="E6" i="13"/>
  <c r="E41" i="13" s="1"/>
  <c r="D47" i="12"/>
  <c r="E6" i="12"/>
  <c r="E41" i="12" s="1"/>
  <c r="F6" i="12" s="1"/>
  <c r="F41" i="12" s="1"/>
  <c r="D43" i="12"/>
  <c r="D6" i="11"/>
  <c r="D41" i="11" s="1"/>
  <c r="E6" i="11" s="1"/>
  <c r="E41" i="11" s="1"/>
  <c r="F6" i="11" s="1"/>
  <c r="F41" i="11" s="1"/>
  <c r="D47" i="9"/>
  <c r="E6" i="9"/>
  <c r="E41" i="9" s="1"/>
  <c r="F6" i="9" s="1"/>
  <c r="F41" i="9" s="1"/>
  <c r="D43" i="9"/>
  <c r="F47" i="9" l="1"/>
  <c r="G6" i="9"/>
  <c r="G41" i="9" s="1"/>
  <c r="F43" i="9"/>
  <c r="F47" i="12"/>
  <c r="G6" i="12"/>
  <c r="G41" i="12" s="1"/>
  <c r="F43" i="12"/>
  <c r="F47" i="14"/>
  <c r="G6" i="14"/>
  <c r="G41" i="14" s="1"/>
  <c r="F43" i="14"/>
  <c r="E47" i="16"/>
  <c r="F6" i="16"/>
  <c r="F41" i="16" s="1"/>
  <c r="G6" i="11"/>
  <c r="G41" i="11" s="1"/>
  <c r="F47" i="11"/>
  <c r="F43" i="11"/>
  <c r="E47" i="13"/>
  <c r="F6" i="13"/>
  <c r="F41" i="13" s="1"/>
  <c r="G6" i="15"/>
  <c r="G41" i="15" s="1"/>
  <c r="F47" i="15"/>
  <c r="F43" i="15"/>
  <c r="F47" i="10"/>
  <c r="G6" i="10"/>
  <c r="G41" i="10" s="1"/>
  <c r="F43" i="10"/>
  <c r="D43" i="10"/>
  <c r="D47" i="10"/>
  <c r="E43" i="16"/>
  <c r="E43" i="15"/>
  <c r="E47" i="15"/>
  <c r="E47" i="14"/>
  <c r="E43" i="14"/>
  <c r="E43" i="13"/>
  <c r="E47" i="12"/>
  <c r="E43" i="12"/>
  <c r="D43" i="11"/>
  <c r="D47" i="11"/>
  <c r="E47" i="11"/>
  <c r="E43" i="11"/>
  <c r="E47" i="10"/>
  <c r="E43" i="10"/>
  <c r="I9" i="9"/>
  <c r="E47" i="9"/>
  <c r="E43" i="9"/>
  <c r="G6" i="13" l="1"/>
  <c r="G41" i="13" s="1"/>
  <c r="F47" i="13"/>
  <c r="F43" i="13"/>
  <c r="H6" i="11"/>
  <c r="H41" i="11" s="1"/>
  <c r="G47" i="11"/>
  <c r="G43" i="11"/>
  <c r="G47" i="14"/>
  <c r="H6" i="14"/>
  <c r="H41" i="14" s="1"/>
  <c r="G43" i="14"/>
  <c r="G6" i="16"/>
  <c r="G41" i="16" s="1"/>
  <c r="F47" i="16"/>
  <c r="F43" i="16"/>
  <c r="H6" i="9"/>
  <c r="H41" i="9" s="1"/>
  <c r="G47" i="9"/>
  <c r="G43" i="9"/>
  <c r="H6" i="10"/>
  <c r="H41" i="10" s="1"/>
  <c r="G47" i="10"/>
  <c r="G43" i="10"/>
  <c r="H6" i="15"/>
  <c r="H41" i="15" s="1"/>
  <c r="G47" i="15"/>
  <c r="G43" i="15"/>
  <c r="G47" i="12"/>
  <c r="H6" i="12"/>
  <c r="H41" i="12" s="1"/>
  <c r="G43" i="12"/>
  <c r="I9" i="12"/>
  <c r="I11" i="12" s="1"/>
  <c r="I9" i="11"/>
  <c r="I11" i="11" s="1"/>
  <c r="I9" i="10"/>
  <c r="I11" i="10" s="1"/>
  <c r="I11" i="9"/>
  <c r="J9" i="9" s="1"/>
  <c r="H47" i="10" l="1"/>
  <c r="H43" i="10"/>
  <c r="H47" i="14"/>
  <c r="H43" i="14"/>
  <c r="H47" i="11"/>
  <c r="H43" i="11"/>
  <c r="H47" i="12"/>
  <c r="H43" i="12"/>
  <c r="H47" i="15"/>
  <c r="H43" i="15"/>
  <c r="G47" i="16"/>
  <c r="H6" i="16"/>
  <c r="H41" i="16" s="1"/>
  <c r="G43" i="16"/>
  <c r="H47" i="9"/>
  <c r="H43" i="9"/>
  <c r="G47" i="13"/>
  <c r="H6" i="13"/>
  <c r="H41" i="13" s="1"/>
  <c r="G43" i="13"/>
  <c r="I6" i="15"/>
  <c r="I41" i="15" s="1"/>
  <c r="J9" i="12"/>
  <c r="J11" i="12" s="1"/>
  <c r="J9" i="11"/>
  <c r="J11" i="11" s="1"/>
  <c r="J9" i="10"/>
  <c r="J11" i="10" s="1"/>
  <c r="J11" i="9"/>
  <c r="H47" i="16" l="1"/>
  <c r="H43" i="16"/>
  <c r="H47" i="13"/>
  <c r="H43" i="13"/>
  <c r="I6" i="16"/>
  <c r="I41" i="16" s="1"/>
  <c r="J6" i="16" s="1"/>
  <c r="J41" i="16" s="1"/>
  <c r="J6" i="15"/>
  <c r="J41" i="15" s="1"/>
  <c r="I47" i="15"/>
  <c r="I43" i="15"/>
  <c r="I6" i="14"/>
  <c r="I41" i="14" s="1"/>
  <c r="I6" i="13"/>
  <c r="I41" i="13" s="1"/>
  <c r="I43" i="13" s="1"/>
  <c r="I6" i="12"/>
  <c r="I41" i="12" s="1"/>
  <c r="I6" i="11"/>
  <c r="I41" i="11" s="1"/>
  <c r="I6" i="10"/>
  <c r="I41" i="10" s="1"/>
  <c r="I6" i="9"/>
  <c r="I41" i="9" s="1"/>
  <c r="I43" i="16" l="1"/>
  <c r="I47" i="16"/>
  <c r="J47" i="16"/>
  <c r="J43" i="16"/>
  <c r="J47" i="15"/>
  <c r="J43" i="15"/>
  <c r="J6" i="14"/>
  <c r="J41" i="14" s="1"/>
  <c r="I47" i="14"/>
  <c r="I43" i="14"/>
  <c r="I47" i="13"/>
  <c r="J6" i="13"/>
  <c r="J41" i="13" s="1"/>
  <c r="J47" i="13" s="1"/>
  <c r="I47" i="12"/>
  <c r="J6" i="12"/>
  <c r="J41" i="12" s="1"/>
  <c r="I43" i="12"/>
  <c r="I47" i="11"/>
  <c r="J6" i="11"/>
  <c r="J41" i="11" s="1"/>
  <c r="I43" i="11"/>
  <c r="I47" i="10"/>
  <c r="J6" i="10"/>
  <c r="J41" i="10" s="1"/>
  <c r="I43" i="10"/>
  <c r="I47" i="9"/>
  <c r="J6" i="9"/>
  <c r="J41" i="9" s="1"/>
  <c r="I43" i="9"/>
  <c r="J47" i="14" l="1"/>
  <c r="J43" i="14"/>
  <c r="J43" i="13"/>
  <c r="J47" i="12"/>
  <c r="J43" i="12"/>
  <c r="J47" i="11"/>
  <c r="J43" i="11"/>
  <c r="J47" i="10"/>
  <c r="J43" i="10"/>
  <c r="J47" i="9"/>
  <c r="J43" i="9"/>
  <c r="J53" i="8" l="1"/>
  <c r="D41" i="8"/>
  <c r="E41" i="8"/>
  <c r="I41" i="8"/>
  <c r="J41" i="8"/>
  <c r="D29" i="8"/>
  <c r="E29" i="8"/>
  <c r="I29" i="8"/>
  <c r="J29" i="8"/>
  <c r="J46" i="7" l="1"/>
  <c r="J34" i="7" l="1"/>
  <c r="I34" i="7"/>
  <c r="E34" i="7"/>
  <c r="J22" i="7"/>
  <c r="I22" i="7"/>
  <c r="E22" i="7"/>
  <c r="D22" i="7"/>
  <c r="D5" i="7"/>
  <c r="E5" i="7"/>
  <c r="D45" i="7"/>
  <c r="F5" i="7"/>
  <c r="E45" i="7"/>
  <c r="F45" i="7"/>
  <c r="G5" i="7"/>
  <c r="G45" i="7"/>
  <c r="H5" i="7"/>
  <c r="H45" i="7"/>
  <c r="I5" i="7"/>
  <c r="J5" i="7"/>
  <c r="I45" i="7"/>
  <c r="H42" i="7" l="1"/>
  <c r="H48" i="7"/>
  <c r="H32" i="7"/>
  <c r="H25" i="7"/>
  <c r="H20" i="7"/>
  <c r="H49" i="7"/>
  <c r="H33" i="7"/>
  <c r="H21" i="7"/>
  <c r="H16" i="7"/>
  <c r="H30" i="7"/>
  <c r="H17" i="7"/>
  <c r="H31" i="7"/>
  <c r="H18" i="7"/>
  <c r="H24" i="7"/>
  <c r="H36" i="7"/>
  <c r="G49" i="7"/>
  <c r="G42" i="7"/>
  <c r="G36" i="7"/>
  <c r="G31" i="7"/>
  <c r="G24" i="7"/>
  <c r="G18" i="7"/>
  <c r="G32" i="7"/>
  <c r="G25" i="7"/>
  <c r="G20" i="7"/>
  <c r="G33" i="7"/>
  <c r="G21" i="7"/>
  <c r="G16" i="7"/>
  <c r="G30" i="7"/>
  <c r="G17" i="7"/>
  <c r="G48" i="7"/>
  <c r="F48" i="7"/>
  <c r="F42" i="7"/>
  <c r="F30" i="7"/>
  <c r="F17" i="7"/>
  <c r="F36" i="7"/>
  <c r="F31" i="7"/>
  <c r="F24" i="7"/>
  <c r="F18" i="7"/>
  <c r="F49" i="7"/>
  <c r="F32" i="7"/>
  <c r="F25" i="7"/>
  <c r="F20" i="7"/>
  <c r="F33" i="7"/>
  <c r="F16" i="7"/>
  <c r="F21" i="7"/>
  <c r="J33" i="7"/>
  <c r="J21" i="7"/>
  <c r="J32" i="7"/>
  <c r="J20" i="7"/>
  <c r="I33" i="7"/>
  <c r="I21" i="7"/>
  <c r="I32" i="7"/>
  <c r="I20" i="7"/>
  <c r="E33" i="7"/>
  <c r="E21" i="7"/>
  <c r="E32" i="7"/>
  <c r="E20" i="7"/>
  <c r="D32" i="7"/>
  <c r="D20" i="7"/>
  <c r="D33" i="7"/>
  <c r="D21" i="7"/>
  <c r="J30" i="7"/>
  <c r="J18" i="7"/>
  <c r="J16" i="7"/>
  <c r="J31" i="7"/>
  <c r="J17" i="7"/>
  <c r="I31" i="7"/>
  <c r="I18" i="7"/>
  <c r="I30" i="7"/>
  <c r="I16" i="7"/>
  <c r="I17" i="7"/>
  <c r="E31" i="7"/>
  <c r="E18" i="7"/>
  <c r="E16" i="7"/>
  <c r="E30" i="7"/>
  <c r="E17" i="7"/>
  <c r="D30" i="7"/>
  <c r="D17" i="7"/>
  <c r="D16" i="7"/>
  <c r="D18" i="7"/>
  <c r="D31" i="7"/>
  <c r="J45" i="7"/>
  <c r="D44" i="7" l="1"/>
  <c r="E44" i="7" s="1"/>
  <c r="F44" i="7" s="1"/>
  <c r="G44" i="7" s="1"/>
  <c r="H44" i="7" s="1"/>
  <c r="I44" i="7" s="1"/>
  <c r="J44" i="7" s="1"/>
  <c r="F27" i="7"/>
  <c r="G38" i="7"/>
  <c r="H46" i="7"/>
  <c r="H38" i="7"/>
  <c r="H27" i="7"/>
  <c r="G46" i="7"/>
  <c r="F38" i="7"/>
  <c r="F46" i="7"/>
  <c r="G27" i="7"/>
  <c r="D46" i="7"/>
  <c r="E46" i="7"/>
  <c r="I46" i="7"/>
  <c r="D9" i="7" l="1"/>
  <c r="D11" i="7" s="1"/>
  <c r="E9" i="7" l="1"/>
  <c r="E11" i="7" s="1"/>
  <c r="F9" i="7" s="1"/>
  <c r="F11" i="7" s="1"/>
  <c r="G9" i="7" s="1"/>
  <c r="G11" i="7" s="1"/>
  <c r="H9" i="7" s="1"/>
  <c r="H11" i="7" s="1"/>
  <c r="I9" i="7" l="1"/>
  <c r="I11" i="7" s="1"/>
  <c r="J9" i="7" l="1"/>
  <c r="J11" i="7" s="1"/>
  <c r="D5" i="8"/>
  <c r="E5" i="8" s="1"/>
  <c r="D52" i="8"/>
  <c r="E52" i="8"/>
  <c r="E40" i="8" l="1"/>
  <c r="E28" i="8"/>
  <c r="E39" i="8"/>
  <c r="E27" i="8"/>
  <c r="D39" i="8"/>
  <c r="D27" i="8"/>
  <c r="D40" i="8"/>
  <c r="D28" i="8"/>
  <c r="E38" i="8"/>
  <c r="E37" i="8"/>
  <c r="E24" i="8"/>
  <c r="E23" i="8"/>
  <c r="E25" i="8"/>
  <c r="D38" i="8"/>
  <c r="D25" i="8"/>
  <c r="D37" i="8"/>
  <c r="D24" i="8"/>
  <c r="D23" i="8"/>
  <c r="F5" i="8"/>
  <c r="F52" i="8"/>
  <c r="G5" i="8"/>
  <c r="H5" i="8"/>
  <c r="G52" i="8"/>
  <c r="H52" i="8"/>
  <c r="I5" i="8"/>
  <c r="J5" i="8"/>
  <c r="I52" i="8"/>
  <c r="J40" i="8" l="1"/>
  <c r="J25" i="8"/>
  <c r="J28" i="8"/>
  <c r="J38" i="8"/>
  <c r="J39" i="8"/>
  <c r="J37" i="8"/>
  <c r="J24" i="8"/>
  <c r="J27" i="8"/>
  <c r="J23" i="8"/>
  <c r="I40" i="8"/>
  <c r="I37" i="8"/>
  <c r="I28" i="8"/>
  <c r="I24" i="8"/>
  <c r="I39" i="8"/>
  <c r="I23" i="8"/>
  <c r="I27" i="8"/>
  <c r="I38" i="8"/>
  <c r="I25" i="8"/>
  <c r="H25" i="8"/>
  <c r="H55" i="8"/>
  <c r="H28" i="8"/>
  <c r="H43" i="8"/>
  <c r="H56" i="8"/>
  <c r="H39" i="8"/>
  <c r="H49" i="8"/>
  <c r="H38" i="8"/>
  <c r="H40" i="8"/>
  <c r="H32" i="8"/>
  <c r="H37" i="8"/>
  <c r="H31" i="8"/>
  <c r="H23" i="8"/>
  <c r="G53" i="8" s="1"/>
  <c r="H27" i="8"/>
  <c r="H24" i="8"/>
  <c r="G49" i="8"/>
  <c r="G43" i="8"/>
  <c r="G55" i="8"/>
  <c r="G56" i="8"/>
  <c r="G37" i="8"/>
  <c r="G38" i="8"/>
  <c r="G39" i="8"/>
  <c r="G23" i="8"/>
  <c r="G24" i="8"/>
  <c r="G31" i="8"/>
  <c r="G32" i="8"/>
  <c r="G28" i="8"/>
  <c r="G27" i="8"/>
  <c r="G25" i="8"/>
  <c r="G40" i="8"/>
  <c r="F40" i="8"/>
  <c r="F37" i="8"/>
  <c r="F25" i="8"/>
  <c r="F27" i="8"/>
  <c r="F28" i="8"/>
  <c r="F24" i="8"/>
  <c r="F55" i="8"/>
  <c r="F32" i="8"/>
  <c r="F23" i="8"/>
  <c r="F43" i="8"/>
  <c r="F38" i="8"/>
  <c r="F56" i="8"/>
  <c r="F49" i="8"/>
  <c r="F31" i="8"/>
  <c r="F39" i="8"/>
  <c r="D12" i="8"/>
  <c r="D14" i="8" s="1"/>
  <c r="E12" i="8" s="1"/>
  <c r="E14" i="8" s="1"/>
  <c r="D15" i="8"/>
  <c r="D17" i="8" s="1"/>
  <c r="E15" i="8" s="1"/>
  <c r="E17" i="8" s="1"/>
  <c r="D51" i="8"/>
  <c r="E51" i="8" s="1"/>
  <c r="D53" i="8"/>
  <c r="J52" i="8"/>
  <c r="D9" i="8"/>
  <c r="G45" i="8" l="1"/>
  <c r="F34" i="8"/>
  <c r="H45" i="8"/>
  <c r="F53" i="8"/>
  <c r="H53" i="8"/>
  <c r="I53" i="8"/>
  <c r="G34" i="8"/>
  <c r="F45" i="8"/>
  <c r="E53" i="8"/>
  <c r="H34" i="8"/>
  <c r="F12" i="8"/>
  <c r="F14" i="8" s="1"/>
  <c r="G12" i="8" s="1"/>
  <c r="G14" i="8" s="1"/>
  <c r="H12" i="8" s="1"/>
  <c r="H14" i="8" s="1"/>
  <c r="I12" i="8" s="1"/>
  <c r="I14" i="8" s="1"/>
  <c r="J12" i="8" s="1"/>
  <c r="J14" i="8" s="1"/>
  <c r="F51" i="8"/>
  <c r="G51" i="8" s="1"/>
  <c r="H51" i="8" s="1"/>
  <c r="I51" i="8" s="1"/>
  <c r="J51" i="8" s="1"/>
  <c r="F15" i="8"/>
  <c r="F17" i="8" s="1"/>
  <c r="G15" i="8" s="1"/>
  <c r="G17" i="8" s="1"/>
  <c r="H15" i="8" s="1"/>
  <c r="H17" i="8" s="1"/>
  <c r="I15" i="8" s="1"/>
  <c r="I17" i="8" s="1"/>
  <c r="J15" i="8" s="1"/>
  <c r="J17" i="8" s="1"/>
  <c r="D11" i="8"/>
  <c r="E9" i="8" s="1"/>
  <c r="E11" i="8" s="1"/>
  <c r="J42" i="7"/>
  <c r="I36" i="7"/>
  <c r="I38" i="7" s="1"/>
  <c r="E36" i="7"/>
  <c r="E42" i="7"/>
  <c r="E25" i="7"/>
  <c r="D25" i="7"/>
  <c r="I48" i="7"/>
  <c r="I49" i="7"/>
  <c r="E49" i="7"/>
  <c r="E48" i="7"/>
  <c r="D24" i="7"/>
  <c r="J36" i="7"/>
  <c r="J48" i="7"/>
  <c r="J25" i="7"/>
  <c r="I24" i="7"/>
  <c r="E24" i="7"/>
  <c r="D48" i="7"/>
  <c r="D49" i="7"/>
  <c r="D42" i="7"/>
  <c r="J49" i="7"/>
  <c r="J24" i="7"/>
  <c r="I25" i="7"/>
  <c r="I42" i="7"/>
  <c r="J31" i="8"/>
  <c r="I49" i="8"/>
  <c r="E49" i="8"/>
  <c r="D32" i="8"/>
  <c r="J56" i="8"/>
  <c r="J43" i="8"/>
  <c r="I31" i="8"/>
  <c r="E31" i="8"/>
  <c r="D55" i="8"/>
  <c r="I55" i="8"/>
  <c r="E32" i="8"/>
  <c r="J55" i="8"/>
  <c r="I43" i="8"/>
  <c r="E43" i="8"/>
  <c r="D43" i="8"/>
  <c r="D56" i="8"/>
  <c r="J32" i="8"/>
  <c r="D49" i="8"/>
  <c r="J49" i="8"/>
  <c r="I56" i="8"/>
  <c r="I32" i="8"/>
  <c r="E56" i="8"/>
  <c r="E55" i="8"/>
  <c r="D31" i="8"/>
  <c r="D3" i="4"/>
  <c r="O6" i="4" l="1"/>
  <c r="S6" i="4"/>
  <c r="R7" i="4"/>
  <c r="Q8" i="4"/>
  <c r="P9" i="4"/>
  <c r="O10" i="4"/>
  <c r="S10" i="4"/>
  <c r="R11" i="4"/>
  <c r="Q12" i="4"/>
  <c r="P13" i="4"/>
  <c r="O14" i="4"/>
  <c r="S14" i="4"/>
  <c r="S5" i="4"/>
  <c r="O5" i="4"/>
  <c r="O9" i="4"/>
  <c r="P12" i="4"/>
  <c r="R14" i="4"/>
  <c r="P6" i="4"/>
  <c r="O7" i="4"/>
  <c r="S7" i="4"/>
  <c r="R8" i="4"/>
  <c r="Q9" i="4"/>
  <c r="P10" i="4"/>
  <c r="O11" i="4"/>
  <c r="S11" i="4"/>
  <c r="R12" i="4"/>
  <c r="Q13" i="4"/>
  <c r="P14" i="4"/>
  <c r="P5" i="4"/>
  <c r="Q7" i="4"/>
  <c r="R10" i="4"/>
  <c r="S13" i="4"/>
  <c r="Q6" i="4"/>
  <c r="P7" i="4"/>
  <c r="O8" i="4"/>
  <c r="S8" i="4"/>
  <c r="R9" i="4"/>
  <c r="Q10" i="4"/>
  <c r="P11" i="4"/>
  <c r="O12" i="4"/>
  <c r="S12" i="4"/>
  <c r="R13" i="4"/>
  <c r="Q14" i="4"/>
  <c r="Q5" i="4"/>
  <c r="R6" i="4"/>
  <c r="P8" i="4"/>
  <c r="S9" i="4"/>
  <c r="Q11" i="4"/>
  <c r="O13" i="4"/>
  <c r="R5" i="4"/>
  <c r="D1" i="4"/>
  <c r="D18" i="8"/>
  <c r="F9" i="8"/>
  <c r="F11" i="8" s="1"/>
  <c r="E18" i="8"/>
  <c r="J38" i="7"/>
  <c r="J45" i="8"/>
  <c r="I45" i="8"/>
  <c r="E27" i="7"/>
  <c r="E45" i="8"/>
  <c r="J27" i="7"/>
  <c r="I27" i="7"/>
  <c r="D27" i="7"/>
  <c r="D34" i="8"/>
  <c r="D45" i="8"/>
  <c r="E34" i="8"/>
  <c r="D38" i="7"/>
  <c r="E38" i="7"/>
  <c r="K6" i="4"/>
  <c r="K13" i="4"/>
  <c r="K12" i="4"/>
  <c r="K7" i="4"/>
  <c r="K10" i="4"/>
  <c r="K9" i="4"/>
  <c r="K14" i="4"/>
  <c r="K11" i="4"/>
  <c r="K8" i="4"/>
  <c r="K5" i="4"/>
  <c r="I6" i="4"/>
  <c r="G11" i="4"/>
  <c r="G12" i="4"/>
  <c r="H11" i="4"/>
  <c r="H9" i="4"/>
  <c r="I14" i="4"/>
  <c r="G7" i="4"/>
  <c r="H12" i="4"/>
  <c r="H7" i="4"/>
  <c r="I12" i="4"/>
  <c r="H13" i="4"/>
  <c r="I11" i="4"/>
  <c r="G6" i="4"/>
  <c r="I13" i="4"/>
  <c r="I8" i="4"/>
  <c r="G14" i="4"/>
  <c r="I7" i="4"/>
  <c r="G13" i="4"/>
  <c r="H6" i="4"/>
  <c r="I9" i="4"/>
  <c r="H14" i="4"/>
  <c r="H8" i="4"/>
  <c r="G8" i="4"/>
  <c r="G9" i="4"/>
  <c r="F6" i="4"/>
  <c r="F12" i="4"/>
  <c r="F14" i="4"/>
  <c r="F7" i="4"/>
  <c r="F9" i="4"/>
  <c r="F11" i="4"/>
  <c r="F13" i="4"/>
  <c r="F8" i="4"/>
  <c r="F10" i="4"/>
  <c r="E7" i="4"/>
  <c r="E8" i="4"/>
  <c r="E11" i="4"/>
  <c r="E9" i="4"/>
  <c r="E12" i="4"/>
  <c r="E13" i="4"/>
  <c r="E14" i="4"/>
  <c r="E10" i="4"/>
  <c r="E6" i="4"/>
  <c r="F5" i="4"/>
  <c r="E5" i="4"/>
  <c r="J6" i="4" l="1"/>
  <c r="L6" i="4" s="1"/>
  <c r="J14" i="4"/>
  <c r="L14" i="4" s="1"/>
  <c r="J13" i="4"/>
  <c r="L13" i="4" s="1"/>
  <c r="J12" i="4"/>
  <c r="L12" i="4" s="1"/>
  <c r="J9" i="4"/>
  <c r="L9" i="4" s="1"/>
  <c r="J11" i="4"/>
  <c r="L11" i="4" s="1"/>
  <c r="J8" i="4"/>
  <c r="L8" i="4" s="1"/>
  <c r="J7" i="4"/>
  <c r="L7" i="4" s="1"/>
  <c r="F18" i="8"/>
  <c r="G9" i="8"/>
  <c r="G11" i="8" s="1"/>
  <c r="D6" i="7"/>
  <c r="D41" i="7" s="1"/>
  <c r="D47" i="7" s="1"/>
  <c r="D6" i="8"/>
  <c r="D48" i="8" s="1"/>
  <c r="M7" i="4"/>
  <c r="M9" i="4"/>
  <c r="M6" i="4"/>
  <c r="M11" i="4"/>
  <c r="M13" i="4"/>
  <c r="M8" i="4"/>
  <c r="M10" i="4"/>
  <c r="M12" i="4"/>
  <c r="M14" i="4"/>
  <c r="M5" i="4"/>
  <c r="D54" i="8" l="1"/>
  <c r="G18" i="8"/>
  <c r="H9" i="8"/>
  <c r="H11" i="8" s="1"/>
  <c r="D43" i="7"/>
  <c r="E6" i="7"/>
  <c r="E41" i="7" s="1"/>
  <c r="E6" i="8"/>
  <c r="E48" i="8" s="1"/>
  <c r="D50" i="8"/>
  <c r="Q777" i="6"/>
  <c r="G10" i="4"/>
  <c r="G5" i="4"/>
  <c r="J5" i="4" l="1"/>
  <c r="L5" i="4" s="1"/>
  <c r="J10" i="4"/>
  <c r="L10" i="4" s="1"/>
  <c r="E47" i="7"/>
  <c r="F6" i="7"/>
  <c r="F41" i="7" s="1"/>
  <c r="H18" i="8"/>
  <c r="I9" i="8"/>
  <c r="I11" i="8" s="1"/>
  <c r="E54" i="8"/>
  <c r="F6" i="8"/>
  <c r="F48" i="8" s="1"/>
  <c r="E43" i="7"/>
  <c r="E50" i="8"/>
  <c r="H10" i="4"/>
  <c r="H5" i="4"/>
  <c r="J9" i="8" l="1"/>
  <c r="J11" i="8" s="1"/>
  <c r="J18" i="8" s="1"/>
  <c r="J34" i="8" s="1"/>
  <c r="I18" i="8"/>
  <c r="I34" i="8" s="1"/>
  <c r="F54" i="8"/>
  <c r="G6" i="8"/>
  <c r="G48" i="8" s="1"/>
  <c r="F50" i="8"/>
  <c r="F47" i="7"/>
  <c r="G6" i="7"/>
  <c r="G41" i="7" s="1"/>
  <c r="F43" i="7"/>
  <c r="I10" i="4"/>
  <c r="I5" i="4"/>
  <c r="H6" i="8" l="1"/>
  <c r="H48" i="8" s="1"/>
  <c r="G54" i="8"/>
  <c r="G50" i="8"/>
  <c r="G47" i="7"/>
  <c r="H6" i="7"/>
  <c r="H41" i="7" s="1"/>
  <c r="G43" i="7"/>
  <c r="H47" i="7" l="1"/>
  <c r="H43" i="7"/>
  <c r="I6" i="7"/>
  <c r="I41" i="7" s="1"/>
  <c r="H54" i="8"/>
  <c r="H50" i="8"/>
  <c r="I6" i="8"/>
  <c r="I48" i="8" s="1"/>
  <c r="I47" i="7" l="1"/>
  <c r="I43" i="7"/>
  <c r="J6" i="7"/>
  <c r="J41" i="7" s="1"/>
  <c r="I54" i="8"/>
  <c r="J6" i="8"/>
  <c r="J48" i="8" s="1"/>
  <c r="I50" i="8"/>
  <c r="J47" i="7" l="1"/>
  <c r="J43" i="7"/>
  <c r="J50" i="8"/>
  <c r="J5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PROMPONG PANTUWORN</author>
  </authors>
  <commentList>
    <comment ref="D5" authorId="0" shapeId="0" xr:uid="{C825FA9B-9493-45C6-A13A-6B9E6205893D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Saving with BAY</t>
        </r>
      </text>
    </comment>
  </commentList>
</comments>
</file>

<file path=xl/sharedStrings.xml><?xml version="1.0" encoding="utf-8"?>
<sst xmlns="http://schemas.openxmlformats.org/spreadsheetml/2006/main" count="14355" uniqueCount="1207">
  <si>
    <t>HLD_Date</t>
  </si>
  <si>
    <t>HLD_Portfolio</t>
  </si>
  <si>
    <t>Group1</t>
  </si>
  <si>
    <t>Group2</t>
  </si>
  <si>
    <t>Group3</t>
  </si>
  <si>
    <t>HLD_SecCode</t>
  </si>
  <si>
    <t>HLD_Issuer</t>
  </si>
  <si>
    <t>HLD_Rating</t>
  </si>
  <si>
    <t>HLD_MaturityDate</t>
  </si>
  <si>
    <t>HLD_MarketValue</t>
  </si>
  <si>
    <t>HLD_AI</t>
  </si>
  <si>
    <t>HLD_Cost</t>
  </si>
  <si>
    <t>HLD_ModDuration</t>
  </si>
  <si>
    <t>HLD_YieldCost</t>
  </si>
  <si>
    <t>SEC_Class</t>
  </si>
  <si>
    <t>SEC_Currency</t>
  </si>
  <si>
    <t>SEC_Issue_Date</t>
  </si>
  <si>
    <t>SCBSFF</t>
  </si>
  <si>
    <t>FIXED INCOME</t>
  </si>
  <si>
    <t>CUSTODIAN BANK</t>
  </si>
  <si>
    <t>CASH</t>
  </si>
  <si>
    <t>BAY</t>
  </si>
  <si>
    <t>Cash Bal</t>
  </si>
  <si>
    <t>THB</t>
  </si>
  <si>
    <t>MTF</t>
  </si>
  <si>
    <t>-CNY CASH-</t>
  </si>
  <si>
    <t>SCB</t>
  </si>
  <si>
    <t>AA+(tha)</t>
  </si>
  <si>
    <t>CNHbb</t>
  </si>
  <si>
    <t>BBB+</t>
  </si>
  <si>
    <t>-EUR CASH-</t>
  </si>
  <si>
    <t>EURbb</t>
  </si>
  <si>
    <t>-HKD CASH-</t>
  </si>
  <si>
    <t>HKDbb</t>
  </si>
  <si>
    <t>-SACON SFF</t>
  </si>
  <si>
    <t>BBB</t>
  </si>
  <si>
    <t>-US CASH-</t>
  </si>
  <si>
    <t>USDbb</t>
  </si>
  <si>
    <t>TERM &amp; SAVING DEPOSIT</t>
  </si>
  <si>
    <t>CD12MTBANK14519</t>
  </si>
  <si>
    <t>TBANK</t>
  </si>
  <si>
    <t>AA-</t>
  </si>
  <si>
    <t>Bond</t>
  </si>
  <si>
    <t>AA-(tha)</t>
  </si>
  <si>
    <t>CD9MTBANK11619</t>
  </si>
  <si>
    <t>F12MABCHK100519</t>
  </si>
  <si>
    <t>ABCHK</t>
  </si>
  <si>
    <t>A</t>
  </si>
  <si>
    <t>F12MABCHK250419</t>
  </si>
  <si>
    <t>F12MADCB061118b</t>
  </si>
  <si>
    <t>ADCB</t>
  </si>
  <si>
    <t>A+</t>
  </si>
  <si>
    <t>F12MADCB161018</t>
  </si>
  <si>
    <t>F12MBOCMC040419</t>
  </si>
  <si>
    <t>BOC MACAU</t>
  </si>
  <si>
    <t>F12MBOCMC110419</t>
  </si>
  <si>
    <t>F12MBOCMC250419</t>
  </si>
  <si>
    <t>F12MGHB020819a</t>
  </si>
  <si>
    <t>GHB</t>
  </si>
  <si>
    <t>AAA(tha)</t>
  </si>
  <si>
    <t>F12MGHB060819</t>
  </si>
  <si>
    <t>F12MGHB090819</t>
  </si>
  <si>
    <t>F12MGHB141218</t>
  </si>
  <si>
    <t>F12MGHB160119</t>
  </si>
  <si>
    <t>F12MGHB170119</t>
  </si>
  <si>
    <t>F12MGHB180119</t>
  </si>
  <si>
    <t>F12MGHB210119</t>
  </si>
  <si>
    <t>F3MABCHK161018</t>
  </si>
  <si>
    <t>F6MBOCMC051118</t>
  </si>
  <si>
    <t>F6MBOCMC190319</t>
  </si>
  <si>
    <t>INVCTISCOsff1</t>
  </si>
  <si>
    <t>TISCOB</t>
  </si>
  <si>
    <t>INVSKTBsff</t>
  </si>
  <si>
    <t>KTB</t>
  </si>
  <si>
    <t>INVSUOBTsff</t>
  </si>
  <si>
    <t>UOBT</t>
  </si>
  <si>
    <t>S4MSCB030119</t>
  </si>
  <si>
    <t>BILL OF EXCHANGE</t>
  </si>
  <si>
    <t>MBKET18D18A</t>
  </si>
  <si>
    <t>MBKET</t>
  </si>
  <si>
    <t>MP</t>
  </si>
  <si>
    <t>SPALI19218A</t>
  </si>
  <si>
    <t>SPALI</t>
  </si>
  <si>
    <t>TREASURY BILL</t>
  </si>
  <si>
    <t>TB18N14A</t>
  </si>
  <si>
    <t>GOVERNMENT</t>
  </si>
  <si>
    <t>TB19403A</t>
  </si>
  <si>
    <t>BOT BOND</t>
  </si>
  <si>
    <t>CB18D06C</t>
  </si>
  <si>
    <t>BOT</t>
  </si>
  <si>
    <t>CB18D13B</t>
  </si>
  <si>
    <t>CB18D20B</t>
  </si>
  <si>
    <t>CB18N01B</t>
  </si>
  <si>
    <t>CB18N08A</t>
  </si>
  <si>
    <t>CB18N08B</t>
  </si>
  <si>
    <t>CB18N15A</t>
  </si>
  <si>
    <t>CB18N15B</t>
  </si>
  <si>
    <t>CB18N22A</t>
  </si>
  <si>
    <t>CB18N22B</t>
  </si>
  <si>
    <t>CB18N29A</t>
  </si>
  <si>
    <t>CB18N29B</t>
  </si>
  <si>
    <t>CB18O11A</t>
  </si>
  <si>
    <t>CB18O11B</t>
  </si>
  <si>
    <t>CB18O16A</t>
  </si>
  <si>
    <t>CB18O18A</t>
  </si>
  <si>
    <t>CB18O18B</t>
  </si>
  <si>
    <t>CB18O25A</t>
  </si>
  <si>
    <t>CB18O25B</t>
  </si>
  <si>
    <t>CB19103B</t>
  </si>
  <si>
    <t>DEBENTURE</t>
  </si>
  <si>
    <t>CPALL18OB</t>
  </si>
  <si>
    <t>CPALL</t>
  </si>
  <si>
    <t>BOND</t>
  </si>
  <si>
    <t>DERIVATIVE</t>
  </si>
  <si>
    <t>FORWARD</t>
  </si>
  <si>
    <t>FWCNHTHB19404A</t>
  </si>
  <si>
    <t>Future</t>
  </si>
  <si>
    <t>FWCNHTHB19411A</t>
  </si>
  <si>
    <t>FWEURTHB18N05B</t>
  </si>
  <si>
    <t>FWEURTHB19319B</t>
  </si>
  <si>
    <t>FWEURTHB19425A</t>
  </si>
  <si>
    <t>FWEURTHB19510A</t>
  </si>
  <si>
    <t>KKP</t>
  </si>
  <si>
    <t>A-</t>
  </si>
  <si>
    <t>FWUSDTHB18N06C</t>
  </si>
  <si>
    <t>FWUSDTHB18O16A</t>
  </si>
  <si>
    <t>FWUSDTHB18O16C</t>
  </si>
  <si>
    <t>FWUSDTHB19425A</t>
  </si>
  <si>
    <t>ACCRUED RECEIVE</t>
  </si>
  <si>
    <t>ACCRUED PAYABLE</t>
  </si>
  <si>
    <t>BUY SECURITY</t>
  </si>
  <si>
    <t>AUDITING FEE</t>
  </si>
  <si>
    <t>TAX</t>
  </si>
  <si>
    <t>A NEWSPAPER_NAV</t>
  </si>
  <si>
    <t>CUSTODIAN FEE</t>
  </si>
  <si>
    <t>MANAGEMENT FEE</t>
  </si>
  <si>
    <t>REGISTRAR FEE</t>
  </si>
  <si>
    <t>FEES</t>
  </si>
  <si>
    <t>Portfolio List</t>
  </si>
  <si>
    <t>SCBSFFPLUS</t>
  </si>
  <si>
    <t>SCBTMF</t>
  </si>
  <si>
    <t>SCBTMFPLUS</t>
  </si>
  <si>
    <t>-AED CASH-</t>
  </si>
  <si>
    <t>-CASH-</t>
  </si>
  <si>
    <t>AEDbb</t>
  </si>
  <si>
    <t>-GBP CASH-</t>
  </si>
  <si>
    <t>KBANK</t>
  </si>
  <si>
    <t>GBPbb</t>
  </si>
  <si>
    <t>-JPY CASH-</t>
  </si>
  <si>
    <t>JPYbb</t>
  </si>
  <si>
    <t>CD12MCMBL010219</t>
  </si>
  <si>
    <t>CMBLUX</t>
  </si>
  <si>
    <t>CD12MICBCD16119</t>
  </si>
  <si>
    <t>ICBCDUBAI</t>
  </si>
  <si>
    <t>CD12MTBANK17519</t>
  </si>
  <si>
    <t>CD1YBOCHK060319</t>
  </si>
  <si>
    <t>BOC HK</t>
  </si>
  <si>
    <t>CD1YBOCHK071218</t>
  </si>
  <si>
    <t>CD1YICBCSE08219</t>
  </si>
  <si>
    <t>ICBCSEOUL</t>
  </si>
  <si>
    <t>F12MABCHK130219</t>
  </si>
  <si>
    <t>F12MABCHK220319</t>
  </si>
  <si>
    <t>F12MABCHK230519</t>
  </si>
  <si>
    <t>F12MABCHK250619</t>
  </si>
  <si>
    <t>F12MABCHK260419</t>
  </si>
  <si>
    <t>F12MABCHK270319</t>
  </si>
  <si>
    <t>F12MABCHK280319</t>
  </si>
  <si>
    <t>F12MABCHK310119</t>
  </si>
  <si>
    <t>F12MABCHK310519</t>
  </si>
  <si>
    <t>F12MADCB181218a</t>
  </si>
  <si>
    <t>F12MBOCMC02519b</t>
  </si>
  <si>
    <t>F12MBOCMC080119</t>
  </si>
  <si>
    <t>F12MBOCMC090119</t>
  </si>
  <si>
    <t>F12MBOCMC181218</t>
  </si>
  <si>
    <t>F12MBOCMC280619</t>
  </si>
  <si>
    <t>F12MGHB010819</t>
  </si>
  <si>
    <t>F12MGHB020819</t>
  </si>
  <si>
    <t>F12MGHB260719</t>
  </si>
  <si>
    <t>F12MUNB011019</t>
  </si>
  <si>
    <t>UNB</t>
  </si>
  <si>
    <t>F12MUNB021019a</t>
  </si>
  <si>
    <t>F3MABCHK221018</t>
  </si>
  <si>
    <t>F6MABCHK120319</t>
  </si>
  <si>
    <t>F6MADCB251018</t>
  </si>
  <si>
    <t>F6MADCB261118</t>
  </si>
  <si>
    <t>F6MBOCMC191118</t>
  </si>
  <si>
    <t>F6MBOCMC201118</t>
  </si>
  <si>
    <t>INVSKTBsffplus</t>
  </si>
  <si>
    <t>INVSSCBCYsffp</t>
  </si>
  <si>
    <t>INVSSCBUSsffp</t>
  </si>
  <si>
    <t>INVSUOBTsffplus</t>
  </si>
  <si>
    <t>BANPU19206A</t>
  </si>
  <si>
    <t>BANPU</t>
  </si>
  <si>
    <t>BTSG18N20A</t>
  </si>
  <si>
    <t>BTS</t>
  </si>
  <si>
    <t>CPF18D13A</t>
  </si>
  <si>
    <t>CPF</t>
  </si>
  <si>
    <t>CPF19129A</t>
  </si>
  <si>
    <t>CPFTH18D06A</t>
  </si>
  <si>
    <t>CPFTH</t>
  </si>
  <si>
    <t>CPFTH19326B</t>
  </si>
  <si>
    <t>CPN18N13A</t>
  </si>
  <si>
    <t>CPN</t>
  </si>
  <si>
    <t>AA</t>
  </si>
  <si>
    <t>SIRI18O24A</t>
  </si>
  <si>
    <t>SIRI</t>
  </si>
  <si>
    <t>SPALI19131A</t>
  </si>
  <si>
    <t>CB18D13A</t>
  </si>
  <si>
    <t>CB18D27B</t>
  </si>
  <si>
    <t>CB18N01A</t>
  </si>
  <si>
    <t>CB19103A</t>
  </si>
  <si>
    <t>GOLD19NA</t>
  </si>
  <si>
    <t>GOLD</t>
  </si>
  <si>
    <t>ICBCTL19NA</t>
  </si>
  <si>
    <t>ICBCTL</t>
  </si>
  <si>
    <t>KK18N15A</t>
  </si>
  <si>
    <t>KK18N20A</t>
  </si>
  <si>
    <t>KK18N22A</t>
  </si>
  <si>
    <t>KK18N23A</t>
  </si>
  <si>
    <t>KK18N30B</t>
  </si>
  <si>
    <t>KK19118A</t>
  </si>
  <si>
    <t>KK19118B</t>
  </si>
  <si>
    <t>KK203A</t>
  </si>
  <si>
    <t>LHBANK199A</t>
  </si>
  <si>
    <t>LHB</t>
  </si>
  <si>
    <t>LHBANK203A</t>
  </si>
  <si>
    <t>MPSC18OA</t>
  </si>
  <si>
    <t>PS18NA</t>
  </si>
  <si>
    <t>PS</t>
  </si>
  <si>
    <t>QH213A</t>
  </si>
  <si>
    <t>QH</t>
  </si>
  <si>
    <t>SCB19218A</t>
  </si>
  <si>
    <t>SPALI213A</t>
  </si>
  <si>
    <t>TBEV203A</t>
  </si>
  <si>
    <t>THBEV</t>
  </si>
  <si>
    <t>TBEV213A</t>
  </si>
  <si>
    <t>THCOM19OB</t>
  </si>
  <si>
    <t>THCOM</t>
  </si>
  <si>
    <t>TISCO18NA</t>
  </si>
  <si>
    <t>TISCO198A</t>
  </si>
  <si>
    <t>TISCO205B</t>
  </si>
  <si>
    <t>TRUE192B</t>
  </si>
  <si>
    <t>TRUE</t>
  </si>
  <si>
    <t>TUC19129B</t>
  </si>
  <si>
    <t>TUC</t>
  </si>
  <si>
    <t>TUC218A</t>
  </si>
  <si>
    <t>WHA214A</t>
  </si>
  <si>
    <t>WHA</t>
  </si>
  <si>
    <t>WHART213A</t>
  </si>
  <si>
    <t>WHART</t>
  </si>
  <si>
    <t>WHAUP208A</t>
  </si>
  <si>
    <t>WHAUP</t>
  </si>
  <si>
    <t>BH18DA</t>
  </si>
  <si>
    <t>BH</t>
  </si>
  <si>
    <t>BJC206A</t>
  </si>
  <si>
    <t>BJC</t>
  </si>
  <si>
    <t>BTG19NA</t>
  </si>
  <si>
    <t>BTG</t>
  </si>
  <si>
    <t>CPALL193A</t>
  </si>
  <si>
    <t>DMT18NB</t>
  </si>
  <si>
    <t>DMT</t>
  </si>
  <si>
    <t>DMT20NA</t>
  </si>
  <si>
    <t>COMMERCIAL PAPER</t>
  </si>
  <si>
    <t>EMTNMASQ070319</t>
  </si>
  <si>
    <t>MASQ</t>
  </si>
  <si>
    <t>EMTNMASQ080519</t>
  </si>
  <si>
    <t>EMTNMASQ090419</t>
  </si>
  <si>
    <t>EMTNMASQ130519</t>
  </si>
  <si>
    <t>EMTNMASQ210319</t>
  </si>
  <si>
    <t>FWAEDTHB18D18A</t>
  </si>
  <si>
    <t>FWEURTHB18D07B</t>
  </si>
  <si>
    <t>FWEURTHB18N05A</t>
  </si>
  <si>
    <t>FWEURTHB19131A</t>
  </si>
  <si>
    <t>FWEURTHB19201A</t>
  </si>
  <si>
    <t>FWEURTHB19213A</t>
  </si>
  <si>
    <t>FWEURTHB19306A</t>
  </si>
  <si>
    <t>FWEURTHB19321A</t>
  </si>
  <si>
    <t>FWEURTHB19322A</t>
  </si>
  <si>
    <t>FWEURTHB19327A</t>
  </si>
  <si>
    <t>FWEURTHB19328A</t>
  </si>
  <si>
    <t>FWEURTHB19502B</t>
  </si>
  <si>
    <t>FWEURTHB19523A</t>
  </si>
  <si>
    <t>FWEURTHB19531A</t>
  </si>
  <si>
    <t>FWHKDTHB18O22A</t>
  </si>
  <si>
    <t>FWHKDTHB19312A</t>
  </si>
  <si>
    <t>FWUSDTHB18D18B</t>
  </si>
  <si>
    <t>CIMBT</t>
  </si>
  <si>
    <t>FWUSDTHB18N06D</t>
  </si>
  <si>
    <t>FWUSDTHB18N19A</t>
  </si>
  <si>
    <t>FWUSDTHB18N20A</t>
  </si>
  <si>
    <t>FWUSDTHB18N26A</t>
  </si>
  <si>
    <t>FWUSDTHB18O16B</t>
  </si>
  <si>
    <t>FWUSDTHB18O16D</t>
  </si>
  <si>
    <t>FWUSDTHB18O25A</t>
  </si>
  <si>
    <t>FWUSDTHB19108A</t>
  </si>
  <si>
    <t>FWUSDTHB19109A</t>
  </si>
  <si>
    <t>FWUSDTHB19116B</t>
  </si>
  <si>
    <t>FWUSDTHB19208A</t>
  </si>
  <si>
    <t>FWUSDTHB19307A</t>
  </si>
  <si>
    <t>FWUSDTHB19409A</t>
  </si>
  <si>
    <t>FWUSDTHB19426A</t>
  </si>
  <si>
    <t>FWUSDTHB19508A</t>
  </si>
  <si>
    <t>FWUSDTHB19513B</t>
  </si>
  <si>
    <t>FWUSDTHB19625A</t>
  </si>
  <si>
    <t>FWUSDTHB19628A</t>
  </si>
  <si>
    <t>FWUSDTHB19O01A</t>
  </si>
  <si>
    <t>FWUSDTHB19O02B</t>
  </si>
  <si>
    <t>A/R FROM SUB.</t>
  </si>
  <si>
    <t>F12MGHB090419</t>
  </si>
  <si>
    <t>INVSUOBTtmf</t>
  </si>
  <si>
    <t>SELL SECURITY</t>
  </si>
  <si>
    <t>F12MGHB071218</t>
  </si>
  <si>
    <t>INVSKTBtmfplus</t>
  </si>
  <si>
    <t>INVSUOBTtmfplus</t>
  </si>
  <si>
    <t>CB18D06A</t>
  </si>
  <si>
    <t>GHB18DA</t>
  </si>
  <si>
    <t>BAY193A</t>
  </si>
  <si>
    <t>AAA</t>
  </si>
  <si>
    <t>Portfolio</t>
  </si>
  <si>
    <t>Custodian</t>
  </si>
  <si>
    <t>ProjDate</t>
  </si>
  <si>
    <t>DebtBuy</t>
  </si>
  <si>
    <t>DebtSell</t>
  </si>
  <si>
    <t>DebtInterest</t>
  </si>
  <si>
    <t>CashEqBuy</t>
  </si>
  <si>
    <t>CashEqSell</t>
  </si>
  <si>
    <t>CashEqInterest</t>
  </si>
  <si>
    <t>Expense</t>
  </si>
  <si>
    <t>Application</t>
  </si>
  <si>
    <t>Redemtion</t>
  </si>
  <si>
    <t>SwitchIn</t>
  </si>
  <si>
    <t>SwitchOut</t>
  </si>
  <si>
    <t>CashBal</t>
  </si>
  <si>
    <t>CashEqBal</t>
  </si>
  <si>
    <t>DebtBuy_BahtNet</t>
  </si>
  <si>
    <t>DebtSell_BahtNet</t>
  </si>
  <si>
    <t>CashEqBuy_BahtNet</t>
  </si>
  <si>
    <t>CashEqSell_BahtNet</t>
  </si>
  <si>
    <t>App_SCB_BahtNet</t>
  </si>
  <si>
    <t>App_Other_BahtNet</t>
  </si>
  <si>
    <t>App_SCB_Cheque</t>
  </si>
  <si>
    <t>App_Other_Cheque</t>
  </si>
  <si>
    <t>CashForUse</t>
  </si>
  <si>
    <t>CashForBahtNet</t>
  </si>
  <si>
    <t>1.1. Subscription</t>
  </si>
  <si>
    <t>1.2. Switch-in</t>
  </si>
  <si>
    <t>2.1. Redemption</t>
  </si>
  <si>
    <t>2.2. Switch-out</t>
  </si>
  <si>
    <t>1.1. Subscription (Chq)</t>
  </si>
  <si>
    <t>SCBFIXED</t>
  </si>
  <si>
    <t>SCBFPFUND</t>
  </si>
  <si>
    <t>SCBPLUS</t>
  </si>
  <si>
    <t>SCBRF</t>
  </si>
  <si>
    <t>SCBRM1</t>
  </si>
  <si>
    <t>SCBRM2</t>
  </si>
  <si>
    <t>CB18O24A</t>
  </si>
  <si>
    <t>DAILY CASH PROJECTION</t>
  </si>
  <si>
    <t>Date</t>
  </si>
  <si>
    <t>Beginning Balance</t>
  </si>
  <si>
    <t>Saving</t>
  </si>
  <si>
    <t>Beginning</t>
  </si>
  <si>
    <t xml:space="preserve">Transaction </t>
  </si>
  <si>
    <t>Ending Saving Amount</t>
  </si>
  <si>
    <t>Cash Inflow</t>
  </si>
  <si>
    <t>Proposed Item</t>
  </si>
  <si>
    <t>Application (BN)</t>
  </si>
  <si>
    <t>Switch In (T+1)</t>
  </si>
  <si>
    <t>Application (Non Bn)</t>
  </si>
  <si>
    <t>Switch In (Other)</t>
  </si>
  <si>
    <t>Debt Mature &amp; Sell (Bn)</t>
  </si>
  <si>
    <t>Debt Mature &amp; Sell (Non Bn)</t>
  </si>
  <si>
    <t>Deposit (Bn)</t>
  </si>
  <si>
    <t>Deposit (Non Bn)</t>
  </si>
  <si>
    <t>Coupon On Bond</t>
  </si>
  <si>
    <t>Interest On Deposit</t>
  </si>
  <si>
    <t>Proposed Transaction</t>
  </si>
  <si>
    <t>Total Cash Inflow</t>
  </si>
  <si>
    <t>Cash Outflow</t>
  </si>
  <si>
    <t>Redemption</t>
  </si>
  <si>
    <t>Switch-Out</t>
  </si>
  <si>
    <t>Debt Buy (Bn)</t>
  </si>
  <si>
    <t>Debt Buy (Non Bn)</t>
  </si>
  <si>
    <t>Fee &amp; Expenses</t>
  </si>
  <si>
    <t>Total Cash Outflow</t>
  </si>
  <si>
    <t xml:space="preserve">Cross Check </t>
  </si>
  <si>
    <t>Ending Cash Balance (Intraday)</t>
  </si>
  <si>
    <t>Difference Amount</t>
  </si>
  <si>
    <t>% Cash  At Fund Account</t>
  </si>
  <si>
    <t>Cash Use (Projection)</t>
  </si>
  <si>
    <t>Cash For Bn (Projection)</t>
  </si>
  <si>
    <t>Cash Date</t>
  </si>
  <si>
    <t>Type</t>
  </si>
  <si>
    <t>Amount</t>
  </si>
  <si>
    <t>Detail</t>
  </si>
  <si>
    <t>Mode</t>
  </si>
  <si>
    <t>ID</t>
  </si>
  <si>
    <t>RefRng</t>
  </si>
  <si>
    <t>Cur</t>
  </si>
  <si>
    <t>๏ปฟSCB2566</t>
  </si>
  <si>
    <t>FTC</t>
  </si>
  <si>
    <t>R</t>
  </si>
  <si>
    <t>SCB2566</t>
  </si>
  <si>
    <t>SCB2576</t>
  </si>
  <si>
    <t>SCB2586</t>
  </si>
  <si>
    <t>SCBAEM</t>
  </si>
  <si>
    <t>SCBAEMH</t>
  </si>
  <si>
    <t>SCBAPLUSFUND</t>
  </si>
  <si>
    <t>SCBAUD</t>
  </si>
  <si>
    <t>SCBBANKINGFUND</t>
  </si>
  <si>
    <t>SCBBLN</t>
  </si>
  <si>
    <t>SCBCE</t>
  </si>
  <si>
    <t>SCBCEH</t>
  </si>
  <si>
    <t>SCBCHA</t>
  </si>
  <si>
    <t>SCBCHEQ</t>
  </si>
  <si>
    <t>SCBDIGI</t>
  </si>
  <si>
    <t>SCBDVFUND</t>
  </si>
  <si>
    <t>SCBEMBOND</t>
  </si>
  <si>
    <t>SCBEMEQFUND</t>
  </si>
  <si>
    <t>SCBENERGYFUND</t>
  </si>
  <si>
    <t>SCBEUEQ</t>
  </si>
  <si>
    <t>SCBEUSM</t>
  </si>
  <si>
    <t>SCBFF1YK2</t>
  </si>
  <si>
    <t>SCBFF3MC6</t>
  </si>
  <si>
    <t>SCBFF6MK1</t>
  </si>
  <si>
    <t>SCBFIN</t>
  </si>
  <si>
    <t>SCBFLX</t>
  </si>
  <si>
    <t>SCBFST</t>
  </si>
  <si>
    <t>SCBGEAR</t>
  </si>
  <si>
    <t>SCBGEQFUND</t>
  </si>
  <si>
    <t>SCBGHC</t>
  </si>
  <si>
    <t>SCBGIF</t>
  </si>
  <si>
    <t>SCBGIN</t>
  </si>
  <si>
    <t>SCBGMT</t>
  </si>
  <si>
    <t>SCBGOLD</t>
  </si>
  <si>
    <t>SCBGOLDHFUND</t>
  </si>
  <si>
    <t>SCBGOLDHRMF</t>
  </si>
  <si>
    <t>SCBGPLUS</t>
  </si>
  <si>
    <t>SCBGPROP</t>
  </si>
  <si>
    <t>SCBGSIFUND</t>
  </si>
  <si>
    <t>SCBINC</t>
  </si>
  <si>
    <t>SCBINDIA</t>
  </si>
  <si>
    <t>SCBJPSM</t>
  </si>
  <si>
    <t>SCBKEQTG</t>
  </si>
  <si>
    <t>SCBLEQFUND</t>
  </si>
  <si>
    <t>SCBLT1</t>
  </si>
  <si>
    <t>SCBLT2</t>
  </si>
  <si>
    <t>SCBLT3</t>
  </si>
  <si>
    <t>SCBLT4</t>
  </si>
  <si>
    <t>SCBLTS</t>
  </si>
  <si>
    <t>SCBLTSE</t>
  </si>
  <si>
    <t>SCBLTSET</t>
  </si>
  <si>
    <t>SCBLTT</t>
  </si>
  <si>
    <t>SCBMLT</t>
  </si>
  <si>
    <t>SCBMSEFUND</t>
  </si>
  <si>
    <t>SCBNKY225</t>
  </si>
  <si>
    <t>SCBOILFUND</t>
  </si>
  <si>
    <t>SCBOPP</t>
  </si>
  <si>
    <t>SCBPGF</t>
  </si>
  <si>
    <t>SCBPIN</t>
  </si>
  <si>
    <t>SCBPMOFUND</t>
  </si>
  <si>
    <t>SCBPOP</t>
  </si>
  <si>
    <t>SCBRM3</t>
  </si>
  <si>
    <t>SCBRM4</t>
  </si>
  <si>
    <t>SCBRMEU</t>
  </si>
  <si>
    <t>SCBRMGHC</t>
  </si>
  <si>
    <t>SCBRMGIF</t>
  </si>
  <si>
    <t>SCBRMGW</t>
  </si>
  <si>
    <t>SCBRMGWP</t>
  </si>
  <si>
    <t>SCBRMJP</t>
  </si>
  <si>
    <t>SCBRMPOP</t>
  </si>
  <si>
    <t>SCBRMS50</t>
  </si>
  <si>
    <t>SCBROBO</t>
  </si>
  <si>
    <t>SCBS&amp;P500</t>
  </si>
  <si>
    <t>SCBSEFUND</t>
  </si>
  <si>
    <t>SCBSET50FUND</t>
  </si>
  <si>
    <t>SCBSETFUND</t>
  </si>
  <si>
    <t>SCBSMART3</t>
  </si>
  <si>
    <t>SCBSMART4</t>
  </si>
  <si>
    <t>SCBST555B</t>
  </si>
  <si>
    <t>SCBTEQFUND</t>
  </si>
  <si>
    <t>SCBTHAICG</t>
  </si>
  <si>
    <t>SCBUSHY</t>
  </si>
  <si>
    <t>SCBUSSM</t>
  </si>
  <si>
    <t>SCBWIN</t>
  </si>
  <si>
    <t>A(tha)</t>
  </si>
  <si>
    <t>Baa2</t>
  </si>
  <si>
    <t>INVCTISCOrf</t>
  </si>
  <si>
    <t>INVSKTBrf</t>
  </si>
  <si>
    <t>INVSUOBTrf</t>
  </si>
  <si>
    <t>BANSUAN161017</t>
  </si>
  <si>
    <t>BANSUAN</t>
  </si>
  <si>
    <t>SB18OA</t>
  </si>
  <si>
    <t>CALE205A</t>
  </si>
  <si>
    <t>CAL</t>
  </si>
  <si>
    <t>AMATA20OA</t>
  </si>
  <si>
    <t>AMATA</t>
  </si>
  <si>
    <t>BANPU214A</t>
  </si>
  <si>
    <t>BANPU247A</t>
  </si>
  <si>
    <t>BANPU274A</t>
  </si>
  <si>
    <t>BAY20NA</t>
  </si>
  <si>
    <t>BEM234A</t>
  </si>
  <si>
    <t>BEM</t>
  </si>
  <si>
    <t>BJC219A</t>
  </si>
  <si>
    <t>BJC239A</t>
  </si>
  <si>
    <t>BTG215A</t>
  </si>
  <si>
    <t>BTG227A</t>
  </si>
  <si>
    <t>BTG233A</t>
  </si>
  <si>
    <t>BTSC19NA</t>
  </si>
  <si>
    <t>BTSC</t>
  </si>
  <si>
    <t>BTSG20DA</t>
  </si>
  <si>
    <t>CBG206A</t>
  </si>
  <si>
    <t>CBG</t>
  </si>
  <si>
    <t>CK20NA</t>
  </si>
  <si>
    <t>CK</t>
  </si>
  <si>
    <t>CPF218B</t>
  </si>
  <si>
    <t>CPF251A</t>
  </si>
  <si>
    <t>GPSC219A</t>
  </si>
  <si>
    <t>A+(tha)</t>
  </si>
  <si>
    <t>GPSC</t>
  </si>
  <si>
    <t>BBB-</t>
  </si>
  <si>
    <t>IRPC215B</t>
  </si>
  <si>
    <t>A-(tha)</t>
  </si>
  <si>
    <t>IRPC</t>
  </si>
  <si>
    <t>IVL205A</t>
  </si>
  <si>
    <t>IVL</t>
  </si>
  <si>
    <t>NTL19DB</t>
  </si>
  <si>
    <t>NTL</t>
  </si>
  <si>
    <t>PS20NA</t>
  </si>
  <si>
    <t>QH20NA</t>
  </si>
  <si>
    <t>SPALI205A</t>
  </si>
  <si>
    <t>THCOM21OB</t>
  </si>
  <si>
    <t>TICON208A</t>
  </si>
  <si>
    <t>TICON</t>
  </si>
  <si>
    <t>TICON213A</t>
  </si>
  <si>
    <t>TISCO195B</t>
  </si>
  <si>
    <t>TRUE18N27A</t>
  </si>
  <si>
    <t>TRUE18O18B</t>
  </si>
  <si>
    <t>TRUE19129B</t>
  </si>
  <si>
    <t>TUC18D20A</t>
  </si>
  <si>
    <t>UOBT193A</t>
  </si>
  <si>
    <t>F12MGHB301118</t>
  </si>
  <si>
    <t>INVSKTBrm1</t>
  </si>
  <si>
    <t>INVSUOBTrm1</t>
  </si>
  <si>
    <t>TUC19326A</t>
  </si>
  <si>
    <t>CB19314A</t>
  </si>
  <si>
    <t>BOT192A</t>
  </si>
  <si>
    <t>BOT199A</t>
  </si>
  <si>
    <t>BOT209A</t>
  </si>
  <si>
    <t>LB206A</t>
  </si>
  <si>
    <t>AWN214B</t>
  </si>
  <si>
    <t>AWN</t>
  </si>
  <si>
    <t>BANPU207B</t>
  </si>
  <si>
    <t>BAY18OA</t>
  </si>
  <si>
    <t>BEM196A</t>
  </si>
  <si>
    <t>BJC193A</t>
  </si>
  <si>
    <t>BJC199A</t>
  </si>
  <si>
    <t>CPALL193B</t>
  </si>
  <si>
    <t>CPALL198B</t>
  </si>
  <si>
    <t>CPALL20OA</t>
  </si>
  <si>
    <t>CPF198B</t>
  </si>
  <si>
    <t>CPF204A</t>
  </si>
  <si>
    <t>CPFTH207A</t>
  </si>
  <si>
    <t>KCC199A</t>
  </si>
  <si>
    <t>KCC</t>
  </si>
  <si>
    <t>KCC203A</t>
  </si>
  <si>
    <t>KSL203A</t>
  </si>
  <si>
    <t>KSL</t>
  </si>
  <si>
    <t>LH194B</t>
  </si>
  <si>
    <t>LH</t>
  </si>
  <si>
    <t>MAJOR229A</t>
  </si>
  <si>
    <t>MAJOR</t>
  </si>
  <si>
    <t>MINT193A</t>
  </si>
  <si>
    <t>MINT</t>
  </si>
  <si>
    <t>NTL195A</t>
  </si>
  <si>
    <t>PL18OA</t>
  </si>
  <si>
    <t>PL</t>
  </si>
  <si>
    <t>PS193A</t>
  </si>
  <si>
    <t>PS19NA</t>
  </si>
  <si>
    <t>PTTC195B</t>
  </si>
  <si>
    <t>PTT</t>
  </si>
  <si>
    <t>QH194A</t>
  </si>
  <si>
    <t>QH198A</t>
  </si>
  <si>
    <t>SCCC205A</t>
  </si>
  <si>
    <t>SCCC</t>
  </si>
  <si>
    <t>TBEV223A</t>
  </si>
  <si>
    <t>TRUE19129A</t>
  </si>
  <si>
    <t>MBTH18DA</t>
  </si>
  <si>
    <t>MBT</t>
  </si>
  <si>
    <t>TLT201B</t>
  </si>
  <si>
    <t>TLT</t>
  </si>
  <si>
    <t>Settle Date :11/10/2018</t>
  </si>
  <si>
    <t>TAX REDEMP</t>
  </si>
  <si>
    <t>OPERATION FEE</t>
  </si>
  <si>
    <t>CD12MTBANK05719</t>
  </si>
  <si>
    <t>INVSUOBTrm2</t>
  </si>
  <si>
    <t>CB18D20A</t>
  </si>
  <si>
    <t>CB18D27A</t>
  </si>
  <si>
    <t>CB19110A</t>
  </si>
  <si>
    <t>CB19131A</t>
  </si>
  <si>
    <t>CB19214A</t>
  </si>
  <si>
    <t>CB19228A</t>
  </si>
  <si>
    <t>CB19307A</t>
  </si>
  <si>
    <t>CB19321A</t>
  </si>
  <si>
    <t>CB19328A</t>
  </si>
  <si>
    <t>CB19404A</t>
  </si>
  <si>
    <t>CB19606A</t>
  </si>
  <si>
    <t>CB19905A</t>
  </si>
  <si>
    <t>BOT193A</t>
  </si>
  <si>
    <t>BOT203A</t>
  </si>
  <si>
    <t>ILB217A</t>
  </si>
  <si>
    <t>LB226A</t>
  </si>
  <si>
    <t>LB22DA</t>
  </si>
  <si>
    <t>LB23DA</t>
  </si>
  <si>
    <t>SRT224A</t>
  </si>
  <si>
    <t>SRT</t>
  </si>
  <si>
    <t>BEM20OA</t>
  </si>
  <si>
    <t>BEM229A</t>
  </si>
  <si>
    <t>BJC203A</t>
  </si>
  <si>
    <t>BJC243A</t>
  </si>
  <si>
    <t>CK217A</t>
  </si>
  <si>
    <t>CPALL233A</t>
  </si>
  <si>
    <t>CPF235A</t>
  </si>
  <si>
    <t>CPF244A</t>
  </si>
  <si>
    <t>CPFTH211A</t>
  </si>
  <si>
    <t>CPFTH231A</t>
  </si>
  <si>
    <t>LH194A</t>
  </si>
  <si>
    <t>MINT205A</t>
  </si>
  <si>
    <t>MINT213A</t>
  </si>
  <si>
    <t>PS207A</t>
  </si>
  <si>
    <t>QH205A</t>
  </si>
  <si>
    <t>SCCC245A</t>
  </si>
  <si>
    <t>SPALI202A</t>
  </si>
  <si>
    <t>TBEV233A</t>
  </si>
  <si>
    <t>SWAP</t>
  </si>
  <si>
    <t>/SCBFIFL26DC</t>
  </si>
  <si>
    <t>Swap</t>
  </si>
  <si>
    <t>CD12MTBANK26419</t>
  </si>
  <si>
    <t>CD1YBOCHK301118</t>
  </si>
  <si>
    <t>F12MABCHK080219</t>
  </si>
  <si>
    <t>F12MABCHK250319</t>
  </si>
  <si>
    <t>F12MADCB061118</t>
  </si>
  <si>
    <t>F12MBOCMC020519</t>
  </si>
  <si>
    <t>F12MBOCMC200919</t>
  </si>
  <si>
    <t>F12MGHB080819</t>
  </si>
  <si>
    <t>F12MGHB120419</t>
  </si>
  <si>
    <t>F12MGHB190419</t>
  </si>
  <si>
    <t>F12MGHB230119</t>
  </si>
  <si>
    <t>F12MUNB021019</t>
  </si>
  <si>
    <t>F6MADCB241018</t>
  </si>
  <si>
    <t>INVSUOBTfp</t>
  </si>
  <si>
    <t>BOT202B</t>
  </si>
  <si>
    <t>LB191A</t>
  </si>
  <si>
    <t>LB193A</t>
  </si>
  <si>
    <t>LB21DA</t>
  </si>
  <si>
    <t>EXAT229A</t>
  </si>
  <si>
    <t>EXAT</t>
  </si>
  <si>
    <t>EA217A</t>
  </si>
  <si>
    <t>EA</t>
  </si>
  <si>
    <t>GED198A</t>
  </si>
  <si>
    <t>GED</t>
  </si>
  <si>
    <t>TLT202A</t>
  </si>
  <si>
    <t>TLT20NA</t>
  </si>
  <si>
    <t>EASTW226A</t>
  </si>
  <si>
    <t>EASTW</t>
  </si>
  <si>
    <t>ABPSPV204A</t>
  </si>
  <si>
    <t>ABPSPV</t>
  </si>
  <si>
    <t>ABPSPV214A</t>
  </si>
  <si>
    <t>ABPSPV224A</t>
  </si>
  <si>
    <t>TREIT216A</t>
  </si>
  <si>
    <t>TREIT</t>
  </si>
  <si>
    <t>TRUE22NA</t>
  </si>
  <si>
    <t>UOBT213A</t>
  </si>
  <si>
    <t>AYCAL197A</t>
  </si>
  <si>
    <t>AYCAL</t>
  </si>
  <si>
    <t>BAY196A</t>
  </si>
  <si>
    <t>BAY211A</t>
  </si>
  <si>
    <t>BAY217A</t>
  </si>
  <si>
    <t>BCH211A</t>
  </si>
  <si>
    <t>BCH</t>
  </si>
  <si>
    <t>BCH22DA</t>
  </si>
  <si>
    <t>BEM216A</t>
  </si>
  <si>
    <t>BJC223A</t>
  </si>
  <si>
    <t>BTG207A</t>
  </si>
  <si>
    <t>CKP216A</t>
  </si>
  <si>
    <t>CKP</t>
  </si>
  <si>
    <t>CPALL20OB</t>
  </si>
  <si>
    <t>CPF198A</t>
  </si>
  <si>
    <t>CPF205A</t>
  </si>
  <si>
    <t>CPF228A</t>
  </si>
  <si>
    <t>CPFTH237A</t>
  </si>
  <si>
    <t>CPN19NA</t>
  </si>
  <si>
    <t>CPN20DA</t>
  </si>
  <si>
    <t>DTN207A</t>
  </si>
  <si>
    <t>AA+</t>
  </si>
  <si>
    <t>DTN</t>
  </si>
  <si>
    <t>GLOW19OA</t>
  </si>
  <si>
    <t>GLOW</t>
  </si>
  <si>
    <t>HMPRO198A</t>
  </si>
  <si>
    <t>HMPRO</t>
  </si>
  <si>
    <t>HMPRO19DA</t>
  </si>
  <si>
    <t>IVL216A</t>
  </si>
  <si>
    <t>KSL215A</t>
  </si>
  <si>
    <t>LH19OB</t>
  </si>
  <si>
    <t>LH204A</t>
  </si>
  <si>
    <t>LH204B</t>
  </si>
  <si>
    <t>LH20OA</t>
  </si>
  <si>
    <t>LH20OB</t>
  </si>
  <si>
    <t>MBK262A</t>
  </si>
  <si>
    <t>MBK</t>
  </si>
  <si>
    <t>MPSC199A</t>
  </si>
  <si>
    <t>MPSC19OA</t>
  </si>
  <si>
    <t>MPSC209A</t>
  </si>
  <si>
    <t>MPSC20OA</t>
  </si>
  <si>
    <t>MPSC20OB</t>
  </si>
  <si>
    <t>PS213A</t>
  </si>
  <si>
    <t>PSH215A</t>
  </si>
  <si>
    <t>PSH</t>
  </si>
  <si>
    <t>PTTC195A</t>
  </si>
  <si>
    <t>PTTC20NA</t>
  </si>
  <si>
    <t>PTTC21NA</t>
  </si>
  <si>
    <t>QH196A</t>
  </si>
  <si>
    <t>SCC248A</t>
  </si>
  <si>
    <t>SCC</t>
  </si>
  <si>
    <t>SCCC244A</t>
  </si>
  <si>
    <t>SIRI204A</t>
  </si>
  <si>
    <t>SPALI19DA</t>
  </si>
  <si>
    <t>EMTNABCHK101218</t>
  </si>
  <si>
    <t>FWEURTHB18D07A</t>
  </si>
  <si>
    <t>FWEURTHB18N30A</t>
  </si>
  <si>
    <t>TMB</t>
  </si>
  <si>
    <t>FWEURTHB19208A</t>
  </si>
  <si>
    <t>FWEURTHB19325A</t>
  </si>
  <si>
    <t>FWEURTHB19502A</t>
  </si>
  <si>
    <t>FWUSDTHB18D18A</t>
  </si>
  <si>
    <t>FWUSDTHB18N06A</t>
  </si>
  <si>
    <t>FWUSDTHB18O24A</t>
  </si>
  <si>
    <t>FWUSDTHB19116A</t>
  </si>
  <si>
    <t>FWUSDTHB19920A</t>
  </si>
  <si>
    <t>FWUSDTHB19O02A</t>
  </si>
  <si>
    <t>/SCBFIFL25DA</t>
  </si>
  <si>
    <t>/SCBFIFL196A</t>
  </si>
  <si>
    <t>/SCBFIFL236A</t>
  </si>
  <si>
    <t>/SCBTHUS18DA</t>
  </si>
  <si>
    <t>/SCBFIFL26DB</t>
  </si>
  <si>
    <t>/SCBFIFL217A</t>
  </si>
  <si>
    <t>/SCBFIFL218A</t>
  </si>
  <si>
    <t>/CIMBFIFL238A</t>
  </si>
  <si>
    <t>/CIMBFIFL218A</t>
  </si>
  <si>
    <t>EQUITY</t>
  </si>
  <si>
    <t>UNIT TRUST</t>
  </si>
  <si>
    <t>B-WORK</t>
  </si>
  <si>
    <t>BBLAM</t>
  </si>
  <si>
    <t>Stock</t>
  </si>
  <si>
    <t>BOFFICE</t>
  </si>
  <si>
    <t>BHIRAJREIT</t>
  </si>
  <si>
    <t>BTSGIF</t>
  </si>
  <si>
    <t>CPNREIT</t>
  </si>
  <si>
    <t>CPNREITMGT</t>
  </si>
  <si>
    <t>DIF</t>
  </si>
  <si>
    <t>SCBAM</t>
  </si>
  <si>
    <t>EGATIF</t>
  </si>
  <si>
    <t>KTAM</t>
  </si>
  <si>
    <t>GVREIT</t>
  </si>
  <si>
    <t>UVRM</t>
  </si>
  <si>
    <t>HREIT</t>
  </si>
  <si>
    <t>HEMRAJRM</t>
  </si>
  <si>
    <t>IMPACT</t>
  </si>
  <si>
    <t>RMI</t>
  </si>
  <si>
    <t>JASIF</t>
  </si>
  <si>
    <t>QHPF</t>
  </si>
  <si>
    <t>LHFUND</t>
  </si>
  <si>
    <t>SHREIT</t>
  </si>
  <si>
    <t>STRATEGIC</t>
  </si>
  <si>
    <t>SPF</t>
  </si>
  <si>
    <t>PHATRAAM</t>
  </si>
  <si>
    <t>TLGF</t>
  </si>
  <si>
    <t>TICONMANAGE</t>
  </si>
  <si>
    <t>WHAREIT</t>
  </si>
  <si>
    <t>CD6MWOORI111018</t>
  </si>
  <si>
    <t>WOORIHK</t>
  </si>
  <si>
    <t>F12MSECB290519a</t>
  </si>
  <si>
    <t>SECB</t>
  </si>
  <si>
    <t>F12MUNB020719</t>
  </si>
  <si>
    <t>INVSKBANKplus</t>
  </si>
  <si>
    <t>INVSUOBTplus</t>
  </si>
  <si>
    <t>CB19221A</t>
  </si>
  <si>
    <t>BOT208A</t>
  </si>
  <si>
    <t>GSB225A</t>
  </si>
  <si>
    <t>GSB</t>
  </si>
  <si>
    <t>BTSG209A</t>
  </si>
  <si>
    <t>CPALL213C</t>
  </si>
  <si>
    <t>CSC00001</t>
  </si>
  <si>
    <t>SC SG</t>
  </si>
  <si>
    <t>CSC00002</t>
  </si>
  <si>
    <t>CSG00001</t>
  </si>
  <si>
    <t>SOCGEN</t>
  </si>
  <si>
    <t>MPSC22DA</t>
  </si>
  <si>
    <t>MPSC22OA</t>
  </si>
  <si>
    <t>MPSC233A</t>
  </si>
  <si>
    <t>MPSC236A</t>
  </si>
  <si>
    <t>SPW238A</t>
  </si>
  <si>
    <t>SPW</t>
  </si>
  <si>
    <t>TBEV283A</t>
  </si>
  <si>
    <t>TOP230123US</t>
  </si>
  <si>
    <t>TOP</t>
  </si>
  <si>
    <t>TTW232A</t>
  </si>
  <si>
    <t>TTW</t>
  </si>
  <si>
    <t>KNM21NA</t>
  </si>
  <si>
    <t>KNM</t>
  </si>
  <si>
    <t>EMTNICIUK120619</t>
  </si>
  <si>
    <t>ICICI BANK UK</t>
  </si>
  <si>
    <t>EMTNMASQ170419</t>
  </si>
  <si>
    <t>EMTNTMBCA011021</t>
  </si>
  <si>
    <t>TMBCAYMAN</t>
  </si>
  <si>
    <t>BEABCIAHKa</t>
  </si>
  <si>
    <t>BEAUI</t>
  </si>
  <si>
    <t>BEAPIGRHKa</t>
  </si>
  <si>
    <t>FWHKDTHB18N08A</t>
  </si>
  <si>
    <t>FWUSDTHB18O11F</t>
  </si>
  <si>
    <t>FWUSDTHB18O25C</t>
  </si>
  <si>
    <t>FWUSDTHB19417F</t>
  </si>
  <si>
    <t>FWUSDTHB19529B</t>
  </si>
  <si>
    <t>FWUSDTHB19612F</t>
  </si>
  <si>
    <t>FWUSDTHB19620A</t>
  </si>
  <si>
    <t>ANZ</t>
  </si>
  <si>
    <t>FWUSDTHB19702A</t>
  </si>
  <si>
    <t>/SCBTHUS21OA</t>
  </si>
  <si>
    <t>/SCBTHUS231C</t>
  </si>
  <si>
    <t>กองทุนเปิดไทยพาณิชย์ตราสารหนี้</t>
  </si>
  <si>
    <t>SCB Fixed Income Fund</t>
  </si>
  <si>
    <t>INVSUOBTfixed</t>
  </si>
  <si>
    <t>EA19214A</t>
  </si>
  <si>
    <t>CB19117A</t>
  </si>
  <si>
    <t>CPALL198C</t>
  </si>
  <si>
    <t>MBTH19DA</t>
  </si>
  <si>
    <t>TLT198B</t>
  </si>
  <si>
    <t>BANPU195A</t>
  </si>
  <si>
    <t>TOP193A</t>
  </si>
  <si>
    <t>NTL197A</t>
  </si>
  <si>
    <t>FWEURTHB19319A</t>
  </si>
  <si>
    <t>DEFERED CHARGE</t>
  </si>
  <si>
    <t>D SEC FEE</t>
  </si>
  <si>
    <t>Portfolio Summary</t>
  </si>
  <si>
    <t xml:space="preserve">Saving </t>
  </si>
  <si>
    <t>Trans. Date</t>
  </si>
  <si>
    <t>Cash for T+1</t>
  </si>
  <si>
    <t>Cash for T+2</t>
  </si>
  <si>
    <t>Cash for T+3</t>
  </si>
  <si>
    <t>Net Cash T+1</t>
  </si>
  <si>
    <t>NAV</t>
  </si>
  <si>
    <t>Cash chg for T+0</t>
  </si>
  <si>
    <t>Intraday Transaction</t>
  </si>
  <si>
    <t>Settle Date</t>
  </si>
  <si>
    <t>B/S</t>
  </si>
  <si>
    <t>F/S</t>
  </si>
  <si>
    <t>Name</t>
  </si>
  <si>
    <t>Counter-Party</t>
  </si>
  <si>
    <t>Maturity Date</t>
  </si>
  <si>
    <t>Days</t>
  </si>
  <si>
    <t>Yield</t>
  </si>
  <si>
    <t>Unit</t>
  </si>
  <si>
    <t>Par</t>
  </si>
  <si>
    <t>CP</t>
  </si>
  <si>
    <t>AI</t>
  </si>
  <si>
    <t>DP</t>
  </si>
  <si>
    <t>Adj.</t>
  </si>
  <si>
    <t>Net Settlement</t>
  </si>
  <si>
    <t>Payment</t>
  </si>
  <si>
    <t>B</t>
  </si>
  <si>
    <t>G</t>
  </si>
  <si>
    <t>CB19110B</t>
  </si>
  <si>
    <t>BAHTNET</t>
  </si>
  <si>
    <t>UNSETTLE AMOR.</t>
  </si>
  <si>
    <t>AR/AP</t>
  </si>
  <si>
    <t>Settle Date :12/10/2018</t>
  </si>
  <si>
    <t>MPSC18D04A</t>
  </si>
  <si>
    <t>SCBTG</t>
  </si>
  <si>
    <t>SCBDAFUND</t>
  </si>
  <si>
    <t>Summary</t>
  </si>
  <si>
    <t>Total Buy-Sell (T+1)</t>
  </si>
  <si>
    <t>Ending SCB</t>
  </si>
  <si>
    <t>Beginning SCB</t>
  </si>
  <si>
    <t>Transaction SCB</t>
  </si>
  <si>
    <t>Beginning BAY</t>
  </si>
  <si>
    <t>Transaction BAY</t>
  </si>
  <si>
    <t>Ending BAY</t>
  </si>
  <si>
    <t>Beginning UOBT</t>
  </si>
  <si>
    <t>Transaction UOBT</t>
  </si>
  <si>
    <t>Ending UOBT</t>
  </si>
  <si>
    <t>S</t>
  </si>
  <si>
    <t>CB19411A</t>
  </si>
  <si>
    <t>LHHOTEL</t>
  </si>
  <si>
    <t>(All)</t>
  </si>
  <si>
    <t>Cash Balance (BOS)</t>
  </si>
  <si>
    <t>Expected NAV</t>
  </si>
  <si>
    <t>Actual NAV (BOS)</t>
  </si>
  <si>
    <t>HLD_Principal</t>
  </si>
  <si>
    <t>IssTerm</t>
  </si>
  <si>
    <t>HLD_SecRating</t>
  </si>
  <si>
    <t>HLD_IssType</t>
  </si>
  <si>
    <t>HLD_IssIndustry</t>
  </si>
  <si>
    <t>HLD_Aval</t>
  </si>
  <si>
    <t>HLD_Recourse</t>
  </si>
  <si>
    <t>HLD_SecDTM</t>
  </si>
  <si>
    <t>HLD_CouponRate</t>
  </si>
  <si>
    <t>HLD_Yield</t>
  </si>
  <si>
    <t>HLD_Quantity</t>
  </si>
  <si>
    <t>HLD_Price</t>
  </si>
  <si>
    <t>HLD_Remark</t>
  </si>
  <si>
    <t>HLD_PriceCost</t>
  </si>
  <si>
    <t>HLD_Ratio</t>
  </si>
  <si>
    <t>SEC_Code1</t>
  </si>
  <si>
    <t>SEC_Code2</t>
  </si>
  <si>
    <t>SEC_Desc</t>
  </si>
  <si>
    <t>SEC_THDesc</t>
  </si>
  <si>
    <t>SEC_THDescFull</t>
  </si>
  <si>
    <t>SEC_Issuer</t>
  </si>
  <si>
    <t>SEC_SecType</t>
  </si>
  <si>
    <t>SEC_UDFSecType</t>
  </si>
  <si>
    <t>SEC_UDFSecType2</t>
  </si>
  <si>
    <t>SEC_Industry</t>
  </si>
  <si>
    <t>SEC_GroupIndustry</t>
  </si>
  <si>
    <t>SEC_FundPolicy</t>
  </si>
  <si>
    <t>SEC_Exchange</t>
  </si>
  <si>
    <t>SEC_SnPRate</t>
  </si>
  <si>
    <t>SEC_MoodyRate</t>
  </si>
  <si>
    <t>SEC_DistributionChnnel</t>
  </si>
  <si>
    <t>SEC_LiquidityType</t>
  </si>
  <si>
    <t>SEC_MTMMethod</t>
  </si>
  <si>
    <t>SEC_Rating</t>
  </si>
  <si>
    <t>SEC_RatingLevel</t>
  </si>
  <si>
    <t>SEC_ISS_IssDescEng</t>
  </si>
  <si>
    <t>SEC_ISS_IssDescTh</t>
  </si>
  <si>
    <t>SEC_ISS_IssType</t>
  </si>
  <si>
    <t>SEC_ISS_TRIS_Rating</t>
  </si>
  <si>
    <t>SEC_ISS_FITCH_Rating</t>
  </si>
  <si>
    <t>SEC_ISS_IssNonFinance</t>
  </si>
  <si>
    <t>SEC_ISS_SnP_Rating</t>
  </si>
  <si>
    <t>SEC_ISS_Moody_Rating</t>
  </si>
  <si>
    <t>SEC_ISS_IssRating</t>
  </si>
  <si>
    <t>SEC_ISS_IssRatingLevel</t>
  </si>
  <si>
    <t>SEC_ISS_Code1</t>
  </si>
  <si>
    <t>SEC_ISS_Code2</t>
  </si>
  <si>
    <t>AVAL_Code1</t>
  </si>
  <si>
    <t>AVAL_Code2</t>
  </si>
  <si>
    <t>AVAL_IssDescEng</t>
  </si>
  <si>
    <t>AVAL_IssDescTh</t>
  </si>
  <si>
    <t>AVAL_IssType</t>
  </si>
  <si>
    <t>AVAL_TRIS_Rating</t>
  </si>
  <si>
    <t>AVAL_FITCH_Rating</t>
  </si>
  <si>
    <t>AVAL_IssNonFinance</t>
  </si>
  <si>
    <t>AVAL_SnP_Rating</t>
  </si>
  <si>
    <t>AVAL_Moody_Rating</t>
  </si>
  <si>
    <t>AVAL_IssRating</t>
  </si>
  <si>
    <t>AVAL_IssRatingLevel</t>
  </si>
  <si>
    <t>AVAL_IssPNOutstand</t>
  </si>
  <si>
    <t>Recourse_Code1</t>
  </si>
  <si>
    <t>Recourse_Code2</t>
  </si>
  <si>
    <t>Recourse_IssDescEng</t>
  </si>
  <si>
    <t>Recourse_IssDescTh</t>
  </si>
  <si>
    <t>Recourse_IssType</t>
  </si>
  <si>
    <t>Recourse_TRIS_Rating</t>
  </si>
  <si>
    <t>Recourse_FITCH_Rating</t>
  </si>
  <si>
    <t>Recourse_IssNonFinance</t>
  </si>
  <si>
    <t>Recourse_SnP_Rating</t>
  </si>
  <si>
    <t>Recourse_Moody_Rating</t>
  </si>
  <si>
    <t>Recourse_IssRating</t>
  </si>
  <si>
    <t>Recourse_IssRatingLevel</t>
  </si>
  <si>
    <t>Recourse_IssPNOutstand</t>
  </si>
  <si>
    <t>Portfolio_NameTH</t>
  </si>
  <si>
    <t>Portfolio_NameEN</t>
  </si>
  <si>
    <t>Porfolio_Class</t>
  </si>
  <si>
    <t>Structure_Note</t>
  </si>
  <si>
    <t>SecCountry</t>
  </si>
  <si>
    <t>SEC_ISS_Country1</t>
  </si>
  <si>
    <t>SEC_ISS_ISO_Country1</t>
  </si>
  <si>
    <t>SEC_UnderlyingAsset</t>
  </si>
  <si>
    <t>TOTDepositLimit</t>
  </si>
  <si>
    <t>SEC_isAtCall</t>
  </si>
  <si>
    <t>SEC_Transferable</t>
  </si>
  <si>
    <t>SEC_ISS_Country2</t>
  </si>
  <si>
    <t>SEC_ISS_ISO_Country2</t>
  </si>
  <si>
    <t>IsAmor</t>
  </si>
  <si>
    <t>IsFloat</t>
  </si>
  <si>
    <t>FwdDealtRate</t>
  </si>
  <si>
    <t>SpotRate</t>
  </si>
  <si>
    <t>ISIN</t>
  </si>
  <si>
    <t>DR_Cost</t>
  </si>
  <si>
    <t>DR_Market</t>
  </si>
  <si>
    <t>DR_Underlying</t>
  </si>
  <si>
    <t>DR_NotionalAmount</t>
  </si>
  <si>
    <t>DR_CurrencyCode</t>
  </si>
  <si>
    <t>DR_CurrencyRate</t>
  </si>
  <si>
    <t>BANKING</t>
  </si>
  <si>
    <t>-CASH SAVINGS-</t>
  </si>
  <si>
    <t xml:space="preserve"> </t>
  </si>
  <si>
    <t>Cash Balance</t>
  </si>
  <si>
    <t>Liquid</t>
  </si>
  <si>
    <t>THAILAND</t>
  </si>
  <si>
    <t>LISTED</t>
  </si>
  <si>
    <t>CASH CUST</t>
  </si>
  <si>
    <t>OTHER</t>
  </si>
  <si>
    <t>THE SIAM COMMERCIAL BANK PLC.</t>
  </si>
  <si>
    <t>ธนาคารไทยพาณิชย์  จำกัด (มหาชน)</t>
  </si>
  <si>
    <t>Baa1</t>
  </si>
  <si>
    <t>0</t>
  </si>
  <si>
    <t>TH</t>
  </si>
  <si>
    <t>EURO Cash Balance</t>
  </si>
  <si>
    <t>LUXEMBOURG</t>
  </si>
  <si>
    <t>NONTRANSFERABLE</t>
  </si>
  <si>
    <t>INVEST SAVING</t>
  </si>
  <si>
    <t>NO MARKET</t>
  </si>
  <si>
    <t>P/O</t>
  </si>
  <si>
    <t>P/N</t>
  </si>
  <si>
    <t>LISTEDFOREIGN</t>
  </si>
  <si>
    <t>TERM AC360 U</t>
  </si>
  <si>
    <t>P/P</t>
  </si>
  <si>
    <t>A1</t>
  </si>
  <si>
    <t>BANK OF CHINA MACAU BRANCH</t>
  </si>
  <si>
    <t>MACAO</t>
  </si>
  <si>
    <t>MO</t>
  </si>
  <si>
    <t>FIXED 6 MONTH BANK OF CHINA  MACAU</t>
  </si>
  <si>
    <t xml:space="preserve">เงินฝากประจำ 6 เดือน BANK OF CHINA MACAU BRANCH </t>
  </si>
  <si>
    <t>SAVING U</t>
  </si>
  <si>
    <t>*BOND</t>
  </si>
  <si>
    <t>INV.SAVING</t>
  </si>
  <si>
    <t>UNLISTED</t>
  </si>
  <si>
    <t>เงินฝากออมทรัพย์ ธ.ยูโอบี จำกัด (มหาชน)</t>
  </si>
  <si>
    <t>UNITED OVERSEAS BANK (THAI) PLC.</t>
  </si>
  <si>
    <t>ธนาคาร ยูโอบี จำกัด (มหาชน)</t>
  </si>
  <si>
    <t>SINGAPORE</t>
  </si>
  <si>
    <t>SG</t>
  </si>
  <si>
    <t>FIN &amp; SEC.</t>
  </si>
  <si>
    <t>0DisAc365</t>
  </si>
  <si>
    <t>B/E CORP.</t>
  </si>
  <si>
    <t>FINANCIALS</t>
  </si>
  <si>
    <t>ThaiBMA</t>
  </si>
  <si>
    <t>DISCOUNT</t>
  </si>
  <si>
    <t>YES</t>
  </si>
  <si>
    <t>TRANSFERABLE</t>
  </si>
  <si>
    <t>PROPERTY</t>
  </si>
  <si>
    <t>0DisAc365U</t>
  </si>
  <si>
    <t>Bank of Thailand Bond</t>
  </si>
  <si>
    <t>BANK OF THAILAND</t>
  </si>
  <si>
    <t>ธนาคารแห่งประเทศไทย</t>
  </si>
  <si>
    <t>พันธบัตรธนาคารแห่งประเทศไทยงวดที่ 29/91/61</t>
  </si>
  <si>
    <t>TH0655F7SA84</t>
  </si>
  <si>
    <t>พันธบัตรธนาคารแห่งประเทศไทยงวดที่ 17/182/61</t>
  </si>
  <si>
    <t>TH0655C7SA81</t>
  </si>
  <si>
    <t>พันธบัตรธนาคารแห่งประเทศไทยงวดที่ 30/91/61</t>
  </si>
  <si>
    <t>TH0655G7SA82</t>
  </si>
  <si>
    <t>COMMERCE</t>
  </si>
  <si>
    <t>CP ALL PLC.</t>
  </si>
  <si>
    <t>1FxAc365P2B</t>
  </si>
  <si>
    <t>SERVICES</t>
  </si>
  <si>
    <t>C.P.SEVEN ELEVEN PLC.</t>
  </si>
  <si>
    <t>บมจ.ซีพี ออลล์</t>
  </si>
  <si>
    <t>สัญญาซื้อขายล่วงหน้า/FORWARD</t>
  </si>
  <si>
    <t>Forward FX</t>
  </si>
  <si>
    <t>KASIKORNBANK PLC.</t>
  </si>
  <si>
    <t>ธนาคารกสิกรไทย  จำกัด (มหาชน)</t>
  </si>
  <si>
    <t>ENERGY</t>
  </si>
  <si>
    <t>BANPU PLC.</t>
  </si>
  <si>
    <t>RESOURCES</t>
  </si>
  <si>
    <t>บมจ.บ้านปู</t>
  </si>
  <si>
    <t>TRANSPORTA</t>
  </si>
  <si>
    <t>TRANSPORTATION</t>
  </si>
  <si>
    <t>FOOD &amp; BEV</t>
  </si>
  <si>
    <t>AGRIBUSINESS</t>
  </si>
  <si>
    <t>AGRO &amp; FOOD</t>
  </si>
  <si>
    <t>FOOD &amp; BEVERAGE</t>
  </si>
  <si>
    <t>AGRIBUSINE</t>
  </si>
  <si>
    <t>PROPERTY &amp; CON</t>
  </si>
  <si>
    <t>0SdAc365C</t>
  </si>
  <si>
    <t>PREUKSA REAL ESTATE PLC.</t>
  </si>
  <si>
    <t>1FxAc365P4B</t>
  </si>
  <si>
    <t>PREUKSA REAL ESTATE CO.,LTD.</t>
  </si>
  <si>
    <t>บมจ.พฤกษา เรียลเอสเตท</t>
  </si>
  <si>
    <t>QUALITY HOUSES PLC.</t>
  </si>
  <si>
    <t>บมจ.ควอลิตี้เฮ้าส์</t>
  </si>
  <si>
    <t>THAI BEVERAGE PLC</t>
  </si>
  <si>
    <t>บจก.ไทยเบฟเวอเรจ</t>
  </si>
  <si>
    <t>AA(tha)</t>
  </si>
  <si>
    <t>Baa3</t>
  </si>
  <si>
    <t>COMMUNICAT</t>
  </si>
  <si>
    <t>COMMUNICATION</t>
  </si>
  <si>
    <t>TECHNOLOGY</t>
  </si>
  <si>
    <t>TRUE CORPORATION PLC.</t>
  </si>
  <si>
    <t>บมจ.ทรู คอร์ปอเรชั่น</t>
  </si>
  <si>
    <t>TRUE MOVE H UNIVERSAL COMMUNICATION CO., LTD.</t>
  </si>
  <si>
    <t>บริษัท ทรู มูฟ เอช ยูนิเวอร์แซล คอมมิวนิเคชั่น จำกัด</t>
  </si>
  <si>
    <t>หุ้นกู้ของ บริษัท ทรู มูฟ เอช ยูนิเวอร์แซล คอมมิวนิเคชั่น จำกัด ครั้งที่ 1/2561 ชุดที่ 1</t>
  </si>
  <si>
    <t>หุ้นกู้ของ บริษัท ทรู มูฟ เอช ยูนิเวอร์แซล คอมมิวนิเคชั่น จำกัด ครั้งที่ 1/2561 ชุดที่ 1 ครบกำหนดไถ่ถอนปี พ.ศ. 2564</t>
  </si>
  <si>
    <t>TH6692031805</t>
  </si>
  <si>
    <t>PFUND</t>
  </si>
  <si>
    <t>WHA PREMIUM GROWTH FREEHOLD AND LEASEHOLD REAL ESTATE INVESTMENT TRUST</t>
  </si>
  <si>
    <t>หุ้นกู้ของทรัสต์เพื่อการลงทุนในอสังหาริมทรัพย์และสิทธิการเช่าดับบลิวเอชเอ พรีเมี่ยม โกรท ครั้งที่ 1/2561 ชุดที่ 1</t>
  </si>
  <si>
    <t>หุ้นกู้ของทรัสต์เพื่อการลงทุนในอสังหาริมทรัพย์และสิทธิการเช่าดับบลิวเอชเอ พรีเมี่ยม โกรท ครั้งที่ 1/2561 ชุดที่ 1 ครบกำหนดไถ่ถอนปี พ.ศ. 2564</t>
  </si>
  <si>
    <t>ทรัสต์เพื่อการลงทุนในอสังหาริมทรัพย์และสิทธิการเช่าดับบลิวเอชเอ พรีเมี่ยม โกรท</t>
  </si>
  <si>
    <t>TH8497031303</t>
  </si>
  <si>
    <t>BETAGRO PLC.</t>
  </si>
  <si>
    <t>หุ้นกู้ของ บมจ. เบทาโกร ครั้งที่ 1/2557 ชุดที่ 2</t>
  </si>
  <si>
    <t>หุ้นกู้ของ บมจ. เบทาโกร ครั้งที่ 1/2557 ชุดที่ 2 ครบกำหนดไถ่ถอนปี พ.ศ. 2562</t>
  </si>
  <si>
    <t xml:space="preserve">บริษัท เบทาโกร จำกัด (มหาชน) </t>
  </si>
  <si>
    <t>TH061203TB09</t>
  </si>
  <si>
    <t>3FxAc365P2B</t>
  </si>
  <si>
    <t>BANGKOK EXPRESSWAY AND METRO PLC.</t>
  </si>
  <si>
    <t>บมจ.ทางด่วนและรถไฟฟ้ากรุงเทพ</t>
  </si>
  <si>
    <t>CARABAO GROUP PLC.</t>
  </si>
  <si>
    <t>หุ้นกู้ของบริษัท คาราบาวกรุ๊ป จำกัด (มหาชน) ครั้งที่ 1/2561 ชุดที่ 1</t>
  </si>
  <si>
    <t>หุ้นกู้ของบริษัท คาราบาวกรุ๊ป จำกัด (มหาชน) ครั้งที่ 1/2561 ชุดที่ 1 ครบกำหนดไถ่ถอนปี พ.ศ. 2563</t>
  </si>
  <si>
    <t>บมจ.คาราบาวกรุ๊ป</t>
  </si>
  <si>
    <t>TH606603U603</t>
  </si>
  <si>
    <t>INDUSTRIALS</t>
  </si>
  <si>
    <t>NGERN TID LOR CO.,LTD.</t>
  </si>
  <si>
    <t>NGERN TID LOR CO., LTD.</t>
  </si>
  <si>
    <t>บริษัท เงินติดล้อ จำกัด</t>
  </si>
  <si>
    <t>หุ้นกู้ระยะสั้น บริษัท ทรู คอร์ปอเรชั่น จำกัด (มหาชน) ชุดที่ 7</t>
  </si>
  <si>
    <t xml:space="preserve">หุ้นกู้ระยะสั้น บริษัท ทรู คอร์ปอเรชั่น จำกัด (มหาชน) ชุดที่ 7 ครบกำหนดไถ่ถอนวันที่ 29 มกราคม 2562 </t>
  </si>
  <si>
    <t>หุ้นกู้บ้านปูครั้งที่ 1/2557 ชุดที่ 1 ครบกำหนดไถ่ถอนปี พ.ศ. 2563</t>
  </si>
  <si>
    <t>TH0148A3U703</t>
  </si>
  <si>
    <t>หุ้นกู้ของ บมจ. ทางด่วนและรถไฟฟ้ากรุงเทพ ครั้งที่ 1/2559 ชุดที่ 1</t>
  </si>
  <si>
    <t>หุ้นกู้ของ บมจ. ทางด่วนและรถไฟฟ้ากรุงเทพ ครั้งที่ 1/2559 ชุดที่ 1 ครบกำหนดไถ่ถอนปี พ.ศ. 2562</t>
  </si>
  <si>
    <t>TH699903T607</t>
  </si>
  <si>
    <t>หุ้นกู้บริษัท ซีพี ออลล์ จำกัด (มหาชน) ครั้งที่ 1/2557 ชุดที่ 6</t>
  </si>
  <si>
    <t>หุ้นกู้บริษัท ซีพี ออลล์ จำกัด (มหาชน) ครั้งที่ 1/2557 ชุดที่ 6 ครบกำหนดไถ่ถอนปี พ.ศ. 2562 ซึ่งใช้หุ้นในบริษัทอื่นเป็นประกันการชำระหนี้</t>
  </si>
  <si>
    <t>TH0737A3T306</t>
  </si>
  <si>
    <t>KRUNGSRI AYUDHYA  CARD CO., LTD.</t>
  </si>
  <si>
    <t>บริษัท บัตรกรุงศรีอยุธยา จำกัด</t>
  </si>
  <si>
    <t>หุ้นกู้ของบริษัท บัตรกรุงศรีอยุธยา จำกัด ครั้งที่ 1/2561 ชุดที่ 2</t>
  </si>
  <si>
    <t>หุ้นกู้ของบริษัท บัตรกรุงศรีอยุธยา จำกัด ครั้งที่ 1/2561 ชุดที่ 2 ครบกำหนดไถ่ถอนปี พ.ศ. 2563</t>
  </si>
  <si>
    <t>TH822203U303</t>
  </si>
  <si>
    <t>PHATRA LEASING PLC.</t>
  </si>
  <si>
    <t>หุ้นกู้บริษัท ภัทรลิสซิ่ง จำกัด (มหาชน) ครั้งที่ 2/2558</t>
  </si>
  <si>
    <t>หุ้นกู้บริษัท ภัทรลิสซิ่ง จำกัด (มหาชน) ครั้งที่ 2/2558 ครบกำหนดไถ่ถอนปี พ.ศ. 2561</t>
  </si>
  <si>
    <t>PHATRA LEASING  PLC.</t>
  </si>
  <si>
    <t xml:space="preserve">บมจ.ภัทรลิสซิ่ง </t>
  </si>
  <si>
    <t>TH059903SA08</t>
  </si>
  <si>
    <t>หุ้นกู้ของ บริษัท พฤกษา เรียลเอสเตท จำกัด (มหาชน) ครั้งที่ 1/2559 ชุดที่ 1</t>
  </si>
  <si>
    <t>หุ้นกู้ของ บริษัท พฤกษา เรียลเอสเตท จำกัด (มหาชน) ครั้งที่ 1/2559 ชุดที่ 1 ครบกำหนดไถ่ถอนปี พ.ศ. 2562</t>
  </si>
  <si>
    <t>4FxAc365P4B</t>
  </si>
  <si>
    <t>TH087803T302</t>
  </si>
  <si>
    <t>หุ้นกู้ไม่ด้อยสิทธิและไม่มีประกันของบริษัทควอลิตี้เฮ้าส์ จำกัด (มหาชน) ครั้งที่ 1/2559 ชุดที่ 1</t>
  </si>
  <si>
    <t xml:space="preserve">หุ้นกู้ไม่ด้อยสิทธิและไม่มีประกันของบริษัทควอลิตี้เฮ้าส์ จำกัด (มหาชน) ครั้งที่ 1/2559 ชุดที่ 1 ครบกำหนดไถ่ถอนปี 2562 </t>
  </si>
  <si>
    <t>TH025603T400</t>
  </si>
  <si>
    <t>DEBENTURES OF THAI BEVERAGE PUBLIC COMPANY LIMITED NO. 2/2018 TRANCHE 2</t>
  </si>
  <si>
    <t>หุ้นกู้ของบริษัท ไทยเบฟเวอเรจ จำกัด (มหาชน) ครั้งที่ 2/2561 ชุดที่ 2</t>
  </si>
  <si>
    <t>หุ้นกู้ของบริษัท ไทยเบฟเวอเรจ จำกัด (มหาชน) ครั้งที่ 2/2561 ชุดที่ 2 ครบกำหนดไถ่ถอนปี พ.ศ. 2565</t>
  </si>
  <si>
    <t>TH0902032307</t>
  </si>
  <si>
    <t>AUTOMOTIVE</t>
  </si>
  <si>
    <t>DCAG</t>
  </si>
  <si>
    <t>MERCEDES-BENZ (THAILAND) LIMITED</t>
  </si>
  <si>
    <t>บริษัท เมอร์เซเดส-เบนซ์ (ประเทศไทย) จำกัด</t>
  </si>
  <si>
    <t>DAIMLER AG.</t>
  </si>
  <si>
    <t>A2</t>
  </si>
  <si>
    <t>TOYOTA MOTOR</t>
  </si>
  <si>
    <t>TOYOTA LEASING (THAILAND) CO.,LTD.</t>
  </si>
  <si>
    <t xml:space="preserve">บจก.โตโยต้าลีสซิ่ง (ประเทศไทย) </t>
  </si>
  <si>
    <t>TOYOTA MOTOR FINANCE (NETHERLANDS) B.V.</t>
  </si>
  <si>
    <t>Aa3</t>
  </si>
  <si>
    <t>พันธบัตรธนาคารแห่งประเทศไทยงวดที่ 26/182/61</t>
  </si>
  <si>
    <t>TH0655D7SC87</t>
  </si>
  <si>
    <t>พันธบัตรธนาคารแห่งประเทศไทยงวดที่ 28/182/61</t>
  </si>
  <si>
    <t>TH0655A7T180</t>
  </si>
  <si>
    <t>พันธบัตรธนาคารแห่งประเทศไทยงวดที่ 31/182/61</t>
  </si>
  <si>
    <t>TH0655D7T187</t>
  </si>
  <si>
    <t>พันธบัตรธนาคารแห่งประเทศไทยงวดที่ 35/182/61</t>
  </si>
  <si>
    <t>TH0655C7T287</t>
  </si>
  <si>
    <t>ENERGY ABSOLUTE PLC.</t>
  </si>
  <si>
    <t xml:space="preserve">บมจ.พลังงานบริสุทธิ์ </t>
  </si>
  <si>
    <t>TICON FREEHOLD AND LEASEHOLD REAL ESTAT</t>
  </si>
  <si>
    <t xml:space="preserve">หุ้นกู้ของทรัสต์เพื่อการลงทุนในอสังหาริมทรัพย์และสิทธิการเช่าอสังหาริมทรัพย์ไทคอน (TREIT) ครั้งที่ 1/2561 ชุดที่ 1 </t>
  </si>
  <si>
    <t>หุ้นกู้ของทรัสต์เพื่อการลงทุนในอสังหาริมทรัพย์และสิทธิการเช่าอสังหาริมทรัพย์ไทคอน (TREIT) ครั้งที่ 1/2561 ชุดที่ 1 ครบกำหนดไถ่ถอนปี พ.ศ. 2564</t>
  </si>
  <si>
    <t>TICON FREEHOLD AND LEASHOLD REAL ESTATE</t>
  </si>
  <si>
    <t>ทรัสต์เพื่อการลงทุนในอสังหาริมทรัพย์และสิทธิการเช่าอสังหาริมทรัพย์ไทคอน</t>
  </si>
  <si>
    <t>TH7933031604</t>
  </si>
  <si>
    <t>พันธบัตรธนาคารแห่งประเทศไทยงวดที่ 34/182/61</t>
  </si>
  <si>
    <t>THAI OIL PLC.</t>
  </si>
  <si>
    <t xml:space="preserve">บมจ.ไทยออยล์ </t>
  </si>
  <si>
    <t xml:space="preserve">ตั๋วแลกเงิน บริษัท พลังงานบริสุทธิ์ จำกัด (มหาชน) ครั้งที่ 8/2561 </t>
  </si>
  <si>
    <t xml:space="preserve">ตั๋วแลกเงิน บริษัท พลังงานบริสุทธิ์ จำกัด (มหาชน) ครั้งที่ 8/2561 มูลค่า 50.00 ล้านบาท ครบกำหนดไถ่ถอนวันที่ 14 กุมภาพันธ์ 2562 </t>
  </si>
  <si>
    <t>พันธบัตรธนาคารแห่งประเทศไทยงวดที่ 29/182/61</t>
  </si>
  <si>
    <t>TH0655B7T189</t>
  </si>
  <si>
    <t>หุ้นกู้บ้านปูครั้งที่ 1/2555 ชุดที่ 1 ครบกำหนดไถ่ถอนปี พ.ศ. 2562</t>
  </si>
  <si>
    <t>TH014803T508</t>
  </si>
  <si>
    <t>หุ้นกู้ บริษัท ไทยออยล์ จำกัด (มหาชน) ครั้งที่ 1/2557 ชุดที่ 2</t>
  </si>
  <si>
    <t>หุ้นกู้ บริษัท ไทยออยล์ จำกัด (มหาชน) ครั้งที่ 1/2557 ชุดที่ 2 ครบกำหนดไถ่ถอนปี พ.ศ. 2562</t>
  </si>
  <si>
    <t xml:space="preserve"> หุ้นกู้ของบริษัท เงินติดล้อ จำกัด ครั้งที่ 3/2560 ชุดที่ 2</t>
  </si>
  <si>
    <t xml:space="preserve"> หุ้นกู้ของบริษัท เงินติดล้อ จำกัด ครั้งที่ 3/2560 ชุดที่ 2 ครบกำหนดไถ่ถอนปี พ.ศ. 2562 </t>
  </si>
  <si>
    <t>TH552003T701</t>
  </si>
  <si>
    <t>หุ้นกู้มีประกันของบริษัท โตโยต้า ลีสซิ่ง (ประเทศไทย) จำกัด ครั้งที่ 3/2557</t>
  </si>
  <si>
    <t>หุ้นกู้มีประกันของบริษัท โตโยต้า ลีสซิ่ง (ประเทศไทย) จำกัด ครั้งที่ 3/2557 อายุ 5 ปี ครบกำหนดไถ่ถอนปี พ.ศ. 2562</t>
  </si>
  <si>
    <t>หุ้นกู้บริษัท ซีพี ออลล์ จำกัด (มหาชน) ครั้งที่ 2/2559 ชุดที่ 1</t>
  </si>
  <si>
    <t>หุ้นกู้บริษัท ซีพี ออลล์ จำกัด (มหาชน) ครั้งที่ 2/2559 ชุดที่ 1 ครบกำหนดไถ่ถอนปี พ.ศ. 2562</t>
  </si>
  <si>
    <t>TH0737B3T800</t>
  </si>
  <si>
    <t>หุ้นกู้มีประกันของบริษัท เมอร์เซเดส-เบนซ์ (ประเทศไทย) จำกัด ครั้งที่ 3/2559</t>
  </si>
  <si>
    <t>หุ้นกู้มีประกันของบริษัท เมอร์เซเดส-เบนซ์ (ประเทศไทย) จำกัด ครั้งที่ 3/2559 ครบกำหนดไถ่ถอนปี พ.ศ. 2562</t>
  </si>
  <si>
    <t>TH073503TC00</t>
  </si>
  <si>
    <t>FWD SCBFIXED KBANK</t>
  </si>
  <si>
    <t>Sum of HLD_Principal</t>
  </si>
  <si>
    <t>Values</t>
  </si>
  <si>
    <t>(Multiple Items)</t>
  </si>
  <si>
    <t>Average of HLD_YieldCost</t>
  </si>
  <si>
    <t>Initial Cah Intraday</t>
  </si>
  <si>
    <t>%Cash:NAV</t>
  </si>
  <si>
    <t>=GETPIVOTDATA("IssTerm",</t>
  </si>
  <si>
    <t>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</si>
</sst>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87" formatCode="ddd\ dd\-mm\-yy"/>
    <numFmt numFmtId="188" formatCode="_-* #,##0.00_-;\-* #,##0.00_-;_-* &quot;-&quot;??_-;_-@_-"/>
    <numFmt numFmtId="189" formatCode="dd/mm/yyyy"/>
    <numFmt numFmtId="190" formatCode="#,##0.00;[Red]\(#,##0.00\)"/>
  </numFmts>
  <fonts count="24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rgb="FF3F3F76"/>
      <name val="Tahoma"/>
      <family val="2"/>
      <scheme val="minor"/>
    </font>
    <font>
      <sz val="10"/>
      <name val="Tahoma"/>
      <family val="2"/>
    </font>
    <font>
      <b/>
      <sz val="10"/>
      <color rgb="FF7030A0"/>
      <name val="Tahoma"/>
      <family val="2"/>
      <scheme val="minor"/>
    </font>
    <font>
      <sz val="10"/>
      <color theme="1"/>
      <name val="Tahoma"/>
      <family val="2"/>
      <scheme val="minor"/>
    </font>
    <font>
      <b/>
      <sz val="10"/>
      <color theme="1"/>
      <name val="Tahoma"/>
      <family val="2"/>
      <scheme val="minor"/>
    </font>
    <font>
      <b/>
      <sz val="10"/>
      <color theme="0"/>
      <name val="Tahoma"/>
      <family val="2"/>
      <scheme val="minor"/>
    </font>
    <font>
      <sz val="10"/>
      <color theme="0"/>
      <name val="Tahoma"/>
      <family val="2"/>
      <scheme val="minor"/>
    </font>
    <font>
      <sz val="10"/>
      <color rgb="FF3F3F76"/>
      <name val="Tahoma"/>
      <family val="2"/>
      <scheme val="minor"/>
    </font>
    <font>
      <b/>
      <sz val="10"/>
      <color rgb="FF3F3F76"/>
      <name val="Tahoma"/>
      <family val="2"/>
      <scheme val="minor"/>
    </font>
    <font>
      <sz val="10"/>
      <color theme="0" tint="-0.249977111117893"/>
      <name val="Tahoma"/>
      <family val="2"/>
      <scheme val="minor"/>
    </font>
    <font>
      <b/>
      <sz val="10"/>
      <name val="Tahoma"/>
      <family val="2"/>
      <scheme val="minor"/>
    </font>
    <font>
      <sz val="10"/>
      <name val="Tahoma"/>
      <family val="2"/>
      <scheme val="minor"/>
    </font>
    <font>
      <sz val="10"/>
      <color rgb="FF7030A0"/>
      <name val="Tahoma"/>
      <family val="2"/>
      <scheme val="minor"/>
    </font>
    <font>
      <b/>
      <sz val="10"/>
      <color theme="7" tint="-0.249977111117893"/>
      <name val="Tahoma"/>
      <family val="2"/>
      <scheme val="minor"/>
    </font>
    <font>
      <sz val="10"/>
      <color theme="7" tint="-0.249977111117893"/>
      <name val="Tahoma"/>
      <family val="2"/>
      <scheme val="minor"/>
    </font>
    <font>
      <b/>
      <sz val="10"/>
      <color theme="8" tint="-0.249977111117893"/>
      <name val="Tahoma"/>
      <family val="2"/>
      <scheme val="minor"/>
    </font>
    <font>
      <sz val="10"/>
      <color theme="8" tint="-0.249977111117893"/>
      <name val="Tahoma"/>
      <family val="2"/>
      <scheme val="minor"/>
    </font>
    <font>
      <b/>
      <sz val="11"/>
      <color theme="0"/>
      <name val="Tahoma"/>
      <family val="2"/>
      <scheme val="minor"/>
    </font>
    <font>
      <sz val="11"/>
      <color rgb="FFFF0000"/>
      <name val="Tahom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2" borderId="1" applyNumberFormat="0" applyAlignment="0" applyProtection="0"/>
    <xf numFmtId="188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</cellStyleXfs>
  <cellXfs count="91">
    <xf numFmtId="0" fontId="0" fillId="0" borderId="0" xfId="0"/>
    <xf numFmtId="0" fontId="2" fillId="0" borderId="0" xfId="0" applyFont="1"/>
    <xf numFmtId="14" fontId="0" fillId="0" borderId="0" xfId="0" applyNumberFormat="1"/>
    <xf numFmtId="43" fontId="0" fillId="0" borderId="0" xfId="1" applyFont="1"/>
    <xf numFmtId="22" fontId="0" fillId="0" borderId="0" xfId="0" applyNumberFormat="1"/>
    <xf numFmtId="0" fontId="0" fillId="0" borderId="0" xfId="0" quotePrefix="1"/>
    <xf numFmtId="0" fontId="0" fillId="0" borderId="0" xfId="0" applyNumberFormat="1"/>
    <xf numFmtId="14" fontId="0" fillId="0" borderId="0" xfId="0" applyNumberFormat="1"/>
    <xf numFmtId="14" fontId="2" fillId="0" borderId="0" xfId="0" applyNumberFormat="1" applyFont="1" applyAlignment="1">
      <alignment horizontal="center"/>
    </xf>
    <xf numFmtId="0" fontId="2" fillId="0" borderId="0" xfId="0" applyFont="1" applyFill="1" applyAlignment="1">
      <alignment horizontal="center"/>
    </xf>
    <xf numFmtId="14" fontId="0" fillId="0" borderId="0" xfId="0" applyNumberFormat="1"/>
    <xf numFmtId="0" fontId="5" fillId="0" borderId="0" xfId="0" applyFont="1"/>
    <xf numFmtId="0" fontId="6" fillId="0" borderId="0" xfId="0" applyFont="1"/>
    <xf numFmtId="14" fontId="7" fillId="6" borderId="0" xfId="0" applyNumberFormat="1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8" fillId="4" borderId="0" xfId="0" applyFont="1" applyFill="1" applyBorder="1" applyAlignment="1">
      <alignment horizontal="center"/>
    </xf>
    <xf numFmtId="187" fontId="8" fillId="4" borderId="0" xfId="0" applyNumberFormat="1" applyFont="1" applyFill="1" applyBorder="1" applyAlignment="1">
      <alignment horizontal="center"/>
    </xf>
    <xf numFmtId="187" fontId="8" fillId="4" borderId="0" xfId="0" applyNumberFormat="1" applyFont="1" applyFill="1" applyBorder="1"/>
    <xf numFmtId="14" fontId="8" fillId="4" borderId="0" xfId="0" applyNumberFormat="1" applyFont="1" applyFill="1" applyBorder="1"/>
    <xf numFmtId="0" fontId="8" fillId="4" borderId="0" xfId="0" applyFont="1" applyFill="1" applyBorder="1"/>
    <xf numFmtId="0" fontId="7" fillId="3" borderId="0" xfId="0" applyFont="1" applyFill="1" applyBorder="1"/>
    <xf numFmtId="43" fontId="6" fillId="3" borderId="0" xfId="1" applyFont="1" applyFill="1" applyBorder="1"/>
    <xf numFmtId="0" fontId="6" fillId="3" borderId="0" xfId="0" applyFont="1" applyFill="1" applyBorder="1"/>
    <xf numFmtId="0" fontId="6" fillId="0" borderId="0" xfId="0" applyFont="1" applyBorder="1"/>
    <xf numFmtId="40" fontId="6" fillId="0" borderId="0" xfId="1" applyNumberFormat="1" applyFont="1" applyBorder="1"/>
    <xf numFmtId="0" fontId="8" fillId="5" borderId="5" xfId="0" applyFont="1" applyFill="1" applyBorder="1" applyAlignment="1">
      <alignment horizontal="left"/>
    </xf>
    <xf numFmtId="0" fontId="9" fillId="5" borderId="5" xfId="0" applyFont="1" applyFill="1" applyBorder="1"/>
    <xf numFmtId="0" fontId="6" fillId="0" borderId="0" xfId="0" applyFont="1" applyBorder="1" applyAlignment="1">
      <alignment horizontal="left" indent="2"/>
    </xf>
    <xf numFmtId="4" fontId="6" fillId="0" borderId="0" xfId="0" applyNumberFormat="1" applyFont="1" applyBorder="1"/>
    <xf numFmtId="0" fontId="7" fillId="0" borderId="3" xfId="0" applyFont="1" applyFill="1" applyBorder="1" applyAlignment="1">
      <alignment horizontal="left"/>
    </xf>
    <xf numFmtId="40" fontId="6" fillId="0" borderId="4" xfId="1" applyNumberFormat="1" applyFont="1" applyBorder="1"/>
    <xf numFmtId="4" fontId="6" fillId="0" borderId="3" xfId="0" applyNumberFormat="1" applyFont="1" applyFill="1" applyBorder="1"/>
    <xf numFmtId="0" fontId="6" fillId="8" borderId="0" xfId="0" applyFont="1" applyFill="1"/>
    <xf numFmtId="0" fontId="10" fillId="0" borderId="0" xfId="0" applyFont="1" applyBorder="1" applyAlignment="1">
      <alignment horizontal="left" indent="2"/>
    </xf>
    <xf numFmtId="43" fontId="6" fillId="0" borderId="0" xfId="1" applyFont="1" applyBorder="1"/>
    <xf numFmtId="0" fontId="11" fillId="0" borderId="2" xfId="2" applyFont="1" applyFill="1" applyBorder="1" applyAlignment="1">
      <alignment horizontal="left" indent="2"/>
    </xf>
    <xf numFmtId="43" fontId="10" fillId="0" borderId="2" xfId="1" applyFont="1" applyFill="1" applyBorder="1"/>
    <xf numFmtId="0" fontId="10" fillId="0" borderId="2" xfId="2" applyFont="1" applyFill="1" applyBorder="1"/>
    <xf numFmtId="43" fontId="6" fillId="0" borderId="3" xfId="1" applyFont="1" applyFill="1" applyBorder="1"/>
    <xf numFmtId="0" fontId="6" fillId="0" borderId="3" xfId="0" applyFont="1" applyFill="1" applyBorder="1"/>
    <xf numFmtId="0" fontId="7" fillId="7" borderId="0" xfId="0" applyFont="1" applyFill="1" applyBorder="1" applyAlignment="1">
      <alignment horizontal="left" indent="2"/>
    </xf>
    <xf numFmtId="43" fontId="6" fillId="7" borderId="0" xfId="1" applyFont="1" applyFill="1" applyBorder="1"/>
    <xf numFmtId="0" fontId="6" fillId="7" borderId="0" xfId="0" applyFont="1" applyFill="1" applyBorder="1"/>
    <xf numFmtId="0" fontId="12" fillId="0" borderId="0" xfId="0" applyFont="1" applyFill="1" applyBorder="1"/>
    <xf numFmtId="43" fontId="12" fillId="0" borderId="0" xfId="1" applyFont="1" applyFill="1" applyBorder="1"/>
    <xf numFmtId="188" fontId="4" fillId="0" borderId="0" xfId="3" applyFont="1"/>
    <xf numFmtId="14" fontId="0" fillId="0" borderId="0" xfId="0" applyNumberFormat="1"/>
    <xf numFmtId="0" fontId="13" fillId="6" borderId="0" xfId="0" applyFont="1" applyFill="1" applyBorder="1" applyAlignment="1">
      <alignment horizontal="left"/>
    </xf>
    <xf numFmtId="14" fontId="13" fillId="6" borderId="0" xfId="0" applyNumberFormat="1" applyFont="1" applyFill="1" applyBorder="1"/>
    <xf numFmtId="0" fontId="13" fillId="6" borderId="0" xfId="0" applyFont="1" applyFill="1" applyBorder="1"/>
    <xf numFmtId="10" fontId="14" fillId="6" borderId="0" xfId="4" applyNumberFormat="1" applyFont="1" applyFill="1" applyBorder="1"/>
    <xf numFmtId="0" fontId="5" fillId="0" borderId="0" xfId="0" applyFont="1" applyBorder="1" applyAlignment="1">
      <alignment horizontal="left" indent="2"/>
    </xf>
    <xf numFmtId="40" fontId="15" fillId="0" borderId="0" xfId="1" applyNumberFormat="1" applyFont="1" applyBorder="1"/>
    <xf numFmtId="4" fontId="15" fillId="0" borderId="0" xfId="0" applyNumberFormat="1" applyFont="1" applyBorder="1"/>
    <xf numFmtId="0" fontId="16" fillId="0" borderId="0" xfId="0" applyFont="1" applyBorder="1" applyAlignment="1">
      <alignment horizontal="left" indent="2"/>
    </xf>
    <xf numFmtId="40" fontId="17" fillId="0" borderId="0" xfId="1" applyNumberFormat="1" applyFont="1" applyBorder="1"/>
    <xf numFmtId="4" fontId="17" fillId="0" borderId="0" xfId="0" applyNumberFormat="1" applyFont="1" applyBorder="1"/>
    <xf numFmtId="0" fontId="18" fillId="0" borderId="0" xfId="0" applyFont="1" applyBorder="1" applyAlignment="1">
      <alignment horizontal="left" indent="2"/>
    </xf>
    <xf numFmtId="40" fontId="19" fillId="0" borderId="0" xfId="1" applyNumberFormat="1" applyFont="1" applyBorder="1"/>
    <xf numFmtId="4" fontId="19" fillId="0" borderId="0" xfId="0" applyNumberFormat="1" applyFont="1" applyBorder="1"/>
    <xf numFmtId="0" fontId="6" fillId="0" borderId="0" xfId="0" quotePrefix="1" applyFont="1"/>
    <xf numFmtId="0" fontId="3" fillId="2" borderId="1" xfId="2" applyAlignment="1">
      <alignment horizontal="left" indent="2"/>
    </xf>
    <xf numFmtId="40" fontId="3" fillId="2" borderId="1" xfId="2" applyNumberFormat="1"/>
    <xf numFmtId="4" fontId="3" fillId="2" borderId="1" xfId="2" applyNumberFormat="1"/>
    <xf numFmtId="43" fontId="6" fillId="0" borderId="0" xfId="1" applyFont="1" applyFill="1" applyBorder="1"/>
    <xf numFmtId="43" fontId="6" fillId="11" borderId="0" xfId="1" applyFont="1" applyFill="1" applyBorder="1"/>
    <xf numFmtId="14" fontId="0" fillId="0" borderId="0" xfId="0" applyNumberFormat="1"/>
    <xf numFmtId="189" fontId="0" fillId="0" borderId="0" xfId="0" applyNumberFormat="1"/>
    <xf numFmtId="0" fontId="2" fillId="10" borderId="6" xfId="0" applyFont="1" applyFill="1" applyBorder="1" applyAlignment="1">
      <alignment horizontal="center"/>
    </xf>
    <xf numFmtId="0" fontId="21" fillId="0" borderId="6" xfId="0" applyFont="1" applyBorder="1"/>
    <xf numFmtId="0" fontId="0" fillId="0" borderId="6" xfId="0" applyBorder="1"/>
    <xf numFmtId="22" fontId="0" fillId="0" borderId="6" xfId="0" applyNumberFormat="1" applyBorder="1"/>
    <xf numFmtId="190" fontId="4" fillId="0" borderId="7" xfId="3" applyNumberFormat="1" applyFont="1" applyFill="1" applyBorder="1" applyAlignment="1">
      <alignment horizontal="center" vertical="center"/>
    </xf>
    <xf numFmtId="10" fontId="4" fillId="0" borderId="7" xfId="4" applyNumberFormat="1" applyFont="1" applyFill="1" applyBorder="1" applyAlignment="1">
      <alignment horizontal="center" vertical="center"/>
    </xf>
    <xf numFmtId="14" fontId="0" fillId="12" borderId="0" xfId="0" applyNumberFormat="1" applyFill="1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pivotButton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2" fillId="0" borderId="0" xfId="0" pivotButton="1" applyFont="1"/>
    <xf numFmtId="14" fontId="2" fillId="0" borderId="0" xfId="0" applyNumberFormat="1" applyFont="1" applyAlignment="1">
      <alignment horizontal="center" vertical="center" wrapText="1"/>
    </xf>
    <xf numFmtId="43" fontId="6" fillId="0" borderId="0" xfId="0" applyNumberFormat="1" applyFont="1" applyBorder="1"/>
    <xf numFmtId="190" fontId="0" fillId="0" borderId="0" xfId="0" applyNumberFormat="1"/>
    <xf numFmtId="0" fontId="20" fillId="13" borderId="6" xfId="0" applyFont="1" applyFill="1" applyBorder="1" applyAlignment="1">
      <alignment horizontal="center"/>
    </xf>
  </cellXfs>
  <cellStyles count="6">
    <cellStyle name="Comma" xfId="1" builtinId="3"/>
    <cellStyle name="Comma 3" xfId="3" xr:uid="{A2A8D6FC-C840-4459-8A73-70E39FB5C55F}"/>
    <cellStyle name="Input" xfId="2" builtinId="20"/>
    <cellStyle name="Normal" xfId="0" builtinId="0"/>
    <cellStyle name="Normal 3" xfId="5" xr:uid="{7F0FE717-8942-468F-9311-7CED86FABC82}"/>
    <cellStyle name="Percent" xfId="4" builtinId="5"/>
  </cellStyles>
  <dxfs count="263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18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F3F76"/>
      <color rgb="FFB17ED8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183777</xdr:colOff>
          <xdr:row>2</xdr:row>
          <xdr:rowOff>52669</xdr:rowOff>
        </xdr:from>
        <xdr:to>
          <xdr:col>2</xdr:col>
          <xdr:colOff>783852</xdr:colOff>
          <xdr:row>4</xdr:row>
          <xdr:rowOff>25775</xdr:rowOff>
        </xdr:to>
        <xdr:sp macro="" textlink="">
          <xdr:nvSpPr>
            <xdr:cNvPr id="2052" name="CashInBt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Office10\Addins\SCBAM_CON2SPCD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</sheetNames>
    <definedNames>
      <definedName name="SCBAM_GetGroup1Dtl"/>
      <definedName name="SCBAM_GetSecDtl"/>
      <definedName name="SCBAM_NextBusinessDay"/>
      <definedName name="SCBAM_PreviousBusinessDay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MPONG PANTUWORN" refreshedDate="43384.48977951389" createdVersion="6" refreshedVersion="6" minRefreshableVersion="3" recordCount="963" xr:uid="{4FCE9BB2-4794-4D61-9DFE-241B0CD6CD4E}">
  <cacheSource type="worksheet">
    <worksheetSource name="DataTable"/>
  </cacheSource>
  <cacheFields count="20">
    <cacheField name="HLD_Date" numFmtId="14">
      <sharedItems containsSemiMixedTypes="0" containsNonDate="0" containsDate="1" containsString="0" minDate="2018-10-10T00:00:00" maxDate="2018-10-11T00:00:00"/>
    </cacheField>
    <cacheField name="HLD_Portfolio" numFmtId="0">
      <sharedItems count="10">
        <s v="SCBSFF"/>
        <s v="SCBSFFPLUS"/>
        <s v="SCBTMF"/>
        <s v="SCBTMFPLUS"/>
        <s v="SCBRF"/>
        <s v="SCBRM1"/>
        <s v="SCBRM2"/>
        <s v="SCBFPFUND"/>
        <s v="SCBPLUS"/>
        <s v="SCBFIXED"/>
      </sharedItems>
    </cacheField>
    <cacheField name="Group1" numFmtId="0">
      <sharedItems/>
    </cacheField>
    <cacheField name="Group2" numFmtId="0">
      <sharedItems count="24">
        <s v="CUSTODIAN BANK"/>
        <s v="TERM &amp; SAVING DEPOSIT"/>
        <s v="BILL OF EXCHANGE"/>
        <s v="TREASURY BILL"/>
        <s v="BOT BOND"/>
        <s v="DEBENTURE"/>
        <s v="FORWARD"/>
        <s v="UNSETTLE AMOR."/>
        <s v="BUY SECURITY"/>
        <s v="AUDITING FEE"/>
        <s v="TAX"/>
        <s v="A NEWSPAPER_NAV"/>
        <s v="CUSTODIAN FEE"/>
        <s v="MANAGEMENT FEE"/>
        <s v="REGISTRAR FEE"/>
        <s v="COMMERCIAL PAPER"/>
        <s v="BOND"/>
        <s v="SELL SECURITY"/>
        <s v="A/R FROM SUB."/>
        <s v="TAX REDEMP"/>
        <s v="OPERATION FEE"/>
        <s v="SWAP"/>
        <s v="UNIT TRUST"/>
        <s v="D SEC FEE"/>
      </sharedItems>
    </cacheField>
    <cacheField name="Group3" numFmtId="0">
      <sharedItems containsBlank="1"/>
    </cacheField>
    <cacheField name="HLD_SecCode" numFmtId="0">
      <sharedItems containsBlank="1" count="488">
        <s v="CASH"/>
        <s v="-CNY CASH-"/>
        <s v="-EUR CASH-"/>
        <s v="-HKD CASH-"/>
        <s v="-SACON SFF"/>
        <s v="-US CASH-"/>
        <s v="CD12MTBANK14519"/>
        <s v="CD9MTBANK11619"/>
        <s v="F12MABCHK100519"/>
        <s v="F12MABCHK250419"/>
        <s v="F12MADCB061118b"/>
        <s v="F12MADCB161018"/>
        <s v="F12MBOCMC040419"/>
        <s v="F12MBOCMC110419"/>
        <s v="F12MBOCMC250419"/>
        <s v="F12MGHB020819a"/>
        <s v="F12MGHB060819"/>
        <s v="F12MGHB090819"/>
        <s v="F12MGHB141218"/>
        <s v="F12MGHB160119"/>
        <s v="F12MGHB170119"/>
        <s v="F12MGHB180119"/>
        <s v="F12MGHB210119"/>
        <s v="F3MABCHK161018"/>
        <s v="F6MBOCMC051118"/>
        <s v="F6MBOCMC190319"/>
        <s v="INVCTISCOsff1"/>
        <s v="INVSKTBsff"/>
        <s v="INVSUOBTsff"/>
        <s v="S4MSCB030119"/>
        <s v="MBKET18D18A"/>
        <s v="SPALI19218A"/>
        <s v="TB18N14A"/>
        <s v="TB19403A"/>
        <s v="CB18D06C"/>
        <s v="CB18D13B"/>
        <s v="CB18D20B"/>
        <s v="CB18N01A"/>
        <s v="CB18N01B"/>
        <s v="CB18N08A"/>
        <s v="CB18N08B"/>
        <s v="CB18N15A"/>
        <s v="CB18N15B"/>
        <s v="CB18N22A"/>
        <s v="CB18N22B"/>
        <s v="CB18N29A"/>
        <s v="CB18N29B"/>
        <s v="CB18O11A"/>
        <s v="CB18O11B"/>
        <s v="CB18O16A"/>
        <s v="CB18O18A"/>
        <s v="CB18O18B"/>
        <s v="CB18O24A"/>
        <s v="CB18O25A"/>
        <s v="CB18O25B"/>
        <s v="CB19103B"/>
        <s v="CB19110B"/>
        <s v="CPALL18OB"/>
        <s v="FWCNHTHB19404A"/>
        <s v="FWCNHTHB19411A"/>
        <s v="FWEURTHB18N05B"/>
        <s v="FWEURTHB19319B"/>
        <s v="FWEURTHB19425A"/>
        <s v="FWEURTHB19510A"/>
        <s v="FWUSDTHB18N06C"/>
        <s v="FWUSDTHB18O16A"/>
        <s v="FWUSDTHB18O16C"/>
        <s v="FWUSDTHB19425A"/>
        <s v="UNSETTLE AMOR."/>
        <s v="AUDITING FEE"/>
        <m/>
        <s v="A NEWSPAPER_NAV"/>
        <s v="-AED CASH-"/>
        <s v="-GBP CASH-"/>
        <s v="-JPY CASH-"/>
        <s v="CD12MCMBL010219"/>
        <s v="CD12MICBCD16119"/>
        <s v="CD12MTBANK17519"/>
        <s v="CD1YBOCHK060319"/>
        <s v="CD1YBOCHK071218"/>
        <s v="CD1YICBCSE08219"/>
        <s v="F12MABCHK130219"/>
        <s v="F12MABCHK220319"/>
        <s v="F12MABCHK230519"/>
        <s v="F12MABCHK250619"/>
        <s v="F12MABCHK260419"/>
        <s v="F12MABCHK270319"/>
        <s v="F12MABCHK280319"/>
        <s v="F12MABCHK310119"/>
        <s v="F12MABCHK310519"/>
        <s v="F12MADCB181218a"/>
        <s v="F12MBOCMC02519b"/>
        <s v="F12MBOCMC080119"/>
        <s v="F12MBOCMC090119"/>
        <s v="F12MBOCMC181218"/>
        <s v="F12MBOCMC280619"/>
        <s v="F12MGHB010819"/>
        <s v="F12MGHB020819"/>
        <s v="F12MGHB260719"/>
        <s v="F12MUNB011019"/>
        <s v="F12MUNB021019a"/>
        <s v="F3MABCHK221018"/>
        <s v="F6MABCHK120319"/>
        <s v="F6MADCB251018"/>
        <s v="F6MADCB261118"/>
        <s v="F6MBOCMC191118"/>
        <s v="F6MBOCMC201118"/>
        <s v="INVSKTBsffplus"/>
        <s v="INVSSCBCYsffp"/>
        <s v="INVSSCBUSsffp"/>
        <s v="INVSUOBTsffplus"/>
        <s v="BANPU19206A"/>
        <s v="BTSG18N20A"/>
        <s v="CPF18D13A"/>
        <s v="CPF19129A"/>
        <s v="CPFTH18D06A"/>
        <s v="CPFTH19326B"/>
        <s v="CPN18N13A"/>
        <s v="MPSC18D04A"/>
        <s v="SIRI18O24A"/>
        <s v="SPALI19131A"/>
        <s v="CB18D13A"/>
        <s v="CB18D27B"/>
        <s v="CB19103A"/>
        <s v="GOLD19NA"/>
        <s v="ICBCTL19NA"/>
        <s v="KK18N15A"/>
        <s v="KK18N20A"/>
        <s v="KK18N22A"/>
        <s v="KK18N23A"/>
        <s v="KK18N30B"/>
        <s v="KK19118A"/>
        <s v="KK19118B"/>
        <s v="KK203A"/>
        <s v="LHBANK199A"/>
        <s v="LHBANK203A"/>
        <s v="MPSC18OA"/>
        <s v="PS18NA"/>
        <s v="QH213A"/>
        <s v="SCB19218A"/>
        <s v="SPALI213A"/>
        <s v="TBEV203A"/>
        <s v="TBEV213A"/>
        <s v="THCOM19OB"/>
        <s v="TISCO18NA"/>
        <s v="TISCO198A"/>
        <s v="TISCO205B"/>
        <s v="TRUE192B"/>
        <s v="TUC19129B"/>
        <s v="TUC218A"/>
        <s v="WHA214A"/>
        <s v="WHART213A"/>
        <s v="WHAUP208A"/>
        <s v="BH18DA"/>
        <s v="BJC206A"/>
        <s v="BTG19NA"/>
        <s v="CPALL193A"/>
        <s v="DMT18NB"/>
        <s v="DMT20NA"/>
        <s v="EMTNMASQ070319"/>
        <s v="EMTNMASQ080519"/>
        <s v="EMTNMASQ090419"/>
        <s v="EMTNMASQ130519"/>
        <s v="EMTNMASQ210319"/>
        <s v="FWAEDTHB18D18A"/>
        <s v="FWEURTHB18D07B"/>
        <s v="FWEURTHB18N05A"/>
        <s v="FWEURTHB19131A"/>
        <s v="FWEURTHB19201A"/>
        <s v="FWEURTHB19213A"/>
        <s v="FWEURTHB19306A"/>
        <s v="FWEURTHB19321A"/>
        <s v="FWEURTHB19322A"/>
        <s v="FWEURTHB19327A"/>
        <s v="FWEURTHB19328A"/>
        <s v="FWEURTHB19502B"/>
        <s v="FWEURTHB19523A"/>
        <s v="FWEURTHB19531A"/>
        <s v="FWHKDTHB18O22A"/>
        <s v="FWHKDTHB19312A"/>
        <s v="FWUSDTHB18D18B"/>
        <s v="FWUSDTHB18N06D"/>
        <s v="FWUSDTHB18N19A"/>
        <s v="FWUSDTHB18N20A"/>
        <s v="FWUSDTHB18N26A"/>
        <s v="FWUSDTHB18O16B"/>
        <s v="FWUSDTHB18O16D"/>
        <s v="FWUSDTHB18O25A"/>
        <s v="FWUSDTHB19108A"/>
        <s v="FWUSDTHB19109A"/>
        <s v="FWUSDTHB19116B"/>
        <s v="FWUSDTHB19208A"/>
        <s v="FWUSDTHB19307A"/>
        <s v="FWUSDTHB19409A"/>
        <s v="FWUSDTHB19426A"/>
        <s v="FWUSDTHB19508A"/>
        <s v="FWUSDTHB19513B"/>
        <s v="FWUSDTHB19625A"/>
        <s v="FWUSDTHB19628A"/>
        <s v="FWUSDTHB19O01A"/>
        <s v="FWUSDTHB19O02B"/>
        <s v="F12MGHB090419"/>
        <s v="INVSUOBTtmf"/>
        <s v="F12MGHB071218"/>
        <s v="INVSKTBtmfplus"/>
        <s v="INVSUOBTtmfplus"/>
        <s v="CB18D06A"/>
        <s v="GHB18DA"/>
        <s v="BAY193A"/>
        <s v="INVCTISCOrf"/>
        <s v="INVSKTBrf"/>
        <s v="INVSUOBTrf"/>
        <s v="BANSUAN161017"/>
        <s v="SB18OA"/>
        <s v="CALE205A"/>
        <s v="AMATA20OA"/>
        <s v="BANPU214A"/>
        <s v="BANPU247A"/>
        <s v="BANPU274A"/>
        <s v="BAY20NA"/>
        <s v="BEM234A"/>
        <s v="BJC219A"/>
        <s v="BJC239A"/>
        <s v="BTG215A"/>
        <s v="BTG227A"/>
        <s v="BTG233A"/>
        <s v="BTSC19NA"/>
        <s v="BTSG20DA"/>
        <s v="CBG206A"/>
        <s v="CK20NA"/>
        <s v="CPF218B"/>
        <s v="CPF251A"/>
        <s v="GPSC219A"/>
        <s v="IRPC215B"/>
        <s v="IVL205A"/>
        <s v="NTL19DB"/>
        <s v="PS20NA"/>
        <s v="QH20NA"/>
        <s v="SPALI205A"/>
        <s v="THCOM21OB"/>
        <s v="TICON208A"/>
        <s v="TICON213A"/>
        <s v="TISCO195B"/>
        <s v="TRUE18N27A"/>
        <s v="TRUE18O18B"/>
        <s v="TRUE19129B"/>
        <s v="TUC18D20A"/>
        <s v="UOBT193A"/>
        <s v="F12MGHB301118"/>
        <s v="INVSKTBrm1"/>
        <s v="INVSUOBTrm1"/>
        <s v="TUC19326A"/>
        <s v="CB19314A"/>
        <s v="BOT192A"/>
        <s v="BOT199A"/>
        <s v="BOT209A"/>
        <s v="LB206A"/>
        <s v="AWN214B"/>
        <s v="BANPU207B"/>
        <s v="BAY18OA"/>
        <s v="BEM196A"/>
        <s v="BJC193A"/>
        <s v="BJC199A"/>
        <s v="CPALL193B"/>
        <s v="CPALL198B"/>
        <s v="CPALL20OA"/>
        <s v="CPF198B"/>
        <s v="CPF204A"/>
        <s v="CPFTH207A"/>
        <s v="KCC199A"/>
        <s v="KCC203A"/>
        <s v="KSL203A"/>
        <s v="LH194B"/>
        <s v="MAJOR229A"/>
        <s v="MINT193A"/>
        <s v="NTL195A"/>
        <s v="PL18OA"/>
        <s v="PS193A"/>
        <s v="PS19NA"/>
        <s v="PTTC195B"/>
        <s v="QH194A"/>
        <s v="QH198A"/>
        <s v="SCCC205A"/>
        <s v="TBEV223A"/>
        <s v="TRUE19129A"/>
        <s v="MBTH18DA"/>
        <s v="TLT201B"/>
        <s v="CD12MTBANK05719"/>
        <s v="INVSUOBTrm2"/>
        <s v="CB18D20A"/>
        <s v="CB18D27A"/>
        <s v="CB19110A"/>
        <s v="CB19131A"/>
        <s v="CB19214A"/>
        <s v="CB19228A"/>
        <s v="CB19307A"/>
        <s v="CB19321A"/>
        <s v="CB19328A"/>
        <s v="CB19404A"/>
        <s v="CB19606A"/>
        <s v="CB19905A"/>
        <s v="BOT193A"/>
        <s v="BOT203A"/>
        <s v="ILB217A"/>
        <s v="LB226A"/>
        <s v="LB22DA"/>
        <s v="LB23DA"/>
        <s v="SRT224A"/>
        <s v="BEM20OA"/>
        <s v="BEM229A"/>
        <s v="BJC203A"/>
        <s v="BJC243A"/>
        <s v="CK217A"/>
        <s v="CPALL233A"/>
        <s v="CPF235A"/>
        <s v="CPF244A"/>
        <s v="CPFTH211A"/>
        <s v="CPFTH231A"/>
        <s v="LH194A"/>
        <s v="MINT205A"/>
        <s v="MINT213A"/>
        <s v="PS207A"/>
        <s v="QH205A"/>
        <s v="SCCC245A"/>
        <s v="SPALI202A"/>
        <s v="TBEV233A"/>
        <s v="/SCBFIFL26DC"/>
        <s v="CD12MTBANK26419"/>
        <s v="CD1YBOCHK301118"/>
        <s v="F12MABCHK080219"/>
        <s v="F12MABCHK250319"/>
        <s v="F12MADCB061118"/>
        <s v="F12MBOCMC020519"/>
        <s v="F12MBOCMC200919"/>
        <s v="F12MGHB080819"/>
        <s v="F12MGHB120419"/>
        <s v="F12MGHB190419"/>
        <s v="F12MGHB230119"/>
        <s v="F12MUNB021019"/>
        <s v="F6MADCB241018"/>
        <s v="INVSUOBTfp"/>
        <s v="BOT202B"/>
        <s v="LB191A"/>
        <s v="LB193A"/>
        <s v="LB21DA"/>
        <s v="EXAT229A"/>
        <s v="EA217A"/>
        <s v="GED198A"/>
        <s v="TLT202A"/>
        <s v="TLT20NA"/>
        <s v="EASTW226A"/>
        <s v="ABPSPV204A"/>
        <s v="ABPSPV214A"/>
        <s v="ABPSPV224A"/>
        <s v="TREIT216A"/>
        <s v="TRUE22NA"/>
        <s v="UOBT213A"/>
        <s v="AYCAL197A"/>
        <s v="BAY196A"/>
        <s v="BAY211A"/>
        <s v="BAY217A"/>
        <s v="BCH211A"/>
        <s v="BCH22DA"/>
        <s v="BEM216A"/>
        <s v="BJC223A"/>
        <s v="BTG207A"/>
        <s v="CKP216A"/>
        <s v="CPALL20OB"/>
        <s v="CPF198A"/>
        <s v="CPF205A"/>
        <s v="CPF228A"/>
        <s v="CPFTH237A"/>
        <s v="CPN19NA"/>
        <s v="CPN20DA"/>
        <s v="DTN207A"/>
        <s v="GLOW19OA"/>
        <s v="HMPRO198A"/>
        <s v="HMPRO19DA"/>
        <s v="IVL216A"/>
        <s v="KSL215A"/>
        <s v="LH19OB"/>
        <s v="LH204A"/>
        <s v="LH204B"/>
        <s v="LH20OA"/>
        <s v="LH20OB"/>
        <s v="MBK262A"/>
        <s v="MPSC199A"/>
        <s v="MPSC19OA"/>
        <s v="MPSC209A"/>
        <s v="MPSC20OA"/>
        <s v="MPSC20OB"/>
        <s v="PS213A"/>
        <s v="PSH215A"/>
        <s v="PTTC195A"/>
        <s v="PTTC20NA"/>
        <s v="PTTC21NA"/>
        <s v="QH196A"/>
        <s v="SCC248A"/>
        <s v="SCCC244A"/>
        <s v="SIRI204A"/>
        <s v="SPALI19DA"/>
        <s v="EMTNABCHK101218"/>
        <s v="FWEURTHB18D07A"/>
        <s v="FWEURTHB18N30A"/>
        <s v="FWEURTHB19208A"/>
        <s v="FWEURTHB19325A"/>
        <s v="FWEURTHB19502A"/>
        <s v="FWUSDTHB18D18A"/>
        <s v="FWUSDTHB18N06A"/>
        <s v="FWUSDTHB18O24A"/>
        <s v="FWUSDTHB19116A"/>
        <s v="FWUSDTHB19920A"/>
        <s v="FWUSDTHB19O02A"/>
        <s v="/SCBFIFL25DA"/>
        <s v="/SCBFIFL196A"/>
        <s v="/SCBFIFL236A"/>
        <s v="/SCBTHUS18DA"/>
        <s v="/SCBFIFL26DB"/>
        <s v="/SCBFIFL217A"/>
        <s v="/SCBFIFL218A"/>
        <s v="/CIMBFIFL238A"/>
        <s v="/CIMBFIFL218A"/>
        <s v="B-WORK"/>
        <s v="BOFFICE"/>
        <s v="BTSGIF"/>
        <s v="CPNREIT"/>
        <s v="DIF"/>
        <s v="EGATIF"/>
        <s v="GVREIT"/>
        <s v="HREIT"/>
        <s v="IMPACT"/>
        <s v="JASIF"/>
        <s v="LHHOTEL"/>
        <s v="QHPF"/>
        <s v="SHREIT"/>
        <s v="SPF"/>
        <s v="TLGF"/>
        <s v="TREIT"/>
        <s v="WHART"/>
        <s v="CD6MWOORI111018"/>
        <s v="F12MSECB290519a"/>
        <s v="F12MUNB020719"/>
        <s v="INVSKBANKplus"/>
        <s v="INVSUOBTplus"/>
        <s v="CB19221A"/>
        <s v="CB19411A"/>
        <s v="BOT208A"/>
        <s v="GSB225A"/>
        <s v="BTSG209A"/>
        <s v="CPALL213C"/>
        <s v="CSC00001"/>
        <s v="CSC00002"/>
        <s v="CSG00001"/>
        <s v="MPSC22DA"/>
        <s v="MPSC22OA"/>
        <s v="MPSC233A"/>
        <s v="MPSC236A"/>
        <s v="SPW238A"/>
        <s v="TBEV283A"/>
        <s v="TOP230123US"/>
        <s v="TTW232A"/>
        <s v="KNM21NA"/>
        <s v="EMTNICIUK120619"/>
        <s v="EMTNMASQ170419"/>
        <s v="EMTNTMBCA011021"/>
        <s v="BEABCIAHKa"/>
        <s v="BEAPIGRHKa"/>
        <s v="FWHKDTHB18N08A"/>
        <s v="FWUSDTHB18O11F"/>
        <s v="FWUSDTHB18O25C"/>
        <s v="FWUSDTHB19417F"/>
        <s v="FWUSDTHB19529B"/>
        <s v="FWUSDTHB19612F"/>
        <s v="FWUSDTHB19620A"/>
        <s v="FWUSDTHB19702A"/>
        <s v="/SCBTHUS21OA"/>
        <s v="/SCBTHUS231C"/>
        <s v="INVSUOBTfixed"/>
        <s v="EA19214A"/>
        <s v="CB19117A"/>
        <s v="BANPU195A"/>
        <s v="TOP193A"/>
        <s v="NTL197A"/>
        <s v="TLT198B"/>
        <s v="CPALL198C"/>
        <s v="MBTH19DA"/>
        <s v="FWEURTHB19319A"/>
        <s v="D SEC FEE"/>
      </sharedItems>
    </cacheField>
    <cacheField name="HLD_Issuer" numFmtId="0">
      <sharedItems containsBlank="1" count="115">
        <s v="BAY"/>
        <s v="SCB"/>
        <s v="TBANK"/>
        <s v="ABCHK"/>
        <s v="ADCB"/>
        <s v="BOC MACAU"/>
        <s v="GHB"/>
        <s v="TISCOB"/>
        <s v="KTB"/>
        <s v="UOBT"/>
        <s v="MBKET"/>
        <s v="SPALI"/>
        <s v="GOVERNMENT"/>
        <s v="BOT"/>
        <s v="CPALL"/>
        <s v="KKP"/>
        <s v="SCBAM"/>
        <m/>
        <s v="-CASH-"/>
        <s v="KBANK"/>
        <s v="CMBLUX"/>
        <s v="ICBCDUBAI"/>
        <s v="BOC HK"/>
        <s v="ICBCSEOUL"/>
        <s v="UNB"/>
        <s v="BANPU"/>
        <s v="BTS"/>
        <s v="CPF"/>
        <s v="CPFTH"/>
        <s v="CPN"/>
        <s v="MP"/>
        <s v="SIRI"/>
        <s v="GOLD"/>
        <s v="ICBCTL"/>
        <s v="LHB"/>
        <s v="PS"/>
        <s v="QH"/>
        <s v="THBEV"/>
        <s v="THCOM"/>
        <s v="TRUE"/>
        <s v="TUC"/>
        <s v="WHA"/>
        <s v="WHART"/>
        <s v="WHAUP"/>
        <s v="BH"/>
        <s v="BJC"/>
        <s v="BTG"/>
        <s v="DMT"/>
        <s v="MASQ"/>
        <s v="CIMBT"/>
        <s v="BANSUAN"/>
        <s v="CAL"/>
        <s v="AMATA"/>
        <s v="BEM"/>
        <s v="BTSC"/>
        <s v="CBG"/>
        <s v="CK"/>
        <s v="GPSC"/>
        <s v="IRPC"/>
        <s v="IVL"/>
        <s v="NTL"/>
        <s v="TICON"/>
        <s v="AWN"/>
        <s v="KCC"/>
        <s v="KSL"/>
        <s v="LH"/>
        <s v="MAJOR"/>
        <s v="MINT"/>
        <s v="PL"/>
        <s v="PTT"/>
        <s v="SCCC"/>
        <s v="MBT"/>
        <s v="TLT"/>
        <s v="SRT"/>
        <s v="EXAT"/>
        <s v="EA"/>
        <s v="GED"/>
        <s v="EASTW"/>
        <s v="ABPSPV"/>
        <s v="TREIT"/>
        <s v="AYCAL"/>
        <s v="BCH"/>
        <s v="CKP"/>
        <s v="DTN"/>
        <s v="GLOW"/>
        <s v="HMPRO"/>
        <s v="MBK"/>
        <s v="PSH"/>
        <s v="SCC"/>
        <s v="TMB"/>
        <s v="BBLAM"/>
        <s v="BHIRAJREIT"/>
        <s v="CPNREITMGT"/>
        <s v="KTAM"/>
        <s v="UVRM"/>
        <s v="HEMRAJRM"/>
        <s v="RMI"/>
        <s v="LHFUND"/>
        <s v="STRATEGIC"/>
        <s v="PHATRAAM"/>
        <s v="TICONMANAGE"/>
        <s v="WHAREIT"/>
        <s v="WOORIHK"/>
        <s v="SECB"/>
        <s v="GSB"/>
        <s v="SC SG"/>
        <s v="SOCGEN"/>
        <s v="SPW"/>
        <s v="TOP"/>
        <s v="TTW"/>
        <s v="KNM"/>
        <s v="ICICI BANK UK"/>
        <s v="TMBCAYMAN"/>
        <s v="BEAUI"/>
        <s v="ANZ"/>
      </sharedItems>
    </cacheField>
    <cacheField name="HLD_Rating" numFmtId="0">
      <sharedItems containsBlank="1"/>
    </cacheField>
    <cacheField name="HLD_MaturityDate" numFmtId="14">
      <sharedItems containsNonDate="0" containsDate="1" containsString="0" containsBlank="1" minDate="2018-10-11T00:00:00" maxDate="2051-01-01T00:00:00" count="280">
        <m/>
        <d v="2019-05-14T00:00:00"/>
        <d v="2019-06-11T00:00:00"/>
        <d v="2019-05-10T00:00:00"/>
        <d v="2019-04-25T00:00:00"/>
        <d v="2018-11-06T00:00:00"/>
        <d v="2018-10-16T00:00:00"/>
        <d v="2019-04-04T00:00:00"/>
        <d v="2019-04-11T00:00:00"/>
        <d v="2019-08-02T00:00:00"/>
        <d v="2019-08-06T00:00:00"/>
        <d v="2019-08-09T00:00:00"/>
        <d v="2018-12-14T00:00:00"/>
        <d v="2019-01-16T00:00:00"/>
        <d v="2019-01-17T00:00:00"/>
        <d v="2019-01-18T00:00:00"/>
        <d v="2019-01-21T00:00:00"/>
        <d v="2018-11-05T00:00:00"/>
        <d v="2019-03-19T00:00:00"/>
        <d v="2020-12-31T00:00:00"/>
        <d v="2019-01-03T00:00:00"/>
        <d v="2018-12-18T00:00:00"/>
        <d v="2019-02-18T00:00:00"/>
        <d v="2018-11-14T00:00:00"/>
        <d v="2019-04-03T00:00:00"/>
        <d v="2018-12-06T00:00:00"/>
        <d v="2018-12-13T00:00:00"/>
        <d v="2018-12-20T00:00:00"/>
        <d v="2018-11-01T00:00:00"/>
        <d v="2018-11-08T00:00:00"/>
        <d v="2018-11-15T00:00:00"/>
        <d v="2018-11-22T00:00:00"/>
        <d v="2018-11-29T00:00:00"/>
        <d v="2018-10-11T00:00:00"/>
        <d v="2018-10-18T00:00:00"/>
        <d v="2018-10-24T00:00:00"/>
        <d v="2018-10-25T00:00:00"/>
        <d v="2019-01-10T00:00:00"/>
        <d v="2018-10-31T00:00:00"/>
        <d v="2019-02-01T00:00:00"/>
        <d v="2019-05-17T00:00:00"/>
        <d v="2019-03-06T00:00:00"/>
        <d v="2018-12-07T00:00:00"/>
        <d v="2019-02-08T00:00:00"/>
        <d v="2019-02-13T00:00:00"/>
        <d v="2019-03-22T00:00:00"/>
        <d v="2019-05-23T00:00:00"/>
        <d v="2019-06-25T00:00:00"/>
        <d v="2019-04-26T00:00:00"/>
        <d v="2019-03-27T00:00:00"/>
        <d v="2019-03-28T00:00:00"/>
        <d v="2019-01-31T00:00:00"/>
        <d v="2019-05-31T00:00:00"/>
        <d v="2019-05-02T00:00:00"/>
        <d v="2019-01-08T00:00:00"/>
        <d v="2019-01-09T00:00:00"/>
        <d v="2019-06-28T00:00:00"/>
        <d v="2019-08-01T00:00:00"/>
        <d v="2019-07-26T00:00:00"/>
        <d v="2019-10-01T00:00:00"/>
        <d v="2019-10-02T00:00:00"/>
        <d v="2018-10-22T00:00:00"/>
        <d v="2019-03-12T00:00:00"/>
        <d v="2018-11-26T00:00:00"/>
        <d v="2018-11-19T00:00:00"/>
        <d v="2018-11-20T00:00:00"/>
        <d v="2019-02-06T00:00:00"/>
        <d v="2019-01-29T00:00:00"/>
        <d v="2019-03-26T00:00:00"/>
        <d v="2018-11-13T00:00:00"/>
        <d v="2018-12-04T00:00:00"/>
        <d v="2018-12-27T00:00:00"/>
        <d v="2019-11-23T00:00:00"/>
        <d v="2019-11-26T00:00:00"/>
        <d v="2018-11-23T00:00:00"/>
        <d v="2018-11-30T00:00:00"/>
        <d v="2020-03-20T00:00:00"/>
        <d v="2019-09-30T00:00:00"/>
        <d v="2020-03-30T00:00:00"/>
        <d v="2018-10-17T00:00:00"/>
        <d v="2021-03-05T00:00:00"/>
        <d v="2021-03-15T00:00:00"/>
        <d v="2020-03-22T00:00:00"/>
        <d v="2021-03-22T00:00:00"/>
        <d v="2020-05-21T00:00:00"/>
        <d v="2019-02-22T00:00:00"/>
        <d v="2021-08-02T00:00:00"/>
        <d v="2021-04-27T00:00:00"/>
        <d v="2021-03-30T00:00:00"/>
        <d v="2020-08-18T00:00:00"/>
        <d v="2020-06-08T00:00:00"/>
        <d v="2019-11-14T00:00:00"/>
        <d v="2020-11-30T00:00:00"/>
        <d v="2019-03-07T00:00:00"/>
        <d v="2019-05-08T00:00:00"/>
        <d v="2019-04-09T00:00:00"/>
        <d v="2019-05-13T00:00:00"/>
        <d v="2019-03-21T00:00:00"/>
        <d v="2050-12-31T00:00:00"/>
        <d v="2018-12-23T00:00:00"/>
        <d v="2019-03-01T00:00:00"/>
        <d v="2018-10-19T00:00:00"/>
        <d v="2020-05-08T00:00:00"/>
        <d v="2020-10-05T00:00:00"/>
        <d v="2021-04-01T00:00:00"/>
        <d v="2024-07-04T00:00:00"/>
        <d v="2027-04-21T00:00:00"/>
        <d v="2020-11-03T00:00:00"/>
        <d v="2023-04-05T00:00:00"/>
        <d v="2021-09-07T00:00:00"/>
        <d v="2023-09-07T00:00:00"/>
        <d v="2021-05-25T00:00:00"/>
        <d v="2022-07-21T00:00:00"/>
        <d v="2023-03-28T00:00:00"/>
        <d v="2019-11-10T00:00:00"/>
        <d v="2020-12-26T00:00:00"/>
        <d v="2020-06-15T00:00:00"/>
        <d v="2025-01-24T00:00:00"/>
        <d v="2021-09-29T00:00:00"/>
        <d v="2021-05-09T00:00:00"/>
        <d v="2020-05-04T00:00:00"/>
        <d v="2019-12-14T00:00:00"/>
        <d v="2020-11-20T00:00:00"/>
        <d v="2020-11-21T00:00:00"/>
        <d v="2021-10-02T00:00:00"/>
        <d v="2020-08-14T00:00:00"/>
        <d v="2021-03-14T00:00:00"/>
        <d v="2019-05-09T00:00:00"/>
        <d v="2018-11-27T00:00:00"/>
        <d v="2019-03-15T00:00:00"/>
        <d v="2019-03-14T00:00:00"/>
        <d v="2019-02-20T00:00:00"/>
        <d v="2019-09-12T00:00:00"/>
        <d v="2020-09-25T00:00:00"/>
        <d v="2020-06-26T00:00:00"/>
        <d v="2021-04-11T00:00:00"/>
        <d v="2020-07-04T00:00:00"/>
        <d v="2018-10-27T00:00:00"/>
        <d v="2019-06-24T00:00:00"/>
        <d v="2019-03-24T00:00:00"/>
        <d v="2019-09-07T00:00:00"/>
        <d v="2019-08-22T00:00:00"/>
        <d v="2020-10-31T00:00:00"/>
        <d v="2020-04-12T00:00:00"/>
        <d v="2020-07-15T00:00:00"/>
        <d v="2019-09-21T00:00:00"/>
        <d v="2020-03-14T00:00:00"/>
        <d v="2020-03-13T00:00:00"/>
        <d v="2019-04-28T00:00:00"/>
        <d v="2022-09-12T00:00:00"/>
        <d v="2019-05-25T00:00:00"/>
        <d v="2019-11-29T00:00:00"/>
        <d v="2019-05-15T00:00:00"/>
        <d v="2019-08-08T00:00:00"/>
        <d v="2020-05-09T00:00:00"/>
        <d v="2022-03-19T00:00:00"/>
        <d v="2018-12-03T00:00:00"/>
        <d v="2020-01-18T00:00:00"/>
        <d v="2019-07-05T00:00:00"/>
        <d v="2019-02-14T00:00:00"/>
        <d v="2019-02-28T00:00:00"/>
        <d v="2019-06-06T00:00:00"/>
        <d v="2019-09-05T00:00:00"/>
        <d v="2020-03-27T00:00:00"/>
        <d v="2021-07-14T00:00:00"/>
        <d v="2022-06-17T00:00:00"/>
        <d v="2022-12-17T00:00:00"/>
        <d v="2023-12-17T00:00:00"/>
        <d v="2022-04-10T00:00:00"/>
        <d v="2020-10-21T00:00:00"/>
        <d v="2022-09-07T00:00:00"/>
        <d v="2020-03-24T00:00:00"/>
        <d v="2024-03-24T00:00:00"/>
        <d v="2021-07-25T00:00:00"/>
        <d v="2023-03-18T00:00:00"/>
        <d v="2023-05-13T00:00:00"/>
        <d v="2024-04-12T00:00:00"/>
        <d v="2021-01-20T00:00:00"/>
        <d v="2023-01-20T00:00:00"/>
        <d v="2019-04-29T00:00:00"/>
        <d v="2020-05-22T00:00:00"/>
        <d v="2020-07-31T00:00:00"/>
        <d v="2020-05-11T00:00:00"/>
        <d v="2024-05-09T00:00:00"/>
        <d v="2020-02-17T00:00:00"/>
        <d v="2023-03-22T00:00:00"/>
        <d v="2026-12-17T00:00:00"/>
        <d v="2019-03-25T00:00:00"/>
        <d v="2019-09-20T00:00:00"/>
        <d v="2019-04-12T00:00:00"/>
        <d v="2019-04-19T00:00:00"/>
        <d v="2019-01-23T00:00:00"/>
        <d v="2020-02-26T00:00:00"/>
        <d v="2019-01-12T00:00:00"/>
        <d v="2019-03-08T00:00:00"/>
        <d v="2021-12-17T00:00:00"/>
        <d v="2022-09-27T00:00:00"/>
        <d v="2021-07-22T00:00:00"/>
        <d v="2019-08-15T00:00:00"/>
        <d v="2020-02-28T00:00:00"/>
        <d v="2020-11-27T00:00:00"/>
        <d v="2022-06-16T00:00:00"/>
        <d v="2020-04-21T00:00:00"/>
        <d v="2021-04-21T00:00:00"/>
        <d v="2022-04-21T00:00:00"/>
        <d v="2021-06-28T00:00:00"/>
        <d v="2022-11-10T00:00:00"/>
        <d v="2019-07-28T00:00:00"/>
        <d v="2021-01-26T00:00:00"/>
        <d v="2021-07-12T00:00:00"/>
        <d v="2021-01-27T00:00:00"/>
        <d v="2022-12-22T00:00:00"/>
        <d v="2021-06-24T00:00:00"/>
        <d v="2022-03-24T00:00:00"/>
        <d v="2020-07-21T00:00:00"/>
        <d v="2021-06-18T00:00:00"/>
        <d v="2019-08-03T00:00:00"/>
        <d v="2020-05-13T00:00:00"/>
        <d v="2022-08-03T00:00:00"/>
        <d v="2023-07-15T00:00:00"/>
        <d v="2019-11-07T00:00:00"/>
        <d v="2020-12-16T00:00:00"/>
        <d v="2020-07-29T00:00:00"/>
        <d v="2019-10-08T00:00:00"/>
        <d v="2019-08-05T00:00:00"/>
        <d v="2019-12-26T00:00:00"/>
        <d v="2021-06-08T00:00:00"/>
        <d v="2021-05-03T00:00:00"/>
        <d v="2019-10-28T00:00:00"/>
        <d v="2020-04-02T00:00:00"/>
        <d v="2020-04-28T00:00:00"/>
        <d v="2020-10-08T00:00:00"/>
        <d v="2026-02-26T00:00:00"/>
        <d v="2019-09-26T00:00:00"/>
        <d v="2019-10-31T00:00:00"/>
        <d v="2020-09-11T00:00:00"/>
        <d v="2020-10-17T00:00:00"/>
        <d v="2021-03-19T00:00:00"/>
        <d v="2021-05-31T00:00:00"/>
        <d v="2019-05-20T00:00:00"/>
        <d v="2020-11-15T00:00:00"/>
        <d v="2021-11-15T00:00:00"/>
        <d v="2019-06-26T00:00:00"/>
        <d v="2024-08-30T00:00:00"/>
        <d v="2024-04-29T00:00:00"/>
        <d v="2020-04-27T00:00:00"/>
        <d v="2019-12-20T00:00:00"/>
        <d v="2018-12-10T00:00:00"/>
        <d v="2025-12-12T00:00:00"/>
        <d v="2019-06-13T00:00:00"/>
        <d v="2023-06-16T00:00:00"/>
        <d v="2021-08-16T00:00:00"/>
        <d v="2023-08-24T00:00:00"/>
        <d v="2021-08-24T00:00:00"/>
        <d v="2019-05-29T00:00:00"/>
        <d v="2019-07-02T00:00:00"/>
        <d v="2019-02-21T00:00:00"/>
        <d v="2020-08-27T00:00:00"/>
        <d v="2022-05-11T00:00:00"/>
        <d v="2020-09-07T00:00:00"/>
        <d v="2021-03-18T00:00:00"/>
        <d v="2021-06-20T00:00:00"/>
        <d v="2021-06-22T00:00:00"/>
        <d v="2022-12-25T00:00:00"/>
        <d v="2022-10-31T00:00:00"/>
        <d v="2023-03-13T00:00:00"/>
        <d v="2023-06-29T00:00:00"/>
        <d v="2023-08-01T00:00:00"/>
        <d v="2028-03-22T00:00:00"/>
        <d v="2023-01-23T00:00:00"/>
        <d v="2023-02-01T00:00:00"/>
        <d v="2021-11-18T00:00:00"/>
        <d v="2019-06-12T00:00:00"/>
        <d v="2019-04-17T00:00:00"/>
        <d v="2021-10-01T00:00:00"/>
        <d v="2030-12-31T00:00:00"/>
        <d v="2019-06-20T00:00:00"/>
        <d v="2019-05-24T00:00:00"/>
        <d v="2019-08-26T00:00:00"/>
        <d v="2019-12-09T00:00:00"/>
      </sharedItems>
    </cacheField>
    <cacheField name="HLD_MarketValue" numFmtId="0">
      <sharedItems containsSemiMixedTypes="0" containsString="0" containsNumber="1" minValue="-4980696211.96" maxValue="7924456984.8000002"/>
    </cacheField>
    <cacheField name="HLD_AI" numFmtId="0">
      <sharedItems containsString="0" containsBlank="1" containsNumber="1" minValue="0" maxValue="97132461.5"/>
    </cacheField>
    <cacheField name="HLD_Cost" numFmtId="0">
      <sharedItems containsString="0" containsBlank="1" containsNumber="1" minValue="-4980696211.96" maxValue="7924448495.4200001"/>
    </cacheField>
    <cacheField name="HLD_ModDuration" numFmtId="0">
      <sharedItems containsString="0" containsBlank="1" containsNumber="1" minValue="0" maxValue="8.1917810000000006"/>
    </cacheField>
    <cacheField name="HLD_Principal" numFmtId="0">
      <sharedItems containsString="0" containsBlank="1" containsNumber="1" minValue="0" maxValue="7934000000" count="337">
        <n v="0"/>
        <n v="3000000000"/>
        <n v="370000000"/>
        <n v="50000000"/>
        <n v="30000000"/>
        <n v="35000000"/>
        <n v="500000000"/>
        <n v="400000000"/>
        <n v="70000000"/>
        <n v="300000000"/>
        <n v="650000000"/>
        <n v="150000000"/>
        <n v="68000000"/>
        <n v="200000000"/>
        <n v="157000000"/>
        <n v="40000000"/>
        <n v="25000000"/>
        <n v="10000000"/>
        <n v="347165.51"/>
        <n v="287668.24"/>
        <n v="497966.31"/>
        <n v="1500000000"/>
        <n v="1000000000"/>
        <n v="700000000"/>
        <n v="4000000000"/>
        <n v="6010000000"/>
        <n v="2500000000"/>
        <n v="52000000"/>
        <n v="3481000000"/>
        <n v="851000000"/>
        <n v="4263000000"/>
        <n v="167000000"/>
        <n v="2510000000"/>
        <n v="1050000000"/>
        <n v="1520000000"/>
        <n v="3130000000"/>
        <n v="759000000"/>
        <n v="3861000000"/>
        <n v="144000000"/>
        <n v="735000000"/>
        <n v="2759000000"/>
        <n v="2179000000"/>
        <n v="758000000"/>
        <n v="3691000000"/>
        <n v="4050000000"/>
        <n v="100000000"/>
        <m/>
        <n v="2000000000"/>
        <n v="80000000"/>
        <n v="85000000"/>
        <n v="60000000"/>
        <n v="98000000"/>
        <n v="90000000"/>
        <n v="670000000"/>
        <n v="160000000"/>
        <n v="310000000"/>
        <n v="75000000"/>
        <n v="14000000"/>
        <n v="9535.0499999999993"/>
        <n v="15694197.34"/>
        <n v="3759050.21"/>
        <n v="57730392.329999998"/>
        <n v="1360000000"/>
        <n v="1400000000"/>
        <n v="850000000"/>
        <n v="1489000000"/>
        <n v="1190000000"/>
        <n v="7000000000"/>
        <n v="571000000"/>
        <n v="5137000000"/>
        <n v="4499000000"/>
        <n v="886000000"/>
        <n v="3010000000"/>
        <n v="1061000000"/>
        <n v="5719000000"/>
        <n v="625000000"/>
        <n v="7934000000"/>
        <n v="2851000000"/>
        <n v="4745000000"/>
        <n v="997000000"/>
        <n v="7059000000"/>
        <n v="452000000"/>
        <n v="5126000000"/>
        <n v="5281000000"/>
        <n v="674000000"/>
        <n v="6017000000"/>
        <n v="410000000"/>
        <n v="6471000000"/>
        <n v="303000000"/>
        <n v="6468000000"/>
        <n v="5000000000"/>
        <n v="313000000"/>
        <n v="130000000"/>
        <n v="925000000"/>
        <n v="1159000000"/>
        <n v="13500000"/>
        <n v="363000000"/>
        <n v="616000000"/>
        <n v="113000000"/>
        <n v="450000000"/>
        <n v="1498000000"/>
        <n v="161900000"/>
        <n v="19000000"/>
        <n v="5450000000"/>
        <n v="498000000"/>
        <n v="1368000000"/>
        <n v="262000000"/>
        <n v="390000000"/>
        <n v="15000000"/>
        <n v="8000000"/>
        <n v="1000000"/>
        <n v="69000000"/>
        <n v="20000000"/>
        <n v="11275021.050000001"/>
        <n v="120000000"/>
        <n v="201000000"/>
        <n v="175000000"/>
        <n v="240000000"/>
        <n v="448000000"/>
        <n v="140000000"/>
        <n v="580000000"/>
        <n v="272000000"/>
        <n v="165000000"/>
        <n v="2041"/>
        <n v="21816728.559999999"/>
        <n v="960000000"/>
        <n v="600000000"/>
        <n v="202000000"/>
        <n v="1340000000"/>
        <n v="44000000"/>
        <n v="672000000"/>
        <n v="31000000"/>
        <n v="1004000000"/>
        <n v="339000000"/>
        <n v="666000000"/>
        <n v="211800000"/>
        <n v="663000000"/>
        <n v="820000000"/>
        <n v="205000000"/>
        <n v="327000000"/>
        <n v="570000000"/>
        <n v="265000000"/>
        <n v="5000000"/>
        <n v="4000000"/>
        <n v="195888.14"/>
        <n v="43832.959999999999"/>
        <n v="14034247.109999999"/>
        <n v="24185.75"/>
        <n v="10600000"/>
        <n v="2000000"/>
        <n v="7000000"/>
        <n v="11000000"/>
        <n v="21000000"/>
        <n v="28000000"/>
        <n v="17000000"/>
        <n v="9000000"/>
        <n v="3000000"/>
        <n v="12000000"/>
        <n v="1600000"/>
        <n v="102113.28"/>
        <n v="5310271.09"/>
        <n v="58000000"/>
        <n v="279000000"/>
        <n v="129000000"/>
        <n v="232000000"/>
        <n v="137000000"/>
        <n v="143000000"/>
        <n v="320000000"/>
        <n v="158000000"/>
        <n v="110000000"/>
        <n v="6000000"/>
        <n v="145000000"/>
        <n v="117000000"/>
        <n v="32000000"/>
        <n v="245000000"/>
        <n v="378000000"/>
        <n v="42100000"/>
        <n v="23000000"/>
        <n v="270000000"/>
        <n v="26000000"/>
        <n v="164000000"/>
        <n v="350000000"/>
        <n v="301000000"/>
        <n v="74900000"/>
        <n v="95017000"/>
        <n v="219400000"/>
        <n v="43000000"/>
        <n v="220000000"/>
        <n v="22000000"/>
        <n v="47000000"/>
        <n v="307000000"/>
        <n v="125000000"/>
        <n v="800000"/>
        <n v="14128950.960000001"/>
        <n v="39000000"/>
        <n v="83000000"/>
        <n v="462000000"/>
        <n v="74000000"/>
        <n v="536000000"/>
        <n v="37000000"/>
        <n v="87000000"/>
        <n v="127000000"/>
        <n v="18000000"/>
        <n v="253000000"/>
        <n v="261000000"/>
        <n v="194000000"/>
        <n v="133000000"/>
        <n v="624000000"/>
        <n v="393000000"/>
        <n v="344500000"/>
        <n v="76000000"/>
        <n v="142000000"/>
        <n v="112500000"/>
        <n v="57000000"/>
        <n v="16000000"/>
        <n v="95000000"/>
        <n v="13000000"/>
        <n v="33000000"/>
        <n v="42000000"/>
        <n v="34000000"/>
        <n v="230000000"/>
        <n v="280000000"/>
        <n v="132640424.20999999"/>
        <n v="1223000000"/>
        <n v="71000000"/>
        <n v="119000000"/>
        <n v="694000000"/>
        <n v="89000000"/>
        <n v="139000000"/>
        <n v="971000000"/>
        <n v="622000000"/>
        <n v="744000000"/>
        <n v="198000000"/>
        <n v="898000000"/>
        <n v="778000000"/>
        <n v="159260000"/>
        <n v="3511000000"/>
        <n v="583000000"/>
        <n v="1695000000"/>
        <n v="237000000"/>
        <n v="206000000"/>
        <n v="250000000"/>
        <n v="970000000"/>
        <n v="359000000"/>
        <n v="653000000"/>
        <n v="341000000"/>
        <n v="1418000000"/>
        <n v="424000000"/>
        <n v="718000000"/>
        <n v="146000000"/>
        <n v="602000000"/>
        <n v="59000000"/>
        <n v="51500000"/>
        <n v="135000000"/>
        <n v="48000000"/>
        <n v="511000000"/>
        <n v="595000000"/>
        <n v="234000000"/>
        <n v="210000000"/>
        <n v="231000000"/>
        <n v="811000000"/>
        <n v="489000000"/>
        <n v="45600000"/>
        <n v="560000000"/>
        <n v="86000000"/>
        <n v="577000000"/>
        <n v="514000000"/>
        <n v="238700000"/>
        <n v="278000000"/>
        <n v="62000000"/>
        <n v="381000000"/>
        <n v="667000000"/>
        <n v="299000000"/>
        <n v="148000000"/>
        <n v="1100000000"/>
        <n v="29000000"/>
        <n v="126500000"/>
        <n v="380000000"/>
        <n v="195000000"/>
        <n v="102500000"/>
        <n v="480000000"/>
        <n v="1120000000"/>
        <n v="225000000"/>
        <n v="45000000"/>
        <n v="385000000"/>
        <n v="477000000"/>
        <n v="777000000"/>
        <n v="4178800"/>
        <n v="4319400"/>
        <n v="44582800"/>
        <n v="10040400"/>
        <n v="34924000"/>
        <n v="12115600"/>
        <n v="20548700"/>
        <n v="10316124"/>
        <n v="5755100"/>
        <n v="83488700"/>
        <n v="4019056"/>
        <n v="10698300"/>
        <n v="3282200"/>
        <n v="6517300"/>
        <n v="16166000"/>
        <n v="27580133"/>
        <n v="33555654"/>
        <n v="10400000"/>
        <n v="115000000"/>
        <n v="492467.33"/>
        <n v="19153570.5"/>
        <n v="401000000"/>
        <n v="190000000"/>
        <n v="196000000"/>
        <n v="425000000"/>
        <n v="180000000"/>
        <n v="64000000"/>
        <n v="757000000"/>
        <n v="170000000"/>
        <n v="161000000"/>
        <n v="128000000"/>
        <n v="67000000"/>
        <n v="88000000"/>
        <n v="816000000"/>
        <n v="38000000"/>
        <n v="510000000"/>
        <n v="239500000"/>
        <n v="1500000"/>
        <n v="97000000"/>
        <n v="155400000"/>
        <n v="138000000"/>
        <n v="11200000"/>
        <n v="19300000"/>
        <n v="1501300.44"/>
        <n v="1172133.1599999999"/>
        <n v="4007009.58"/>
        <n v="65000000"/>
        <n v="6300000"/>
        <n v="46000000"/>
        <n v="5500000"/>
      </sharedItems>
    </cacheField>
    <cacheField name="HLD_YieldCost" numFmtId="0">
      <sharedItems containsSemiMixedTypes="0" containsString="0" containsNumber="1" minValue="-0.01" maxValue="4.5"/>
    </cacheField>
    <cacheField name="SEC_Class" numFmtId="0">
      <sharedItems containsBlank="1"/>
    </cacheField>
    <cacheField name="SEC_Currency" numFmtId="0">
      <sharedItems containsBlank="1"/>
    </cacheField>
    <cacheField name="SEC_Issue_Date" numFmtId="14">
      <sharedItems containsNonDate="0" containsDate="1" containsString="0" containsBlank="1" minDate="1900-01-01T00:00:00" maxDate="2018-10-12T00:00:00"/>
    </cacheField>
    <cacheField name="IssTerm" numFmtId="0">
      <sharedItems containsSemiMixedTypes="0" containsString="0" containsNumber="1" containsInteger="1" minValue="-43384" maxValue="46371" count="191">
        <n v="-2"/>
        <n v="361"/>
        <n v="279"/>
        <n v="365"/>
        <n v="363"/>
        <n v="362"/>
        <n v="360"/>
        <n v="364"/>
        <n v="367"/>
        <n v="96"/>
        <n v="186"/>
        <n v="180"/>
        <n v="2130"/>
        <n v="4661"/>
        <n v="5602"/>
        <n v="105"/>
        <n v="89"/>
        <n v="270"/>
        <n v="91"/>
        <n v="182"/>
        <n v="14"/>
        <n v="15"/>
        <n v="1826"/>
        <n v="43557"/>
        <n v="43564"/>
        <n v="43407"/>
        <n v="43541"/>
        <n v="43578"/>
        <n v="43593"/>
        <n v="43408"/>
        <n v="43387"/>
        <n v="-43384"/>
        <n v="-43223"/>
        <n v="-43314"/>
        <n v="-43230"/>
        <n v="-43321"/>
        <n v="-43237"/>
        <n v="-43328"/>
        <n v="-43251"/>
        <n v="-43300"/>
        <n v="-43382"/>
        <n v="-43216"/>
        <n v="-43307"/>
        <n v="0"/>
        <n v="366"/>
        <n v="371"/>
        <n v="94"/>
        <n v="179"/>
        <n v="183"/>
        <n v="2250"/>
        <n v="2582"/>
        <n v="2579"/>
        <n v="2544"/>
        <n v="184"/>
        <n v="240"/>
        <n v="134"/>
        <n v="266"/>
        <n v="224"/>
        <n v="88"/>
        <n v="56"/>
        <n v="188"/>
        <n v="269"/>
        <n v="1095"/>
        <n v="914"/>
        <n v="267"/>
        <n v="268"/>
        <n v="731"/>
        <n v="549"/>
        <n v="1280"/>
        <n v="1096"/>
        <n v="185"/>
        <n v="546"/>
        <n v="368"/>
        <n v="246"/>
        <n v="2557"/>
        <n v="1278"/>
        <n v="43450"/>
        <n v="43439"/>
        <n v="43494"/>
        <n v="43495"/>
        <n v="43507"/>
        <n v="43528"/>
        <n v="43543"/>
        <n v="43544"/>
        <n v="43549"/>
        <n v="43550"/>
        <n v="43585"/>
        <n v="43606"/>
        <n v="43614"/>
        <n v="43393"/>
        <n v="43534"/>
        <n v="43421"/>
        <n v="43422"/>
        <n v="43428"/>
        <n v="43396"/>
        <n v="43471"/>
        <n v="43472"/>
        <n v="43479"/>
        <n v="43502"/>
        <n v="43529"/>
        <n v="43562"/>
        <n v="43579"/>
        <n v="43591"/>
        <n v="43596"/>
        <n v="43639"/>
        <n v="43642"/>
        <n v="43737"/>
        <n v="43738"/>
        <n v="-43244"/>
        <n v="-43209"/>
        <n v="3984"/>
        <n v="13906"/>
        <n v="3032"/>
        <n v="1279"/>
        <n v="5468"/>
        <n v="5600"/>
        <n v="1172"/>
        <n v="3653"/>
        <n v="3652"/>
        <n v="2556"/>
        <n v="2922"/>
        <n v="1461"/>
        <n v="730"/>
        <n v="1254"/>
        <n v="1827"/>
        <n v="140"/>
        <n v="4013"/>
        <n v="2192"/>
        <n v="2191"/>
        <n v="1276"/>
        <n v="1099"/>
        <n v="1029"/>
        <n v="2550"/>
        <n v="1277"/>
        <n v="883"/>
        <n v="5585"/>
        <n v="2163"/>
        <n v="1961"/>
        <n v="1948"/>
        <n v="1274"/>
        <n v="46371"/>
        <n v="-43363"/>
        <n v="-40738"/>
        <n v="372"/>
        <n v="3660"/>
        <n v="4383"/>
        <n v="2681"/>
        <n v="4046"/>
        <n v="1492"/>
        <n v="1645"/>
        <n v="3470"/>
        <n v="2723"/>
        <n v="3137"/>
        <n v="5478"/>
        <n v="2545"/>
        <n v="2527"/>
        <n v="1453"/>
        <n v="43432"/>
        <n v="43547"/>
        <n v="43395"/>
        <n v="43726"/>
        <n v="46001"/>
        <n v="43627"/>
        <n v="45091"/>
        <n v="43442"/>
        <n v="44400"/>
        <n v="44422"/>
        <n v="45160"/>
        <n v="44430"/>
        <n v="177"/>
        <n v="370"/>
        <n v="1746"/>
        <n v="1801"/>
        <n v="1796"/>
        <n v="1811"/>
        <n v="3867"/>
        <n v="1819"/>
        <n v="2009"/>
        <n v="4778"/>
        <n v="4943"/>
        <n v="43410"/>
        <n v="43382"/>
        <n v="43570"/>
        <n v="43612"/>
        <n v="43626"/>
        <n v="43634"/>
        <n v="43646"/>
        <n v="44468"/>
        <n v="44947"/>
        <n v="-43349"/>
        <n v="938"/>
      </sharedItems>
    </cacheField>
    <cacheField name="RefRng" numFmtId="1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3">
  <r>
    <d v="2018-10-10T00:00:00"/>
    <x v="0"/>
    <s v="FIXED INCOME"/>
    <x v="0"/>
    <m/>
    <x v="0"/>
    <x v="0"/>
    <m/>
    <x v="0"/>
    <n v="165105488.38999999"/>
    <n v="5140388.8600000003"/>
    <n v="165105488.38999999"/>
    <n v="0"/>
    <x v="0"/>
    <n v="0"/>
    <s v="Cash Bal"/>
    <s v="THB"/>
    <d v="1900-01-01T00:00:00"/>
    <x v="0"/>
    <s v="SCBSFF43383"/>
  </r>
  <r>
    <d v="2018-10-10T00:00:00"/>
    <x v="0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SFF43383"/>
  </r>
  <r>
    <d v="2018-10-10T00:00:00"/>
    <x v="0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SFF43383"/>
  </r>
  <r>
    <d v="2018-10-10T00:00:00"/>
    <x v="0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SFF43383"/>
  </r>
  <r>
    <d v="2018-10-10T00:00:00"/>
    <x v="0"/>
    <s v="FIXED INCOME"/>
    <x v="0"/>
    <m/>
    <x v="4"/>
    <x v="1"/>
    <s v="AA+(tha)"/>
    <x v="0"/>
    <n v="342790.48"/>
    <n v="376.83"/>
    <n v="342790.48"/>
    <n v="0"/>
    <x v="0"/>
    <n v="0"/>
    <s v="Cash Bal"/>
    <s v="THB"/>
    <d v="1900-01-01T00:00:00"/>
    <x v="0"/>
    <s v="SCBSFF43383"/>
  </r>
  <r>
    <d v="2018-10-10T00:00:00"/>
    <x v="0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SFF43383"/>
  </r>
  <r>
    <d v="2018-10-10T00:00:00"/>
    <x v="0"/>
    <s v="FIXED INCOME"/>
    <x v="1"/>
    <m/>
    <x v="6"/>
    <x v="2"/>
    <s v="AA-"/>
    <x v="1"/>
    <n v="3000000000"/>
    <n v="19800000"/>
    <n v="3000000000"/>
    <n v="0.58609500000000003"/>
    <x v="1"/>
    <n v="1.65"/>
    <s v="Bond"/>
    <s v="THB"/>
    <d v="2018-05-18T00:00:00"/>
    <x v="1"/>
    <s v="SCBSFF43383"/>
  </r>
  <r>
    <d v="2018-10-10T00:00:00"/>
    <x v="0"/>
    <s v="FIXED INCOME"/>
    <x v="1"/>
    <m/>
    <x v="7"/>
    <x v="2"/>
    <s v="AA-"/>
    <x v="2"/>
    <n v="370000000"/>
    <n v="602136.99"/>
    <n v="370000000"/>
    <n v="0.66121099999999999"/>
    <x v="2"/>
    <n v="1.65"/>
    <s v="Bond"/>
    <s v="THB"/>
    <d v="2018-09-05T00:00:00"/>
    <x v="2"/>
    <s v="SCBSFF43383"/>
  </r>
  <r>
    <d v="2018-10-10T00:00:00"/>
    <x v="0"/>
    <s v="FIXED INCOME"/>
    <x v="1"/>
    <m/>
    <x v="8"/>
    <x v="3"/>
    <s v="A"/>
    <x v="3"/>
    <n v="1892445000"/>
    <n v="404772.96"/>
    <n v="1899500000"/>
    <n v="0.58871600000000002"/>
    <x v="3"/>
    <n v="0.05"/>
    <s v="Bond"/>
    <s v="EURbb"/>
    <d v="2018-05-10T00:00:00"/>
    <x v="3"/>
    <s v="SCBSFF43383"/>
  </r>
  <r>
    <d v="2018-10-10T00:00:00"/>
    <x v="0"/>
    <s v="FIXED INCOME"/>
    <x v="1"/>
    <m/>
    <x v="9"/>
    <x v="3"/>
    <s v="A"/>
    <x v="4"/>
    <n v="988350000"/>
    <n v="14533961.289999999"/>
    <n v="946500000"/>
    <n v="0.53802399999999995"/>
    <x v="4"/>
    <n v="3.17"/>
    <s v="Bond"/>
    <s v="USDbb"/>
    <d v="2018-04-27T00:00:00"/>
    <x v="4"/>
    <s v="SCBSFF43383"/>
  </r>
  <r>
    <d v="2018-10-10T00:00:00"/>
    <x v="0"/>
    <s v="FIXED INCOME"/>
    <x v="1"/>
    <m/>
    <x v="10"/>
    <x v="4"/>
    <s v="A+"/>
    <x v="5"/>
    <n v="1153075000"/>
    <n v="25978071.890000001"/>
    <n v="1158500000"/>
    <n v="7.4868000000000004E-2"/>
    <x v="5"/>
    <n v="2.4066999999999998"/>
    <s v="Bond"/>
    <s v="USDbb"/>
    <d v="2017-11-08T00:00:00"/>
    <x v="4"/>
    <s v="SCBSFF43383"/>
  </r>
  <r>
    <d v="2018-10-10T00:00:00"/>
    <x v="0"/>
    <s v="FIXED INCOME"/>
    <x v="1"/>
    <m/>
    <x v="11"/>
    <x v="4"/>
    <s v="A+"/>
    <x v="6"/>
    <n v="1647250000"/>
    <n v="39204550"/>
    <n v="1654000000"/>
    <n v="1.6660000000000001E-2"/>
    <x v="3"/>
    <n v="2.4"/>
    <s v="Bond"/>
    <s v="USDbb"/>
    <d v="2017-10-19T00:00:00"/>
    <x v="5"/>
    <s v="SCBSFF43383"/>
  </r>
  <r>
    <d v="2018-10-10T00:00:00"/>
    <x v="0"/>
    <s v="FIXED INCOME"/>
    <x v="1"/>
    <m/>
    <x v="12"/>
    <x v="5"/>
    <s v="A"/>
    <x v="7"/>
    <n v="2377150000"/>
    <n v="54971593.75"/>
    <n v="2477500000"/>
    <n v="0.47859600000000002"/>
    <x v="6"/>
    <n v="4.5"/>
    <s v="Bond"/>
    <s v="CNHbb"/>
    <d v="2018-04-09T00:00:00"/>
    <x v="6"/>
    <s v="SCBSFF43383"/>
  </r>
  <r>
    <d v="2018-10-10T00:00:00"/>
    <x v="0"/>
    <s v="FIXED INCOME"/>
    <x v="1"/>
    <m/>
    <x v="13"/>
    <x v="5"/>
    <s v="A"/>
    <x v="8"/>
    <n v="1901720000"/>
    <n v="43018491.170000002"/>
    <n v="1981400000"/>
    <n v="0.49733100000000002"/>
    <x v="7"/>
    <n v="4.45"/>
    <s v="Bond"/>
    <s v="CNHbb"/>
    <d v="2018-04-11T00:00:00"/>
    <x v="3"/>
    <s v="SCBSFF43383"/>
  </r>
  <r>
    <d v="2018-10-10T00:00:00"/>
    <x v="0"/>
    <s v="FIXED INCOME"/>
    <x v="1"/>
    <m/>
    <x v="14"/>
    <x v="5"/>
    <s v="A"/>
    <x v="4"/>
    <n v="2649423000"/>
    <n v="746254.15"/>
    <n v="2691500000"/>
    <n v="0.54704299999999995"/>
    <x v="8"/>
    <n v="0.06"/>
    <s v="Bond"/>
    <s v="EURbb"/>
    <d v="2018-04-25T00:00:00"/>
    <x v="3"/>
    <s v="SCBSFF43383"/>
  </r>
  <r>
    <d v="2018-10-10T00:00:00"/>
    <x v="0"/>
    <s v="FIXED INCOME"/>
    <x v="1"/>
    <m/>
    <x v="15"/>
    <x v="6"/>
    <s v="AAA(tha)"/>
    <x v="9"/>
    <n v="300000000"/>
    <n v="964109.59"/>
    <n v="300000000"/>
    <n v="0.79996500000000004"/>
    <x v="9"/>
    <n v="1.7"/>
    <s v="Bond"/>
    <s v="THB"/>
    <d v="2018-08-03T00:00:00"/>
    <x v="7"/>
    <s v="SCBSFF43383"/>
  </r>
  <r>
    <d v="2018-10-10T00:00:00"/>
    <x v="0"/>
    <s v="FIXED INCOME"/>
    <x v="1"/>
    <m/>
    <x v="16"/>
    <x v="6"/>
    <s v="AAA(tha)"/>
    <x v="10"/>
    <n v="650000000"/>
    <n v="1998082.19"/>
    <n v="650000000"/>
    <n v="0.81062500000000004"/>
    <x v="10"/>
    <n v="1.7"/>
    <s v="Bond"/>
    <s v="THB"/>
    <d v="2018-08-06T00:00:00"/>
    <x v="3"/>
    <s v="SCBSFF43383"/>
  </r>
  <r>
    <d v="2018-10-10T00:00:00"/>
    <x v="0"/>
    <s v="FIXED INCOME"/>
    <x v="1"/>
    <m/>
    <x v="17"/>
    <x v="6"/>
    <s v="AAA(tha)"/>
    <x v="11"/>
    <n v="150000000"/>
    <n v="440136.99"/>
    <n v="150000000"/>
    <n v="0.81861799999999996"/>
    <x v="11"/>
    <n v="1.7"/>
    <s v="Bond"/>
    <s v="THB"/>
    <d v="2018-08-09T00:00:00"/>
    <x v="3"/>
    <s v="SCBSFF43383"/>
  </r>
  <r>
    <d v="2018-10-10T00:00:00"/>
    <x v="0"/>
    <s v="FIXED INCOME"/>
    <x v="1"/>
    <m/>
    <x v="18"/>
    <x v="6"/>
    <s v="AAA(tha)"/>
    <x v="12"/>
    <n v="70000000"/>
    <n v="923616.44"/>
    <n v="70000000"/>
    <n v="0.17757600000000001"/>
    <x v="8"/>
    <n v="1.6"/>
    <s v="Bond"/>
    <s v="THB"/>
    <d v="2017-12-14T00:00:00"/>
    <x v="3"/>
    <s v="SCBSFF43383"/>
  </r>
  <r>
    <d v="2018-10-10T00:00:00"/>
    <x v="0"/>
    <s v="FIXED INCOME"/>
    <x v="1"/>
    <m/>
    <x v="19"/>
    <x v="6"/>
    <s v="AAA(tha)"/>
    <x v="13"/>
    <n v="68000000"/>
    <n v="798860.27"/>
    <n v="68000000"/>
    <n v="0.267345"/>
    <x v="12"/>
    <n v="1.6"/>
    <s v="Bond"/>
    <s v="THB"/>
    <d v="2018-01-16T00:00:00"/>
    <x v="3"/>
    <s v="SCBSFF43383"/>
  </r>
  <r>
    <d v="2018-10-10T00:00:00"/>
    <x v="0"/>
    <s v="FIXED INCOME"/>
    <x v="1"/>
    <m/>
    <x v="20"/>
    <x v="6"/>
    <s v="AAA(tha)"/>
    <x v="14"/>
    <n v="200000000"/>
    <n v="2340821.92"/>
    <n v="200000000"/>
    <n v="0.270061"/>
    <x v="13"/>
    <n v="1.6"/>
    <s v="Bond"/>
    <s v="THB"/>
    <d v="2018-01-17T00:00:00"/>
    <x v="3"/>
    <s v="SCBSFF43383"/>
  </r>
  <r>
    <d v="2018-10-10T00:00:00"/>
    <x v="0"/>
    <s v="FIXED INCOME"/>
    <x v="1"/>
    <m/>
    <x v="21"/>
    <x v="6"/>
    <s v="AAA(tha)"/>
    <x v="15"/>
    <n v="157000000"/>
    <n v="1830663.01"/>
    <n v="157000000"/>
    <n v="0.27277699999999999"/>
    <x v="14"/>
    <n v="1.6"/>
    <s v="Bond"/>
    <s v="THB"/>
    <d v="2018-01-18T00:00:00"/>
    <x v="3"/>
    <s v="SCBSFF43383"/>
  </r>
  <r>
    <d v="2018-10-10T00:00:00"/>
    <x v="0"/>
    <s v="FIXED INCOME"/>
    <x v="1"/>
    <m/>
    <x v="22"/>
    <x v="6"/>
    <s v="AAA(tha)"/>
    <x v="16"/>
    <n v="300000000"/>
    <n v="3484931.51"/>
    <n v="300000000"/>
    <n v="0.28092299999999998"/>
    <x v="9"/>
    <n v="1.6"/>
    <s v="Bond"/>
    <s v="THB"/>
    <d v="2018-01-19T00:00:00"/>
    <x v="8"/>
    <s v="SCBSFF43383"/>
  </r>
  <r>
    <d v="2018-10-10T00:00:00"/>
    <x v="0"/>
    <s v="FIXED INCOME"/>
    <x v="1"/>
    <m/>
    <x v="23"/>
    <x v="3"/>
    <s v="A"/>
    <x v="6"/>
    <n v="1317800000"/>
    <n v="9360406.6099999994"/>
    <n v="1326400000"/>
    <n v="1.6659E-2"/>
    <x v="15"/>
    <n v="2.81"/>
    <s v="Bond"/>
    <s v="USDbb"/>
    <d v="2018-07-12T00:00:00"/>
    <x v="9"/>
    <s v="SCBSFF43383"/>
  </r>
  <r>
    <d v="2018-10-10T00:00:00"/>
    <x v="0"/>
    <s v="FIXED INCOME"/>
    <x v="1"/>
    <m/>
    <x v="24"/>
    <x v="5"/>
    <s v="A"/>
    <x v="17"/>
    <n v="946222500"/>
    <n v="169268.69"/>
    <n v="950000000"/>
    <n v="7.2220000000000006E-2"/>
    <x v="16"/>
    <n v="0.04"/>
    <s v="Bond"/>
    <s v="EURbb"/>
    <d v="2018-05-03T00:00:00"/>
    <x v="10"/>
    <s v="SCBSFF43383"/>
  </r>
  <r>
    <d v="2018-10-10T00:00:00"/>
    <x v="0"/>
    <s v="FIXED INCOME"/>
    <x v="1"/>
    <m/>
    <x v="25"/>
    <x v="5"/>
    <s v="A"/>
    <x v="18"/>
    <n v="378489000"/>
    <n v="11039.26"/>
    <n v="380000000"/>
    <n v="0.44434600000000002"/>
    <x v="17"/>
    <n v="0.05"/>
    <s v="Bond"/>
    <s v="EURbb"/>
    <d v="2018-09-20T00:00:00"/>
    <x v="11"/>
    <s v="SCBSFF43383"/>
  </r>
  <r>
    <d v="2018-10-10T00:00:00"/>
    <x v="0"/>
    <s v="FIXED INCOME"/>
    <x v="1"/>
    <m/>
    <x v="26"/>
    <x v="7"/>
    <s v="A"/>
    <x v="19"/>
    <n v="347165.51"/>
    <n v="770.42"/>
    <n v="347165.51"/>
    <n v="0"/>
    <x v="18"/>
    <n v="0"/>
    <s v="Bond"/>
    <s v="THB"/>
    <d v="2015-03-03T00:00:00"/>
    <x v="12"/>
    <s v="SCBSFF43383"/>
  </r>
  <r>
    <d v="2018-10-10T00:00:00"/>
    <x v="0"/>
    <s v="FIXED INCOME"/>
    <x v="1"/>
    <m/>
    <x v="27"/>
    <x v="8"/>
    <s v="AA+(tha)"/>
    <x v="19"/>
    <n v="287668.24"/>
    <n v="301.45999999999998"/>
    <n v="287668.24"/>
    <n v="0"/>
    <x v="19"/>
    <n v="0"/>
    <s v="Bond"/>
    <s v="THB"/>
    <d v="2008-03-28T00:00:00"/>
    <x v="13"/>
    <s v="SCBSFF43383"/>
  </r>
  <r>
    <d v="2018-10-10T00:00:00"/>
    <x v="0"/>
    <s v="FIXED INCOME"/>
    <x v="1"/>
    <m/>
    <x v="28"/>
    <x v="9"/>
    <s v="AAA(tha)"/>
    <x v="19"/>
    <n v="497966.31"/>
    <n v="1182.8399999999999"/>
    <n v="497966.31"/>
    <n v="0"/>
    <x v="20"/>
    <n v="0"/>
    <s v="Bond"/>
    <s v="THB"/>
    <d v="2005-08-30T00:00:00"/>
    <x v="14"/>
    <s v="SCBSFF43383"/>
  </r>
  <r>
    <d v="2018-10-10T00:00:00"/>
    <x v="0"/>
    <s v="FIXED INCOME"/>
    <x v="1"/>
    <m/>
    <x v="29"/>
    <x v="1"/>
    <s v="AA+(tha)"/>
    <x v="20"/>
    <n v="1500000000"/>
    <n v="1294520.55"/>
    <n v="1500000000"/>
    <n v="0.232067"/>
    <x v="21"/>
    <n v="1.5"/>
    <s v="Bond"/>
    <s v="THB"/>
    <d v="2018-09-20T00:00:00"/>
    <x v="15"/>
    <s v="SCBSFF43383"/>
  </r>
  <r>
    <d v="2018-10-10T00:00:00"/>
    <x v="0"/>
    <s v="FIXED INCOME"/>
    <x v="2"/>
    <m/>
    <x v="30"/>
    <x v="10"/>
    <s v="AA+(tha)"/>
    <x v="21"/>
    <n v="996842880"/>
    <m/>
    <n v="996842880"/>
    <n v="0.18568699999999999"/>
    <x v="22"/>
    <n v="1.7"/>
    <s v="Bond"/>
    <s v="THB"/>
    <d v="2018-09-20T00:00:00"/>
    <x v="16"/>
    <s v="SCBSFF43383"/>
  </r>
  <r>
    <d v="2018-10-10T00:00:00"/>
    <x v="0"/>
    <s v="FIXED INCOME"/>
    <x v="2"/>
    <m/>
    <x v="31"/>
    <x v="11"/>
    <s v="A"/>
    <x v="22"/>
    <n v="149093670"/>
    <m/>
    <n v="149107804.5"/>
    <n v="0.35401199999999999"/>
    <x v="11"/>
    <n v="1.68"/>
    <s v="Bond"/>
    <s v="THB"/>
    <d v="2018-05-24T00:00:00"/>
    <x v="17"/>
    <s v="SCBSFF43383"/>
  </r>
  <r>
    <d v="2018-10-10T00:00:00"/>
    <x v="0"/>
    <s v="FIXED INCOME"/>
    <x v="3"/>
    <m/>
    <x v="32"/>
    <x v="12"/>
    <s v="BBB+"/>
    <x v="23"/>
    <n v="699218408"/>
    <m/>
    <n v="699218408"/>
    <n v="9.3044000000000002E-2"/>
    <x v="23"/>
    <n v="1.2"/>
    <s v="Bond"/>
    <s v="THB"/>
    <d v="2017-11-15T00:00:00"/>
    <x v="7"/>
    <s v="SCBSFF43383"/>
  </r>
  <r>
    <d v="2018-10-10T00:00:00"/>
    <x v="0"/>
    <s v="FIXED INCOME"/>
    <x v="3"/>
    <m/>
    <x v="33"/>
    <x v="12"/>
    <s v="BBB+"/>
    <x v="24"/>
    <n v="9921486.0999999996"/>
    <m/>
    <n v="9924303.4000000004"/>
    <n v="0.47296899999999997"/>
    <x v="17"/>
    <n v="1.6"/>
    <s v="Bond"/>
    <s v="THB"/>
    <d v="2018-04-04T00:00:00"/>
    <x v="7"/>
    <s v="SCBSFF43383"/>
  </r>
  <r>
    <d v="2018-10-10T00:00:00"/>
    <x v="0"/>
    <s v="FIXED INCOME"/>
    <x v="4"/>
    <m/>
    <x v="34"/>
    <x v="13"/>
    <m/>
    <x v="25"/>
    <n v="3992037800"/>
    <m/>
    <n v="3991777360"/>
    <n v="0.153115"/>
    <x v="24"/>
    <n v="1.3426089999999999"/>
    <s v="Bond"/>
    <s v="THB"/>
    <d v="2018-09-06T00:00:00"/>
    <x v="18"/>
    <s v="SCBSFF43383"/>
  </r>
  <r>
    <d v="2018-10-10T00:00:00"/>
    <x v="0"/>
    <s v="FIXED INCOME"/>
    <x v="4"/>
    <m/>
    <x v="35"/>
    <x v="13"/>
    <m/>
    <x v="26"/>
    <n v="5998064440.5"/>
    <m/>
    <n v="5997946163.6999998"/>
    <n v="0.17219100000000001"/>
    <x v="25"/>
    <n v="1.1643289999999999"/>
    <s v="Bond"/>
    <s v="THB"/>
    <d v="2018-09-13T00:00:00"/>
    <x v="18"/>
    <s v="SCBSFF43383"/>
  </r>
  <r>
    <d v="2018-10-10T00:00:00"/>
    <x v="0"/>
    <s v="FIXED INCOME"/>
    <x v="4"/>
    <m/>
    <x v="36"/>
    <x v="13"/>
    <m/>
    <x v="27"/>
    <n v="2493997325"/>
    <m/>
    <n v="2493415575"/>
    <n v="0.19125700000000001"/>
    <x v="26"/>
    <n v="1.376952"/>
    <s v="Bond"/>
    <s v="THB"/>
    <d v="2018-09-20T00:00:00"/>
    <x v="18"/>
    <s v="SCBSFF43383"/>
  </r>
  <r>
    <d v="2018-10-10T00:00:00"/>
    <x v="0"/>
    <s v="FIXED INCOME"/>
    <x v="4"/>
    <m/>
    <x v="37"/>
    <x v="13"/>
    <m/>
    <x v="28"/>
    <n v="51962704.560000002"/>
    <m/>
    <n v="51962704.560000002"/>
    <n v="5.7493000000000002E-2"/>
    <x v="27"/>
    <n v="1.2475000000000001"/>
    <s v="Bond"/>
    <s v="THB"/>
    <d v="2018-05-03T00:00:00"/>
    <x v="19"/>
    <s v="SCBSFF43383"/>
  </r>
  <r>
    <d v="2018-10-10T00:00:00"/>
    <x v="0"/>
    <s v="FIXED INCOME"/>
    <x v="4"/>
    <m/>
    <x v="38"/>
    <x v="13"/>
    <m/>
    <x v="28"/>
    <n v="3478427993.5300002"/>
    <m/>
    <n v="3478413651.8099999"/>
    <n v="5.7493000000000002E-2"/>
    <x v="28"/>
    <n v="1.292341"/>
    <s v="Bond"/>
    <s v="THB"/>
    <d v="2018-08-02T00:00:00"/>
    <x v="18"/>
    <s v="SCBSFF43383"/>
  </r>
  <r>
    <d v="2018-10-10T00:00:00"/>
    <x v="0"/>
    <s v="FIXED INCOME"/>
    <x v="4"/>
    <m/>
    <x v="39"/>
    <x v="13"/>
    <m/>
    <x v="29"/>
    <n v="850254158.07000005"/>
    <m/>
    <n v="850254158.07000005"/>
    <n v="7.6638999999999999E-2"/>
    <x v="29"/>
    <n v="1.1434930000000001"/>
    <s v="Bond"/>
    <s v="THB"/>
    <d v="2018-05-10T00:00:00"/>
    <x v="19"/>
    <s v="SCBSFF43383"/>
  </r>
  <r>
    <d v="2018-10-10T00:00:00"/>
    <x v="0"/>
    <s v="FIXED INCOME"/>
    <x v="4"/>
    <m/>
    <x v="40"/>
    <x v="13"/>
    <m/>
    <x v="29"/>
    <n v="4258840036.71"/>
    <m/>
    <n v="4258813819.2600002"/>
    <n v="7.6638999999999999E-2"/>
    <x v="30"/>
    <n v="1.281339"/>
    <s v="Bond"/>
    <s v="THB"/>
    <d v="2018-08-09T00:00:00"/>
    <x v="18"/>
    <s v="SCBSFF43383"/>
  </r>
  <r>
    <d v="2018-10-10T00:00:00"/>
    <x v="0"/>
    <s v="FIXED INCOME"/>
    <x v="4"/>
    <m/>
    <x v="41"/>
    <x v="13"/>
    <m/>
    <x v="30"/>
    <n v="166809518.13"/>
    <m/>
    <n v="166809518.13"/>
    <n v="9.5774999999999999E-2"/>
    <x v="31"/>
    <n v="1.1908529999999999"/>
    <s v="Bond"/>
    <s v="THB"/>
    <d v="2018-05-17T00:00:00"/>
    <x v="19"/>
    <s v="SCBSFF43383"/>
  </r>
  <r>
    <d v="2018-10-10T00:00:00"/>
    <x v="0"/>
    <s v="FIXED INCOME"/>
    <x v="4"/>
    <m/>
    <x v="42"/>
    <x v="13"/>
    <m/>
    <x v="30"/>
    <n v="2506964958.1999998"/>
    <m/>
    <n v="2506962297.5999999"/>
    <n v="9.5776E-2"/>
    <x v="32"/>
    <n v="1.2636369999999999"/>
    <s v="Bond"/>
    <s v="THB"/>
    <d v="2018-08-16T00:00:00"/>
    <x v="18"/>
    <s v="SCBSFF43383"/>
  </r>
  <r>
    <d v="2018-10-10T00:00:00"/>
    <x v="0"/>
    <s v="FIXED INCOME"/>
    <x v="4"/>
    <m/>
    <x v="43"/>
    <x v="13"/>
    <m/>
    <x v="31"/>
    <n v="1048524886.5"/>
    <m/>
    <n v="1048524886.5"/>
    <n v="0.114899"/>
    <x v="33"/>
    <n v="1.2226189999999999"/>
    <s v="Bond"/>
    <s v="THB"/>
    <d v="2018-05-24T00:00:00"/>
    <x v="19"/>
    <s v="SCBSFF43383"/>
  </r>
  <r>
    <d v="2018-10-10T00:00:00"/>
    <x v="0"/>
    <s v="FIXED INCOME"/>
    <x v="4"/>
    <m/>
    <x v="44"/>
    <x v="13"/>
    <m/>
    <x v="31"/>
    <n v="3994231880"/>
    <m/>
    <n v="3994106240"/>
    <n v="0.114899"/>
    <x v="24"/>
    <n v="1.282381"/>
    <s v="Bond"/>
    <s v="THB"/>
    <d v="2018-08-23T00:00:00"/>
    <x v="18"/>
    <s v="SCBSFF43383"/>
  </r>
  <r>
    <d v="2018-10-10T00:00:00"/>
    <x v="0"/>
    <s v="FIXED INCOME"/>
    <x v="4"/>
    <m/>
    <x v="45"/>
    <x v="13"/>
    <m/>
    <x v="32"/>
    <n v="1517670356.8"/>
    <m/>
    <n v="1517670356.8"/>
    <n v="0.13400799999999999"/>
    <x v="34"/>
    <n v="1.1434280000000001"/>
    <s v="Bond"/>
    <s v="THB"/>
    <d v="2018-05-31T00:00:00"/>
    <x v="19"/>
    <s v="SCBSFF43383"/>
  </r>
  <r>
    <d v="2018-10-10T00:00:00"/>
    <x v="0"/>
    <s v="FIXED INCOME"/>
    <x v="4"/>
    <m/>
    <x v="46"/>
    <x v="13"/>
    <m/>
    <x v="32"/>
    <n v="3125007681.3000002"/>
    <m/>
    <n v="3124794497"/>
    <n v="0.13401399999999999"/>
    <x v="35"/>
    <n v="1.240904"/>
    <s v="Bond"/>
    <s v="THB"/>
    <d v="2018-08-30T00:00:00"/>
    <x v="18"/>
    <s v="SCBSFF43383"/>
  </r>
  <r>
    <d v="2018-10-10T00:00:00"/>
    <x v="0"/>
    <s v="FIXED INCOME"/>
    <x v="4"/>
    <m/>
    <x v="47"/>
    <x v="13"/>
    <m/>
    <x v="33"/>
    <n v="759000000"/>
    <m/>
    <n v="759000000"/>
    <n v="2.7399999999999998E-3"/>
    <x v="36"/>
    <n v="1.1682079999999999"/>
    <s v="Bond"/>
    <s v="THB"/>
    <d v="2018-04-12T00:00:00"/>
    <x v="19"/>
    <s v="SCBSFF43383"/>
  </r>
  <r>
    <d v="2018-10-10T00:00:00"/>
    <x v="0"/>
    <s v="FIXED INCOME"/>
    <x v="4"/>
    <m/>
    <x v="48"/>
    <x v="13"/>
    <m/>
    <x v="33"/>
    <n v="3861000000"/>
    <m/>
    <n v="3861000000"/>
    <n v="2.7399999999999998E-3"/>
    <x v="37"/>
    <n v="1.304637"/>
    <s v="Bond"/>
    <s v="THB"/>
    <d v="2018-07-12T00:00:00"/>
    <x v="18"/>
    <s v="SCBSFF43383"/>
  </r>
  <r>
    <d v="2018-10-10T00:00:00"/>
    <x v="0"/>
    <s v="FIXED INCOME"/>
    <x v="4"/>
    <m/>
    <x v="49"/>
    <x v="13"/>
    <m/>
    <x v="6"/>
    <n v="143977515.84"/>
    <m/>
    <n v="143977515.84"/>
    <n v="1.3696E-2"/>
    <x v="38"/>
    <n v="1.1399999999999999"/>
    <s v="Bond"/>
    <s v="THB"/>
    <d v="2018-10-02T00:00:00"/>
    <x v="20"/>
    <s v="SCBSFF43383"/>
  </r>
  <r>
    <d v="2018-10-10T00:00:00"/>
    <x v="0"/>
    <s v="FIXED INCOME"/>
    <x v="4"/>
    <m/>
    <x v="50"/>
    <x v="13"/>
    <m/>
    <x v="34"/>
    <n v="734840064"/>
    <m/>
    <n v="734840064"/>
    <n v="1.9174E-2"/>
    <x v="39"/>
    <n v="1.134857"/>
    <s v="Bond"/>
    <s v="THB"/>
    <d v="2018-04-19T00:00:00"/>
    <x v="19"/>
    <s v="SCBSFF43383"/>
  </r>
  <r>
    <d v="2018-10-10T00:00:00"/>
    <x v="0"/>
    <s v="FIXED INCOME"/>
    <x v="4"/>
    <m/>
    <x v="51"/>
    <x v="13"/>
    <m/>
    <x v="34"/>
    <n v="2758314085.0100002"/>
    <m/>
    <n v="2758301366.02"/>
    <n v="1.9174E-2"/>
    <x v="40"/>
    <n v="1.3207040000000001"/>
    <s v="Bond"/>
    <s v="THB"/>
    <d v="2018-07-19T00:00:00"/>
    <x v="18"/>
    <s v="SCBSFF43383"/>
  </r>
  <r>
    <d v="2018-10-10T00:00:00"/>
    <x v="0"/>
    <s v="FIXED INCOME"/>
    <x v="4"/>
    <m/>
    <x v="52"/>
    <x v="13"/>
    <m/>
    <x v="35"/>
    <n v="2178106566.4200001"/>
    <m/>
    <n v="2178106566.4200001"/>
    <n v="3.5601000000000001E-2"/>
    <x v="41"/>
    <n v="1.15168"/>
    <s v="Bond"/>
    <s v="THB"/>
    <d v="2018-10-09T00:00:00"/>
    <x v="21"/>
    <s v="SCBSFF43383"/>
  </r>
  <r>
    <d v="2018-10-10T00:00:00"/>
    <x v="0"/>
    <s v="FIXED INCOME"/>
    <x v="4"/>
    <m/>
    <x v="53"/>
    <x v="13"/>
    <m/>
    <x v="36"/>
    <n v="757659551.88"/>
    <m/>
    <n v="757659551.88"/>
    <n v="3.8338999999999998E-2"/>
    <x v="42"/>
    <n v="1.1714910000000001"/>
    <s v="Bond"/>
    <s v="THB"/>
    <d v="2018-04-26T00:00:00"/>
    <x v="19"/>
    <s v="SCBSFF43383"/>
  </r>
  <r>
    <d v="2018-10-10T00:00:00"/>
    <x v="0"/>
    <s v="FIXED INCOME"/>
    <x v="4"/>
    <m/>
    <x v="54"/>
    <x v="13"/>
    <m/>
    <x v="36"/>
    <n v="3689249653.98"/>
    <m/>
    <n v="3689193034.04"/>
    <n v="3.8338999999999998E-2"/>
    <x v="43"/>
    <n v="1.276985"/>
    <s v="Bond"/>
    <s v="THB"/>
    <d v="2018-07-26T00:00:00"/>
    <x v="18"/>
    <s v="SCBSFF43383"/>
  </r>
  <r>
    <d v="2018-10-10T00:00:00"/>
    <x v="0"/>
    <s v="FIXED INCOME"/>
    <x v="4"/>
    <m/>
    <x v="55"/>
    <x v="13"/>
    <m/>
    <x v="20"/>
    <n v="2989885170"/>
    <m/>
    <n v="2989745010"/>
    <n v="0.229353"/>
    <x v="1"/>
    <n v="1.490442"/>
    <s v="Bond"/>
    <s v="THB"/>
    <d v="2018-10-04T00:00:00"/>
    <x v="18"/>
    <s v="SCBSFF43383"/>
  </r>
  <r>
    <d v="2018-10-10T00:00:00"/>
    <x v="0"/>
    <s v="FIXED INCOME"/>
    <x v="4"/>
    <m/>
    <x v="56"/>
    <x v="13"/>
    <m/>
    <x v="37"/>
    <n v="4034407530.6199999"/>
    <m/>
    <n v="4034407530.6199999"/>
    <n v="0.25205499999999997"/>
    <x v="44"/>
    <n v="1.554413"/>
    <s v="Bond"/>
    <s v="THB"/>
    <d v="2018-10-11T00:00:00"/>
    <x v="18"/>
    <s v="SCBSFF43383"/>
  </r>
  <r>
    <d v="2018-10-10T00:00:00"/>
    <x v="0"/>
    <s v="FIXED INCOME"/>
    <x v="5"/>
    <m/>
    <x v="57"/>
    <x v="14"/>
    <s v="A+"/>
    <x v="38"/>
    <n v="100154444"/>
    <n v="2111781"/>
    <n v="100154444"/>
    <n v="5.4371999999999997E-2"/>
    <x v="45"/>
    <n v="1.5"/>
    <s v="Bond"/>
    <s v="THB"/>
    <d v="2013-10-31T00:00:00"/>
    <x v="22"/>
    <s v="SCBSFF43383"/>
  </r>
  <r>
    <d v="2018-10-10T00:00:00"/>
    <x v="0"/>
    <s v="DERIVATIVE"/>
    <x v="6"/>
    <m/>
    <x v="58"/>
    <x v="1"/>
    <s v="AA+(tha)"/>
    <x v="7"/>
    <n v="70437789.579999998"/>
    <m/>
    <n v="0"/>
    <n v="0"/>
    <x v="0"/>
    <n v="0"/>
    <s v="Future"/>
    <s v="THB"/>
    <d v="1900-01-01T00:00:00"/>
    <x v="23"/>
    <s v="SCBSFF43383"/>
  </r>
  <r>
    <d v="2018-10-10T00:00:00"/>
    <x v="0"/>
    <s v="DERIVATIVE"/>
    <x v="6"/>
    <m/>
    <x v="59"/>
    <x v="1"/>
    <s v="AA+(tha)"/>
    <x v="8"/>
    <n v="56865875.57"/>
    <m/>
    <n v="0"/>
    <n v="0"/>
    <x v="0"/>
    <n v="0"/>
    <s v="Future"/>
    <s v="THB"/>
    <d v="1900-01-01T00:00:00"/>
    <x v="24"/>
    <s v="SCBSFF43383"/>
  </r>
  <r>
    <d v="2018-10-10T00:00:00"/>
    <x v="0"/>
    <s v="DERIVATIVE"/>
    <x v="6"/>
    <m/>
    <x v="60"/>
    <x v="1"/>
    <s v="AA+(tha)"/>
    <x v="17"/>
    <n v="10526960.07"/>
    <m/>
    <n v="0"/>
    <n v="0"/>
    <x v="0"/>
    <n v="0"/>
    <s v="Future"/>
    <s v="THB"/>
    <d v="1900-01-01T00:00:00"/>
    <x v="25"/>
    <s v="SCBSFF43383"/>
  </r>
  <r>
    <d v="2018-10-10T00:00:00"/>
    <x v="0"/>
    <s v="DERIVATIVE"/>
    <x v="6"/>
    <m/>
    <x v="61"/>
    <x v="1"/>
    <s v="AA+(tha)"/>
    <x v="18"/>
    <n v="1922730.56"/>
    <m/>
    <n v="0"/>
    <n v="0"/>
    <x v="0"/>
    <n v="0"/>
    <s v="Future"/>
    <s v="THB"/>
    <d v="1900-01-01T00:00:00"/>
    <x v="26"/>
    <s v="SCBSFF43383"/>
  </r>
  <r>
    <d v="2018-10-10T00:00:00"/>
    <x v="0"/>
    <s v="DERIVATIVE"/>
    <x v="6"/>
    <m/>
    <x v="62"/>
    <x v="1"/>
    <s v="AA+(tha)"/>
    <x v="4"/>
    <n v="63244154.240000002"/>
    <m/>
    <n v="0"/>
    <n v="0"/>
    <x v="0"/>
    <n v="0"/>
    <s v="Future"/>
    <s v="THB"/>
    <d v="1900-01-01T00:00:00"/>
    <x v="27"/>
    <s v="SCBSFF43383"/>
  </r>
  <r>
    <d v="2018-10-10T00:00:00"/>
    <x v="0"/>
    <s v="DERIVATIVE"/>
    <x v="6"/>
    <m/>
    <x v="63"/>
    <x v="15"/>
    <s v="A-"/>
    <x v="3"/>
    <n v="20824292.050000001"/>
    <m/>
    <n v="0"/>
    <n v="0"/>
    <x v="0"/>
    <n v="0"/>
    <s v="Future"/>
    <s v="THB"/>
    <d v="1900-01-01T00:00:00"/>
    <x v="28"/>
    <s v="SCBSFF43383"/>
  </r>
  <r>
    <d v="2018-10-10T00:00:00"/>
    <x v="0"/>
    <s v="DERIVATIVE"/>
    <x v="6"/>
    <m/>
    <x v="64"/>
    <x v="15"/>
    <s v="A-"/>
    <x v="5"/>
    <n v="980425.8"/>
    <m/>
    <n v="0"/>
    <n v="0"/>
    <x v="0"/>
    <n v="0"/>
    <s v="Future"/>
    <s v="THB"/>
    <d v="1900-01-01T00:00:00"/>
    <x v="29"/>
    <s v="SCBSFF43383"/>
  </r>
  <r>
    <d v="2018-10-10T00:00:00"/>
    <x v="0"/>
    <s v="DERIVATIVE"/>
    <x v="6"/>
    <m/>
    <x v="65"/>
    <x v="1"/>
    <s v="AA+(tha)"/>
    <x v="6"/>
    <n v="575226.27"/>
    <m/>
    <n v="0"/>
    <n v="0"/>
    <x v="0"/>
    <n v="0"/>
    <s v="Future"/>
    <s v="THB"/>
    <d v="1900-01-01T00:00:00"/>
    <x v="30"/>
    <s v="SCBSFF43383"/>
  </r>
  <r>
    <d v="2018-10-10T00:00:00"/>
    <x v="0"/>
    <s v="DERIVATIVE"/>
    <x v="6"/>
    <m/>
    <x v="66"/>
    <x v="1"/>
    <s v="AA+(tha)"/>
    <x v="6"/>
    <n v="5004807.09"/>
    <m/>
    <n v="0"/>
    <n v="0"/>
    <x v="0"/>
    <n v="0"/>
    <s v="Future"/>
    <s v="THB"/>
    <d v="1900-01-01T00:00:00"/>
    <x v="30"/>
    <s v="SCBSFF43383"/>
  </r>
  <r>
    <d v="2018-10-10T00:00:00"/>
    <x v="0"/>
    <s v="DERIVATIVE"/>
    <x v="6"/>
    <m/>
    <x v="67"/>
    <x v="1"/>
    <s v="AA+(tha)"/>
    <x v="4"/>
    <n v="-49262259.359999999"/>
    <m/>
    <n v="0"/>
    <n v="0"/>
    <x v="0"/>
    <n v="0"/>
    <s v="Future"/>
    <s v="THB"/>
    <d v="1900-01-01T00:00:00"/>
    <x v="27"/>
    <s v="SCBSFF43383"/>
  </r>
  <r>
    <d v="2018-10-10T00:00:00"/>
    <x v="0"/>
    <s v="ACCRUED RECEIVE"/>
    <x v="7"/>
    <s v="AR/AP"/>
    <x v="68"/>
    <x v="16"/>
    <m/>
    <x v="0"/>
    <n v="60251.06"/>
    <m/>
    <n v="60251.06"/>
    <n v="0"/>
    <x v="0"/>
    <n v="0"/>
    <s v="Cash Bal"/>
    <s v="THB"/>
    <d v="1900-01-01T00:00:00"/>
    <x v="0"/>
    <s v="SCBSFF43383"/>
  </r>
  <r>
    <d v="2018-10-10T00:00:00"/>
    <x v="0"/>
    <s v="ACCRUED PAYABLE"/>
    <x v="8"/>
    <s v="Settle Date :11/10/2018"/>
    <x v="56"/>
    <x v="17"/>
    <m/>
    <x v="0"/>
    <n v="-3038224685.6199999"/>
    <m/>
    <n v="-3038224685.6199999"/>
    <m/>
    <x v="46"/>
    <n v="0"/>
    <s v="Bond"/>
    <s v="THB"/>
    <d v="2018-10-11T00:00:00"/>
    <x v="31"/>
    <s v="SCBSFF43383"/>
  </r>
  <r>
    <d v="2018-10-10T00:00:00"/>
    <x v="0"/>
    <s v="ACCRUED PAYABLE"/>
    <x v="8"/>
    <s v="Settle Date :12/10/2018"/>
    <x v="37"/>
    <x v="17"/>
    <m/>
    <x v="0"/>
    <n v="-51964479.32"/>
    <m/>
    <n v="-51964479.32"/>
    <m/>
    <x v="46"/>
    <n v="0"/>
    <s v="Bond"/>
    <s v="THB"/>
    <d v="2018-05-03T00:00:00"/>
    <x v="32"/>
    <s v="SCBSFF43383"/>
  </r>
  <r>
    <d v="2018-10-10T00:00:00"/>
    <x v="0"/>
    <s v="ACCRUED PAYABLE"/>
    <x v="8"/>
    <s v="Settle Date :12/10/2018"/>
    <x v="38"/>
    <x v="17"/>
    <m/>
    <x v="0"/>
    <n v="-171882508.52000001"/>
    <m/>
    <n v="-171882508.52000001"/>
    <m/>
    <x v="46"/>
    <n v="0"/>
    <s v="Bond"/>
    <s v="THB"/>
    <d v="2018-08-02T00:00:00"/>
    <x v="33"/>
    <s v="SCBSFF43383"/>
  </r>
  <r>
    <d v="2018-10-10T00:00:00"/>
    <x v="0"/>
    <s v="ACCRUED PAYABLE"/>
    <x v="8"/>
    <s v="Settle Date :12/10/2018"/>
    <x v="39"/>
    <x v="17"/>
    <m/>
    <x v="0"/>
    <n v="-249769408.80000001"/>
    <m/>
    <n v="-249769408.80000001"/>
    <m/>
    <x v="46"/>
    <n v="0"/>
    <s v="Bond"/>
    <s v="THB"/>
    <d v="2018-05-10T00:00:00"/>
    <x v="34"/>
    <s v="SCBSFF43383"/>
  </r>
  <r>
    <d v="2018-10-10T00:00:00"/>
    <x v="0"/>
    <s v="ACCRUED PAYABLE"/>
    <x v="8"/>
    <s v="Settle Date :12/10/2018"/>
    <x v="40"/>
    <x v="17"/>
    <m/>
    <x v="0"/>
    <n v="-262757524.52000001"/>
    <m/>
    <n v="-262757524.52000001"/>
    <m/>
    <x v="46"/>
    <n v="0"/>
    <s v="Bond"/>
    <s v="THB"/>
    <d v="2018-08-09T00:00:00"/>
    <x v="35"/>
    <s v="SCBSFF43383"/>
  </r>
  <r>
    <d v="2018-10-10T00:00:00"/>
    <x v="0"/>
    <s v="ACCRUED PAYABLE"/>
    <x v="8"/>
    <s v="Settle Date :12/10/2018"/>
    <x v="41"/>
    <x v="17"/>
    <m/>
    <x v="0"/>
    <n v="-22973090"/>
    <m/>
    <n v="-22973090"/>
    <m/>
    <x v="46"/>
    <n v="0"/>
    <s v="Bond"/>
    <s v="THB"/>
    <d v="2018-05-17T00:00:00"/>
    <x v="36"/>
    <s v="SCBSFF43383"/>
  </r>
  <r>
    <d v="2018-10-10T00:00:00"/>
    <x v="0"/>
    <s v="ACCRUED PAYABLE"/>
    <x v="8"/>
    <s v="Settle Date :12/10/2018"/>
    <x v="42"/>
    <x v="17"/>
    <m/>
    <x v="0"/>
    <n v="-9988183.8000000007"/>
    <m/>
    <n v="-9988183.8000000007"/>
    <m/>
    <x v="46"/>
    <n v="0"/>
    <s v="Bond"/>
    <s v="THB"/>
    <d v="2018-08-16T00:00:00"/>
    <x v="37"/>
    <s v="SCBSFF43383"/>
  </r>
  <r>
    <d v="2018-10-10T00:00:00"/>
    <x v="0"/>
    <s v="ACCRUED PAYABLE"/>
    <x v="8"/>
    <s v="Settle Date :12/10/2018"/>
    <x v="45"/>
    <x v="17"/>
    <m/>
    <x v="0"/>
    <n v="-71875232.640000001"/>
    <m/>
    <n v="-71875232.640000001"/>
    <m/>
    <x v="46"/>
    <n v="0"/>
    <s v="Bond"/>
    <s v="THB"/>
    <d v="2018-05-31T00:00:00"/>
    <x v="38"/>
    <s v="SCBSFF43383"/>
  </r>
  <r>
    <d v="2018-10-10T00:00:00"/>
    <x v="0"/>
    <s v="ACCRUED PAYABLE"/>
    <x v="8"/>
    <s v="Settle Date :12/10/2018"/>
    <x v="51"/>
    <x v="17"/>
    <m/>
    <x v="0"/>
    <n v="-49990303.5"/>
    <m/>
    <n v="-49990303.5"/>
    <m/>
    <x v="46"/>
    <n v="0"/>
    <s v="Bond"/>
    <s v="THB"/>
    <d v="2018-07-19T00:00:00"/>
    <x v="39"/>
    <s v="SCBSFF43383"/>
  </r>
  <r>
    <d v="2018-10-10T00:00:00"/>
    <x v="0"/>
    <s v="ACCRUED PAYABLE"/>
    <x v="8"/>
    <s v="Settle Date :12/10/2018"/>
    <x v="52"/>
    <x v="17"/>
    <m/>
    <x v="0"/>
    <n v="-711723893.51999998"/>
    <m/>
    <n v="-711723893.51999998"/>
    <m/>
    <x v="46"/>
    <n v="0"/>
    <s v="Bond"/>
    <s v="THB"/>
    <d v="2018-10-09T00:00:00"/>
    <x v="40"/>
    <s v="SCBSFF43383"/>
  </r>
  <r>
    <d v="2018-10-10T00:00:00"/>
    <x v="0"/>
    <s v="ACCRUED PAYABLE"/>
    <x v="8"/>
    <s v="Settle Date :12/10/2018"/>
    <x v="53"/>
    <x v="17"/>
    <m/>
    <x v="0"/>
    <n v="-15993278.4"/>
    <m/>
    <n v="-15993278.4"/>
    <m/>
    <x v="46"/>
    <n v="0"/>
    <s v="Bond"/>
    <s v="THB"/>
    <d v="2018-04-26T00:00:00"/>
    <x v="41"/>
    <s v="SCBSFF43383"/>
  </r>
  <r>
    <d v="2018-10-10T00:00:00"/>
    <x v="0"/>
    <s v="ACCRUED PAYABLE"/>
    <x v="8"/>
    <s v="Settle Date :12/10/2018"/>
    <x v="54"/>
    <x v="17"/>
    <m/>
    <x v="0"/>
    <n v="-192918920.69999999"/>
    <m/>
    <n v="-192918920.69999999"/>
    <m/>
    <x v="46"/>
    <n v="0"/>
    <s v="Bond"/>
    <s v="THB"/>
    <d v="2018-07-26T00:00:00"/>
    <x v="42"/>
    <s v="SCBSFF43383"/>
  </r>
  <r>
    <d v="2018-10-10T00:00:00"/>
    <x v="0"/>
    <s v="ACCRUED PAYABLE"/>
    <x v="8"/>
    <s v="Settle Date :12/10/2018"/>
    <x v="56"/>
    <x v="17"/>
    <m/>
    <x v="0"/>
    <n v="-996182845"/>
    <m/>
    <n v="-996182845"/>
    <m/>
    <x v="46"/>
    <n v="0"/>
    <s v="Bond"/>
    <s v="THB"/>
    <d v="2018-10-11T00:00:00"/>
    <x v="31"/>
    <s v="SCBSFF43383"/>
  </r>
  <r>
    <d v="2018-10-10T00:00:00"/>
    <x v="0"/>
    <s v="ACCRUED PAYABLE"/>
    <x v="9"/>
    <s v="AUDITING FEE"/>
    <x v="69"/>
    <x v="17"/>
    <m/>
    <x v="0"/>
    <n v="-186674.28"/>
    <m/>
    <m/>
    <m/>
    <x v="46"/>
    <n v="0"/>
    <m/>
    <m/>
    <m/>
    <x v="43"/>
    <s v="SCBSFF43383"/>
  </r>
  <r>
    <d v="2018-10-10T00:00:00"/>
    <x v="0"/>
    <s v="ACCRUED PAYABLE"/>
    <x v="9"/>
    <s v="AUDITING FEE"/>
    <x v="69"/>
    <x v="17"/>
    <m/>
    <x v="0"/>
    <n v="-1275.1600000000001"/>
    <m/>
    <m/>
    <m/>
    <x v="46"/>
    <n v="0"/>
    <m/>
    <m/>
    <m/>
    <x v="43"/>
    <s v="SCBSFF43383"/>
  </r>
  <r>
    <d v="2018-10-10T00:00:00"/>
    <x v="0"/>
    <s v="ACCRUED PAYABLE"/>
    <x v="10"/>
    <m/>
    <x v="70"/>
    <x v="17"/>
    <m/>
    <x v="0"/>
    <n v="-1538751.35"/>
    <n v="0"/>
    <m/>
    <m/>
    <x v="46"/>
    <n v="0"/>
    <m/>
    <m/>
    <m/>
    <x v="43"/>
    <s v="SCBSFF43383"/>
  </r>
  <r>
    <d v="2018-10-10T00:00:00"/>
    <x v="0"/>
    <s v="ACCRUED PAYABLE"/>
    <x v="11"/>
    <s v="A NEWSPAPER_NAV"/>
    <x v="71"/>
    <x v="17"/>
    <m/>
    <x v="0"/>
    <n v="-4182.17"/>
    <m/>
    <m/>
    <m/>
    <x v="46"/>
    <n v="0"/>
    <m/>
    <m/>
    <m/>
    <x v="43"/>
    <s v="SCBSFF43383"/>
  </r>
  <r>
    <d v="2018-10-10T00:00:00"/>
    <x v="0"/>
    <s v="ACCRUED PAYABLE"/>
    <x v="11"/>
    <s v="A NEWSPAPER_NAV"/>
    <x v="71"/>
    <x v="17"/>
    <m/>
    <x v="0"/>
    <n v="-1416.5"/>
    <m/>
    <m/>
    <m/>
    <x v="46"/>
    <n v="0"/>
    <m/>
    <m/>
    <m/>
    <x v="43"/>
    <s v="SCBSFF43383"/>
  </r>
  <r>
    <d v="2018-10-10T00:00:00"/>
    <x v="0"/>
    <s v="ACCRUED PAYABLE"/>
    <x v="12"/>
    <s v="CUSTODIAN FEE"/>
    <x v="70"/>
    <x v="17"/>
    <m/>
    <x v="0"/>
    <n v="-199931.34"/>
    <m/>
    <n v="-199931.34"/>
    <m/>
    <x v="46"/>
    <n v="0"/>
    <m/>
    <m/>
    <m/>
    <x v="43"/>
    <s v="SCBSFF43383"/>
  </r>
  <r>
    <d v="2018-10-10T00:00:00"/>
    <x v="0"/>
    <s v="ACCRUED PAYABLE"/>
    <x v="13"/>
    <s v="MANAGEMENT FEE"/>
    <x v="70"/>
    <x v="17"/>
    <m/>
    <x v="0"/>
    <n v="-15570260.23"/>
    <m/>
    <n v="-15570260.23"/>
    <m/>
    <x v="46"/>
    <n v="0"/>
    <m/>
    <m/>
    <m/>
    <x v="43"/>
    <s v="SCBSFF43383"/>
  </r>
  <r>
    <d v="2018-10-10T00:00:00"/>
    <x v="0"/>
    <s v="ACCRUED PAYABLE"/>
    <x v="14"/>
    <s v="REGISTRAR FEE"/>
    <x v="70"/>
    <x v="17"/>
    <m/>
    <x v="0"/>
    <n v="0"/>
    <m/>
    <n v="0"/>
    <m/>
    <x v="46"/>
    <n v="0"/>
    <m/>
    <m/>
    <m/>
    <x v="43"/>
    <s v="SCBSFF43383"/>
  </r>
  <r>
    <d v="2018-10-10T00:00:00"/>
    <x v="0"/>
    <s v="FEES"/>
    <x v="12"/>
    <s v="CUSTODIAN FEE"/>
    <x v="70"/>
    <x v="17"/>
    <m/>
    <x v="0"/>
    <n v="-21715.29"/>
    <m/>
    <n v="-21715.29"/>
    <m/>
    <x v="46"/>
    <n v="0"/>
    <m/>
    <m/>
    <m/>
    <x v="43"/>
    <s v="SCBSFF43383"/>
  </r>
  <r>
    <d v="2018-10-10T00:00:00"/>
    <x v="0"/>
    <s v="FEES"/>
    <x v="13"/>
    <s v="MANAGEMENT FEE"/>
    <x v="70"/>
    <x v="17"/>
    <m/>
    <x v="0"/>
    <n v="-1691144.46"/>
    <m/>
    <n v="-1691144.46"/>
    <m/>
    <x v="46"/>
    <n v="0"/>
    <m/>
    <m/>
    <m/>
    <x v="43"/>
    <s v="SCBSFF43383"/>
  </r>
  <r>
    <d v="2018-10-10T00:00:00"/>
    <x v="0"/>
    <s v="FEES"/>
    <x v="14"/>
    <s v="REGISTRAR FEE"/>
    <x v="70"/>
    <x v="17"/>
    <m/>
    <x v="0"/>
    <n v="0"/>
    <m/>
    <n v="0"/>
    <m/>
    <x v="46"/>
    <n v="0"/>
    <m/>
    <m/>
    <m/>
    <x v="43"/>
    <s v="SCBSFF43383"/>
  </r>
  <r>
    <d v="2018-10-10T00:00:00"/>
    <x v="1"/>
    <s v="FIXED INCOME"/>
    <x v="0"/>
    <m/>
    <x v="0"/>
    <x v="0"/>
    <m/>
    <x v="0"/>
    <n v="6215226.3700000001"/>
    <n v="575028.56000000006"/>
    <n v="6215226.3700000001"/>
    <n v="0"/>
    <x v="0"/>
    <n v="0"/>
    <s v="Cash Bal"/>
    <s v="THB"/>
    <d v="1900-01-01T00:00:00"/>
    <x v="0"/>
    <s v="SCBSFFPLUS43383"/>
  </r>
  <r>
    <d v="2018-10-10T00:00:00"/>
    <x v="1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SFFPLUS43383"/>
  </r>
  <r>
    <d v="2018-10-10T00:00:00"/>
    <x v="1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SFFPLUS43383"/>
  </r>
  <r>
    <d v="2018-10-10T00:00:00"/>
    <x v="1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SFFPLUS43383"/>
  </r>
  <r>
    <d v="2018-10-10T00:00:00"/>
    <x v="1"/>
    <s v="FIXED INCOME"/>
    <x v="0"/>
    <m/>
    <x v="73"/>
    <x v="19"/>
    <s v="AA+(tha)"/>
    <x v="0"/>
    <n v="0"/>
    <m/>
    <n v="0"/>
    <n v="0"/>
    <x v="0"/>
    <n v="0"/>
    <s v="Cash Bal"/>
    <s v="GBPbb"/>
    <d v="1900-01-01T00:00:00"/>
    <x v="0"/>
    <s v="SCBSFFPLUS43383"/>
  </r>
  <r>
    <d v="2018-10-10T00:00:00"/>
    <x v="1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SFFPLUS43383"/>
  </r>
  <r>
    <d v="2018-10-10T00:00:00"/>
    <x v="1"/>
    <s v="FIXED INCOME"/>
    <x v="0"/>
    <m/>
    <x v="74"/>
    <x v="1"/>
    <s v="AA+(tha)"/>
    <x v="0"/>
    <n v="0"/>
    <m/>
    <n v="0"/>
    <n v="0"/>
    <x v="0"/>
    <n v="0"/>
    <s v="Cash Bal"/>
    <s v="JPYbb"/>
    <d v="1900-01-01T00:00:00"/>
    <x v="0"/>
    <s v="SCBSFFPLUS43383"/>
  </r>
  <r>
    <d v="2018-10-10T00:00:00"/>
    <x v="1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SFFPLUS43383"/>
  </r>
  <r>
    <d v="2018-10-10T00:00:00"/>
    <x v="1"/>
    <s v="FIXED INCOME"/>
    <x v="1"/>
    <m/>
    <x v="75"/>
    <x v="20"/>
    <s v="BBB"/>
    <x v="39"/>
    <n v="3784890000"/>
    <m/>
    <n v="3783227481.6999998"/>
    <m/>
    <x v="45"/>
    <n v="0.14000000000000001"/>
    <s v="Bond"/>
    <s v="EURbb"/>
    <d v="2018-02-05T00:00:00"/>
    <x v="1"/>
    <s v="SCBSFFPLUS43383"/>
  </r>
  <r>
    <d v="2018-10-10T00:00:00"/>
    <x v="1"/>
    <s v="FIXED INCOME"/>
    <x v="1"/>
    <m/>
    <x v="76"/>
    <x v="21"/>
    <s v="A"/>
    <x v="13"/>
    <n v="987539553"/>
    <n v="18394291.670000002"/>
    <n v="987728752.84000003"/>
    <m/>
    <x v="4"/>
    <n v="2.6850000000000001"/>
    <s v="Bond"/>
    <s v="USDbb"/>
    <d v="2018-01-16T00:00:00"/>
    <x v="3"/>
    <s v="SCBSFFPLUS43383"/>
  </r>
  <r>
    <d v="2018-10-10T00:00:00"/>
    <x v="1"/>
    <s v="FIXED INCOME"/>
    <x v="1"/>
    <m/>
    <x v="77"/>
    <x v="2"/>
    <s v="AA-"/>
    <x v="40"/>
    <n v="2000000000"/>
    <n v="13290410.960000001"/>
    <n v="2000000000"/>
    <n v="0.59415600000000002"/>
    <x v="47"/>
    <n v="1.65"/>
    <s v="Bond"/>
    <s v="THB"/>
    <d v="2018-05-17T00:00:00"/>
    <x v="3"/>
    <s v="SCBSFFPLUS43383"/>
  </r>
  <r>
    <d v="2018-10-10T00:00:00"/>
    <x v="1"/>
    <s v="FIXED INCOME"/>
    <x v="1"/>
    <m/>
    <x v="78"/>
    <x v="22"/>
    <s v="A"/>
    <x v="41"/>
    <n v="3784890000"/>
    <m/>
    <n v="3784890000"/>
    <m/>
    <x v="45"/>
    <n v="0"/>
    <s v="Bond"/>
    <s v="EURbb"/>
    <d v="2018-03-06T00:00:00"/>
    <x v="3"/>
    <s v="SCBSFFPLUS43383"/>
  </r>
  <r>
    <d v="2018-10-10T00:00:00"/>
    <x v="1"/>
    <s v="FIXED INCOME"/>
    <x v="1"/>
    <m/>
    <x v="79"/>
    <x v="22"/>
    <s v="A"/>
    <x v="42"/>
    <n v="1892445000"/>
    <m/>
    <n v="1892474964.1900001"/>
    <m/>
    <x v="3"/>
    <n v="-0.01"/>
    <s v="Bond"/>
    <s v="EURbb"/>
    <d v="2017-12-07T00:00:00"/>
    <x v="3"/>
    <s v="SCBSFFPLUS43383"/>
  </r>
  <r>
    <d v="2018-10-10T00:00:00"/>
    <x v="1"/>
    <s v="FIXED INCOME"/>
    <x v="1"/>
    <m/>
    <x v="80"/>
    <x v="23"/>
    <s v="A"/>
    <x v="43"/>
    <n v="1647250000"/>
    <n v="31261144.440000001"/>
    <n v="1647250000"/>
    <m/>
    <x v="3"/>
    <n v="2.8"/>
    <s v="Bond"/>
    <s v="USDbb"/>
    <d v="2018-02-09T00:00:00"/>
    <x v="7"/>
    <s v="SCBSFFPLUS43383"/>
  </r>
  <r>
    <d v="2018-10-10T00:00:00"/>
    <x v="1"/>
    <s v="FIXED INCOME"/>
    <x v="1"/>
    <m/>
    <x v="81"/>
    <x v="3"/>
    <s v="A"/>
    <x v="44"/>
    <n v="3784890000"/>
    <n v="1261630"/>
    <n v="3865000000"/>
    <n v="0.349939"/>
    <x v="45"/>
    <n v="0.05"/>
    <s v="Bond"/>
    <s v="EURbb"/>
    <d v="2018-02-13T00:00:00"/>
    <x v="3"/>
    <s v="SCBSFFPLUS43383"/>
  </r>
  <r>
    <d v="2018-10-10T00:00:00"/>
    <x v="1"/>
    <s v="FIXED INCOME"/>
    <x v="1"/>
    <m/>
    <x v="82"/>
    <x v="3"/>
    <s v="A"/>
    <x v="45"/>
    <n v="1135467000"/>
    <n v="256110.89"/>
    <n v="1140000000"/>
    <n v="0.45269599999999999"/>
    <x v="4"/>
    <n v="0.04"/>
    <s v="Bond"/>
    <s v="EURbb"/>
    <d v="2018-03-22T00:00:00"/>
    <x v="3"/>
    <s v="SCBSFFPLUS43383"/>
  </r>
  <r>
    <d v="2018-10-10T00:00:00"/>
    <x v="1"/>
    <s v="FIXED INCOME"/>
    <x v="1"/>
    <m/>
    <x v="83"/>
    <x v="3"/>
    <s v="A"/>
    <x v="46"/>
    <n v="3027912000"/>
    <n v="1648529.87"/>
    <n v="3010400000"/>
    <n v="0.62445399999999995"/>
    <x v="48"/>
    <n v="0.14000000000000001"/>
    <s v="Bond"/>
    <s v="EURbb"/>
    <d v="2018-05-24T00:00:00"/>
    <x v="7"/>
    <s v="SCBSFFPLUS43383"/>
  </r>
  <r>
    <d v="2018-10-10T00:00:00"/>
    <x v="1"/>
    <s v="FIXED INCOME"/>
    <x v="1"/>
    <m/>
    <x v="84"/>
    <x v="3"/>
    <s v="A"/>
    <x v="47"/>
    <n v="2800325000"/>
    <n v="27891237"/>
    <n v="2803725000"/>
    <n v="0.70016999999999996"/>
    <x v="49"/>
    <n v="3.32"/>
    <s v="Bond"/>
    <s v="USDbb"/>
    <d v="2018-06-25T00:00:00"/>
    <x v="3"/>
    <s v="SCBSFFPLUS43383"/>
  </r>
  <r>
    <d v="2018-10-10T00:00:00"/>
    <x v="1"/>
    <s v="FIXED INCOME"/>
    <x v="1"/>
    <m/>
    <x v="85"/>
    <x v="3"/>
    <s v="A"/>
    <x v="48"/>
    <n v="1976700000"/>
    <n v="29241982"/>
    <n v="1887600000"/>
    <n v="0.540709"/>
    <x v="50"/>
    <n v="3.17"/>
    <s v="Bond"/>
    <s v="USDbb"/>
    <d v="2018-04-26T00:00:00"/>
    <x v="3"/>
    <s v="SCBSFFPLUS43383"/>
  </r>
  <r>
    <d v="2018-10-10T00:00:00"/>
    <x v="1"/>
    <s v="FIXED INCOME"/>
    <x v="1"/>
    <m/>
    <x v="86"/>
    <x v="3"/>
    <s v="A"/>
    <x v="49"/>
    <n v="3027912000"/>
    <n v="1831886.76"/>
    <n v="3051200000"/>
    <n v="0.46642699999999998"/>
    <x v="48"/>
    <n v="0.11"/>
    <s v="Bond"/>
    <s v="EURbb"/>
    <d v="2018-03-27T00:00:00"/>
    <x v="3"/>
    <s v="SCBSFFPLUS43383"/>
  </r>
  <r>
    <d v="2018-10-10T00:00:00"/>
    <x v="1"/>
    <s v="FIXED INCOME"/>
    <x v="1"/>
    <m/>
    <x v="87"/>
    <x v="3"/>
    <s v="A"/>
    <x v="50"/>
    <n v="3027912000"/>
    <n v="1739787.77"/>
    <n v="3065600000"/>
    <n v="0.46921299999999999"/>
    <x v="48"/>
    <n v="0.105"/>
    <s v="Bond"/>
    <s v="EURbb"/>
    <d v="2018-03-28T00:00:00"/>
    <x v="3"/>
    <s v="SCBSFFPLUS43383"/>
  </r>
  <r>
    <d v="2018-10-10T00:00:00"/>
    <x v="1"/>
    <s v="FIXED INCOME"/>
    <x v="1"/>
    <m/>
    <x v="88"/>
    <x v="3"/>
    <s v="A"/>
    <x v="51"/>
    <n v="3784890000"/>
    <n v="3989904.88"/>
    <n v="3880000000"/>
    <n v="0.31374099999999999"/>
    <x v="45"/>
    <n v="0.15"/>
    <s v="Bond"/>
    <s v="EURbb"/>
    <d v="2018-01-31T00:00:00"/>
    <x v="3"/>
    <s v="SCBSFFPLUS43383"/>
  </r>
  <r>
    <d v="2018-10-10T00:00:00"/>
    <x v="1"/>
    <s v="FIXED INCOME"/>
    <x v="1"/>
    <m/>
    <x v="89"/>
    <x v="3"/>
    <s v="A"/>
    <x v="52"/>
    <n v="1892445000"/>
    <n v="986174.12"/>
    <n v="1855000000"/>
    <n v="0.64663700000000002"/>
    <x v="3"/>
    <n v="0.14000000000000001"/>
    <s v="Bond"/>
    <s v="EURbb"/>
    <d v="2018-05-30T00:00:00"/>
    <x v="44"/>
    <s v="SCBSFFPLUS43383"/>
  </r>
  <r>
    <d v="2018-10-10T00:00:00"/>
    <x v="1"/>
    <s v="FIXED INCOME"/>
    <x v="1"/>
    <m/>
    <x v="10"/>
    <x v="4"/>
    <s v="A+"/>
    <x v="5"/>
    <n v="1153075000"/>
    <n v="25978071.890000001"/>
    <n v="1158500000"/>
    <n v="7.4868000000000004E-2"/>
    <x v="5"/>
    <n v="2.4066999999999998"/>
    <s v="Bond"/>
    <s v="USDbb"/>
    <d v="2017-11-08T00:00:00"/>
    <x v="4"/>
    <s v="SCBSFFPLUS43383"/>
  </r>
  <r>
    <d v="2018-10-10T00:00:00"/>
    <x v="1"/>
    <s v="FIXED INCOME"/>
    <x v="1"/>
    <m/>
    <x v="11"/>
    <x v="4"/>
    <s v="A+"/>
    <x v="6"/>
    <n v="1647250000"/>
    <n v="39204550"/>
    <n v="1654000000"/>
    <n v="1.6660000000000001E-2"/>
    <x v="3"/>
    <n v="2.4"/>
    <s v="Bond"/>
    <s v="USDbb"/>
    <d v="2017-10-19T00:00:00"/>
    <x v="5"/>
    <s v="SCBSFFPLUS43383"/>
  </r>
  <r>
    <d v="2018-10-10T00:00:00"/>
    <x v="1"/>
    <s v="FIXED INCOME"/>
    <x v="1"/>
    <m/>
    <x v="90"/>
    <x v="4"/>
    <s v="A+"/>
    <x v="21"/>
    <n v="3587802880"/>
    <n v="85838183.900000006"/>
    <n v="3542000000"/>
    <n v="0.190632"/>
    <x v="7"/>
    <n v="2.9"/>
    <s v="Bond"/>
    <s v="AEDbb"/>
    <d v="2017-12-18T00:00:00"/>
    <x v="3"/>
    <s v="SCBSFFPLUS43383"/>
  </r>
  <r>
    <d v="2018-10-10T00:00:00"/>
    <x v="1"/>
    <s v="FIXED INCOME"/>
    <x v="1"/>
    <m/>
    <x v="91"/>
    <x v="5"/>
    <s v="A"/>
    <x v="53"/>
    <n v="2649423000"/>
    <n v="706512.8"/>
    <n v="2660000000"/>
    <n v="0.56647400000000003"/>
    <x v="8"/>
    <n v="0.06"/>
    <s v="Bond"/>
    <s v="EURbb"/>
    <d v="2018-05-04T00:00:00"/>
    <x v="4"/>
    <s v="SCBSFFPLUS43383"/>
  </r>
  <r>
    <d v="2018-10-10T00:00:00"/>
    <x v="1"/>
    <s v="FIXED INCOME"/>
    <x v="1"/>
    <m/>
    <x v="92"/>
    <x v="5"/>
    <s v="A"/>
    <x v="54"/>
    <n v="3294500000"/>
    <n v="67438415"/>
    <n v="3230500000"/>
    <n v="0.24837500000000001"/>
    <x v="45"/>
    <n v="2.67"/>
    <s v="Bond"/>
    <s v="USDbb"/>
    <d v="2018-01-08T00:00:00"/>
    <x v="3"/>
    <s v="SCBSFFPLUS43383"/>
  </r>
  <r>
    <d v="2018-10-10T00:00:00"/>
    <x v="1"/>
    <s v="FIXED INCOME"/>
    <x v="1"/>
    <m/>
    <x v="93"/>
    <x v="5"/>
    <s v="A"/>
    <x v="55"/>
    <n v="3228610000"/>
    <n v="65850191.460000001"/>
    <n v="3155600000"/>
    <n v="0.25111699999999998"/>
    <x v="51"/>
    <n v="2.67"/>
    <s v="Bond"/>
    <s v="USDbb"/>
    <d v="2018-01-09T00:00:00"/>
    <x v="3"/>
    <s v="SCBSFFPLUS43383"/>
  </r>
  <r>
    <d v="2018-10-10T00:00:00"/>
    <x v="1"/>
    <s v="FIXED INCOME"/>
    <x v="1"/>
    <m/>
    <x v="94"/>
    <x v="5"/>
    <s v="A"/>
    <x v="21"/>
    <n v="2965050000"/>
    <n v="65379352.5"/>
    <n v="2945700000"/>
    <n v="0.19070100000000001"/>
    <x v="52"/>
    <n v="2.7"/>
    <s v="Bond"/>
    <s v="USDbb"/>
    <d v="2017-12-21T00:00:00"/>
    <x v="5"/>
    <s v="SCBSFFPLUS43383"/>
  </r>
  <r>
    <d v="2018-10-10T00:00:00"/>
    <x v="1"/>
    <s v="FIXED INCOME"/>
    <x v="1"/>
    <m/>
    <x v="95"/>
    <x v="5"/>
    <s v="A"/>
    <x v="56"/>
    <n v="2800325000"/>
    <n v="27769889.579999998"/>
    <n v="2805637500"/>
    <n v="0.70755900000000005"/>
    <x v="49"/>
    <n v="3.4"/>
    <s v="Bond"/>
    <s v="USDbb"/>
    <d v="2018-06-28T00:00:00"/>
    <x v="3"/>
    <s v="SCBSFFPLUS43383"/>
  </r>
  <r>
    <d v="2018-10-10T00:00:00"/>
    <x v="1"/>
    <s v="FIXED INCOME"/>
    <x v="1"/>
    <m/>
    <x v="96"/>
    <x v="6"/>
    <s v="AAA(tha)"/>
    <x v="57"/>
    <n v="670000000"/>
    <n v="2215589.04"/>
    <n v="670000000"/>
    <n v="0.79730000000000001"/>
    <x v="53"/>
    <n v="1.7"/>
    <s v="Bond"/>
    <s v="THB"/>
    <d v="2018-08-01T00:00:00"/>
    <x v="3"/>
    <s v="SCBSFFPLUS43383"/>
  </r>
  <r>
    <d v="2018-10-10T00:00:00"/>
    <x v="1"/>
    <s v="FIXED INCOME"/>
    <x v="1"/>
    <m/>
    <x v="97"/>
    <x v="6"/>
    <s v="AAA(tha)"/>
    <x v="9"/>
    <n v="1000000000"/>
    <n v="3260273.97"/>
    <n v="1000000000"/>
    <n v="0.79996599999999995"/>
    <x v="22"/>
    <n v="1.7"/>
    <s v="Bond"/>
    <s v="THB"/>
    <d v="2018-08-02T00:00:00"/>
    <x v="3"/>
    <s v="SCBSFFPLUS43383"/>
  </r>
  <r>
    <d v="2018-10-10T00:00:00"/>
    <x v="1"/>
    <s v="FIXED INCOME"/>
    <x v="1"/>
    <m/>
    <x v="15"/>
    <x v="6"/>
    <s v="AAA(tha)"/>
    <x v="9"/>
    <n v="700000000"/>
    <n v="2249589.04"/>
    <n v="700000000"/>
    <n v="0.79996500000000004"/>
    <x v="23"/>
    <n v="1.7"/>
    <s v="Bond"/>
    <s v="THB"/>
    <d v="2018-08-03T00:00:00"/>
    <x v="7"/>
    <s v="SCBSFFPLUS43383"/>
  </r>
  <r>
    <d v="2018-10-10T00:00:00"/>
    <x v="1"/>
    <s v="FIXED INCOME"/>
    <x v="1"/>
    <m/>
    <x v="98"/>
    <x v="6"/>
    <s v="AAA(tha)"/>
    <x v="58"/>
    <n v="160000000"/>
    <n v="573808.22"/>
    <n v="160000000"/>
    <n v="0.78130100000000002"/>
    <x v="54"/>
    <n v="1.7"/>
    <s v="Bond"/>
    <s v="THB"/>
    <d v="2018-07-26T00:00:00"/>
    <x v="3"/>
    <s v="SCBSFFPLUS43383"/>
  </r>
  <r>
    <d v="2018-10-10T00:00:00"/>
    <x v="1"/>
    <s v="FIXED INCOME"/>
    <x v="1"/>
    <m/>
    <x v="99"/>
    <x v="24"/>
    <s v="A+"/>
    <x v="59"/>
    <n v="2965050000"/>
    <n v="4480520"/>
    <n v="2914650000"/>
    <n v="0.95676600000000001"/>
    <x v="52"/>
    <n v="3.4"/>
    <s v="Bond"/>
    <s v="USDbb"/>
    <d v="2018-09-25T00:00:00"/>
    <x v="45"/>
    <s v="SCBSFFPLUS43383"/>
  </r>
  <r>
    <d v="2018-10-10T00:00:00"/>
    <x v="1"/>
    <s v="FIXED INCOME"/>
    <x v="1"/>
    <m/>
    <x v="100"/>
    <x v="24"/>
    <s v="A+"/>
    <x v="60"/>
    <n v="2965050000"/>
    <n v="4200487.5"/>
    <n v="2922750000"/>
    <n v="0.95936299999999997"/>
    <x v="52"/>
    <n v="3.4"/>
    <s v="Bond"/>
    <s v="USDbb"/>
    <d v="2018-09-26T00:00:00"/>
    <x v="45"/>
    <s v="SCBSFFPLUS43383"/>
  </r>
  <r>
    <d v="2018-10-10T00:00:00"/>
    <x v="1"/>
    <s v="FIXED INCOME"/>
    <x v="1"/>
    <m/>
    <x v="23"/>
    <x v="3"/>
    <s v="A"/>
    <x v="6"/>
    <n v="1317800000"/>
    <n v="9360406.6099999994"/>
    <n v="1326400000"/>
    <n v="1.6659E-2"/>
    <x v="15"/>
    <n v="2.81"/>
    <s v="Bond"/>
    <s v="USDbb"/>
    <d v="2018-07-12T00:00:00"/>
    <x v="9"/>
    <s v="SCBSFFPLUS43383"/>
  </r>
  <r>
    <d v="2018-10-10T00:00:00"/>
    <x v="1"/>
    <s v="FIXED INCOME"/>
    <x v="1"/>
    <m/>
    <x v="101"/>
    <x v="3"/>
    <s v="A"/>
    <x v="61"/>
    <n v="1681520000"/>
    <n v="9024003.7699999996"/>
    <n v="1698400000"/>
    <n v="3.2850999999999998E-2"/>
    <x v="7"/>
    <n v="2.36"/>
    <s v="Bond"/>
    <s v="HKDbb"/>
    <d v="2018-07-20T00:00:00"/>
    <x v="46"/>
    <s v="SCBSFFPLUS43383"/>
  </r>
  <r>
    <d v="2018-10-10T00:00:00"/>
    <x v="1"/>
    <s v="FIXED INCOME"/>
    <x v="1"/>
    <m/>
    <x v="102"/>
    <x v="3"/>
    <s v="A"/>
    <x v="62"/>
    <n v="1303178000"/>
    <n v="2458186.4500000002"/>
    <n v="1296265000"/>
    <n v="0.41475299999999998"/>
    <x v="55"/>
    <n v="2.5499999999999998"/>
    <s v="Bond"/>
    <s v="HKDbb"/>
    <d v="2018-09-14T00:00:00"/>
    <x v="47"/>
    <s v="SCBSFFPLUS43383"/>
  </r>
  <r>
    <d v="2018-10-10T00:00:00"/>
    <x v="1"/>
    <s v="FIXED INCOME"/>
    <x v="1"/>
    <m/>
    <x v="103"/>
    <x v="4"/>
    <s v="A+"/>
    <x v="36"/>
    <n v="1317800000"/>
    <n v="18559016.670000002"/>
    <n v="1258000000"/>
    <n v="4.1614999999999999E-2"/>
    <x v="15"/>
    <n v="3"/>
    <s v="Bond"/>
    <s v="USDbb"/>
    <d v="2018-04-25T00:00:00"/>
    <x v="48"/>
    <s v="SCBSFFPLUS43383"/>
  </r>
  <r>
    <d v="2018-10-10T00:00:00"/>
    <x v="1"/>
    <s v="FIXED INCOME"/>
    <x v="1"/>
    <m/>
    <x v="104"/>
    <x v="4"/>
    <s v="A+"/>
    <x v="63"/>
    <n v="1647250000"/>
    <n v="19217916.670000002"/>
    <n v="1603000000"/>
    <n v="0.130052"/>
    <x v="3"/>
    <n v="3"/>
    <s v="Bond"/>
    <s v="USDbb"/>
    <d v="2018-05-24T00:00:00"/>
    <x v="10"/>
    <s v="SCBSFFPLUS43383"/>
  </r>
  <r>
    <d v="2018-10-10T00:00:00"/>
    <x v="1"/>
    <s v="FIXED INCOME"/>
    <x v="1"/>
    <m/>
    <x v="24"/>
    <x v="5"/>
    <s v="A"/>
    <x v="17"/>
    <n v="2838667500"/>
    <n v="507806.08"/>
    <n v="2850000000"/>
    <n v="7.2220000000000006E-2"/>
    <x v="56"/>
    <n v="0.04"/>
    <s v="Bond"/>
    <s v="EURbb"/>
    <d v="2018-05-03T00:00:00"/>
    <x v="10"/>
    <s v="SCBSFFPLUS43383"/>
  </r>
  <r>
    <d v="2018-10-10T00:00:00"/>
    <x v="1"/>
    <s v="FIXED INCOME"/>
    <x v="1"/>
    <m/>
    <x v="105"/>
    <x v="5"/>
    <s v="A"/>
    <x v="64"/>
    <n v="1647250000"/>
    <n v="19640710.829999998"/>
    <n v="1596250000"/>
    <n v="0.11075599999999999"/>
    <x v="3"/>
    <n v="2.92"/>
    <s v="Bond"/>
    <s v="USDbb"/>
    <d v="2018-05-17T00:00:00"/>
    <x v="10"/>
    <s v="SCBSFFPLUS43383"/>
  </r>
  <r>
    <d v="2018-10-10T00:00:00"/>
    <x v="1"/>
    <s v="FIXED INCOME"/>
    <x v="1"/>
    <m/>
    <x v="106"/>
    <x v="5"/>
    <s v="A"/>
    <x v="65"/>
    <n v="461230000"/>
    <n v="5461988.1600000001"/>
    <n v="449330000"/>
    <n v="0.11351600000000001"/>
    <x v="57"/>
    <n v="2.92"/>
    <s v="Bond"/>
    <s v="USDbb"/>
    <d v="2018-05-18T00:00:00"/>
    <x v="10"/>
    <s v="SCBSFFPLUS43383"/>
  </r>
  <r>
    <d v="2018-10-10T00:00:00"/>
    <x v="1"/>
    <s v="FIXED INCOME"/>
    <x v="1"/>
    <m/>
    <x v="107"/>
    <x v="8"/>
    <s v="AA+(tha)"/>
    <x v="19"/>
    <n v="9535.0499999999993"/>
    <n v="9.99"/>
    <n v="9535.0499999999993"/>
    <n v="0"/>
    <x v="58"/>
    <n v="0"/>
    <s v="Bond"/>
    <s v="THB"/>
    <d v="2014-11-03T00:00:00"/>
    <x v="49"/>
    <s v="SCBSFFPLUS43383"/>
  </r>
  <r>
    <d v="2018-10-10T00:00:00"/>
    <x v="1"/>
    <s v="FIXED INCOME"/>
    <x v="1"/>
    <m/>
    <x v="108"/>
    <x v="1"/>
    <s v="AA+(tha)"/>
    <x v="19"/>
    <n v="74614922.409999996"/>
    <n v="52852.22"/>
    <n v="85887038.310000002"/>
    <n v="0"/>
    <x v="59"/>
    <n v="0"/>
    <s v="Bond"/>
    <s v="CNHbb"/>
    <d v="2013-12-06T00:00:00"/>
    <x v="50"/>
    <s v="SCBSFFPLUS43383"/>
  </r>
  <r>
    <d v="2018-10-10T00:00:00"/>
    <x v="1"/>
    <s v="FIXED INCOME"/>
    <x v="1"/>
    <m/>
    <x v="109"/>
    <x v="1"/>
    <s v="AA+(tha)"/>
    <x v="19"/>
    <n v="123841909.17"/>
    <n v="17544.2"/>
    <n v="129319397.17"/>
    <n v="0"/>
    <x v="60"/>
    <n v="0"/>
    <s v="Bond"/>
    <s v="USDbb"/>
    <d v="2013-12-09T00:00:00"/>
    <x v="51"/>
    <s v="SCBSFFPLUS43383"/>
  </r>
  <r>
    <d v="2018-10-10T00:00:00"/>
    <x v="1"/>
    <s v="FIXED INCOME"/>
    <x v="1"/>
    <m/>
    <x v="110"/>
    <x v="9"/>
    <s v="AAA(tha)"/>
    <x v="19"/>
    <n v="57730392.329999998"/>
    <n v="1477963.7"/>
    <n v="57730392.329999998"/>
    <n v="0"/>
    <x v="61"/>
    <n v="0"/>
    <s v="Bond"/>
    <s v="THB"/>
    <d v="2014-01-13T00:00:00"/>
    <x v="52"/>
    <s v="SCBSFFPLUS43383"/>
  </r>
  <r>
    <d v="2018-10-10T00:00:00"/>
    <x v="1"/>
    <s v="FIXED INCOME"/>
    <x v="1"/>
    <m/>
    <x v="29"/>
    <x v="1"/>
    <s v="AA+(tha)"/>
    <x v="20"/>
    <n v="1500000000"/>
    <n v="1294520.55"/>
    <n v="1500000000"/>
    <n v="0.232067"/>
    <x v="21"/>
    <n v="1.5"/>
    <s v="Bond"/>
    <s v="THB"/>
    <d v="2018-09-20T00:00:00"/>
    <x v="15"/>
    <s v="SCBSFFPLUS43383"/>
  </r>
  <r>
    <d v="2018-10-10T00:00:00"/>
    <x v="1"/>
    <s v="FIXED INCOME"/>
    <x v="2"/>
    <m/>
    <x v="111"/>
    <x v="25"/>
    <s v="A+"/>
    <x v="66"/>
    <n v="1352307268.8"/>
    <m/>
    <n v="1352566444"/>
    <n v="0.32145899999999999"/>
    <x v="62"/>
    <n v="1.7"/>
    <s v="Bond"/>
    <s v="THB"/>
    <d v="2018-08-06T00:00:00"/>
    <x v="53"/>
    <s v="SCBSFFPLUS43383"/>
  </r>
  <r>
    <d v="2018-10-10T00:00:00"/>
    <x v="1"/>
    <s v="FIXED INCOME"/>
    <x v="2"/>
    <m/>
    <x v="112"/>
    <x v="26"/>
    <s v="A"/>
    <x v="65"/>
    <n v="299417379"/>
    <m/>
    <n v="299425758"/>
    <n v="0.109379"/>
    <x v="9"/>
    <n v="1.75"/>
    <s v="Bond"/>
    <s v="THB"/>
    <d v="2018-08-16T00:00:00"/>
    <x v="9"/>
    <s v="SCBSFFPLUS43383"/>
  </r>
  <r>
    <d v="2018-10-10T00:00:00"/>
    <x v="1"/>
    <s v="FIXED INCOME"/>
    <x v="2"/>
    <m/>
    <x v="113"/>
    <x v="27"/>
    <s v="A+"/>
    <x v="26"/>
    <n v="1994498500"/>
    <m/>
    <n v="1994543420"/>
    <n v="0.172099"/>
    <x v="47"/>
    <n v="1.585"/>
    <s v="Bond"/>
    <s v="THB"/>
    <d v="2018-04-17T00:00:00"/>
    <x v="54"/>
    <s v="SCBSFFPLUS43383"/>
  </r>
  <r>
    <d v="2018-10-10T00:00:00"/>
    <x v="1"/>
    <s v="FIXED INCOME"/>
    <x v="2"/>
    <m/>
    <x v="114"/>
    <x v="27"/>
    <s v="A+"/>
    <x v="67"/>
    <n v="397771612"/>
    <m/>
    <n v="397782228"/>
    <n v="0.29969099999999999"/>
    <x v="7"/>
    <n v="1.85"/>
    <s v="Bond"/>
    <s v="THB"/>
    <d v="2018-09-17T00:00:00"/>
    <x v="55"/>
    <s v="SCBSFFPLUS43383"/>
  </r>
  <r>
    <d v="2018-10-10T00:00:00"/>
    <x v="1"/>
    <s v="FIXED INCOME"/>
    <x v="2"/>
    <m/>
    <x v="115"/>
    <x v="28"/>
    <s v="A+"/>
    <x v="25"/>
    <n v="1396655652"/>
    <m/>
    <n v="1396464846"/>
    <n v="0.15304499999999999"/>
    <x v="63"/>
    <n v="1.65"/>
    <s v="Bond"/>
    <s v="THB"/>
    <d v="2018-03-15T00:00:00"/>
    <x v="56"/>
    <s v="SCBSFFPLUS43383"/>
  </r>
  <r>
    <d v="2018-10-10T00:00:00"/>
    <x v="1"/>
    <s v="FIXED INCOME"/>
    <x v="2"/>
    <m/>
    <x v="116"/>
    <x v="28"/>
    <s v="A+"/>
    <x v="68"/>
    <n v="991269640"/>
    <m/>
    <n v="992103940"/>
    <n v="0.450824"/>
    <x v="22"/>
    <n v="1.75"/>
    <s v="Bond"/>
    <s v="THB"/>
    <d v="2018-08-14T00:00:00"/>
    <x v="57"/>
    <s v="SCBSFFPLUS43383"/>
  </r>
  <r>
    <d v="2018-10-10T00:00:00"/>
    <x v="1"/>
    <s v="FIXED INCOME"/>
    <x v="2"/>
    <m/>
    <x v="117"/>
    <x v="29"/>
    <s v="AA"/>
    <x v="69"/>
    <n v="1497833265"/>
    <m/>
    <n v="1497833265"/>
    <n v="9.0283000000000002E-2"/>
    <x v="21"/>
    <n v="1.6"/>
    <s v="Bond"/>
    <s v="THB"/>
    <d v="2018-08-17T00:00:00"/>
    <x v="58"/>
    <s v="SCBSFFPLUS43383"/>
  </r>
  <r>
    <d v="2018-10-10T00:00:00"/>
    <x v="1"/>
    <s v="FIXED INCOME"/>
    <x v="2"/>
    <m/>
    <x v="118"/>
    <x v="30"/>
    <s v="A+"/>
    <x v="70"/>
    <n v="1496369355"/>
    <m/>
    <n v="1496369355"/>
    <n v="0.14758399999999999"/>
    <x v="21"/>
    <n v="1.64"/>
    <s v="Bond"/>
    <s v="THB"/>
    <d v="2018-10-09T00:00:00"/>
    <x v="59"/>
    <s v="SCBSFFPLUS43383"/>
  </r>
  <r>
    <d v="2018-10-10T00:00:00"/>
    <x v="1"/>
    <s v="FIXED INCOME"/>
    <x v="2"/>
    <m/>
    <x v="119"/>
    <x v="31"/>
    <s v="BBB+"/>
    <x v="35"/>
    <n v="99933491"/>
    <m/>
    <n v="99925261"/>
    <n v="3.5593E-2"/>
    <x v="45"/>
    <n v="2.1"/>
    <s v="Bond"/>
    <s v="THB"/>
    <d v="2018-04-19T00:00:00"/>
    <x v="60"/>
    <s v="SCBSFFPLUS43383"/>
  </r>
  <r>
    <d v="2018-10-10T00:00:00"/>
    <x v="1"/>
    <s v="FIXED INCOME"/>
    <x v="2"/>
    <m/>
    <x v="120"/>
    <x v="11"/>
    <s v="A"/>
    <x v="51"/>
    <n v="696457103.40999997"/>
    <m/>
    <n v="696633257.35000002"/>
    <n v="0.30529600000000001"/>
    <x v="23"/>
    <n v="1.575"/>
    <s v="Bond"/>
    <s v="THB"/>
    <d v="2018-05-07T00:00:00"/>
    <x v="61"/>
    <s v="SCBSFFPLUS43383"/>
  </r>
  <r>
    <d v="2018-10-10T00:00:00"/>
    <x v="1"/>
    <s v="FIXED INCOME"/>
    <x v="2"/>
    <m/>
    <x v="31"/>
    <x v="11"/>
    <s v="A"/>
    <x v="22"/>
    <n v="844864130"/>
    <m/>
    <n v="844944225.5"/>
    <n v="0.35401199999999999"/>
    <x v="64"/>
    <n v="1.68"/>
    <s v="Bond"/>
    <s v="THB"/>
    <d v="2018-05-24T00:00:00"/>
    <x v="17"/>
    <s v="SCBSFFPLUS43383"/>
  </r>
  <r>
    <d v="2018-10-10T00:00:00"/>
    <x v="1"/>
    <s v="FIXED INCOME"/>
    <x v="3"/>
    <m/>
    <x v="32"/>
    <x v="12"/>
    <s v="BBB+"/>
    <x v="23"/>
    <n v="1487314273.3199999"/>
    <m/>
    <n v="1487291461.8399999"/>
    <n v="9.3044000000000002E-2"/>
    <x v="65"/>
    <n v="1.2332240000000001"/>
    <s v="Bond"/>
    <s v="THB"/>
    <d v="2017-11-15T00:00:00"/>
    <x v="7"/>
    <s v="SCBSFFPLUS43383"/>
  </r>
  <r>
    <d v="2018-10-10T00:00:00"/>
    <x v="1"/>
    <s v="FIXED INCOME"/>
    <x v="3"/>
    <m/>
    <x v="33"/>
    <x v="12"/>
    <s v="BBB+"/>
    <x v="24"/>
    <n v="1180656845.9000001"/>
    <m/>
    <n v="1182603007.5999999"/>
    <n v="0.47296899999999997"/>
    <x v="66"/>
    <n v="1.312079"/>
    <s v="Bond"/>
    <s v="THB"/>
    <d v="2018-04-04T00:00:00"/>
    <x v="7"/>
    <s v="SCBSFFPLUS43383"/>
  </r>
  <r>
    <d v="2018-10-10T00:00:00"/>
    <x v="1"/>
    <s v="FIXED INCOME"/>
    <x v="4"/>
    <m/>
    <x v="34"/>
    <x v="13"/>
    <m/>
    <x v="25"/>
    <n v="6986066150"/>
    <m/>
    <n v="6985610380"/>
    <n v="0.153115"/>
    <x v="67"/>
    <n v="1.3426100000000001"/>
    <s v="Bond"/>
    <s v="THB"/>
    <d v="2018-09-06T00:00:00"/>
    <x v="18"/>
    <s v="SCBSFFPLUS43383"/>
  </r>
  <r>
    <d v="2018-10-10T00:00:00"/>
    <x v="1"/>
    <s v="FIXED INCOME"/>
    <x v="4"/>
    <m/>
    <x v="121"/>
    <x v="13"/>
    <m/>
    <x v="26"/>
    <n v="569755214.28999996"/>
    <m/>
    <n v="569755214.28999996"/>
    <n v="0.17217499999999999"/>
    <x v="68"/>
    <n v="1.265779"/>
    <s v="Bond"/>
    <s v="THB"/>
    <d v="2018-06-14T00:00:00"/>
    <x v="19"/>
    <s v="SCBSFFPLUS43383"/>
  </r>
  <r>
    <d v="2018-10-10T00:00:00"/>
    <x v="1"/>
    <s v="FIXED INCOME"/>
    <x v="4"/>
    <m/>
    <x v="35"/>
    <x v="13"/>
    <m/>
    <x v="26"/>
    <n v="5126790983.0500002"/>
    <m/>
    <n v="5126690811.5500002"/>
    <n v="0.17219100000000001"/>
    <x v="69"/>
    <n v="1.165035"/>
    <s v="Bond"/>
    <s v="THB"/>
    <d v="2018-09-13T00:00:00"/>
    <x v="18"/>
    <s v="SCBSFFPLUS43383"/>
  </r>
  <r>
    <d v="2018-10-10T00:00:00"/>
    <x v="1"/>
    <s v="FIXED INCOME"/>
    <x v="4"/>
    <m/>
    <x v="36"/>
    <x v="13"/>
    <m/>
    <x v="27"/>
    <n v="4488197586.0699997"/>
    <m/>
    <n v="4487150893.7200003"/>
    <n v="0.19125700000000001"/>
    <x v="70"/>
    <n v="1.376922"/>
    <s v="Bond"/>
    <s v="THB"/>
    <d v="2018-09-20T00:00:00"/>
    <x v="18"/>
    <s v="SCBSFFPLUS43383"/>
  </r>
  <r>
    <d v="2018-10-10T00:00:00"/>
    <x v="1"/>
    <s v="FIXED INCOME"/>
    <x v="4"/>
    <m/>
    <x v="122"/>
    <x v="13"/>
    <m/>
    <x v="71"/>
    <n v="847532637"/>
    <m/>
    <n v="847329453"/>
    <n v="0.210337"/>
    <x v="64"/>
    <n v="1.494"/>
    <s v="Bond"/>
    <s v="THB"/>
    <d v="2018-09-27T00:00:00"/>
    <x v="18"/>
    <s v="SCBSFFPLUS43383"/>
  </r>
  <r>
    <d v="2018-10-10T00:00:00"/>
    <x v="1"/>
    <s v="FIXED INCOME"/>
    <x v="4"/>
    <m/>
    <x v="37"/>
    <x v="13"/>
    <m/>
    <x v="28"/>
    <n v="885415762.74000001"/>
    <m/>
    <n v="885415762.74000001"/>
    <n v="5.7493000000000002E-2"/>
    <x v="71"/>
    <n v="1.146879"/>
    <s v="Bond"/>
    <s v="THB"/>
    <d v="2018-05-03T00:00:00"/>
    <x v="19"/>
    <s v="SCBSFFPLUS43383"/>
  </r>
  <r>
    <d v="2018-10-10T00:00:00"/>
    <x v="1"/>
    <s v="FIXED INCOME"/>
    <x v="4"/>
    <m/>
    <x v="38"/>
    <x v="13"/>
    <m/>
    <x v="28"/>
    <n v="3007785392.5"/>
    <m/>
    <n v="3007772600"/>
    <n v="5.7493000000000002E-2"/>
    <x v="72"/>
    <n v="1.2871360000000001"/>
    <s v="Bond"/>
    <s v="THB"/>
    <d v="2018-08-02T00:00:00"/>
    <x v="18"/>
    <s v="SCBSFFPLUS43383"/>
  </r>
  <r>
    <d v="2018-10-10T00:00:00"/>
    <x v="1"/>
    <s v="FIXED INCOME"/>
    <x v="4"/>
    <m/>
    <x v="39"/>
    <x v="13"/>
    <m/>
    <x v="29"/>
    <n v="1060014691.74"/>
    <m/>
    <n v="1060014691.74"/>
    <n v="7.6638999999999999E-2"/>
    <x v="73"/>
    <n v="1.2117009999999999"/>
    <s v="Bond"/>
    <s v="THB"/>
    <d v="2018-05-10T00:00:00"/>
    <x v="19"/>
    <s v="SCBSFFPLUS43383"/>
  </r>
  <r>
    <d v="2018-10-10T00:00:00"/>
    <x v="1"/>
    <s v="FIXED INCOME"/>
    <x v="4"/>
    <m/>
    <x v="40"/>
    <x v="13"/>
    <m/>
    <x v="29"/>
    <n v="5713470642.04"/>
    <m/>
    <n v="5713444105.8800001"/>
    <n v="7.6638999999999999E-2"/>
    <x v="74"/>
    <n v="1.2676259999999999"/>
    <s v="Bond"/>
    <s v="THB"/>
    <d v="2018-08-09T00:00:00"/>
    <x v="18"/>
    <s v="SCBSFFPLUS43383"/>
  </r>
  <r>
    <d v="2018-10-10T00:00:00"/>
    <x v="1"/>
    <s v="FIXED INCOME"/>
    <x v="4"/>
    <m/>
    <x v="41"/>
    <x v="13"/>
    <m/>
    <x v="30"/>
    <n v="624303493.75"/>
    <m/>
    <n v="624303493.75"/>
    <n v="9.5774999999999999E-2"/>
    <x v="75"/>
    <n v="1.1634640000000001"/>
    <s v="Bond"/>
    <s v="THB"/>
    <d v="2018-05-17T00:00:00"/>
    <x v="19"/>
    <s v="SCBSFFPLUS43383"/>
  </r>
  <r>
    <d v="2018-10-10T00:00:00"/>
    <x v="1"/>
    <s v="FIXED INCOME"/>
    <x v="4"/>
    <m/>
    <x v="42"/>
    <x v="13"/>
    <m/>
    <x v="30"/>
    <n v="7924456984.8000002"/>
    <m/>
    <n v="7924448495.4200001"/>
    <n v="9.5776E-2"/>
    <x v="76"/>
    <n v="1.2569760000000001"/>
    <s v="Bond"/>
    <s v="THB"/>
    <d v="2018-08-16T00:00:00"/>
    <x v="18"/>
    <s v="SCBSFFPLUS43383"/>
  </r>
  <r>
    <d v="2018-10-10T00:00:00"/>
    <x v="1"/>
    <s v="FIXED INCOME"/>
    <x v="4"/>
    <m/>
    <x v="43"/>
    <x v="13"/>
    <m/>
    <x v="31"/>
    <n v="2846957937.73"/>
    <m/>
    <n v="2846957937.73"/>
    <n v="0.114899"/>
    <x v="77"/>
    <n v="1.2338579999999999"/>
    <s v="Bond"/>
    <s v="THB"/>
    <d v="2018-05-24T00:00:00"/>
    <x v="19"/>
    <s v="SCBSFFPLUS43383"/>
  </r>
  <r>
    <d v="2018-10-10T00:00:00"/>
    <x v="1"/>
    <s v="FIXED INCOME"/>
    <x v="4"/>
    <m/>
    <x v="44"/>
    <x v="13"/>
    <m/>
    <x v="31"/>
    <n v="4738184709.0500002"/>
    <m/>
    <n v="4738059014"/>
    <n v="0.114899"/>
    <x v="78"/>
    <n v="1.273101"/>
    <s v="Bond"/>
    <s v="THB"/>
    <d v="2018-08-23T00:00:00"/>
    <x v="18"/>
    <s v="SCBSFFPLUS43383"/>
  </r>
  <r>
    <d v="2018-10-10T00:00:00"/>
    <x v="1"/>
    <s v="FIXED INCOME"/>
    <x v="4"/>
    <m/>
    <x v="45"/>
    <x v="13"/>
    <m/>
    <x v="32"/>
    <n v="995382736.38999999"/>
    <m/>
    <n v="995382955.73000002"/>
    <n v="0.13400799999999999"/>
    <x v="79"/>
    <n v="1.2101200000000001"/>
    <s v="Bond"/>
    <s v="THB"/>
    <d v="2018-05-31T00:00:00"/>
    <x v="19"/>
    <s v="SCBSFFPLUS43383"/>
  </r>
  <r>
    <d v="2018-10-10T00:00:00"/>
    <x v="1"/>
    <s v="FIXED INCOME"/>
    <x v="4"/>
    <m/>
    <x v="46"/>
    <x v="13"/>
    <m/>
    <x v="32"/>
    <n v="7047733130.1000004"/>
    <m/>
    <n v="7047237094.1700001"/>
    <n v="0.13401399999999999"/>
    <x v="80"/>
    <n v="1.2433479999999999"/>
    <s v="Bond"/>
    <s v="THB"/>
    <d v="2018-08-30T00:00:00"/>
    <x v="18"/>
    <s v="SCBSFFPLUS43383"/>
  </r>
  <r>
    <d v="2018-10-10T00:00:00"/>
    <x v="1"/>
    <s v="FIXED INCOME"/>
    <x v="4"/>
    <m/>
    <x v="47"/>
    <x v="13"/>
    <m/>
    <x v="33"/>
    <n v="452000000"/>
    <m/>
    <n v="452000000"/>
    <n v="2.7399999999999998E-3"/>
    <x v="81"/>
    <n v="1.1412439999999999"/>
    <s v="Bond"/>
    <s v="THB"/>
    <d v="2018-04-12T00:00:00"/>
    <x v="19"/>
    <s v="SCBSFFPLUS43383"/>
  </r>
  <r>
    <d v="2018-10-10T00:00:00"/>
    <x v="1"/>
    <s v="FIXED INCOME"/>
    <x v="4"/>
    <m/>
    <x v="48"/>
    <x v="13"/>
    <m/>
    <x v="33"/>
    <n v="5126000000"/>
    <m/>
    <n v="5126000000"/>
    <n v="2.7399999999999998E-3"/>
    <x v="82"/>
    <n v="1.309858"/>
    <s v="Bond"/>
    <s v="THB"/>
    <d v="2018-07-12T00:00:00"/>
    <x v="18"/>
    <s v="SCBSFFPLUS43383"/>
  </r>
  <r>
    <d v="2018-10-10T00:00:00"/>
    <x v="1"/>
    <s v="FIXED INCOME"/>
    <x v="4"/>
    <m/>
    <x v="49"/>
    <x v="13"/>
    <m/>
    <x v="6"/>
    <n v="5280195598.0799999"/>
    <m/>
    <n v="5280195598.0799999"/>
    <n v="1.3696E-2"/>
    <x v="83"/>
    <n v="1.1121160000000001"/>
    <s v="Bond"/>
    <s v="THB"/>
    <d v="2018-10-02T00:00:00"/>
    <x v="20"/>
    <s v="SCBSFFPLUS43383"/>
  </r>
  <r>
    <d v="2018-10-10T00:00:00"/>
    <x v="1"/>
    <s v="FIXED INCOME"/>
    <x v="4"/>
    <m/>
    <x v="50"/>
    <x v="13"/>
    <m/>
    <x v="34"/>
    <n v="673850264.15999997"/>
    <m/>
    <n v="673850264.15999997"/>
    <n v="1.9174E-2"/>
    <x v="84"/>
    <n v="1.1586799999999999"/>
    <s v="Bond"/>
    <s v="THB"/>
    <d v="2018-04-19T00:00:00"/>
    <x v="19"/>
    <s v="SCBSFFPLUS43383"/>
  </r>
  <r>
    <d v="2018-10-10T00:00:00"/>
    <x v="1"/>
    <s v="FIXED INCOME"/>
    <x v="4"/>
    <m/>
    <x v="51"/>
    <x v="13"/>
    <m/>
    <x v="34"/>
    <n v="6015479203.25"/>
    <m/>
    <n v="6015446952.1300001"/>
    <n v="1.9174E-2"/>
    <x v="85"/>
    <n v="1.346217"/>
    <s v="Bond"/>
    <s v="THB"/>
    <d v="2018-07-19T00:00:00"/>
    <x v="18"/>
    <s v="SCBSFFPLUS43383"/>
  </r>
  <r>
    <d v="2018-10-10T00:00:00"/>
    <x v="1"/>
    <s v="FIXED INCOME"/>
    <x v="4"/>
    <m/>
    <x v="52"/>
    <x v="13"/>
    <m/>
    <x v="35"/>
    <n v="996596045.50999999"/>
    <m/>
    <n v="996596045.50999999"/>
    <n v="3.5601000000000001E-2"/>
    <x v="79"/>
    <n v="1.138056"/>
    <s v="Bond"/>
    <s v="THB"/>
    <d v="2018-10-09T00:00:00"/>
    <x v="21"/>
    <s v="SCBSFFPLUS43383"/>
  </r>
  <r>
    <d v="2018-10-10T00:00:00"/>
    <x v="1"/>
    <s v="FIXED INCOME"/>
    <x v="4"/>
    <m/>
    <x v="53"/>
    <x v="13"/>
    <m/>
    <x v="36"/>
    <n v="409818156.80000001"/>
    <m/>
    <n v="409818156.80000001"/>
    <n v="3.8338999999999998E-2"/>
    <x v="86"/>
    <n v="1.1568210000000001"/>
    <s v="Bond"/>
    <s v="THB"/>
    <d v="2018-04-26T00:00:00"/>
    <x v="19"/>
    <s v="SCBSFFPLUS43383"/>
  </r>
  <r>
    <d v="2018-10-10T00:00:00"/>
    <x v="1"/>
    <s v="FIXED INCOME"/>
    <x v="4"/>
    <m/>
    <x v="54"/>
    <x v="13"/>
    <m/>
    <x v="36"/>
    <n v="6467894761.2299995"/>
    <m/>
    <n v="6467763658.7700005"/>
    <n v="3.8338999999999998E-2"/>
    <x v="87"/>
    <n v="1.304557"/>
    <s v="Bond"/>
    <s v="THB"/>
    <d v="2018-07-26T00:00:00"/>
    <x v="18"/>
    <s v="SCBSFFPLUS43383"/>
  </r>
  <r>
    <d v="2018-10-10T00:00:00"/>
    <x v="1"/>
    <s v="FIXED INCOME"/>
    <x v="4"/>
    <m/>
    <x v="123"/>
    <x v="13"/>
    <m/>
    <x v="20"/>
    <n v="302026894.29000002"/>
    <m/>
    <n v="301961855.33999997"/>
    <n v="0.22930300000000001"/>
    <x v="88"/>
    <n v="1.4938940000000001"/>
    <s v="Bond"/>
    <s v="THB"/>
    <d v="2018-07-05T00:00:00"/>
    <x v="19"/>
    <s v="SCBSFFPLUS43383"/>
  </r>
  <r>
    <d v="2018-10-10T00:00:00"/>
    <x v="1"/>
    <s v="FIXED INCOME"/>
    <x v="4"/>
    <m/>
    <x v="55"/>
    <x v="13"/>
    <m/>
    <x v="20"/>
    <n v="6446192426.5200005"/>
    <m/>
    <n v="6445892246.6400003"/>
    <n v="0.229353"/>
    <x v="89"/>
    <n v="1.4903040000000001"/>
    <s v="Bond"/>
    <s v="THB"/>
    <d v="2018-10-04T00:00:00"/>
    <x v="18"/>
    <s v="SCBSFFPLUS43383"/>
  </r>
  <r>
    <d v="2018-10-10T00:00:00"/>
    <x v="1"/>
    <s v="FIXED INCOME"/>
    <x v="4"/>
    <m/>
    <x v="56"/>
    <x v="13"/>
    <m/>
    <x v="37"/>
    <n v="4980696211.96"/>
    <m/>
    <n v="4980696211.96"/>
    <n v="0.25205499999999997"/>
    <x v="90"/>
    <n v="1.5545469999999999"/>
    <s v="Bond"/>
    <s v="THB"/>
    <d v="2018-10-11T00:00:00"/>
    <x v="18"/>
    <s v="SCBSFFPLUS43383"/>
  </r>
  <r>
    <d v="2018-10-10T00:00:00"/>
    <x v="1"/>
    <s v="FIXED INCOME"/>
    <x v="5"/>
    <m/>
    <x v="124"/>
    <x v="32"/>
    <s v="BBB+"/>
    <x v="72"/>
    <n v="314476765.30000001"/>
    <n v="4050564.3"/>
    <n v="313000000"/>
    <n v="1.0776760000000001"/>
    <x v="91"/>
    <n v="3.35"/>
    <s v="Bond"/>
    <s v="THB"/>
    <d v="2016-11-23T00:00:00"/>
    <x v="62"/>
    <s v="SCBSFFPLUS43383"/>
  </r>
  <r>
    <d v="2018-10-10T00:00:00"/>
    <x v="1"/>
    <s v="FIXED INCOME"/>
    <x v="5"/>
    <m/>
    <x v="125"/>
    <x v="33"/>
    <s v="AAA(tha)"/>
    <x v="73"/>
    <n v="10000304.699999999"/>
    <n v="81287.7"/>
    <n v="10069112.1"/>
    <n v="1.0983890000000001"/>
    <x v="17"/>
    <n v="1.52"/>
    <s v="Bond"/>
    <s v="THB"/>
    <d v="2017-05-26T00:00:00"/>
    <x v="63"/>
    <s v="SCBSFFPLUS43383"/>
  </r>
  <r>
    <d v="2018-10-10T00:00:00"/>
    <x v="1"/>
    <s v="FIXED INCOME"/>
    <x v="5"/>
    <m/>
    <x v="126"/>
    <x v="15"/>
    <s v="A-"/>
    <x v="30"/>
    <n v="500049740"/>
    <n v="5063015"/>
    <n v="500000000"/>
    <n v="9.5762E-2"/>
    <x v="6"/>
    <n v="1.6"/>
    <s v="Bond"/>
    <s v="THB"/>
    <d v="2018-02-22T00:00:00"/>
    <x v="56"/>
    <s v="SCBSFFPLUS43383"/>
  </r>
  <r>
    <d v="2018-10-10T00:00:00"/>
    <x v="1"/>
    <s v="FIXED INCOME"/>
    <x v="5"/>
    <m/>
    <x v="127"/>
    <x v="15"/>
    <s v="A-"/>
    <x v="65"/>
    <n v="500057780"/>
    <n v="4975340"/>
    <n v="500000000"/>
    <n v="0.109418"/>
    <x v="6"/>
    <n v="1.6"/>
    <s v="Bond"/>
    <s v="THB"/>
    <d v="2018-02-26T00:00:00"/>
    <x v="64"/>
    <s v="SCBSFFPLUS43383"/>
  </r>
  <r>
    <d v="2018-10-10T00:00:00"/>
    <x v="1"/>
    <s v="FIXED INCOME"/>
    <x v="5"/>
    <m/>
    <x v="128"/>
    <x v="15"/>
    <s v="A-"/>
    <x v="31"/>
    <n v="500056490"/>
    <n v="4953425"/>
    <n v="500000000"/>
    <n v="0.114879"/>
    <x v="6"/>
    <n v="1.6"/>
    <s v="Bond"/>
    <s v="THB"/>
    <d v="2018-02-27T00:00:00"/>
    <x v="65"/>
    <s v="SCBSFFPLUS43383"/>
  </r>
  <r>
    <d v="2018-10-10T00:00:00"/>
    <x v="1"/>
    <s v="FIXED INCOME"/>
    <x v="5"/>
    <m/>
    <x v="129"/>
    <x v="15"/>
    <s v="A-"/>
    <x v="74"/>
    <n v="500056325"/>
    <n v="4953425"/>
    <n v="500000000"/>
    <n v="0.11760900000000001"/>
    <x v="6"/>
    <n v="1.6"/>
    <s v="Bond"/>
    <s v="THB"/>
    <d v="2018-02-27T00:00:00"/>
    <x v="61"/>
    <s v="SCBSFFPLUS43383"/>
  </r>
  <r>
    <d v="2018-10-10T00:00:00"/>
    <x v="1"/>
    <s v="FIXED INCOME"/>
    <x v="5"/>
    <m/>
    <x v="130"/>
    <x v="15"/>
    <s v="A-"/>
    <x v="75"/>
    <n v="130020868.90000001"/>
    <n v="1242300.8"/>
    <n v="130000000"/>
    <n v="0.136711"/>
    <x v="92"/>
    <n v="1.6"/>
    <s v="Bond"/>
    <s v="THB"/>
    <d v="2018-03-07T00:00:00"/>
    <x v="65"/>
    <s v="SCBSFFPLUS43383"/>
  </r>
  <r>
    <d v="2018-10-10T00:00:00"/>
    <x v="1"/>
    <s v="FIXED INCOME"/>
    <x v="5"/>
    <m/>
    <x v="131"/>
    <x v="15"/>
    <s v="A-"/>
    <x v="15"/>
    <n v="199952106"/>
    <n v="1490410"/>
    <n v="200000000"/>
    <n v="0.270005"/>
    <x v="13"/>
    <n v="1.6"/>
    <s v="Bond"/>
    <s v="THB"/>
    <d v="2018-04-24T00:00:00"/>
    <x v="61"/>
    <s v="SCBSFFPLUS43383"/>
  </r>
  <r>
    <d v="2018-10-10T00:00:00"/>
    <x v="1"/>
    <s v="FIXED INCOME"/>
    <x v="5"/>
    <m/>
    <x v="132"/>
    <x v="15"/>
    <s v="A-"/>
    <x v="15"/>
    <n v="849796620.5"/>
    <n v="6296987"/>
    <n v="850000000"/>
    <n v="0.270005"/>
    <x v="64"/>
    <n v="1.6"/>
    <s v="Bond"/>
    <s v="THB"/>
    <d v="2018-04-25T00:00:00"/>
    <x v="65"/>
    <s v="SCBSFFPLUS43383"/>
  </r>
  <r>
    <d v="2018-10-10T00:00:00"/>
    <x v="1"/>
    <s v="FIXED INCOME"/>
    <x v="5"/>
    <m/>
    <x v="133"/>
    <x v="15"/>
    <s v="A-"/>
    <x v="76"/>
    <n v="917433139.25"/>
    <n v="915370.75"/>
    <n v="925000000"/>
    <n v="1.4092910000000001"/>
    <x v="93"/>
    <n v="1.72"/>
    <s v="Bond"/>
    <s v="THB"/>
    <d v="2018-03-20T00:00:00"/>
    <x v="66"/>
    <s v="SCBSFFPLUS43383"/>
  </r>
  <r>
    <d v="2018-10-10T00:00:00"/>
    <x v="1"/>
    <s v="FIXED INCOME"/>
    <x v="5"/>
    <m/>
    <x v="134"/>
    <x v="34"/>
    <s v="A-"/>
    <x v="77"/>
    <n v="1153684849.1800001"/>
    <n v="593790.47"/>
    <n v="1159000000"/>
    <n v="0.95111699999999999"/>
    <x v="94"/>
    <n v="1.7"/>
    <s v="Bond"/>
    <s v="THB"/>
    <d v="2018-03-30T00:00:00"/>
    <x v="67"/>
    <s v="SCBSFFPLUS43383"/>
  </r>
  <r>
    <d v="2018-10-10T00:00:00"/>
    <x v="1"/>
    <s v="FIXED INCOME"/>
    <x v="5"/>
    <m/>
    <x v="135"/>
    <x v="34"/>
    <s v="A-"/>
    <x v="78"/>
    <n v="158696267.19999999"/>
    <n v="84384"/>
    <n v="160000000"/>
    <n v="1.4360360000000001"/>
    <x v="54"/>
    <n v="1.75"/>
    <s v="Bond"/>
    <s v="THB"/>
    <d v="2018-03-30T00:00:00"/>
    <x v="66"/>
    <s v="SCBSFFPLUS43383"/>
  </r>
  <r>
    <d v="2018-10-10T00:00:00"/>
    <x v="1"/>
    <s v="FIXED INCOME"/>
    <x v="5"/>
    <m/>
    <x v="136"/>
    <x v="30"/>
    <s v="A+"/>
    <x v="79"/>
    <n v="70030169.299999997"/>
    <n v="1537718"/>
    <n v="70023681"/>
    <n v="1.6322E-2"/>
    <x v="8"/>
    <n v="2.0590000000000002"/>
    <s v="Bond"/>
    <s v="THB"/>
    <d v="2013-10-17T00:00:00"/>
    <x v="22"/>
    <s v="SCBSFFPLUS43383"/>
  </r>
  <r>
    <d v="2018-10-10T00:00:00"/>
    <x v="1"/>
    <s v="FIXED INCOME"/>
    <x v="5"/>
    <m/>
    <x v="137"/>
    <x v="35"/>
    <s v="A"/>
    <x v="69"/>
    <n v="13514073.619999999"/>
    <n v="58482.68"/>
    <n v="13505463.449999999"/>
    <n v="9.0082999999999996E-2"/>
    <x v="95"/>
    <n v="2.1649630000000002"/>
    <s v="Bond"/>
    <s v="THB"/>
    <d v="2015-05-13T00:00:00"/>
    <x v="68"/>
    <s v="SCBSFFPLUS43383"/>
  </r>
  <r>
    <d v="2018-10-10T00:00:00"/>
    <x v="1"/>
    <s v="FIXED INCOME"/>
    <x v="5"/>
    <m/>
    <x v="138"/>
    <x v="36"/>
    <s v="A-"/>
    <x v="80"/>
    <n v="358715137.11000001"/>
    <n v="773338.83"/>
    <n v="363000000"/>
    <n v="2.3130760000000001"/>
    <x v="96"/>
    <n v="2.16"/>
    <s v="Bond"/>
    <s v="THB"/>
    <d v="2018-03-05T00:00:00"/>
    <x v="69"/>
    <s v="SCBSFFPLUS43383"/>
  </r>
  <r>
    <d v="2018-10-10T00:00:00"/>
    <x v="1"/>
    <s v="FIXED INCOME"/>
    <x v="5"/>
    <m/>
    <x v="139"/>
    <x v="1"/>
    <s v="AA+(tha)"/>
    <x v="22"/>
    <n v="615833365.84000003"/>
    <n v="1485151.36"/>
    <n v="616000000"/>
    <n v="0.35405500000000001"/>
    <x v="97"/>
    <n v="1.6"/>
    <s v="Bond"/>
    <s v="THB"/>
    <d v="2018-08-17T00:00:00"/>
    <x v="70"/>
    <s v="SCBSFFPLUS43383"/>
  </r>
  <r>
    <d v="2018-10-10T00:00:00"/>
    <x v="1"/>
    <s v="FIXED INCOME"/>
    <x v="5"/>
    <m/>
    <x v="140"/>
    <x v="11"/>
    <s v="A"/>
    <x v="81"/>
    <n v="111861478.67"/>
    <n v="168231.01"/>
    <n v="113000000"/>
    <n v="2.3435800000000002"/>
    <x v="98"/>
    <n v="2.09"/>
    <s v="Bond"/>
    <s v="THB"/>
    <d v="2018-03-15T00:00:00"/>
    <x v="69"/>
    <s v="SCBSFFPLUS43383"/>
  </r>
  <r>
    <d v="2018-10-10T00:00:00"/>
    <x v="1"/>
    <s v="FIXED INCOME"/>
    <x v="5"/>
    <m/>
    <x v="141"/>
    <x v="37"/>
    <s v="AA"/>
    <x v="82"/>
    <n v="446410566"/>
    <n v="419301"/>
    <n v="450000000"/>
    <n v="1.413824"/>
    <x v="99"/>
    <n v="1.79"/>
    <s v="Bond"/>
    <s v="THB"/>
    <d v="2018-03-22T00:00:00"/>
    <x v="66"/>
    <s v="SCBSFFPLUS43383"/>
  </r>
  <r>
    <d v="2018-10-10T00:00:00"/>
    <x v="1"/>
    <s v="FIXED INCOME"/>
    <x v="5"/>
    <m/>
    <x v="142"/>
    <x v="37"/>
    <s v="AA"/>
    <x v="83"/>
    <n v="1478613168.6199999"/>
    <n v="1637538.7"/>
    <n v="1498136512.74"/>
    <n v="2.3606829999999999"/>
    <x v="100"/>
    <n v="2.0995659999999998"/>
    <s v="Bond"/>
    <s v="THB"/>
    <d v="2018-03-22T00:00:00"/>
    <x v="69"/>
    <s v="SCBSFFPLUS43383"/>
  </r>
  <r>
    <d v="2018-10-10T00:00:00"/>
    <x v="1"/>
    <s v="FIXED INCOME"/>
    <x v="5"/>
    <m/>
    <x v="143"/>
    <x v="38"/>
    <s v="A-"/>
    <x v="60"/>
    <n v="165268478.44999999"/>
    <n v="170859.55"/>
    <n v="165926666.71000001"/>
    <n v="0.95351699999999995"/>
    <x v="101"/>
    <n v="1.7"/>
    <s v="Bond"/>
    <s v="THB"/>
    <d v="2014-10-02T00:00:00"/>
    <x v="22"/>
    <s v="SCBSFFPLUS43383"/>
  </r>
  <r>
    <d v="2018-10-10T00:00:00"/>
    <x v="1"/>
    <s v="FIXED INCOME"/>
    <x v="5"/>
    <m/>
    <x v="144"/>
    <x v="7"/>
    <s v="A"/>
    <x v="32"/>
    <n v="300137418"/>
    <n v="2052741"/>
    <n v="300000000"/>
    <n v="0.133241"/>
    <x v="9"/>
    <n v="1.85"/>
    <s v="Bond"/>
    <s v="THB"/>
    <d v="2017-05-29T00:00:00"/>
    <x v="67"/>
    <s v="SCBSFFPLUS43383"/>
  </r>
  <r>
    <d v="2018-10-10T00:00:00"/>
    <x v="1"/>
    <s v="FIXED INCOME"/>
    <x v="5"/>
    <m/>
    <x v="145"/>
    <x v="7"/>
    <s v="A"/>
    <x v="11"/>
    <n v="623065262.5"/>
    <n v="1812331.25"/>
    <n v="625000000"/>
    <n v="0.81894900000000004"/>
    <x v="75"/>
    <n v="1.68"/>
    <s v="Bond"/>
    <s v="THB"/>
    <d v="2018-02-09T00:00:00"/>
    <x v="71"/>
    <s v="SCBSFFPLUS43383"/>
  </r>
  <r>
    <d v="2018-10-10T00:00:00"/>
    <x v="1"/>
    <s v="FIXED INCOME"/>
    <x v="5"/>
    <m/>
    <x v="146"/>
    <x v="7"/>
    <s v="A"/>
    <x v="84"/>
    <n v="18893117.210000001"/>
    <n v="130267.04"/>
    <n v="19000000"/>
    <n v="1.5698570000000001"/>
    <x v="102"/>
    <n v="1.75"/>
    <s v="Bond"/>
    <s v="THB"/>
    <d v="2018-05-21T00:00:00"/>
    <x v="66"/>
    <s v="SCBSFFPLUS43383"/>
  </r>
  <r>
    <d v="2018-10-10T00:00:00"/>
    <x v="1"/>
    <s v="FIXED INCOME"/>
    <x v="5"/>
    <m/>
    <x v="147"/>
    <x v="39"/>
    <s v="BBB+"/>
    <x v="85"/>
    <n v="5448883513"/>
    <n v="97132461.5"/>
    <n v="5450000000"/>
    <n v="0.36340499999999998"/>
    <x v="103"/>
    <n v="2.78"/>
    <s v="Bond"/>
    <s v="THB"/>
    <d v="2018-02-19T00:00:00"/>
    <x v="72"/>
    <s v="SCBSFFPLUS43383"/>
  </r>
  <r>
    <d v="2018-10-10T00:00:00"/>
    <x v="1"/>
    <s v="FIXED INCOME"/>
    <x v="5"/>
    <m/>
    <x v="148"/>
    <x v="40"/>
    <s v="BBB+"/>
    <x v="67"/>
    <n v="497953770.66000003"/>
    <n v="4267790.28"/>
    <n v="498000000"/>
    <n v="0.29928500000000002"/>
    <x v="104"/>
    <n v="2.2999999999999998"/>
    <s v="Bond"/>
    <s v="THB"/>
    <d v="2018-05-28T00:00:00"/>
    <x v="73"/>
    <s v="SCBSFFPLUS43383"/>
  </r>
  <r>
    <d v="2018-10-10T00:00:00"/>
    <x v="1"/>
    <s v="FIXED INCOME"/>
    <x v="5"/>
    <m/>
    <x v="149"/>
    <x v="40"/>
    <s v="BBB+"/>
    <x v="86"/>
    <n v="1366269822"/>
    <n v="9707177.5199999996"/>
    <n v="1368000000"/>
    <n v="2.638757"/>
    <x v="105"/>
    <n v="3.7"/>
    <s v="Bond"/>
    <s v="THB"/>
    <d v="2018-08-02T00:00:00"/>
    <x v="69"/>
    <s v="SCBSFFPLUS43383"/>
  </r>
  <r>
    <d v="2018-10-10T00:00:00"/>
    <x v="1"/>
    <s v="FIXED INCOME"/>
    <x v="5"/>
    <m/>
    <x v="150"/>
    <x v="41"/>
    <s v="A-"/>
    <x v="87"/>
    <n v="69400639"/>
    <n v="348350.8"/>
    <n v="70000000"/>
    <n v="2.4463970000000002"/>
    <x v="8"/>
    <n v="2.39"/>
    <s v="Bond"/>
    <s v="THB"/>
    <d v="2018-04-27T00:00:00"/>
    <x v="69"/>
    <s v="SCBSFFPLUS43383"/>
  </r>
  <r>
    <d v="2018-10-10T00:00:00"/>
    <x v="1"/>
    <s v="FIXED INCOME"/>
    <x v="5"/>
    <m/>
    <x v="151"/>
    <x v="42"/>
    <s v="A"/>
    <x v="88"/>
    <n v="260020891.30000001"/>
    <n v="178448.2"/>
    <n v="262000000"/>
    <n v="2.3912019999999998"/>
    <x v="106"/>
    <n v="2.2599999999999998"/>
    <s v="Bond"/>
    <s v="THB"/>
    <d v="2018-03-30T00:00:00"/>
    <x v="69"/>
    <s v="SCBSFFPLUS43383"/>
  </r>
  <r>
    <d v="2018-10-10T00:00:00"/>
    <x v="1"/>
    <s v="FIXED INCOME"/>
    <x v="5"/>
    <m/>
    <x v="152"/>
    <x v="43"/>
    <s v="A-"/>
    <x v="89"/>
    <n v="393193078.19999999"/>
    <n v="1921366.2"/>
    <n v="390000000"/>
    <n v="1.7822849999999999"/>
    <x v="107"/>
    <n v="3.33"/>
    <s v="Bond"/>
    <s v="THB"/>
    <d v="2017-08-18T00:00:00"/>
    <x v="69"/>
    <s v="SCBSFFPLUS43383"/>
  </r>
  <r>
    <d v="2018-10-10T00:00:00"/>
    <x v="1"/>
    <s v="FIXED INCOME"/>
    <x v="5"/>
    <m/>
    <x v="153"/>
    <x v="44"/>
    <s v="A+"/>
    <x v="27"/>
    <n v="15087163.65"/>
    <n v="213152.1"/>
    <n v="15073518"/>
    <n v="0.19026299999999999"/>
    <x v="108"/>
    <n v="1.97"/>
    <s v="Bond"/>
    <s v="THB"/>
    <d v="2011-12-20T00:00:00"/>
    <x v="74"/>
    <s v="SCBSFFPLUS43383"/>
  </r>
  <r>
    <d v="2018-10-10T00:00:00"/>
    <x v="1"/>
    <s v="FIXED INCOME"/>
    <x v="5"/>
    <m/>
    <x v="154"/>
    <x v="45"/>
    <s v="A+"/>
    <x v="90"/>
    <n v="50142533.5"/>
    <n v="464041"/>
    <n v="50741961"/>
    <n v="1.5990059999999999"/>
    <x v="3"/>
    <n v="1.7949999999999999"/>
    <s v="Bond"/>
    <s v="THB"/>
    <d v="2016-12-08T00:00:00"/>
    <x v="75"/>
    <s v="SCBSFFPLUS43383"/>
  </r>
  <r>
    <d v="2018-10-10T00:00:00"/>
    <x v="1"/>
    <s v="FIXED INCOME"/>
    <x v="5"/>
    <m/>
    <x v="155"/>
    <x v="46"/>
    <s v="A"/>
    <x v="91"/>
    <n v="8127700.7999999998"/>
    <n v="115726"/>
    <n v="8151408.0800000001"/>
    <n v="1.05698"/>
    <x v="109"/>
    <n v="1.75"/>
    <s v="Bond"/>
    <s v="THB"/>
    <d v="2014-11-14T00:00:00"/>
    <x v="22"/>
    <s v="SCBSFFPLUS43383"/>
  </r>
  <r>
    <d v="2018-10-10T00:00:00"/>
    <x v="1"/>
    <s v="FIXED INCOME"/>
    <x v="5"/>
    <m/>
    <x v="57"/>
    <x v="14"/>
    <s v="A+"/>
    <x v="38"/>
    <n v="40060782"/>
    <n v="844712.4"/>
    <n v="40041804"/>
    <n v="5.4371999999999997E-2"/>
    <x v="15"/>
    <n v="2.4"/>
    <s v="Bond"/>
    <s v="THB"/>
    <d v="2013-10-31T00:00:00"/>
    <x v="22"/>
    <s v="SCBSFFPLUS43383"/>
  </r>
  <r>
    <d v="2018-10-10T00:00:00"/>
    <x v="1"/>
    <s v="FIXED INCOME"/>
    <x v="5"/>
    <m/>
    <x v="156"/>
    <x v="14"/>
    <s v="A+"/>
    <x v="49"/>
    <n v="1010567.08"/>
    <n v="1649.32"/>
    <n v="1007848.4"/>
    <n v="0.45299200000000001"/>
    <x v="110"/>
    <n v="2.6"/>
    <s v="Bond"/>
    <s v="THB"/>
    <d v="2014-03-27T00:00:00"/>
    <x v="22"/>
    <s v="SCBSFFPLUS43383"/>
  </r>
  <r>
    <d v="2018-10-10T00:00:00"/>
    <x v="1"/>
    <s v="FIXED INCOME"/>
    <x v="5"/>
    <m/>
    <x v="157"/>
    <x v="47"/>
    <s v="BBB+"/>
    <x v="75"/>
    <n v="70037130.799999997"/>
    <n v="598777.9"/>
    <n v="70000000"/>
    <n v="0.13571"/>
    <x v="8"/>
    <n v="2.33"/>
    <s v="Bond"/>
    <s v="THB"/>
    <d v="2017-11-30T00:00:00"/>
    <x v="3"/>
    <s v="SCBSFFPLUS43383"/>
  </r>
  <r>
    <d v="2018-10-10T00:00:00"/>
    <x v="1"/>
    <s v="FIXED INCOME"/>
    <x v="5"/>
    <m/>
    <x v="158"/>
    <x v="47"/>
    <s v="BBB+"/>
    <x v="92"/>
    <n v="68448874.920000002"/>
    <n v="780210.6"/>
    <n v="69000000"/>
    <n v="2.0267909999999998"/>
    <x v="111"/>
    <n v="3.08"/>
    <s v="Bond"/>
    <s v="THB"/>
    <d v="2017-11-30T00:00:00"/>
    <x v="69"/>
    <s v="SCBSFFPLUS43383"/>
  </r>
  <r>
    <d v="2018-10-10T00:00:00"/>
    <x v="1"/>
    <s v="FIXED INCOME"/>
    <x v="15"/>
    <m/>
    <x v="159"/>
    <x v="48"/>
    <s v="A"/>
    <x v="93"/>
    <n v="3294500000"/>
    <n v="58453581.390000001"/>
    <n v="3294500000"/>
    <n v="0.40621800000000002"/>
    <x v="45"/>
    <n v="2.93"/>
    <s v="Bond"/>
    <s v="USDbb"/>
    <d v="2018-03-07T00:00:00"/>
    <x v="3"/>
    <s v="SCBSFFPLUS43383"/>
  </r>
  <r>
    <d v="2018-10-10T00:00:00"/>
    <x v="1"/>
    <s v="FIXED INCOME"/>
    <x v="15"/>
    <m/>
    <x v="160"/>
    <x v="48"/>
    <s v="A"/>
    <x v="94"/>
    <n v="2635600000"/>
    <n v="37460661.329999998"/>
    <n v="2635600000"/>
    <n v="0.57238199999999995"/>
    <x v="48"/>
    <n v="3.28"/>
    <s v="Bond"/>
    <s v="USDbb"/>
    <d v="2018-05-08T00:00:00"/>
    <x v="3"/>
    <s v="SCBSFFPLUS43383"/>
  </r>
  <r>
    <d v="2018-10-10T00:00:00"/>
    <x v="1"/>
    <s v="FIXED INCOME"/>
    <x v="15"/>
    <m/>
    <x v="161"/>
    <x v="48"/>
    <s v="A"/>
    <x v="95"/>
    <n v="3294500000"/>
    <n v="53499019.439999998"/>
    <n v="3294500000"/>
    <n v="0.49491499999999999"/>
    <x v="45"/>
    <n v="3.16"/>
    <s v="Bond"/>
    <s v="USDbb"/>
    <d v="2018-04-09T00:00:00"/>
    <x v="3"/>
    <s v="SCBSFFPLUS43383"/>
  </r>
  <r>
    <d v="2018-10-10T00:00:00"/>
    <x v="1"/>
    <s v="FIXED INCOME"/>
    <x v="15"/>
    <m/>
    <x v="162"/>
    <x v="48"/>
    <s v="A"/>
    <x v="96"/>
    <n v="2635600000"/>
    <n v="37205886.670000002"/>
    <n v="2635600000"/>
    <n v="0.58567899999999995"/>
    <x v="48"/>
    <n v="3.3"/>
    <s v="Bond"/>
    <s v="USDbb"/>
    <d v="2018-05-10T00:00:00"/>
    <x v="72"/>
    <s v="SCBSFFPLUS43383"/>
  </r>
  <r>
    <d v="2018-10-10T00:00:00"/>
    <x v="1"/>
    <s v="FIXED INCOME"/>
    <x v="15"/>
    <m/>
    <x v="163"/>
    <x v="48"/>
    <s v="A"/>
    <x v="97"/>
    <n v="3027912000"/>
    <n v="841086.67"/>
    <n v="3027912000"/>
    <n v="0.44712200000000002"/>
    <x v="48"/>
    <n v="0.05"/>
    <s v="Bond"/>
    <s v="EURbb"/>
    <d v="2018-03-21T00:00:00"/>
    <x v="3"/>
    <s v="SCBSFFPLUS43383"/>
  </r>
  <r>
    <d v="2018-10-10T00:00:00"/>
    <x v="1"/>
    <s v="DERIVATIVE"/>
    <x v="6"/>
    <m/>
    <x v="164"/>
    <x v="1"/>
    <s v="AA+(tha)"/>
    <x v="21"/>
    <n v="-74623666.969999999"/>
    <m/>
    <n v="0"/>
    <n v="0"/>
    <x v="0"/>
    <n v="0"/>
    <s v="Future"/>
    <s v="THB"/>
    <d v="1900-01-01T00:00:00"/>
    <x v="76"/>
    <s v="SCBSFFPLUS43383"/>
  </r>
  <r>
    <d v="2018-10-10T00:00:00"/>
    <x v="1"/>
    <s v="DERIVATIVE"/>
    <x v="6"/>
    <m/>
    <x v="165"/>
    <x v="1"/>
    <s v="AA+(tha)"/>
    <x v="42"/>
    <n v="81920424.659999996"/>
    <m/>
    <n v="0"/>
    <n v="0"/>
    <x v="0"/>
    <n v="0"/>
    <s v="Future"/>
    <s v="THB"/>
    <d v="1900-01-01T00:00:00"/>
    <x v="77"/>
    <s v="SCBSFFPLUS43383"/>
  </r>
  <r>
    <d v="2018-10-10T00:00:00"/>
    <x v="1"/>
    <s v="DERIVATIVE"/>
    <x v="6"/>
    <m/>
    <x v="166"/>
    <x v="1"/>
    <s v="AA+(tha)"/>
    <x v="17"/>
    <n v="31580880.210000001"/>
    <m/>
    <n v="0"/>
    <n v="0"/>
    <x v="0"/>
    <n v="0"/>
    <s v="Future"/>
    <s v="THB"/>
    <d v="1900-01-01T00:00:00"/>
    <x v="25"/>
    <s v="SCBSFFPLUS43383"/>
  </r>
  <r>
    <d v="2018-10-10T00:00:00"/>
    <x v="1"/>
    <s v="DERIVATIVE"/>
    <x v="6"/>
    <m/>
    <x v="167"/>
    <x v="1"/>
    <s v="AA+(tha)"/>
    <x v="51"/>
    <n v="141696951.03"/>
    <m/>
    <n v="0"/>
    <n v="0"/>
    <x v="0"/>
    <n v="0"/>
    <s v="Future"/>
    <s v="THB"/>
    <d v="1900-01-01T00:00:00"/>
    <x v="78"/>
    <s v="SCBSFFPLUS43383"/>
  </r>
  <r>
    <d v="2018-10-10T00:00:00"/>
    <x v="1"/>
    <s v="DERIVATIVE"/>
    <x v="6"/>
    <m/>
    <x v="168"/>
    <x v="1"/>
    <s v="AA+(tha)"/>
    <x v="39"/>
    <n v="133267340.72"/>
    <m/>
    <n v="0"/>
    <n v="0"/>
    <x v="0"/>
    <n v="0"/>
    <s v="Future"/>
    <s v="THB"/>
    <d v="1900-01-01T00:00:00"/>
    <x v="79"/>
    <s v="SCBSFFPLUS43383"/>
  </r>
  <r>
    <d v="2018-10-10T00:00:00"/>
    <x v="1"/>
    <s v="DERIVATIVE"/>
    <x v="6"/>
    <m/>
    <x v="169"/>
    <x v="1"/>
    <s v="AA+(tha)"/>
    <x v="44"/>
    <n v="124754033.23"/>
    <m/>
    <n v="0"/>
    <n v="0"/>
    <x v="0"/>
    <n v="0"/>
    <s v="Future"/>
    <s v="THB"/>
    <d v="1900-01-01T00:00:00"/>
    <x v="80"/>
    <s v="SCBSFFPLUS43383"/>
  </r>
  <r>
    <d v="2018-10-10T00:00:00"/>
    <x v="1"/>
    <s v="DERIVATIVE"/>
    <x v="6"/>
    <m/>
    <x v="170"/>
    <x v="1"/>
    <s v="AA+(tha)"/>
    <x v="41"/>
    <n v="97538000"/>
    <m/>
    <n v="0"/>
    <n v="0"/>
    <x v="0"/>
    <n v="0"/>
    <s v="Future"/>
    <s v="THB"/>
    <d v="1900-01-01T00:00:00"/>
    <x v="81"/>
    <s v="SCBSFFPLUS43383"/>
  </r>
  <r>
    <d v="2018-10-10T00:00:00"/>
    <x v="1"/>
    <s v="DERIVATIVE"/>
    <x v="6"/>
    <m/>
    <x v="171"/>
    <x v="1"/>
    <s v="AA+(tha)"/>
    <x v="97"/>
    <n v="42696340.240000002"/>
    <m/>
    <n v="0"/>
    <n v="0"/>
    <x v="0"/>
    <n v="0"/>
    <s v="Future"/>
    <s v="THB"/>
    <d v="1900-01-01T00:00:00"/>
    <x v="82"/>
    <s v="SCBSFFPLUS43383"/>
  </r>
  <r>
    <d v="2018-10-10T00:00:00"/>
    <x v="1"/>
    <s v="DERIVATIVE"/>
    <x v="6"/>
    <m/>
    <x v="172"/>
    <x v="15"/>
    <s v="A-"/>
    <x v="45"/>
    <n v="15025571.4"/>
    <m/>
    <n v="0"/>
    <n v="0"/>
    <x v="0"/>
    <n v="0"/>
    <s v="Future"/>
    <s v="THB"/>
    <d v="1900-01-01T00:00:00"/>
    <x v="83"/>
    <s v="SCBSFFPLUS43383"/>
  </r>
  <r>
    <d v="2018-10-10T00:00:00"/>
    <x v="1"/>
    <s v="DERIVATIVE"/>
    <x v="6"/>
    <m/>
    <x v="173"/>
    <x v="1"/>
    <s v="AA+(tha)"/>
    <x v="49"/>
    <n v="51306011.5"/>
    <m/>
    <n v="0"/>
    <n v="0"/>
    <x v="0"/>
    <n v="0"/>
    <s v="Future"/>
    <s v="THB"/>
    <d v="1900-01-01T00:00:00"/>
    <x v="84"/>
    <s v="SCBSFFPLUS43383"/>
  </r>
  <r>
    <d v="2018-10-10T00:00:00"/>
    <x v="1"/>
    <s v="DERIVATIVE"/>
    <x v="6"/>
    <m/>
    <x v="174"/>
    <x v="1"/>
    <s v="AA+(tha)"/>
    <x v="50"/>
    <n v="66083098.07"/>
    <m/>
    <n v="0"/>
    <n v="0"/>
    <x v="0"/>
    <n v="0"/>
    <s v="Future"/>
    <s v="THB"/>
    <d v="1900-01-01T00:00:00"/>
    <x v="85"/>
    <s v="SCBSFFPLUS43383"/>
  </r>
  <r>
    <d v="2018-10-10T00:00:00"/>
    <x v="1"/>
    <s v="DERIVATIVE"/>
    <x v="6"/>
    <m/>
    <x v="175"/>
    <x v="15"/>
    <s v="A-"/>
    <x v="53"/>
    <n v="31487276.84"/>
    <m/>
    <n v="0"/>
    <n v="0"/>
    <x v="0"/>
    <n v="0"/>
    <s v="Future"/>
    <s v="THB"/>
    <d v="1900-01-01T00:00:00"/>
    <x v="86"/>
    <s v="SCBSFFPLUS43383"/>
  </r>
  <r>
    <d v="2018-10-10T00:00:00"/>
    <x v="1"/>
    <s v="DERIVATIVE"/>
    <x v="6"/>
    <m/>
    <x v="176"/>
    <x v="1"/>
    <s v="AA+(tha)"/>
    <x v="46"/>
    <n v="3187890.87"/>
    <m/>
    <n v="0"/>
    <n v="0"/>
    <x v="0"/>
    <n v="0"/>
    <s v="Future"/>
    <s v="THB"/>
    <d v="1900-01-01T00:00:00"/>
    <x v="87"/>
    <s v="SCBSFFPLUS43383"/>
  </r>
  <r>
    <d v="2018-10-10T00:00:00"/>
    <x v="1"/>
    <s v="DERIVATIVE"/>
    <x v="6"/>
    <m/>
    <x v="177"/>
    <x v="1"/>
    <s v="AA+(tha)"/>
    <x v="52"/>
    <n v="-25683279.870000001"/>
    <m/>
    <n v="0"/>
    <n v="0"/>
    <x v="0"/>
    <n v="0"/>
    <s v="Future"/>
    <s v="THB"/>
    <d v="1900-01-01T00:00:00"/>
    <x v="88"/>
    <s v="SCBSFFPLUS43383"/>
  </r>
  <r>
    <d v="2018-10-10T00:00:00"/>
    <x v="1"/>
    <s v="DERIVATIVE"/>
    <x v="6"/>
    <m/>
    <x v="178"/>
    <x v="1"/>
    <s v="AA+(tha)"/>
    <x v="61"/>
    <n v="15323164.380000001"/>
    <m/>
    <n v="0"/>
    <n v="0"/>
    <x v="0"/>
    <n v="0"/>
    <s v="Future"/>
    <s v="THB"/>
    <d v="1900-01-01T00:00:00"/>
    <x v="89"/>
    <s v="SCBSFFPLUS43383"/>
  </r>
  <r>
    <d v="2018-10-10T00:00:00"/>
    <x v="1"/>
    <s v="DERIVATIVE"/>
    <x v="6"/>
    <m/>
    <x v="179"/>
    <x v="1"/>
    <s v="AA+(tha)"/>
    <x v="62"/>
    <n v="-7581788.0999999996"/>
    <m/>
    <n v="0"/>
    <n v="0"/>
    <x v="0"/>
    <n v="0"/>
    <s v="Future"/>
    <s v="THB"/>
    <d v="1900-01-01T00:00:00"/>
    <x v="90"/>
    <s v="SCBSFFPLUS43383"/>
  </r>
  <r>
    <d v="2018-10-10T00:00:00"/>
    <x v="1"/>
    <s v="DERIVATIVE"/>
    <x v="6"/>
    <m/>
    <x v="180"/>
    <x v="49"/>
    <s v="AA-(tha)"/>
    <x v="21"/>
    <n v="-39931390.020000003"/>
    <m/>
    <n v="0"/>
    <n v="0"/>
    <x v="0"/>
    <n v="0"/>
    <s v="Future"/>
    <s v="THB"/>
    <d v="1900-01-01T00:00:00"/>
    <x v="76"/>
    <s v="SCBSFFPLUS43383"/>
  </r>
  <r>
    <d v="2018-10-10T00:00:00"/>
    <x v="1"/>
    <s v="DERIVATIVE"/>
    <x v="6"/>
    <m/>
    <x v="181"/>
    <x v="15"/>
    <s v="A-"/>
    <x v="5"/>
    <n v="980425.8"/>
    <m/>
    <n v="0"/>
    <n v="0"/>
    <x v="0"/>
    <n v="0"/>
    <s v="Future"/>
    <s v="THB"/>
    <d v="1900-01-01T00:00:00"/>
    <x v="29"/>
    <s v="SCBSFFPLUS43383"/>
  </r>
  <r>
    <d v="2018-10-10T00:00:00"/>
    <x v="1"/>
    <s v="DERIVATIVE"/>
    <x v="6"/>
    <m/>
    <x v="182"/>
    <x v="1"/>
    <s v="AA+(tha)"/>
    <x v="64"/>
    <n v="-59743744.380000003"/>
    <m/>
    <n v="0"/>
    <n v="0"/>
    <x v="0"/>
    <n v="0"/>
    <s v="Future"/>
    <s v="THB"/>
    <d v="1900-01-01T00:00:00"/>
    <x v="91"/>
    <s v="SCBSFFPLUS43383"/>
  </r>
  <r>
    <d v="2018-10-10T00:00:00"/>
    <x v="1"/>
    <s v="DERIVATIVE"/>
    <x v="6"/>
    <m/>
    <x v="183"/>
    <x v="1"/>
    <s v="AA+(tha)"/>
    <x v="65"/>
    <n v="-14301614.98"/>
    <m/>
    <n v="0"/>
    <n v="0"/>
    <x v="0"/>
    <n v="0"/>
    <s v="Future"/>
    <s v="THB"/>
    <d v="1900-01-01T00:00:00"/>
    <x v="92"/>
    <s v="SCBSFFPLUS43383"/>
  </r>
  <r>
    <d v="2018-10-10T00:00:00"/>
    <x v="1"/>
    <s v="DERIVATIVE"/>
    <x v="6"/>
    <m/>
    <x v="184"/>
    <x v="1"/>
    <s v="AA+(tha)"/>
    <x v="63"/>
    <n v="-52483879.030000001"/>
    <m/>
    <n v="0"/>
    <n v="0"/>
    <x v="0"/>
    <n v="0"/>
    <s v="Future"/>
    <s v="THB"/>
    <d v="1900-01-01T00:00:00"/>
    <x v="93"/>
    <s v="SCBSFFPLUS43383"/>
  </r>
  <r>
    <d v="2018-10-10T00:00:00"/>
    <x v="1"/>
    <s v="DERIVATIVE"/>
    <x v="6"/>
    <m/>
    <x v="185"/>
    <x v="1"/>
    <s v="AA+(tha)"/>
    <x v="6"/>
    <n v="575226.27"/>
    <m/>
    <n v="0"/>
    <n v="0"/>
    <x v="0"/>
    <n v="0"/>
    <s v="Future"/>
    <s v="THB"/>
    <d v="1900-01-01T00:00:00"/>
    <x v="30"/>
    <s v="SCBSFFPLUS43383"/>
  </r>
  <r>
    <d v="2018-10-10T00:00:00"/>
    <x v="1"/>
    <s v="DERIVATIVE"/>
    <x v="6"/>
    <m/>
    <x v="186"/>
    <x v="1"/>
    <s v="AA+(tha)"/>
    <x v="6"/>
    <n v="5004807.09"/>
    <m/>
    <n v="0"/>
    <n v="0"/>
    <x v="0"/>
    <n v="0"/>
    <s v="Future"/>
    <s v="THB"/>
    <d v="1900-01-01T00:00:00"/>
    <x v="30"/>
    <s v="SCBSFFPLUS43383"/>
  </r>
  <r>
    <d v="2018-10-10T00:00:00"/>
    <x v="1"/>
    <s v="DERIVATIVE"/>
    <x v="6"/>
    <m/>
    <x v="187"/>
    <x v="1"/>
    <s v="AA+(tha)"/>
    <x v="36"/>
    <n v="-68475117.379999995"/>
    <m/>
    <n v="0"/>
    <n v="0"/>
    <x v="0"/>
    <n v="0"/>
    <s v="Future"/>
    <s v="THB"/>
    <d v="1900-01-01T00:00:00"/>
    <x v="94"/>
    <s v="SCBSFFPLUS43383"/>
  </r>
  <r>
    <d v="2018-10-10T00:00:00"/>
    <x v="1"/>
    <s v="DERIVATIVE"/>
    <x v="6"/>
    <m/>
    <x v="188"/>
    <x v="1"/>
    <s v="AA+(tha)"/>
    <x v="54"/>
    <n v="-85886195.579999998"/>
    <m/>
    <n v="0"/>
    <n v="0"/>
    <x v="0"/>
    <n v="0"/>
    <s v="Future"/>
    <s v="THB"/>
    <d v="1900-01-01T00:00:00"/>
    <x v="95"/>
    <s v="SCBSFFPLUS43383"/>
  </r>
  <r>
    <d v="2018-10-10T00:00:00"/>
    <x v="1"/>
    <s v="DERIVATIVE"/>
    <x v="6"/>
    <m/>
    <x v="189"/>
    <x v="1"/>
    <s v="AA+(tha)"/>
    <x v="55"/>
    <n v="-96675082.25"/>
    <m/>
    <n v="0"/>
    <n v="0"/>
    <x v="0"/>
    <n v="0"/>
    <s v="Future"/>
    <s v="THB"/>
    <d v="1900-01-01T00:00:00"/>
    <x v="96"/>
    <s v="SCBSFFPLUS43383"/>
  </r>
  <r>
    <d v="2018-10-10T00:00:00"/>
    <x v="1"/>
    <s v="DERIVATIVE"/>
    <x v="6"/>
    <m/>
    <x v="190"/>
    <x v="15"/>
    <s v="A-"/>
    <x v="13"/>
    <n v="-29353443.629999999"/>
    <m/>
    <n v="0"/>
    <n v="0"/>
    <x v="0"/>
    <n v="0"/>
    <s v="Future"/>
    <s v="THB"/>
    <d v="1900-01-01T00:00:00"/>
    <x v="97"/>
    <s v="SCBSFFPLUS43383"/>
  </r>
  <r>
    <d v="2018-10-10T00:00:00"/>
    <x v="1"/>
    <s v="DERIVATIVE"/>
    <x v="6"/>
    <m/>
    <x v="191"/>
    <x v="15"/>
    <s v="A-"/>
    <x v="43"/>
    <n v="-76408600.159999996"/>
    <m/>
    <n v="0"/>
    <n v="0"/>
    <x v="0"/>
    <n v="0"/>
    <s v="Future"/>
    <s v="THB"/>
    <d v="1900-01-01T00:00:00"/>
    <x v="98"/>
    <s v="SCBSFFPLUS43383"/>
  </r>
  <r>
    <d v="2018-10-10T00:00:00"/>
    <x v="1"/>
    <s v="DERIVATIVE"/>
    <x v="6"/>
    <m/>
    <x v="192"/>
    <x v="15"/>
    <s v="A-"/>
    <x v="93"/>
    <n v="-174469032.06999999"/>
    <m/>
    <n v="0"/>
    <n v="0"/>
    <x v="0"/>
    <n v="0"/>
    <s v="Future"/>
    <s v="THB"/>
    <d v="1900-01-01T00:00:00"/>
    <x v="99"/>
    <s v="SCBSFFPLUS43383"/>
  </r>
  <r>
    <d v="2018-10-10T00:00:00"/>
    <x v="1"/>
    <s v="DERIVATIVE"/>
    <x v="6"/>
    <m/>
    <x v="193"/>
    <x v="1"/>
    <s v="AA+(tha)"/>
    <x v="95"/>
    <n v="-201171242.90000001"/>
    <m/>
    <n v="0"/>
    <n v="0"/>
    <x v="0"/>
    <n v="0"/>
    <s v="Future"/>
    <s v="THB"/>
    <d v="1900-01-01T00:00:00"/>
    <x v="100"/>
    <s v="SCBSFFPLUS43383"/>
  </r>
  <r>
    <d v="2018-10-10T00:00:00"/>
    <x v="1"/>
    <s v="DERIVATIVE"/>
    <x v="6"/>
    <m/>
    <x v="194"/>
    <x v="15"/>
    <s v="A-"/>
    <x v="48"/>
    <n v="-104385759.22"/>
    <m/>
    <n v="0"/>
    <n v="0"/>
    <x v="0"/>
    <n v="0"/>
    <s v="Future"/>
    <s v="THB"/>
    <d v="1900-01-01T00:00:00"/>
    <x v="101"/>
    <s v="SCBSFFPLUS43383"/>
  </r>
  <r>
    <d v="2018-10-10T00:00:00"/>
    <x v="1"/>
    <s v="DERIVATIVE"/>
    <x v="6"/>
    <m/>
    <x v="195"/>
    <x v="1"/>
    <s v="AA+(tha)"/>
    <x v="94"/>
    <n v="-119128012.52"/>
    <m/>
    <n v="0"/>
    <n v="0"/>
    <x v="0"/>
    <n v="0"/>
    <s v="Future"/>
    <s v="THB"/>
    <d v="1900-01-01T00:00:00"/>
    <x v="102"/>
    <s v="SCBSFFPLUS43383"/>
  </r>
  <r>
    <d v="2018-10-10T00:00:00"/>
    <x v="1"/>
    <s v="DERIVATIVE"/>
    <x v="6"/>
    <m/>
    <x v="196"/>
    <x v="1"/>
    <s v="AA+(tha)"/>
    <x v="96"/>
    <n v="-104299648.29000001"/>
    <m/>
    <n v="0"/>
    <n v="0"/>
    <x v="0"/>
    <n v="0"/>
    <s v="Future"/>
    <s v="THB"/>
    <d v="1900-01-01T00:00:00"/>
    <x v="103"/>
    <s v="SCBSFFPLUS43383"/>
  </r>
  <r>
    <d v="2018-10-10T00:00:00"/>
    <x v="1"/>
    <s v="DERIVATIVE"/>
    <x v="6"/>
    <m/>
    <x v="197"/>
    <x v="15"/>
    <s v="A-"/>
    <x v="47"/>
    <n v="-8361110.8600000003"/>
    <m/>
    <n v="0"/>
    <n v="0"/>
    <x v="0"/>
    <n v="0"/>
    <s v="Future"/>
    <s v="THB"/>
    <d v="1900-01-01T00:00:00"/>
    <x v="104"/>
    <s v="SCBSFFPLUS43383"/>
  </r>
  <r>
    <d v="2018-10-10T00:00:00"/>
    <x v="1"/>
    <s v="DERIVATIVE"/>
    <x v="6"/>
    <m/>
    <x v="198"/>
    <x v="1"/>
    <s v="AA+(tha)"/>
    <x v="56"/>
    <n v="-6253880.5599999996"/>
    <m/>
    <n v="0"/>
    <n v="0"/>
    <x v="0"/>
    <n v="0"/>
    <s v="Future"/>
    <s v="THB"/>
    <d v="1900-01-01T00:00:00"/>
    <x v="105"/>
    <s v="SCBSFFPLUS43383"/>
  </r>
  <r>
    <d v="2018-10-10T00:00:00"/>
    <x v="1"/>
    <s v="DERIVATIVE"/>
    <x v="6"/>
    <m/>
    <x v="199"/>
    <x v="1"/>
    <s v="AA+(tha)"/>
    <x v="59"/>
    <n v="-53905494.899999999"/>
    <m/>
    <n v="0"/>
    <n v="0"/>
    <x v="0"/>
    <n v="0"/>
    <s v="Future"/>
    <s v="THB"/>
    <d v="1900-01-01T00:00:00"/>
    <x v="106"/>
    <s v="SCBSFFPLUS43383"/>
  </r>
  <r>
    <d v="2018-10-10T00:00:00"/>
    <x v="1"/>
    <s v="DERIVATIVE"/>
    <x v="6"/>
    <m/>
    <x v="200"/>
    <x v="1"/>
    <s v="AA+(tha)"/>
    <x v="60"/>
    <n v="-45405426.340000004"/>
    <m/>
    <n v="0"/>
    <n v="0"/>
    <x v="0"/>
    <n v="0"/>
    <s v="Future"/>
    <s v="THB"/>
    <d v="1900-01-01T00:00:00"/>
    <x v="107"/>
    <s v="SCBSFFPLUS43383"/>
  </r>
  <r>
    <d v="2018-10-10T00:00:00"/>
    <x v="1"/>
    <s v="ACCRUED PAYABLE"/>
    <x v="8"/>
    <s v="Settle Date :11/10/2018"/>
    <x v="39"/>
    <x v="17"/>
    <m/>
    <x v="0"/>
    <n v="-179827561.80000001"/>
    <m/>
    <n v="-179827561.80000001"/>
    <m/>
    <x v="46"/>
    <n v="0"/>
    <s v="Bond"/>
    <s v="THB"/>
    <d v="2018-05-10T00:00:00"/>
    <x v="34"/>
    <s v="SCBSFFPLUS43383"/>
  </r>
  <r>
    <d v="2018-10-10T00:00:00"/>
    <x v="1"/>
    <s v="ACCRUED PAYABLE"/>
    <x v="8"/>
    <s v="Settle Date :11/10/2018"/>
    <x v="40"/>
    <x v="17"/>
    <m/>
    <x v="0"/>
    <n v="-19980840.199999999"/>
    <m/>
    <n v="-19980840.199999999"/>
    <m/>
    <x v="46"/>
    <n v="0"/>
    <s v="Bond"/>
    <s v="THB"/>
    <d v="2018-08-09T00:00:00"/>
    <x v="35"/>
    <s v="SCBSFFPLUS43383"/>
  </r>
  <r>
    <d v="2018-10-10T00:00:00"/>
    <x v="1"/>
    <s v="ACCRUED PAYABLE"/>
    <x v="8"/>
    <s v="Settle Date :11/10/2018"/>
    <x v="43"/>
    <x v="17"/>
    <m/>
    <x v="0"/>
    <n v="-199704710"/>
    <m/>
    <n v="-199704710"/>
    <m/>
    <x v="46"/>
    <n v="0"/>
    <s v="Bond"/>
    <s v="THB"/>
    <d v="2018-05-24T00:00:00"/>
    <x v="108"/>
    <s v="SCBSFFPLUS43383"/>
  </r>
  <r>
    <d v="2018-10-10T00:00:00"/>
    <x v="1"/>
    <s v="ACCRUED PAYABLE"/>
    <x v="8"/>
    <s v="Settle Date :11/10/2018"/>
    <x v="50"/>
    <x v="17"/>
    <m/>
    <x v="0"/>
    <n v="-4998868.75"/>
    <m/>
    <n v="-4998868.75"/>
    <m/>
    <x v="46"/>
    <n v="0"/>
    <s v="Bond"/>
    <s v="THB"/>
    <d v="2018-04-19T00:00:00"/>
    <x v="109"/>
    <s v="SCBSFFPLUS43383"/>
  </r>
  <r>
    <d v="2018-10-10T00:00:00"/>
    <x v="1"/>
    <s v="ACCRUED PAYABLE"/>
    <x v="8"/>
    <s v="Settle Date :11/10/2018"/>
    <x v="56"/>
    <x v="17"/>
    <m/>
    <x v="0"/>
    <n v="-4980696211.96"/>
    <m/>
    <n v="-4980696211.96"/>
    <m/>
    <x v="46"/>
    <n v="0"/>
    <s v="Bond"/>
    <s v="THB"/>
    <d v="2018-10-11T00:00:00"/>
    <x v="31"/>
    <s v="SCBSFFPLUS43383"/>
  </r>
  <r>
    <d v="2018-10-10T00:00:00"/>
    <x v="1"/>
    <s v="ACCRUED PAYABLE"/>
    <x v="9"/>
    <s v="AUDITING FEE"/>
    <x v="69"/>
    <x v="17"/>
    <m/>
    <x v="0"/>
    <n v="-29041.200000000001"/>
    <m/>
    <m/>
    <m/>
    <x v="46"/>
    <n v="0"/>
    <m/>
    <m/>
    <m/>
    <x v="43"/>
    <s v="SCBSFFPLUS43383"/>
  </r>
  <r>
    <d v="2018-10-10T00:00:00"/>
    <x v="1"/>
    <s v="ACCRUED PAYABLE"/>
    <x v="9"/>
    <s v="AUDITING FEE"/>
    <x v="69"/>
    <x v="17"/>
    <m/>
    <x v="0"/>
    <n v="-255000"/>
    <m/>
    <m/>
    <m/>
    <x v="46"/>
    <n v="0"/>
    <m/>
    <m/>
    <m/>
    <x v="43"/>
    <s v="SCBSFFPLUS43383"/>
  </r>
  <r>
    <d v="2018-10-10T00:00:00"/>
    <x v="1"/>
    <s v="ACCRUED PAYABLE"/>
    <x v="9"/>
    <s v="AUDITING FEE"/>
    <x v="69"/>
    <x v="17"/>
    <m/>
    <x v="0"/>
    <n v="-10000"/>
    <m/>
    <m/>
    <m/>
    <x v="46"/>
    <n v="0"/>
    <m/>
    <m/>
    <m/>
    <x v="43"/>
    <s v="SCBSFFPLUS43383"/>
  </r>
  <r>
    <d v="2018-10-10T00:00:00"/>
    <x v="1"/>
    <s v="ACCRUED PAYABLE"/>
    <x v="10"/>
    <m/>
    <x v="70"/>
    <x v="17"/>
    <m/>
    <x v="0"/>
    <n v="-2083810.55"/>
    <n v="0"/>
    <m/>
    <m/>
    <x v="46"/>
    <n v="0"/>
    <m/>
    <m/>
    <m/>
    <x v="43"/>
    <s v="SCBSFFPLUS43383"/>
  </r>
  <r>
    <d v="2018-10-10T00:00:00"/>
    <x v="1"/>
    <s v="ACCRUED PAYABLE"/>
    <x v="11"/>
    <s v="A NEWSPAPER_NAV"/>
    <x v="71"/>
    <x v="17"/>
    <m/>
    <x v="0"/>
    <n v="-4182.17"/>
    <m/>
    <m/>
    <m/>
    <x v="46"/>
    <n v="0"/>
    <m/>
    <m/>
    <m/>
    <x v="43"/>
    <s v="SCBSFFPLUS43383"/>
  </r>
  <r>
    <d v="2018-10-10T00:00:00"/>
    <x v="1"/>
    <s v="ACCRUED PAYABLE"/>
    <x v="11"/>
    <s v="A NEWSPAPER_NAV"/>
    <x v="71"/>
    <x v="17"/>
    <m/>
    <x v="0"/>
    <n v="-1416.5"/>
    <m/>
    <m/>
    <m/>
    <x v="46"/>
    <n v="0"/>
    <m/>
    <m/>
    <m/>
    <x v="43"/>
    <s v="SCBSFFPLUS43383"/>
  </r>
  <r>
    <d v="2018-10-10T00:00:00"/>
    <x v="1"/>
    <s v="ACCRUED PAYABLE"/>
    <x v="12"/>
    <s v="CUSTODIAN FEE"/>
    <x v="70"/>
    <x v="17"/>
    <m/>
    <x v="0"/>
    <n v="-997484.31"/>
    <m/>
    <n v="-997484.31"/>
    <m/>
    <x v="46"/>
    <n v="0"/>
    <m/>
    <m/>
    <m/>
    <x v="43"/>
    <s v="SCBSFFPLUS43383"/>
  </r>
  <r>
    <d v="2018-10-10T00:00:00"/>
    <x v="1"/>
    <s v="ACCRUED PAYABLE"/>
    <x v="13"/>
    <s v="MANAGEMENT FEE"/>
    <x v="70"/>
    <x v="17"/>
    <m/>
    <x v="0"/>
    <n v="-20901056.170000002"/>
    <m/>
    <n v="-20901056.170000002"/>
    <m/>
    <x v="46"/>
    <n v="0"/>
    <m/>
    <m/>
    <m/>
    <x v="43"/>
    <s v="SCBSFFPLUS43383"/>
  </r>
  <r>
    <d v="2018-10-10T00:00:00"/>
    <x v="1"/>
    <s v="FEES"/>
    <x v="12"/>
    <s v="CUSTODIAN FEE"/>
    <x v="70"/>
    <x v="17"/>
    <m/>
    <x v="0"/>
    <n v="-109850.71"/>
    <m/>
    <n v="-109850.71"/>
    <m/>
    <x v="46"/>
    <n v="0"/>
    <m/>
    <m/>
    <m/>
    <x v="43"/>
    <s v="SCBSFFPLUS43383"/>
  </r>
  <r>
    <d v="2018-10-10T00:00:00"/>
    <x v="1"/>
    <s v="FEES"/>
    <x v="13"/>
    <s v="MANAGEMENT FEE"/>
    <x v="70"/>
    <x v="17"/>
    <m/>
    <x v="0"/>
    <n v="-2300911.04"/>
    <m/>
    <n v="-2300911.04"/>
    <m/>
    <x v="46"/>
    <n v="0"/>
    <m/>
    <m/>
    <m/>
    <x v="43"/>
    <s v="SCBSFFPLUS43383"/>
  </r>
  <r>
    <d v="2018-10-10T00:00:00"/>
    <x v="2"/>
    <s v="FIXED INCOME"/>
    <x v="0"/>
    <m/>
    <x v="0"/>
    <x v="19"/>
    <m/>
    <x v="0"/>
    <n v="2720904.51"/>
    <n v="6073.25"/>
    <n v="2720904.51"/>
    <n v="0"/>
    <x v="0"/>
    <n v="0"/>
    <s v="Cash Bal"/>
    <s v="THB"/>
    <d v="1900-01-01T00:00:00"/>
    <x v="0"/>
    <s v="SCBTMF43383"/>
  </r>
  <r>
    <d v="2018-10-10T00:00:00"/>
    <x v="2"/>
    <s v="FIXED INCOME"/>
    <x v="1"/>
    <m/>
    <x v="201"/>
    <x v="6"/>
    <s v="AAA(tha)"/>
    <x v="95"/>
    <n v="60000000"/>
    <n v="456164.38"/>
    <n v="60000000"/>
    <n v="0.49225600000000003"/>
    <x v="50"/>
    <n v="1.5"/>
    <s v="Bond"/>
    <s v="THB"/>
    <d v="2018-04-09T00:00:00"/>
    <x v="3"/>
    <s v="SCBTMF43383"/>
  </r>
  <r>
    <d v="2018-10-10T00:00:00"/>
    <x v="2"/>
    <s v="FIXED INCOME"/>
    <x v="1"/>
    <m/>
    <x v="17"/>
    <x v="6"/>
    <s v="AAA(tha)"/>
    <x v="11"/>
    <n v="20000000"/>
    <n v="58684.93"/>
    <n v="20000000"/>
    <n v="0.81861799999999996"/>
    <x v="112"/>
    <n v="1.7"/>
    <s v="Bond"/>
    <s v="THB"/>
    <d v="2018-08-09T00:00:00"/>
    <x v="3"/>
    <s v="SCBTMF43383"/>
  </r>
  <r>
    <d v="2018-10-10T00:00:00"/>
    <x v="2"/>
    <s v="FIXED INCOME"/>
    <x v="1"/>
    <m/>
    <x v="18"/>
    <x v="6"/>
    <s v="AAA(tha)"/>
    <x v="12"/>
    <n v="50000000"/>
    <n v="659726.03"/>
    <n v="50000000"/>
    <n v="0.17757600000000001"/>
    <x v="3"/>
    <n v="1.6"/>
    <s v="Bond"/>
    <s v="THB"/>
    <d v="2017-12-14T00:00:00"/>
    <x v="3"/>
    <s v="SCBTMF43383"/>
  </r>
  <r>
    <d v="2018-10-10T00:00:00"/>
    <x v="2"/>
    <s v="FIXED INCOME"/>
    <x v="1"/>
    <m/>
    <x v="21"/>
    <x v="6"/>
    <s v="AAA(tha)"/>
    <x v="15"/>
    <n v="50000000"/>
    <n v="583013.69999999995"/>
    <n v="50000000"/>
    <n v="0.27277699999999999"/>
    <x v="3"/>
    <n v="1.6"/>
    <s v="Bond"/>
    <s v="THB"/>
    <d v="2018-01-18T00:00:00"/>
    <x v="3"/>
    <s v="SCBTMF43383"/>
  </r>
  <r>
    <d v="2018-10-10T00:00:00"/>
    <x v="2"/>
    <s v="FIXED INCOME"/>
    <x v="1"/>
    <m/>
    <x v="98"/>
    <x v="6"/>
    <s v="AAA(tha)"/>
    <x v="58"/>
    <n v="30000000"/>
    <n v="107589.04"/>
    <n v="30000000"/>
    <n v="0.78130100000000002"/>
    <x v="4"/>
    <n v="1.7"/>
    <s v="Bond"/>
    <s v="THB"/>
    <d v="2018-07-26T00:00:00"/>
    <x v="3"/>
    <s v="SCBTMF43383"/>
  </r>
  <r>
    <d v="2018-10-10T00:00:00"/>
    <x v="2"/>
    <s v="FIXED INCOME"/>
    <x v="1"/>
    <m/>
    <x v="202"/>
    <x v="9"/>
    <s v="AAA(tha)"/>
    <x v="19"/>
    <n v="11275021.050000001"/>
    <n v="46390.26"/>
    <n v="11275021.050000001"/>
    <n v="0"/>
    <x v="113"/>
    <n v="0"/>
    <s v="Bond"/>
    <s v="THB"/>
    <d v="2010-02-03T00:00:00"/>
    <x v="110"/>
    <s v="SCBTMF43383"/>
  </r>
  <r>
    <d v="2018-10-10T00:00:00"/>
    <x v="2"/>
    <s v="FIXED INCOME"/>
    <x v="4"/>
    <m/>
    <x v="34"/>
    <x v="13"/>
    <m/>
    <x v="25"/>
    <n v="149701417.5"/>
    <m/>
    <n v="149691652.5"/>
    <n v="0.153115"/>
    <x v="11"/>
    <n v="1.3426"/>
    <s v="Bond"/>
    <s v="THB"/>
    <d v="2018-09-06T00:00:00"/>
    <x v="18"/>
    <s v="SCBTMF43383"/>
  </r>
  <r>
    <d v="2018-10-10T00:00:00"/>
    <x v="2"/>
    <s v="FIXED INCOME"/>
    <x v="4"/>
    <m/>
    <x v="35"/>
    <x v="13"/>
    <m/>
    <x v="26"/>
    <n v="119761764"/>
    <m/>
    <n v="119759391.59999999"/>
    <n v="0.17219100000000001"/>
    <x v="114"/>
    <n v="1.1639999999999999"/>
    <s v="Bond"/>
    <s v="THB"/>
    <d v="2018-09-13T00:00:00"/>
    <x v="18"/>
    <s v="SCBTMF43383"/>
  </r>
  <r>
    <d v="2018-10-10T00:00:00"/>
    <x v="2"/>
    <s v="FIXED INCOME"/>
    <x v="4"/>
    <m/>
    <x v="36"/>
    <x v="13"/>
    <m/>
    <x v="27"/>
    <n v="200517384.93000001"/>
    <m/>
    <n v="200470815.24000001"/>
    <n v="0.19125700000000001"/>
    <x v="115"/>
    <n v="1.3764179999999999"/>
    <s v="Bond"/>
    <s v="THB"/>
    <d v="2018-09-20T00:00:00"/>
    <x v="18"/>
    <s v="SCBTMF43383"/>
  </r>
  <r>
    <d v="2018-10-10T00:00:00"/>
    <x v="2"/>
    <s v="FIXED INCOME"/>
    <x v="4"/>
    <m/>
    <x v="122"/>
    <x v="13"/>
    <m/>
    <x v="71"/>
    <n v="99709722"/>
    <m/>
    <n v="99685818"/>
    <n v="0.210337"/>
    <x v="45"/>
    <n v="1.494"/>
    <s v="Bond"/>
    <s v="THB"/>
    <d v="2018-09-27T00:00:00"/>
    <x v="18"/>
    <s v="SCBTMF43383"/>
  </r>
  <r>
    <d v="2018-10-10T00:00:00"/>
    <x v="2"/>
    <s v="FIXED INCOME"/>
    <x v="4"/>
    <m/>
    <x v="37"/>
    <x v="13"/>
    <m/>
    <x v="28"/>
    <n v="49967658"/>
    <m/>
    <n v="49967658"/>
    <n v="5.7493000000000002E-2"/>
    <x v="3"/>
    <n v="1.125"/>
    <s v="Bond"/>
    <s v="THB"/>
    <d v="2018-05-03T00:00:00"/>
    <x v="19"/>
    <s v="SCBTMF43383"/>
  </r>
  <r>
    <d v="2018-10-10T00:00:00"/>
    <x v="2"/>
    <s v="FIXED INCOME"/>
    <x v="4"/>
    <m/>
    <x v="38"/>
    <x v="13"/>
    <m/>
    <x v="28"/>
    <n v="174870213"/>
    <m/>
    <n v="174869399.25"/>
    <n v="5.7493000000000002E-2"/>
    <x v="116"/>
    <n v="1.298095"/>
    <s v="Bond"/>
    <s v="THB"/>
    <d v="2018-08-02T00:00:00"/>
    <x v="18"/>
    <s v="SCBTMF43383"/>
  </r>
  <r>
    <d v="2018-10-10T00:00:00"/>
    <x v="2"/>
    <s v="FIXED INCOME"/>
    <x v="4"/>
    <m/>
    <x v="39"/>
    <x v="13"/>
    <m/>
    <x v="29"/>
    <n v="19980610.600000001"/>
    <m/>
    <n v="19980610.600000001"/>
    <n v="7.6638999999999999E-2"/>
    <x v="112"/>
    <n v="1.2649999999999999"/>
    <s v="Bond"/>
    <s v="THB"/>
    <d v="2018-05-10T00:00:00"/>
    <x v="19"/>
    <s v="SCBTMF43383"/>
  </r>
  <r>
    <d v="2018-10-10T00:00:00"/>
    <x v="2"/>
    <s v="FIXED INCOME"/>
    <x v="4"/>
    <m/>
    <x v="40"/>
    <x v="13"/>
    <m/>
    <x v="29"/>
    <n v="239769012"/>
    <m/>
    <n v="239767699.19999999"/>
    <n v="7.6638999999999999E-2"/>
    <x v="117"/>
    <n v="1.2629790000000001"/>
    <s v="Bond"/>
    <s v="THB"/>
    <d v="2018-08-09T00:00:00"/>
    <x v="18"/>
    <s v="SCBTMF43383"/>
  </r>
  <r>
    <d v="2018-10-10T00:00:00"/>
    <x v="2"/>
    <s v="FIXED INCOME"/>
    <x v="4"/>
    <m/>
    <x v="42"/>
    <x v="13"/>
    <m/>
    <x v="30"/>
    <n v="159806536"/>
    <m/>
    <n v="159806366.40000001"/>
    <n v="9.5776E-2"/>
    <x v="54"/>
    <n v="1.2636099999999999"/>
    <s v="Bond"/>
    <s v="THB"/>
    <d v="2018-08-16T00:00:00"/>
    <x v="18"/>
    <s v="SCBTMF43383"/>
  </r>
  <r>
    <d v="2018-10-10T00:00:00"/>
    <x v="2"/>
    <s v="FIXED INCOME"/>
    <x v="4"/>
    <m/>
    <x v="44"/>
    <x v="13"/>
    <m/>
    <x v="31"/>
    <n v="447353728.63999999"/>
    <m/>
    <n v="447347447.68000001"/>
    <n v="0.114899"/>
    <x v="118"/>
    <n v="1.267692"/>
    <s v="Bond"/>
    <s v="THB"/>
    <d v="2018-08-23T00:00:00"/>
    <x v="18"/>
    <s v="SCBTMF43383"/>
  </r>
  <r>
    <d v="2018-10-10T00:00:00"/>
    <x v="2"/>
    <s v="FIXED INCOME"/>
    <x v="4"/>
    <m/>
    <x v="45"/>
    <x v="13"/>
    <m/>
    <x v="32"/>
    <n v="69897719.5"/>
    <m/>
    <n v="69897719.5"/>
    <n v="0.13400799999999999"/>
    <x v="8"/>
    <n v="1.0900000000000001"/>
    <s v="Bond"/>
    <s v="THB"/>
    <d v="2018-05-31T00:00:00"/>
    <x v="19"/>
    <s v="SCBTMF43383"/>
  </r>
  <r>
    <d v="2018-10-10T00:00:00"/>
    <x v="2"/>
    <s v="FIXED INCOME"/>
    <x v="4"/>
    <m/>
    <x v="46"/>
    <x v="13"/>
    <m/>
    <x v="32"/>
    <n v="199681002"/>
    <m/>
    <n v="199666790"/>
    <n v="0.13401399999999999"/>
    <x v="13"/>
    <n v="1.2431099999999999"/>
    <s v="Bond"/>
    <s v="THB"/>
    <d v="2018-08-30T00:00:00"/>
    <x v="18"/>
    <s v="SCBTMF43383"/>
  </r>
  <r>
    <d v="2018-10-10T00:00:00"/>
    <x v="2"/>
    <s v="FIXED INCOME"/>
    <x v="4"/>
    <m/>
    <x v="47"/>
    <x v="13"/>
    <m/>
    <x v="33"/>
    <n v="140000000"/>
    <m/>
    <n v="140000000"/>
    <n v="2.7399999999999998E-3"/>
    <x v="119"/>
    <n v="1.1421429999999999"/>
    <s v="Bond"/>
    <s v="THB"/>
    <d v="2018-04-12T00:00:00"/>
    <x v="19"/>
    <s v="SCBTMF43383"/>
  </r>
  <r>
    <d v="2018-10-10T00:00:00"/>
    <x v="2"/>
    <s v="FIXED INCOME"/>
    <x v="4"/>
    <m/>
    <x v="48"/>
    <x v="13"/>
    <m/>
    <x v="33"/>
    <n v="98000000"/>
    <m/>
    <n v="98000000"/>
    <n v="2.7399999999999998E-3"/>
    <x v="51"/>
    <n v="1.2522960000000001"/>
    <s v="Bond"/>
    <s v="THB"/>
    <d v="2018-07-12T00:00:00"/>
    <x v="18"/>
    <s v="SCBTMF43383"/>
  </r>
  <r>
    <d v="2018-10-10T00:00:00"/>
    <x v="2"/>
    <s v="FIXED INCOME"/>
    <x v="4"/>
    <m/>
    <x v="49"/>
    <x v="13"/>
    <m/>
    <x v="6"/>
    <n v="579911579"/>
    <m/>
    <n v="579911579"/>
    <n v="1.3696E-2"/>
    <x v="120"/>
    <n v="1.11304"/>
    <s v="Bond"/>
    <s v="THB"/>
    <d v="2018-10-02T00:00:00"/>
    <x v="20"/>
    <s v="SCBTMF43383"/>
  </r>
  <r>
    <d v="2018-10-10T00:00:00"/>
    <x v="2"/>
    <s v="FIXED INCOME"/>
    <x v="4"/>
    <m/>
    <x v="50"/>
    <x v="13"/>
    <m/>
    <x v="34"/>
    <n v="271938944.16000003"/>
    <m/>
    <n v="271938944.16000003"/>
    <n v="1.9174E-2"/>
    <x v="121"/>
    <n v="1.1707350000000001"/>
    <s v="Bond"/>
    <s v="THB"/>
    <d v="2018-04-19T00:00:00"/>
    <x v="19"/>
    <s v="SCBTMF43383"/>
  </r>
  <r>
    <d v="2018-10-10T00:00:00"/>
    <x v="2"/>
    <s v="FIXED INCOME"/>
    <x v="4"/>
    <m/>
    <x v="51"/>
    <x v="13"/>
    <m/>
    <x v="34"/>
    <n v="149961462"/>
    <m/>
    <n v="149960506.5"/>
    <n v="1.9174E-2"/>
    <x v="11"/>
    <n v="1.37321"/>
    <s v="Bond"/>
    <s v="THB"/>
    <d v="2018-07-19T00:00:00"/>
    <x v="18"/>
    <s v="SCBTMF43383"/>
  </r>
  <r>
    <d v="2018-10-10T00:00:00"/>
    <x v="2"/>
    <s v="FIXED INCOME"/>
    <x v="4"/>
    <m/>
    <x v="53"/>
    <x v="13"/>
    <m/>
    <x v="36"/>
    <n v="164922359.25"/>
    <m/>
    <n v="164922359.25"/>
    <n v="3.8338999999999998E-2"/>
    <x v="122"/>
    <n v="1.227368"/>
    <s v="Bond"/>
    <s v="THB"/>
    <d v="2018-04-26T00:00:00"/>
    <x v="19"/>
    <s v="SCBTMF43383"/>
  </r>
  <r>
    <d v="2018-10-10T00:00:00"/>
    <x v="2"/>
    <s v="FIXED INCOME"/>
    <x v="4"/>
    <m/>
    <x v="55"/>
    <x v="13"/>
    <m/>
    <x v="20"/>
    <n v="149494258.5"/>
    <m/>
    <n v="149487184.5"/>
    <n v="0.229353"/>
    <x v="11"/>
    <n v="1.4906330000000001"/>
    <s v="Bond"/>
    <s v="THB"/>
    <d v="2018-10-04T00:00:00"/>
    <x v="18"/>
    <s v="SCBTMF43383"/>
  </r>
  <r>
    <d v="2018-10-10T00:00:00"/>
    <x v="2"/>
    <s v="FIXED INCOME"/>
    <x v="4"/>
    <m/>
    <x v="56"/>
    <x v="13"/>
    <m/>
    <x v="37"/>
    <n v="199227876.94"/>
    <m/>
    <n v="199227876.94"/>
    <n v="0.25205499999999997"/>
    <x v="13"/>
    <n v="1.5544899999999999"/>
    <s v="Bond"/>
    <s v="THB"/>
    <d v="2018-10-11T00:00:00"/>
    <x v="18"/>
    <s v="SCBTMF43383"/>
  </r>
  <r>
    <d v="2018-10-10T00:00:00"/>
    <x v="2"/>
    <s v="ACCRUED PAYABLE"/>
    <x v="8"/>
    <s v="Settle Date :11/10/2018"/>
    <x v="56"/>
    <x v="17"/>
    <m/>
    <x v="0"/>
    <n v="-199227876.94"/>
    <m/>
    <n v="-199227876.94"/>
    <m/>
    <x v="46"/>
    <n v="0"/>
    <s v="Bond"/>
    <s v="THB"/>
    <d v="2018-10-11T00:00:00"/>
    <x v="31"/>
    <s v="SCBTMF43383"/>
  </r>
  <r>
    <d v="2018-10-10T00:00:00"/>
    <x v="2"/>
    <s v="ACCRUED PAYABLE"/>
    <x v="9"/>
    <s v="AUDITING FEE"/>
    <x v="69"/>
    <x v="17"/>
    <m/>
    <x v="0"/>
    <n v="-22369.97"/>
    <m/>
    <m/>
    <m/>
    <x v="46"/>
    <n v="0"/>
    <m/>
    <m/>
    <m/>
    <x v="43"/>
    <s v="SCBTMF43383"/>
  </r>
  <r>
    <d v="2018-10-10T00:00:00"/>
    <x v="2"/>
    <s v="ACCRUED PAYABLE"/>
    <x v="10"/>
    <m/>
    <x v="70"/>
    <x v="17"/>
    <m/>
    <x v="0"/>
    <n v="-70554.539999999994"/>
    <n v="0"/>
    <m/>
    <m/>
    <x v="46"/>
    <n v="0"/>
    <m/>
    <m/>
    <m/>
    <x v="43"/>
    <s v="SCBTMF43383"/>
  </r>
  <r>
    <d v="2018-10-10T00:00:00"/>
    <x v="2"/>
    <s v="ACCRUED PAYABLE"/>
    <x v="12"/>
    <s v="CUSTODIAN FEE"/>
    <x v="70"/>
    <x v="17"/>
    <m/>
    <x v="0"/>
    <n v="-24989.65"/>
    <m/>
    <n v="-24989.65"/>
    <m/>
    <x v="46"/>
    <n v="0"/>
    <m/>
    <m/>
    <m/>
    <x v="43"/>
    <s v="SCBTMF43383"/>
  </r>
  <r>
    <d v="2018-10-10T00:00:00"/>
    <x v="2"/>
    <s v="ACCRUED PAYABLE"/>
    <x v="11"/>
    <s v="A NEWSPAPER_NAV"/>
    <x v="71"/>
    <x v="17"/>
    <m/>
    <x v="0"/>
    <n v="-4182.17"/>
    <m/>
    <m/>
    <m/>
    <x v="46"/>
    <n v="0"/>
    <m/>
    <m/>
    <m/>
    <x v="43"/>
    <s v="SCBTMF43383"/>
  </r>
  <r>
    <d v="2018-10-10T00:00:00"/>
    <x v="2"/>
    <s v="ACCRUED PAYABLE"/>
    <x v="11"/>
    <s v="A NEWSPAPER_NAV"/>
    <x v="71"/>
    <x v="17"/>
    <m/>
    <x v="0"/>
    <n v="-1416.5"/>
    <m/>
    <m/>
    <m/>
    <x v="46"/>
    <n v="0"/>
    <m/>
    <m/>
    <m/>
    <x v="43"/>
    <s v="SCBTMF43383"/>
  </r>
  <r>
    <d v="2018-10-10T00:00:00"/>
    <x v="2"/>
    <s v="ACCRUED PAYABLE"/>
    <x v="13"/>
    <s v="MANAGEMENT FEE"/>
    <x v="70"/>
    <x v="17"/>
    <m/>
    <x v="0"/>
    <n v="-722406.34"/>
    <m/>
    <n v="-722406.34"/>
    <m/>
    <x v="46"/>
    <n v="0"/>
    <m/>
    <m/>
    <m/>
    <x v="43"/>
    <s v="SCBTMF43383"/>
  </r>
  <r>
    <d v="2018-10-10T00:00:00"/>
    <x v="2"/>
    <s v="ACCRUED PAYABLE"/>
    <x v="14"/>
    <s v="REGISTRAR FEE"/>
    <x v="70"/>
    <x v="17"/>
    <m/>
    <x v="0"/>
    <n v="0"/>
    <m/>
    <n v="0"/>
    <m/>
    <x v="46"/>
    <n v="0"/>
    <m/>
    <m/>
    <m/>
    <x v="43"/>
    <s v="SCBTMF43383"/>
  </r>
  <r>
    <d v="2018-10-10T00:00:00"/>
    <x v="2"/>
    <s v="FEES"/>
    <x v="12"/>
    <s v="CUSTODIAN FEE"/>
    <x v="70"/>
    <x v="17"/>
    <m/>
    <x v="0"/>
    <n v="-2719.2"/>
    <m/>
    <n v="-2719.2"/>
    <m/>
    <x v="46"/>
    <n v="0"/>
    <m/>
    <m/>
    <m/>
    <x v="43"/>
    <s v="SCBTMF43383"/>
  </r>
  <r>
    <d v="2018-10-10T00:00:00"/>
    <x v="2"/>
    <s v="FEES"/>
    <x v="13"/>
    <s v="MANAGEMENT FEE"/>
    <x v="70"/>
    <x v="17"/>
    <m/>
    <x v="0"/>
    <n v="-78607.3"/>
    <m/>
    <n v="-78607.3"/>
    <m/>
    <x v="46"/>
    <n v="0"/>
    <m/>
    <m/>
    <m/>
    <x v="43"/>
    <s v="SCBTMF43383"/>
  </r>
  <r>
    <d v="2018-10-10T00:00:00"/>
    <x v="2"/>
    <s v="FEES"/>
    <x v="14"/>
    <s v="REGISTRAR FEE"/>
    <x v="70"/>
    <x v="17"/>
    <m/>
    <x v="0"/>
    <n v="0"/>
    <m/>
    <n v="0"/>
    <m/>
    <x v="46"/>
    <n v="0"/>
    <m/>
    <m/>
    <m/>
    <x v="43"/>
    <s v="SCBTMF43383"/>
  </r>
  <r>
    <d v="2018-10-10T00:00:00"/>
    <x v="3"/>
    <s v="FIXED INCOME"/>
    <x v="0"/>
    <m/>
    <x v="0"/>
    <x v="19"/>
    <m/>
    <x v="0"/>
    <n v="2607249.7200000002"/>
    <n v="6103.27"/>
    <n v="2607249.7200000002"/>
    <n v="0"/>
    <x v="0"/>
    <n v="0"/>
    <s v="Cash Bal"/>
    <s v="THB"/>
    <d v="1900-01-01T00:00:00"/>
    <x v="0"/>
    <s v="SCBTMFPLUS43383"/>
  </r>
  <r>
    <d v="2018-10-10T00:00:00"/>
    <x v="3"/>
    <s v="FIXED INCOME"/>
    <x v="1"/>
    <m/>
    <x v="203"/>
    <x v="6"/>
    <s v="AAA(tha)"/>
    <x v="42"/>
    <n v="150000000"/>
    <n v="2018630.14"/>
    <n v="150000000"/>
    <n v="0.158501"/>
    <x v="11"/>
    <n v="1.6"/>
    <s v="Bond"/>
    <s v="THB"/>
    <d v="2017-12-08T00:00:00"/>
    <x v="7"/>
    <s v="SCBTMFPLUS43383"/>
  </r>
  <r>
    <d v="2018-10-10T00:00:00"/>
    <x v="3"/>
    <s v="FIXED INCOME"/>
    <x v="1"/>
    <m/>
    <x v="201"/>
    <x v="6"/>
    <s v="AAA(tha)"/>
    <x v="95"/>
    <n v="120000000"/>
    <n v="912328.77"/>
    <n v="120000000"/>
    <n v="0.49225600000000003"/>
    <x v="114"/>
    <n v="1.5"/>
    <s v="Bond"/>
    <s v="THB"/>
    <d v="2018-04-09T00:00:00"/>
    <x v="3"/>
    <s v="SCBTMFPLUS43383"/>
  </r>
  <r>
    <d v="2018-10-10T00:00:00"/>
    <x v="3"/>
    <s v="FIXED INCOME"/>
    <x v="1"/>
    <m/>
    <x v="17"/>
    <x v="6"/>
    <s v="AAA(tha)"/>
    <x v="11"/>
    <n v="60000000"/>
    <n v="176054.79"/>
    <n v="60000000"/>
    <n v="0.81861799999999996"/>
    <x v="50"/>
    <n v="1.7"/>
    <s v="Bond"/>
    <s v="THB"/>
    <d v="2018-08-09T00:00:00"/>
    <x v="3"/>
    <s v="SCBTMFPLUS43383"/>
  </r>
  <r>
    <d v="2018-10-10T00:00:00"/>
    <x v="3"/>
    <s v="FIXED INCOME"/>
    <x v="1"/>
    <m/>
    <x v="21"/>
    <x v="6"/>
    <s v="AAA(tha)"/>
    <x v="15"/>
    <n v="50000000"/>
    <n v="583013.69999999995"/>
    <n v="50000000"/>
    <n v="0.27277699999999999"/>
    <x v="3"/>
    <n v="1.6"/>
    <s v="Bond"/>
    <s v="THB"/>
    <d v="2018-01-18T00:00:00"/>
    <x v="3"/>
    <s v="SCBTMFPLUS43383"/>
  </r>
  <r>
    <d v="2018-10-10T00:00:00"/>
    <x v="3"/>
    <s v="FIXED INCOME"/>
    <x v="1"/>
    <m/>
    <x v="98"/>
    <x v="6"/>
    <s v="AAA(tha)"/>
    <x v="58"/>
    <n v="200000000"/>
    <n v="717260.27"/>
    <n v="200000000"/>
    <n v="0.78130100000000002"/>
    <x v="13"/>
    <n v="1.7"/>
    <s v="Bond"/>
    <s v="THB"/>
    <d v="2018-07-26T00:00:00"/>
    <x v="3"/>
    <s v="SCBTMFPLUS43383"/>
  </r>
  <r>
    <d v="2018-10-10T00:00:00"/>
    <x v="3"/>
    <s v="FIXED INCOME"/>
    <x v="1"/>
    <m/>
    <x v="204"/>
    <x v="8"/>
    <s v="AA+(tha)"/>
    <x v="98"/>
    <n v="2041"/>
    <n v="2.14"/>
    <n v="2041"/>
    <n v="0"/>
    <x v="123"/>
    <n v="0"/>
    <s v="Bond"/>
    <s v="THB"/>
    <d v="2012-12-04T00:00:00"/>
    <x v="111"/>
    <s v="SCBTMFPLUS43383"/>
  </r>
  <r>
    <d v="2018-10-10T00:00:00"/>
    <x v="3"/>
    <s v="FIXED INCOME"/>
    <x v="1"/>
    <m/>
    <x v="205"/>
    <x v="9"/>
    <s v="AAA(tha)"/>
    <x v="19"/>
    <n v="21816728.559999999"/>
    <n v="128508.5"/>
    <n v="21816728.559999999"/>
    <n v="0"/>
    <x v="124"/>
    <n v="0"/>
    <s v="Bond"/>
    <s v="THB"/>
    <d v="2012-09-12T00:00:00"/>
    <x v="112"/>
    <s v="SCBTMFPLUS43383"/>
  </r>
  <r>
    <d v="2018-10-10T00:00:00"/>
    <x v="3"/>
    <s v="FIXED INCOME"/>
    <x v="3"/>
    <m/>
    <x v="32"/>
    <x v="12"/>
    <s v="BBB+"/>
    <x v="23"/>
    <n v="67922809.799999997"/>
    <m/>
    <n v="67922809.799999997"/>
    <n v="9.3044000000000002E-2"/>
    <x v="12"/>
    <n v="1.22"/>
    <s v="Bond"/>
    <s v="THB"/>
    <d v="2017-11-15T00:00:00"/>
    <x v="7"/>
    <s v="SCBTMFPLUS43383"/>
  </r>
  <r>
    <d v="2018-10-10T00:00:00"/>
    <x v="3"/>
    <s v="FIXED INCOME"/>
    <x v="4"/>
    <m/>
    <x v="206"/>
    <x v="13"/>
    <m/>
    <x v="25"/>
    <n v="49899708.5"/>
    <m/>
    <n v="49899708.5"/>
    <n v="0.15307200000000001"/>
    <x v="3"/>
    <n v="1.31"/>
    <s v="Bond"/>
    <s v="THB"/>
    <d v="2017-12-07T00:00:00"/>
    <x v="7"/>
    <s v="SCBTMFPLUS43383"/>
  </r>
  <r>
    <d v="2018-10-10T00:00:00"/>
    <x v="3"/>
    <s v="FIXED INCOME"/>
    <x v="4"/>
    <m/>
    <x v="34"/>
    <x v="13"/>
    <m/>
    <x v="25"/>
    <n v="998009450"/>
    <m/>
    <n v="997944340"/>
    <n v="0.153115"/>
    <x v="22"/>
    <n v="1.3426119999999999"/>
    <s v="Bond"/>
    <s v="THB"/>
    <d v="2018-09-06T00:00:00"/>
    <x v="18"/>
    <s v="SCBTMFPLUS43383"/>
  </r>
  <r>
    <d v="2018-10-10T00:00:00"/>
    <x v="3"/>
    <s v="FIXED INCOME"/>
    <x v="4"/>
    <m/>
    <x v="35"/>
    <x v="13"/>
    <m/>
    <x v="26"/>
    <n v="958042281.60000002"/>
    <m/>
    <n v="958026912"/>
    <n v="0.17219100000000001"/>
    <x v="125"/>
    <n v="1.193222"/>
    <s v="Bond"/>
    <s v="THB"/>
    <d v="2018-09-13T00:00:00"/>
    <x v="18"/>
    <s v="SCBTMFPLUS43383"/>
  </r>
  <r>
    <d v="2018-10-10T00:00:00"/>
    <x v="3"/>
    <s v="FIXED INCOME"/>
    <x v="4"/>
    <m/>
    <x v="36"/>
    <x v="13"/>
    <m/>
    <x v="27"/>
    <n v="598559358"/>
    <m/>
    <n v="598419702"/>
    <n v="0.19125700000000001"/>
    <x v="126"/>
    <n v="1.3769830000000001"/>
    <s v="Bond"/>
    <s v="THB"/>
    <d v="2018-09-20T00:00:00"/>
    <x v="18"/>
    <s v="SCBTMFPLUS43383"/>
  </r>
  <r>
    <d v="2018-10-10T00:00:00"/>
    <x v="3"/>
    <s v="FIXED INCOME"/>
    <x v="4"/>
    <m/>
    <x v="122"/>
    <x v="13"/>
    <m/>
    <x v="71"/>
    <n v="847532637"/>
    <m/>
    <n v="847405766"/>
    <n v="0.210337"/>
    <x v="64"/>
    <n v="1.451176"/>
    <s v="Bond"/>
    <s v="THB"/>
    <d v="2018-09-27T00:00:00"/>
    <x v="18"/>
    <s v="SCBTMFPLUS43383"/>
  </r>
  <r>
    <d v="2018-10-10T00:00:00"/>
    <x v="3"/>
    <s v="FIXED INCOME"/>
    <x v="4"/>
    <m/>
    <x v="37"/>
    <x v="13"/>
    <m/>
    <x v="28"/>
    <n v="201856812.30000001"/>
    <m/>
    <n v="201856812.30000001"/>
    <n v="5.7493000000000002E-2"/>
    <x v="127"/>
    <n v="1.2329209999999999"/>
    <s v="Bond"/>
    <s v="THB"/>
    <d v="2018-05-03T00:00:00"/>
    <x v="19"/>
    <s v="SCBTMFPLUS43383"/>
  </r>
  <r>
    <d v="2018-10-10T00:00:00"/>
    <x v="3"/>
    <s v="FIXED INCOME"/>
    <x v="4"/>
    <m/>
    <x v="38"/>
    <x v="13"/>
    <m/>
    <x v="28"/>
    <n v="1339029009.2"/>
    <m/>
    <n v="1339024399.5999999"/>
    <n v="5.7493000000000002E-2"/>
    <x v="128"/>
    <n v="1.266359"/>
    <s v="Bond"/>
    <s v="THB"/>
    <d v="2018-08-02T00:00:00"/>
    <x v="18"/>
    <s v="SCBTMFPLUS43383"/>
  </r>
  <r>
    <d v="2018-10-10T00:00:00"/>
    <x v="3"/>
    <s v="FIXED INCOME"/>
    <x v="4"/>
    <m/>
    <x v="39"/>
    <x v="13"/>
    <m/>
    <x v="29"/>
    <n v="43958997.280000001"/>
    <m/>
    <n v="43958997.280000001"/>
    <n v="7.6638999999999999E-2"/>
    <x v="129"/>
    <n v="1.2159089999999999"/>
    <s v="Bond"/>
    <s v="THB"/>
    <d v="2018-05-10T00:00:00"/>
    <x v="19"/>
    <s v="SCBTMFPLUS43383"/>
  </r>
  <r>
    <d v="2018-10-10T00:00:00"/>
    <x v="3"/>
    <s v="FIXED INCOME"/>
    <x v="4"/>
    <m/>
    <x v="40"/>
    <x v="13"/>
    <m/>
    <x v="29"/>
    <n v="671393748.48000002"/>
    <m/>
    <n v="671393096.63999999"/>
    <n v="7.6638999999999999E-2"/>
    <x v="130"/>
    <n v="1.1783650000000001"/>
    <s v="Bond"/>
    <s v="THB"/>
    <d v="2018-08-09T00:00:00"/>
    <x v="18"/>
    <s v="SCBTMFPLUS43383"/>
  </r>
  <r>
    <d v="2018-10-10T00:00:00"/>
    <x v="3"/>
    <s v="FIXED INCOME"/>
    <x v="4"/>
    <m/>
    <x v="41"/>
    <x v="13"/>
    <m/>
    <x v="30"/>
    <n v="30965111.359999999"/>
    <m/>
    <n v="30965111.359999999"/>
    <n v="9.5774999999999999E-2"/>
    <x v="131"/>
    <n v="1.175"/>
    <s v="Bond"/>
    <s v="THB"/>
    <d v="2018-05-17T00:00:00"/>
    <x v="19"/>
    <s v="SCBTMFPLUS43383"/>
  </r>
  <r>
    <d v="2018-10-10T00:00:00"/>
    <x v="3"/>
    <s v="FIXED INCOME"/>
    <x v="4"/>
    <m/>
    <x v="42"/>
    <x v="13"/>
    <m/>
    <x v="30"/>
    <n v="1002821795.96"/>
    <m/>
    <n v="1002821053"/>
    <n v="9.5776E-2"/>
    <x v="132"/>
    <n v="1.22601"/>
    <s v="Bond"/>
    <s v="THB"/>
    <d v="2018-08-16T00:00:00"/>
    <x v="18"/>
    <s v="SCBTMFPLUS43383"/>
  </r>
  <r>
    <d v="2018-10-10T00:00:00"/>
    <x v="3"/>
    <s v="FIXED INCOME"/>
    <x v="4"/>
    <m/>
    <x v="44"/>
    <x v="13"/>
    <m/>
    <x v="31"/>
    <n v="338514060.44999999"/>
    <m/>
    <n v="338506148.19"/>
    <n v="0.114899"/>
    <x v="133"/>
    <n v="1.267868"/>
    <s v="Bond"/>
    <s v="THB"/>
    <d v="2018-08-23T00:00:00"/>
    <x v="18"/>
    <s v="SCBTMFPLUS43383"/>
  </r>
  <r>
    <d v="2018-10-10T00:00:00"/>
    <x v="3"/>
    <s v="FIXED INCOME"/>
    <x v="4"/>
    <m/>
    <x v="46"/>
    <x v="13"/>
    <m/>
    <x v="32"/>
    <n v="664937736.65999997"/>
    <m/>
    <n v="664891549.55999994"/>
    <n v="0.13401399999999999"/>
    <x v="134"/>
    <n v="1.241832"/>
    <s v="Bond"/>
    <s v="THB"/>
    <d v="2018-08-30T00:00:00"/>
    <x v="18"/>
    <s v="SCBTMFPLUS43383"/>
  </r>
  <r>
    <d v="2018-10-10T00:00:00"/>
    <x v="3"/>
    <s v="FIXED INCOME"/>
    <x v="4"/>
    <m/>
    <x v="47"/>
    <x v="13"/>
    <m/>
    <x v="33"/>
    <n v="211800000"/>
    <m/>
    <n v="211800000"/>
    <n v="2.7399999999999998E-3"/>
    <x v="135"/>
    <n v="1.169896"/>
    <s v="Bond"/>
    <s v="THB"/>
    <d v="2018-04-12T00:00:00"/>
    <x v="19"/>
    <s v="SCBTMFPLUS43383"/>
  </r>
  <r>
    <d v="2018-10-10T00:00:00"/>
    <x v="3"/>
    <s v="FIXED INCOME"/>
    <x v="4"/>
    <m/>
    <x v="48"/>
    <x v="13"/>
    <m/>
    <x v="33"/>
    <n v="663000000"/>
    <m/>
    <n v="663000000"/>
    <n v="2.7399999999999998E-3"/>
    <x v="136"/>
    <n v="1.299917"/>
    <s v="Bond"/>
    <s v="THB"/>
    <d v="2018-07-12T00:00:00"/>
    <x v="18"/>
    <s v="SCBTMFPLUS43383"/>
  </r>
  <r>
    <d v="2018-10-10T00:00:00"/>
    <x v="3"/>
    <s v="FIXED INCOME"/>
    <x v="4"/>
    <m/>
    <x v="49"/>
    <x v="13"/>
    <m/>
    <x v="6"/>
    <n v="819875023.79999995"/>
    <m/>
    <n v="819875023.79999995"/>
    <n v="1.3696E-2"/>
    <x v="137"/>
    <n v="1.1127279999999999"/>
    <s v="Bond"/>
    <s v="THB"/>
    <d v="2018-10-02T00:00:00"/>
    <x v="20"/>
    <s v="SCBTMFPLUS43383"/>
  </r>
  <r>
    <d v="2018-10-10T00:00:00"/>
    <x v="3"/>
    <s v="FIXED INCOME"/>
    <x v="4"/>
    <m/>
    <x v="50"/>
    <x v="13"/>
    <m/>
    <x v="34"/>
    <n v="204956171"/>
    <m/>
    <n v="204956171"/>
    <n v="1.9174E-2"/>
    <x v="138"/>
    <n v="1.115073"/>
    <s v="Bond"/>
    <s v="THB"/>
    <d v="2018-04-19T00:00:00"/>
    <x v="19"/>
    <s v="SCBTMFPLUS43383"/>
  </r>
  <r>
    <d v="2018-10-10T00:00:00"/>
    <x v="3"/>
    <s v="FIXED INCOME"/>
    <x v="4"/>
    <m/>
    <x v="51"/>
    <x v="13"/>
    <m/>
    <x v="34"/>
    <n v="326916778.5"/>
    <m/>
    <n v="326914836.12"/>
    <n v="1.9174E-2"/>
    <x v="139"/>
    <n v="1.3583860000000001"/>
    <s v="Bond"/>
    <s v="THB"/>
    <d v="2018-07-19T00:00:00"/>
    <x v="18"/>
    <s v="SCBTMFPLUS43383"/>
  </r>
  <r>
    <d v="2018-10-10T00:00:00"/>
    <x v="3"/>
    <s v="FIXED INCOME"/>
    <x v="4"/>
    <m/>
    <x v="52"/>
    <x v="13"/>
    <m/>
    <x v="35"/>
    <n v="569769155.70000005"/>
    <m/>
    <n v="569769155.70000005"/>
    <n v="3.5601000000000001E-2"/>
    <x v="140"/>
    <n v="1.1375390000000001"/>
    <s v="Bond"/>
    <s v="THB"/>
    <d v="2018-10-09T00:00:00"/>
    <x v="21"/>
    <s v="SCBTMFPLUS43383"/>
  </r>
  <r>
    <d v="2018-10-10T00:00:00"/>
    <x v="3"/>
    <s v="FIXED INCOME"/>
    <x v="4"/>
    <m/>
    <x v="53"/>
    <x v="13"/>
    <m/>
    <x v="36"/>
    <n v="264876454.34999999"/>
    <m/>
    <n v="264876454.34999999"/>
    <n v="3.8338999999999998E-2"/>
    <x v="141"/>
    <n v="1.2160530000000001"/>
    <s v="Bond"/>
    <s v="THB"/>
    <d v="2018-04-26T00:00:00"/>
    <x v="19"/>
    <s v="SCBTMFPLUS43383"/>
  </r>
  <r>
    <d v="2018-10-10T00:00:00"/>
    <x v="3"/>
    <s v="FIXED INCOME"/>
    <x v="4"/>
    <m/>
    <x v="54"/>
    <x v="13"/>
    <m/>
    <x v="36"/>
    <n v="4997719.8"/>
    <m/>
    <n v="4997656.25"/>
    <n v="3.8338999999999998E-2"/>
    <x v="142"/>
    <n v="1.222683"/>
    <s v="Bond"/>
    <s v="THB"/>
    <d v="2018-07-26T00:00:00"/>
    <x v="18"/>
    <s v="SCBTMFPLUS43383"/>
  </r>
  <r>
    <d v="2018-10-10T00:00:00"/>
    <x v="3"/>
    <s v="FIXED INCOME"/>
    <x v="4"/>
    <m/>
    <x v="55"/>
    <x v="13"/>
    <m/>
    <x v="20"/>
    <n v="448482775.5"/>
    <m/>
    <n v="448461517.5"/>
    <n v="0.229353"/>
    <x v="99"/>
    <n v="1.490669"/>
    <s v="Bond"/>
    <s v="THB"/>
    <d v="2018-10-04T00:00:00"/>
    <x v="18"/>
    <s v="SCBTMFPLUS43383"/>
  </r>
  <r>
    <d v="2018-10-10T00:00:00"/>
    <x v="3"/>
    <s v="FIXED INCOME"/>
    <x v="4"/>
    <m/>
    <x v="56"/>
    <x v="13"/>
    <m/>
    <x v="37"/>
    <n v="846718364.39999998"/>
    <m/>
    <n v="846718364.39999998"/>
    <n v="0.25205499999999997"/>
    <x v="64"/>
    <n v="1.554543"/>
    <s v="Bond"/>
    <s v="THB"/>
    <d v="2018-10-11T00:00:00"/>
    <x v="18"/>
    <s v="SCBTMFPLUS43383"/>
  </r>
  <r>
    <d v="2018-10-10T00:00:00"/>
    <x v="3"/>
    <s v="FIXED INCOME"/>
    <x v="16"/>
    <m/>
    <x v="207"/>
    <x v="6"/>
    <s v="AAA(tha)"/>
    <x v="99"/>
    <n v="100250067"/>
    <n v="810685"/>
    <n v="100245911"/>
    <n v="0.198463"/>
    <x v="45"/>
    <n v="1.43"/>
    <s v="Bond"/>
    <s v="THB"/>
    <d v="2015-06-23T00:00:00"/>
    <x v="113"/>
    <s v="SCBTMFPLUS43383"/>
  </r>
  <r>
    <d v="2018-10-10T00:00:00"/>
    <x v="3"/>
    <s v="FIXED INCOME"/>
    <x v="5"/>
    <m/>
    <x v="208"/>
    <x v="0"/>
    <s v="AAA"/>
    <x v="100"/>
    <n v="30003535.199999999"/>
    <n v="61150.8"/>
    <n v="30045864"/>
    <n v="0.382766"/>
    <x v="4"/>
    <n v="1.48"/>
    <s v="Bond"/>
    <s v="THB"/>
    <d v="2016-02-29T00:00:00"/>
    <x v="69"/>
    <s v="SCBTMFPLUS43383"/>
  </r>
  <r>
    <d v="2018-10-10T00:00:00"/>
    <x v="3"/>
    <s v="FIXED INCOME"/>
    <x v="5"/>
    <m/>
    <x v="144"/>
    <x v="7"/>
    <s v="A"/>
    <x v="32"/>
    <n v="4001832.24"/>
    <n v="27369.88"/>
    <n v="4001378.24"/>
    <n v="0.133241"/>
    <x v="143"/>
    <n v="1.53"/>
    <s v="Bond"/>
    <s v="THB"/>
    <d v="2017-05-29T00:00:00"/>
    <x v="67"/>
    <s v="SCBTMFPLUS43383"/>
  </r>
  <r>
    <d v="2018-10-10T00:00:00"/>
    <x v="3"/>
    <s v="ACCRUED RECEIVE"/>
    <x v="17"/>
    <s v="Settle Date :11/10/2018"/>
    <x v="54"/>
    <x v="17"/>
    <m/>
    <x v="0"/>
    <n v="1199457120"/>
    <m/>
    <n v="1199457120"/>
    <m/>
    <x v="46"/>
    <n v="0"/>
    <s v="Bond"/>
    <s v="THB"/>
    <d v="2018-07-26T00:00:00"/>
    <x v="42"/>
    <s v="SCBTMFPLUS43383"/>
  </r>
  <r>
    <d v="2018-10-10T00:00:00"/>
    <x v="3"/>
    <s v="ACCRUED PAYABLE"/>
    <x v="8"/>
    <s v="Settle Date :11/10/2018"/>
    <x v="56"/>
    <x v="17"/>
    <m/>
    <x v="0"/>
    <n v="-846718364.39999998"/>
    <m/>
    <n v="-846718364.39999998"/>
    <m/>
    <x v="46"/>
    <n v="0"/>
    <s v="Bond"/>
    <s v="THB"/>
    <d v="2018-10-11T00:00:00"/>
    <x v="31"/>
    <s v="SCBTMFPLUS43383"/>
  </r>
  <r>
    <d v="2018-10-10T00:00:00"/>
    <x v="3"/>
    <s v="ACCRUED PAYABLE"/>
    <x v="9"/>
    <s v="AUDITING FEE"/>
    <x v="69"/>
    <x v="17"/>
    <m/>
    <x v="0"/>
    <n v="-229000"/>
    <m/>
    <m/>
    <m/>
    <x v="46"/>
    <n v="0"/>
    <m/>
    <m/>
    <m/>
    <x v="43"/>
    <s v="SCBTMFPLUS43383"/>
  </r>
  <r>
    <d v="2018-10-10T00:00:00"/>
    <x v="3"/>
    <s v="ACCRUED PAYABLE"/>
    <x v="9"/>
    <s v="AUDITING FEE"/>
    <x v="69"/>
    <x v="17"/>
    <m/>
    <x v="0"/>
    <n v="-11000"/>
    <m/>
    <m/>
    <m/>
    <x v="46"/>
    <n v="0"/>
    <m/>
    <m/>
    <m/>
    <x v="43"/>
    <s v="SCBTMFPLUS43383"/>
  </r>
  <r>
    <d v="2018-10-10T00:00:00"/>
    <x v="3"/>
    <s v="ACCRUED PAYABLE"/>
    <x v="9"/>
    <s v="AUDITING FEE"/>
    <x v="69"/>
    <x v="17"/>
    <m/>
    <x v="0"/>
    <n v="-26301.200000000001"/>
    <m/>
    <m/>
    <m/>
    <x v="46"/>
    <n v="0"/>
    <m/>
    <m/>
    <m/>
    <x v="43"/>
    <s v="SCBTMFPLUS43383"/>
  </r>
  <r>
    <d v="2018-10-10T00:00:00"/>
    <x v="3"/>
    <s v="ACCRUED PAYABLE"/>
    <x v="10"/>
    <m/>
    <x v="70"/>
    <x v="17"/>
    <m/>
    <x v="0"/>
    <n v="-61485.279999999999"/>
    <n v="0"/>
    <m/>
    <m/>
    <x v="46"/>
    <n v="0"/>
    <m/>
    <m/>
    <m/>
    <x v="43"/>
    <s v="SCBTMFPLUS43383"/>
  </r>
  <r>
    <d v="2018-10-10T00:00:00"/>
    <x v="3"/>
    <s v="ACCRUED PAYABLE"/>
    <x v="12"/>
    <s v="CUSTODIAN FEE"/>
    <x v="70"/>
    <x v="17"/>
    <m/>
    <x v="0"/>
    <n v="-86593.3"/>
    <m/>
    <n v="-86593.3"/>
    <m/>
    <x v="46"/>
    <n v="0"/>
    <m/>
    <m/>
    <m/>
    <x v="43"/>
    <s v="SCBTMFPLUS43383"/>
  </r>
  <r>
    <d v="2018-10-10T00:00:00"/>
    <x v="3"/>
    <s v="ACCRUED PAYABLE"/>
    <x v="13"/>
    <s v="MANAGEMENT FEE"/>
    <x v="70"/>
    <x v="17"/>
    <m/>
    <x v="0"/>
    <n v="-593644.73"/>
    <m/>
    <n v="-593644.73"/>
    <m/>
    <x v="46"/>
    <n v="0"/>
    <m/>
    <m/>
    <m/>
    <x v="43"/>
    <s v="SCBTMFPLUS43383"/>
  </r>
  <r>
    <d v="2018-10-10T00:00:00"/>
    <x v="3"/>
    <s v="FEES"/>
    <x v="12"/>
    <s v="CUSTODIAN FEE"/>
    <x v="70"/>
    <x v="17"/>
    <m/>
    <x v="0"/>
    <n v="-9725.7800000000007"/>
    <m/>
    <n v="-9725.7800000000007"/>
    <m/>
    <x v="46"/>
    <n v="0"/>
    <m/>
    <m/>
    <m/>
    <x v="43"/>
    <s v="SCBTMFPLUS43383"/>
  </r>
  <r>
    <d v="2018-10-10T00:00:00"/>
    <x v="3"/>
    <s v="FEES"/>
    <x v="13"/>
    <s v="MANAGEMENT FEE"/>
    <x v="70"/>
    <x v="17"/>
    <m/>
    <x v="0"/>
    <n v="-66683.600000000006"/>
    <m/>
    <n v="-66683.600000000006"/>
    <m/>
    <x v="46"/>
    <n v="0"/>
    <m/>
    <m/>
    <m/>
    <x v="43"/>
    <s v="SCBTMFPLUS43383"/>
  </r>
  <r>
    <d v="2018-10-10T00:00:00"/>
    <x v="4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RF43383"/>
  </r>
  <r>
    <d v="2018-10-10T00:00:00"/>
    <x v="4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RF43383"/>
  </r>
  <r>
    <d v="2018-10-10T00:00:00"/>
    <x v="4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RF43383"/>
  </r>
  <r>
    <d v="2018-10-10T00:00:00"/>
    <x v="4"/>
    <s v="FIXED INCOME"/>
    <x v="0"/>
    <m/>
    <x v="0"/>
    <x v="0"/>
    <m/>
    <x v="0"/>
    <n v="898271.84"/>
    <n v="844.05"/>
    <n v="898271.84"/>
    <n v="0"/>
    <x v="0"/>
    <n v="0"/>
    <s v="Cash Bal"/>
    <s v="THB"/>
    <d v="1900-01-01T00:00:00"/>
    <x v="0"/>
    <s v="SCBRF43383"/>
  </r>
  <r>
    <d v="2018-10-10T00:00:00"/>
    <x v="4"/>
    <s v="FIXED INCOME"/>
    <x v="1"/>
    <m/>
    <x v="209"/>
    <x v="7"/>
    <s v="A"/>
    <x v="19"/>
    <n v="195888.14"/>
    <n v="434.71"/>
    <n v="195888.14"/>
    <n v="0"/>
    <x v="144"/>
    <n v="0"/>
    <s v="Bond"/>
    <s v="THB"/>
    <d v="2006-01-11T00:00:00"/>
    <x v="114"/>
    <s v="SCBRF43383"/>
  </r>
  <r>
    <d v="2018-10-10T00:00:00"/>
    <x v="4"/>
    <s v="FIXED INCOME"/>
    <x v="1"/>
    <m/>
    <x v="210"/>
    <x v="8"/>
    <s v="AA+(tha)"/>
    <x v="19"/>
    <n v="43832.959999999999"/>
    <n v="45.93"/>
    <n v="43832.959999999999"/>
    <n v="0"/>
    <x v="145"/>
    <n v="0"/>
    <s v="Bond"/>
    <s v="THB"/>
    <d v="2008-03-28T00:00:00"/>
    <x v="13"/>
    <s v="SCBRF43383"/>
  </r>
  <r>
    <d v="2018-10-10T00:00:00"/>
    <x v="4"/>
    <s v="FIXED INCOME"/>
    <x v="1"/>
    <m/>
    <x v="211"/>
    <x v="9"/>
    <s v="AAA(tha)"/>
    <x v="19"/>
    <n v="14034247.109999999"/>
    <n v="24722.03"/>
    <n v="14034247.109999999"/>
    <n v="0"/>
    <x v="146"/>
    <n v="0"/>
    <s v="Bond"/>
    <s v="THB"/>
    <d v="2005-09-01T00:00:00"/>
    <x v="115"/>
    <s v="SCBRF43383"/>
  </r>
  <r>
    <d v="2018-10-10T00:00:00"/>
    <x v="4"/>
    <s v="FIXED INCOME"/>
    <x v="2"/>
    <m/>
    <x v="212"/>
    <x v="50"/>
    <m/>
    <x v="19"/>
    <n v="24185.75"/>
    <m/>
    <n v="24185.75"/>
    <m/>
    <x v="147"/>
    <n v="0"/>
    <s v="Bond"/>
    <s v="THB"/>
    <d v="2017-10-16T00:00:00"/>
    <x v="116"/>
    <s v="SCBRF43383"/>
  </r>
  <r>
    <d v="2018-10-10T00:00:00"/>
    <x v="4"/>
    <s v="FIXED INCOME"/>
    <x v="4"/>
    <m/>
    <x v="41"/>
    <x v="13"/>
    <m/>
    <x v="30"/>
    <n v="4994396.7"/>
    <m/>
    <n v="4994396.7"/>
    <n v="9.5774999999999999E-2"/>
    <x v="142"/>
    <n v="1.17"/>
    <s v="Bond"/>
    <s v="THB"/>
    <d v="2018-05-17T00:00:00"/>
    <x v="19"/>
    <s v="SCBRF43383"/>
  </r>
  <r>
    <d v="2018-10-10T00:00:00"/>
    <x v="4"/>
    <s v="FIXED INCOME"/>
    <x v="4"/>
    <m/>
    <x v="47"/>
    <x v="13"/>
    <m/>
    <x v="33"/>
    <n v="20000000"/>
    <m/>
    <n v="20000000"/>
    <n v="2.7399999999999998E-3"/>
    <x v="112"/>
    <n v="1.1499999999999999"/>
    <s v="Bond"/>
    <s v="THB"/>
    <d v="2018-04-12T00:00:00"/>
    <x v="19"/>
    <s v="SCBRF43383"/>
  </r>
  <r>
    <d v="2018-10-10T00:00:00"/>
    <x v="4"/>
    <s v="FIXED INCOME"/>
    <x v="4"/>
    <m/>
    <x v="54"/>
    <x v="13"/>
    <m/>
    <x v="36"/>
    <n v="9995667.5999999996"/>
    <m/>
    <n v="9995667.5999999996"/>
    <n v="3.8338999999999998E-2"/>
    <x v="17"/>
    <n v="1.1299999999999999"/>
    <s v="Bond"/>
    <s v="THB"/>
    <d v="2018-07-26T00:00:00"/>
    <x v="18"/>
    <s v="SCBRF43383"/>
  </r>
  <r>
    <d v="2018-10-10T00:00:00"/>
    <x v="4"/>
    <s v="FIXED INCOME"/>
    <x v="16"/>
    <m/>
    <x v="213"/>
    <x v="12"/>
    <s v="BBB+"/>
    <x v="101"/>
    <n v="4001277.84"/>
    <n v="57534.239999999998"/>
    <n v="4001109.68"/>
    <n v="2.1786E-2"/>
    <x v="143"/>
    <n v="1.53"/>
    <s v="Bond"/>
    <s v="THB"/>
    <d v="2015-10-19T00:00:00"/>
    <x v="69"/>
    <s v="SCBRF43383"/>
  </r>
  <r>
    <d v="2018-10-10T00:00:00"/>
    <x v="4"/>
    <s v="FIXED INCOME"/>
    <x v="5"/>
    <m/>
    <x v="214"/>
    <x v="51"/>
    <m/>
    <x v="102"/>
    <n v="9968818.0999999996"/>
    <n v="104284.9"/>
    <n v="10000000"/>
    <n v="1.520721"/>
    <x v="17"/>
    <n v="2.44"/>
    <s v="Bond"/>
    <s v="THB"/>
    <d v="2017-05-08T00:00:00"/>
    <x v="69"/>
    <s v="SCBRF43383"/>
  </r>
  <r>
    <d v="2018-10-10T00:00:00"/>
    <x v="4"/>
    <s v="FIXED INCOME"/>
    <x v="5"/>
    <m/>
    <x v="215"/>
    <x v="52"/>
    <s v="A"/>
    <x v="103"/>
    <n v="4969892.9000000004"/>
    <n v="1873.95"/>
    <n v="5000000"/>
    <n v="1.9235519999999999"/>
    <x v="142"/>
    <n v="2.2799999999999998"/>
    <s v="Bond"/>
    <s v="THB"/>
    <d v="2017-10-05T00:00:00"/>
    <x v="69"/>
    <s v="SCBRF43383"/>
  </r>
  <r>
    <d v="2018-10-10T00:00:00"/>
    <x v="4"/>
    <s v="FIXED INCOME"/>
    <x v="5"/>
    <m/>
    <x v="216"/>
    <x v="25"/>
    <s v="A+"/>
    <x v="104"/>
    <n v="14928047.539999999"/>
    <n v="20712.3"/>
    <n v="14710105.619999999"/>
    <n v="2.3176359999999998"/>
    <x v="57"/>
    <n v="3.25"/>
    <s v="Bond"/>
    <s v="THB"/>
    <d v="2011-04-01T00:00:00"/>
    <x v="117"/>
    <s v="SCBRF43383"/>
  </r>
  <r>
    <d v="2018-10-10T00:00:00"/>
    <x v="4"/>
    <s v="FIXED INCOME"/>
    <x v="5"/>
    <m/>
    <x v="217"/>
    <x v="25"/>
    <s v="A+"/>
    <x v="105"/>
    <n v="10648592.300000001"/>
    <n v="130191.8"/>
    <n v="11000035.5"/>
    <n v="4.9570410000000003"/>
    <x v="17"/>
    <n v="2.89"/>
    <s v="Bond"/>
    <s v="THB"/>
    <d v="2014-07-04T00:00:00"/>
    <x v="117"/>
    <s v="SCBRF43383"/>
  </r>
  <r>
    <d v="2018-10-10T00:00:00"/>
    <x v="4"/>
    <s v="FIXED INCOME"/>
    <x v="5"/>
    <m/>
    <x v="218"/>
    <x v="25"/>
    <s v="A+"/>
    <x v="106"/>
    <n v="10419292.6"/>
    <n v="197646.53"/>
    <n v="10482872.1"/>
    <n v="7.1726489999999998"/>
    <x v="17"/>
    <n v="3.51"/>
    <s v="Bond"/>
    <s v="THB"/>
    <d v="2017-04-21T00:00:00"/>
    <x v="118"/>
    <s v="SCBRF43383"/>
  </r>
  <r>
    <d v="2018-10-10T00:00:00"/>
    <x v="4"/>
    <s v="FIXED INCOME"/>
    <x v="5"/>
    <m/>
    <x v="219"/>
    <x v="0"/>
    <s v="AAA"/>
    <x v="107"/>
    <n v="9886364"/>
    <n v="81602.7"/>
    <n v="10000000"/>
    <n v="1.9931779999999999"/>
    <x v="17"/>
    <n v="1.85"/>
    <s v="Bond"/>
    <s v="THB"/>
    <d v="2017-11-03T00:00:00"/>
    <x v="69"/>
    <s v="SCBRF43383"/>
  </r>
  <r>
    <d v="2018-10-10T00:00:00"/>
    <x v="4"/>
    <s v="FIXED INCOME"/>
    <x v="5"/>
    <m/>
    <x v="220"/>
    <x v="53"/>
    <s v="A"/>
    <x v="108"/>
    <n v="42822351.439999998"/>
    <n v="17792.72"/>
    <n v="44000000"/>
    <n v="4.2007459999999996"/>
    <x v="129"/>
    <n v="2.46"/>
    <s v="Bond"/>
    <s v="THB"/>
    <d v="2018-04-05T00:00:00"/>
    <x v="22"/>
    <s v="SCBRF43383"/>
  </r>
  <r>
    <d v="2018-10-10T00:00:00"/>
    <x v="4"/>
    <s v="FIXED INCOME"/>
    <x v="5"/>
    <m/>
    <x v="221"/>
    <x v="45"/>
    <s v="A+"/>
    <x v="109"/>
    <n v="10552441.93"/>
    <n v="26560.95"/>
    <n v="10801813.4"/>
    <n v="2.7651870000000001"/>
    <x v="148"/>
    <n v="2.0150000000000001"/>
    <s v="Bond"/>
    <s v="THB"/>
    <d v="2016-09-07T00:00:00"/>
    <x v="22"/>
    <s v="SCBRF43383"/>
  </r>
  <r>
    <d v="2018-10-10T00:00:00"/>
    <x v="4"/>
    <s v="FIXED INCOME"/>
    <x v="5"/>
    <m/>
    <x v="222"/>
    <x v="45"/>
    <s v="A+"/>
    <x v="110"/>
    <n v="1992990"/>
    <n v="5719.46"/>
    <n v="2030306.32"/>
    <n v="4.5042559999999998"/>
    <x v="149"/>
    <n v="2.74"/>
    <s v="Bond"/>
    <s v="THB"/>
    <d v="2016-09-07T00:00:00"/>
    <x v="119"/>
    <s v="SCBRF43383"/>
  </r>
  <r>
    <d v="2018-10-10T00:00:00"/>
    <x v="4"/>
    <s v="FIXED INCOME"/>
    <x v="5"/>
    <m/>
    <x v="223"/>
    <x v="46"/>
    <s v="A"/>
    <x v="111"/>
    <n v="14892074.4"/>
    <n v="131383.5"/>
    <n v="15000000"/>
    <n v="2.5065400000000002"/>
    <x v="108"/>
    <n v="2.2999999999999998"/>
    <s v="Bond"/>
    <s v="THB"/>
    <d v="2016-05-25T00:00:00"/>
    <x v="22"/>
    <s v="SCBRF43383"/>
  </r>
  <r>
    <d v="2018-10-10T00:00:00"/>
    <x v="4"/>
    <s v="FIXED INCOME"/>
    <x v="5"/>
    <m/>
    <x v="224"/>
    <x v="46"/>
    <s v="A"/>
    <x v="112"/>
    <n v="7011254.7400000002"/>
    <n v="46391.8"/>
    <n v="7000000"/>
    <n v="3.5307789999999999"/>
    <x v="150"/>
    <n v="2.95"/>
    <s v="Bond"/>
    <s v="THB"/>
    <d v="2017-07-21T00:00:00"/>
    <x v="22"/>
    <s v="SCBRF43383"/>
  </r>
  <r>
    <d v="2018-10-10T00:00:00"/>
    <x v="4"/>
    <s v="FIXED INCOME"/>
    <x v="5"/>
    <m/>
    <x v="225"/>
    <x v="46"/>
    <s v="A"/>
    <x v="113"/>
    <n v="10752167.689999999"/>
    <n v="9872.83"/>
    <n v="11000000"/>
    <n v="4.1755339999999999"/>
    <x v="151"/>
    <n v="2.52"/>
    <s v="Bond"/>
    <s v="THB"/>
    <d v="2018-03-28T00:00:00"/>
    <x v="22"/>
    <s v="SCBRF43383"/>
  </r>
  <r>
    <d v="2018-10-10T00:00:00"/>
    <x v="4"/>
    <s v="FIXED INCOME"/>
    <x v="5"/>
    <m/>
    <x v="226"/>
    <x v="54"/>
    <s v="A"/>
    <x v="114"/>
    <n v="25126353.75"/>
    <n v="259479.5"/>
    <n v="25181382.25"/>
    <n v="1.0537030000000001"/>
    <x v="16"/>
    <n v="1.77"/>
    <s v="Bond"/>
    <s v="THB"/>
    <d v="2016-11-10T00:00:00"/>
    <x v="62"/>
    <s v="SCBRF43383"/>
  </r>
  <r>
    <d v="2018-10-10T00:00:00"/>
    <x v="4"/>
    <s v="FIXED INCOME"/>
    <x v="5"/>
    <m/>
    <x v="227"/>
    <x v="26"/>
    <s v="A"/>
    <x v="115"/>
    <n v="20843289.600000001"/>
    <n v="137898.18"/>
    <n v="21000000"/>
    <n v="2.1256740000000001"/>
    <x v="152"/>
    <n v="2.2400000000000002"/>
    <s v="Bond"/>
    <s v="THB"/>
    <d v="2017-12-26T00:00:00"/>
    <x v="69"/>
    <s v="SCBRF43383"/>
  </r>
  <r>
    <d v="2018-10-10T00:00:00"/>
    <x v="4"/>
    <s v="FIXED INCOME"/>
    <x v="5"/>
    <m/>
    <x v="228"/>
    <x v="55"/>
    <s v="A-"/>
    <x v="116"/>
    <n v="29852868.300000001"/>
    <n v="216279.6"/>
    <n v="30000000"/>
    <n v="1.624603"/>
    <x v="4"/>
    <n v="2.23"/>
    <s v="Bond"/>
    <s v="THB"/>
    <d v="2018-06-15T00:00:00"/>
    <x v="66"/>
    <s v="SCBRF43383"/>
  </r>
  <r>
    <d v="2018-10-10T00:00:00"/>
    <x v="4"/>
    <s v="FIXED INCOME"/>
    <x v="5"/>
    <m/>
    <x v="229"/>
    <x v="56"/>
    <s v="A-"/>
    <x v="107"/>
    <n v="10942658.43"/>
    <n v="108686.05"/>
    <n v="11039112.26"/>
    <n v="1.983293"/>
    <x v="151"/>
    <n v="2.058182"/>
    <s v="Bond"/>
    <s v="THB"/>
    <d v="2017-11-03T00:00:00"/>
    <x v="69"/>
    <s v="SCBRF43383"/>
  </r>
  <r>
    <d v="2018-10-10T00:00:00"/>
    <x v="4"/>
    <s v="FIXED INCOME"/>
    <x v="5"/>
    <m/>
    <x v="230"/>
    <x v="27"/>
    <s v="A+"/>
    <x v="86"/>
    <n v="10611883.800000001"/>
    <n v="93972.6"/>
    <n v="10752783.5"/>
    <n v="2.6107879999999999"/>
    <x v="17"/>
    <n v="2.12"/>
    <s v="Bond"/>
    <s v="THB"/>
    <d v="2013-08-02T00:00:00"/>
    <x v="120"/>
    <s v="SCBRF43383"/>
  </r>
  <r>
    <d v="2018-10-10T00:00:00"/>
    <x v="4"/>
    <s v="FIXED INCOME"/>
    <x v="5"/>
    <m/>
    <x v="231"/>
    <x v="27"/>
    <s v="A+"/>
    <x v="117"/>
    <n v="27537518.960000001"/>
    <n v="184838.36"/>
    <n v="28000000"/>
    <n v="5.632987"/>
    <x v="153"/>
    <n v="3.05"/>
    <s v="Bond"/>
    <s v="THB"/>
    <d v="2018-01-24T00:00:00"/>
    <x v="74"/>
    <s v="SCBRF43383"/>
  </r>
  <r>
    <d v="2018-10-10T00:00:00"/>
    <x v="4"/>
    <s v="FIXED INCOME"/>
    <x v="5"/>
    <m/>
    <x v="158"/>
    <x v="47"/>
    <s v="BBB+"/>
    <x v="92"/>
    <n v="7936101.4400000004"/>
    <n v="90459.199999999997"/>
    <n v="8000000"/>
    <n v="2.0267909999999998"/>
    <x v="109"/>
    <n v="3.08"/>
    <s v="Bond"/>
    <s v="THB"/>
    <d v="2017-11-30T00:00:00"/>
    <x v="69"/>
    <s v="SCBRF43383"/>
  </r>
  <r>
    <d v="2018-10-10T00:00:00"/>
    <x v="4"/>
    <s v="FIXED INCOME"/>
    <x v="5"/>
    <m/>
    <x v="124"/>
    <x v="32"/>
    <s v="BBB+"/>
    <x v="72"/>
    <n v="17080207.699999999"/>
    <n v="219998.7"/>
    <n v="17000000"/>
    <n v="1.0776760000000001"/>
    <x v="154"/>
    <n v="3.35"/>
    <s v="Bond"/>
    <s v="THB"/>
    <d v="2016-11-23T00:00:00"/>
    <x v="62"/>
    <s v="SCBRF43383"/>
  </r>
  <r>
    <d v="2018-10-10T00:00:00"/>
    <x v="4"/>
    <s v="FIXED INCOME"/>
    <x v="5"/>
    <m/>
    <x v="232"/>
    <x v="57"/>
    <s v="A+(tha)"/>
    <x v="118"/>
    <n v="8930098.8900000006"/>
    <n v="6539.22"/>
    <n v="9000000"/>
    <n v="2.8464499999999999"/>
    <x v="155"/>
    <n v="2.21"/>
    <s v="Bond"/>
    <s v="THB"/>
    <d v="2017-09-29T00:00:00"/>
    <x v="121"/>
    <s v="SCBRF43383"/>
  </r>
  <r>
    <d v="2018-10-10T00:00:00"/>
    <x v="4"/>
    <s v="FIXED INCOME"/>
    <x v="5"/>
    <m/>
    <x v="233"/>
    <x v="58"/>
    <s v="A-(tha)"/>
    <x v="119"/>
    <n v="4224066.92"/>
    <n v="84252.04"/>
    <n v="4256338.12"/>
    <n v="2.3781780000000001"/>
    <x v="143"/>
    <n v="2.375"/>
    <s v="Bond"/>
    <s v="THB"/>
    <d v="2014-05-09T00:00:00"/>
    <x v="74"/>
    <s v="SCBRF43383"/>
  </r>
  <r>
    <d v="2018-10-10T00:00:00"/>
    <x v="4"/>
    <s v="FIXED INCOME"/>
    <x v="5"/>
    <m/>
    <x v="234"/>
    <x v="59"/>
    <s v="AA-"/>
    <x v="120"/>
    <n v="7032068.54"/>
    <n v="79780.820000000007"/>
    <n v="7000000"/>
    <n v="1.510397"/>
    <x v="150"/>
    <n v="2.6"/>
    <s v="Bond"/>
    <s v="THB"/>
    <d v="2017-05-04T00:00:00"/>
    <x v="69"/>
    <s v="SCBRF43383"/>
  </r>
  <r>
    <d v="2018-10-10T00:00:00"/>
    <x v="4"/>
    <s v="FIXED INCOME"/>
    <x v="5"/>
    <m/>
    <x v="135"/>
    <x v="34"/>
    <s v="A-"/>
    <x v="78"/>
    <n v="39674066.799999997"/>
    <n v="21096"/>
    <n v="40000000"/>
    <n v="1.4360360000000001"/>
    <x v="15"/>
    <n v="1.75"/>
    <s v="Bond"/>
    <s v="THB"/>
    <d v="2018-03-30T00:00:00"/>
    <x v="66"/>
    <s v="SCBRF43383"/>
  </r>
  <r>
    <d v="2018-10-10T00:00:00"/>
    <x v="4"/>
    <s v="FIXED INCOME"/>
    <x v="5"/>
    <m/>
    <x v="235"/>
    <x v="60"/>
    <s v="A"/>
    <x v="121"/>
    <n v="2993799.33"/>
    <n v="19366.02"/>
    <n v="3000000"/>
    <n v="1.1482889999999999"/>
    <x v="156"/>
    <n v="1.98"/>
    <s v="Bond"/>
    <s v="THB"/>
    <d v="2017-12-14T00:00:00"/>
    <x v="122"/>
    <s v="SCBRF43383"/>
  </r>
  <r>
    <d v="2018-10-10T00:00:00"/>
    <x v="4"/>
    <s v="FIXED INCOME"/>
    <x v="5"/>
    <m/>
    <x v="236"/>
    <x v="35"/>
    <s v="A"/>
    <x v="122"/>
    <n v="7013415.1500000004"/>
    <n v="59743.53"/>
    <n v="7000000"/>
    <n v="2.0244230000000001"/>
    <x v="150"/>
    <n v="2.64"/>
    <s v="Bond"/>
    <s v="THB"/>
    <d v="2017-06-15T00:00:00"/>
    <x v="123"/>
    <s v="SCBRF43383"/>
  </r>
  <r>
    <d v="2018-10-10T00:00:00"/>
    <x v="4"/>
    <s v="FIXED INCOME"/>
    <x v="5"/>
    <m/>
    <x v="237"/>
    <x v="36"/>
    <s v="A-"/>
    <x v="123"/>
    <n v="4951176.1500000004"/>
    <n v="43095.9"/>
    <n v="5000000"/>
    <n v="2.0310000000000001"/>
    <x v="142"/>
    <n v="2.2000000000000002"/>
    <s v="Bond"/>
    <s v="THB"/>
    <d v="2017-11-21T00:00:00"/>
    <x v="69"/>
    <s v="SCBRF43383"/>
  </r>
  <r>
    <d v="2018-10-10T00:00:00"/>
    <x v="4"/>
    <s v="FIXED INCOME"/>
    <x v="5"/>
    <m/>
    <x v="138"/>
    <x v="36"/>
    <s v="A-"/>
    <x v="80"/>
    <n v="10870155.67"/>
    <n v="23434.51"/>
    <n v="11000000"/>
    <n v="2.3130760000000001"/>
    <x v="151"/>
    <n v="2.16"/>
    <s v="Bond"/>
    <s v="THB"/>
    <d v="2018-03-05T00:00:00"/>
    <x v="69"/>
    <s v="SCBRF43383"/>
  </r>
  <r>
    <d v="2018-10-10T00:00:00"/>
    <x v="4"/>
    <s v="FIXED INCOME"/>
    <x v="5"/>
    <m/>
    <x v="238"/>
    <x v="11"/>
    <s v="A"/>
    <x v="120"/>
    <n v="4019829.6"/>
    <n v="45413.68"/>
    <n v="4039452.88"/>
    <n v="1.5108060000000001"/>
    <x v="143"/>
    <n v="1.94"/>
    <s v="Bond"/>
    <s v="THB"/>
    <d v="2017-05-04T00:00:00"/>
    <x v="69"/>
    <s v="SCBRF43383"/>
  </r>
  <r>
    <d v="2018-10-10T00:00:00"/>
    <x v="4"/>
    <s v="FIXED INCOME"/>
    <x v="5"/>
    <m/>
    <x v="140"/>
    <x v="11"/>
    <s v="A"/>
    <x v="81"/>
    <n v="8909321.3100000005"/>
    <n v="13398.93"/>
    <n v="9000000"/>
    <n v="2.3435800000000002"/>
    <x v="155"/>
    <n v="2.09"/>
    <s v="Bond"/>
    <s v="THB"/>
    <d v="2018-03-15T00:00:00"/>
    <x v="69"/>
    <s v="SCBRF43383"/>
  </r>
  <r>
    <d v="2018-10-10T00:00:00"/>
    <x v="4"/>
    <s v="FIXED INCOME"/>
    <x v="5"/>
    <m/>
    <x v="239"/>
    <x v="38"/>
    <s v="A-"/>
    <x v="124"/>
    <n v="10486902.5"/>
    <n v="11539.7"/>
    <n v="10580380.199999999"/>
    <n v="2.7712780000000001"/>
    <x v="17"/>
    <n v="2.64"/>
    <s v="Bond"/>
    <s v="THB"/>
    <d v="2014-10-02T00:00:00"/>
    <x v="74"/>
    <s v="SCBRF43383"/>
  </r>
  <r>
    <d v="2018-10-10T00:00:00"/>
    <x v="4"/>
    <s v="FIXED INCOME"/>
    <x v="5"/>
    <m/>
    <x v="240"/>
    <x v="61"/>
    <s v="A"/>
    <x v="125"/>
    <n v="5073799.0999999996"/>
    <n v="25583.55"/>
    <n v="5071901.6500000004"/>
    <n v="1.777371"/>
    <x v="142"/>
    <n v="2.41"/>
    <s v="Bond"/>
    <s v="THB"/>
    <d v="2015-08-14T00:00:00"/>
    <x v="124"/>
    <s v="SCBRF43383"/>
  </r>
  <r>
    <d v="2018-10-10T00:00:00"/>
    <x v="4"/>
    <s v="FIXED INCOME"/>
    <x v="5"/>
    <m/>
    <x v="241"/>
    <x v="61"/>
    <s v="A"/>
    <x v="126"/>
    <n v="1982969.56"/>
    <n v="3254.8"/>
    <n v="2000000"/>
    <n v="2.3377979999999998"/>
    <x v="149"/>
    <n v="2.2000000000000002"/>
    <s v="Bond"/>
    <s v="THB"/>
    <d v="2018-03-14T00:00:00"/>
    <x v="69"/>
    <s v="SCBRF43383"/>
  </r>
  <r>
    <d v="2018-10-10T00:00:00"/>
    <x v="4"/>
    <s v="FIXED INCOME"/>
    <x v="5"/>
    <m/>
    <x v="242"/>
    <x v="7"/>
    <s v="A"/>
    <x v="127"/>
    <n v="4993833.7"/>
    <n v="37157.550000000003"/>
    <n v="5003925.75"/>
    <n v="0.56955299999999998"/>
    <x v="142"/>
    <n v="1.6"/>
    <s v="Bond"/>
    <s v="THB"/>
    <d v="2017-11-09T00:00:00"/>
    <x v="71"/>
    <s v="SCBRF43383"/>
  </r>
  <r>
    <d v="2018-10-10T00:00:00"/>
    <x v="4"/>
    <s v="FIXED INCOME"/>
    <x v="5"/>
    <m/>
    <x v="145"/>
    <x v="7"/>
    <s v="A"/>
    <x v="11"/>
    <n v="9969044.1999999993"/>
    <n v="28997.3"/>
    <n v="10000000"/>
    <n v="0.81894900000000004"/>
    <x v="17"/>
    <n v="1.68"/>
    <s v="Bond"/>
    <s v="THB"/>
    <d v="2018-02-09T00:00:00"/>
    <x v="71"/>
    <s v="SCBRF43383"/>
  </r>
  <r>
    <d v="2018-10-10T00:00:00"/>
    <x v="4"/>
    <s v="FIXED INCOME"/>
    <x v="5"/>
    <m/>
    <x v="243"/>
    <x v="39"/>
    <s v="BBB+"/>
    <x v="128"/>
    <n v="12004192.199999999"/>
    <n v="167158.32"/>
    <n v="12000000"/>
    <n v="0.12844700000000001"/>
    <x v="157"/>
    <n v="2.2799999999999998"/>
    <s v="Bond"/>
    <s v="THB"/>
    <d v="2018-03-02T00:00:00"/>
    <x v="17"/>
    <s v="SCBRF43383"/>
  </r>
  <r>
    <d v="2018-10-10T00:00:00"/>
    <x v="4"/>
    <s v="FIXED INCOME"/>
    <x v="5"/>
    <m/>
    <x v="244"/>
    <x v="39"/>
    <s v="BBB+"/>
    <x v="34"/>
    <n v="8000166.8799999999"/>
    <n v="62674"/>
    <n v="8000000"/>
    <n v="1.9172000000000002E-2"/>
    <x v="109"/>
    <n v="2.15"/>
    <s v="Bond"/>
    <s v="THB"/>
    <d v="2018-05-31T00:00:00"/>
    <x v="125"/>
    <s v="SCBRF43383"/>
  </r>
  <r>
    <d v="2018-10-10T00:00:00"/>
    <x v="4"/>
    <s v="FIXED INCOME"/>
    <x v="5"/>
    <m/>
    <x v="245"/>
    <x v="39"/>
    <s v="BBB+"/>
    <x v="67"/>
    <n v="11001546.710000001"/>
    <n v="94268.46"/>
    <n v="11000000"/>
    <n v="0.29935499999999998"/>
    <x v="151"/>
    <n v="2.2999999999999998"/>
    <s v="Bond"/>
    <s v="THB"/>
    <d v="2018-05-28T00:00:00"/>
    <x v="73"/>
    <s v="SCBRF43383"/>
  </r>
  <r>
    <d v="2018-10-10T00:00:00"/>
    <x v="4"/>
    <s v="FIXED INCOME"/>
    <x v="5"/>
    <m/>
    <x v="246"/>
    <x v="40"/>
    <s v="BBB+"/>
    <x v="27"/>
    <n v="12006208.68"/>
    <n v="148208.16"/>
    <n v="12000000"/>
    <n v="0.19100300000000001"/>
    <x v="157"/>
    <n v="2.2999999999999998"/>
    <s v="Bond"/>
    <s v="THB"/>
    <d v="2018-03-29T00:00:00"/>
    <x v="56"/>
    <s v="SCBRF43383"/>
  </r>
  <r>
    <d v="2018-10-10T00:00:00"/>
    <x v="4"/>
    <s v="FIXED INCOME"/>
    <x v="5"/>
    <m/>
    <x v="149"/>
    <x v="40"/>
    <s v="BBB+"/>
    <x v="86"/>
    <n v="18975969.75"/>
    <n v="134821.91"/>
    <n v="19000000"/>
    <n v="2.638757"/>
    <x v="102"/>
    <n v="3.7"/>
    <s v="Bond"/>
    <s v="THB"/>
    <d v="2018-08-02T00:00:00"/>
    <x v="69"/>
    <s v="SCBRF43383"/>
  </r>
  <r>
    <d v="2018-10-10T00:00:00"/>
    <x v="4"/>
    <s v="FIXED INCOME"/>
    <x v="5"/>
    <m/>
    <x v="247"/>
    <x v="9"/>
    <s v="AAA(tha)"/>
    <x v="129"/>
    <n v="1599668.16"/>
    <n v="2108.5"/>
    <n v="1601698.91"/>
    <n v="0.420628"/>
    <x v="158"/>
    <n v="1.615"/>
    <s v="Bond"/>
    <s v="THB"/>
    <d v="2016-03-15T00:00:00"/>
    <x v="62"/>
    <s v="SCBRF43383"/>
  </r>
  <r>
    <d v="2018-10-10T00:00:00"/>
    <x v="4"/>
    <s v="FIXED INCOME"/>
    <x v="5"/>
    <m/>
    <x v="150"/>
    <x v="41"/>
    <s v="A-"/>
    <x v="87"/>
    <n v="20820191.699999999"/>
    <n v="104505.24"/>
    <n v="21000000"/>
    <n v="2.4463970000000002"/>
    <x v="152"/>
    <n v="2.39"/>
    <s v="Bond"/>
    <s v="THB"/>
    <d v="2018-04-27T00:00:00"/>
    <x v="69"/>
    <s v="SCBRF43383"/>
  </r>
  <r>
    <d v="2018-10-10T00:00:00"/>
    <x v="4"/>
    <s v="FIXED INCOME"/>
    <x v="5"/>
    <m/>
    <x v="151"/>
    <x v="42"/>
    <s v="A"/>
    <x v="88"/>
    <n v="49622307.5"/>
    <n v="34055"/>
    <n v="50000000"/>
    <n v="2.3912019999999998"/>
    <x v="3"/>
    <n v="2.2599999999999998"/>
    <s v="Bond"/>
    <s v="THB"/>
    <d v="2018-03-30T00:00:00"/>
    <x v="69"/>
    <s v="SCBRF43383"/>
  </r>
  <r>
    <d v="2018-10-10T00:00:00"/>
    <x v="4"/>
    <s v="FIXED INCOME"/>
    <x v="5"/>
    <m/>
    <x v="152"/>
    <x v="43"/>
    <s v="A-"/>
    <x v="89"/>
    <n v="20163747.600000001"/>
    <n v="98531.6"/>
    <n v="20000000"/>
    <n v="1.7822849999999999"/>
    <x v="112"/>
    <n v="3.33"/>
    <s v="Bond"/>
    <s v="THB"/>
    <d v="2017-08-18T00:00:00"/>
    <x v="69"/>
    <s v="SCBRF43383"/>
  </r>
  <r>
    <d v="2018-10-10T00:00:00"/>
    <x v="4"/>
    <s v="ACCRUED PAYABLE"/>
    <x v="9"/>
    <s v="AUDITING FEE"/>
    <x v="69"/>
    <x v="17"/>
    <m/>
    <x v="0"/>
    <n v="-32137.14"/>
    <m/>
    <m/>
    <m/>
    <x v="46"/>
    <n v="0"/>
    <m/>
    <m/>
    <m/>
    <x v="43"/>
    <s v="SCBRF43383"/>
  </r>
  <r>
    <d v="2018-10-10T00:00:00"/>
    <x v="4"/>
    <s v="ACCRUED PAYABLE"/>
    <x v="9"/>
    <s v="AUDITING FEE"/>
    <x v="69"/>
    <x v="17"/>
    <m/>
    <x v="0"/>
    <n v="-850.58"/>
    <m/>
    <m/>
    <m/>
    <x v="46"/>
    <n v="0"/>
    <m/>
    <m/>
    <m/>
    <x v="43"/>
    <s v="SCBRF43383"/>
  </r>
  <r>
    <d v="2018-10-10T00:00:00"/>
    <x v="4"/>
    <s v="ACCRUED PAYABLE"/>
    <x v="10"/>
    <m/>
    <x v="70"/>
    <x v="17"/>
    <m/>
    <x v="0"/>
    <n v="-7887.31"/>
    <n v="0"/>
    <m/>
    <m/>
    <x v="46"/>
    <n v="0"/>
    <m/>
    <m/>
    <m/>
    <x v="43"/>
    <s v="SCBRF43383"/>
  </r>
  <r>
    <d v="2018-10-10T00:00:00"/>
    <x v="4"/>
    <s v="ACCRUED PAYABLE"/>
    <x v="12"/>
    <s v="CUSTODIAN FEE"/>
    <x v="70"/>
    <x v="17"/>
    <m/>
    <x v="0"/>
    <n v="-5052.79"/>
    <m/>
    <n v="-5052.79"/>
    <m/>
    <x v="46"/>
    <n v="0"/>
    <m/>
    <m/>
    <m/>
    <x v="43"/>
    <s v="SCBRF43383"/>
  </r>
  <r>
    <d v="2018-10-10T00:00:00"/>
    <x v="4"/>
    <s v="ACCRUED PAYABLE"/>
    <x v="13"/>
    <s v="MANAGEMENT FEE"/>
    <x v="70"/>
    <x v="17"/>
    <m/>
    <x v="0"/>
    <n v="-74059.539999999994"/>
    <m/>
    <n v="-74059.539999999994"/>
    <m/>
    <x v="46"/>
    <n v="0"/>
    <m/>
    <m/>
    <m/>
    <x v="43"/>
    <s v="SCBRF43383"/>
  </r>
  <r>
    <d v="2018-10-10T00:00:00"/>
    <x v="4"/>
    <s v="ACCRUED PAYABLE"/>
    <x v="14"/>
    <s v="REGISTRAR FEE"/>
    <x v="70"/>
    <x v="17"/>
    <m/>
    <x v="0"/>
    <n v="0"/>
    <m/>
    <n v="0"/>
    <m/>
    <x v="46"/>
    <n v="0"/>
    <m/>
    <m/>
    <m/>
    <x v="43"/>
    <s v="SCBRF43383"/>
  </r>
  <r>
    <d v="2018-10-10T00:00:00"/>
    <x v="4"/>
    <s v="FEES"/>
    <x v="12"/>
    <s v="CUSTODIAN FEE"/>
    <x v="70"/>
    <x v="17"/>
    <m/>
    <x v="0"/>
    <n v="-564.33000000000004"/>
    <m/>
    <m/>
    <m/>
    <x v="46"/>
    <n v="0"/>
    <m/>
    <m/>
    <m/>
    <x v="43"/>
    <s v="SCBRF43383"/>
  </r>
  <r>
    <d v="2018-10-10T00:00:00"/>
    <x v="4"/>
    <s v="FEES"/>
    <x v="13"/>
    <s v="MANAGEMENT FEE"/>
    <x v="70"/>
    <x v="17"/>
    <m/>
    <x v="0"/>
    <n v="-8271.43"/>
    <m/>
    <m/>
    <m/>
    <x v="46"/>
    <n v="0"/>
    <m/>
    <m/>
    <m/>
    <x v="43"/>
    <s v="SCBRF43383"/>
  </r>
  <r>
    <d v="2018-10-10T00:00:00"/>
    <x v="4"/>
    <s v="FEES"/>
    <x v="14"/>
    <s v="REGISTRAR FEE"/>
    <x v="70"/>
    <x v="17"/>
    <m/>
    <x v="0"/>
    <n v="0"/>
    <m/>
    <m/>
    <m/>
    <x v="46"/>
    <n v="0"/>
    <m/>
    <m/>
    <m/>
    <x v="43"/>
    <s v="SCBRF43383"/>
  </r>
  <r>
    <d v="2018-10-10T00:00:00"/>
    <x v="5"/>
    <s v="FIXED INCOME"/>
    <x v="0"/>
    <m/>
    <x v="0"/>
    <x v="0"/>
    <m/>
    <x v="0"/>
    <n v="2877942.19"/>
    <n v="2165.41"/>
    <n v="2877942.19"/>
    <n v="0"/>
    <x v="0"/>
    <n v="0"/>
    <s v="Cash Bal"/>
    <s v="THB"/>
    <d v="1900-01-01T00:00:00"/>
    <x v="0"/>
    <s v="SCBRM143383"/>
  </r>
  <r>
    <d v="2018-10-10T00:00:00"/>
    <x v="5"/>
    <s v="FIXED INCOME"/>
    <x v="1"/>
    <m/>
    <x v="77"/>
    <x v="2"/>
    <s v="AA-"/>
    <x v="40"/>
    <n v="400000000"/>
    <n v="2658082.19"/>
    <n v="400000000"/>
    <n v="0.59415600000000002"/>
    <x v="7"/>
    <n v="1.65"/>
    <s v="Bond"/>
    <s v="THB"/>
    <d v="2018-05-17T00:00:00"/>
    <x v="3"/>
    <s v="SCBRM143383"/>
  </r>
  <r>
    <d v="2018-10-10T00:00:00"/>
    <x v="5"/>
    <s v="FIXED INCOME"/>
    <x v="1"/>
    <m/>
    <x v="98"/>
    <x v="6"/>
    <s v="AAA(tha)"/>
    <x v="58"/>
    <n v="200000000"/>
    <n v="717260.27"/>
    <n v="200000000"/>
    <n v="0.78130100000000002"/>
    <x v="13"/>
    <n v="1.7"/>
    <s v="Bond"/>
    <s v="THB"/>
    <d v="2018-07-26T00:00:00"/>
    <x v="3"/>
    <s v="SCBRM143383"/>
  </r>
  <r>
    <d v="2018-10-10T00:00:00"/>
    <x v="5"/>
    <s v="FIXED INCOME"/>
    <x v="1"/>
    <m/>
    <x v="248"/>
    <x v="6"/>
    <s v="AAA(tha)"/>
    <x v="75"/>
    <n v="202000000"/>
    <n v="2780405.48"/>
    <n v="202000000"/>
    <n v="0.13941400000000001"/>
    <x v="127"/>
    <n v="1.6"/>
    <s v="Bond"/>
    <s v="THB"/>
    <d v="2017-12-01T00:00:00"/>
    <x v="7"/>
    <s v="SCBRM143383"/>
  </r>
  <r>
    <d v="2018-10-10T00:00:00"/>
    <x v="5"/>
    <s v="FIXED INCOME"/>
    <x v="1"/>
    <m/>
    <x v="249"/>
    <x v="8"/>
    <s v="AA+(tha)"/>
    <x v="19"/>
    <n v="102113.28"/>
    <n v="107.01"/>
    <n v="102113.28"/>
    <n v="0"/>
    <x v="159"/>
    <n v="0"/>
    <s v="Bond"/>
    <s v="THB"/>
    <d v="2010-01-05T00:00:00"/>
    <x v="126"/>
    <s v="SCBRM143383"/>
  </r>
  <r>
    <d v="2018-10-10T00:00:00"/>
    <x v="5"/>
    <s v="FIXED INCOME"/>
    <x v="1"/>
    <m/>
    <x v="250"/>
    <x v="9"/>
    <s v="AAA(tha)"/>
    <x v="19"/>
    <n v="5310271.09"/>
    <n v="68015.08"/>
    <n v="5310271.09"/>
    <n v="0"/>
    <x v="160"/>
    <n v="0"/>
    <s v="Bond"/>
    <s v="THB"/>
    <d v="2005-08-30T00:00:00"/>
    <x v="14"/>
    <s v="SCBRM143383"/>
  </r>
  <r>
    <d v="2018-10-10T00:00:00"/>
    <x v="5"/>
    <s v="FIXED INCOME"/>
    <x v="2"/>
    <m/>
    <x v="111"/>
    <x v="25"/>
    <s v="A+"/>
    <x v="66"/>
    <n v="99434358"/>
    <m/>
    <n v="99453415"/>
    <n v="0.32145899999999999"/>
    <x v="45"/>
    <n v="1.7"/>
    <s v="Bond"/>
    <s v="THB"/>
    <d v="2018-08-06T00:00:00"/>
    <x v="53"/>
    <s v="SCBRM143383"/>
  </r>
  <r>
    <d v="2018-10-10T00:00:00"/>
    <x v="5"/>
    <s v="FIXED INCOME"/>
    <x v="2"/>
    <m/>
    <x v="120"/>
    <x v="11"/>
    <s v="A"/>
    <x v="51"/>
    <n v="298481615.75"/>
    <m/>
    <n v="298557110.29000002"/>
    <n v="0.30529600000000001"/>
    <x v="9"/>
    <n v="1.575"/>
    <s v="Bond"/>
    <s v="THB"/>
    <d v="2018-05-07T00:00:00"/>
    <x v="61"/>
    <s v="SCBRM143383"/>
  </r>
  <r>
    <d v="2018-10-10T00:00:00"/>
    <x v="5"/>
    <s v="FIXED INCOME"/>
    <x v="2"/>
    <m/>
    <x v="251"/>
    <x v="40"/>
    <s v="BBB+"/>
    <x v="68"/>
    <n v="57348555.020000003"/>
    <m/>
    <n v="57399584.579999998"/>
    <n v="0.44968599999999997"/>
    <x v="161"/>
    <n v="2.2999999999999998"/>
    <s v="Bond"/>
    <s v="THB"/>
    <d v="2018-06-29T00:00:00"/>
    <x v="17"/>
    <s v="SCBRM143383"/>
  </r>
  <r>
    <d v="2018-10-10T00:00:00"/>
    <x v="5"/>
    <s v="FIXED INCOME"/>
    <x v="3"/>
    <m/>
    <x v="32"/>
    <x v="12"/>
    <s v="BBB+"/>
    <x v="23"/>
    <n v="39954594"/>
    <m/>
    <n v="39954594"/>
    <n v="9.3044000000000002E-2"/>
    <x v="15"/>
    <n v="1.22"/>
    <s v="Bond"/>
    <s v="THB"/>
    <d v="2017-11-15T00:00:00"/>
    <x v="7"/>
    <s v="SCBRM143383"/>
  </r>
  <r>
    <d v="2018-10-10T00:00:00"/>
    <x v="5"/>
    <s v="FIXED INCOME"/>
    <x v="4"/>
    <m/>
    <x v="34"/>
    <x v="13"/>
    <m/>
    <x v="25"/>
    <n v="149701417.5"/>
    <m/>
    <n v="149691652.5"/>
    <n v="0.153115"/>
    <x v="11"/>
    <n v="1.3426"/>
    <s v="Bond"/>
    <s v="THB"/>
    <d v="2018-09-06T00:00:00"/>
    <x v="18"/>
    <s v="SCBRM143383"/>
  </r>
  <r>
    <d v="2018-10-10T00:00:00"/>
    <x v="5"/>
    <s v="FIXED INCOME"/>
    <x v="4"/>
    <m/>
    <x v="35"/>
    <x v="13"/>
    <m/>
    <x v="26"/>
    <n v="149702205"/>
    <m/>
    <n v="149699251.5"/>
    <n v="0.17219100000000001"/>
    <x v="11"/>
    <n v="1.163953"/>
    <s v="Bond"/>
    <s v="THB"/>
    <d v="2018-09-13T00:00:00"/>
    <x v="18"/>
    <s v="SCBRM143383"/>
  </r>
  <r>
    <d v="2018-10-10T00:00:00"/>
    <x v="5"/>
    <s v="FIXED INCOME"/>
    <x v="4"/>
    <m/>
    <x v="122"/>
    <x v="13"/>
    <m/>
    <x v="71"/>
    <n v="278190124.38"/>
    <m/>
    <n v="278184270.95999998"/>
    <n v="0.210337"/>
    <x v="162"/>
    <n v="1.39"/>
    <s v="Bond"/>
    <s v="THB"/>
    <d v="2018-09-27T00:00:00"/>
    <x v="18"/>
    <s v="SCBRM143383"/>
  </r>
  <r>
    <d v="2018-10-10T00:00:00"/>
    <x v="5"/>
    <s v="FIXED INCOME"/>
    <x v="4"/>
    <m/>
    <x v="39"/>
    <x v="13"/>
    <m/>
    <x v="29"/>
    <n v="128883605.88"/>
    <m/>
    <n v="128883605.88"/>
    <n v="7.6638999999999999E-2"/>
    <x v="163"/>
    <n v="1.1772480000000001"/>
    <s v="Bond"/>
    <s v="THB"/>
    <d v="2018-05-10T00:00:00"/>
    <x v="19"/>
    <s v="SCBRM143383"/>
  </r>
  <r>
    <d v="2018-10-10T00:00:00"/>
    <x v="5"/>
    <s v="FIXED INCOME"/>
    <x v="4"/>
    <m/>
    <x v="40"/>
    <x v="13"/>
    <m/>
    <x v="29"/>
    <n v="69931600.900000006"/>
    <m/>
    <n v="69931142.400000006"/>
    <n v="7.6638999999999999E-2"/>
    <x v="8"/>
    <n v="1.28356"/>
    <s v="Bond"/>
    <s v="THB"/>
    <d v="2018-08-09T00:00:00"/>
    <x v="18"/>
    <s v="SCBRM143383"/>
  </r>
  <r>
    <d v="2018-10-10T00:00:00"/>
    <x v="5"/>
    <s v="FIXED INCOME"/>
    <x v="4"/>
    <m/>
    <x v="42"/>
    <x v="13"/>
    <m/>
    <x v="30"/>
    <n v="49942737"/>
    <m/>
    <n v="49942737"/>
    <n v="9.5776E-2"/>
    <x v="3"/>
    <n v="1.1957139999999999"/>
    <s v="Bond"/>
    <s v="THB"/>
    <d v="2018-08-16T00:00:00"/>
    <x v="18"/>
    <s v="SCBRM143383"/>
  </r>
  <r>
    <d v="2018-10-10T00:00:00"/>
    <x v="5"/>
    <s v="FIXED INCOME"/>
    <x v="4"/>
    <m/>
    <x v="43"/>
    <x v="13"/>
    <m/>
    <x v="31"/>
    <n v="99858666"/>
    <m/>
    <n v="99858666"/>
    <n v="0.114899"/>
    <x v="45"/>
    <n v="1.23"/>
    <s v="Bond"/>
    <s v="THB"/>
    <d v="2018-05-24T00:00:00"/>
    <x v="19"/>
    <s v="SCBRM143383"/>
  </r>
  <r>
    <d v="2018-10-10T00:00:00"/>
    <x v="5"/>
    <s v="FIXED INCOME"/>
    <x v="4"/>
    <m/>
    <x v="45"/>
    <x v="13"/>
    <m/>
    <x v="32"/>
    <n v="199707770"/>
    <m/>
    <n v="199707770"/>
    <n v="0.13400799999999999"/>
    <x v="13"/>
    <n v="1.0900000000000001"/>
    <s v="Bond"/>
    <s v="THB"/>
    <d v="2018-05-31T00:00:00"/>
    <x v="19"/>
    <s v="SCBRM143383"/>
  </r>
  <r>
    <d v="2018-10-10T00:00:00"/>
    <x v="5"/>
    <s v="FIXED INCOME"/>
    <x v="4"/>
    <m/>
    <x v="47"/>
    <x v="13"/>
    <m/>
    <x v="33"/>
    <n v="2000000"/>
    <m/>
    <n v="2000000"/>
    <n v="2.7399999999999998E-3"/>
    <x v="149"/>
    <n v="1.1924999999999999"/>
    <s v="Bond"/>
    <s v="THB"/>
    <d v="2018-04-12T00:00:00"/>
    <x v="19"/>
    <s v="SCBRM143383"/>
  </r>
  <r>
    <d v="2018-10-10T00:00:00"/>
    <x v="5"/>
    <s v="FIXED INCOME"/>
    <x v="4"/>
    <m/>
    <x v="48"/>
    <x v="13"/>
    <m/>
    <x v="33"/>
    <n v="232000000"/>
    <m/>
    <n v="232000000"/>
    <n v="2.7399999999999998E-3"/>
    <x v="164"/>
    <n v="1.1340520000000001"/>
    <s v="Bond"/>
    <s v="THB"/>
    <d v="2018-07-12T00:00:00"/>
    <x v="18"/>
    <s v="SCBRM143383"/>
  </r>
  <r>
    <d v="2018-10-10T00:00:00"/>
    <x v="5"/>
    <s v="FIXED INCOME"/>
    <x v="4"/>
    <m/>
    <x v="50"/>
    <x v="13"/>
    <m/>
    <x v="34"/>
    <n v="136969203.77000001"/>
    <m/>
    <n v="136969203.77000001"/>
    <n v="1.9174E-2"/>
    <x v="165"/>
    <n v="1.172372"/>
    <s v="Bond"/>
    <s v="THB"/>
    <d v="2018-04-19T00:00:00"/>
    <x v="19"/>
    <s v="SCBRM143383"/>
  </r>
  <r>
    <d v="2018-10-10T00:00:00"/>
    <x v="5"/>
    <s v="FIXED INCOME"/>
    <x v="4"/>
    <m/>
    <x v="51"/>
    <x v="13"/>
    <m/>
    <x v="34"/>
    <n v="142966137.59999999"/>
    <m/>
    <n v="142965695.72999999"/>
    <n v="1.9174E-2"/>
    <x v="166"/>
    <n v="1.2511760000000001"/>
    <s v="Bond"/>
    <s v="THB"/>
    <d v="2018-07-19T00:00:00"/>
    <x v="18"/>
    <s v="SCBRM143383"/>
  </r>
  <r>
    <d v="2018-10-10T00:00:00"/>
    <x v="5"/>
    <s v="FIXED INCOME"/>
    <x v="4"/>
    <m/>
    <x v="52"/>
    <x v="13"/>
    <m/>
    <x v="35"/>
    <n v="319870364.80000001"/>
    <m/>
    <n v="319870364.80000001"/>
    <n v="3.5601000000000001E-2"/>
    <x v="167"/>
    <n v="1.137888"/>
    <s v="Bond"/>
    <s v="THB"/>
    <d v="2018-10-09T00:00:00"/>
    <x v="21"/>
    <s v="SCBRM143383"/>
  </r>
  <r>
    <d v="2018-10-10T00:00:00"/>
    <x v="5"/>
    <s v="FIXED INCOME"/>
    <x v="4"/>
    <m/>
    <x v="54"/>
    <x v="13"/>
    <m/>
    <x v="36"/>
    <n v="157930773.88"/>
    <m/>
    <n v="157930773.88"/>
    <n v="3.8338999999999998E-2"/>
    <x v="168"/>
    <n v="1.1427849999999999"/>
    <s v="Bond"/>
    <s v="THB"/>
    <d v="2018-07-26T00:00:00"/>
    <x v="18"/>
    <s v="SCBRM143383"/>
  </r>
  <r>
    <d v="2018-10-10T00:00:00"/>
    <x v="5"/>
    <s v="FIXED INCOME"/>
    <x v="4"/>
    <m/>
    <x v="55"/>
    <x v="13"/>
    <m/>
    <x v="20"/>
    <n v="89696555.099999994"/>
    <m/>
    <n v="89692303.5"/>
    <n v="0.229353"/>
    <x v="52"/>
    <n v="1.490667"/>
    <s v="Bond"/>
    <s v="THB"/>
    <d v="2018-10-04T00:00:00"/>
    <x v="18"/>
    <s v="SCBRM143383"/>
  </r>
  <r>
    <d v="2018-10-10T00:00:00"/>
    <x v="5"/>
    <s v="FIXED INCOME"/>
    <x v="4"/>
    <m/>
    <x v="56"/>
    <x v="13"/>
    <m/>
    <x v="37"/>
    <n v="199227844.96000001"/>
    <m/>
    <n v="199227844.96000001"/>
    <n v="0.25205499999999997"/>
    <x v="13"/>
    <n v="1.554554"/>
    <s v="Bond"/>
    <s v="THB"/>
    <d v="2018-10-11T00:00:00"/>
    <x v="18"/>
    <s v="SCBRM143383"/>
  </r>
  <r>
    <d v="2018-10-10T00:00:00"/>
    <x v="5"/>
    <s v="FIXED INCOME"/>
    <x v="4"/>
    <m/>
    <x v="252"/>
    <x v="13"/>
    <m/>
    <x v="130"/>
    <n v="49675138"/>
    <m/>
    <n v="49678990.5"/>
    <n v="0.41917700000000002"/>
    <x v="3"/>
    <n v="1.5315000000000001"/>
    <s v="Bond"/>
    <s v="THB"/>
    <d v="2018-03-15T00:00:00"/>
    <x v="7"/>
    <s v="SCBRM143383"/>
  </r>
  <r>
    <d v="2018-10-10T00:00:00"/>
    <x v="5"/>
    <s v="FIXED INCOME"/>
    <x v="16"/>
    <m/>
    <x v="253"/>
    <x v="13"/>
    <m/>
    <x v="131"/>
    <n v="49980243"/>
    <n v="113260.5"/>
    <n v="50031578"/>
    <n v="0.35863099999999998"/>
    <x v="3"/>
    <n v="1.3946000000000001"/>
    <s v="Bond"/>
    <s v="THB"/>
    <d v="2017-02-20T00:00:00"/>
    <x v="122"/>
    <s v="SCBRM143383"/>
  </r>
  <r>
    <d v="2018-10-10T00:00:00"/>
    <x v="5"/>
    <s v="FIXED INCOME"/>
    <x v="16"/>
    <m/>
    <x v="254"/>
    <x v="13"/>
    <m/>
    <x v="132"/>
    <n v="199722984"/>
    <n v="262192"/>
    <n v="200339236"/>
    <n v="0.90416099999999999"/>
    <x v="13"/>
    <n v="1.47"/>
    <s v="Bond"/>
    <s v="THB"/>
    <d v="2016-09-12T00:00:00"/>
    <x v="62"/>
    <s v="SCBRM143383"/>
  </r>
  <r>
    <d v="2018-10-10T00:00:00"/>
    <x v="5"/>
    <s v="FIXED INCOME"/>
    <x v="16"/>
    <m/>
    <x v="255"/>
    <x v="13"/>
    <m/>
    <x v="133"/>
    <n v="109008409.40000001"/>
    <n v="75704.2"/>
    <n v="110112205.5"/>
    <n v="1.909146"/>
    <x v="169"/>
    <n v="1.52"/>
    <s v="Bond"/>
    <s v="THB"/>
    <d v="2017-09-25T00:00:00"/>
    <x v="69"/>
    <s v="SCBRM143383"/>
  </r>
  <r>
    <d v="2018-10-10T00:00:00"/>
    <x v="5"/>
    <s v="FIXED INCOME"/>
    <x v="16"/>
    <m/>
    <x v="256"/>
    <x v="12"/>
    <s v="BBB+"/>
    <x v="134"/>
    <n v="90877578.299999997"/>
    <n v="672780.6"/>
    <n v="91550555.099999994"/>
    <n v="1.6547639999999999"/>
    <x v="52"/>
    <n v="1.5216670000000001"/>
    <s v="Bond"/>
    <s v="THB"/>
    <d v="2015-06-26T00:00:00"/>
    <x v="124"/>
    <s v="SCBRM143383"/>
  </r>
  <r>
    <d v="2018-10-10T00:00:00"/>
    <x v="5"/>
    <s v="FIXED INCOME"/>
    <x v="5"/>
    <m/>
    <x v="215"/>
    <x v="52"/>
    <s v="A"/>
    <x v="103"/>
    <n v="19879571.600000001"/>
    <n v="7495.8"/>
    <n v="20000000"/>
    <n v="1.9235519999999999"/>
    <x v="112"/>
    <n v="2.2799999999999998"/>
    <s v="Bond"/>
    <s v="THB"/>
    <d v="2017-10-05T00:00:00"/>
    <x v="69"/>
    <s v="SCBRM143383"/>
  </r>
  <r>
    <d v="2018-10-10T00:00:00"/>
    <x v="5"/>
    <s v="FIXED INCOME"/>
    <x v="5"/>
    <m/>
    <x v="257"/>
    <x v="62"/>
    <s v="AA+(tha)"/>
    <x v="135"/>
    <n v="6303428.2199999997"/>
    <n v="137174.79"/>
    <n v="6372917.2800000003"/>
    <n v="2.3636200000000001"/>
    <x v="170"/>
    <n v="2"/>
    <s v="Bond"/>
    <s v="THB"/>
    <d v="2014-04-11T00:00:00"/>
    <x v="74"/>
    <s v="SCBRM143383"/>
  </r>
  <r>
    <d v="2018-10-10T00:00:00"/>
    <x v="5"/>
    <s v="FIXED INCOME"/>
    <x v="5"/>
    <m/>
    <x v="258"/>
    <x v="25"/>
    <s v="A+"/>
    <x v="136"/>
    <n v="149867670.30000001"/>
    <n v="1714733.75"/>
    <n v="148150620.90000001"/>
    <n v="1.6516580000000001"/>
    <x v="171"/>
    <n v="3.05"/>
    <s v="Bond"/>
    <s v="THB"/>
    <d v="2014-07-04T00:00:00"/>
    <x v="127"/>
    <s v="SCBRM143383"/>
  </r>
  <r>
    <d v="2018-10-10T00:00:00"/>
    <x v="5"/>
    <s v="FIXED INCOME"/>
    <x v="5"/>
    <m/>
    <x v="259"/>
    <x v="0"/>
    <s v="AAA"/>
    <x v="137"/>
    <n v="117024433.11"/>
    <n v="1038510.72"/>
    <n v="117021463.65000001"/>
    <n v="4.3550999999999999E-2"/>
    <x v="172"/>
    <n v="1.452564"/>
    <s v="Bond"/>
    <s v="THB"/>
    <d v="2016-10-27T00:00:00"/>
    <x v="122"/>
    <s v="SCBRM143383"/>
  </r>
  <r>
    <d v="2018-10-10T00:00:00"/>
    <x v="5"/>
    <s v="FIXED INCOME"/>
    <x v="5"/>
    <m/>
    <x v="260"/>
    <x v="53"/>
    <s v="A"/>
    <x v="138"/>
    <n v="10018410"/>
    <n v="66295.899999999994"/>
    <n v="10025985"/>
    <n v="0.69052999999999998"/>
    <x v="17"/>
    <n v="1.84"/>
    <s v="Bond"/>
    <s v="THB"/>
    <d v="2016-06-24T00:00:00"/>
    <x v="62"/>
    <s v="SCBRM143383"/>
  </r>
  <r>
    <d v="2018-10-10T00:00:00"/>
    <x v="5"/>
    <s v="FIXED INCOME"/>
    <x v="5"/>
    <m/>
    <x v="261"/>
    <x v="45"/>
    <s v="A+"/>
    <x v="139"/>
    <n v="32077218.559999999"/>
    <n v="38005.440000000002"/>
    <n v="32095800.32"/>
    <n v="0.44479999999999997"/>
    <x v="173"/>
    <n v="1.9"/>
    <s v="Bond"/>
    <s v="THB"/>
    <d v="2017-03-24T00:00:00"/>
    <x v="122"/>
    <s v="SCBRM143383"/>
  </r>
  <r>
    <d v="2018-10-10T00:00:00"/>
    <x v="5"/>
    <s v="FIXED INCOME"/>
    <x v="5"/>
    <m/>
    <x v="262"/>
    <x v="45"/>
    <s v="A+"/>
    <x v="140"/>
    <n v="80041768"/>
    <n v="174378.4"/>
    <n v="80539184.799999997"/>
    <n v="0.88680099999999995"/>
    <x v="48"/>
    <n v="1.595"/>
    <s v="Bond"/>
    <s v="THB"/>
    <d v="2016-09-07T00:00:00"/>
    <x v="62"/>
    <s v="SCBRM143383"/>
  </r>
  <r>
    <d v="2018-10-10T00:00:00"/>
    <x v="5"/>
    <s v="FIXED INCOME"/>
    <x v="5"/>
    <m/>
    <x v="154"/>
    <x v="45"/>
    <s v="A+"/>
    <x v="90"/>
    <n v="245698414.15000001"/>
    <n v="2273800.9"/>
    <n v="245323804.25"/>
    <n v="1.5990059999999999"/>
    <x v="174"/>
    <n v="2.6245720000000001"/>
    <s v="Bond"/>
    <s v="THB"/>
    <d v="2016-12-08T00:00:00"/>
    <x v="75"/>
    <s v="SCBRM143383"/>
  </r>
  <r>
    <d v="2018-10-10T00:00:00"/>
    <x v="5"/>
    <s v="FIXED INCOME"/>
    <x v="5"/>
    <m/>
    <x v="221"/>
    <x v="45"/>
    <s v="A+"/>
    <x v="109"/>
    <n v="19910267.800000001"/>
    <n v="50115"/>
    <n v="20307153"/>
    <n v="2.7651870000000001"/>
    <x v="112"/>
    <n v="2.145"/>
    <s v="Bond"/>
    <s v="THB"/>
    <d v="2016-09-07T00:00:00"/>
    <x v="22"/>
    <s v="SCBRM143383"/>
  </r>
  <r>
    <d v="2018-10-10T00:00:00"/>
    <x v="5"/>
    <s v="FIXED INCOME"/>
    <x v="5"/>
    <m/>
    <x v="226"/>
    <x v="54"/>
    <s v="A"/>
    <x v="114"/>
    <n v="130657039.5"/>
    <n v="1349293.4"/>
    <n v="131033936.8"/>
    <n v="1.0537030000000001"/>
    <x v="92"/>
    <n v="1.7050000000000001"/>
    <s v="Bond"/>
    <s v="THB"/>
    <d v="2016-11-10T00:00:00"/>
    <x v="62"/>
    <s v="SCBRM143383"/>
  </r>
  <r>
    <d v="2018-10-10T00:00:00"/>
    <x v="5"/>
    <s v="FIXED INCOME"/>
    <x v="5"/>
    <m/>
    <x v="227"/>
    <x v="26"/>
    <s v="A"/>
    <x v="115"/>
    <n v="51611955.200000003"/>
    <n v="341462.16"/>
    <n v="52000000"/>
    <n v="2.1256740000000001"/>
    <x v="27"/>
    <n v="2.2400000000000002"/>
    <s v="Bond"/>
    <s v="THB"/>
    <d v="2017-12-26T00:00:00"/>
    <x v="69"/>
    <s v="SCBRM143383"/>
  </r>
  <r>
    <d v="2018-10-10T00:00:00"/>
    <x v="5"/>
    <s v="FIXED INCOME"/>
    <x v="5"/>
    <m/>
    <x v="228"/>
    <x v="55"/>
    <s v="A-"/>
    <x v="116"/>
    <n v="376146140.57999998"/>
    <n v="2725122.96"/>
    <n v="378000000"/>
    <n v="1.624603"/>
    <x v="175"/>
    <n v="2.23"/>
    <s v="Bond"/>
    <s v="THB"/>
    <d v="2018-06-15T00:00:00"/>
    <x v="66"/>
    <s v="SCBRM143383"/>
  </r>
  <r>
    <d v="2018-10-10T00:00:00"/>
    <x v="5"/>
    <s v="FIXED INCOME"/>
    <x v="5"/>
    <m/>
    <x v="263"/>
    <x v="14"/>
    <s v="A+"/>
    <x v="49"/>
    <n v="42542495"/>
    <n v="69436.37"/>
    <n v="42474030.710000001"/>
    <n v="0.45296399999999998"/>
    <x v="176"/>
    <n v="2.3730410000000002"/>
    <s v="Bond"/>
    <s v="THB"/>
    <d v="2014-03-27T00:00:00"/>
    <x v="22"/>
    <s v="SCBRM143383"/>
  </r>
  <r>
    <d v="2018-10-10T00:00:00"/>
    <x v="5"/>
    <s v="FIXED INCOME"/>
    <x v="5"/>
    <m/>
    <x v="264"/>
    <x v="14"/>
    <s v="A+"/>
    <x v="141"/>
    <n v="101755592"/>
    <n v="582192"/>
    <n v="101445989"/>
    <n v="0.84761699999999995"/>
    <x v="45"/>
    <n v="2.5299999999999998"/>
    <s v="Bond"/>
    <s v="THB"/>
    <d v="2014-08-22T00:00:00"/>
    <x v="22"/>
    <s v="SCBRM143383"/>
  </r>
  <r>
    <d v="2018-10-10T00:00:00"/>
    <x v="5"/>
    <s v="FIXED INCOME"/>
    <x v="5"/>
    <m/>
    <x v="265"/>
    <x v="14"/>
    <s v="A+"/>
    <x v="142"/>
    <n v="5265994"/>
    <n v="114575.35"/>
    <n v="5196448.75"/>
    <n v="1.914714"/>
    <x v="142"/>
    <n v="3.1"/>
    <s v="Bond"/>
    <s v="THB"/>
    <d v="2013-10-31T00:00:00"/>
    <x v="74"/>
    <s v="SCBRM143383"/>
  </r>
  <r>
    <d v="2018-10-10T00:00:00"/>
    <x v="5"/>
    <s v="FIXED INCOME"/>
    <x v="5"/>
    <m/>
    <x v="266"/>
    <x v="27"/>
    <s v="A+"/>
    <x v="9"/>
    <n v="23463818.690000001"/>
    <n v="200257.55"/>
    <n v="23419453.530000001"/>
    <n v="0.79343799999999998"/>
    <x v="177"/>
    <n v="2.2349999999999999"/>
    <s v="Bond"/>
    <s v="THB"/>
    <d v="2013-08-02T00:00:00"/>
    <x v="128"/>
    <s v="SCBRM143383"/>
  </r>
  <r>
    <d v="2018-10-10T00:00:00"/>
    <x v="5"/>
    <s v="FIXED INCOME"/>
    <x v="5"/>
    <m/>
    <x v="267"/>
    <x v="27"/>
    <s v="A+"/>
    <x v="143"/>
    <n v="270212187.60000002"/>
    <n v="3069565.98"/>
    <n v="270000000"/>
    <n v="1.469543"/>
    <x v="178"/>
    <n v="2.2799999999999998"/>
    <s v="Bond"/>
    <s v="THB"/>
    <d v="2016-04-12T00:00:00"/>
    <x v="121"/>
    <s v="SCBRM143383"/>
  </r>
  <r>
    <d v="2018-10-10T00:00:00"/>
    <x v="5"/>
    <s v="FIXED INCOME"/>
    <x v="5"/>
    <m/>
    <x v="268"/>
    <x v="28"/>
    <s v="A+"/>
    <x v="144"/>
    <n v="25035883.5"/>
    <n v="151287.75"/>
    <n v="25190822.5"/>
    <n v="1.7055439999999999"/>
    <x v="16"/>
    <n v="2.06"/>
    <s v="Bond"/>
    <s v="THB"/>
    <d v="2016-07-15T00:00:00"/>
    <x v="121"/>
    <s v="SCBRM143383"/>
  </r>
  <r>
    <d v="2018-10-10T00:00:00"/>
    <x v="5"/>
    <s v="FIXED INCOME"/>
    <x v="5"/>
    <m/>
    <x v="158"/>
    <x v="47"/>
    <s v="BBB+"/>
    <x v="92"/>
    <n v="25792329.68"/>
    <n v="293992.40000000002"/>
    <n v="26000000"/>
    <n v="2.0267909999999998"/>
    <x v="179"/>
    <n v="3.08"/>
    <s v="Bond"/>
    <s v="THB"/>
    <d v="2017-11-30T00:00:00"/>
    <x v="69"/>
    <s v="SCBRM143383"/>
  </r>
  <r>
    <d v="2018-10-10T00:00:00"/>
    <x v="5"/>
    <s v="FIXED INCOME"/>
    <x v="5"/>
    <m/>
    <x v="234"/>
    <x v="59"/>
    <s v="AA-"/>
    <x v="120"/>
    <n v="58265710.759999998"/>
    <n v="661041.07999999996"/>
    <n v="58000000"/>
    <n v="1.510397"/>
    <x v="161"/>
    <n v="2.6"/>
    <s v="Bond"/>
    <s v="THB"/>
    <d v="2017-05-04T00:00:00"/>
    <x v="69"/>
    <s v="SCBRM143383"/>
  </r>
  <r>
    <d v="2018-10-10T00:00:00"/>
    <x v="5"/>
    <s v="FIXED INCOME"/>
    <x v="5"/>
    <m/>
    <x v="269"/>
    <x v="63"/>
    <s v="AAA"/>
    <x v="145"/>
    <n v="9998207.3000000007"/>
    <n v="10082.200000000001"/>
    <n v="10005359.1"/>
    <n v="0.92787600000000003"/>
    <x v="17"/>
    <n v="1.79"/>
    <s v="Bond"/>
    <s v="THB"/>
    <d v="2017-09-21T00:00:00"/>
    <x v="122"/>
    <s v="SCBRM143383"/>
  </r>
  <r>
    <d v="2018-10-10T00:00:00"/>
    <x v="5"/>
    <s v="FIXED INCOME"/>
    <x v="5"/>
    <m/>
    <x v="270"/>
    <x v="63"/>
    <s v="AAA"/>
    <x v="146"/>
    <n v="162911666.47999999"/>
    <n v="201383.8"/>
    <n v="164000000"/>
    <n v="1.394628"/>
    <x v="180"/>
    <n v="1.66"/>
    <s v="Bond"/>
    <s v="THB"/>
    <d v="2018-03-14T00:00:00"/>
    <x v="66"/>
    <s v="SCBRM143383"/>
  </r>
  <r>
    <d v="2018-10-10T00:00:00"/>
    <x v="5"/>
    <s v="FIXED INCOME"/>
    <x v="5"/>
    <m/>
    <x v="271"/>
    <x v="64"/>
    <s v="A"/>
    <x v="147"/>
    <n v="10154627.5"/>
    <n v="26695.9"/>
    <n v="10183410.800000001"/>
    <n v="1.3775379999999999"/>
    <x v="17"/>
    <n v="2.17"/>
    <s v="Bond"/>
    <s v="THB"/>
    <d v="2015-03-13T00:00:00"/>
    <x v="124"/>
    <s v="SCBRM143383"/>
  </r>
  <r>
    <d v="2018-10-10T00:00:00"/>
    <x v="5"/>
    <s v="FIXED INCOME"/>
    <x v="5"/>
    <m/>
    <x v="272"/>
    <x v="65"/>
    <s v="A+"/>
    <x v="148"/>
    <n v="350256221"/>
    <n v="3533754"/>
    <n v="350000000"/>
    <n v="0.53552599999999995"/>
    <x v="181"/>
    <n v="2.2000000000000002"/>
    <s v="Bond"/>
    <s v="THB"/>
    <d v="2017-04-28T00:00:00"/>
    <x v="122"/>
    <s v="SCBRM143383"/>
  </r>
  <r>
    <d v="2018-10-10T00:00:00"/>
    <x v="5"/>
    <s v="FIXED INCOME"/>
    <x v="5"/>
    <m/>
    <x v="134"/>
    <x v="34"/>
    <s v="A-"/>
    <x v="77"/>
    <n v="299619620.01999998"/>
    <n v="154211.32999999999"/>
    <n v="301000000"/>
    <n v="0.95111699999999999"/>
    <x v="182"/>
    <n v="1.7"/>
    <s v="Bond"/>
    <s v="THB"/>
    <d v="2018-03-30T00:00:00"/>
    <x v="67"/>
    <s v="SCBRM143383"/>
  </r>
  <r>
    <d v="2018-10-10T00:00:00"/>
    <x v="5"/>
    <s v="FIXED INCOME"/>
    <x v="5"/>
    <m/>
    <x v="273"/>
    <x v="66"/>
    <s v="A-"/>
    <x v="149"/>
    <n v="49751557.5"/>
    <n v="111233"/>
    <n v="50720419"/>
    <n v="3.6738249999999999"/>
    <x v="3"/>
    <n v="2.415"/>
    <s v="Bond"/>
    <s v="THB"/>
    <d v="2017-09-12T00:00:00"/>
    <x v="22"/>
    <s v="SCBRM143383"/>
  </r>
  <r>
    <d v="2018-10-10T00:00:00"/>
    <x v="5"/>
    <s v="FIXED INCOME"/>
    <x v="5"/>
    <m/>
    <x v="274"/>
    <x v="67"/>
    <s v="A"/>
    <x v="130"/>
    <n v="75709857"/>
    <n v="247108.58"/>
    <n v="75797311.739999995"/>
    <n v="0.41791600000000001"/>
    <x v="183"/>
    <n v="1.64"/>
    <s v="Bond"/>
    <s v="THB"/>
    <d v="2014-03-14T00:00:00"/>
    <x v="22"/>
    <s v="SCBRM143383"/>
  </r>
  <r>
    <d v="2018-10-10T00:00:00"/>
    <x v="5"/>
    <s v="FIXED INCOME"/>
    <x v="5"/>
    <m/>
    <x v="136"/>
    <x v="30"/>
    <s v="A+"/>
    <x v="79"/>
    <n v="95057951.379999995"/>
    <n v="2087276.45"/>
    <n v="95051924.450000003"/>
    <n v="1.6322E-2"/>
    <x v="184"/>
    <n v="1.8831519999999999"/>
    <s v="Bond"/>
    <s v="THB"/>
    <d v="2013-10-17T00:00:00"/>
    <x v="22"/>
    <s v="SCBRM143383"/>
  </r>
  <r>
    <d v="2018-10-10T00:00:00"/>
    <x v="5"/>
    <s v="FIXED INCOME"/>
    <x v="5"/>
    <m/>
    <x v="275"/>
    <x v="60"/>
    <s v="A"/>
    <x v="150"/>
    <n v="70088592.700000003"/>
    <n v="586465.6"/>
    <n v="70248208.099999994"/>
    <n v="0.61180199999999996"/>
    <x v="8"/>
    <n v="1.61"/>
    <s v="Bond"/>
    <s v="THB"/>
    <d v="2016-05-25T00:00:00"/>
    <x v="62"/>
    <s v="SCBRM143383"/>
  </r>
  <r>
    <d v="2018-10-10T00:00:00"/>
    <x v="5"/>
    <s v="FIXED INCOME"/>
    <x v="5"/>
    <m/>
    <x v="235"/>
    <x v="60"/>
    <s v="A"/>
    <x v="121"/>
    <n v="67859451.480000004"/>
    <n v="438963.12"/>
    <n v="68000000"/>
    <n v="1.1482889999999999"/>
    <x v="12"/>
    <n v="1.98"/>
    <s v="Bond"/>
    <s v="THB"/>
    <d v="2017-12-14T00:00:00"/>
    <x v="122"/>
    <s v="SCBRM143383"/>
  </r>
  <r>
    <d v="2018-10-10T00:00:00"/>
    <x v="5"/>
    <s v="FIXED INCOME"/>
    <x v="5"/>
    <m/>
    <x v="276"/>
    <x v="68"/>
    <s v="A-"/>
    <x v="101"/>
    <n v="10002576.1"/>
    <n v="143835.6"/>
    <n v="10002619.699999999"/>
    <n v="2.1760000000000002E-2"/>
    <x v="17"/>
    <n v="1.6"/>
    <s v="Bond"/>
    <s v="THB"/>
    <d v="2015-04-22T00:00:00"/>
    <x v="129"/>
    <s v="SCBRM143383"/>
  </r>
  <r>
    <d v="2018-10-10T00:00:00"/>
    <x v="5"/>
    <s v="FIXED INCOME"/>
    <x v="5"/>
    <m/>
    <x v="277"/>
    <x v="35"/>
    <s v="A"/>
    <x v="97"/>
    <n v="30011792.399999999"/>
    <n v="40438.5"/>
    <n v="30042439.5"/>
    <n v="0.43763600000000002"/>
    <x v="4"/>
    <n v="1.73"/>
    <s v="Bond"/>
    <s v="THB"/>
    <d v="2016-03-17T00:00:00"/>
    <x v="130"/>
    <s v="SCBRM143383"/>
  </r>
  <r>
    <d v="2018-10-10T00:00:00"/>
    <x v="5"/>
    <s v="FIXED INCOME"/>
    <x v="5"/>
    <m/>
    <x v="278"/>
    <x v="35"/>
    <s v="A"/>
    <x v="151"/>
    <n v="140718561.19999999"/>
    <n v="696049.2"/>
    <n v="140000000"/>
    <n v="1.112225"/>
    <x v="119"/>
    <n v="2.63"/>
    <s v="Bond"/>
    <s v="THB"/>
    <d v="2017-02-03T00:00:00"/>
    <x v="131"/>
    <s v="SCBRM143383"/>
  </r>
  <r>
    <d v="2018-10-10T00:00:00"/>
    <x v="5"/>
    <s v="FIXED INCOME"/>
    <x v="5"/>
    <m/>
    <x v="279"/>
    <x v="69"/>
    <s v="AAA(tha)"/>
    <x v="152"/>
    <n v="10192219.5"/>
    <n v="208191.8"/>
    <n v="10180430.199999999"/>
    <n v="0.57843500000000003"/>
    <x v="17"/>
    <n v="2"/>
    <s v="Bond"/>
    <s v="THB"/>
    <d v="2012-05-21T00:00:00"/>
    <x v="132"/>
    <s v="SCBRM143383"/>
  </r>
  <r>
    <d v="2018-10-10T00:00:00"/>
    <x v="5"/>
    <s v="FIXED INCOME"/>
    <x v="5"/>
    <m/>
    <x v="280"/>
    <x v="36"/>
    <s v="A-"/>
    <x v="4"/>
    <n v="219277344.43000001"/>
    <n v="1991070.21"/>
    <n v="219427080.53999999"/>
    <n v="0.53285300000000002"/>
    <x v="185"/>
    <n v="1.9375720000000001"/>
    <s v="Bond"/>
    <s v="THB"/>
    <d v="2016-04-25T00:00:00"/>
    <x v="62"/>
    <s v="SCBRM143383"/>
  </r>
  <r>
    <d v="2018-10-10T00:00:00"/>
    <x v="5"/>
    <s v="FIXED INCOME"/>
    <x v="5"/>
    <m/>
    <x v="281"/>
    <x v="36"/>
    <s v="A-"/>
    <x v="153"/>
    <n v="50910311.5"/>
    <n v="384000"/>
    <n v="50728916.5"/>
    <n v="0.809558"/>
    <x v="3"/>
    <n v="2.5649999999999999"/>
    <s v="Bond"/>
    <s v="THB"/>
    <d v="2014-08-08T00:00:00"/>
    <x v="22"/>
    <s v="SCBRM143383"/>
  </r>
  <r>
    <d v="2018-10-10T00:00:00"/>
    <x v="5"/>
    <s v="FIXED INCOME"/>
    <x v="5"/>
    <m/>
    <x v="138"/>
    <x v="36"/>
    <s v="A-"/>
    <x v="80"/>
    <n v="42492426.710000001"/>
    <n v="91607.63"/>
    <n v="43000000"/>
    <n v="2.3130760000000001"/>
    <x v="186"/>
    <n v="2.16"/>
    <s v="Bond"/>
    <s v="THB"/>
    <d v="2018-03-05T00:00:00"/>
    <x v="69"/>
    <s v="SCBRM143383"/>
  </r>
  <r>
    <d v="2018-10-10T00:00:00"/>
    <x v="5"/>
    <s v="FIXED INCOME"/>
    <x v="5"/>
    <m/>
    <x v="282"/>
    <x v="70"/>
    <s v="A(tha)"/>
    <x v="154"/>
    <n v="10014358.1"/>
    <n v="105739.7"/>
    <n v="10000000"/>
    <n v="1.5246869999999999"/>
    <x v="17"/>
    <n v="2.4900000000000002"/>
    <s v="Bond"/>
    <s v="THB"/>
    <d v="2017-05-09T00:00:00"/>
    <x v="69"/>
    <s v="SCBRM143383"/>
  </r>
  <r>
    <d v="2018-10-10T00:00:00"/>
    <x v="5"/>
    <s v="FIXED INCOME"/>
    <x v="5"/>
    <m/>
    <x v="142"/>
    <x v="37"/>
    <s v="AA"/>
    <x v="83"/>
    <n v="49352909.5"/>
    <n v="54657.5"/>
    <n v="50000000"/>
    <n v="2.3606829999999999"/>
    <x v="3"/>
    <n v="2.1"/>
    <s v="Bond"/>
    <s v="THB"/>
    <d v="2018-03-22T00:00:00"/>
    <x v="69"/>
    <s v="SCBRM143383"/>
  </r>
  <r>
    <d v="2018-10-10T00:00:00"/>
    <x v="5"/>
    <s v="FIXED INCOME"/>
    <x v="5"/>
    <m/>
    <x v="283"/>
    <x v="37"/>
    <s v="AA"/>
    <x v="155"/>
    <n v="399461488"/>
    <n v="771508"/>
    <n v="400000000"/>
    <n v="3.2221039999999999"/>
    <x v="7"/>
    <n v="3.2"/>
    <s v="Bond"/>
    <s v="THB"/>
    <d v="2018-09-19T00:00:00"/>
    <x v="133"/>
    <s v="SCBRM143383"/>
  </r>
  <r>
    <d v="2018-10-10T00:00:00"/>
    <x v="5"/>
    <s v="FIXED INCOME"/>
    <x v="5"/>
    <m/>
    <x v="144"/>
    <x v="7"/>
    <s v="A"/>
    <x v="32"/>
    <n v="220100773.19999999"/>
    <n v="1505343.4"/>
    <n v="220000000"/>
    <n v="0.133241"/>
    <x v="187"/>
    <n v="1.85"/>
    <s v="Bond"/>
    <s v="THB"/>
    <d v="2017-05-29T00:00:00"/>
    <x v="67"/>
    <s v="SCBRM143383"/>
  </r>
  <r>
    <d v="2018-10-10T00:00:00"/>
    <x v="5"/>
    <s v="FIXED INCOME"/>
    <x v="5"/>
    <m/>
    <x v="242"/>
    <x v="7"/>
    <s v="A"/>
    <x v="127"/>
    <n v="649198381"/>
    <n v="4830481.5"/>
    <n v="650000000"/>
    <n v="0.56955299999999998"/>
    <x v="10"/>
    <n v="1.75"/>
    <s v="Bond"/>
    <s v="THB"/>
    <d v="2017-11-09T00:00:00"/>
    <x v="71"/>
    <s v="SCBRM143383"/>
  </r>
  <r>
    <d v="2018-10-10T00:00:00"/>
    <x v="5"/>
    <s v="FIXED INCOME"/>
    <x v="5"/>
    <m/>
    <x v="243"/>
    <x v="39"/>
    <s v="BBB+"/>
    <x v="128"/>
    <n v="22007685.699999999"/>
    <n v="306456.92"/>
    <n v="22000000"/>
    <n v="0.12844700000000001"/>
    <x v="188"/>
    <n v="2.2799999999999998"/>
    <s v="Bond"/>
    <s v="THB"/>
    <d v="2018-03-02T00:00:00"/>
    <x v="17"/>
    <s v="SCBRM143383"/>
  </r>
  <r>
    <d v="2018-10-10T00:00:00"/>
    <x v="5"/>
    <s v="FIXED INCOME"/>
    <x v="5"/>
    <m/>
    <x v="284"/>
    <x v="39"/>
    <s v="BBB+"/>
    <x v="67"/>
    <n v="47006133.5"/>
    <n v="473862.93"/>
    <n v="47000000"/>
    <n v="0.29935499999999998"/>
    <x v="189"/>
    <n v="2.2999999999999998"/>
    <s v="Bond"/>
    <s v="THB"/>
    <d v="2018-05-04T00:00:00"/>
    <x v="17"/>
    <s v="SCBRM143383"/>
  </r>
  <r>
    <d v="2018-10-10T00:00:00"/>
    <x v="5"/>
    <s v="FIXED INCOME"/>
    <x v="5"/>
    <m/>
    <x v="245"/>
    <x v="39"/>
    <s v="BBB+"/>
    <x v="67"/>
    <n v="23003234.030000001"/>
    <n v="197106.78"/>
    <n v="23000000"/>
    <n v="0.29935499999999998"/>
    <x v="177"/>
    <n v="2.2999999999999998"/>
    <s v="Bond"/>
    <s v="THB"/>
    <d v="2018-05-28T00:00:00"/>
    <x v="73"/>
    <s v="SCBRM143383"/>
  </r>
  <r>
    <d v="2018-10-10T00:00:00"/>
    <x v="5"/>
    <s v="FIXED INCOME"/>
    <x v="5"/>
    <m/>
    <x v="147"/>
    <x v="39"/>
    <s v="BBB+"/>
    <x v="85"/>
    <n v="349928299"/>
    <n v="6237864.5"/>
    <n v="350000000"/>
    <n v="0.36340499999999998"/>
    <x v="181"/>
    <n v="2.78"/>
    <s v="Bond"/>
    <s v="THB"/>
    <d v="2018-02-19T00:00:00"/>
    <x v="72"/>
    <s v="SCBRM143383"/>
  </r>
  <r>
    <d v="2018-10-10T00:00:00"/>
    <x v="5"/>
    <s v="FIXED INCOME"/>
    <x v="5"/>
    <m/>
    <x v="149"/>
    <x v="40"/>
    <s v="BBB+"/>
    <x v="86"/>
    <n v="306611721.75"/>
    <n v="2178438.23"/>
    <n v="307000000"/>
    <n v="2.638757"/>
    <x v="190"/>
    <n v="3.7"/>
    <s v="Bond"/>
    <s v="THB"/>
    <d v="2018-08-02T00:00:00"/>
    <x v="69"/>
    <s v="SCBRM143383"/>
  </r>
  <r>
    <d v="2018-10-10T00:00:00"/>
    <x v="5"/>
    <s v="FIXED INCOME"/>
    <x v="5"/>
    <m/>
    <x v="214"/>
    <x v="51"/>
    <m/>
    <x v="102"/>
    <n v="124610226.25"/>
    <n v="1303561.25"/>
    <n v="125000000"/>
    <n v="1.520721"/>
    <x v="191"/>
    <n v="2.44"/>
    <s v="Bond"/>
    <s v="THB"/>
    <d v="2017-05-08T00:00:00"/>
    <x v="69"/>
    <s v="SCBRM143383"/>
  </r>
  <r>
    <d v="2018-10-10T00:00:00"/>
    <x v="5"/>
    <s v="FIXED INCOME"/>
    <x v="5"/>
    <m/>
    <x v="285"/>
    <x v="71"/>
    <m/>
    <x v="156"/>
    <n v="800796"/>
    <n v="6154.52"/>
    <n v="800250.56"/>
    <n v="0.144173"/>
    <x v="192"/>
    <n v="1.9151210000000001"/>
    <s v="Bond"/>
    <s v="THB"/>
    <d v="2015-12-03T00:00:00"/>
    <x v="69"/>
    <s v="SCBRM143383"/>
  </r>
  <r>
    <d v="2018-10-10T00:00:00"/>
    <x v="5"/>
    <s v="FIXED INCOME"/>
    <x v="5"/>
    <m/>
    <x v="286"/>
    <x v="72"/>
    <m/>
    <x v="157"/>
    <n v="34848410.100000001"/>
    <n v="95794.65"/>
    <n v="35027994.049999997"/>
    <n v="1.2494000000000001"/>
    <x v="5"/>
    <n v="1.78"/>
    <s v="Bond"/>
    <s v="THB"/>
    <d v="2017-08-18T00:00:00"/>
    <x v="134"/>
    <s v="SCBRM143383"/>
  </r>
  <r>
    <d v="2018-10-10T00:00:00"/>
    <x v="5"/>
    <s v="ACCRUED RECEIVE"/>
    <x v="18"/>
    <s v="Settle Date :11/10/2018"/>
    <x v="0"/>
    <x v="17"/>
    <m/>
    <x v="0"/>
    <n v="1485202.04"/>
    <m/>
    <n v="1485202.04"/>
    <n v="0"/>
    <x v="46"/>
    <n v="0"/>
    <s v="Cash Bal"/>
    <s v="THB"/>
    <d v="1900-01-01T00:00:00"/>
    <x v="0"/>
    <s v="SCBRM143383"/>
  </r>
  <r>
    <d v="2018-10-10T00:00:00"/>
    <x v="5"/>
    <s v="ACCRUED RECEIVE"/>
    <x v="18"/>
    <s v="Settle Date :12/10/2018"/>
    <x v="0"/>
    <x v="17"/>
    <m/>
    <x v="0"/>
    <n v="63025.86"/>
    <m/>
    <n v="63025.86"/>
    <n v="0"/>
    <x v="46"/>
    <n v="0"/>
    <s v="Cash Bal"/>
    <s v="THB"/>
    <d v="1900-01-01T00:00:00"/>
    <x v="0"/>
    <s v="SCBRM143383"/>
  </r>
  <r>
    <d v="2018-10-10T00:00:00"/>
    <x v="5"/>
    <s v="ACCRUED PAYABLE"/>
    <x v="8"/>
    <s v="Settle Date :11/10/2018"/>
    <x v="56"/>
    <x v="17"/>
    <m/>
    <x v="0"/>
    <n v="-199227844.96000001"/>
    <m/>
    <n v="-199227844.96000001"/>
    <m/>
    <x v="46"/>
    <n v="0"/>
    <s v="Bond"/>
    <s v="THB"/>
    <d v="2018-10-11T00:00:00"/>
    <x v="31"/>
    <s v="SCBRM143383"/>
  </r>
  <r>
    <d v="2018-10-10T00:00:00"/>
    <x v="5"/>
    <s v="ACCRUED PAYABLE"/>
    <x v="9"/>
    <s v="AUDITING FEE"/>
    <x v="69"/>
    <x v="17"/>
    <m/>
    <x v="0"/>
    <n v="-63452.61"/>
    <m/>
    <m/>
    <m/>
    <x v="46"/>
    <n v="0"/>
    <m/>
    <m/>
    <m/>
    <x v="43"/>
    <s v="SCBRM143383"/>
  </r>
  <r>
    <d v="2018-10-10T00:00:00"/>
    <x v="5"/>
    <s v="ACCRUED PAYABLE"/>
    <x v="19"/>
    <s v="Settle Date :11/10/2018"/>
    <x v="0"/>
    <x v="17"/>
    <m/>
    <x v="0"/>
    <n v="-7810.97"/>
    <m/>
    <n v="-7810.97"/>
    <n v="0"/>
    <x v="46"/>
    <n v="0"/>
    <s v="Cash Bal"/>
    <s v="THB"/>
    <d v="1900-01-01T00:00:00"/>
    <x v="0"/>
    <s v="SCBRM143383"/>
  </r>
  <r>
    <d v="2018-10-10T00:00:00"/>
    <x v="5"/>
    <s v="ACCRUED PAYABLE"/>
    <x v="10"/>
    <m/>
    <x v="70"/>
    <x v="17"/>
    <m/>
    <x v="0"/>
    <n v="-158174.1"/>
    <n v="0"/>
    <m/>
    <m/>
    <x v="46"/>
    <n v="0"/>
    <m/>
    <m/>
    <m/>
    <x v="43"/>
    <s v="SCBRM143383"/>
  </r>
  <r>
    <d v="2018-10-10T00:00:00"/>
    <x v="5"/>
    <s v="ACCRUED PAYABLE"/>
    <x v="12"/>
    <s v="CUSTODIAN FEE"/>
    <x v="70"/>
    <x v="17"/>
    <m/>
    <x v="0"/>
    <n v="-77684.17"/>
    <m/>
    <n v="-77684.17"/>
    <m/>
    <x v="46"/>
    <n v="0"/>
    <m/>
    <m/>
    <m/>
    <x v="43"/>
    <s v="SCBRM143383"/>
  </r>
  <r>
    <d v="2018-10-10T00:00:00"/>
    <x v="5"/>
    <s v="ACCRUED PAYABLE"/>
    <x v="13"/>
    <s v="MANAGEMENT FEE"/>
    <x v="70"/>
    <x v="17"/>
    <m/>
    <x v="0"/>
    <n v="-1290851.95"/>
    <m/>
    <n v="-1290851.95"/>
    <m/>
    <x v="46"/>
    <n v="0"/>
    <m/>
    <m/>
    <m/>
    <x v="43"/>
    <s v="SCBRM143383"/>
  </r>
  <r>
    <d v="2018-10-10T00:00:00"/>
    <x v="5"/>
    <s v="ACCRUED PAYABLE"/>
    <x v="20"/>
    <s v="OPERATION FEE"/>
    <x v="70"/>
    <x v="17"/>
    <m/>
    <x v="0"/>
    <n v="-258947.22"/>
    <m/>
    <n v="-258947.22"/>
    <m/>
    <x v="46"/>
    <n v="0"/>
    <m/>
    <m/>
    <m/>
    <x v="43"/>
    <s v="SCBRM143383"/>
  </r>
  <r>
    <d v="2018-10-10T00:00:00"/>
    <x v="5"/>
    <s v="ACCRUED PAYABLE"/>
    <x v="14"/>
    <s v="REGISTRAR FEE"/>
    <x v="70"/>
    <x v="17"/>
    <m/>
    <x v="0"/>
    <n v="0"/>
    <m/>
    <n v="0"/>
    <m/>
    <x v="46"/>
    <n v="0"/>
    <m/>
    <m/>
    <m/>
    <x v="43"/>
    <s v="SCBRM143383"/>
  </r>
  <r>
    <d v="2018-10-10T00:00:00"/>
    <x v="5"/>
    <s v="FEES"/>
    <x v="12"/>
    <s v="CUSTODIAN FEE"/>
    <x v="70"/>
    <x v="17"/>
    <m/>
    <x v="0"/>
    <n v="-8607"/>
    <m/>
    <n v="-8607"/>
    <m/>
    <x v="46"/>
    <n v="0"/>
    <m/>
    <m/>
    <m/>
    <x v="43"/>
    <s v="SCBRM143383"/>
  </r>
  <r>
    <d v="2018-10-10T00:00:00"/>
    <x v="5"/>
    <s v="FEES"/>
    <x v="13"/>
    <s v="MANAGEMENT FEE"/>
    <x v="70"/>
    <x v="17"/>
    <m/>
    <x v="0"/>
    <n v="-143019.6"/>
    <m/>
    <n v="-143019.6"/>
    <m/>
    <x v="46"/>
    <n v="0"/>
    <m/>
    <m/>
    <m/>
    <x v="43"/>
    <s v="SCBRM143383"/>
  </r>
  <r>
    <d v="2018-10-10T00:00:00"/>
    <x v="5"/>
    <s v="FEES"/>
    <x v="20"/>
    <s v="OPERATION FEE"/>
    <x v="70"/>
    <x v="17"/>
    <m/>
    <x v="0"/>
    <n v="-28689.99"/>
    <m/>
    <n v="-28689.99"/>
    <m/>
    <x v="46"/>
    <n v="0"/>
    <m/>
    <m/>
    <m/>
    <x v="43"/>
    <s v="SCBRM143383"/>
  </r>
  <r>
    <d v="2018-10-10T00:00:00"/>
    <x v="5"/>
    <s v="FEES"/>
    <x v="14"/>
    <s v="REGISTRAR FEE"/>
    <x v="70"/>
    <x v="17"/>
    <m/>
    <x v="0"/>
    <n v="0"/>
    <m/>
    <n v="0"/>
    <m/>
    <x v="46"/>
    <n v="0"/>
    <m/>
    <m/>
    <m/>
    <x v="43"/>
    <s v="SCBRM143383"/>
  </r>
  <r>
    <d v="2018-10-10T00:00:00"/>
    <x v="6"/>
    <s v="FIXED INCOME"/>
    <x v="0"/>
    <m/>
    <x v="0"/>
    <x v="0"/>
    <m/>
    <x v="0"/>
    <n v="2576583.0299999998"/>
    <n v="3192.77"/>
    <n v="2576583.0299999998"/>
    <n v="0"/>
    <x v="0"/>
    <n v="0"/>
    <s v="Cash Bal"/>
    <s v="THB"/>
    <d v="1900-01-01T00:00:00"/>
    <x v="0"/>
    <s v="SCBRM243383"/>
  </r>
  <r>
    <d v="2018-10-10T00:00:00"/>
    <x v="6"/>
    <s v="FIXED INCOME"/>
    <x v="1"/>
    <m/>
    <x v="287"/>
    <x v="2"/>
    <s v="AA-"/>
    <x v="158"/>
    <n v="120000000"/>
    <n v="531616.43999999994"/>
    <n v="120000000"/>
    <n v="0.72549600000000003"/>
    <x v="114"/>
    <n v="1.65"/>
    <s v="Bond"/>
    <s v="THB"/>
    <d v="2018-07-05T00:00:00"/>
    <x v="3"/>
    <s v="SCBRM243383"/>
  </r>
  <r>
    <d v="2018-10-10T00:00:00"/>
    <x v="6"/>
    <s v="FIXED INCOME"/>
    <x v="1"/>
    <m/>
    <x v="288"/>
    <x v="9"/>
    <s v="AAA(tha)"/>
    <x v="19"/>
    <n v="14128950.960000001"/>
    <n v="67537.81"/>
    <n v="14128950.960000001"/>
    <n v="0"/>
    <x v="193"/>
    <n v="0"/>
    <s v="Bond"/>
    <s v="THB"/>
    <d v="2005-09-16T00:00:00"/>
    <x v="135"/>
    <s v="SCBRM243383"/>
  </r>
  <r>
    <d v="2018-10-10T00:00:00"/>
    <x v="6"/>
    <s v="FIXED INCOME"/>
    <x v="2"/>
    <m/>
    <x v="251"/>
    <x v="40"/>
    <s v="BBB+"/>
    <x v="68"/>
    <n v="38561959.409999996"/>
    <m/>
    <n v="38596272.390000001"/>
    <n v="0.44968599999999997"/>
    <x v="194"/>
    <n v="2.2999999999999998"/>
    <s v="Bond"/>
    <s v="THB"/>
    <d v="2018-06-29T00:00:00"/>
    <x v="17"/>
    <s v="SCBRM243383"/>
  </r>
  <r>
    <d v="2018-10-10T00:00:00"/>
    <x v="6"/>
    <s v="FIXED INCOME"/>
    <x v="4"/>
    <m/>
    <x v="206"/>
    <x v="13"/>
    <m/>
    <x v="25"/>
    <n v="82834784.349999994"/>
    <m/>
    <n v="82827582.439999998"/>
    <n v="0.15307200000000001"/>
    <x v="195"/>
    <n v="1.356786"/>
    <s v="Bond"/>
    <s v="THB"/>
    <d v="2017-12-07T00:00:00"/>
    <x v="7"/>
    <s v="SCBRM243383"/>
  </r>
  <r>
    <d v="2018-10-10T00:00:00"/>
    <x v="6"/>
    <s v="FIXED INCOME"/>
    <x v="4"/>
    <m/>
    <x v="121"/>
    <x v="13"/>
    <m/>
    <x v="26"/>
    <n v="9976237.4000000004"/>
    <m/>
    <n v="9976237.4000000004"/>
    <n v="0.17217499999999999"/>
    <x v="17"/>
    <n v="1.38"/>
    <s v="Bond"/>
    <s v="THB"/>
    <d v="2018-06-14T00:00:00"/>
    <x v="19"/>
    <s v="SCBRM243383"/>
  </r>
  <r>
    <d v="2018-10-10T00:00:00"/>
    <x v="6"/>
    <s v="FIXED INCOME"/>
    <x v="4"/>
    <m/>
    <x v="289"/>
    <x v="13"/>
    <m/>
    <x v="27"/>
    <n v="119703855.59999999"/>
    <m/>
    <n v="119703855.59999999"/>
    <n v="0.19126000000000001"/>
    <x v="114"/>
    <n v="1.29"/>
    <s v="Bond"/>
    <s v="THB"/>
    <d v="2018-06-21T00:00:00"/>
    <x v="19"/>
    <s v="SCBRM243383"/>
  </r>
  <r>
    <d v="2018-10-10T00:00:00"/>
    <x v="6"/>
    <s v="FIXED INCOME"/>
    <x v="4"/>
    <m/>
    <x v="290"/>
    <x v="13"/>
    <m/>
    <x v="71"/>
    <n v="3988388.88"/>
    <m/>
    <n v="3987633.96"/>
    <n v="0.210311"/>
    <x v="143"/>
    <n v="1.47"/>
    <s v="Bond"/>
    <s v="THB"/>
    <d v="2018-06-28T00:00:00"/>
    <x v="19"/>
    <s v="SCBRM243383"/>
  </r>
  <r>
    <d v="2018-10-10T00:00:00"/>
    <x v="6"/>
    <s v="FIXED INCOME"/>
    <x v="4"/>
    <m/>
    <x v="122"/>
    <x v="13"/>
    <m/>
    <x v="71"/>
    <n v="460658915.63999999"/>
    <m/>
    <n v="460659594.77999997"/>
    <n v="0.210337"/>
    <x v="196"/>
    <n v="1.379297"/>
    <s v="Bond"/>
    <s v="THB"/>
    <d v="2018-09-27T00:00:00"/>
    <x v="18"/>
    <s v="SCBRM243383"/>
  </r>
  <r>
    <d v="2018-10-10T00:00:00"/>
    <x v="6"/>
    <s v="FIXED INCOME"/>
    <x v="4"/>
    <m/>
    <x v="37"/>
    <x v="13"/>
    <m/>
    <x v="28"/>
    <n v="99933305"/>
    <m/>
    <n v="99933305"/>
    <n v="5.7493000000000002E-2"/>
    <x v="45"/>
    <n v="1.1599999999999999"/>
    <s v="Bond"/>
    <s v="THB"/>
    <d v="2018-05-03T00:00:00"/>
    <x v="19"/>
    <s v="SCBRM243383"/>
  </r>
  <r>
    <d v="2018-10-10T00:00:00"/>
    <x v="6"/>
    <s v="FIXED INCOME"/>
    <x v="4"/>
    <m/>
    <x v="45"/>
    <x v="13"/>
    <m/>
    <x v="32"/>
    <n v="5989694.1600000001"/>
    <m/>
    <n v="5989145.7000000002"/>
    <n v="0.13400799999999999"/>
    <x v="170"/>
    <n v="1.35"/>
    <s v="Bond"/>
    <s v="THB"/>
    <d v="2018-05-31T00:00:00"/>
    <x v="19"/>
    <s v="SCBRM243383"/>
  </r>
  <r>
    <d v="2018-10-10T00:00:00"/>
    <x v="6"/>
    <s v="FIXED INCOME"/>
    <x v="4"/>
    <m/>
    <x v="47"/>
    <x v="13"/>
    <m/>
    <x v="33"/>
    <n v="74000000"/>
    <m/>
    <n v="74000000"/>
    <n v="2.7399999999999998E-3"/>
    <x v="197"/>
    <n v="1.153378"/>
    <s v="Bond"/>
    <s v="THB"/>
    <d v="2018-04-12T00:00:00"/>
    <x v="19"/>
    <s v="SCBRM243383"/>
  </r>
  <r>
    <d v="2018-10-10T00:00:00"/>
    <x v="6"/>
    <s v="FIXED INCOME"/>
    <x v="4"/>
    <m/>
    <x v="49"/>
    <x v="13"/>
    <m/>
    <x v="6"/>
    <n v="149977195.5"/>
    <m/>
    <n v="149977195.5"/>
    <n v="1.3696E-2"/>
    <x v="11"/>
    <n v="1.1100000000000001"/>
    <s v="Bond"/>
    <s v="THB"/>
    <d v="2018-10-02T00:00:00"/>
    <x v="20"/>
    <s v="SCBRM243383"/>
  </r>
  <r>
    <d v="2018-10-10T00:00:00"/>
    <x v="6"/>
    <s v="FIXED INCOME"/>
    <x v="4"/>
    <m/>
    <x v="50"/>
    <x v="13"/>
    <m/>
    <x v="34"/>
    <n v="59986654.799999997"/>
    <m/>
    <n v="59986654.799999997"/>
    <n v="1.9174E-2"/>
    <x v="50"/>
    <n v="1.1599999999999999"/>
    <s v="Bond"/>
    <s v="THB"/>
    <d v="2018-04-19T00:00:00"/>
    <x v="19"/>
    <s v="SCBRM243383"/>
  </r>
  <r>
    <d v="2018-10-10T00:00:00"/>
    <x v="6"/>
    <s v="FIXED INCOME"/>
    <x v="4"/>
    <m/>
    <x v="123"/>
    <x v="13"/>
    <m/>
    <x v="20"/>
    <n v="534278598.48000002"/>
    <m/>
    <n v="534263879.92000002"/>
    <n v="0.22930300000000001"/>
    <x v="198"/>
    <n v="1.4120109999999999"/>
    <s v="Bond"/>
    <s v="THB"/>
    <d v="2018-07-05T00:00:00"/>
    <x v="19"/>
    <s v="SCBRM243383"/>
  </r>
  <r>
    <d v="2018-10-10T00:00:00"/>
    <x v="6"/>
    <s v="FIXED INCOME"/>
    <x v="4"/>
    <m/>
    <x v="291"/>
    <x v="13"/>
    <m/>
    <x v="37"/>
    <n v="36866088.859999999"/>
    <m/>
    <n v="36869014.079999998"/>
    <n v="0.24841299999999999"/>
    <x v="199"/>
    <n v="1.425"/>
    <s v="Bond"/>
    <s v="THB"/>
    <d v="2018-07-12T00:00:00"/>
    <x v="19"/>
    <s v="SCBRM243383"/>
  </r>
  <r>
    <d v="2018-10-10T00:00:00"/>
    <x v="6"/>
    <s v="FIXED INCOME"/>
    <x v="4"/>
    <m/>
    <x v="292"/>
    <x v="13"/>
    <m/>
    <x v="51"/>
    <n v="86589494.849999994"/>
    <m/>
    <n v="86606686.920000002"/>
    <n v="0.30540099999999998"/>
    <x v="200"/>
    <n v="1.48"/>
    <s v="Bond"/>
    <s v="THB"/>
    <d v="2018-08-02T00:00:00"/>
    <x v="19"/>
    <s v="SCBRM243383"/>
  </r>
  <r>
    <d v="2018-10-10T00:00:00"/>
    <x v="6"/>
    <s v="FIXED INCOME"/>
    <x v="4"/>
    <m/>
    <x v="293"/>
    <x v="13"/>
    <m/>
    <x v="159"/>
    <n v="68620986.450000003"/>
    <m/>
    <n v="68646722.760000005"/>
    <n v="0.34330899999999998"/>
    <x v="111"/>
    <n v="1.4907969999999999"/>
    <s v="Bond"/>
    <s v="THB"/>
    <d v="2018-08-16T00:00:00"/>
    <x v="19"/>
    <s v="SCBRM243383"/>
  </r>
  <r>
    <d v="2018-10-10T00:00:00"/>
    <x v="6"/>
    <s v="FIXED INCOME"/>
    <x v="4"/>
    <m/>
    <x v="294"/>
    <x v="13"/>
    <m/>
    <x v="160"/>
    <n v="126225357.15000001"/>
    <m/>
    <n v="126296373.01000001"/>
    <n v="0.38122200000000001"/>
    <x v="201"/>
    <n v="1.4524999999999999"/>
    <s v="Bond"/>
    <s v="THB"/>
    <d v="2018-08-30T00:00:00"/>
    <x v="19"/>
    <s v="SCBRM243383"/>
  </r>
  <r>
    <d v="2018-10-10T00:00:00"/>
    <x v="6"/>
    <s v="FIXED INCOME"/>
    <x v="4"/>
    <m/>
    <x v="295"/>
    <x v="13"/>
    <m/>
    <x v="93"/>
    <n v="17885186.100000001"/>
    <m/>
    <n v="17887616.82"/>
    <n v="0.400171"/>
    <x v="202"/>
    <n v="1.56"/>
    <s v="Bond"/>
    <s v="THB"/>
    <d v="2018-09-06T00:00:00"/>
    <x v="19"/>
    <s v="SCBRM243383"/>
  </r>
  <r>
    <d v="2018-10-10T00:00:00"/>
    <x v="6"/>
    <s v="FIXED INCOME"/>
    <x v="4"/>
    <m/>
    <x v="252"/>
    <x v="13"/>
    <m/>
    <x v="130"/>
    <n v="251356198.28"/>
    <m/>
    <n v="251424381.78"/>
    <n v="0.41917700000000002"/>
    <x v="203"/>
    <n v="1.485306"/>
    <s v="Bond"/>
    <s v="THB"/>
    <d v="2018-03-15T00:00:00"/>
    <x v="7"/>
    <s v="SCBRM243383"/>
  </r>
  <r>
    <d v="2018-10-10T00:00:00"/>
    <x v="6"/>
    <s v="FIXED INCOME"/>
    <x v="4"/>
    <m/>
    <x v="296"/>
    <x v="13"/>
    <m/>
    <x v="97"/>
    <n v="86371382.370000005"/>
    <m/>
    <n v="86381947.650000006"/>
    <n v="0.43790899999999999"/>
    <x v="200"/>
    <n v="1.622069"/>
    <s v="Bond"/>
    <s v="THB"/>
    <d v="2018-09-20T00:00:00"/>
    <x v="19"/>
    <s v="SCBRM243383"/>
  </r>
  <r>
    <d v="2018-10-10T00:00:00"/>
    <x v="6"/>
    <s v="FIXED INCOME"/>
    <x v="4"/>
    <m/>
    <x v="297"/>
    <x v="13"/>
    <m/>
    <x v="50"/>
    <n v="259062354.27000001"/>
    <m/>
    <n v="259127465.94"/>
    <n v="0.45685700000000001"/>
    <x v="204"/>
    <n v="1.57"/>
    <s v="Bond"/>
    <s v="THB"/>
    <d v="2018-09-27T00:00:00"/>
    <x v="19"/>
    <s v="SCBRM243383"/>
  </r>
  <r>
    <d v="2018-10-10T00:00:00"/>
    <x v="6"/>
    <s v="FIXED INCOME"/>
    <x v="4"/>
    <m/>
    <x v="298"/>
    <x v="13"/>
    <m/>
    <x v="7"/>
    <n v="192477319.22"/>
    <m/>
    <n v="192525400.18000001"/>
    <n v="0.47568899999999997"/>
    <x v="205"/>
    <n v="1.5974999999999999"/>
    <s v="Bond"/>
    <s v="THB"/>
    <d v="2018-10-04T00:00:00"/>
    <x v="19"/>
    <s v="SCBRM243383"/>
  </r>
  <r>
    <d v="2018-10-10T00:00:00"/>
    <x v="6"/>
    <s v="FIXED INCOME"/>
    <x v="4"/>
    <m/>
    <x v="299"/>
    <x v="13"/>
    <m/>
    <x v="161"/>
    <n v="131524903.65000001"/>
    <m/>
    <n v="131647960.56999999"/>
    <n v="0.64482300000000004"/>
    <x v="206"/>
    <n v="1.5750379999999999"/>
    <s v="Bond"/>
    <s v="THB"/>
    <d v="2018-06-07T00:00:00"/>
    <x v="7"/>
    <s v="SCBRM243383"/>
  </r>
  <r>
    <d v="2018-10-10T00:00:00"/>
    <x v="6"/>
    <s v="FIXED INCOME"/>
    <x v="4"/>
    <m/>
    <x v="300"/>
    <x v="13"/>
    <m/>
    <x v="162"/>
    <n v="614051068.79999995"/>
    <m/>
    <n v="614401632"/>
    <n v="0.88699899999999998"/>
    <x v="207"/>
    <n v="1.7331730000000001"/>
    <s v="Bond"/>
    <s v="THB"/>
    <d v="2018-09-06T00:00:00"/>
    <x v="7"/>
    <s v="SCBRM243383"/>
  </r>
  <r>
    <d v="2018-10-10T00:00:00"/>
    <x v="6"/>
    <s v="FIXED INCOME"/>
    <x v="16"/>
    <m/>
    <x v="301"/>
    <x v="13"/>
    <m/>
    <x v="97"/>
    <n v="29974838.699999999"/>
    <n v="24657.599999999999"/>
    <n v="30014585.100000001"/>
    <n v="0.43736700000000001"/>
    <x v="4"/>
    <n v="1.4025000000000001"/>
    <s v="Bond"/>
    <s v="THB"/>
    <d v="2016-03-21T00:00:00"/>
    <x v="62"/>
    <s v="SCBRM243383"/>
  </r>
  <r>
    <d v="2018-10-10T00:00:00"/>
    <x v="6"/>
    <s v="FIXED INCOME"/>
    <x v="16"/>
    <m/>
    <x v="254"/>
    <x v="13"/>
    <m/>
    <x v="132"/>
    <n v="239667580.80000001"/>
    <n v="314630.40000000002"/>
    <n v="239952633.59999999"/>
    <n v="0.90416099999999999"/>
    <x v="117"/>
    <n v="1.67875"/>
    <s v="Bond"/>
    <s v="THB"/>
    <d v="2016-09-12T00:00:00"/>
    <x v="62"/>
    <s v="SCBRM243383"/>
  </r>
  <r>
    <d v="2018-10-10T00:00:00"/>
    <x v="6"/>
    <s v="FIXED INCOME"/>
    <x v="16"/>
    <m/>
    <x v="302"/>
    <x v="13"/>
    <m/>
    <x v="163"/>
    <n v="392015586.08999997"/>
    <n v="266807.7"/>
    <n v="393120599.91000003"/>
    <n v="1.4304479999999999"/>
    <x v="208"/>
    <n v="1.7534510000000001"/>
    <s v="Bond"/>
    <s v="THB"/>
    <d v="2017-03-27T00:00:00"/>
    <x v="69"/>
    <s v="SCBRM243383"/>
  </r>
  <r>
    <d v="2018-10-10T00:00:00"/>
    <x v="6"/>
    <s v="FIXED INCOME"/>
    <x v="16"/>
    <m/>
    <x v="255"/>
    <x v="13"/>
    <m/>
    <x v="133"/>
    <n v="341394518.52999997"/>
    <n v="237091.79"/>
    <n v="344970538.76999998"/>
    <n v="1.909146"/>
    <x v="209"/>
    <n v="1.50197"/>
    <s v="Bond"/>
    <s v="THB"/>
    <d v="2017-09-25T00:00:00"/>
    <x v="69"/>
    <s v="SCBRM243383"/>
  </r>
  <r>
    <d v="2018-10-10T00:00:00"/>
    <x v="6"/>
    <s v="FIXED INCOME"/>
    <x v="16"/>
    <m/>
    <x v="303"/>
    <x v="12"/>
    <s v="BBB+"/>
    <x v="164"/>
    <n v="82296000.359999999"/>
    <n v="241088.72"/>
    <n v="82430097.040000007"/>
    <n v="2.6990980000000002"/>
    <x v="210"/>
    <n v="1.1913860000000001"/>
    <s v="Bond"/>
    <s v="THB"/>
    <d v="2011-07-14T00:00:00"/>
    <x v="117"/>
    <s v="SCBRM243383"/>
  </r>
  <r>
    <d v="2018-10-10T00:00:00"/>
    <x v="6"/>
    <s v="FIXED INCOME"/>
    <x v="16"/>
    <m/>
    <x v="304"/>
    <x v="12"/>
    <s v="BBB+"/>
    <x v="165"/>
    <n v="139850054.68000001"/>
    <n v="846163.8"/>
    <n v="140138304.74000001"/>
    <n v="3.5141149999999999"/>
    <x v="211"/>
    <n v="2.246769"/>
    <s v="Bond"/>
    <s v="THB"/>
    <d v="2016-07-15T00:00:00"/>
    <x v="136"/>
    <s v="SCBRM243383"/>
  </r>
  <r>
    <d v="2018-10-10T00:00:00"/>
    <x v="6"/>
    <s v="FIXED INCOME"/>
    <x v="16"/>
    <m/>
    <x v="305"/>
    <x v="12"/>
    <s v="BBB+"/>
    <x v="166"/>
    <n v="110935204.87"/>
    <n v="715068"/>
    <n v="113311398.38"/>
    <n v="3.961233"/>
    <x v="212"/>
    <n v="1.819229"/>
    <s v="Bond"/>
    <s v="THB"/>
    <d v="2017-08-04T00:00:00"/>
    <x v="137"/>
    <s v="SCBRM243383"/>
  </r>
  <r>
    <d v="2018-10-10T00:00:00"/>
    <x v="6"/>
    <s v="FIXED INCOME"/>
    <x v="16"/>
    <m/>
    <x v="306"/>
    <x v="12"/>
    <s v="BBB+"/>
    <x v="167"/>
    <n v="56882765.82"/>
    <n v="206137.08"/>
    <n v="57156199.950000003"/>
    <n v="4.8279420000000002"/>
    <x v="213"/>
    <n v="2.3435640000000002"/>
    <s v="Bond"/>
    <s v="THB"/>
    <d v="2018-08-17T00:00:00"/>
    <x v="138"/>
    <s v="SCBRM243383"/>
  </r>
  <r>
    <d v="2018-10-10T00:00:00"/>
    <x v="6"/>
    <s v="FIXED INCOME"/>
    <x v="16"/>
    <m/>
    <x v="307"/>
    <x v="73"/>
    <m/>
    <x v="168"/>
    <n v="105570724"/>
    <n v="10973"/>
    <n v="103401306"/>
    <n v="3.2646130000000002"/>
    <x v="45"/>
    <n v="2.9750000000000001"/>
    <s v="Bond"/>
    <s v="THB"/>
    <d v="2012-04-10T00:00:00"/>
    <x v="118"/>
    <s v="SCBRM243383"/>
  </r>
  <r>
    <d v="2018-10-10T00:00:00"/>
    <x v="6"/>
    <s v="FIXED INCOME"/>
    <x v="5"/>
    <m/>
    <x v="258"/>
    <x v="25"/>
    <s v="A+"/>
    <x v="136"/>
    <n v="10335701.4"/>
    <n v="118257.5"/>
    <n v="10363200.4"/>
    <n v="1.6516580000000001"/>
    <x v="17"/>
    <n v="2.2000000000000002"/>
    <s v="Bond"/>
    <s v="THB"/>
    <d v="2014-07-04T00:00:00"/>
    <x v="127"/>
    <s v="SCBRM243383"/>
  </r>
  <r>
    <d v="2018-10-10T00:00:00"/>
    <x v="6"/>
    <s v="FIXED INCOME"/>
    <x v="5"/>
    <m/>
    <x v="218"/>
    <x v="25"/>
    <s v="A+"/>
    <x v="106"/>
    <n v="62515755.600000001"/>
    <n v="1185879.2"/>
    <n v="60000000"/>
    <n v="7.1726489999999998"/>
    <x v="50"/>
    <n v="4.17"/>
    <s v="Bond"/>
    <s v="THB"/>
    <d v="2017-04-21T00:00:00"/>
    <x v="118"/>
    <s v="SCBRM243383"/>
  </r>
  <r>
    <d v="2018-10-10T00:00:00"/>
    <x v="6"/>
    <s v="FIXED INCOME"/>
    <x v="5"/>
    <m/>
    <x v="308"/>
    <x v="53"/>
    <s v="A"/>
    <x v="169"/>
    <n v="25095569"/>
    <n v="310452.01"/>
    <n v="25000000"/>
    <n v="1.9651860000000001"/>
    <x v="16"/>
    <n v="2.62"/>
    <s v="Bond"/>
    <s v="THB"/>
    <d v="2016-10-21T00:00:00"/>
    <x v="121"/>
    <s v="SCBRM243383"/>
  </r>
  <r>
    <d v="2018-10-10T00:00:00"/>
    <x v="6"/>
    <s v="FIXED INCOME"/>
    <x v="5"/>
    <m/>
    <x v="309"/>
    <x v="53"/>
    <s v="A"/>
    <x v="170"/>
    <n v="15762303.199999999"/>
    <n v="39495.839999999997"/>
    <n v="16000000"/>
    <n v="3.6665969999999999"/>
    <x v="214"/>
    <n v="2.65"/>
    <s v="Bond"/>
    <s v="THB"/>
    <d v="2017-09-07T00:00:00"/>
    <x v="22"/>
    <s v="SCBRM243383"/>
  </r>
  <r>
    <d v="2018-10-10T00:00:00"/>
    <x v="6"/>
    <s v="FIXED INCOME"/>
    <x v="5"/>
    <m/>
    <x v="310"/>
    <x v="45"/>
    <s v="A+"/>
    <x v="171"/>
    <n v="95665980.400000006"/>
    <n v="132739.70000000001"/>
    <n v="96350743.25"/>
    <n v="1.4096340000000001"/>
    <x v="215"/>
    <n v="2.007895"/>
    <s v="Bond"/>
    <s v="THB"/>
    <d v="2017-03-24T00:00:00"/>
    <x v="69"/>
    <s v="SCBRM243383"/>
  </r>
  <r>
    <d v="2018-10-10T00:00:00"/>
    <x v="6"/>
    <s v="FIXED INCOME"/>
    <x v="5"/>
    <m/>
    <x v="311"/>
    <x v="45"/>
    <s v="A+"/>
    <x v="172"/>
    <n v="13366479.1"/>
    <n v="23310.95"/>
    <n v="13000000"/>
    <n v="4.8863599999999998"/>
    <x v="216"/>
    <n v="3.85"/>
    <s v="Bond"/>
    <s v="THB"/>
    <d v="2017-03-24T00:00:00"/>
    <x v="74"/>
    <s v="SCBRM243383"/>
  </r>
  <r>
    <d v="2018-10-10T00:00:00"/>
    <x v="6"/>
    <s v="FIXED INCOME"/>
    <x v="5"/>
    <m/>
    <x v="312"/>
    <x v="56"/>
    <s v="A-"/>
    <x v="173"/>
    <n v="139670459.59999999"/>
    <n v="777862.4"/>
    <n v="140000000"/>
    <n v="2.6599689999999998"/>
    <x v="119"/>
    <n v="2.6"/>
    <s v="Bond"/>
    <s v="THB"/>
    <d v="2018-07-25T00:00:00"/>
    <x v="69"/>
    <s v="SCBRM243383"/>
  </r>
  <r>
    <d v="2018-10-10T00:00:00"/>
    <x v="6"/>
    <s v="FIXED INCOME"/>
    <x v="5"/>
    <m/>
    <x v="313"/>
    <x v="14"/>
    <s v="A+"/>
    <x v="174"/>
    <n v="10231935.1"/>
    <n v="21424.7"/>
    <n v="10070929.6"/>
    <n v="4.0893819999999996"/>
    <x v="17"/>
    <n v="3.23"/>
    <s v="Bond"/>
    <s v="THB"/>
    <d v="2016-03-18T00:00:00"/>
    <x v="119"/>
    <s v="SCBRM243383"/>
  </r>
  <r>
    <d v="2018-10-10T00:00:00"/>
    <x v="6"/>
    <s v="FIXED INCOME"/>
    <x v="5"/>
    <m/>
    <x v="267"/>
    <x v="27"/>
    <s v="A+"/>
    <x v="143"/>
    <n v="30023576.399999999"/>
    <n v="341062.89"/>
    <n v="30000000"/>
    <n v="1.469543"/>
    <x v="4"/>
    <n v="2.2799999999999998"/>
    <s v="Bond"/>
    <s v="THB"/>
    <d v="2016-04-12T00:00:00"/>
    <x v="121"/>
    <s v="SCBRM243383"/>
  </r>
  <r>
    <d v="2018-10-10T00:00:00"/>
    <x v="6"/>
    <s v="FIXED INCOME"/>
    <x v="5"/>
    <m/>
    <x v="314"/>
    <x v="27"/>
    <s v="A+"/>
    <x v="175"/>
    <n v="33209608.640000001"/>
    <n v="526886.72"/>
    <n v="33751397.439999998"/>
    <n v="4.1200219999999996"/>
    <x v="173"/>
    <n v="2.7"/>
    <s v="Bond"/>
    <s v="THB"/>
    <d v="2015-05-13T00:00:00"/>
    <x v="120"/>
    <s v="SCBRM243383"/>
  </r>
  <r>
    <d v="2018-10-10T00:00:00"/>
    <x v="6"/>
    <s v="FIXED INCOME"/>
    <x v="5"/>
    <m/>
    <x v="315"/>
    <x v="27"/>
    <s v="A+"/>
    <x v="176"/>
    <n v="32827961.100000001"/>
    <n v="511743.96"/>
    <n v="33000000"/>
    <n v="5.0184759999999997"/>
    <x v="217"/>
    <n v="3.11"/>
    <s v="Bond"/>
    <s v="THB"/>
    <d v="2016-04-12T00:00:00"/>
    <x v="120"/>
    <s v="SCBRM243383"/>
  </r>
  <r>
    <d v="2018-10-10T00:00:00"/>
    <x v="6"/>
    <s v="FIXED INCOME"/>
    <x v="5"/>
    <m/>
    <x v="231"/>
    <x v="27"/>
    <s v="A+"/>
    <x v="117"/>
    <n v="41306278.439999998"/>
    <n v="277257.53999999998"/>
    <n v="42000000"/>
    <n v="5.632987"/>
    <x v="218"/>
    <n v="3.05"/>
    <s v="Bond"/>
    <s v="THB"/>
    <d v="2018-01-24T00:00:00"/>
    <x v="74"/>
    <s v="SCBRM243383"/>
  </r>
  <r>
    <d v="2018-10-10T00:00:00"/>
    <x v="6"/>
    <s v="FIXED INCOME"/>
    <x v="5"/>
    <m/>
    <x v="268"/>
    <x v="28"/>
    <s v="A+"/>
    <x v="144"/>
    <n v="25035883.5"/>
    <n v="151287.75"/>
    <n v="25000000"/>
    <n v="1.7055439999999999"/>
    <x v="16"/>
    <n v="2.5099999999999998"/>
    <s v="Bond"/>
    <s v="THB"/>
    <d v="2016-07-15T00:00:00"/>
    <x v="121"/>
    <s v="SCBRM243383"/>
  </r>
  <r>
    <d v="2018-10-10T00:00:00"/>
    <x v="6"/>
    <s v="FIXED INCOME"/>
    <x v="5"/>
    <m/>
    <x v="316"/>
    <x v="28"/>
    <s v="A+"/>
    <x v="177"/>
    <n v="60781333.200000003"/>
    <n v="422959.2"/>
    <n v="60000000"/>
    <n v="2.1749839999999998"/>
    <x v="50"/>
    <n v="3.1"/>
    <s v="Bond"/>
    <s v="THB"/>
    <d v="2016-01-20T00:00:00"/>
    <x v="124"/>
    <s v="SCBRM243383"/>
  </r>
  <r>
    <d v="2018-10-10T00:00:00"/>
    <x v="6"/>
    <s v="FIXED INCOME"/>
    <x v="5"/>
    <m/>
    <x v="317"/>
    <x v="28"/>
    <s v="A+"/>
    <x v="178"/>
    <n v="40785618.399999999"/>
    <n v="315627.2"/>
    <n v="40000000"/>
    <n v="3.926955"/>
    <x v="15"/>
    <n v="3.47"/>
    <s v="Bond"/>
    <s v="THB"/>
    <d v="2016-01-20T00:00:00"/>
    <x v="74"/>
    <s v="SCBRM243383"/>
  </r>
  <r>
    <d v="2018-10-10T00:00:00"/>
    <x v="6"/>
    <s v="FIXED INCOME"/>
    <x v="5"/>
    <m/>
    <x v="318"/>
    <x v="65"/>
    <s v="A+"/>
    <x v="179"/>
    <n v="33951068.899999999"/>
    <n v="279731.59999999998"/>
    <n v="34000000"/>
    <n v="0.53919399999999995"/>
    <x v="219"/>
    <n v="1.82"/>
    <s v="Bond"/>
    <s v="THB"/>
    <d v="2016-04-29T00:00:00"/>
    <x v="62"/>
    <s v="SCBRM243383"/>
  </r>
  <r>
    <d v="2018-10-10T00:00:00"/>
    <x v="6"/>
    <s v="FIXED INCOME"/>
    <x v="5"/>
    <m/>
    <x v="319"/>
    <x v="67"/>
    <s v="A"/>
    <x v="180"/>
    <n v="10098890.9"/>
    <n v="118657.5"/>
    <n v="10151883.800000001"/>
    <n v="1.552044"/>
    <x v="17"/>
    <n v="2.08"/>
    <s v="Bond"/>
    <s v="THB"/>
    <d v="2015-05-22T00:00:00"/>
    <x v="124"/>
    <s v="SCBRM243383"/>
  </r>
  <r>
    <d v="2018-10-10T00:00:00"/>
    <x v="6"/>
    <s v="FIXED INCOME"/>
    <x v="5"/>
    <m/>
    <x v="320"/>
    <x v="67"/>
    <s v="A"/>
    <x v="81"/>
    <n v="9911822.8000000007"/>
    <n v="16169.9"/>
    <n v="10000000"/>
    <n v="2.337872"/>
    <x v="17"/>
    <n v="2.27"/>
    <s v="Bond"/>
    <s v="THB"/>
    <d v="2016-03-15T00:00:00"/>
    <x v="22"/>
    <s v="SCBRM243383"/>
  </r>
  <r>
    <d v="2018-10-10T00:00:00"/>
    <x v="6"/>
    <s v="FIXED INCOME"/>
    <x v="5"/>
    <m/>
    <x v="321"/>
    <x v="35"/>
    <s v="A"/>
    <x v="181"/>
    <n v="50253924.5"/>
    <n v="269383.5"/>
    <n v="50000000"/>
    <n v="1.7473160000000001"/>
    <x v="3"/>
    <n v="2.85"/>
    <s v="Bond"/>
    <s v="THB"/>
    <d v="2017-02-03T00:00:00"/>
    <x v="139"/>
    <s v="SCBRM243383"/>
  </r>
  <r>
    <d v="2018-10-10T00:00:00"/>
    <x v="6"/>
    <s v="FIXED INCOME"/>
    <x v="5"/>
    <m/>
    <x v="236"/>
    <x v="35"/>
    <s v="A"/>
    <x v="122"/>
    <n v="7013415.1500000004"/>
    <n v="59743.53"/>
    <n v="7000000"/>
    <n v="2.0244230000000001"/>
    <x v="150"/>
    <n v="2.64"/>
    <s v="Bond"/>
    <s v="THB"/>
    <d v="2017-06-15T00:00:00"/>
    <x v="123"/>
    <s v="SCBRM243383"/>
  </r>
  <r>
    <d v="2018-10-10T00:00:00"/>
    <x v="6"/>
    <s v="FIXED INCOME"/>
    <x v="5"/>
    <m/>
    <x v="322"/>
    <x v="36"/>
    <s v="A-"/>
    <x v="182"/>
    <n v="75007750.5"/>
    <n v="845691.75"/>
    <n v="75665513.25"/>
    <n v="1.525074"/>
    <x v="56"/>
    <n v="2.11"/>
    <s v="Bond"/>
    <s v="THB"/>
    <d v="2017-05-11T00:00:00"/>
    <x v="69"/>
    <s v="SCBRM243383"/>
  </r>
  <r>
    <d v="2018-10-10T00:00:00"/>
    <x v="6"/>
    <s v="FIXED INCOME"/>
    <x v="5"/>
    <m/>
    <x v="323"/>
    <x v="70"/>
    <s v="A(tha)"/>
    <x v="183"/>
    <n v="13277444.57"/>
    <n v="201500"/>
    <n v="13000000"/>
    <n v="4.9498309999999996"/>
    <x v="216"/>
    <n v="3.65"/>
    <s v="Bond"/>
    <s v="THB"/>
    <d v="2017-05-09T00:00:00"/>
    <x v="74"/>
    <s v="SCBRM243383"/>
  </r>
  <r>
    <d v="2018-10-10T00:00:00"/>
    <x v="6"/>
    <s v="FIXED INCOME"/>
    <x v="5"/>
    <m/>
    <x v="324"/>
    <x v="11"/>
    <s v="A"/>
    <x v="184"/>
    <n v="1005385.89"/>
    <n v="3917.81"/>
    <n v="1000000"/>
    <n v="1.319903"/>
    <x v="110"/>
    <n v="2.6"/>
    <s v="Bond"/>
    <s v="THB"/>
    <d v="2017-02-17T00:00:00"/>
    <x v="62"/>
    <s v="SCBRM243383"/>
  </r>
  <r>
    <d v="2018-10-10T00:00:00"/>
    <x v="6"/>
    <s v="FIXED INCOME"/>
    <x v="5"/>
    <m/>
    <x v="283"/>
    <x v="37"/>
    <s v="AA"/>
    <x v="155"/>
    <n v="99865372"/>
    <n v="192877"/>
    <n v="100000000"/>
    <n v="3.2221039999999999"/>
    <x v="45"/>
    <n v="3.2"/>
    <s v="Bond"/>
    <s v="THB"/>
    <d v="2018-09-19T00:00:00"/>
    <x v="133"/>
    <s v="SCBRM243383"/>
  </r>
  <r>
    <d v="2018-10-10T00:00:00"/>
    <x v="6"/>
    <s v="FIXED INCOME"/>
    <x v="5"/>
    <m/>
    <x v="325"/>
    <x v="37"/>
    <s v="AA"/>
    <x v="185"/>
    <n v="20585330.219999999"/>
    <n v="30170.91"/>
    <n v="21000000"/>
    <n v="4.1363830000000004"/>
    <x v="152"/>
    <n v="2.76"/>
    <s v="Bond"/>
    <s v="THB"/>
    <d v="2018-03-22T00:00:00"/>
    <x v="22"/>
    <s v="SCBRM243383"/>
  </r>
  <r>
    <d v="2018-10-10T00:00:00"/>
    <x v="6"/>
    <s v="FIXED INCOME"/>
    <x v="5"/>
    <m/>
    <x v="243"/>
    <x v="39"/>
    <s v="BBB+"/>
    <x v="128"/>
    <n v="20006987"/>
    <n v="278597.2"/>
    <n v="20000000"/>
    <n v="0.12844700000000001"/>
    <x v="112"/>
    <n v="2.2799999999999998"/>
    <s v="Bond"/>
    <s v="THB"/>
    <d v="2018-03-02T00:00:00"/>
    <x v="17"/>
    <s v="SCBRM243383"/>
  </r>
  <r>
    <d v="2018-10-10T00:00:00"/>
    <x v="6"/>
    <s v="FIXED INCOME"/>
    <x v="5"/>
    <m/>
    <x v="284"/>
    <x v="39"/>
    <s v="BBB+"/>
    <x v="67"/>
    <n v="10001305"/>
    <n v="100821.9"/>
    <n v="10000000"/>
    <n v="0.29935499999999998"/>
    <x v="17"/>
    <n v="2.2999999999999998"/>
    <s v="Bond"/>
    <s v="THB"/>
    <d v="2018-05-04T00:00:00"/>
    <x v="17"/>
    <s v="SCBRM243383"/>
  </r>
  <r>
    <d v="2018-10-10T00:00:00"/>
    <x v="6"/>
    <s v="FIXED INCOME"/>
    <x v="5"/>
    <m/>
    <x v="148"/>
    <x v="40"/>
    <s v="BBB+"/>
    <x v="67"/>
    <n v="41996101.140000001"/>
    <n v="359934.12"/>
    <n v="42000000"/>
    <n v="0.29928500000000002"/>
    <x v="218"/>
    <n v="2.2999999999999998"/>
    <s v="Bond"/>
    <s v="THB"/>
    <d v="2018-05-28T00:00:00"/>
    <x v="73"/>
    <s v="SCBRM243383"/>
  </r>
  <r>
    <d v="2018-10-10T00:00:00"/>
    <x v="6"/>
    <s v="FIXED INCOME"/>
    <x v="5"/>
    <m/>
    <x v="151"/>
    <x v="42"/>
    <s v="A"/>
    <x v="88"/>
    <n v="25803599.899999999"/>
    <n v="17708.599999999999"/>
    <n v="26000000"/>
    <n v="2.3912019999999998"/>
    <x v="179"/>
    <n v="2.2599999999999998"/>
    <s v="Bond"/>
    <s v="THB"/>
    <d v="2018-03-30T00:00:00"/>
    <x v="69"/>
    <s v="SCBRM243383"/>
  </r>
  <r>
    <d v="2018-10-10T00:00:00"/>
    <x v="6"/>
    <s v="FIXED INCOME"/>
    <x v="5"/>
    <m/>
    <x v="152"/>
    <x v="43"/>
    <s v="A-"/>
    <x v="89"/>
    <n v="18147372.84"/>
    <n v="88678.44"/>
    <n v="18000000"/>
    <n v="1.7822849999999999"/>
    <x v="202"/>
    <n v="3.33"/>
    <s v="Bond"/>
    <s v="THB"/>
    <d v="2017-08-18T00:00:00"/>
    <x v="69"/>
    <s v="SCBRM243383"/>
  </r>
  <r>
    <d v="2018-10-10T00:00:00"/>
    <x v="6"/>
    <s v="DERIVATIVE"/>
    <x v="21"/>
    <m/>
    <x v="326"/>
    <x v="1"/>
    <s v="AA+(tha)"/>
    <x v="186"/>
    <n v="64727.24"/>
    <m/>
    <n v="0"/>
    <n v="8.1917810000000006"/>
    <x v="0"/>
    <n v="0"/>
    <s v="Swap"/>
    <s v="THB"/>
    <d v="1900-01-01T00:00:00"/>
    <x v="140"/>
    <s v="SCBRM243383"/>
  </r>
  <r>
    <d v="2018-10-10T00:00:00"/>
    <x v="6"/>
    <s v="ACCRUED RECEIVE"/>
    <x v="18"/>
    <s v="Settle Date :11/10/2018"/>
    <x v="0"/>
    <x v="17"/>
    <m/>
    <x v="0"/>
    <n v="2902217.21"/>
    <m/>
    <n v="2902217.21"/>
    <n v="0"/>
    <x v="46"/>
    <n v="0"/>
    <s v="Cash Bal"/>
    <s v="THB"/>
    <d v="1900-01-01T00:00:00"/>
    <x v="0"/>
    <s v="SCBRM243383"/>
  </r>
  <r>
    <d v="2018-10-10T00:00:00"/>
    <x v="6"/>
    <s v="ACCRUED PAYABLE"/>
    <x v="8"/>
    <s v="Settle Date :11/10/2018"/>
    <x v="296"/>
    <x v="17"/>
    <m/>
    <x v="0"/>
    <n v="-59566470.600000001"/>
    <m/>
    <n v="-59566470.600000001"/>
    <m/>
    <x v="46"/>
    <n v="0"/>
    <s v="Bond"/>
    <s v="THB"/>
    <d v="2018-09-20T00:00:00"/>
    <x v="141"/>
    <s v="SCBRM243383"/>
  </r>
  <r>
    <d v="2018-10-10T00:00:00"/>
    <x v="6"/>
    <s v="ACCRUED PAYABLE"/>
    <x v="8"/>
    <s v="Settle Date :11/10/2018"/>
    <x v="303"/>
    <x v="17"/>
    <m/>
    <x v="0"/>
    <n v="-18471580.109999999"/>
    <m/>
    <n v="-18471580.109999999"/>
    <m/>
    <x v="46"/>
    <n v="0"/>
    <s v="Bond"/>
    <s v="THB"/>
    <d v="2011-07-14T00:00:00"/>
    <x v="142"/>
    <s v="SCBRM243383"/>
  </r>
  <r>
    <d v="2018-10-10T00:00:00"/>
    <x v="6"/>
    <s v="ACCRUED PAYABLE"/>
    <x v="9"/>
    <s v="AUDITING FEE"/>
    <x v="69"/>
    <x v="17"/>
    <m/>
    <x v="0"/>
    <n v="-58164.41"/>
    <m/>
    <m/>
    <m/>
    <x v="46"/>
    <n v="0"/>
    <m/>
    <m/>
    <m/>
    <x v="43"/>
    <s v="SCBRM243383"/>
  </r>
  <r>
    <d v="2018-10-10T00:00:00"/>
    <x v="6"/>
    <s v="ACCRUED PAYABLE"/>
    <x v="19"/>
    <s v="Settle Date :11/10/2018"/>
    <x v="0"/>
    <x v="17"/>
    <m/>
    <x v="0"/>
    <n v="-1046.07"/>
    <m/>
    <n v="-1046.07"/>
    <n v="0"/>
    <x v="46"/>
    <n v="0"/>
    <s v="Cash Bal"/>
    <s v="THB"/>
    <d v="1900-01-01T00:00:00"/>
    <x v="0"/>
    <s v="SCBRM243383"/>
  </r>
  <r>
    <d v="2018-10-10T00:00:00"/>
    <x v="6"/>
    <s v="ACCRUED PAYABLE"/>
    <x v="10"/>
    <m/>
    <x v="70"/>
    <x v="17"/>
    <m/>
    <x v="0"/>
    <n v="-111743.89"/>
    <n v="0"/>
    <m/>
    <m/>
    <x v="46"/>
    <n v="0"/>
    <m/>
    <m/>
    <m/>
    <x v="43"/>
    <s v="SCBRM243383"/>
  </r>
  <r>
    <d v="2018-10-10T00:00:00"/>
    <x v="6"/>
    <s v="ACCRUED PAYABLE"/>
    <x v="12"/>
    <s v="CUSTODIAN FEE"/>
    <x v="70"/>
    <x v="17"/>
    <m/>
    <x v="0"/>
    <n v="-48769.25"/>
    <m/>
    <n v="-48769.25"/>
    <m/>
    <x v="46"/>
    <n v="0"/>
    <m/>
    <m/>
    <m/>
    <x v="43"/>
    <s v="SCBRM243383"/>
  </r>
  <r>
    <d v="2018-10-10T00:00:00"/>
    <x v="6"/>
    <s v="ACCRUED PAYABLE"/>
    <x v="13"/>
    <s v="MANAGEMENT FEE"/>
    <x v="70"/>
    <x v="17"/>
    <m/>
    <x v="0"/>
    <n v="-924177.47"/>
    <m/>
    <n v="-924177.47"/>
    <m/>
    <x v="46"/>
    <n v="0"/>
    <m/>
    <m/>
    <m/>
    <x v="43"/>
    <s v="SCBRM243383"/>
  </r>
  <r>
    <d v="2018-10-10T00:00:00"/>
    <x v="6"/>
    <s v="ACCRUED PAYABLE"/>
    <x v="20"/>
    <s v="OPERATION FEE"/>
    <x v="70"/>
    <x v="17"/>
    <m/>
    <x v="0"/>
    <n v="-162564.19"/>
    <m/>
    <n v="-162564.19"/>
    <m/>
    <x v="46"/>
    <n v="0"/>
    <m/>
    <m/>
    <m/>
    <x v="43"/>
    <s v="SCBRM243383"/>
  </r>
  <r>
    <d v="2018-10-10T00:00:00"/>
    <x v="6"/>
    <s v="ACCRUED PAYABLE"/>
    <x v="14"/>
    <s v="REGISTRAR FEE"/>
    <x v="70"/>
    <x v="17"/>
    <m/>
    <x v="0"/>
    <n v="0"/>
    <m/>
    <n v="0"/>
    <m/>
    <x v="46"/>
    <n v="0"/>
    <m/>
    <m/>
    <m/>
    <x v="43"/>
    <s v="SCBRM243383"/>
  </r>
  <r>
    <d v="2018-10-10T00:00:00"/>
    <x v="6"/>
    <s v="FEES"/>
    <x v="12"/>
    <s v="CUSTODIAN FEE"/>
    <x v="70"/>
    <x v="17"/>
    <m/>
    <x v="0"/>
    <n v="-5412.9"/>
    <m/>
    <n v="-5412.9"/>
    <m/>
    <x v="46"/>
    <n v="0"/>
    <m/>
    <m/>
    <m/>
    <x v="43"/>
    <s v="SCBRM243383"/>
  </r>
  <r>
    <d v="2018-10-10T00:00:00"/>
    <x v="6"/>
    <s v="FEES"/>
    <x v="13"/>
    <s v="MANAGEMENT FEE"/>
    <x v="70"/>
    <x v="17"/>
    <m/>
    <x v="0"/>
    <n v="-102574.54"/>
    <m/>
    <n v="-102574.54"/>
    <m/>
    <x v="46"/>
    <n v="0"/>
    <m/>
    <m/>
    <m/>
    <x v="43"/>
    <s v="SCBRM243383"/>
  </r>
  <r>
    <d v="2018-10-10T00:00:00"/>
    <x v="6"/>
    <s v="FEES"/>
    <x v="20"/>
    <s v="OPERATION FEE"/>
    <x v="70"/>
    <x v="17"/>
    <m/>
    <x v="0"/>
    <n v="-18043.009999999998"/>
    <m/>
    <n v="-18043.009999999998"/>
    <m/>
    <x v="46"/>
    <n v="0"/>
    <m/>
    <m/>
    <m/>
    <x v="43"/>
    <s v="SCBRM243383"/>
  </r>
  <r>
    <d v="2018-10-10T00:00:00"/>
    <x v="6"/>
    <s v="FEES"/>
    <x v="14"/>
    <s v="REGISTRAR FEE"/>
    <x v="70"/>
    <x v="17"/>
    <m/>
    <x v="0"/>
    <n v="0"/>
    <m/>
    <n v="0"/>
    <m/>
    <x v="46"/>
    <n v="0"/>
    <m/>
    <m/>
    <m/>
    <x v="43"/>
    <s v="SCBRM243383"/>
  </r>
  <r>
    <d v="2018-10-10T00:00:00"/>
    <x v="7"/>
    <s v="FIXED INCOME"/>
    <x v="0"/>
    <m/>
    <x v="0"/>
    <x v="19"/>
    <m/>
    <x v="0"/>
    <n v="3876174.24"/>
    <n v="16887.490000000002"/>
    <n v="3876174.24"/>
    <n v="0"/>
    <x v="0"/>
    <n v="0"/>
    <s v="Cash Bal"/>
    <s v="THB"/>
    <d v="1900-01-01T00:00:00"/>
    <x v="0"/>
    <s v="SCBFPFUND43383"/>
  </r>
  <r>
    <d v="2018-10-10T00:00:00"/>
    <x v="7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FPFUND43383"/>
  </r>
  <r>
    <d v="2018-10-10T00:00:00"/>
    <x v="7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FPFUND43383"/>
  </r>
  <r>
    <d v="2018-10-10T00:00:00"/>
    <x v="7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FPFUND43383"/>
  </r>
  <r>
    <d v="2018-10-10T00:00:00"/>
    <x v="7"/>
    <s v="FIXED INCOME"/>
    <x v="0"/>
    <m/>
    <x v="73"/>
    <x v="19"/>
    <s v="AA+(tha)"/>
    <x v="0"/>
    <n v="0"/>
    <m/>
    <n v="0"/>
    <n v="0"/>
    <x v="0"/>
    <n v="0"/>
    <s v="Cash Bal"/>
    <s v="GBPbb"/>
    <d v="1900-01-01T00:00:00"/>
    <x v="0"/>
    <s v="SCBFPFUND43383"/>
  </r>
  <r>
    <d v="2018-10-10T00:00:00"/>
    <x v="7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FPFUND43383"/>
  </r>
  <r>
    <d v="2018-10-10T00:00:00"/>
    <x v="7"/>
    <s v="FIXED INCOME"/>
    <x v="0"/>
    <m/>
    <x v="74"/>
    <x v="1"/>
    <s v="AA+(tha)"/>
    <x v="0"/>
    <n v="0"/>
    <m/>
    <n v="0"/>
    <n v="0"/>
    <x v="0"/>
    <n v="0"/>
    <s v="Cash Bal"/>
    <s v="JPYbb"/>
    <d v="1900-01-01T00:00:00"/>
    <x v="0"/>
    <s v="SCBFPFUND43383"/>
  </r>
  <r>
    <d v="2018-10-10T00:00:00"/>
    <x v="7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FPFUND43383"/>
  </r>
  <r>
    <d v="2018-10-10T00:00:00"/>
    <x v="7"/>
    <s v="FIXED INCOME"/>
    <x v="1"/>
    <m/>
    <x v="76"/>
    <x v="21"/>
    <s v="A"/>
    <x v="13"/>
    <n v="658359702"/>
    <n v="12262861.109999999"/>
    <n v="658485835.23000002"/>
    <m/>
    <x v="112"/>
    <n v="2.6850000000000001"/>
    <s v="Bond"/>
    <s v="USDbb"/>
    <d v="2018-01-16T00:00:00"/>
    <x v="3"/>
    <s v="SCBFPFUND43383"/>
  </r>
  <r>
    <d v="2018-10-10T00:00:00"/>
    <x v="7"/>
    <s v="FIXED INCOME"/>
    <x v="1"/>
    <m/>
    <x v="77"/>
    <x v="2"/>
    <s v="AA-"/>
    <x v="40"/>
    <n v="1500000000"/>
    <n v="9967808.2200000007"/>
    <n v="1500000000"/>
    <n v="0.59415600000000002"/>
    <x v="21"/>
    <n v="1.65"/>
    <s v="Bond"/>
    <s v="THB"/>
    <d v="2018-05-17T00:00:00"/>
    <x v="3"/>
    <s v="SCBFPFUND43383"/>
  </r>
  <r>
    <d v="2018-10-10T00:00:00"/>
    <x v="7"/>
    <s v="FIXED INCOME"/>
    <x v="1"/>
    <m/>
    <x v="327"/>
    <x v="2"/>
    <s v="AA-"/>
    <x v="48"/>
    <n v="400000000"/>
    <n v="2745205.48"/>
    <n v="400000000"/>
    <n v="0.53811699999999996"/>
    <x v="7"/>
    <n v="1.5"/>
    <s v="Bond"/>
    <s v="THB"/>
    <d v="2018-04-27T00:00:00"/>
    <x v="7"/>
    <s v="SCBFPFUND43383"/>
  </r>
  <r>
    <d v="2018-10-10T00:00:00"/>
    <x v="7"/>
    <s v="FIXED INCOME"/>
    <x v="1"/>
    <m/>
    <x v="79"/>
    <x v="22"/>
    <s v="A"/>
    <x v="42"/>
    <n v="1135467000"/>
    <m/>
    <n v="1135484978.51"/>
    <m/>
    <x v="4"/>
    <n v="-0.01"/>
    <s v="Bond"/>
    <s v="EURbb"/>
    <d v="2017-12-07T00:00:00"/>
    <x v="3"/>
    <s v="SCBFPFUND43383"/>
  </r>
  <r>
    <d v="2018-10-10T00:00:00"/>
    <x v="7"/>
    <s v="FIXED INCOME"/>
    <x v="1"/>
    <m/>
    <x v="328"/>
    <x v="22"/>
    <s v="A"/>
    <x v="75"/>
    <n v="1135467000"/>
    <m/>
    <n v="1135482770.5899999"/>
    <m/>
    <x v="4"/>
    <n v="-0.01"/>
    <s v="Bond"/>
    <s v="EURbb"/>
    <d v="2017-12-01T00:00:00"/>
    <x v="7"/>
    <s v="SCBFPFUND43383"/>
  </r>
  <r>
    <d v="2018-10-10T00:00:00"/>
    <x v="7"/>
    <s v="FIXED INCOME"/>
    <x v="1"/>
    <m/>
    <x v="329"/>
    <x v="3"/>
    <s v="A"/>
    <x v="43"/>
    <n v="1892445000"/>
    <n v="901539.77"/>
    <n v="1950000000"/>
    <n v="0.336032"/>
    <x v="3"/>
    <n v="7.0000000000000007E-2"/>
    <s v="Bond"/>
    <s v="EURbb"/>
    <d v="2018-02-08T00:00:00"/>
    <x v="3"/>
    <s v="SCBFPFUND43383"/>
  </r>
  <r>
    <d v="2018-10-10T00:00:00"/>
    <x v="7"/>
    <s v="FIXED INCOME"/>
    <x v="1"/>
    <m/>
    <x v="330"/>
    <x v="3"/>
    <s v="A"/>
    <x v="187"/>
    <n v="567733500"/>
    <n v="128055.45"/>
    <n v="575550000"/>
    <n v="0.46102599999999999"/>
    <x v="108"/>
    <n v="0.04"/>
    <s v="Bond"/>
    <s v="EURbb"/>
    <d v="2018-03-22T00:00:00"/>
    <x v="72"/>
    <s v="SCBFPFUND43383"/>
  </r>
  <r>
    <d v="2018-10-10T00:00:00"/>
    <x v="7"/>
    <s v="FIXED INCOME"/>
    <x v="1"/>
    <m/>
    <x v="331"/>
    <x v="4"/>
    <s v="A+"/>
    <x v="5"/>
    <n v="988350000"/>
    <n v="22270820"/>
    <n v="994800000"/>
    <n v="7.4865000000000001E-2"/>
    <x v="4"/>
    <n v="2.4"/>
    <s v="Bond"/>
    <s v="USDbb"/>
    <d v="2017-11-07T00:00:00"/>
    <x v="7"/>
    <s v="SCBFPFUND43383"/>
  </r>
  <r>
    <d v="2018-10-10T00:00:00"/>
    <x v="7"/>
    <s v="FIXED INCOME"/>
    <x v="1"/>
    <m/>
    <x v="332"/>
    <x v="5"/>
    <s v="A"/>
    <x v="53"/>
    <n v="1135467000"/>
    <n v="355464.25"/>
    <n v="1146000000"/>
    <n v="0.566442"/>
    <x v="4"/>
    <n v="7.0000000000000007E-2"/>
    <s v="Bond"/>
    <s v="EURbb"/>
    <d v="2018-05-03T00:00:00"/>
    <x v="7"/>
    <s v="SCBFPFUND43383"/>
  </r>
  <r>
    <d v="2018-10-10T00:00:00"/>
    <x v="7"/>
    <s v="FIXED INCOME"/>
    <x v="1"/>
    <m/>
    <x v="94"/>
    <x v="5"/>
    <s v="A"/>
    <x v="21"/>
    <n v="329450000"/>
    <n v="7264372.5"/>
    <n v="327400000"/>
    <n v="0.19070100000000001"/>
    <x v="17"/>
    <n v="2.7"/>
    <s v="Bond"/>
    <s v="USDbb"/>
    <d v="2017-12-21T00:00:00"/>
    <x v="5"/>
    <s v="SCBFPFUND43383"/>
  </r>
  <r>
    <d v="2018-10-10T00:00:00"/>
    <x v="7"/>
    <s v="FIXED INCOME"/>
    <x v="1"/>
    <m/>
    <x v="333"/>
    <x v="5"/>
    <s v="A"/>
    <x v="188"/>
    <n v="658900000"/>
    <n v="1268382.5"/>
    <n v="651600000"/>
    <n v="0.92900700000000003"/>
    <x v="112"/>
    <n v="3.3"/>
    <s v="Bond"/>
    <s v="USDbb"/>
    <d v="2018-09-20T00:00:00"/>
    <x v="3"/>
    <s v="SCBFPFUND43383"/>
  </r>
  <r>
    <d v="2018-10-10T00:00:00"/>
    <x v="7"/>
    <s v="FIXED INCOME"/>
    <x v="1"/>
    <m/>
    <x v="334"/>
    <x v="6"/>
    <s v="AAA(tha)"/>
    <x v="153"/>
    <n v="230000000"/>
    <n v="685589.04"/>
    <n v="230000000"/>
    <n v="0.81595399999999996"/>
    <x v="220"/>
    <n v="1.7"/>
    <s v="Bond"/>
    <s v="THB"/>
    <d v="2018-08-08T00:00:00"/>
    <x v="3"/>
    <s v="SCBFPFUND43383"/>
  </r>
  <r>
    <d v="2018-10-10T00:00:00"/>
    <x v="7"/>
    <s v="FIXED INCOME"/>
    <x v="1"/>
    <m/>
    <x v="201"/>
    <x v="6"/>
    <s v="AAA(tha)"/>
    <x v="95"/>
    <n v="1000000000"/>
    <n v="7602739.7300000004"/>
    <n v="1000000000"/>
    <n v="0.49225600000000003"/>
    <x v="22"/>
    <n v="1.5"/>
    <s v="Bond"/>
    <s v="THB"/>
    <d v="2018-04-09T00:00:00"/>
    <x v="3"/>
    <s v="SCBFPFUND43383"/>
  </r>
  <r>
    <d v="2018-10-10T00:00:00"/>
    <x v="7"/>
    <s v="FIXED INCOME"/>
    <x v="1"/>
    <m/>
    <x v="335"/>
    <x v="6"/>
    <s v="AAA(tha)"/>
    <x v="189"/>
    <n v="1000000000"/>
    <n v="7479452.0499999998"/>
    <n v="1000000000"/>
    <n v="0.50035399999999997"/>
    <x v="22"/>
    <n v="1.5"/>
    <s v="Bond"/>
    <s v="THB"/>
    <d v="2018-04-12T00:00:00"/>
    <x v="3"/>
    <s v="SCBFPFUND43383"/>
  </r>
  <r>
    <d v="2018-10-10T00:00:00"/>
    <x v="7"/>
    <s v="FIXED INCOME"/>
    <x v="1"/>
    <m/>
    <x v="336"/>
    <x v="6"/>
    <s v="AAA(tha)"/>
    <x v="190"/>
    <n v="1000000000"/>
    <n v="7191780.8200000003"/>
    <n v="1000000000"/>
    <n v="0.51924099999999995"/>
    <x v="22"/>
    <n v="1.5"/>
    <s v="Bond"/>
    <s v="THB"/>
    <d v="2018-04-19T00:00:00"/>
    <x v="3"/>
    <s v="SCBFPFUND43383"/>
  </r>
  <r>
    <d v="2018-10-10T00:00:00"/>
    <x v="7"/>
    <s v="FIXED INCOME"/>
    <x v="1"/>
    <m/>
    <x v="337"/>
    <x v="6"/>
    <s v="AAA(tha)"/>
    <x v="191"/>
    <n v="280000000"/>
    <n v="3203506.85"/>
    <n v="280000000"/>
    <n v="0.28635300000000002"/>
    <x v="221"/>
    <n v="1.6"/>
    <s v="Bond"/>
    <s v="THB"/>
    <d v="2018-01-23T00:00:00"/>
    <x v="3"/>
    <s v="SCBFPFUND43383"/>
  </r>
  <r>
    <d v="2018-10-10T00:00:00"/>
    <x v="7"/>
    <s v="FIXED INCOME"/>
    <x v="1"/>
    <m/>
    <x v="248"/>
    <x v="6"/>
    <s v="AAA(tha)"/>
    <x v="75"/>
    <n v="90000000"/>
    <n v="1238794.52"/>
    <n v="90000000"/>
    <n v="0.13941400000000001"/>
    <x v="52"/>
    <n v="1.6"/>
    <s v="Bond"/>
    <s v="THB"/>
    <d v="2017-12-01T00:00:00"/>
    <x v="7"/>
    <s v="SCBFPFUND43383"/>
  </r>
  <r>
    <d v="2018-10-10T00:00:00"/>
    <x v="7"/>
    <s v="FIXED INCOME"/>
    <x v="1"/>
    <m/>
    <x v="338"/>
    <x v="24"/>
    <s v="A+"/>
    <x v="60"/>
    <n v="329450000"/>
    <n v="497835.56"/>
    <n v="324100000"/>
    <n v="0.95936600000000005"/>
    <x v="17"/>
    <n v="3.4"/>
    <s v="Bond"/>
    <s v="USDbb"/>
    <d v="2018-09-25T00:00:00"/>
    <x v="143"/>
    <s v="SCBFPFUND43383"/>
  </r>
  <r>
    <d v="2018-10-10T00:00:00"/>
    <x v="7"/>
    <s v="FIXED INCOME"/>
    <x v="1"/>
    <m/>
    <x v="339"/>
    <x v="4"/>
    <s v="A+"/>
    <x v="35"/>
    <n v="1153075000"/>
    <n v="16335229.17"/>
    <n v="1100750000"/>
    <n v="3.8843999999999997E-2"/>
    <x v="5"/>
    <n v="3"/>
    <s v="Bond"/>
    <s v="USDbb"/>
    <d v="2018-04-24T00:00:00"/>
    <x v="48"/>
    <s v="SCBFPFUND43383"/>
  </r>
  <r>
    <d v="2018-10-10T00:00:00"/>
    <x v="7"/>
    <s v="FIXED INCOME"/>
    <x v="1"/>
    <m/>
    <x v="340"/>
    <x v="9"/>
    <s v="AAA(tha)"/>
    <x v="19"/>
    <n v="132640424.20999999"/>
    <n v="189382.87"/>
    <n v="132640424.20999999"/>
    <n v="0"/>
    <x v="222"/>
    <n v="0"/>
    <s v="Bond"/>
    <s v="THB"/>
    <d v="2010-12-24T00:00:00"/>
    <x v="144"/>
    <s v="SCBFPFUND43383"/>
  </r>
  <r>
    <d v="2018-10-10T00:00:00"/>
    <x v="7"/>
    <s v="FIXED INCOME"/>
    <x v="2"/>
    <m/>
    <x v="251"/>
    <x v="40"/>
    <s v="BBB+"/>
    <x v="68"/>
    <n v="988768190"/>
    <m/>
    <n v="989728190"/>
    <n v="0.44968599999999997"/>
    <x v="22"/>
    <n v="2.282"/>
    <s v="Bond"/>
    <s v="THB"/>
    <d v="2018-06-29T00:00:00"/>
    <x v="17"/>
    <s v="SCBFPFUND43383"/>
  </r>
  <r>
    <d v="2018-10-10T00:00:00"/>
    <x v="7"/>
    <s v="FIXED INCOME"/>
    <x v="4"/>
    <m/>
    <x v="122"/>
    <x v="13"/>
    <m/>
    <x v="71"/>
    <n v="1219449900.0599999"/>
    <m/>
    <n v="1219452101.46"/>
    <n v="0.210337"/>
    <x v="223"/>
    <n v="1.379141"/>
    <s v="Bond"/>
    <s v="THB"/>
    <d v="2018-09-27T00:00:00"/>
    <x v="18"/>
    <s v="SCBFPFUND43383"/>
  </r>
  <r>
    <d v="2018-10-10T00:00:00"/>
    <x v="7"/>
    <s v="FIXED INCOME"/>
    <x v="4"/>
    <m/>
    <x v="43"/>
    <x v="13"/>
    <m/>
    <x v="31"/>
    <n v="70899652.859999999"/>
    <m/>
    <n v="70899652.859999999"/>
    <n v="0.114899"/>
    <x v="224"/>
    <n v="1.23"/>
    <s v="Bond"/>
    <s v="THB"/>
    <d v="2018-05-24T00:00:00"/>
    <x v="19"/>
    <s v="SCBFPFUND43383"/>
  </r>
  <r>
    <d v="2018-10-10T00:00:00"/>
    <x v="7"/>
    <s v="FIXED INCOME"/>
    <x v="4"/>
    <m/>
    <x v="50"/>
    <x v="13"/>
    <m/>
    <x v="34"/>
    <n v="38991325.619999997"/>
    <m/>
    <n v="38991325.619999997"/>
    <n v="1.9174E-2"/>
    <x v="194"/>
    <n v="1.1599999999999999"/>
    <s v="Bond"/>
    <s v="THB"/>
    <d v="2018-04-19T00:00:00"/>
    <x v="19"/>
    <s v="SCBFPFUND43383"/>
  </r>
  <r>
    <d v="2018-10-10T00:00:00"/>
    <x v="7"/>
    <s v="FIXED INCOME"/>
    <x v="4"/>
    <m/>
    <x v="123"/>
    <x v="13"/>
    <m/>
    <x v="20"/>
    <n v="32894018.190000001"/>
    <m/>
    <n v="32891754.719999999"/>
    <n v="0.22930300000000001"/>
    <x v="217"/>
    <n v="1.43"/>
    <s v="Bond"/>
    <s v="THB"/>
    <d v="2018-07-05T00:00:00"/>
    <x v="19"/>
    <s v="SCBFPFUND43383"/>
  </r>
  <r>
    <d v="2018-10-10T00:00:00"/>
    <x v="7"/>
    <s v="FIXED INCOME"/>
    <x v="4"/>
    <m/>
    <x v="293"/>
    <x v="13"/>
    <m/>
    <x v="159"/>
    <n v="118346338.95"/>
    <m/>
    <n v="118395822.72"/>
    <n v="0.34330899999999998"/>
    <x v="225"/>
    <n v="1.4782569999999999"/>
    <s v="Bond"/>
    <s v="THB"/>
    <d v="2018-08-16T00:00:00"/>
    <x v="19"/>
    <s v="SCBFPFUND43383"/>
  </r>
  <r>
    <d v="2018-10-10T00:00:00"/>
    <x v="7"/>
    <s v="FIXED INCOME"/>
    <x v="4"/>
    <m/>
    <x v="294"/>
    <x v="13"/>
    <m/>
    <x v="160"/>
    <n v="689766912.29999995"/>
    <m/>
    <n v="690107111.10000002"/>
    <n v="0.38122200000000001"/>
    <x v="226"/>
    <n v="1.4706859999999999"/>
    <s v="Bond"/>
    <s v="THB"/>
    <d v="2018-08-30T00:00:00"/>
    <x v="19"/>
    <s v="SCBFPFUND43383"/>
  </r>
  <r>
    <d v="2018-10-10T00:00:00"/>
    <x v="7"/>
    <s v="FIXED INCOME"/>
    <x v="4"/>
    <m/>
    <x v="295"/>
    <x v="13"/>
    <m/>
    <x v="93"/>
    <n v="46700208.149999999"/>
    <m/>
    <n v="46706555.030000001"/>
    <n v="0.400171"/>
    <x v="189"/>
    <n v="1.56"/>
    <s v="Bond"/>
    <s v="THB"/>
    <d v="2018-09-06T00:00:00"/>
    <x v="19"/>
    <s v="SCBFPFUND43383"/>
  </r>
  <r>
    <d v="2018-10-10T00:00:00"/>
    <x v="7"/>
    <s v="FIXED INCOME"/>
    <x v="4"/>
    <m/>
    <x v="296"/>
    <x v="13"/>
    <m/>
    <x v="97"/>
    <n v="88356931.390000001"/>
    <m/>
    <n v="88384277.530000001"/>
    <n v="0.43790899999999999"/>
    <x v="227"/>
    <n v="1.5793440000000001"/>
    <s v="Bond"/>
    <s v="THB"/>
    <d v="2018-09-20T00:00:00"/>
    <x v="19"/>
    <s v="SCBFPFUND43383"/>
  </r>
  <r>
    <d v="2018-10-10T00:00:00"/>
    <x v="7"/>
    <s v="FIXED INCOME"/>
    <x v="4"/>
    <m/>
    <x v="297"/>
    <x v="13"/>
    <m/>
    <x v="50"/>
    <n v="137968073.72999999"/>
    <m/>
    <n v="138002750.06"/>
    <n v="0.45685700000000001"/>
    <x v="228"/>
    <n v="1.57"/>
    <s v="Bond"/>
    <s v="THB"/>
    <d v="2018-09-27T00:00:00"/>
    <x v="19"/>
    <s v="SCBFPFUND43383"/>
  </r>
  <r>
    <d v="2018-10-10T00:00:00"/>
    <x v="7"/>
    <s v="FIXED INCOME"/>
    <x v="4"/>
    <m/>
    <x v="298"/>
    <x v="13"/>
    <m/>
    <x v="7"/>
    <n v="963378747.23000002"/>
    <m/>
    <n v="963619399.87"/>
    <n v="0.47568899999999997"/>
    <x v="229"/>
    <n v="1.5974999999999999"/>
    <s v="Bond"/>
    <s v="THB"/>
    <d v="2018-10-04T00:00:00"/>
    <x v="19"/>
    <s v="SCBFPFUND43383"/>
  </r>
  <r>
    <d v="2018-10-10T00:00:00"/>
    <x v="7"/>
    <s v="FIXED INCOME"/>
    <x v="4"/>
    <m/>
    <x v="300"/>
    <x v="13"/>
    <m/>
    <x v="162"/>
    <n v="612082956.39999998"/>
    <m/>
    <n v="612421200"/>
    <n v="0.88699899999999998"/>
    <x v="230"/>
    <n v="1.735233"/>
    <s v="Bond"/>
    <s v="THB"/>
    <d v="2018-09-06T00:00:00"/>
    <x v="7"/>
    <s v="SCBFPFUND43383"/>
  </r>
  <r>
    <d v="2018-10-10T00:00:00"/>
    <x v="7"/>
    <s v="FIXED INCOME"/>
    <x v="16"/>
    <m/>
    <x v="301"/>
    <x v="13"/>
    <m/>
    <x v="97"/>
    <n v="743375999.75999999"/>
    <n v="611508.47999999998"/>
    <n v="744359768.63999999"/>
    <n v="0.43736700000000001"/>
    <x v="231"/>
    <n v="1.403095"/>
    <s v="Bond"/>
    <s v="THB"/>
    <d v="2016-03-21T00:00:00"/>
    <x v="62"/>
    <s v="SCBFPFUND43383"/>
  </r>
  <r>
    <d v="2018-10-10T00:00:00"/>
    <x v="7"/>
    <s v="FIXED INCOME"/>
    <x v="16"/>
    <m/>
    <x v="341"/>
    <x v="13"/>
    <m/>
    <x v="192"/>
    <n v="196433443.80000001"/>
    <n v="334376.46000000002"/>
    <n v="197588637.18000001"/>
    <n v="1.355065"/>
    <x v="232"/>
    <n v="1.4884820000000001"/>
    <s v="Bond"/>
    <s v="THB"/>
    <d v="2018-02-26T00:00:00"/>
    <x v="122"/>
    <s v="SCBFPFUND43383"/>
  </r>
  <r>
    <d v="2018-10-10T00:00:00"/>
    <x v="7"/>
    <s v="FIXED INCOME"/>
    <x v="16"/>
    <m/>
    <x v="302"/>
    <x v="13"/>
    <m/>
    <x v="163"/>
    <n v="895750626.74000001"/>
    <n v="609652.19999999995"/>
    <n v="898699568.94000006"/>
    <n v="1.4304479999999999"/>
    <x v="233"/>
    <n v="1.7205189999999999"/>
    <s v="Bond"/>
    <s v="THB"/>
    <d v="2017-03-27T00:00:00"/>
    <x v="69"/>
    <s v="SCBFPFUND43383"/>
  </r>
  <r>
    <d v="2018-10-10T00:00:00"/>
    <x v="7"/>
    <s v="FIXED INCOME"/>
    <x v="16"/>
    <m/>
    <x v="303"/>
    <x v="12"/>
    <s v="BBB+"/>
    <x v="164"/>
    <n v="721172845.25999999"/>
    <n v="2112698.52"/>
    <n v="721941336"/>
    <n v="2.6990980000000002"/>
    <x v="134"/>
    <n v="1.2076089999999999"/>
    <s v="Bond"/>
    <s v="THB"/>
    <d v="2011-07-14T00:00:00"/>
    <x v="117"/>
    <s v="SCBFPFUND43383"/>
  </r>
  <r>
    <d v="2018-10-10T00:00:00"/>
    <x v="7"/>
    <s v="FIXED INCOME"/>
    <x v="16"/>
    <m/>
    <x v="342"/>
    <x v="12"/>
    <s v="BBB+"/>
    <x v="193"/>
    <n v="785588355.25999999"/>
    <n v="10910648.66"/>
    <n v="786109553.01999998"/>
    <n v="0.25268499999999999"/>
    <x v="234"/>
    <n v="1.4112880000000001"/>
    <s v="Bond"/>
    <s v="THB"/>
    <d v="2007-01-12T00:00:00"/>
    <x v="145"/>
    <s v="SCBFPFUND43383"/>
  </r>
  <r>
    <d v="2018-10-10T00:00:00"/>
    <x v="7"/>
    <s v="FIXED INCOME"/>
    <x v="16"/>
    <m/>
    <x v="343"/>
    <x v="12"/>
    <s v="BBB+"/>
    <x v="194"/>
    <n v="160505841.61000001"/>
    <n v="496760.61"/>
    <n v="160540759.36000001"/>
    <n v="0.40238099999999999"/>
    <x v="235"/>
    <n v="1.486116"/>
    <s v="Bond"/>
    <s v="THB"/>
    <d v="2011-11-04T00:00:00"/>
    <x v="146"/>
    <s v="SCBFPFUND43383"/>
  </r>
  <r>
    <d v="2018-10-10T00:00:00"/>
    <x v="7"/>
    <s v="FIXED INCOME"/>
    <x v="16"/>
    <m/>
    <x v="256"/>
    <x v="12"/>
    <s v="BBB+"/>
    <x v="134"/>
    <n v="3545235304.5700002"/>
    <n v="26245918.739999998"/>
    <n v="3560964865.4499998"/>
    <n v="1.6547639999999999"/>
    <x v="236"/>
    <n v="1.6983729999999999"/>
    <s v="Bond"/>
    <s v="THB"/>
    <d v="2015-06-26T00:00:00"/>
    <x v="124"/>
    <s v="SCBFPFUND43383"/>
  </r>
  <r>
    <d v="2018-10-10T00:00:00"/>
    <x v="7"/>
    <s v="FIXED INCOME"/>
    <x v="16"/>
    <m/>
    <x v="344"/>
    <x v="12"/>
    <s v="BBB+"/>
    <x v="195"/>
    <n v="609911081.77999997"/>
    <n v="6762800"/>
    <n v="618736390.02999997"/>
    <n v="2.974431"/>
    <x v="237"/>
    <n v="1.662968"/>
    <s v="Bond"/>
    <s v="THB"/>
    <d v="2010-11-19T00:00:00"/>
    <x v="147"/>
    <s v="SCBFPFUND43383"/>
  </r>
  <r>
    <d v="2018-10-10T00:00:00"/>
    <x v="7"/>
    <s v="FIXED INCOME"/>
    <x v="16"/>
    <m/>
    <x v="304"/>
    <x v="12"/>
    <s v="BBB+"/>
    <x v="165"/>
    <n v="1669336920.3"/>
    <n v="10100335.5"/>
    <n v="1688424281.4000001"/>
    <n v="3.5141149999999999"/>
    <x v="238"/>
    <n v="1.9837039999999999"/>
    <s v="Bond"/>
    <s v="THB"/>
    <d v="2016-07-15T00:00:00"/>
    <x v="136"/>
    <s v="SCBFPFUND43383"/>
  </r>
  <r>
    <d v="2018-10-10T00:00:00"/>
    <x v="7"/>
    <s v="FIXED INCOME"/>
    <x v="16"/>
    <m/>
    <x v="305"/>
    <x v="12"/>
    <s v="BBB+"/>
    <x v="166"/>
    <n v="233703498.27000001"/>
    <n v="1506409.92"/>
    <n v="238211269.08000001"/>
    <n v="3.961233"/>
    <x v="239"/>
    <n v="1.8714660000000001"/>
    <s v="Bond"/>
    <s v="THB"/>
    <d v="2017-08-04T00:00:00"/>
    <x v="137"/>
    <s v="SCBFPFUND43383"/>
  </r>
  <r>
    <d v="2018-10-10T00:00:00"/>
    <x v="7"/>
    <s v="FIXED INCOME"/>
    <x v="16"/>
    <m/>
    <x v="306"/>
    <x v="12"/>
    <s v="BBB+"/>
    <x v="167"/>
    <n v="205576311.56"/>
    <n v="744986.64"/>
    <n v="206599159.24000001"/>
    <n v="4.8279420000000002"/>
    <x v="240"/>
    <n v="2.3401049999999999"/>
    <s v="Bond"/>
    <s v="THB"/>
    <d v="2018-08-17T00:00:00"/>
    <x v="138"/>
    <s v="SCBFPFUND43383"/>
  </r>
  <r>
    <d v="2018-10-10T00:00:00"/>
    <x v="7"/>
    <s v="FIXED INCOME"/>
    <x v="16"/>
    <m/>
    <x v="345"/>
    <x v="74"/>
    <m/>
    <x v="196"/>
    <n v="97301264"/>
    <n v="70192"/>
    <n v="100000000"/>
    <n v="3.782435"/>
    <x v="45"/>
    <n v="1.83"/>
    <s v="Bond"/>
    <s v="THB"/>
    <d v="2017-09-27T00:00:00"/>
    <x v="22"/>
    <s v="SCBFPFUND43383"/>
  </r>
  <r>
    <d v="2018-10-10T00:00:00"/>
    <x v="7"/>
    <s v="FIXED INCOME"/>
    <x v="5"/>
    <m/>
    <x v="346"/>
    <x v="75"/>
    <s v="A-"/>
    <x v="197"/>
    <n v="148570570.5"/>
    <n v="788917.5"/>
    <n v="150000000"/>
    <n v="2.6589749999999999"/>
    <x v="11"/>
    <n v="2.37"/>
    <s v="Bond"/>
    <s v="THB"/>
    <d v="2016-07-22T00:00:00"/>
    <x v="22"/>
    <s v="SCBFPFUND43383"/>
  </r>
  <r>
    <d v="2018-10-10T00:00:00"/>
    <x v="7"/>
    <s v="FIXED INCOME"/>
    <x v="5"/>
    <m/>
    <x v="347"/>
    <x v="76"/>
    <m/>
    <x v="198"/>
    <n v="1498848435"/>
    <n v="4684935"/>
    <n v="1499896770"/>
    <n v="0.83431299999999997"/>
    <x v="21"/>
    <n v="1.9971460000000001"/>
    <s v="Bond"/>
    <s v="THB"/>
    <d v="2016-08-15T00:00:00"/>
    <x v="62"/>
    <s v="SCBFPFUND43383"/>
  </r>
  <r>
    <d v="2018-10-10T00:00:00"/>
    <x v="7"/>
    <s v="FIXED INCOME"/>
    <x v="5"/>
    <m/>
    <x v="348"/>
    <x v="72"/>
    <m/>
    <x v="199"/>
    <n v="599158590"/>
    <n v="2638356"/>
    <n v="599994036"/>
    <n v="1.3499570000000001"/>
    <x v="126"/>
    <n v="2.1338140000000001"/>
    <s v="Bond"/>
    <s v="THB"/>
    <d v="2016-01-28T00:00:00"/>
    <x v="148"/>
    <s v="SCBFPFUND43383"/>
  </r>
  <r>
    <d v="2018-10-10T00:00:00"/>
    <x v="7"/>
    <s v="FIXED INCOME"/>
    <x v="5"/>
    <m/>
    <x v="349"/>
    <x v="72"/>
    <m/>
    <x v="200"/>
    <n v="247641255"/>
    <n v="1876712.5"/>
    <n v="250000000"/>
    <n v="2.054233"/>
    <x v="241"/>
    <n v="2"/>
    <s v="Bond"/>
    <s v="THB"/>
    <d v="2016-05-27T00:00:00"/>
    <x v="149"/>
    <s v="SCBFPFUND43383"/>
  </r>
  <r>
    <d v="2018-10-10T00:00:00"/>
    <x v="7"/>
    <s v="FIXED INCOME"/>
    <x v="5"/>
    <m/>
    <x v="350"/>
    <x v="77"/>
    <s v="A+"/>
    <x v="201"/>
    <n v="10356022.199999999"/>
    <n v="123090.4"/>
    <n v="10568781.699999999"/>
    <n v="3.3849580000000001"/>
    <x v="17"/>
    <n v="2.2200000000000002"/>
    <s v="Bond"/>
    <s v="THB"/>
    <d v="2015-06-16T00:00:00"/>
    <x v="74"/>
    <s v="SCBFPFUND43383"/>
  </r>
  <r>
    <d v="2018-10-10T00:00:00"/>
    <x v="7"/>
    <s v="FIXED INCOME"/>
    <x v="5"/>
    <m/>
    <x v="351"/>
    <x v="78"/>
    <s v="A-"/>
    <x v="202"/>
    <n v="120528062.40000001"/>
    <n v="1524295.48"/>
    <n v="119929287.59999999"/>
    <n v="1.4899279999999999"/>
    <x v="114"/>
    <n v="2.72"/>
    <s v="Bond"/>
    <s v="THB"/>
    <d v="2017-04-21T00:00:00"/>
    <x v="69"/>
    <s v="SCBFPFUND43383"/>
  </r>
  <r>
    <d v="2018-10-10T00:00:00"/>
    <x v="7"/>
    <s v="FIXED INCOME"/>
    <x v="5"/>
    <m/>
    <x v="352"/>
    <x v="78"/>
    <s v="A-"/>
    <x v="203"/>
    <n v="70544149.900000006"/>
    <n v="995342.31"/>
    <n v="70000000"/>
    <n v="2.4224559999999999"/>
    <x v="8"/>
    <n v="3"/>
    <s v="Bond"/>
    <s v="THB"/>
    <d v="2017-04-21T00:00:00"/>
    <x v="121"/>
    <s v="SCBFPFUND43383"/>
  </r>
  <r>
    <d v="2018-10-10T00:00:00"/>
    <x v="7"/>
    <s v="FIXED INCOME"/>
    <x v="5"/>
    <m/>
    <x v="353"/>
    <x v="78"/>
    <s v="A-"/>
    <x v="204"/>
    <n v="50455648.5"/>
    <n v="770205.53"/>
    <n v="50000000"/>
    <n v="3.3154560000000002"/>
    <x v="3"/>
    <n v="3.25"/>
    <s v="Bond"/>
    <s v="THB"/>
    <d v="2017-04-21T00:00:00"/>
    <x v="22"/>
    <s v="SCBFPFUND43383"/>
  </r>
  <r>
    <d v="2018-10-10T00:00:00"/>
    <x v="7"/>
    <s v="FIXED INCOME"/>
    <x v="5"/>
    <m/>
    <x v="354"/>
    <x v="79"/>
    <s v="A"/>
    <x v="205"/>
    <n v="966256411.10000002"/>
    <n v="6976026.5999999996"/>
    <n v="969948347.5"/>
    <n v="2.5881409999999998"/>
    <x v="242"/>
    <n v="2.5"/>
    <s v="Bond"/>
    <s v="THB"/>
    <d v="2018-06-28T00:00:00"/>
    <x v="69"/>
    <s v="SCBFPFUND43383"/>
  </r>
  <r>
    <d v="2018-10-10T00:00:00"/>
    <x v="7"/>
    <s v="FIXED INCOME"/>
    <x v="5"/>
    <m/>
    <x v="243"/>
    <x v="39"/>
    <s v="BBB+"/>
    <x v="128"/>
    <n v="359125416.64999998"/>
    <n v="5000819.74"/>
    <n v="359000000"/>
    <n v="0.12844700000000001"/>
    <x v="243"/>
    <n v="2.2799999999999998"/>
    <s v="Bond"/>
    <s v="THB"/>
    <d v="2018-03-02T00:00:00"/>
    <x v="17"/>
    <s v="SCBFPFUND43383"/>
  </r>
  <r>
    <d v="2018-10-10T00:00:00"/>
    <x v="7"/>
    <s v="FIXED INCOME"/>
    <x v="5"/>
    <m/>
    <x v="244"/>
    <x v="39"/>
    <s v="BBB+"/>
    <x v="34"/>
    <n v="653013621.58000004"/>
    <n v="5115765.25"/>
    <n v="653000000"/>
    <n v="1.9172000000000002E-2"/>
    <x v="244"/>
    <n v="2.15"/>
    <s v="Bond"/>
    <s v="THB"/>
    <d v="2018-05-31T00:00:00"/>
    <x v="125"/>
    <s v="SCBFPFUND43383"/>
  </r>
  <r>
    <d v="2018-10-10T00:00:00"/>
    <x v="7"/>
    <s v="FIXED INCOME"/>
    <x v="5"/>
    <m/>
    <x v="284"/>
    <x v="39"/>
    <s v="BBB+"/>
    <x v="67"/>
    <n v="341044500.5"/>
    <n v="3438026.79"/>
    <n v="341000000"/>
    <n v="0.29935499999999998"/>
    <x v="245"/>
    <n v="2.2999999999999998"/>
    <s v="Bond"/>
    <s v="THB"/>
    <d v="2018-05-04T00:00:00"/>
    <x v="17"/>
    <s v="SCBFPFUND43383"/>
  </r>
  <r>
    <d v="2018-10-10T00:00:00"/>
    <x v="7"/>
    <s v="FIXED INCOME"/>
    <x v="5"/>
    <m/>
    <x v="245"/>
    <x v="39"/>
    <s v="BBB+"/>
    <x v="67"/>
    <n v="1418199384.98"/>
    <n v="12152061.48"/>
    <n v="1417958636.9400001"/>
    <n v="0.29935499999999998"/>
    <x v="246"/>
    <n v="2.2901199999999999"/>
    <s v="Bond"/>
    <s v="THB"/>
    <d v="2018-05-28T00:00:00"/>
    <x v="73"/>
    <s v="SCBFPFUND43383"/>
  </r>
  <r>
    <d v="2018-10-10T00:00:00"/>
    <x v="7"/>
    <s v="FIXED INCOME"/>
    <x v="5"/>
    <m/>
    <x v="355"/>
    <x v="39"/>
    <s v="BBB+"/>
    <x v="206"/>
    <n v="20199448.600000001"/>
    <n v="346816.4"/>
    <n v="20266286"/>
    <n v="3.6681819999999998"/>
    <x v="112"/>
    <n v="3.75"/>
    <s v="Bond"/>
    <s v="THB"/>
    <d v="2015-11-10T00:00:00"/>
    <x v="74"/>
    <s v="SCBFPFUND43383"/>
  </r>
  <r>
    <d v="2018-10-10T00:00:00"/>
    <x v="7"/>
    <s v="FIXED INCOME"/>
    <x v="5"/>
    <m/>
    <x v="246"/>
    <x v="40"/>
    <s v="BBB+"/>
    <x v="27"/>
    <n v="119061569.41"/>
    <n v="1469730.92"/>
    <n v="119000000"/>
    <n v="0.19100300000000001"/>
    <x v="225"/>
    <n v="2.2999999999999998"/>
    <s v="Bond"/>
    <s v="THB"/>
    <d v="2018-03-29T00:00:00"/>
    <x v="56"/>
    <s v="SCBFPFUND43383"/>
  </r>
  <r>
    <d v="2018-10-10T00:00:00"/>
    <x v="7"/>
    <s v="FIXED INCOME"/>
    <x v="5"/>
    <m/>
    <x v="148"/>
    <x v="40"/>
    <s v="BBB+"/>
    <x v="67"/>
    <n v="423960640.07999998"/>
    <n v="3633620.64"/>
    <n v="424000000"/>
    <n v="0.29928500000000002"/>
    <x v="247"/>
    <n v="2.2999999999999998"/>
    <s v="Bond"/>
    <s v="THB"/>
    <d v="2018-05-28T00:00:00"/>
    <x v="73"/>
    <s v="SCBFPFUND43383"/>
  </r>
  <r>
    <d v="2018-10-10T00:00:00"/>
    <x v="7"/>
    <s v="FIXED INCOME"/>
    <x v="5"/>
    <m/>
    <x v="149"/>
    <x v="40"/>
    <s v="BBB+"/>
    <x v="86"/>
    <n v="717091909.5"/>
    <n v="5094849.0199999996"/>
    <n v="718000000"/>
    <n v="2.638757"/>
    <x v="248"/>
    <n v="3.7"/>
    <s v="Bond"/>
    <s v="THB"/>
    <d v="2018-08-02T00:00:00"/>
    <x v="69"/>
    <s v="SCBFPFUND43383"/>
  </r>
  <r>
    <d v="2018-10-10T00:00:00"/>
    <x v="7"/>
    <s v="FIXED INCOME"/>
    <x v="5"/>
    <m/>
    <x v="356"/>
    <x v="9"/>
    <s v="AAA(tha)"/>
    <x v="81"/>
    <n v="119273492.40000001"/>
    <n v="184635.6"/>
    <n v="120000000"/>
    <n v="2.343226"/>
    <x v="114"/>
    <n v="2.16"/>
    <s v="Bond"/>
    <s v="THB"/>
    <d v="2016-03-15T00:00:00"/>
    <x v="22"/>
    <s v="SCBFPFUND43383"/>
  </r>
  <r>
    <d v="2018-10-10T00:00:00"/>
    <x v="7"/>
    <s v="FIXED INCOME"/>
    <x v="5"/>
    <m/>
    <x v="150"/>
    <x v="41"/>
    <s v="A-"/>
    <x v="87"/>
    <n v="144749904.19999999"/>
    <n v="726560.24"/>
    <n v="146000000"/>
    <n v="2.4463970000000002"/>
    <x v="249"/>
    <n v="2.39"/>
    <s v="Bond"/>
    <s v="THB"/>
    <d v="2018-04-27T00:00:00"/>
    <x v="69"/>
    <s v="SCBFPFUND43383"/>
  </r>
  <r>
    <d v="2018-10-10T00:00:00"/>
    <x v="7"/>
    <s v="FIXED INCOME"/>
    <x v="5"/>
    <m/>
    <x v="151"/>
    <x v="42"/>
    <s v="A"/>
    <x v="88"/>
    <n v="597452582.29999995"/>
    <n v="410022.2"/>
    <n v="602000000"/>
    <n v="2.3912019999999998"/>
    <x v="250"/>
    <n v="2.2599999999999998"/>
    <s v="Bond"/>
    <s v="THB"/>
    <d v="2018-03-30T00:00:00"/>
    <x v="69"/>
    <s v="SCBFPFUND43383"/>
  </r>
  <r>
    <d v="2018-10-10T00:00:00"/>
    <x v="7"/>
    <s v="FIXED INCOME"/>
    <x v="5"/>
    <m/>
    <x v="152"/>
    <x v="43"/>
    <s v="A-"/>
    <x v="89"/>
    <n v="59483055.420000002"/>
    <n v="290668.21999999997"/>
    <n v="59000000"/>
    <n v="1.7822849999999999"/>
    <x v="251"/>
    <n v="3.33"/>
    <s v="Bond"/>
    <s v="THB"/>
    <d v="2017-08-18T00:00:00"/>
    <x v="69"/>
    <s v="SCBFPFUND43383"/>
  </r>
  <r>
    <d v="2018-10-10T00:00:00"/>
    <x v="7"/>
    <s v="FIXED INCOME"/>
    <x v="5"/>
    <m/>
    <x v="215"/>
    <x v="52"/>
    <s v="A"/>
    <x v="103"/>
    <n v="51189896.869999997"/>
    <n v="19301.689999999999"/>
    <n v="51539676.119999997"/>
    <n v="1.9235519999999999"/>
    <x v="252"/>
    <n v="2.2415530000000001"/>
    <s v="Bond"/>
    <s v="THB"/>
    <d v="2017-10-05T00:00:00"/>
    <x v="69"/>
    <s v="SCBFPFUND43383"/>
  </r>
  <r>
    <d v="2018-10-10T00:00:00"/>
    <x v="7"/>
    <s v="FIXED INCOME"/>
    <x v="5"/>
    <m/>
    <x v="357"/>
    <x v="80"/>
    <s v="AA"/>
    <x v="207"/>
    <n v="134815209.30000001"/>
    <n v="552020.4"/>
    <n v="135000000"/>
    <n v="0.78525199999999995"/>
    <x v="253"/>
    <n v="1.99"/>
    <s v="Bond"/>
    <s v="THB"/>
    <d v="2016-07-28T00:00:00"/>
    <x v="62"/>
    <s v="SCBFPFUND43383"/>
  </r>
  <r>
    <d v="2018-10-10T00:00:00"/>
    <x v="7"/>
    <s v="FIXED INCOME"/>
    <x v="5"/>
    <m/>
    <x v="258"/>
    <x v="25"/>
    <s v="A+"/>
    <x v="136"/>
    <n v="49611366.719999999"/>
    <n v="567636"/>
    <n v="48124094.399999999"/>
    <n v="1.6516580000000001"/>
    <x v="254"/>
    <n v="4.1895449999999999"/>
    <s v="Bond"/>
    <s v="THB"/>
    <d v="2014-07-04T00:00:00"/>
    <x v="127"/>
    <s v="SCBFPFUND43383"/>
  </r>
  <r>
    <d v="2018-10-10T00:00:00"/>
    <x v="7"/>
    <s v="FIXED INCOME"/>
    <x v="5"/>
    <m/>
    <x v="358"/>
    <x v="0"/>
    <s v="AAA"/>
    <x v="138"/>
    <n v="49969980.5"/>
    <n v="292657.5"/>
    <n v="50000000"/>
    <n v="0.69083600000000001"/>
    <x v="3"/>
    <n v="1.96"/>
    <s v="Bond"/>
    <s v="THB"/>
    <d v="2016-06-24T00:00:00"/>
    <x v="62"/>
    <s v="SCBFPFUND43383"/>
  </r>
  <r>
    <d v="2018-10-10T00:00:00"/>
    <x v="7"/>
    <s v="FIXED INCOME"/>
    <x v="5"/>
    <m/>
    <x v="219"/>
    <x v="0"/>
    <s v="AAA"/>
    <x v="107"/>
    <n v="505193200.39999998"/>
    <n v="4169897.97"/>
    <n v="511000000"/>
    <n v="1.9931779999999999"/>
    <x v="255"/>
    <n v="1.85"/>
    <s v="Bond"/>
    <s v="THB"/>
    <d v="2017-11-03T00:00:00"/>
    <x v="69"/>
    <s v="SCBFPFUND43383"/>
  </r>
  <r>
    <d v="2018-10-10T00:00:00"/>
    <x v="7"/>
    <s v="FIXED INCOME"/>
    <x v="5"/>
    <m/>
    <x v="359"/>
    <x v="0"/>
    <s v="AAA"/>
    <x v="208"/>
    <n v="586647015.14999998"/>
    <n v="2397445.4"/>
    <n v="595000000"/>
    <n v="2.2177069999999999"/>
    <x v="256"/>
    <n v="1.91"/>
    <s v="Bond"/>
    <s v="THB"/>
    <d v="2018-01-26T00:00:00"/>
    <x v="69"/>
    <s v="SCBFPFUND43383"/>
  </r>
  <r>
    <d v="2018-10-10T00:00:00"/>
    <x v="7"/>
    <s v="FIXED INCOME"/>
    <x v="5"/>
    <m/>
    <x v="360"/>
    <x v="0"/>
    <s v="AAA"/>
    <x v="209"/>
    <n v="988883230"/>
    <n v="5534790"/>
    <n v="1000000000"/>
    <n v="2.6382789999999998"/>
    <x v="22"/>
    <n v="2.2200000000000002"/>
    <s v="Bond"/>
    <s v="THB"/>
    <d v="2018-07-12T00:00:00"/>
    <x v="69"/>
    <s v="SCBFPFUND43383"/>
  </r>
  <r>
    <d v="2018-10-10T00:00:00"/>
    <x v="7"/>
    <s v="FIXED INCOME"/>
    <x v="5"/>
    <m/>
    <x v="361"/>
    <x v="81"/>
    <s v="A-"/>
    <x v="210"/>
    <n v="12108924.6"/>
    <n v="71710.679999999993"/>
    <n v="12115546.08"/>
    <n v="2.1995619999999998"/>
    <x v="157"/>
    <n v="2.4300000000000002"/>
    <s v="Bond"/>
    <s v="THB"/>
    <d v="2016-01-27T00:00:00"/>
    <x v="124"/>
    <s v="SCBFPFUND43383"/>
  </r>
  <r>
    <d v="2018-10-10T00:00:00"/>
    <x v="7"/>
    <s v="FIXED INCOME"/>
    <x v="5"/>
    <m/>
    <x v="362"/>
    <x v="81"/>
    <s v="A-"/>
    <x v="211"/>
    <n v="230697010.44"/>
    <n v="1807504.92"/>
    <n v="234000000"/>
    <n v="3.9191639999999999"/>
    <x v="257"/>
    <n v="2.54"/>
    <s v="Bond"/>
    <s v="THB"/>
    <d v="2017-12-22T00:00:00"/>
    <x v="22"/>
    <s v="SCBFPFUND43383"/>
  </r>
  <r>
    <d v="2018-10-10T00:00:00"/>
    <x v="7"/>
    <s v="FIXED INCOME"/>
    <x v="5"/>
    <m/>
    <x v="363"/>
    <x v="53"/>
    <s v="A"/>
    <x v="212"/>
    <n v="208856455.5"/>
    <n v="1580350.8"/>
    <n v="209986093.80000001"/>
    <n v="2.5754860000000002"/>
    <x v="258"/>
    <n v="2.5204879999999998"/>
    <s v="Bond"/>
    <s v="THB"/>
    <d v="2016-06-24T00:00:00"/>
    <x v="22"/>
    <s v="SCBFPFUND43383"/>
  </r>
  <r>
    <d v="2018-10-10T00:00:00"/>
    <x v="7"/>
    <s v="FIXED INCOME"/>
    <x v="5"/>
    <m/>
    <x v="309"/>
    <x v="53"/>
    <s v="A"/>
    <x v="170"/>
    <n v="142845872.75"/>
    <n v="357931.05"/>
    <n v="145000000"/>
    <n v="3.6665969999999999"/>
    <x v="171"/>
    <n v="2.65"/>
    <s v="Bond"/>
    <s v="THB"/>
    <d v="2017-09-07T00:00:00"/>
    <x v="22"/>
    <s v="SCBFPFUND43383"/>
  </r>
  <r>
    <d v="2018-10-10T00:00:00"/>
    <x v="7"/>
    <s v="FIXED INCOME"/>
    <x v="5"/>
    <m/>
    <x v="220"/>
    <x v="53"/>
    <s v="A"/>
    <x v="108"/>
    <n v="224817345.06"/>
    <n v="93411.78"/>
    <n v="231000000"/>
    <n v="4.2007459999999996"/>
    <x v="259"/>
    <n v="2.46"/>
    <s v="Bond"/>
    <s v="THB"/>
    <d v="2018-04-05T00:00:00"/>
    <x v="22"/>
    <s v="SCBFPFUND43383"/>
  </r>
  <r>
    <d v="2018-10-10T00:00:00"/>
    <x v="7"/>
    <s v="FIXED INCOME"/>
    <x v="5"/>
    <m/>
    <x v="262"/>
    <x v="45"/>
    <s v="A+"/>
    <x v="140"/>
    <n v="811423423.10000002"/>
    <n v="1767761.03"/>
    <n v="815555273.46000004"/>
    <n v="0.88680099999999995"/>
    <x v="260"/>
    <n v="1.7201850000000001"/>
    <s v="Bond"/>
    <s v="THB"/>
    <d v="2016-09-07T00:00:00"/>
    <x v="62"/>
    <s v="SCBFPFUND43383"/>
  </r>
  <r>
    <d v="2018-10-10T00:00:00"/>
    <x v="7"/>
    <s v="FIXED INCOME"/>
    <x v="5"/>
    <m/>
    <x v="154"/>
    <x v="45"/>
    <s v="A+"/>
    <x v="90"/>
    <n v="490393977.63"/>
    <n v="4538320.9800000004"/>
    <n v="494747534.85000002"/>
    <n v="1.5990059999999999"/>
    <x v="261"/>
    <n v="1.9830779999999999"/>
    <s v="Bond"/>
    <s v="THB"/>
    <d v="2016-12-08T00:00:00"/>
    <x v="75"/>
    <s v="SCBFPFUND43383"/>
  </r>
  <r>
    <d v="2018-10-10T00:00:00"/>
    <x v="7"/>
    <s v="FIXED INCOME"/>
    <x v="5"/>
    <m/>
    <x v="221"/>
    <x v="45"/>
    <s v="A+"/>
    <x v="109"/>
    <n v="139371874.59999999"/>
    <n v="350805"/>
    <n v="142413152"/>
    <n v="2.7651870000000001"/>
    <x v="119"/>
    <n v="2.0785710000000002"/>
    <s v="Bond"/>
    <s v="THB"/>
    <d v="2016-09-07T00:00:00"/>
    <x v="22"/>
    <s v="SCBFPFUND43383"/>
  </r>
  <r>
    <d v="2018-10-10T00:00:00"/>
    <x v="7"/>
    <s v="FIXED INCOME"/>
    <x v="5"/>
    <m/>
    <x v="364"/>
    <x v="45"/>
    <s v="A+"/>
    <x v="213"/>
    <n v="46017205.799999997"/>
    <n v="69237.22"/>
    <n v="47264428.270000003"/>
    <n v="3.2379530000000001"/>
    <x v="262"/>
    <n v="2.16"/>
    <s v="Bond"/>
    <s v="THB"/>
    <d v="2017-03-24T00:00:00"/>
    <x v="22"/>
    <s v="SCBFPFUND43383"/>
  </r>
  <r>
    <d v="2018-10-10T00:00:00"/>
    <x v="7"/>
    <s v="FIXED INCOME"/>
    <x v="5"/>
    <m/>
    <x v="155"/>
    <x v="46"/>
    <s v="A"/>
    <x v="91"/>
    <n v="50798130"/>
    <n v="723287.5"/>
    <n v="50000000"/>
    <n v="1.05698"/>
    <x v="3"/>
    <n v="3.52"/>
    <s v="Bond"/>
    <s v="THB"/>
    <d v="2014-11-14T00:00:00"/>
    <x v="22"/>
    <s v="SCBFPFUND43383"/>
  </r>
  <r>
    <d v="2018-10-10T00:00:00"/>
    <x v="7"/>
    <s v="FIXED INCOME"/>
    <x v="5"/>
    <m/>
    <x v="365"/>
    <x v="46"/>
    <s v="A"/>
    <x v="214"/>
    <n v="59807114.399999999"/>
    <n v="323506.8"/>
    <n v="60410710.200000003"/>
    <n v="1.7218830000000001"/>
    <x v="50"/>
    <n v="2"/>
    <s v="Bond"/>
    <s v="THB"/>
    <d v="2017-07-21T00:00:00"/>
    <x v="69"/>
    <s v="SCBFPFUND43383"/>
  </r>
  <r>
    <d v="2018-10-10T00:00:00"/>
    <x v="7"/>
    <s v="FIXED INCOME"/>
    <x v="5"/>
    <m/>
    <x v="223"/>
    <x v="46"/>
    <s v="A"/>
    <x v="111"/>
    <n v="555970777.60000002"/>
    <n v="4904984"/>
    <n v="560177671.20000005"/>
    <n v="2.5065400000000002"/>
    <x v="263"/>
    <n v="2.2832590000000001"/>
    <s v="Bond"/>
    <s v="THB"/>
    <d v="2016-05-25T00:00:00"/>
    <x v="22"/>
    <s v="SCBFPFUND43383"/>
  </r>
  <r>
    <d v="2018-10-10T00:00:00"/>
    <x v="7"/>
    <s v="FIXED INCOME"/>
    <x v="5"/>
    <m/>
    <x v="224"/>
    <x v="46"/>
    <s v="A"/>
    <x v="112"/>
    <n v="98157566.359999999"/>
    <n v="649485.19999999995"/>
    <n v="98000000"/>
    <n v="3.5307789999999999"/>
    <x v="51"/>
    <n v="2.95"/>
    <s v="Bond"/>
    <s v="THB"/>
    <d v="2017-07-21T00:00:00"/>
    <x v="22"/>
    <s v="SCBFPFUND43383"/>
  </r>
  <r>
    <d v="2018-10-10T00:00:00"/>
    <x v="7"/>
    <s v="FIXED INCOME"/>
    <x v="5"/>
    <m/>
    <x v="225"/>
    <x v="46"/>
    <s v="A"/>
    <x v="113"/>
    <n v="45941080.130000003"/>
    <n v="42183.91"/>
    <n v="47000000"/>
    <n v="4.1755339999999999"/>
    <x v="189"/>
    <n v="2.52"/>
    <s v="Bond"/>
    <s v="THB"/>
    <d v="2018-03-28T00:00:00"/>
    <x v="22"/>
    <s v="SCBFPFUND43383"/>
  </r>
  <r>
    <d v="2018-10-10T00:00:00"/>
    <x v="7"/>
    <s v="FIXED INCOME"/>
    <x v="5"/>
    <m/>
    <x v="227"/>
    <x v="26"/>
    <s v="A"/>
    <x v="115"/>
    <n v="85358233.599999994"/>
    <n v="564725.88"/>
    <n v="86000000"/>
    <n v="2.1256740000000001"/>
    <x v="264"/>
    <n v="2.2400000000000002"/>
    <s v="Bond"/>
    <s v="THB"/>
    <d v="2017-12-26T00:00:00"/>
    <x v="69"/>
    <s v="SCBFPFUND43383"/>
  </r>
  <r>
    <d v="2018-10-10T00:00:00"/>
    <x v="7"/>
    <s v="FIXED INCOME"/>
    <x v="5"/>
    <m/>
    <x v="228"/>
    <x v="55"/>
    <s v="A-"/>
    <x v="116"/>
    <n v="574170166.97000003"/>
    <n v="4159777.64"/>
    <n v="577000000"/>
    <n v="1.624603"/>
    <x v="265"/>
    <n v="2.23"/>
    <s v="Bond"/>
    <s v="THB"/>
    <d v="2018-06-15T00:00:00"/>
    <x v="66"/>
    <s v="SCBFPFUND43383"/>
  </r>
  <r>
    <d v="2018-10-10T00:00:00"/>
    <x v="7"/>
    <s v="FIXED INCOME"/>
    <x v="5"/>
    <m/>
    <x v="366"/>
    <x v="82"/>
    <s v="A"/>
    <x v="215"/>
    <n v="59262407.399999999"/>
    <n v="483945"/>
    <n v="60000000"/>
    <n v="2.5535399999999999"/>
    <x v="50"/>
    <n v="2.56"/>
    <s v="Bond"/>
    <s v="THB"/>
    <d v="2018-06-18T00:00:00"/>
    <x v="69"/>
    <s v="SCBFPFUND43383"/>
  </r>
  <r>
    <d v="2018-10-10T00:00:00"/>
    <x v="7"/>
    <s v="FIXED INCOME"/>
    <x v="5"/>
    <m/>
    <x v="264"/>
    <x v="14"/>
    <s v="A+"/>
    <x v="141"/>
    <n v="523023742.88"/>
    <n v="2992466.88"/>
    <n v="517372477.36000001"/>
    <n v="0.84761699999999995"/>
    <x v="266"/>
    <n v="3.4506480000000002"/>
    <s v="Bond"/>
    <s v="THB"/>
    <d v="2014-08-22T00:00:00"/>
    <x v="22"/>
    <s v="SCBFPFUND43383"/>
  </r>
  <r>
    <d v="2018-10-10T00:00:00"/>
    <x v="7"/>
    <s v="FIXED INCOME"/>
    <x v="5"/>
    <m/>
    <x v="367"/>
    <x v="14"/>
    <s v="A+"/>
    <x v="142"/>
    <n v="26329737.25"/>
    <n v="572876.75"/>
    <n v="26453561.25"/>
    <n v="1.914709"/>
    <x v="16"/>
    <n v="2.1800000000000002"/>
    <s v="Bond"/>
    <s v="THB"/>
    <d v="2013-10-31T00:00:00"/>
    <x v="74"/>
    <s v="SCBFPFUND43383"/>
  </r>
  <r>
    <d v="2018-10-10T00:00:00"/>
    <x v="7"/>
    <s v="FIXED INCOME"/>
    <x v="5"/>
    <m/>
    <x v="368"/>
    <x v="27"/>
    <s v="A+"/>
    <x v="216"/>
    <n v="244308237.40000001"/>
    <n v="2256204.34"/>
    <n v="243008580.34999999"/>
    <n v="0.79490000000000005"/>
    <x v="267"/>
    <n v="2.7152810000000001"/>
    <s v="Bond"/>
    <s v="THB"/>
    <d v="2012-08-03T00:00:00"/>
    <x v="119"/>
    <s v="SCBFPFUND43383"/>
  </r>
  <r>
    <d v="2018-10-10T00:00:00"/>
    <x v="7"/>
    <s v="FIXED INCOME"/>
    <x v="5"/>
    <m/>
    <x v="267"/>
    <x v="27"/>
    <s v="A+"/>
    <x v="143"/>
    <n v="160125740.80000001"/>
    <n v="1819002.06"/>
    <n v="160089358.40000001"/>
    <n v="1.469543"/>
    <x v="54"/>
    <n v="2.242022"/>
    <s v="Bond"/>
    <s v="THB"/>
    <d v="2016-04-12T00:00:00"/>
    <x v="121"/>
    <s v="SCBFPFUND43383"/>
  </r>
  <r>
    <d v="2018-10-10T00:00:00"/>
    <x v="7"/>
    <s v="FIXED INCOME"/>
    <x v="5"/>
    <m/>
    <x v="369"/>
    <x v="27"/>
    <s v="A+"/>
    <x v="217"/>
    <n v="281906139.07999998"/>
    <n v="3691764.94"/>
    <n v="283211760.51999998"/>
    <n v="1.5264690000000001"/>
    <x v="268"/>
    <n v="1.9973019999999999"/>
    <s v="Bond"/>
    <s v="THB"/>
    <d v="2015-05-13T00:00:00"/>
    <x v="124"/>
    <s v="SCBFPFUND43383"/>
  </r>
  <r>
    <d v="2018-10-10T00:00:00"/>
    <x v="7"/>
    <s v="FIXED INCOME"/>
    <x v="5"/>
    <m/>
    <x v="230"/>
    <x v="27"/>
    <s v="A+"/>
    <x v="86"/>
    <n v="31835651.399999999"/>
    <n v="281917.8"/>
    <n v="31518999"/>
    <n v="2.6107879999999999"/>
    <x v="4"/>
    <n v="3"/>
    <s v="Bond"/>
    <s v="THB"/>
    <d v="2013-08-02T00:00:00"/>
    <x v="120"/>
    <s v="SCBFPFUND43383"/>
  </r>
  <r>
    <d v="2018-10-10T00:00:00"/>
    <x v="7"/>
    <s v="FIXED INCOME"/>
    <x v="5"/>
    <m/>
    <x v="370"/>
    <x v="27"/>
    <s v="A+"/>
    <x v="218"/>
    <n v="64967578.200000003"/>
    <n v="567123"/>
    <n v="64505019.600000001"/>
    <n v="3.4538160000000002"/>
    <x v="50"/>
    <n v="3.14"/>
    <s v="Bond"/>
    <s v="THB"/>
    <d v="2012-08-03T00:00:00"/>
    <x v="118"/>
    <s v="SCBFPFUND43383"/>
  </r>
  <r>
    <d v="2018-10-10T00:00:00"/>
    <x v="7"/>
    <s v="FIXED INCOME"/>
    <x v="5"/>
    <m/>
    <x v="315"/>
    <x v="27"/>
    <s v="A+"/>
    <x v="176"/>
    <n v="61676775.399999999"/>
    <n v="961458.35"/>
    <n v="62000000"/>
    <n v="5.0184759999999997"/>
    <x v="269"/>
    <n v="3.11"/>
    <s v="Bond"/>
    <s v="THB"/>
    <d v="2016-04-12T00:00:00"/>
    <x v="120"/>
    <s v="SCBFPFUND43383"/>
  </r>
  <r>
    <d v="2018-10-10T00:00:00"/>
    <x v="7"/>
    <s v="FIXED INCOME"/>
    <x v="5"/>
    <m/>
    <x v="231"/>
    <x v="27"/>
    <s v="A+"/>
    <x v="117"/>
    <n v="374706954.42000002"/>
    <n v="2515121.9700000002"/>
    <n v="381000000"/>
    <n v="5.632987"/>
    <x v="270"/>
    <n v="3.05"/>
    <s v="Bond"/>
    <s v="THB"/>
    <d v="2018-01-24T00:00:00"/>
    <x v="74"/>
    <s v="SCBFPFUND43383"/>
  </r>
  <r>
    <d v="2018-10-10T00:00:00"/>
    <x v="7"/>
    <s v="FIXED INCOME"/>
    <x v="5"/>
    <m/>
    <x v="316"/>
    <x v="28"/>
    <s v="A+"/>
    <x v="177"/>
    <n v="675685820.74000001"/>
    <n v="4701896.4400000004"/>
    <n v="667135554.40999997"/>
    <n v="2.1749839999999998"/>
    <x v="271"/>
    <n v="3.0835080000000001"/>
    <s v="Bond"/>
    <s v="THB"/>
    <d v="2016-01-20T00:00:00"/>
    <x v="124"/>
    <s v="SCBFPFUND43383"/>
  </r>
  <r>
    <d v="2018-10-10T00:00:00"/>
    <x v="7"/>
    <s v="FIXED INCOME"/>
    <x v="5"/>
    <m/>
    <x v="371"/>
    <x v="28"/>
    <s v="A+"/>
    <x v="219"/>
    <n v="20005804.800000001"/>
    <n v="148997.20000000001"/>
    <n v="20000000"/>
    <n v="4.3670499999999999"/>
    <x v="112"/>
    <n v="3.09"/>
    <s v="Bond"/>
    <s v="THB"/>
    <d v="2016-07-15T00:00:00"/>
    <x v="119"/>
    <s v="SCBFPFUND43383"/>
  </r>
  <r>
    <d v="2018-10-10T00:00:00"/>
    <x v="7"/>
    <s v="FIXED INCOME"/>
    <x v="5"/>
    <m/>
    <x v="372"/>
    <x v="29"/>
    <s v="AA"/>
    <x v="220"/>
    <n v="304720554"/>
    <n v="4697097"/>
    <n v="300560871"/>
    <n v="1.036573"/>
    <x v="9"/>
    <n v="3.4449999999999998"/>
    <s v="Bond"/>
    <s v="THB"/>
    <d v="2014-11-07T00:00:00"/>
    <x v="22"/>
    <s v="SCBFPFUND43383"/>
  </r>
  <r>
    <d v="2018-10-10T00:00:00"/>
    <x v="7"/>
    <s v="FIXED INCOME"/>
    <x v="5"/>
    <m/>
    <x v="373"/>
    <x v="29"/>
    <s v="AA"/>
    <x v="221"/>
    <n v="50066046"/>
    <n v="450370"/>
    <n v="50000000"/>
    <n v="2.0839669999999999"/>
    <x v="3"/>
    <n v="2.81"/>
    <s v="Bond"/>
    <s v="THB"/>
    <d v="2015-12-16T00:00:00"/>
    <x v="124"/>
    <s v="SCBFPFUND43383"/>
  </r>
  <r>
    <d v="2018-10-10T00:00:00"/>
    <x v="7"/>
    <s v="FIXED INCOME"/>
    <x v="5"/>
    <m/>
    <x v="374"/>
    <x v="83"/>
    <s v="AA+"/>
    <x v="222"/>
    <n v="60578176.200000003"/>
    <n v="355200"/>
    <n v="60086825.399999999"/>
    <n v="1.7383439999999999"/>
    <x v="50"/>
    <n v="2.8287499999999999"/>
    <s v="Bond"/>
    <s v="THB"/>
    <d v="2015-07-29T00:00:00"/>
    <x v="124"/>
    <s v="SCBFPFUND43383"/>
  </r>
  <r>
    <d v="2018-10-10T00:00:00"/>
    <x v="7"/>
    <s v="FIXED INCOME"/>
    <x v="5"/>
    <m/>
    <x v="375"/>
    <x v="84"/>
    <s v="AA-"/>
    <x v="223"/>
    <n v="15408152.25"/>
    <n v="5880.75"/>
    <n v="15255912.75"/>
    <n v="0.96928199999999998"/>
    <x v="108"/>
    <n v="3.0150000000000001"/>
    <s v="Bond"/>
    <s v="THB"/>
    <d v="2010-04-08T00:00:00"/>
    <x v="150"/>
    <s v="SCBFPFUND43383"/>
  </r>
  <r>
    <d v="2018-10-10T00:00:00"/>
    <x v="7"/>
    <s v="FIXED INCOME"/>
    <x v="5"/>
    <m/>
    <x v="232"/>
    <x v="57"/>
    <s v="A+(tha)"/>
    <x v="118"/>
    <n v="135935949.77000001"/>
    <n v="99541.46"/>
    <n v="137000000"/>
    <n v="2.8464499999999999"/>
    <x v="165"/>
    <n v="2.21"/>
    <s v="Bond"/>
    <s v="THB"/>
    <d v="2017-09-29T00:00:00"/>
    <x v="121"/>
    <s v="SCBFPFUND43383"/>
  </r>
  <r>
    <d v="2018-10-10T00:00:00"/>
    <x v="7"/>
    <s v="FIXED INCOME"/>
    <x v="5"/>
    <m/>
    <x v="376"/>
    <x v="85"/>
    <s v="A+"/>
    <x v="224"/>
    <n v="299268956.48000002"/>
    <n v="1152582.21"/>
    <n v="299259301.76999998"/>
    <n v="0.80737499999999995"/>
    <x v="272"/>
    <n v="1.9808030000000001"/>
    <s v="Bond"/>
    <s v="THB"/>
    <d v="2016-08-05T00:00:00"/>
    <x v="62"/>
    <s v="SCBFPFUND43383"/>
  </r>
  <r>
    <d v="2018-10-10T00:00:00"/>
    <x v="7"/>
    <s v="FIXED INCOME"/>
    <x v="5"/>
    <m/>
    <x v="377"/>
    <x v="85"/>
    <s v="A+"/>
    <x v="225"/>
    <n v="69064712.719999999"/>
    <n v="691718.44"/>
    <n v="68653626.879999995"/>
    <n v="1.170501"/>
    <x v="12"/>
    <n v="2.65"/>
    <s v="Bond"/>
    <s v="THB"/>
    <d v="2014-12-26T00:00:00"/>
    <x v="22"/>
    <s v="SCBFPFUND43383"/>
  </r>
  <r>
    <d v="2018-10-10T00:00:00"/>
    <x v="7"/>
    <s v="FIXED INCOME"/>
    <x v="5"/>
    <m/>
    <x v="378"/>
    <x v="59"/>
    <s v="AA-"/>
    <x v="226"/>
    <n v="146229832.68000001"/>
    <n v="1170822.08"/>
    <n v="148000000"/>
    <n v="2.5386139999999999"/>
    <x v="273"/>
    <n v="2.31"/>
    <s v="Bond"/>
    <s v="THB"/>
    <d v="2018-06-08T00:00:00"/>
    <x v="69"/>
    <s v="SCBFPFUND43383"/>
  </r>
  <r>
    <d v="2018-10-10T00:00:00"/>
    <x v="7"/>
    <s v="FIXED INCOME"/>
    <x v="5"/>
    <m/>
    <x v="379"/>
    <x v="64"/>
    <s v="A"/>
    <x v="227"/>
    <n v="1088367082"/>
    <n v="10431916"/>
    <n v="1100000000"/>
    <n v="2.45221"/>
    <x v="274"/>
    <n v="2.15"/>
    <s v="Bond"/>
    <s v="THB"/>
    <d v="2018-05-03T00:00:00"/>
    <x v="69"/>
    <s v="SCBFPFUND43383"/>
  </r>
  <r>
    <d v="2018-10-10T00:00:00"/>
    <x v="7"/>
    <s v="FIXED INCOME"/>
    <x v="5"/>
    <m/>
    <x v="380"/>
    <x v="65"/>
    <s v="A+"/>
    <x v="228"/>
    <n v="28970680.129999999"/>
    <n v="294115.68"/>
    <n v="29145736.309999999"/>
    <n v="1.0182469999999999"/>
    <x v="275"/>
    <n v="1.74"/>
    <s v="Bond"/>
    <s v="THB"/>
    <d v="2016-10-28T00:00:00"/>
    <x v="62"/>
    <s v="SCBFPFUND43383"/>
  </r>
  <r>
    <d v="2018-10-10T00:00:00"/>
    <x v="7"/>
    <s v="FIXED INCOME"/>
    <x v="5"/>
    <m/>
    <x v="381"/>
    <x v="65"/>
    <s v="A+"/>
    <x v="229"/>
    <n v="20209917.800000001"/>
    <n v="16323.2"/>
    <n v="20124032.600000001"/>
    <n v="1.431343"/>
    <x v="112"/>
    <n v="2.88"/>
    <s v="Bond"/>
    <s v="THB"/>
    <d v="2015-04-02T00:00:00"/>
    <x v="124"/>
    <s v="SCBFPFUND43383"/>
  </r>
  <r>
    <d v="2018-10-10T00:00:00"/>
    <x v="7"/>
    <s v="FIXED INCOME"/>
    <x v="5"/>
    <m/>
    <x v="382"/>
    <x v="65"/>
    <s v="A+"/>
    <x v="230"/>
    <n v="129902942"/>
    <n v="1466257"/>
    <n v="130000000"/>
    <n v="1.4912700000000001"/>
    <x v="92"/>
    <n v="2.48"/>
    <s v="Bond"/>
    <s v="THB"/>
    <d v="2017-04-28T00:00:00"/>
    <x v="69"/>
    <s v="SCBFPFUND43383"/>
  </r>
  <r>
    <d v="2018-10-10T00:00:00"/>
    <x v="7"/>
    <s v="FIXED INCOME"/>
    <x v="5"/>
    <m/>
    <x v="383"/>
    <x v="65"/>
    <s v="A+"/>
    <x v="231"/>
    <n v="126916178.68000001"/>
    <n v="31087.38"/>
    <n v="127705518.44"/>
    <n v="1.9196599999999999"/>
    <x v="276"/>
    <n v="2.4982609999999998"/>
    <s v="Bond"/>
    <s v="THB"/>
    <d v="2015-10-08T00:00:00"/>
    <x v="124"/>
    <s v="SCBFPFUND43383"/>
  </r>
  <r>
    <d v="2018-10-10T00:00:00"/>
    <x v="7"/>
    <s v="FIXED INCOME"/>
    <x v="5"/>
    <m/>
    <x v="384"/>
    <x v="65"/>
    <s v="A+"/>
    <x v="103"/>
    <n v="143109948.19999999"/>
    <n v="50770.3"/>
    <n v="145172067.15000001"/>
    <n v="1.923513"/>
    <x v="171"/>
    <n v="2.0699999999999998"/>
    <s v="Bond"/>
    <s v="THB"/>
    <d v="2017-10-05T00:00:00"/>
    <x v="69"/>
    <s v="SCBFPFUND43383"/>
  </r>
  <r>
    <d v="2018-10-10T00:00:00"/>
    <x v="7"/>
    <s v="FIXED INCOME"/>
    <x v="5"/>
    <m/>
    <x v="385"/>
    <x v="86"/>
    <s v="A"/>
    <x v="232"/>
    <n v="382446576.80000001"/>
    <n v="1709688.4"/>
    <n v="380000000"/>
    <n v="6.4160709999999996"/>
    <x v="277"/>
    <n v="3.57"/>
    <s v="Bond"/>
    <s v="THB"/>
    <d v="2016-02-26T00:00:00"/>
    <x v="117"/>
    <s v="SCBFPFUND43383"/>
  </r>
  <r>
    <d v="2018-10-10T00:00:00"/>
    <x v="7"/>
    <s v="FIXED INCOME"/>
    <x v="5"/>
    <m/>
    <x v="319"/>
    <x v="67"/>
    <s v="A"/>
    <x v="180"/>
    <n v="207027263.44999999"/>
    <n v="2432478.75"/>
    <n v="205073047.65000001"/>
    <n v="1.552044"/>
    <x v="138"/>
    <n v="3.017925"/>
    <s v="Bond"/>
    <s v="THB"/>
    <d v="2015-05-22T00:00:00"/>
    <x v="124"/>
    <s v="SCBFPFUND43383"/>
  </r>
  <r>
    <d v="2018-10-10T00:00:00"/>
    <x v="7"/>
    <s v="FIXED INCOME"/>
    <x v="5"/>
    <m/>
    <x v="320"/>
    <x v="67"/>
    <s v="A"/>
    <x v="81"/>
    <n v="193280544.59999999"/>
    <n v="315313.05"/>
    <n v="194363038.34999999"/>
    <n v="2.337872"/>
    <x v="278"/>
    <n v="2.413122"/>
    <s v="Bond"/>
    <s v="THB"/>
    <d v="2016-03-15T00:00:00"/>
    <x v="22"/>
    <s v="SCBFPFUND43383"/>
  </r>
  <r>
    <d v="2018-10-10T00:00:00"/>
    <x v="7"/>
    <s v="FIXED INCOME"/>
    <x v="5"/>
    <m/>
    <x v="386"/>
    <x v="30"/>
    <s v="A+"/>
    <x v="233"/>
    <n v="104166207.2"/>
    <n v="163859.57999999999"/>
    <n v="103701603.40000001"/>
    <n v="0.93515700000000002"/>
    <x v="279"/>
    <n v="2.6543899999999998"/>
    <s v="Bond"/>
    <s v="THB"/>
    <d v="2014-09-26T00:00:00"/>
    <x v="22"/>
    <s v="SCBFPFUND43383"/>
  </r>
  <r>
    <d v="2018-10-10T00:00:00"/>
    <x v="7"/>
    <s v="FIXED INCOME"/>
    <x v="5"/>
    <m/>
    <x v="387"/>
    <x v="30"/>
    <s v="A+"/>
    <x v="234"/>
    <n v="493420497.60000002"/>
    <n v="10567891.199999999"/>
    <n v="489102230.39999998"/>
    <n v="1.0089459999999999"/>
    <x v="280"/>
    <n v="3.0383330000000002"/>
    <s v="Bond"/>
    <s v="THB"/>
    <d v="2012-05-17T00:00:00"/>
    <x v="151"/>
    <s v="SCBFPFUND43383"/>
  </r>
  <r>
    <d v="2018-10-10T00:00:00"/>
    <x v="7"/>
    <s v="FIXED INCOME"/>
    <x v="5"/>
    <m/>
    <x v="388"/>
    <x v="30"/>
    <s v="A+"/>
    <x v="235"/>
    <n v="201847914"/>
    <n v="484932"/>
    <n v="200132086"/>
    <n v="1.8480300000000001"/>
    <x v="13"/>
    <n v="2.92"/>
    <s v="Bond"/>
    <s v="THB"/>
    <d v="2015-09-11T00:00:00"/>
    <x v="124"/>
    <s v="SCBFPFUND43383"/>
  </r>
  <r>
    <d v="2018-10-10T00:00:00"/>
    <x v="7"/>
    <s v="FIXED INCOME"/>
    <x v="5"/>
    <m/>
    <x v="389"/>
    <x v="30"/>
    <s v="A+"/>
    <x v="142"/>
    <n v="21101874.600000001"/>
    <n v="476274"/>
    <n v="20844357"/>
    <n v="1.909608"/>
    <x v="112"/>
    <n v="3.15"/>
    <s v="Bond"/>
    <s v="THB"/>
    <d v="2012-03-30T00:00:00"/>
    <x v="152"/>
    <s v="SCBFPFUND43383"/>
  </r>
  <r>
    <d v="2018-10-10T00:00:00"/>
    <x v="7"/>
    <s v="FIXED INCOME"/>
    <x v="5"/>
    <m/>
    <x v="390"/>
    <x v="30"/>
    <s v="A+"/>
    <x v="236"/>
    <n v="20976632.800000001"/>
    <n v="486871.14"/>
    <n v="20671850.600000001"/>
    <n v="1.92187"/>
    <x v="112"/>
    <n v="3.2850000000000001"/>
    <s v="Bond"/>
    <s v="THB"/>
    <d v="2013-10-17T00:00:00"/>
    <x v="74"/>
    <s v="SCBFPFUND43383"/>
  </r>
  <r>
    <d v="2018-10-10T00:00:00"/>
    <x v="7"/>
    <s v="FIXED INCOME"/>
    <x v="5"/>
    <m/>
    <x v="235"/>
    <x v="60"/>
    <s v="A"/>
    <x v="121"/>
    <n v="22952461.530000001"/>
    <n v="148472.82"/>
    <n v="23000000"/>
    <n v="1.1482889999999999"/>
    <x v="177"/>
    <n v="1.98"/>
    <s v="Bond"/>
    <s v="THB"/>
    <d v="2017-12-14T00:00:00"/>
    <x v="122"/>
    <s v="SCBFPFUND43383"/>
  </r>
  <r>
    <d v="2018-10-10T00:00:00"/>
    <x v="7"/>
    <s v="FIXED INCOME"/>
    <x v="5"/>
    <m/>
    <x v="278"/>
    <x v="35"/>
    <s v="A"/>
    <x v="151"/>
    <n v="100513258"/>
    <n v="497178"/>
    <n v="100981722"/>
    <n v="1.112225"/>
    <x v="45"/>
    <n v="1.75"/>
    <s v="Bond"/>
    <s v="THB"/>
    <d v="2017-02-03T00:00:00"/>
    <x v="131"/>
    <s v="SCBFPFUND43383"/>
  </r>
  <r>
    <d v="2018-10-10T00:00:00"/>
    <x v="7"/>
    <s v="FIXED INCOME"/>
    <x v="5"/>
    <m/>
    <x v="236"/>
    <x v="35"/>
    <s v="A"/>
    <x v="122"/>
    <n v="85162898.25"/>
    <n v="725457.15"/>
    <n v="85112460.950000003"/>
    <n v="2.0244230000000001"/>
    <x v="49"/>
    <n v="2.5729410000000001"/>
    <s v="Bond"/>
    <s v="THB"/>
    <d v="2017-06-15T00:00:00"/>
    <x v="123"/>
    <s v="SCBFPFUND43383"/>
  </r>
  <r>
    <d v="2018-10-10T00:00:00"/>
    <x v="7"/>
    <s v="FIXED INCOME"/>
    <x v="5"/>
    <m/>
    <x v="391"/>
    <x v="35"/>
    <s v="A"/>
    <x v="237"/>
    <n v="99287112"/>
    <n v="136822"/>
    <n v="100000000"/>
    <n v="2.3496039999999998"/>
    <x v="45"/>
    <n v="2.27"/>
    <s v="Bond"/>
    <s v="THB"/>
    <d v="2017-09-19T00:00:00"/>
    <x v="133"/>
    <s v="SCBFPFUND43383"/>
  </r>
  <r>
    <d v="2018-10-10T00:00:00"/>
    <x v="7"/>
    <s v="FIXED INCOME"/>
    <x v="5"/>
    <m/>
    <x v="392"/>
    <x v="87"/>
    <s v="A"/>
    <x v="238"/>
    <n v="1111578249.5999999"/>
    <n v="9672196.8000000007"/>
    <n v="1119477867.2"/>
    <n v="2.5165310000000001"/>
    <x v="281"/>
    <n v="2.3865180000000001"/>
    <s v="Bond"/>
    <s v="THB"/>
    <d v="2018-05-31T00:00:00"/>
    <x v="69"/>
    <s v="SCBFPFUND43383"/>
  </r>
  <r>
    <d v="2018-10-10T00:00:00"/>
    <x v="7"/>
    <s v="FIXED INCOME"/>
    <x v="5"/>
    <m/>
    <x v="393"/>
    <x v="69"/>
    <s v="AAA(tha)"/>
    <x v="239"/>
    <n v="30731496.899999999"/>
    <n v="698301.3"/>
    <n v="30651145.199999999"/>
    <n v="0.59018000000000004"/>
    <x v="4"/>
    <n v="2.25"/>
    <s v="Bond"/>
    <s v="THB"/>
    <d v="2004-05-20T00:00:00"/>
    <x v="153"/>
    <s v="SCBFPFUND43383"/>
  </r>
  <r>
    <d v="2018-10-10T00:00:00"/>
    <x v="7"/>
    <s v="FIXED INCOME"/>
    <x v="5"/>
    <m/>
    <x v="394"/>
    <x v="69"/>
    <s v="AAA(tha)"/>
    <x v="240"/>
    <n v="235603566"/>
    <n v="4362842.25"/>
    <n v="234673092"/>
    <n v="1.9623809999999999"/>
    <x v="282"/>
    <n v="2.6177779999999999"/>
    <s v="Bond"/>
    <s v="THB"/>
    <d v="2013-11-27T00:00:00"/>
    <x v="154"/>
    <s v="SCBFPFUND43383"/>
  </r>
  <r>
    <d v="2018-10-10T00:00:00"/>
    <x v="7"/>
    <s v="FIXED INCOME"/>
    <x v="5"/>
    <m/>
    <x v="395"/>
    <x v="69"/>
    <s v="AAA(tha)"/>
    <x v="241"/>
    <n v="20906620.800000001"/>
    <n v="326575.40000000002"/>
    <n v="20811921"/>
    <n v="2.867181"/>
    <x v="112"/>
    <n v="2.62"/>
    <s v="Bond"/>
    <s v="THB"/>
    <d v="2014-12-15T00:00:00"/>
    <x v="155"/>
    <s v="SCBFPFUND43383"/>
  </r>
  <r>
    <d v="2018-10-10T00:00:00"/>
    <x v="7"/>
    <s v="FIXED INCOME"/>
    <x v="5"/>
    <m/>
    <x v="396"/>
    <x v="36"/>
    <s v="A-"/>
    <x v="242"/>
    <n v="412718259"/>
    <n v="3689889.3"/>
    <n v="411310364.10000002"/>
    <n v="0.69337000000000004"/>
    <x v="86"/>
    <n v="2.6021339999999999"/>
    <s v="Bond"/>
    <s v="THB"/>
    <d v="2015-06-26T00:00:00"/>
    <x v="121"/>
    <s v="SCBFPFUND43383"/>
  </r>
  <r>
    <d v="2018-10-10T00:00:00"/>
    <x v="7"/>
    <s v="FIXED INCOME"/>
    <x v="5"/>
    <m/>
    <x v="237"/>
    <x v="36"/>
    <s v="A-"/>
    <x v="123"/>
    <n v="11882822.76"/>
    <n v="103430.16"/>
    <n v="12000000"/>
    <n v="2.0310000000000001"/>
    <x v="157"/>
    <n v="2.2000000000000002"/>
    <s v="Bond"/>
    <s v="THB"/>
    <d v="2017-11-21T00:00:00"/>
    <x v="69"/>
    <s v="SCBFPFUND43383"/>
  </r>
  <r>
    <d v="2018-10-10T00:00:00"/>
    <x v="7"/>
    <s v="FIXED INCOME"/>
    <x v="5"/>
    <m/>
    <x v="138"/>
    <x v="36"/>
    <s v="A-"/>
    <x v="80"/>
    <n v="7905567.7599999998"/>
    <n v="17043.28"/>
    <n v="8000000"/>
    <n v="2.3130760000000001"/>
    <x v="109"/>
    <n v="2.16"/>
    <s v="Bond"/>
    <s v="THB"/>
    <d v="2018-03-05T00:00:00"/>
    <x v="69"/>
    <s v="SCBFPFUND43383"/>
  </r>
  <r>
    <d v="2018-10-10T00:00:00"/>
    <x v="7"/>
    <s v="FIXED INCOME"/>
    <x v="5"/>
    <m/>
    <x v="397"/>
    <x v="88"/>
    <s v="A+(tha)"/>
    <x v="243"/>
    <n v="45510981.299999997"/>
    <n v="153788.85"/>
    <n v="45768468.600000001"/>
    <n v="5.3528599999999997"/>
    <x v="283"/>
    <n v="2.6549999999999998"/>
    <s v="Bond"/>
    <s v="THB"/>
    <d v="2017-08-30T00:00:00"/>
    <x v="74"/>
    <s v="SCBFPFUND43383"/>
  </r>
  <r>
    <d v="2018-10-10T00:00:00"/>
    <x v="7"/>
    <s v="FIXED INCOME"/>
    <x v="5"/>
    <m/>
    <x v="282"/>
    <x v="70"/>
    <s v="A(tha)"/>
    <x v="154"/>
    <n v="25035895.25"/>
    <n v="264349.25"/>
    <n v="25275429.5"/>
    <n v="1.5246869999999999"/>
    <x v="16"/>
    <n v="1.7725"/>
    <s v="Bond"/>
    <s v="THB"/>
    <d v="2017-05-09T00:00:00"/>
    <x v="69"/>
    <s v="SCBFPFUND43383"/>
  </r>
  <r>
    <d v="2018-10-10T00:00:00"/>
    <x v="7"/>
    <s v="FIXED INCOME"/>
    <x v="5"/>
    <m/>
    <x v="398"/>
    <x v="70"/>
    <s v="A(tha)"/>
    <x v="244"/>
    <n v="95779677"/>
    <n v="1112055"/>
    <n v="100000000"/>
    <n v="5.0692959999999996"/>
    <x v="45"/>
    <n v="2.46"/>
    <s v="Bond"/>
    <s v="THB"/>
    <d v="2016-04-29T00:00:00"/>
    <x v="120"/>
    <s v="SCBFPFUND43383"/>
  </r>
  <r>
    <d v="2018-10-10T00:00:00"/>
    <x v="7"/>
    <s v="FIXED INCOME"/>
    <x v="5"/>
    <m/>
    <x v="399"/>
    <x v="31"/>
    <s v="BBB+"/>
    <x v="245"/>
    <n v="10035419.9"/>
    <n v="70794.5"/>
    <n v="10017244.1"/>
    <n v="1.488556"/>
    <x v="17"/>
    <n v="3.28"/>
    <s v="Bond"/>
    <s v="THB"/>
    <d v="2017-04-27T00:00:00"/>
    <x v="69"/>
    <s v="SCBFPFUND43383"/>
  </r>
  <r>
    <d v="2018-10-10T00:00:00"/>
    <x v="7"/>
    <s v="FIXED INCOME"/>
    <x v="5"/>
    <m/>
    <x v="400"/>
    <x v="11"/>
    <s v="A"/>
    <x v="246"/>
    <n v="387602646.19999999"/>
    <n v="3242015.7"/>
    <n v="385003884.64999998"/>
    <n v="1.1594450000000001"/>
    <x v="284"/>
    <n v="2.7140740000000001"/>
    <s v="Bond"/>
    <s v="THB"/>
    <d v="2015-12-28T00:00:00"/>
    <x v="156"/>
    <s v="SCBFPFUND43383"/>
  </r>
  <r>
    <d v="2018-10-10T00:00:00"/>
    <x v="7"/>
    <s v="FIXED INCOME"/>
    <x v="5"/>
    <m/>
    <x v="142"/>
    <x v="37"/>
    <s v="AA"/>
    <x v="83"/>
    <n v="470826756.63"/>
    <n v="521432.55"/>
    <n v="477000000"/>
    <n v="2.3606829999999999"/>
    <x v="285"/>
    <n v="2.1"/>
    <s v="Bond"/>
    <s v="THB"/>
    <d v="2018-03-22T00:00:00"/>
    <x v="69"/>
    <s v="SCBFPFUND43383"/>
  </r>
  <r>
    <d v="2018-10-10T00:00:00"/>
    <x v="7"/>
    <s v="FIXED INCOME"/>
    <x v="5"/>
    <m/>
    <x v="283"/>
    <x v="37"/>
    <s v="AA"/>
    <x v="155"/>
    <n v="479353785.60000002"/>
    <n v="925809.6"/>
    <n v="480000000"/>
    <n v="3.2221039999999999"/>
    <x v="280"/>
    <n v="3.2"/>
    <s v="Bond"/>
    <s v="THB"/>
    <d v="2018-09-19T00:00:00"/>
    <x v="133"/>
    <s v="SCBFPFUND43383"/>
  </r>
  <r>
    <d v="2018-10-10T00:00:00"/>
    <x v="7"/>
    <s v="FIXED INCOME"/>
    <x v="5"/>
    <m/>
    <x v="143"/>
    <x v="38"/>
    <s v="A-"/>
    <x v="60"/>
    <n v="45936266.399999999"/>
    <n v="47490.3"/>
    <n v="45000000"/>
    <n v="0.95351699999999995"/>
    <x v="283"/>
    <n v="4.28"/>
    <s v="Bond"/>
    <s v="THB"/>
    <d v="2014-10-02T00:00:00"/>
    <x v="22"/>
    <s v="SCBFPFUND43383"/>
  </r>
  <r>
    <d v="2018-10-10T00:00:00"/>
    <x v="7"/>
    <s v="FIXED INCOME"/>
    <x v="5"/>
    <m/>
    <x v="146"/>
    <x v="7"/>
    <s v="A"/>
    <x v="84"/>
    <n v="772629056.42999995"/>
    <n v="5327236.32"/>
    <n v="777000000"/>
    <n v="1.5698570000000001"/>
    <x v="286"/>
    <n v="1.75"/>
    <s v="Bond"/>
    <s v="THB"/>
    <d v="2018-05-21T00:00:00"/>
    <x v="66"/>
    <s v="SCBFPFUND43383"/>
  </r>
  <r>
    <d v="2018-10-10T00:00:00"/>
    <x v="7"/>
    <s v="FIXED INCOME"/>
    <x v="15"/>
    <m/>
    <x v="401"/>
    <x v="3"/>
    <s v="A"/>
    <x v="247"/>
    <n v="65856093.659999996"/>
    <n v="636707.88"/>
    <n v="65963642.619999997"/>
    <n v="0.16245299999999999"/>
    <x v="149"/>
    <n v="2.1696460000000002"/>
    <s v="Bond"/>
    <s v="USDbb"/>
    <d v="2013-12-10T00:00:00"/>
    <x v="22"/>
    <s v="SCBFPFUND43383"/>
  </r>
  <r>
    <d v="2018-10-10T00:00:00"/>
    <x v="7"/>
    <s v="DERIVATIVE"/>
    <x v="6"/>
    <m/>
    <x v="402"/>
    <x v="49"/>
    <s v="AA-(tha)"/>
    <x v="42"/>
    <n v="50302437.920000002"/>
    <m/>
    <n v="0"/>
    <n v="0"/>
    <x v="0"/>
    <n v="0"/>
    <s v="Future"/>
    <s v="THB"/>
    <d v="1900-01-01T00:00:00"/>
    <x v="77"/>
    <s v="SCBFPFUND43383"/>
  </r>
  <r>
    <d v="2018-10-10T00:00:00"/>
    <x v="7"/>
    <s v="DERIVATIVE"/>
    <x v="6"/>
    <m/>
    <x v="403"/>
    <x v="89"/>
    <s v="A+"/>
    <x v="75"/>
    <n v="51002550"/>
    <m/>
    <n v="0"/>
    <n v="0"/>
    <x v="0"/>
    <n v="0"/>
    <s v="Future"/>
    <s v="THB"/>
    <d v="1900-01-01T00:00:00"/>
    <x v="157"/>
    <s v="SCBFPFUND43383"/>
  </r>
  <r>
    <d v="2018-10-10T00:00:00"/>
    <x v="7"/>
    <s v="DERIVATIVE"/>
    <x v="6"/>
    <m/>
    <x v="404"/>
    <x v="8"/>
    <s v="AA+(tha)"/>
    <x v="43"/>
    <n v="80754622.700000003"/>
    <m/>
    <n v="0"/>
    <n v="0"/>
    <x v="0"/>
    <n v="0"/>
    <s v="Future"/>
    <s v="THB"/>
    <d v="1900-01-01T00:00:00"/>
    <x v="98"/>
    <s v="SCBFPFUND43383"/>
  </r>
  <r>
    <d v="2018-10-10T00:00:00"/>
    <x v="7"/>
    <s v="DERIVATIVE"/>
    <x v="6"/>
    <m/>
    <x v="405"/>
    <x v="89"/>
    <s v="A+"/>
    <x v="187"/>
    <n v="12536588.970000001"/>
    <m/>
    <n v="0"/>
    <n v="0"/>
    <x v="0"/>
    <n v="0"/>
    <s v="Future"/>
    <s v="THB"/>
    <d v="1900-01-01T00:00:00"/>
    <x v="158"/>
    <s v="SCBFPFUND43383"/>
  </r>
  <r>
    <d v="2018-10-10T00:00:00"/>
    <x v="7"/>
    <s v="DERIVATIVE"/>
    <x v="6"/>
    <m/>
    <x v="406"/>
    <x v="49"/>
    <s v="AA-(tha)"/>
    <x v="53"/>
    <n v="19306284.109999999"/>
    <m/>
    <n v="0"/>
    <n v="0"/>
    <x v="0"/>
    <n v="0"/>
    <s v="Future"/>
    <s v="THB"/>
    <d v="1900-01-01T00:00:00"/>
    <x v="86"/>
    <s v="SCBFPFUND43383"/>
  </r>
  <r>
    <d v="2018-10-10T00:00:00"/>
    <x v="7"/>
    <s v="DERIVATIVE"/>
    <x v="6"/>
    <m/>
    <x v="407"/>
    <x v="49"/>
    <s v="AA-(tha)"/>
    <x v="21"/>
    <n v="-4241662.6100000003"/>
    <m/>
    <n v="0"/>
    <n v="0"/>
    <x v="0"/>
    <n v="0"/>
    <s v="Future"/>
    <s v="THB"/>
    <d v="1900-01-01T00:00:00"/>
    <x v="76"/>
    <s v="SCBFPFUND43383"/>
  </r>
  <r>
    <d v="2018-10-10T00:00:00"/>
    <x v="7"/>
    <s v="DERIVATIVE"/>
    <x v="6"/>
    <m/>
    <x v="408"/>
    <x v="49"/>
    <s v="AA-(tha)"/>
    <x v="5"/>
    <n v="3739597.6"/>
    <m/>
    <n v="0"/>
    <n v="0"/>
    <x v="0"/>
    <n v="0"/>
    <s v="Future"/>
    <s v="THB"/>
    <d v="1900-01-01T00:00:00"/>
    <x v="29"/>
    <s v="SCBFPFUND43383"/>
  </r>
  <r>
    <d v="2018-10-10T00:00:00"/>
    <x v="7"/>
    <s v="DERIVATIVE"/>
    <x v="6"/>
    <m/>
    <x v="409"/>
    <x v="1"/>
    <s v="AA+(tha)"/>
    <x v="35"/>
    <n v="-60190583.590000004"/>
    <m/>
    <n v="0"/>
    <n v="0"/>
    <x v="0"/>
    <n v="0"/>
    <s v="Future"/>
    <s v="THB"/>
    <d v="1900-01-01T00:00:00"/>
    <x v="159"/>
    <s v="SCBFPFUND43383"/>
  </r>
  <r>
    <d v="2018-10-10T00:00:00"/>
    <x v="7"/>
    <s v="DERIVATIVE"/>
    <x v="6"/>
    <m/>
    <x v="410"/>
    <x v="89"/>
    <s v="A+"/>
    <x v="13"/>
    <n v="-18431580.140000001"/>
    <m/>
    <n v="0"/>
    <n v="0"/>
    <x v="0"/>
    <n v="0"/>
    <s v="Future"/>
    <s v="THB"/>
    <d v="1900-01-01T00:00:00"/>
    <x v="97"/>
    <s v="SCBFPFUND43383"/>
  </r>
  <r>
    <d v="2018-10-10T00:00:00"/>
    <x v="7"/>
    <s v="DERIVATIVE"/>
    <x v="6"/>
    <m/>
    <x v="411"/>
    <x v="19"/>
    <s v="AA+(tha)"/>
    <x v="188"/>
    <n v="-7032871.96"/>
    <m/>
    <n v="0"/>
    <n v="0"/>
    <x v="0"/>
    <n v="0"/>
    <s v="Future"/>
    <s v="THB"/>
    <d v="1900-01-01T00:00:00"/>
    <x v="160"/>
    <s v="SCBFPFUND43383"/>
  </r>
  <r>
    <d v="2018-10-10T00:00:00"/>
    <x v="7"/>
    <s v="DERIVATIVE"/>
    <x v="6"/>
    <m/>
    <x v="412"/>
    <x v="49"/>
    <s v="AA-(tha)"/>
    <x v="60"/>
    <n v="-5114484.84"/>
    <m/>
    <n v="0"/>
    <n v="0"/>
    <x v="0"/>
    <n v="0"/>
    <s v="Future"/>
    <s v="THB"/>
    <d v="1900-01-01T00:00:00"/>
    <x v="107"/>
    <s v="SCBFPFUND43383"/>
  </r>
  <r>
    <d v="2018-10-10T00:00:00"/>
    <x v="7"/>
    <s v="DERIVATIVE"/>
    <x v="21"/>
    <m/>
    <x v="413"/>
    <x v="1"/>
    <s v="AA+(tha)"/>
    <x v="248"/>
    <n v="-16284305.02"/>
    <m/>
    <n v="0"/>
    <n v="0"/>
    <x v="0"/>
    <n v="0"/>
    <s v="Swap"/>
    <s v="THB"/>
    <d v="1900-01-01T00:00:00"/>
    <x v="161"/>
    <s v="SCBFPFUND43383"/>
  </r>
  <r>
    <d v="2018-10-10T00:00:00"/>
    <x v="7"/>
    <s v="DERIVATIVE"/>
    <x v="21"/>
    <m/>
    <x v="414"/>
    <x v="1"/>
    <s v="AA+(tha)"/>
    <x v="249"/>
    <n v="-3916628.28"/>
    <m/>
    <n v="0"/>
    <n v="0"/>
    <x v="0"/>
    <n v="0"/>
    <s v="Swap"/>
    <s v="THB"/>
    <d v="1900-01-01T00:00:00"/>
    <x v="162"/>
    <s v="SCBFPFUND43383"/>
  </r>
  <r>
    <d v="2018-10-10T00:00:00"/>
    <x v="7"/>
    <s v="DERIVATIVE"/>
    <x v="21"/>
    <m/>
    <x v="415"/>
    <x v="1"/>
    <s v="AA+(tha)"/>
    <x v="250"/>
    <n v="-6472813.7999999998"/>
    <m/>
    <n v="0"/>
    <n v="0"/>
    <x v="0"/>
    <n v="0"/>
    <s v="Swap"/>
    <s v="THB"/>
    <d v="1900-01-01T00:00:00"/>
    <x v="163"/>
    <s v="SCBFPFUND43383"/>
  </r>
  <r>
    <d v="2018-10-10T00:00:00"/>
    <x v="7"/>
    <s v="DERIVATIVE"/>
    <x v="21"/>
    <m/>
    <x v="416"/>
    <x v="1"/>
    <s v="AA+(tha)"/>
    <x v="247"/>
    <n v="6609176.7400000002"/>
    <m/>
    <n v="0"/>
    <n v="0"/>
    <x v="0"/>
    <n v="0"/>
    <s v="Swap"/>
    <s v="THB"/>
    <d v="1900-01-01T00:00:00"/>
    <x v="164"/>
    <s v="SCBFPFUND43383"/>
  </r>
  <r>
    <d v="2018-10-10T00:00:00"/>
    <x v="7"/>
    <s v="DERIVATIVE"/>
    <x v="21"/>
    <m/>
    <x v="417"/>
    <x v="1"/>
    <s v="AA+(tha)"/>
    <x v="186"/>
    <n v="635625.96"/>
    <m/>
    <n v="0"/>
    <n v="0"/>
    <x v="0"/>
    <n v="0"/>
    <s v="Swap"/>
    <s v="THB"/>
    <d v="1900-01-01T00:00:00"/>
    <x v="140"/>
    <s v="SCBFPFUND43383"/>
  </r>
  <r>
    <d v="2018-10-10T00:00:00"/>
    <x v="7"/>
    <s v="DERIVATIVE"/>
    <x v="21"/>
    <m/>
    <x v="418"/>
    <x v="1"/>
    <s v="AA+(tha)"/>
    <x v="173"/>
    <n v="-81216.460000000006"/>
    <m/>
    <n v="0"/>
    <n v="0"/>
    <x v="0"/>
    <n v="0"/>
    <s v="Swap"/>
    <s v="THB"/>
    <d v="1900-01-01T00:00:00"/>
    <x v="165"/>
    <s v="SCBFPFUND43383"/>
  </r>
  <r>
    <d v="2018-10-10T00:00:00"/>
    <x v="7"/>
    <s v="DERIVATIVE"/>
    <x v="21"/>
    <m/>
    <x v="419"/>
    <x v="1"/>
    <s v="AA+(tha)"/>
    <x v="251"/>
    <n v="190578.15"/>
    <m/>
    <n v="0"/>
    <n v="0"/>
    <x v="0"/>
    <n v="0"/>
    <s v="Swap"/>
    <s v="THB"/>
    <d v="1900-01-01T00:00:00"/>
    <x v="166"/>
    <s v="SCBFPFUND43383"/>
  </r>
  <r>
    <d v="2018-10-10T00:00:00"/>
    <x v="7"/>
    <s v="DERIVATIVE"/>
    <x v="21"/>
    <m/>
    <x v="420"/>
    <x v="49"/>
    <s v="AA-(tha)"/>
    <x v="252"/>
    <n v="405010.47"/>
    <m/>
    <n v="0"/>
    <n v="0"/>
    <x v="0"/>
    <n v="0"/>
    <s v="Swap"/>
    <s v="THB"/>
    <d v="1900-01-01T00:00:00"/>
    <x v="167"/>
    <s v="SCBFPFUND43383"/>
  </r>
  <r>
    <d v="2018-10-10T00:00:00"/>
    <x v="7"/>
    <s v="DERIVATIVE"/>
    <x v="21"/>
    <m/>
    <x v="421"/>
    <x v="49"/>
    <s v="AA-(tha)"/>
    <x v="253"/>
    <n v="42982.95"/>
    <m/>
    <n v="0"/>
    <n v="0"/>
    <x v="0"/>
    <n v="0"/>
    <s v="Swap"/>
    <s v="THB"/>
    <d v="1900-01-01T00:00:00"/>
    <x v="168"/>
    <s v="SCBFPFUND43383"/>
  </r>
  <r>
    <d v="2018-10-10T00:00:00"/>
    <x v="7"/>
    <s v="ACCRUED RECEIVE"/>
    <x v="17"/>
    <s v="Settle Date :11/10/2018"/>
    <x v="296"/>
    <x v="17"/>
    <m/>
    <x v="0"/>
    <n v="297832353"/>
    <m/>
    <n v="297832353"/>
    <m/>
    <x v="46"/>
    <n v="0"/>
    <s v="Bond"/>
    <s v="THB"/>
    <d v="2018-09-20T00:00:00"/>
    <x v="141"/>
    <s v="SCBFPFUND43383"/>
  </r>
  <r>
    <d v="2018-10-10T00:00:00"/>
    <x v="7"/>
    <s v="ACCRUED PAYABLE"/>
    <x v="8"/>
    <s v="Settle Date :11/10/2018"/>
    <x v="303"/>
    <x v="17"/>
    <m/>
    <x v="0"/>
    <n v="-166245100.86000001"/>
    <m/>
    <n v="-166245100.86000001"/>
    <m/>
    <x v="46"/>
    <n v="0"/>
    <s v="Bond"/>
    <s v="THB"/>
    <d v="2011-07-14T00:00:00"/>
    <x v="142"/>
    <s v="SCBFPFUND43383"/>
  </r>
  <r>
    <d v="2018-10-10T00:00:00"/>
    <x v="7"/>
    <s v="ACCRUED PAYABLE"/>
    <x v="9"/>
    <s v="AUDITING FEE"/>
    <x v="69"/>
    <x v="17"/>
    <m/>
    <x v="0"/>
    <n v="-141370.23999999999"/>
    <m/>
    <m/>
    <m/>
    <x v="46"/>
    <n v="0"/>
    <m/>
    <m/>
    <m/>
    <x v="43"/>
    <s v="SCBFPFUND43383"/>
  </r>
  <r>
    <d v="2018-10-10T00:00:00"/>
    <x v="7"/>
    <s v="ACCRUED PAYABLE"/>
    <x v="10"/>
    <m/>
    <x v="70"/>
    <x v="17"/>
    <m/>
    <x v="0"/>
    <n v="-663314.23"/>
    <n v="0"/>
    <m/>
    <m/>
    <x v="46"/>
    <n v="0"/>
    <m/>
    <m/>
    <m/>
    <x v="43"/>
    <s v="SCBFPFUND43383"/>
  </r>
  <r>
    <d v="2018-10-10T00:00:00"/>
    <x v="7"/>
    <s v="ACCRUED PAYABLE"/>
    <x v="11"/>
    <s v="A NEWSPAPER_NAV"/>
    <x v="71"/>
    <x v="17"/>
    <m/>
    <x v="0"/>
    <n v="-4182.17"/>
    <m/>
    <m/>
    <m/>
    <x v="46"/>
    <n v="0"/>
    <m/>
    <m/>
    <m/>
    <x v="43"/>
    <s v="SCBFPFUND43383"/>
  </r>
  <r>
    <d v="2018-10-10T00:00:00"/>
    <x v="7"/>
    <s v="ACCRUED PAYABLE"/>
    <x v="11"/>
    <s v="A NEWSPAPER_NAV"/>
    <x v="71"/>
    <x v="17"/>
    <m/>
    <x v="0"/>
    <n v="-1416.5"/>
    <m/>
    <m/>
    <m/>
    <x v="46"/>
    <n v="0"/>
    <m/>
    <m/>
    <m/>
    <x v="43"/>
    <s v="SCBFPFUND43383"/>
  </r>
  <r>
    <d v="2018-10-10T00:00:00"/>
    <x v="7"/>
    <s v="ACCRUED PAYABLE"/>
    <x v="12"/>
    <s v="CUSTODIAN FEE"/>
    <x v="70"/>
    <x v="17"/>
    <m/>
    <x v="0"/>
    <n v="-456877.87"/>
    <m/>
    <n v="-456877.87"/>
    <m/>
    <x v="46"/>
    <n v="0"/>
    <m/>
    <m/>
    <m/>
    <x v="43"/>
    <s v="SCBFPFUND43383"/>
  </r>
  <r>
    <d v="2018-10-10T00:00:00"/>
    <x v="7"/>
    <s v="ACCRUED PAYABLE"/>
    <x v="13"/>
    <s v="MANAGEMENT FEE"/>
    <x v="70"/>
    <x v="17"/>
    <m/>
    <x v="0"/>
    <n v="-6211056.2000000002"/>
    <m/>
    <n v="-6211056.2000000002"/>
    <m/>
    <x v="46"/>
    <n v="0"/>
    <m/>
    <m/>
    <m/>
    <x v="43"/>
    <s v="SCBFPFUND43383"/>
  </r>
  <r>
    <d v="2018-10-10T00:00:00"/>
    <x v="7"/>
    <s v="ACCRUED PAYABLE"/>
    <x v="14"/>
    <s v="REGISTRAR FEE"/>
    <x v="70"/>
    <x v="17"/>
    <m/>
    <x v="0"/>
    <n v="0"/>
    <m/>
    <n v="0"/>
    <m/>
    <x v="46"/>
    <n v="0"/>
    <m/>
    <m/>
    <m/>
    <x v="43"/>
    <s v="SCBFPFUND43383"/>
  </r>
  <r>
    <d v="2018-10-10T00:00:00"/>
    <x v="7"/>
    <s v="FEES"/>
    <x v="12"/>
    <s v="CUSTODIAN FEE"/>
    <x v="70"/>
    <x v="17"/>
    <m/>
    <x v="0"/>
    <n v="-50304.55"/>
    <m/>
    <n v="-50304.55"/>
    <m/>
    <x v="46"/>
    <n v="0"/>
    <m/>
    <m/>
    <m/>
    <x v="43"/>
    <s v="SCBFPFUND43383"/>
  </r>
  <r>
    <d v="2018-10-10T00:00:00"/>
    <x v="7"/>
    <s v="FEES"/>
    <x v="13"/>
    <s v="MANAGEMENT FEE"/>
    <x v="70"/>
    <x v="17"/>
    <m/>
    <x v="0"/>
    <n v="-683782.78"/>
    <m/>
    <n v="-683782.78"/>
    <m/>
    <x v="46"/>
    <n v="0"/>
    <m/>
    <m/>
    <m/>
    <x v="43"/>
    <s v="SCBFPFUND43383"/>
  </r>
  <r>
    <d v="2018-10-10T00:00:00"/>
    <x v="7"/>
    <s v="FEES"/>
    <x v="14"/>
    <s v="REGISTRAR FEE"/>
    <x v="70"/>
    <x v="17"/>
    <m/>
    <x v="0"/>
    <n v="0"/>
    <m/>
    <n v="0"/>
    <m/>
    <x v="46"/>
    <n v="0"/>
    <m/>
    <m/>
    <m/>
    <x v="43"/>
    <s v="SCBFPFUND43383"/>
  </r>
  <r>
    <d v="2018-10-10T00:00:00"/>
    <x v="8"/>
    <s v="EQUITY"/>
    <x v="22"/>
    <s v="UNIT TRUST"/>
    <x v="422"/>
    <x v="90"/>
    <m/>
    <x v="0"/>
    <n v="47638320"/>
    <m/>
    <n v="41788000"/>
    <n v="0"/>
    <x v="287"/>
    <n v="0"/>
    <s v="Stock"/>
    <s v="THB"/>
    <d v="1900-01-01T00:00:00"/>
    <x v="0"/>
    <s v="SCBPLUS43383"/>
  </r>
  <r>
    <d v="2018-10-10T00:00:00"/>
    <x v="8"/>
    <s v="EQUITY"/>
    <x v="22"/>
    <s v="UNIT TRUST"/>
    <x v="423"/>
    <x v="91"/>
    <m/>
    <x v="0"/>
    <n v="57016080"/>
    <m/>
    <n v="43224549.200000003"/>
    <n v="0"/>
    <x v="288"/>
    <n v="0"/>
    <s v="Stock"/>
    <s v="THB"/>
    <d v="1900-01-01T00:00:00"/>
    <x v="0"/>
    <s v="SCBPLUS43383"/>
  </r>
  <r>
    <d v="2018-10-10T00:00:00"/>
    <x v="8"/>
    <s v="EQUITY"/>
    <x v="22"/>
    <s v="UNIT TRUST"/>
    <x v="424"/>
    <x v="90"/>
    <m/>
    <x v="0"/>
    <n v="539451880"/>
    <m/>
    <n v="537468633.83000004"/>
    <n v="0"/>
    <x v="289"/>
    <n v="0"/>
    <s v="Stock"/>
    <s v="THB"/>
    <d v="1900-01-01T00:00:00"/>
    <x v="0"/>
    <s v="SCBPLUS43383"/>
  </r>
  <r>
    <d v="2018-10-10T00:00:00"/>
    <x v="8"/>
    <s v="EQUITY"/>
    <x v="22"/>
    <s v="UNIT TRUST"/>
    <x v="425"/>
    <x v="92"/>
    <m/>
    <x v="0"/>
    <n v="271090800"/>
    <m/>
    <n v="225886295.06999999"/>
    <n v="0"/>
    <x v="290"/>
    <n v="0"/>
    <s v="Stock"/>
    <s v="THB"/>
    <d v="1900-01-01T00:00:00"/>
    <x v="0"/>
    <s v="SCBPLUS43383"/>
  </r>
  <r>
    <d v="2018-10-10T00:00:00"/>
    <x v="8"/>
    <s v="EQUITY"/>
    <x v="22"/>
    <s v="UNIT TRUST"/>
    <x v="426"/>
    <x v="16"/>
    <m/>
    <x v="0"/>
    <n v="523860000"/>
    <m/>
    <n v="507269024.86000001"/>
    <n v="0"/>
    <x v="291"/>
    <n v="0"/>
    <s v="Stock"/>
    <s v="THB"/>
    <d v="1900-01-01T00:00:00"/>
    <x v="0"/>
    <s v="SCBPLUS43383"/>
  </r>
  <r>
    <d v="2018-10-10T00:00:00"/>
    <x v="8"/>
    <s v="EQUITY"/>
    <x v="22"/>
    <s v="UNIT TRUST"/>
    <x v="427"/>
    <x v="93"/>
    <m/>
    <x v="0"/>
    <n v="134483160"/>
    <m/>
    <n v="131762374.98"/>
    <n v="0"/>
    <x v="292"/>
    <n v="0"/>
    <s v="Stock"/>
    <s v="THB"/>
    <d v="1900-01-01T00:00:00"/>
    <x v="0"/>
    <s v="SCBPLUS43383"/>
  </r>
  <r>
    <d v="2018-10-10T00:00:00"/>
    <x v="8"/>
    <s v="EQUITY"/>
    <x v="22"/>
    <s v="UNIT TRUST"/>
    <x v="428"/>
    <x v="94"/>
    <m/>
    <x v="0"/>
    <n v="312340240"/>
    <m/>
    <n v="292567638.68000001"/>
    <n v="0"/>
    <x v="293"/>
    <n v="0"/>
    <s v="Stock"/>
    <s v="THB"/>
    <d v="1900-01-01T00:00:00"/>
    <x v="0"/>
    <s v="SCBPLUS43383"/>
  </r>
  <r>
    <d v="2018-10-10T00:00:00"/>
    <x v="8"/>
    <s v="EQUITY"/>
    <x v="22"/>
    <s v="UNIT TRUST"/>
    <x v="429"/>
    <x v="95"/>
    <m/>
    <x v="0"/>
    <n v="69633837"/>
    <m/>
    <n v="78733562.590000004"/>
    <n v="0"/>
    <x v="294"/>
    <n v="0"/>
    <s v="Stock"/>
    <s v="THB"/>
    <d v="1900-01-01T00:00:00"/>
    <x v="0"/>
    <s v="SCBPLUS43383"/>
  </r>
  <r>
    <d v="2018-10-10T00:00:00"/>
    <x v="8"/>
    <s v="EQUITY"/>
    <x v="22"/>
    <s v="UNIT TRUST"/>
    <x v="430"/>
    <x v="96"/>
    <m/>
    <x v="0"/>
    <n v="112799960"/>
    <m/>
    <n v="82992841.569999993"/>
    <n v="0"/>
    <x v="295"/>
    <n v="0"/>
    <s v="Stock"/>
    <s v="THB"/>
    <d v="1900-01-01T00:00:00"/>
    <x v="0"/>
    <s v="SCBPLUS43383"/>
  </r>
  <r>
    <d v="2018-10-10T00:00:00"/>
    <x v="8"/>
    <s v="EQUITY"/>
    <x v="22"/>
    <s v="UNIT TRUST"/>
    <x v="431"/>
    <x v="90"/>
    <m/>
    <x v="0"/>
    <n v="868282480"/>
    <m/>
    <n v="923593848.39999998"/>
    <n v="0"/>
    <x v="296"/>
    <n v="0"/>
    <s v="Stock"/>
    <s v="THB"/>
    <d v="1900-01-01T00:00:00"/>
    <x v="0"/>
    <s v="SCBPLUS43383"/>
  </r>
  <r>
    <d v="2018-10-10T00:00:00"/>
    <x v="8"/>
    <s v="EQUITY"/>
    <x v="22"/>
    <s v="UNIT TRUST"/>
    <x v="432"/>
    <x v="97"/>
    <m/>
    <x v="0"/>
    <n v="64304896"/>
    <m/>
    <n v="63200453.380000003"/>
    <n v="0"/>
    <x v="297"/>
    <n v="0"/>
    <s v="Stock"/>
    <s v="THB"/>
    <d v="1900-01-01T00:00:00"/>
    <x v="0"/>
    <s v="SCBPLUS43383"/>
  </r>
  <r>
    <d v="2018-10-10T00:00:00"/>
    <x v="8"/>
    <s v="EQUITY"/>
    <x v="22"/>
    <s v="UNIT TRUST"/>
    <x v="433"/>
    <x v="97"/>
    <m/>
    <x v="0"/>
    <n v="146566710"/>
    <m/>
    <n v="125769011.56999999"/>
    <n v="0"/>
    <x v="298"/>
    <n v="0"/>
    <s v="Stock"/>
    <s v="THB"/>
    <d v="1900-01-01T00:00:00"/>
    <x v="0"/>
    <s v="SCBPLUS43383"/>
  </r>
  <r>
    <d v="2018-10-10T00:00:00"/>
    <x v="8"/>
    <s v="EQUITY"/>
    <x v="22"/>
    <s v="UNIT TRUST"/>
    <x v="434"/>
    <x v="98"/>
    <m/>
    <x v="0"/>
    <n v="29868020"/>
    <m/>
    <n v="32450126.739999998"/>
    <n v="0"/>
    <x v="299"/>
    <n v="0"/>
    <s v="Stock"/>
    <s v="THB"/>
    <d v="1900-01-01T00:00:00"/>
    <x v="0"/>
    <s v="SCBPLUS43383"/>
  </r>
  <r>
    <d v="2018-10-10T00:00:00"/>
    <x v="8"/>
    <s v="EQUITY"/>
    <x v="22"/>
    <s v="UNIT TRUST"/>
    <x v="435"/>
    <x v="99"/>
    <m/>
    <x v="0"/>
    <n v="156415200"/>
    <m/>
    <n v="151124972.58000001"/>
    <n v="0"/>
    <x v="300"/>
    <n v="0"/>
    <s v="Stock"/>
    <s v="THB"/>
    <d v="1900-01-01T00:00:00"/>
    <x v="0"/>
    <s v="SCBPLUS43383"/>
  </r>
  <r>
    <d v="2018-10-10T00:00:00"/>
    <x v="8"/>
    <s v="EQUITY"/>
    <x v="22"/>
    <s v="UNIT TRUST"/>
    <x v="436"/>
    <x v="93"/>
    <m/>
    <x v="0"/>
    <n v="323320000"/>
    <m/>
    <n v="272606356"/>
    <n v="0"/>
    <x v="301"/>
    <n v="0"/>
    <s v="Stock"/>
    <s v="THB"/>
    <d v="1900-01-01T00:00:00"/>
    <x v="0"/>
    <s v="SCBPLUS43383"/>
  </r>
  <r>
    <d v="2018-10-10T00:00:00"/>
    <x v="8"/>
    <s v="EQUITY"/>
    <x v="22"/>
    <s v="UNIT TRUST"/>
    <x v="437"/>
    <x v="100"/>
    <m/>
    <x v="0"/>
    <n v="328203582.69999999"/>
    <m/>
    <n v="280619096.83999997"/>
    <n v="0"/>
    <x v="302"/>
    <n v="0"/>
    <s v="Stock"/>
    <s v="THB"/>
    <d v="1900-01-01T00:00:00"/>
    <x v="0"/>
    <s v="SCBPLUS43383"/>
  </r>
  <r>
    <d v="2018-10-10T00:00:00"/>
    <x v="8"/>
    <s v="EQUITY"/>
    <x v="22"/>
    <s v="UNIT TRUST"/>
    <x v="438"/>
    <x v="101"/>
    <m/>
    <x v="0"/>
    <n v="369112194"/>
    <m/>
    <n v="352375211.10000002"/>
    <n v="0"/>
    <x v="303"/>
    <n v="0"/>
    <s v="Stock"/>
    <s v="THB"/>
    <d v="1900-01-01T00:00:00"/>
    <x v="0"/>
    <s v="SCBPLUS43383"/>
  </r>
  <r>
    <d v="2018-10-10T00:00:00"/>
    <x v="8"/>
    <s v="FIXED INCOME"/>
    <x v="0"/>
    <m/>
    <x v="0"/>
    <x v="19"/>
    <m/>
    <x v="0"/>
    <n v="3307744.37"/>
    <n v="10407.870000000001"/>
    <n v="3307744.37"/>
    <n v="0"/>
    <x v="0"/>
    <n v="0"/>
    <s v="Cash Bal"/>
    <s v="THB"/>
    <d v="1900-01-01T00:00:00"/>
    <x v="0"/>
    <s v="SCBPLUS43383"/>
  </r>
  <r>
    <d v="2018-10-10T00:00:00"/>
    <x v="8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PLUS43383"/>
  </r>
  <r>
    <d v="2018-10-10T00:00:00"/>
    <x v="8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PLUS43383"/>
  </r>
  <r>
    <d v="2018-10-10T00:00:00"/>
    <x v="8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PLUS43383"/>
  </r>
  <r>
    <d v="2018-10-10T00:00:00"/>
    <x v="8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PLUS43383"/>
  </r>
  <r>
    <d v="2018-10-10T00:00:00"/>
    <x v="8"/>
    <s v="FIXED INCOME"/>
    <x v="0"/>
    <m/>
    <x v="74"/>
    <x v="1"/>
    <s v="AA+(tha)"/>
    <x v="0"/>
    <n v="0"/>
    <m/>
    <n v="0"/>
    <n v="0"/>
    <x v="0"/>
    <n v="0"/>
    <s v="Cash Bal"/>
    <s v="JPYbb"/>
    <d v="1900-01-01T00:00:00"/>
    <x v="0"/>
    <s v="SCBPLUS43383"/>
  </r>
  <r>
    <d v="2018-10-10T00:00:00"/>
    <x v="8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PLUS43383"/>
  </r>
  <r>
    <d v="2018-10-10T00:00:00"/>
    <x v="8"/>
    <s v="FIXED INCOME"/>
    <x v="1"/>
    <m/>
    <x v="439"/>
    <x v="102"/>
    <s v="A-"/>
    <x v="33"/>
    <n v="342628000"/>
    <m/>
    <n v="342628000"/>
    <n v="0"/>
    <x v="304"/>
    <n v="2.7"/>
    <s v="Bond"/>
    <s v="USDbb"/>
    <d v="2018-04-17T00:00:00"/>
    <x v="169"/>
    <s v="SCBPLUS43383"/>
  </r>
  <r>
    <d v="2018-10-10T00:00:00"/>
    <x v="8"/>
    <s v="FIXED INCOME"/>
    <x v="1"/>
    <m/>
    <x v="440"/>
    <x v="103"/>
    <s v="Baa2"/>
    <x v="254"/>
    <n v="560065000"/>
    <n v="7078599.3099999996"/>
    <n v="544867000"/>
    <n v="0.628718"/>
    <x v="154"/>
    <n v="3.25"/>
    <s v="Bond"/>
    <s v="USDbb"/>
    <d v="2018-05-24T00:00:00"/>
    <x v="170"/>
    <s v="SCBPLUS43383"/>
  </r>
  <r>
    <d v="2018-10-10T00:00:00"/>
    <x v="8"/>
    <s v="FIXED INCOME"/>
    <x v="1"/>
    <m/>
    <x v="441"/>
    <x v="24"/>
    <s v="A+"/>
    <x v="255"/>
    <n v="1031493328"/>
    <n v="10478253.060000001"/>
    <n v="1029514267.01"/>
    <n v="0.71805699999999995"/>
    <x v="305"/>
    <n v="3.45"/>
    <s v="Bond"/>
    <s v="AEDbb"/>
    <d v="2018-06-27T00:00:00"/>
    <x v="170"/>
    <s v="SCBPLUS43383"/>
  </r>
  <r>
    <d v="2018-10-10T00:00:00"/>
    <x v="8"/>
    <s v="FIXED INCOME"/>
    <x v="1"/>
    <m/>
    <x v="442"/>
    <x v="19"/>
    <s v="AA+(tha)"/>
    <x v="19"/>
    <n v="16224336.189999999"/>
    <n v="1947.05"/>
    <n v="15789807.15"/>
    <n v="0"/>
    <x v="306"/>
    <n v="0"/>
    <s v="Bond"/>
    <s v="USDbb"/>
    <d v="2016-03-21T00:00:00"/>
    <x v="171"/>
    <s v="SCBPLUS43383"/>
  </r>
  <r>
    <d v="2018-10-10T00:00:00"/>
    <x v="8"/>
    <s v="FIXED INCOME"/>
    <x v="1"/>
    <m/>
    <x v="443"/>
    <x v="9"/>
    <s v="AAA(tha)"/>
    <x v="19"/>
    <n v="19153570.5"/>
    <n v="104227.8"/>
    <n v="19153570.5"/>
    <n v="0"/>
    <x v="307"/>
    <n v="0"/>
    <s v="Bond"/>
    <s v="THB"/>
    <d v="2016-03-21T00:00:00"/>
    <x v="171"/>
    <s v="SCBPLUS43383"/>
  </r>
  <r>
    <d v="2018-10-10T00:00:00"/>
    <x v="8"/>
    <s v="FIXED INCOME"/>
    <x v="2"/>
    <m/>
    <x v="251"/>
    <x v="40"/>
    <s v="BBB+"/>
    <x v="68"/>
    <n v="163146751.34999999"/>
    <m/>
    <n v="163291921.65000001"/>
    <n v="0.44968599999999997"/>
    <x v="122"/>
    <n v="2.2999999999999998"/>
    <s v="Bond"/>
    <s v="THB"/>
    <d v="2018-06-29T00:00:00"/>
    <x v="17"/>
    <s v="SCBPLUS43383"/>
  </r>
  <r>
    <d v="2018-10-10T00:00:00"/>
    <x v="8"/>
    <s v="FIXED INCOME"/>
    <x v="4"/>
    <m/>
    <x v="206"/>
    <x v="13"/>
    <m/>
    <x v="25"/>
    <n v="400201789.44999999"/>
    <m/>
    <n v="400151463.94999999"/>
    <n v="0.15307200000000001"/>
    <x v="308"/>
    <n v="1.3821349999999999"/>
    <s v="Bond"/>
    <s v="THB"/>
    <d v="2017-12-07T00:00:00"/>
    <x v="7"/>
    <s v="SCBPLUS43383"/>
  </r>
  <r>
    <d v="2018-10-10T00:00:00"/>
    <x v="8"/>
    <s v="FIXED INCOME"/>
    <x v="4"/>
    <m/>
    <x v="34"/>
    <x v="13"/>
    <m/>
    <x v="25"/>
    <n v="189621795.5"/>
    <m/>
    <n v="189609428.40000001"/>
    <n v="0.153115"/>
    <x v="309"/>
    <n v="1.342595"/>
    <s v="Bond"/>
    <s v="THB"/>
    <d v="2018-09-06T00:00:00"/>
    <x v="18"/>
    <s v="SCBPLUS43383"/>
  </r>
  <r>
    <d v="2018-10-10T00:00:00"/>
    <x v="8"/>
    <s v="FIXED INCOME"/>
    <x v="4"/>
    <m/>
    <x v="121"/>
    <x v="13"/>
    <m/>
    <x v="26"/>
    <n v="9976237.4000000004"/>
    <m/>
    <n v="9976237.4000000004"/>
    <n v="0.17217499999999999"/>
    <x v="17"/>
    <n v="1.38"/>
    <s v="Bond"/>
    <s v="THB"/>
    <d v="2018-06-14T00:00:00"/>
    <x v="19"/>
    <s v="SCBPLUS43383"/>
  </r>
  <r>
    <d v="2018-10-10T00:00:00"/>
    <x v="8"/>
    <s v="FIXED INCOME"/>
    <x v="4"/>
    <m/>
    <x v="35"/>
    <x v="13"/>
    <m/>
    <x v="26"/>
    <n v="69840877.400000006"/>
    <m/>
    <n v="69840877.400000006"/>
    <n v="0.17219100000000001"/>
    <x v="8"/>
    <n v="1.32"/>
    <s v="Bond"/>
    <s v="THB"/>
    <d v="2018-09-13T00:00:00"/>
    <x v="18"/>
    <s v="SCBPLUS43383"/>
  </r>
  <r>
    <d v="2018-10-10T00:00:00"/>
    <x v="8"/>
    <s v="FIXED INCOME"/>
    <x v="4"/>
    <m/>
    <x v="122"/>
    <x v="13"/>
    <m/>
    <x v="71"/>
    <n v="29912916.600000001"/>
    <m/>
    <n v="29913388.5"/>
    <n v="0.210337"/>
    <x v="4"/>
    <n v="1.3725000000000001"/>
    <s v="Bond"/>
    <s v="THB"/>
    <d v="2018-09-27T00:00:00"/>
    <x v="18"/>
    <s v="SCBPLUS43383"/>
  </r>
  <r>
    <d v="2018-10-10T00:00:00"/>
    <x v="8"/>
    <s v="FIXED INCOME"/>
    <x v="4"/>
    <m/>
    <x v="37"/>
    <x v="13"/>
    <m/>
    <x v="28"/>
    <n v="195858723.19999999"/>
    <m/>
    <n v="195855598.96000001"/>
    <n v="5.7493000000000002E-2"/>
    <x v="310"/>
    <n v="1.281463"/>
    <s v="Bond"/>
    <s v="THB"/>
    <d v="2018-05-03T00:00:00"/>
    <x v="19"/>
    <s v="SCBPLUS43383"/>
  </r>
  <r>
    <d v="2018-10-10T00:00:00"/>
    <x v="8"/>
    <s v="FIXED INCOME"/>
    <x v="4"/>
    <m/>
    <x v="39"/>
    <x v="13"/>
    <m/>
    <x v="29"/>
    <n v="424588442.75"/>
    <m/>
    <n v="424544927"/>
    <n v="7.6638999999999999E-2"/>
    <x v="311"/>
    <n v="1.397308"/>
    <s v="Bond"/>
    <s v="THB"/>
    <d v="2018-05-10T00:00:00"/>
    <x v="19"/>
    <s v="SCBPLUS43383"/>
  </r>
  <r>
    <d v="2018-10-10T00:00:00"/>
    <x v="8"/>
    <s v="FIXED INCOME"/>
    <x v="4"/>
    <m/>
    <x v="41"/>
    <x v="13"/>
    <m/>
    <x v="30"/>
    <n v="159807683.19999999"/>
    <m/>
    <n v="159782958.40000001"/>
    <n v="9.5774999999999999E-2"/>
    <x v="54"/>
    <n v="1.416563"/>
    <s v="Bond"/>
    <s v="THB"/>
    <d v="2018-05-17T00:00:00"/>
    <x v="19"/>
    <s v="SCBPLUS43383"/>
  </r>
  <r>
    <d v="2018-10-10T00:00:00"/>
    <x v="8"/>
    <s v="FIXED INCOME"/>
    <x v="4"/>
    <m/>
    <x v="43"/>
    <x v="13"/>
    <m/>
    <x v="31"/>
    <n v="279582550.80000001"/>
    <m/>
    <n v="279588201.19999999"/>
    <n v="0.114899"/>
    <x v="221"/>
    <n v="1.28"/>
    <s v="Bond"/>
    <s v="THB"/>
    <d v="2018-05-24T00:00:00"/>
    <x v="19"/>
    <s v="SCBPLUS43383"/>
  </r>
  <r>
    <d v="2018-10-10T00:00:00"/>
    <x v="8"/>
    <s v="FIXED INCOME"/>
    <x v="4"/>
    <m/>
    <x v="45"/>
    <x v="13"/>
    <m/>
    <x v="32"/>
    <n v="89845412.400000006"/>
    <m/>
    <n v="89826352.200000003"/>
    <n v="0.13400799999999999"/>
    <x v="52"/>
    <n v="1.44"/>
    <s v="Bond"/>
    <s v="THB"/>
    <d v="2018-05-31T00:00:00"/>
    <x v="19"/>
    <s v="SCBPLUS43383"/>
  </r>
  <r>
    <d v="2018-10-10T00:00:00"/>
    <x v="8"/>
    <s v="FIXED INCOME"/>
    <x v="4"/>
    <m/>
    <x v="49"/>
    <x v="13"/>
    <m/>
    <x v="6"/>
    <n v="49992193"/>
    <m/>
    <n v="49992193"/>
    <n v="1.3696E-2"/>
    <x v="3"/>
    <n v="1.1399999999999999"/>
    <s v="Bond"/>
    <s v="THB"/>
    <d v="2018-10-02T00:00:00"/>
    <x v="20"/>
    <s v="SCBPLUS43383"/>
  </r>
  <r>
    <d v="2018-10-10T00:00:00"/>
    <x v="8"/>
    <s v="FIXED INCOME"/>
    <x v="4"/>
    <m/>
    <x v="50"/>
    <x v="13"/>
    <m/>
    <x v="34"/>
    <n v="9997619.5999999996"/>
    <m/>
    <n v="9997382.9000000004"/>
    <n v="1.9174E-2"/>
    <x v="17"/>
    <n v="1.365"/>
    <s v="Bond"/>
    <s v="THB"/>
    <d v="2018-04-19T00:00:00"/>
    <x v="19"/>
    <s v="SCBPLUS43383"/>
  </r>
  <r>
    <d v="2018-10-10T00:00:00"/>
    <x v="8"/>
    <s v="FIXED INCOME"/>
    <x v="4"/>
    <m/>
    <x v="51"/>
    <x v="13"/>
    <m/>
    <x v="34"/>
    <n v="21995106.760000002"/>
    <m/>
    <n v="21995106.760000002"/>
    <n v="1.9174E-2"/>
    <x v="188"/>
    <n v="1.1599999999999999"/>
    <s v="Bond"/>
    <s v="THB"/>
    <d v="2018-07-19T00:00:00"/>
    <x v="18"/>
    <s v="SCBPLUS43383"/>
  </r>
  <r>
    <d v="2018-10-10T00:00:00"/>
    <x v="8"/>
    <s v="FIXED INCOME"/>
    <x v="4"/>
    <m/>
    <x v="52"/>
    <x v="13"/>
    <m/>
    <x v="35"/>
    <n v="119951510.40000001"/>
    <m/>
    <n v="119951510.40000001"/>
    <n v="3.5601000000000001E-2"/>
    <x v="114"/>
    <n v="1.135"/>
    <s v="Bond"/>
    <s v="THB"/>
    <d v="2018-10-09T00:00:00"/>
    <x v="21"/>
    <s v="SCBPLUS43383"/>
  </r>
  <r>
    <d v="2018-10-10T00:00:00"/>
    <x v="8"/>
    <s v="FIXED INCOME"/>
    <x v="4"/>
    <m/>
    <x v="54"/>
    <x v="13"/>
    <m/>
    <x v="36"/>
    <n v="179917878.59999999"/>
    <m/>
    <n v="179917878.59999999"/>
    <n v="3.8338999999999998E-2"/>
    <x v="312"/>
    <n v="1.19"/>
    <s v="Bond"/>
    <s v="THB"/>
    <d v="2018-07-26T00:00:00"/>
    <x v="18"/>
    <s v="SCBPLUS43383"/>
  </r>
  <r>
    <d v="2018-10-10T00:00:00"/>
    <x v="8"/>
    <s v="FIXED INCOME"/>
    <x v="4"/>
    <m/>
    <x v="123"/>
    <x v="13"/>
    <m/>
    <x v="20"/>
    <n v="24919710.75"/>
    <m/>
    <n v="24921711.75"/>
    <n v="0.22930300000000001"/>
    <x v="16"/>
    <n v="1.365"/>
    <s v="Bond"/>
    <s v="THB"/>
    <d v="2018-07-05T00:00:00"/>
    <x v="19"/>
    <s v="SCBPLUS43383"/>
  </r>
  <r>
    <d v="2018-10-10T00:00:00"/>
    <x v="8"/>
    <s v="FIXED INCOME"/>
    <x v="4"/>
    <m/>
    <x v="444"/>
    <x v="13"/>
    <m/>
    <x v="256"/>
    <n v="39768146.399999999"/>
    <m/>
    <n v="39782558.399999999"/>
    <n v="0.36227100000000001"/>
    <x v="15"/>
    <n v="1.5"/>
    <s v="Bond"/>
    <s v="THB"/>
    <d v="2018-08-23T00:00:00"/>
    <x v="19"/>
    <s v="SCBPLUS43383"/>
  </r>
  <r>
    <d v="2018-10-10T00:00:00"/>
    <x v="8"/>
    <s v="FIXED INCOME"/>
    <x v="4"/>
    <m/>
    <x v="294"/>
    <x v="13"/>
    <m/>
    <x v="160"/>
    <n v="89451040.5"/>
    <m/>
    <n v="89497858.5"/>
    <n v="0.38122200000000001"/>
    <x v="52"/>
    <n v="1.4627779999999999"/>
    <s v="Bond"/>
    <s v="THB"/>
    <d v="2018-08-30T00:00:00"/>
    <x v="19"/>
    <s v="SCBPLUS43383"/>
  </r>
  <r>
    <d v="2018-10-10T00:00:00"/>
    <x v="8"/>
    <s v="FIXED INCOME"/>
    <x v="4"/>
    <m/>
    <x v="295"/>
    <x v="13"/>
    <m/>
    <x v="93"/>
    <n v="63591772.799999997"/>
    <m/>
    <n v="63601528.960000001"/>
    <n v="0.400171"/>
    <x v="313"/>
    <n v="1.555625"/>
    <s v="Bond"/>
    <s v="THB"/>
    <d v="2018-09-06T00:00:00"/>
    <x v="19"/>
    <s v="SCBPLUS43383"/>
  </r>
  <r>
    <d v="2018-10-10T00:00:00"/>
    <x v="8"/>
    <s v="FIXED INCOME"/>
    <x v="4"/>
    <m/>
    <x v="252"/>
    <x v="13"/>
    <m/>
    <x v="130"/>
    <n v="752081589.32000005"/>
    <m/>
    <n v="752457311.13"/>
    <n v="0.41917700000000002"/>
    <x v="314"/>
    <n v="1.430879"/>
    <s v="Bond"/>
    <s v="THB"/>
    <d v="2018-03-15T00:00:00"/>
    <x v="7"/>
    <s v="SCBPLUS43383"/>
  </r>
  <r>
    <d v="2018-10-10T00:00:00"/>
    <x v="8"/>
    <s v="FIXED INCOME"/>
    <x v="4"/>
    <m/>
    <x v="296"/>
    <x v="13"/>
    <m/>
    <x v="97"/>
    <n v="114169068.65000001"/>
    <m/>
    <n v="114169068.65000001"/>
    <n v="0.43790899999999999"/>
    <x v="305"/>
    <n v="1.65"/>
    <s v="Bond"/>
    <s v="THB"/>
    <d v="2018-09-20T00:00:00"/>
    <x v="19"/>
    <s v="SCBPLUS43383"/>
  </r>
  <r>
    <d v="2018-10-10T00:00:00"/>
    <x v="8"/>
    <s v="FIXED INCOME"/>
    <x v="4"/>
    <m/>
    <x v="297"/>
    <x v="13"/>
    <m/>
    <x v="50"/>
    <n v="232262800.38"/>
    <m/>
    <n v="232319271.59999999"/>
    <n v="0.45685700000000001"/>
    <x v="257"/>
    <n v="1.5717950000000001"/>
    <s v="Bond"/>
    <s v="THB"/>
    <d v="2018-09-27T00:00:00"/>
    <x v="19"/>
    <s v="SCBPLUS43383"/>
  </r>
  <r>
    <d v="2018-10-10T00:00:00"/>
    <x v="8"/>
    <s v="FIXED INCOME"/>
    <x v="4"/>
    <m/>
    <x v="298"/>
    <x v="13"/>
    <m/>
    <x v="7"/>
    <n v="49607556.5"/>
    <m/>
    <n v="49619948.5"/>
    <n v="0.47568899999999997"/>
    <x v="3"/>
    <n v="1.5974999999999999"/>
    <s v="Bond"/>
    <s v="THB"/>
    <d v="2018-10-04T00:00:00"/>
    <x v="19"/>
    <s v="SCBPLUS43383"/>
  </r>
  <r>
    <d v="2018-10-10T00:00:00"/>
    <x v="8"/>
    <s v="FIXED INCOME"/>
    <x v="4"/>
    <m/>
    <x v="445"/>
    <x v="13"/>
    <m/>
    <x v="8"/>
    <n v="198299298"/>
    <m/>
    <n v="198299298"/>
    <n v="0.50136999999999998"/>
    <x v="13"/>
    <n v="1.72"/>
    <s v="Bond"/>
    <s v="THB"/>
    <d v="2018-10-11T00:00:00"/>
    <x v="19"/>
    <s v="SCBPLUS43383"/>
  </r>
  <r>
    <d v="2018-10-10T00:00:00"/>
    <x v="8"/>
    <s v="FIXED INCOME"/>
    <x v="4"/>
    <m/>
    <x v="299"/>
    <x v="13"/>
    <m/>
    <x v="161"/>
    <n v="168114538.5"/>
    <m/>
    <n v="168263247.69999999"/>
    <n v="0.64482300000000004"/>
    <x v="315"/>
    <n v="1.5829409999999999"/>
    <s v="Bond"/>
    <s v="THB"/>
    <d v="2018-06-07T00:00:00"/>
    <x v="7"/>
    <s v="SCBPLUS43383"/>
  </r>
  <r>
    <d v="2018-10-10T00:00:00"/>
    <x v="8"/>
    <s v="FIXED INCOME"/>
    <x v="4"/>
    <m/>
    <x v="300"/>
    <x v="13"/>
    <m/>
    <x v="162"/>
    <n v="158433048.19999999"/>
    <m/>
    <n v="158495308.50999999"/>
    <n v="0.88699899999999998"/>
    <x v="316"/>
    <n v="1.7532140000000001"/>
    <s v="Bond"/>
    <s v="THB"/>
    <d v="2018-09-06T00:00:00"/>
    <x v="7"/>
    <s v="SCBPLUS43383"/>
  </r>
  <r>
    <d v="2018-10-10T00:00:00"/>
    <x v="8"/>
    <s v="FIXED INCOME"/>
    <x v="16"/>
    <m/>
    <x v="301"/>
    <x v="13"/>
    <m/>
    <x v="97"/>
    <n v="144878387.05000001"/>
    <n v="119178.4"/>
    <n v="145094347.15000001"/>
    <n v="0.43736700000000001"/>
    <x v="171"/>
    <n v="1.365"/>
    <s v="Bond"/>
    <s v="THB"/>
    <d v="2016-03-21T00:00:00"/>
    <x v="62"/>
    <s v="SCBPLUS43383"/>
  </r>
  <r>
    <d v="2018-10-10T00:00:00"/>
    <x v="8"/>
    <s v="FIXED INCOME"/>
    <x v="16"/>
    <m/>
    <x v="302"/>
    <x v="13"/>
    <m/>
    <x v="163"/>
    <n v="49874756.5"/>
    <n v="33945"/>
    <n v="50147059.5"/>
    <n v="1.4304479999999999"/>
    <x v="3"/>
    <n v="1.5699799999999999"/>
    <s v="Bond"/>
    <s v="THB"/>
    <d v="2017-03-27T00:00:00"/>
    <x v="69"/>
    <s v="SCBPLUS43383"/>
  </r>
  <r>
    <d v="2018-10-10T00:00:00"/>
    <x v="8"/>
    <s v="FIXED INCOME"/>
    <x v="16"/>
    <m/>
    <x v="446"/>
    <x v="13"/>
    <m/>
    <x v="257"/>
    <n v="179192035.80000001"/>
    <n v="403891.20000000001"/>
    <n v="179510578.19999999"/>
    <n v="1.8349569999999999"/>
    <x v="312"/>
    <n v="1.9634499999999999"/>
    <s v="Bond"/>
    <s v="THB"/>
    <d v="2018-08-27T00:00:00"/>
    <x v="66"/>
    <s v="SCBPLUS43383"/>
  </r>
  <r>
    <d v="2018-10-10T00:00:00"/>
    <x v="8"/>
    <s v="FIXED INCOME"/>
    <x v="16"/>
    <m/>
    <x v="255"/>
    <x v="13"/>
    <m/>
    <x v="133"/>
    <n v="277475951.19999999"/>
    <n v="192701.6"/>
    <n v="280330204"/>
    <n v="1.909146"/>
    <x v="221"/>
    <n v="1.5116959999999999"/>
    <s v="Bond"/>
    <s v="THB"/>
    <d v="2017-09-25T00:00:00"/>
    <x v="69"/>
    <s v="SCBPLUS43383"/>
  </r>
  <r>
    <d v="2018-10-10T00:00:00"/>
    <x v="8"/>
    <s v="FIXED INCOME"/>
    <x v="16"/>
    <m/>
    <x v="447"/>
    <x v="104"/>
    <s v="AAA"/>
    <x v="258"/>
    <n v="18873475.390000001"/>
    <n v="185570.15"/>
    <n v="19326225.25"/>
    <n v="3.3839839999999999"/>
    <x v="102"/>
    <n v="1.83"/>
    <s v="Bond"/>
    <s v="THB"/>
    <d v="2017-05-11T00:00:00"/>
    <x v="22"/>
    <s v="SCBPLUS43383"/>
  </r>
  <r>
    <d v="2018-10-10T00:00:00"/>
    <x v="8"/>
    <s v="FIXED INCOME"/>
    <x v="16"/>
    <m/>
    <x v="256"/>
    <x v="12"/>
    <s v="BBB+"/>
    <x v="134"/>
    <n v="129248111.36"/>
    <n v="956843.52000000002"/>
    <n v="130229614.08"/>
    <n v="1.6547639999999999"/>
    <x v="317"/>
    <n v="1.5104610000000001"/>
    <s v="Bond"/>
    <s v="THB"/>
    <d v="2015-06-26T00:00:00"/>
    <x v="124"/>
    <s v="SCBPLUS43383"/>
  </r>
  <r>
    <d v="2018-10-10T00:00:00"/>
    <x v="8"/>
    <s v="FIXED INCOME"/>
    <x v="16"/>
    <m/>
    <x v="344"/>
    <x v="12"/>
    <s v="BBB+"/>
    <x v="195"/>
    <n v="70092697.219999999"/>
    <n v="777200"/>
    <n v="71230272.129999995"/>
    <n v="2.974431"/>
    <x v="318"/>
    <n v="1.605507"/>
    <s v="Bond"/>
    <s v="THB"/>
    <d v="2010-11-19T00:00:00"/>
    <x v="147"/>
    <s v="SCBPLUS43383"/>
  </r>
  <r>
    <d v="2018-10-10T00:00:00"/>
    <x v="8"/>
    <s v="FIXED INCOME"/>
    <x v="16"/>
    <m/>
    <x v="305"/>
    <x v="12"/>
    <s v="BBB+"/>
    <x v="166"/>
    <n v="384575376.89999998"/>
    <n v="2478902.4"/>
    <n v="393208810.80000001"/>
    <n v="3.961233"/>
    <x v="107"/>
    <n v="1.794038"/>
    <s v="Bond"/>
    <s v="THB"/>
    <d v="2017-08-04T00:00:00"/>
    <x v="137"/>
    <s v="SCBPLUS43383"/>
  </r>
  <r>
    <d v="2018-10-10T00:00:00"/>
    <x v="8"/>
    <s v="FIXED INCOME"/>
    <x v="16"/>
    <m/>
    <x v="306"/>
    <x v="12"/>
    <s v="BBB+"/>
    <x v="167"/>
    <n v="126738794.02"/>
    <n v="459287.88"/>
    <n v="127353112.06999999"/>
    <n v="4.8279420000000002"/>
    <x v="201"/>
    <n v="2.34274"/>
    <s v="Bond"/>
    <s v="THB"/>
    <d v="2018-08-17T00:00:00"/>
    <x v="138"/>
    <s v="SCBPLUS43383"/>
  </r>
  <r>
    <d v="2018-10-10T00:00:00"/>
    <x v="8"/>
    <s v="FIXED INCOME"/>
    <x v="5"/>
    <m/>
    <x v="362"/>
    <x v="81"/>
    <s v="A-"/>
    <x v="211"/>
    <n v="29576539.800000001"/>
    <n v="231731.4"/>
    <n v="30000000"/>
    <n v="3.9191639999999999"/>
    <x v="4"/>
    <n v="2.54"/>
    <s v="Bond"/>
    <s v="THB"/>
    <d v="2017-12-22T00:00:00"/>
    <x v="22"/>
    <s v="SCBPLUS43383"/>
  </r>
  <r>
    <d v="2018-10-10T00:00:00"/>
    <x v="8"/>
    <s v="FIXED INCOME"/>
    <x v="5"/>
    <m/>
    <x v="363"/>
    <x v="53"/>
    <s v="A"/>
    <x v="212"/>
    <n v="59673273"/>
    <n v="451528.8"/>
    <n v="59930276.399999999"/>
    <n v="2.5754860000000002"/>
    <x v="50"/>
    <n v="2.5627010000000001"/>
    <s v="Bond"/>
    <s v="THB"/>
    <d v="2016-06-24T00:00:00"/>
    <x v="22"/>
    <s v="SCBPLUS43383"/>
  </r>
  <r>
    <d v="2018-10-10T00:00:00"/>
    <x v="8"/>
    <s v="FIXED INCOME"/>
    <x v="5"/>
    <m/>
    <x v="220"/>
    <x v="53"/>
    <s v="A"/>
    <x v="108"/>
    <n v="85644702.879999995"/>
    <n v="35585.440000000002"/>
    <n v="88000000"/>
    <n v="4.2007459999999996"/>
    <x v="319"/>
    <n v="2.46"/>
    <s v="Bond"/>
    <s v="THB"/>
    <d v="2018-04-05T00:00:00"/>
    <x v="22"/>
    <s v="SCBPLUS43383"/>
  </r>
  <r>
    <d v="2018-10-10T00:00:00"/>
    <x v="8"/>
    <s v="FIXED INCOME"/>
    <x v="5"/>
    <m/>
    <x v="223"/>
    <x v="46"/>
    <s v="A"/>
    <x v="111"/>
    <n v="188632942.40000001"/>
    <n v="1664191"/>
    <n v="189262592.90000001"/>
    <n v="2.5065400000000002"/>
    <x v="309"/>
    <n v="2.449398"/>
    <s v="Bond"/>
    <s v="THB"/>
    <d v="2016-05-25T00:00:00"/>
    <x v="22"/>
    <s v="SCBPLUS43383"/>
  </r>
  <r>
    <d v="2018-10-10T00:00:00"/>
    <x v="8"/>
    <s v="FIXED INCOME"/>
    <x v="5"/>
    <m/>
    <x v="225"/>
    <x v="46"/>
    <s v="A"/>
    <x v="113"/>
    <n v="13684577.060000001"/>
    <n v="12565.42"/>
    <n v="14000000"/>
    <n v="4.1755339999999999"/>
    <x v="57"/>
    <n v="2.52"/>
    <s v="Bond"/>
    <s v="THB"/>
    <d v="2018-03-28T00:00:00"/>
    <x v="22"/>
    <s v="SCBPLUS43383"/>
  </r>
  <r>
    <d v="2018-10-10T00:00:00"/>
    <x v="8"/>
    <s v="FIXED INCOME"/>
    <x v="5"/>
    <m/>
    <x v="448"/>
    <x v="26"/>
    <s v="A"/>
    <x v="259"/>
    <n v="99934938"/>
    <n v="240329"/>
    <n v="100000000"/>
    <n v="1.8407230000000001"/>
    <x v="45"/>
    <n v="2.58"/>
    <s v="Bond"/>
    <s v="THB"/>
    <d v="2018-09-07T00:00:00"/>
    <x v="66"/>
    <s v="SCBPLUS43383"/>
  </r>
  <r>
    <d v="2018-10-10T00:00:00"/>
    <x v="8"/>
    <s v="FIXED INCOME"/>
    <x v="5"/>
    <m/>
    <x v="228"/>
    <x v="55"/>
    <s v="A-"/>
    <x v="116"/>
    <n v="99509561"/>
    <n v="720932"/>
    <n v="100000000"/>
    <n v="1.624603"/>
    <x v="45"/>
    <n v="2.23"/>
    <s v="Bond"/>
    <s v="THB"/>
    <d v="2018-06-15T00:00:00"/>
    <x v="66"/>
    <s v="SCBPLUS43383"/>
  </r>
  <r>
    <d v="2018-10-10T00:00:00"/>
    <x v="8"/>
    <s v="FIXED INCOME"/>
    <x v="5"/>
    <m/>
    <x v="366"/>
    <x v="82"/>
    <s v="A"/>
    <x v="215"/>
    <n v="33582030.859999999"/>
    <n v="274235.5"/>
    <n v="34000000"/>
    <n v="2.5535399999999999"/>
    <x v="219"/>
    <n v="2.56"/>
    <s v="Bond"/>
    <s v="THB"/>
    <d v="2018-06-18T00:00:00"/>
    <x v="69"/>
    <s v="SCBPLUS43383"/>
  </r>
  <r>
    <d v="2018-10-10T00:00:00"/>
    <x v="8"/>
    <s v="FIXED INCOME"/>
    <x v="5"/>
    <m/>
    <x v="449"/>
    <x v="14"/>
    <s v="A+"/>
    <x v="260"/>
    <n v="10105743.5"/>
    <n v="18589"/>
    <n v="10012753"/>
    <n v="2.3324959999999999"/>
    <x v="17"/>
    <n v="2.9"/>
    <s v="Bond"/>
    <s v="THB"/>
    <d v="2016-03-18T00:00:00"/>
    <x v="22"/>
    <s v="SCBPLUS43383"/>
  </r>
  <r>
    <d v="2018-10-10T00:00:00"/>
    <x v="8"/>
    <s v="FIXED INCOME"/>
    <x v="5"/>
    <m/>
    <x v="314"/>
    <x v="27"/>
    <s v="A+"/>
    <x v="175"/>
    <n v="98591025.650000006"/>
    <n v="1564194.95"/>
    <n v="99034450.5"/>
    <n v="4.1200219999999996"/>
    <x v="215"/>
    <n v="2.9789469999999998"/>
    <s v="Bond"/>
    <s v="THB"/>
    <d v="2015-05-13T00:00:00"/>
    <x v="120"/>
    <s v="SCBPLUS43383"/>
  </r>
  <r>
    <d v="2018-10-10T00:00:00"/>
    <x v="8"/>
    <s v="FIXED INCOME"/>
    <x v="5"/>
    <m/>
    <x v="315"/>
    <x v="27"/>
    <s v="A+"/>
    <x v="176"/>
    <n v="811745947.20000005"/>
    <n v="12654032.48"/>
    <n v="810762993.60000002"/>
    <n v="5.0184759999999997"/>
    <x v="320"/>
    <n v="3.2382840000000002"/>
    <s v="Bond"/>
    <s v="THB"/>
    <d v="2016-04-12T00:00:00"/>
    <x v="120"/>
    <s v="SCBPLUS43383"/>
  </r>
  <r>
    <d v="2018-10-10T00:00:00"/>
    <x v="8"/>
    <s v="FIXED INCOME"/>
    <x v="5"/>
    <m/>
    <x v="231"/>
    <x v="27"/>
    <s v="A+"/>
    <x v="117"/>
    <n v="37372347.159999996"/>
    <n v="250852.06"/>
    <n v="38000000"/>
    <n v="5.632987"/>
    <x v="321"/>
    <n v="3.05"/>
    <s v="Bond"/>
    <s v="THB"/>
    <d v="2018-01-24T00:00:00"/>
    <x v="74"/>
    <s v="SCBPLUS43383"/>
  </r>
  <r>
    <d v="2018-10-10T00:00:00"/>
    <x v="8"/>
    <s v="FIXED INCOME"/>
    <x v="5"/>
    <m/>
    <x v="371"/>
    <x v="28"/>
    <s v="A+"/>
    <x v="219"/>
    <n v="510148022.39999998"/>
    <n v="3799428.6"/>
    <n v="510258911.69999999"/>
    <n v="4.3670499999999999"/>
    <x v="322"/>
    <n v="3.0749059999999999"/>
    <s v="Bond"/>
    <s v="THB"/>
    <d v="2016-07-15T00:00:00"/>
    <x v="119"/>
    <s v="SCBPLUS43383"/>
  </r>
  <r>
    <d v="2018-10-10T00:00:00"/>
    <x v="8"/>
    <s v="FIXED INCOME"/>
    <x v="5"/>
    <m/>
    <x v="450"/>
    <x v="105"/>
    <s v="A"/>
    <x v="261"/>
    <n v="471146445"/>
    <n v="35404893.329999998"/>
    <n v="494175000"/>
    <n v="2.4805649999999999"/>
    <x v="108"/>
    <n v="3.2"/>
    <s v="Bond"/>
    <s v="USDbb"/>
    <d v="2016-07-15T00:00:00"/>
    <x v="172"/>
    <s v="SCBPLUS43383"/>
  </r>
  <r>
    <d v="2018-10-10T00:00:00"/>
    <x v="8"/>
    <s v="FIXED INCOME"/>
    <x v="5"/>
    <m/>
    <x v="451"/>
    <x v="105"/>
    <s v="A"/>
    <x v="261"/>
    <n v="314031740"/>
    <n v="24189866.25"/>
    <n v="329450000"/>
    <n v="2.4744269999999999"/>
    <x v="17"/>
    <n v="3.3"/>
    <s v="Bond"/>
    <s v="USDbb"/>
    <d v="2016-07-20T00:00:00"/>
    <x v="173"/>
    <s v="SCBPLUS43383"/>
  </r>
  <r>
    <d v="2018-10-10T00:00:00"/>
    <x v="8"/>
    <s v="FIXED INCOME"/>
    <x v="5"/>
    <m/>
    <x v="452"/>
    <x v="106"/>
    <s v="A"/>
    <x v="262"/>
    <n v="679276100.34000003"/>
    <n v="48075710.07"/>
    <n v="658900000"/>
    <n v="2.4836130000000001"/>
    <x v="112"/>
    <n v="3.2268910000000002"/>
    <s v="Bond"/>
    <s v="USDbb"/>
    <d v="2016-07-07T00:00:00"/>
    <x v="174"/>
    <s v="SCBPLUS43383"/>
  </r>
  <r>
    <d v="2018-10-10T00:00:00"/>
    <x v="8"/>
    <s v="FIXED INCOME"/>
    <x v="5"/>
    <m/>
    <x v="383"/>
    <x v="65"/>
    <s v="A+"/>
    <x v="231"/>
    <n v="150493492.5"/>
    <n v="36862.5"/>
    <n v="151657621.5"/>
    <n v="1.9196599999999999"/>
    <x v="11"/>
    <n v="2.42"/>
    <s v="Bond"/>
    <s v="THB"/>
    <d v="2015-10-08T00:00:00"/>
    <x v="124"/>
    <s v="SCBPLUS43383"/>
  </r>
  <r>
    <d v="2018-10-10T00:00:00"/>
    <x v="8"/>
    <s v="FIXED INCOME"/>
    <x v="5"/>
    <m/>
    <x v="453"/>
    <x v="30"/>
    <s v="A+"/>
    <x v="263"/>
    <n v="255771017.5"/>
    <n v="2589040"/>
    <n v="256878060"/>
    <n v="3.8562789999999998"/>
    <x v="241"/>
    <n v="2.8"/>
    <s v="Bond"/>
    <s v="THB"/>
    <d v="2015-12-25T00:00:00"/>
    <x v="74"/>
    <s v="SCBPLUS43383"/>
  </r>
  <r>
    <d v="2018-10-10T00:00:00"/>
    <x v="8"/>
    <s v="FIXED INCOME"/>
    <x v="5"/>
    <m/>
    <x v="454"/>
    <x v="30"/>
    <s v="A+"/>
    <x v="264"/>
    <n v="384716223.5"/>
    <n v="8649315.5"/>
    <n v="386606706.5"/>
    <n v="3.577744"/>
    <x v="181"/>
    <n v="2.75"/>
    <s v="Bond"/>
    <s v="THB"/>
    <d v="2012-03-30T00:00:00"/>
    <x v="175"/>
    <s v="SCBPLUS43383"/>
  </r>
  <r>
    <d v="2018-10-10T00:00:00"/>
    <x v="8"/>
    <s v="FIXED INCOME"/>
    <x v="5"/>
    <m/>
    <x v="455"/>
    <x v="30"/>
    <s v="A+"/>
    <x v="265"/>
    <n v="107012116"/>
    <n v="352877"/>
    <n v="107450045"/>
    <n v="3.992718"/>
    <x v="45"/>
    <n v="2.8"/>
    <s v="Bond"/>
    <s v="THB"/>
    <d v="2013-03-13T00:00:00"/>
    <x v="118"/>
    <s v="SCBPLUS43383"/>
  </r>
  <r>
    <d v="2018-10-10T00:00:00"/>
    <x v="8"/>
    <s v="FIXED INCOME"/>
    <x v="5"/>
    <m/>
    <x v="456"/>
    <x v="30"/>
    <s v="A+"/>
    <x v="266"/>
    <n v="237272554.19999999"/>
    <n v="1769414.03"/>
    <n v="239495061.50999999"/>
    <n v="4.3540979999999996"/>
    <x v="323"/>
    <n v="2.78"/>
    <s v="Bond"/>
    <s v="THB"/>
    <d v="2018-07-06T00:00:00"/>
    <x v="176"/>
    <s v="SCBPLUS43383"/>
  </r>
  <r>
    <d v="2018-10-10T00:00:00"/>
    <x v="8"/>
    <s v="FIXED INCOME"/>
    <x v="5"/>
    <m/>
    <x v="235"/>
    <x v="60"/>
    <s v="A"/>
    <x v="121"/>
    <n v="17962795.98"/>
    <n v="116196.12"/>
    <n v="18000000"/>
    <n v="1.1482889999999999"/>
    <x v="202"/>
    <n v="1.98"/>
    <s v="Bond"/>
    <s v="THB"/>
    <d v="2017-12-14T00:00:00"/>
    <x v="122"/>
    <s v="SCBPLUS43383"/>
  </r>
  <r>
    <d v="2018-10-10T00:00:00"/>
    <x v="8"/>
    <s v="FIXED INCOME"/>
    <x v="5"/>
    <m/>
    <x v="392"/>
    <x v="87"/>
    <s v="A"/>
    <x v="238"/>
    <n v="173684101.5"/>
    <n v="1511280.75"/>
    <n v="174864830"/>
    <n v="2.5165310000000001"/>
    <x v="116"/>
    <n v="2.398571"/>
    <s v="Bond"/>
    <s v="THB"/>
    <d v="2018-05-31T00:00:00"/>
    <x v="69"/>
    <s v="SCBPLUS43383"/>
  </r>
  <r>
    <d v="2018-10-10T00:00:00"/>
    <x v="8"/>
    <s v="FIXED INCOME"/>
    <x v="5"/>
    <m/>
    <x v="396"/>
    <x v="36"/>
    <s v="A-"/>
    <x v="242"/>
    <n v="75497242.5"/>
    <n v="674979.75"/>
    <n v="75424989.75"/>
    <n v="0.69337000000000004"/>
    <x v="56"/>
    <n v="2.25"/>
    <s v="Bond"/>
    <s v="THB"/>
    <d v="2015-06-26T00:00:00"/>
    <x v="121"/>
    <s v="SCBPLUS43383"/>
  </r>
  <r>
    <d v="2018-10-10T00:00:00"/>
    <x v="8"/>
    <s v="FIXED INCOME"/>
    <x v="5"/>
    <m/>
    <x v="138"/>
    <x v="36"/>
    <s v="A-"/>
    <x v="80"/>
    <n v="5929175.8200000003"/>
    <n v="12782.46"/>
    <n v="6000000"/>
    <n v="2.3130760000000001"/>
    <x v="170"/>
    <n v="2.16"/>
    <s v="Bond"/>
    <s v="THB"/>
    <d v="2018-03-05T00:00:00"/>
    <x v="69"/>
    <s v="SCBPLUS43383"/>
  </r>
  <r>
    <d v="2018-10-10T00:00:00"/>
    <x v="8"/>
    <s v="FIXED INCOME"/>
    <x v="5"/>
    <m/>
    <x v="140"/>
    <x v="11"/>
    <s v="A"/>
    <x v="81"/>
    <n v="22768265.57"/>
    <n v="34241.71"/>
    <n v="23000000"/>
    <n v="2.3435800000000002"/>
    <x v="177"/>
    <n v="2.09"/>
    <s v="Bond"/>
    <s v="THB"/>
    <d v="2018-03-15T00:00:00"/>
    <x v="69"/>
    <s v="SCBPLUS43383"/>
  </r>
  <r>
    <d v="2018-10-10T00:00:00"/>
    <x v="8"/>
    <s v="FIXED INCOME"/>
    <x v="5"/>
    <m/>
    <x v="457"/>
    <x v="107"/>
    <s v="A"/>
    <x v="267"/>
    <n v="98112180"/>
    <n v="554384"/>
    <n v="100000000"/>
    <n v="4.4288150000000002"/>
    <x v="45"/>
    <n v="2.85"/>
    <s v="Bond"/>
    <s v="THB"/>
    <d v="2016-08-01T00:00:00"/>
    <x v="119"/>
    <s v="SCBPLUS43383"/>
  </r>
  <r>
    <d v="2018-10-10T00:00:00"/>
    <x v="8"/>
    <s v="FIXED INCOME"/>
    <x v="5"/>
    <m/>
    <x v="283"/>
    <x v="37"/>
    <s v="AA"/>
    <x v="155"/>
    <n v="499326860"/>
    <n v="964385"/>
    <n v="500000000"/>
    <n v="3.2221039999999999"/>
    <x v="6"/>
    <n v="3.2"/>
    <s v="Bond"/>
    <s v="THB"/>
    <d v="2018-09-19T00:00:00"/>
    <x v="133"/>
    <s v="SCBPLUS43383"/>
  </r>
  <r>
    <d v="2018-10-10T00:00:00"/>
    <x v="8"/>
    <s v="FIXED INCOME"/>
    <x v="5"/>
    <m/>
    <x v="325"/>
    <x v="37"/>
    <s v="AA"/>
    <x v="185"/>
    <n v="11763045.84"/>
    <n v="17240.52"/>
    <n v="12000000"/>
    <n v="4.1363830000000004"/>
    <x v="157"/>
    <n v="2.76"/>
    <s v="Bond"/>
    <s v="THB"/>
    <d v="2018-03-22T00:00:00"/>
    <x v="22"/>
    <s v="SCBPLUS43383"/>
  </r>
  <r>
    <d v="2018-10-10T00:00:00"/>
    <x v="8"/>
    <s v="FIXED INCOME"/>
    <x v="5"/>
    <m/>
    <x v="458"/>
    <x v="37"/>
    <s v="AA"/>
    <x v="268"/>
    <n v="60584730.600000001"/>
    <n v="112438.2"/>
    <n v="60000000"/>
    <n v="7.9431719999999997"/>
    <x v="50"/>
    <n v="3.6"/>
    <s v="Bond"/>
    <s v="THB"/>
    <d v="2018-03-22T00:00:00"/>
    <x v="117"/>
    <s v="SCBPLUS43383"/>
  </r>
  <r>
    <d v="2018-10-10T00:00:00"/>
    <x v="8"/>
    <s v="FIXED INCOME"/>
    <x v="5"/>
    <m/>
    <x v="241"/>
    <x v="61"/>
    <s v="A"/>
    <x v="126"/>
    <n v="1982969.56"/>
    <n v="3254.8"/>
    <n v="2000000"/>
    <n v="2.3377979999999998"/>
    <x v="149"/>
    <n v="2.2000000000000002"/>
    <s v="Bond"/>
    <s v="THB"/>
    <d v="2018-03-14T00:00:00"/>
    <x v="69"/>
    <s v="SCBPLUS43383"/>
  </r>
  <r>
    <d v="2018-10-10T00:00:00"/>
    <x v="8"/>
    <s v="FIXED INCOME"/>
    <x v="5"/>
    <m/>
    <x v="459"/>
    <x v="108"/>
    <s v="AA-(tha)"/>
    <x v="269"/>
    <n v="48078285.75"/>
    <n v="388133.28"/>
    <n v="50357146.579999998"/>
    <n v="3.9078020000000002"/>
    <x v="324"/>
    <n v="3.14615"/>
    <s v="Bond"/>
    <s v="USDbb"/>
    <d v="2013-01-23T00:00:00"/>
    <x v="118"/>
    <s v="SCBPLUS43383"/>
  </r>
  <r>
    <d v="2018-10-10T00:00:00"/>
    <x v="8"/>
    <s v="FIXED INCOME"/>
    <x v="5"/>
    <m/>
    <x v="354"/>
    <x v="79"/>
    <s v="A"/>
    <x v="205"/>
    <n v="96625641.109999999"/>
    <n v="697602.66"/>
    <n v="97000000"/>
    <n v="2.5881409999999998"/>
    <x v="325"/>
    <n v="2.5"/>
    <s v="Bond"/>
    <s v="THB"/>
    <d v="2018-06-28T00:00:00"/>
    <x v="69"/>
    <s v="SCBPLUS43383"/>
  </r>
  <r>
    <d v="2018-10-10T00:00:00"/>
    <x v="8"/>
    <s v="FIXED INCOME"/>
    <x v="5"/>
    <m/>
    <x v="243"/>
    <x v="39"/>
    <s v="BBB+"/>
    <x v="128"/>
    <n v="42014672.700000003"/>
    <n v="585054.12"/>
    <n v="42000000"/>
    <n v="0.12844700000000001"/>
    <x v="218"/>
    <n v="2.2799999999999998"/>
    <s v="Bond"/>
    <s v="THB"/>
    <d v="2018-03-02T00:00:00"/>
    <x v="17"/>
    <s v="SCBPLUS43383"/>
  </r>
  <r>
    <d v="2018-10-10T00:00:00"/>
    <x v="8"/>
    <s v="FIXED INCOME"/>
    <x v="5"/>
    <m/>
    <x v="244"/>
    <x v="39"/>
    <s v="BBB+"/>
    <x v="34"/>
    <n v="237004943.81999999"/>
    <n v="1856717.25"/>
    <n v="237000000"/>
    <n v="1.9172000000000002E-2"/>
    <x v="239"/>
    <n v="2.15"/>
    <s v="Bond"/>
    <s v="THB"/>
    <d v="2018-05-31T00:00:00"/>
    <x v="125"/>
    <s v="SCBPLUS43383"/>
  </r>
  <r>
    <d v="2018-10-10T00:00:00"/>
    <x v="8"/>
    <s v="FIXED INCOME"/>
    <x v="5"/>
    <m/>
    <x v="284"/>
    <x v="39"/>
    <s v="BBB+"/>
    <x v="67"/>
    <n v="22002871"/>
    <n v="221808.18"/>
    <n v="22000000"/>
    <n v="0.29935499999999998"/>
    <x v="188"/>
    <n v="2.2999999999999998"/>
    <s v="Bond"/>
    <s v="THB"/>
    <d v="2018-05-04T00:00:00"/>
    <x v="17"/>
    <s v="SCBPLUS43383"/>
  </r>
  <r>
    <d v="2018-10-10T00:00:00"/>
    <x v="8"/>
    <s v="FIXED INCOME"/>
    <x v="5"/>
    <m/>
    <x v="245"/>
    <x v="39"/>
    <s v="BBB+"/>
    <x v="67"/>
    <n v="155421850.78999999"/>
    <n v="1331756.24"/>
    <n v="155400000"/>
    <n v="0.29935499999999998"/>
    <x v="326"/>
    <n v="2.2999999999999998"/>
    <s v="Bond"/>
    <s v="THB"/>
    <d v="2018-05-28T00:00:00"/>
    <x v="73"/>
    <s v="SCBPLUS43383"/>
  </r>
  <r>
    <d v="2018-10-10T00:00:00"/>
    <x v="8"/>
    <s v="FIXED INCOME"/>
    <x v="5"/>
    <m/>
    <x v="355"/>
    <x v="39"/>
    <s v="BBB+"/>
    <x v="206"/>
    <n v="131296415.90000001"/>
    <n v="2254306.6"/>
    <n v="129974301.59999999"/>
    <n v="3.6681819999999998"/>
    <x v="92"/>
    <n v="4.1100000000000003"/>
    <s v="Bond"/>
    <s v="THB"/>
    <d v="2015-11-10T00:00:00"/>
    <x v="74"/>
    <s v="SCBPLUS43383"/>
  </r>
  <r>
    <d v="2018-10-10T00:00:00"/>
    <x v="8"/>
    <s v="FIXED INCOME"/>
    <x v="5"/>
    <m/>
    <x v="460"/>
    <x v="109"/>
    <s v="AA-"/>
    <x v="270"/>
    <n v="38954251.600000001"/>
    <n v="181293.2"/>
    <n v="40056559.600000001"/>
    <n v="4.0441050000000001"/>
    <x v="15"/>
    <n v="2.2926250000000001"/>
    <s v="Bond"/>
    <s v="THB"/>
    <d v="2018-02-01T00:00:00"/>
    <x v="22"/>
    <s v="SCBPLUS43383"/>
  </r>
  <r>
    <d v="2018-10-10T00:00:00"/>
    <x v="8"/>
    <s v="FIXED INCOME"/>
    <x v="5"/>
    <m/>
    <x v="246"/>
    <x v="40"/>
    <s v="BBB+"/>
    <x v="27"/>
    <n v="35018108.649999999"/>
    <n v="432273.8"/>
    <n v="35000000"/>
    <n v="0.19100300000000001"/>
    <x v="5"/>
    <n v="2.2999999999999998"/>
    <s v="Bond"/>
    <s v="THB"/>
    <d v="2018-03-29T00:00:00"/>
    <x v="56"/>
    <s v="SCBPLUS43383"/>
  </r>
  <r>
    <d v="2018-10-10T00:00:00"/>
    <x v="8"/>
    <s v="FIXED INCOME"/>
    <x v="5"/>
    <m/>
    <x v="148"/>
    <x v="40"/>
    <s v="BBB+"/>
    <x v="67"/>
    <n v="66993780.390000001"/>
    <n v="574180.62"/>
    <n v="67000000"/>
    <n v="0.29928500000000002"/>
    <x v="318"/>
    <n v="2.2999999999999998"/>
    <s v="Bond"/>
    <s v="THB"/>
    <d v="2018-05-28T00:00:00"/>
    <x v="73"/>
    <s v="SCBPLUS43383"/>
  </r>
  <r>
    <d v="2018-10-10T00:00:00"/>
    <x v="8"/>
    <s v="FIXED INCOME"/>
    <x v="5"/>
    <m/>
    <x v="149"/>
    <x v="40"/>
    <s v="BBB+"/>
    <x v="86"/>
    <n v="137825464.5"/>
    <n v="979232.82"/>
    <n v="138000000"/>
    <n v="2.638757"/>
    <x v="327"/>
    <n v="3.7"/>
    <s v="Bond"/>
    <s v="THB"/>
    <d v="2018-08-02T00:00:00"/>
    <x v="69"/>
    <s v="SCBPLUS43383"/>
  </r>
  <r>
    <d v="2018-10-10T00:00:00"/>
    <x v="8"/>
    <s v="FIXED INCOME"/>
    <x v="5"/>
    <m/>
    <x v="150"/>
    <x v="41"/>
    <s v="A-"/>
    <x v="87"/>
    <n v="30734568.699999999"/>
    <n v="154269.64000000001"/>
    <n v="31000000"/>
    <n v="2.4463970000000002"/>
    <x v="131"/>
    <n v="2.39"/>
    <s v="Bond"/>
    <s v="THB"/>
    <d v="2018-04-27T00:00:00"/>
    <x v="69"/>
    <s v="SCBPLUS43383"/>
  </r>
  <r>
    <d v="2018-10-10T00:00:00"/>
    <x v="8"/>
    <s v="FIXED INCOME"/>
    <x v="5"/>
    <m/>
    <x v="151"/>
    <x v="42"/>
    <s v="A"/>
    <x v="88"/>
    <n v="61531661.299999997"/>
    <n v="42228.2"/>
    <n v="62024808.68"/>
    <n v="2.3912019999999998"/>
    <x v="269"/>
    <n v="2.2438709999999999"/>
    <s v="Bond"/>
    <s v="THB"/>
    <d v="2018-03-30T00:00:00"/>
    <x v="69"/>
    <s v="SCBPLUS43383"/>
  </r>
  <r>
    <d v="2018-10-10T00:00:00"/>
    <x v="8"/>
    <s v="FIXED INCOME"/>
    <x v="5"/>
    <m/>
    <x v="350"/>
    <x v="77"/>
    <s v="A+"/>
    <x v="201"/>
    <n v="2071204.44"/>
    <n v="24618.080000000002"/>
    <n v="2107952.6"/>
    <n v="3.3849580000000001"/>
    <x v="149"/>
    <n v="2.2999999999999998"/>
    <s v="Bond"/>
    <s v="THB"/>
    <d v="2015-06-16T00:00:00"/>
    <x v="74"/>
    <s v="SCBPLUS43383"/>
  </r>
  <r>
    <d v="2018-10-10T00:00:00"/>
    <x v="8"/>
    <s v="FIXED INCOME"/>
    <x v="5"/>
    <m/>
    <x v="378"/>
    <x v="59"/>
    <s v="AA-"/>
    <x v="226"/>
    <n v="31617261.120000001"/>
    <n v="253150.72"/>
    <n v="32000000"/>
    <n v="2.5386139999999999"/>
    <x v="173"/>
    <n v="2.31"/>
    <s v="Bond"/>
    <s v="THB"/>
    <d v="2018-06-08T00:00:00"/>
    <x v="69"/>
    <s v="SCBPLUS43383"/>
  </r>
  <r>
    <d v="2018-10-10T00:00:00"/>
    <x v="8"/>
    <s v="FIXED INCOME"/>
    <x v="5"/>
    <m/>
    <x v="461"/>
    <x v="110"/>
    <m/>
    <x v="271"/>
    <n v="129003033.90000001"/>
    <n v="1560000"/>
    <n v="130000000"/>
    <n v="2.904623"/>
    <x v="92"/>
    <n v="3"/>
    <s v="Bond"/>
    <s v="THB"/>
    <d v="2016-11-18T00:00:00"/>
    <x v="22"/>
    <s v="SCBPLUS43383"/>
  </r>
  <r>
    <d v="2018-10-10T00:00:00"/>
    <x v="8"/>
    <s v="FIXED INCOME"/>
    <x v="5"/>
    <m/>
    <x v="346"/>
    <x v="75"/>
    <s v="A-"/>
    <x v="197"/>
    <n v="297141141"/>
    <n v="1577835"/>
    <n v="300000000"/>
    <n v="2.6589749999999999"/>
    <x v="9"/>
    <n v="2.37"/>
    <s v="Bond"/>
    <s v="THB"/>
    <d v="2016-07-22T00:00:00"/>
    <x v="22"/>
    <s v="SCBPLUS43383"/>
  </r>
  <r>
    <d v="2018-10-10T00:00:00"/>
    <x v="8"/>
    <s v="FIXED INCOME"/>
    <x v="15"/>
    <m/>
    <x v="462"/>
    <x v="111"/>
    <s v="BBB-"/>
    <x v="272"/>
    <n v="367921588.06"/>
    <n v="4092647.53"/>
    <n v="368984000"/>
    <n v="0.66560699999999995"/>
    <x v="328"/>
    <n v="3.3"/>
    <s v="Bond"/>
    <s v="USDbb"/>
    <d v="2018-06-12T00:00:00"/>
    <x v="3"/>
    <s v="SCBPLUS43383"/>
  </r>
  <r>
    <d v="2018-10-10T00:00:00"/>
    <x v="8"/>
    <s v="FIXED INCOME"/>
    <x v="15"/>
    <m/>
    <x v="463"/>
    <x v="48"/>
    <s v="A"/>
    <x v="273"/>
    <n v="635404781.84000003"/>
    <n v="9878810.8300000001"/>
    <n v="635838500"/>
    <n v="0.516432"/>
    <x v="329"/>
    <n v="3.16"/>
    <s v="Bond"/>
    <s v="USDbb"/>
    <d v="2018-04-17T00:00:00"/>
    <x v="3"/>
    <s v="SCBPLUS43383"/>
  </r>
  <r>
    <d v="2018-10-10T00:00:00"/>
    <x v="8"/>
    <s v="FIXED INCOME"/>
    <x v="15"/>
    <m/>
    <x v="464"/>
    <x v="112"/>
    <s v="A+"/>
    <x v="274"/>
    <n v="95765041.590000004"/>
    <n v="85327.55"/>
    <n v="99321684.299999997"/>
    <n v="2.8187449999999998"/>
    <x v="156"/>
    <n v="2.9335770000000001"/>
    <s v="Bond"/>
    <s v="USDbb"/>
    <d v="2016-04-01T00:00:00"/>
    <x v="177"/>
    <s v="SCBPLUS43383"/>
  </r>
  <r>
    <d v="2018-10-10T00:00:00"/>
    <x v="8"/>
    <s v="FIXED INCOME"/>
    <x v="22"/>
    <s v="UNIT TRUST"/>
    <x v="465"/>
    <x v="113"/>
    <m/>
    <x v="275"/>
    <n v="486195171.64999998"/>
    <m/>
    <n v="467514130.23000002"/>
    <n v="0"/>
    <x v="330"/>
    <n v="0"/>
    <s v="Bond"/>
    <s v="USDbb"/>
    <d v="2017-12-01T00:00:00"/>
    <x v="178"/>
    <s v="SCBPLUS43383"/>
  </r>
  <r>
    <d v="2018-10-10T00:00:00"/>
    <x v="8"/>
    <s v="FIXED INCOME"/>
    <x v="22"/>
    <s v="UNIT TRUST"/>
    <x v="466"/>
    <x v="113"/>
    <m/>
    <x v="275"/>
    <n v="486582072.52999997"/>
    <m/>
    <n v="471305087.43000001"/>
    <n v="0"/>
    <x v="331"/>
    <n v="0"/>
    <s v="Bond"/>
    <s v="HKDbb"/>
    <d v="2017-06-19T00:00:00"/>
    <x v="179"/>
    <s v="SCBPLUS43383"/>
  </r>
  <r>
    <d v="2018-10-10T00:00:00"/>
    <x v="8"/>
    <s v="DERIVATIVE"/>
    <x v="6"/>
    <m/>
    <x v="467"/>
    <x v="0"/>
    <s v="AAA"/>
    <x v="29"/>
    <n v="-12264746.630000001"/>
    <m/>
    <n v="0"/>
    <n v="0"/>
    <x v="0"/>
    <n v="0"/>
    <s v="Future"/>
    <s v="THB"/>
    <d v="1900-01-01T00:00:00"/>
    <x v="180"/>
    <s v="SCBPLUS43383"/>
  </r>
  <r>
    <d v="2018-10-10T00:00:00"/>
    <x v="8"/>
    <s v="DERIVATIVE"/>
    <x v="6"/>
    <m/>
    <x v="468"/>
    <x v="19"/>
    <s v="AA+(tha)"/>
    <x v="33"/>
    <n v="-20524027.949999999"/>
    <m/>
    <n v="0"/>
    <n v="0"/>
    <x v="0"/>
    <n v="0"/>
    <s v="Future"/>
    <s v="THB"/>
    <d v="1900-01-01T00:00:00"/>
    <x v="181"/>
    <s v="SCBPLUS43383"/>
  </r>
  <r>
    <d v="2018-10-10T00:00:00"/>
    <x v="8"/>
    <s v="DERIVATIVE"/>
    <x v="6"/>
    <m/>
    <x v="469"/>
    <x v="8"/>
    <s v="AA+(tha)"/>
    <x v="36"/>
    <n v="-20475244.079999998"/>
    <m/>
    <n v="0"/>
    <n v="0"/>
    <x v="0"/>
    <n v="0"/>
    <s v="Future"/>
    <s v="THB"/>
    <d v="1900-01-01T00:00:00"/>
    <x v="94"/>
    <s v="SCBPLUS43383"/>
  </r>
  <r>
    <d v="2018-10-10T00:00:00"/>
    <x v="8"/>
    <s v="DERIVATIVE"/>
    <x v="6"/>
    <m/>
    <x v="470"/>
    <x v="89"/>
    <s v="A+"/>
    <x v="273"/>
    <n v="-38630047.850000001"/>
    <m/>
    <n v="0"/>
    <n v="0"/>
    <x v="0"/>
    <n v="0"/>
    <s v="Future"/>
    <s v="THB"/>
    <d v="1900-01-01T00:00:00"/>
    <x v="182"/>
    <s v="SCBPLUS43383"/>
  </r>
  <r>
    <d v="2018-10-10T00:00:00"/>
    <x v="8"/>
    <s v="DERIVATIVE"/>
    <x v="6"/>
    <m/>
    <x v="471"/>
    <x v="89"/>
    <s v="A+"/>
    <x v="254"/>
    <n v="-20842265.559999999"/>
    <m/>
    <n v="0"/>
    <n v="0"/>
    <x v="0"/>
    <n v="0"/>
    <s v="Future"/>
    <s v="THB"/>
    <d v="1900-01-01T00:00:00"/>
    <x v="183"/>
    <s v="SCBPLUS43383"/>
  </r>
  <r>
    <d v="2018-10-10T00:00:00"/>
    <x v="8"/>
    <s v="DERIVATIVE"/>
    <x v="6"/>
    <m/>
    <x v="472"/>
    <x v="1"/>
    <s v="AA+(tha)"/>
    <x v="272"/>
    <n v="-13902898.34"/>
    <m/>
    <n v="0"/>
    <n v="0"/>
    <x v="0"/>
    <n v="0"/>
    <s v="Future"/>
    <s v="THB"/>
    <d v="1900-01-01T00:00:00"/>
    <x v="184"/>
    <s v="SCBPLUS43383"/>
  </r>
  <r>
    <d v="2018-10-10T00:00:00"/>
    <x v="8"/>
    <s v="DERIVATIVE"/>
    <x v="6"/>
    <m/>
    <x v="473"/>
    <x v="114"/>
    <s v="AA-"/>
    <x v="276"/>
    <n v="-8347198.7199999997"/>
    <m/>
    <n v="0"/>
    <n v="0"/>
    <x v="0"/>
    <n v="0"/>
    <s v="Future"/>
    <s v="THB"/>
    <d v="1900-01-01T00:00:00"/>
    <x v="185"/>
    <s v="SCBPLUS43383"/>
  </r>
  <r>
    <d v="2018-10-10T00:00:00"/>
    <x v="8"/>
    <s v="DERIVATIVE"/>
    <x v="6"/>
    <m/>
    <x v="474"/>
    <x v="8"/>
    <s v="AA+(tha)"/>
    <x v="255"/>
    <n v="-6391359.3700000001"/>
    <m/>
    <n v="0"/>
    <n v="0"/>
    <x v="0"/>
    <n v="0"/>
    <s v="Future"/>
    <s v="THB"/>
    <d v="1900-01-01T00:00:00"/>
    <x v="186"/>
    <s v="SCBPLUS43383"/>
  </r>
  <r>
    <d v="2018-10-10T00:00:00"/>
    <x v="8"/>
    <s v="DERIVATIVE"/>
    <x v="21"/>
    <m/>
    <x v="475"/>
    <x v="1"/>
    <s v="AA+(tha)"/>
    <x v="274"/>
    <n v="9435495.0700000003"/>
    <m/>
    <n v="0"/>
    <n v="0"/>
    <x v="0"/>
    <n v="0"/>
    <s v="Swap"/>
    <s v="THB"/>
    <d v="1900-01-01T00:00:00"/>
    <x v="187"/>
    <s v="SCBPLUS43383"/>
  </r>
  <r>
    <d v="2018-10-10T00:00:00"/>
    <x v="8"/>
    <s v="DERIVATIVE"/>
    <x v="21"/>
    <m/>
    <x v="476"/>
    <x v="1"/>
    <s v="AA+(tha)"/>
    <x v="269"/>
    <n v="4813704.01"/>
    <m/>
    <n v="0"/>
    <n v="0"/>
    <x v="0"/>
    <n v="0"/>
    <s v="Swap"/>
    <s v="THB"/>
    <d v="1900-01-01T00:00:00"/>
    <x v="188"/>
    <s v="SCBPLUS43383"/>
  </r>
  <r>
    <d v="2018-10-10T00:00:00"/>
    <x v="8"/>
    <s v="ACCRUED PAYABLE"/>
    <x v="8"/>
    <s v="Settle Date :11/10/2018"/>
    <x v="296"/>
    <x v="17"/>
    <m/>
    <x v="0"/>
    <n v="-114169068.65000001"/>
    <m/>
    <n v="-114169068.65000001"/>
    <m/>
    <x v="46"/>
    <n v="0"/>
    <s v="Bond"/>
    <s v="THB"/>
    <d v="2018-09-20T00:00:00"/>
    <x v="141"/>
    <s v="SCBPLUS43383"/>
  </r>
  <r>
    <d v="2018-10-10T00:00:00"/>
    <x v="8"/>
    <s v="ACCRUED PAYABLE"/>
    <x v="8"/>
    <s v="Settle Date :11/10/2018"/>
    <x v="445"/>
    <x v="17"/>
    <m/>
    <x v="0"/>
    <n v="-198299298"/>
    <m/>
    <n v="-198299298"/>
    <m/>
    <x v="46"/>
    <n v="0"/>
    <s v="Bond"/>
    <s v="THB"/>
    <d v="2018-10-11T00:00:00"/>
    <x v="31"/>
    <s v="SCBPLUS43383"/>
  </r>
  <r>
    <d v="2018-10-10T00:00:00"/>
    <x v="8"/>
    <s v="ACCRUED PAYABLE"/>
    <x v="8"/>
    <s v="Settle Date :11/10/2018"/>
    <x v="300"/>
    <x v="17"/>
    <m/>
    <x v="0"/>
    <n v="-63963653"/>
    <m/>
    <n v="-63963653"/>
    <m/>
    <x v="46"/>
    <n v="0"/>
    <s v="Bond"/>
    <s v="THB"/>
    <d v="2018-09-06T00:00:00"/>
    <x v="189"/>
    <s v="SCBPLUS43383"/>
  </r>
  <r>
    <d v="2018-10-10T00:00:00"/>
    <x v="8"/>
    <s v="ACCRUED PAYABLE"/>
    <x v="8"/>
    <s v="Settle Date :12/10/2018"/>
    <x v="432"/>
    <x v="17"/>
    <m/>
    <x v="0"/>
    <n v="-63200453.380000003"/>
    <m/>
    <n v="-63200453.380000003"/>
    <m/>
    <x v="46"/>
    <n v="0"/>
    <s v="Stock"/>
    <s v="THB"/>
    <d v="1900-01-01T00:00:00"/>
    <x v="0"/>
    <s v="SCBPLUS43383"/>
  </r>
  <r>
    <d v="2018-10-10T00:00:00"/>
    <x v="8"/>
    <s v="ACCRUED PAYABLE"/>
    <x v="9"/>
    <s v="AUDITING FEE"/>
    <x v="69"/>
    <x v="17"/>
    <m/>
    <x v="0"/>
    <n v="-73644.479999999996"/>
    <m/>
    <m/>
    <m/>
    <x v="46"/>
    <n v="0"/>
    <m/>
    <m/>
    <m/>
    <x v="43"/>
    <s v="SCBPLUS43383"/>
  </r>
  <r>
    <d v="2018-10-10T00:00:00"/>
    <x v="8"/>
    <s v="ACCRUED PAYABLE"/>
    <x v="10"/>
    <m/>
    <x v="70"/>
    <x v="17"/>
    <m/>
    <x v="0"/>
    <n v="-305664.87"/>
    <n v="0"/>
    <m/>
    <m/>
    <x v="46"/>
    <n v="0"/>
    <m/>
    <m/>
    <m/>
    <x v="43"/>
    <s v="SCBPLUS43383"/>
  </r>
  <r>
    <d v="2018-10-10T00:00:00"/>
    <x v="8"/>
    <s v="ACCRUED PAYABLE"/>
    <x v="12"/>
    <s v="CUSTODIAN FEE"/>
    <x v="70"/>
    <x v="17"/>
    <m/>
    <x v="0"/>
    <n v="-164086.45000000001"/>
    <m/>
    <n v="-164086.45000000001"/>
    <m/>
    <x v="46"/>
    <n v="0"/>
    <m/>
    <m/>
    <m/>
    <x v="43"/>
    <s v="SCBPLUS43383"/>
  </r>
  <r>
    <d v="2018-10-10T00:00:00"/>
    <x v="8"/>
    <s v="ACCRUED PAYABLE"/>
    <x v="13"/>
    <s v="MANAGEMENT FEE"/>
    <x v="70"/>
    <x v="17"/>
    <m/>
    <x v="0"/>
    <n v="-3011799.67"/>
    <m/>
    <n v="-3011799.67"/>
    <m/>
    <x v="46"/>
    <n v="0"/>
    <m/>
    <m/>
    <m/>
    <x v="43"/>
    <s v="SCBPLUS43383"/>
  </r>
  <r>
    <d v="2018-10-10T00:00:00"/>
    <x v="8"/>
    <s v="FEES"/>
    <x v="12"/>
    <s v="CUSTODIAN FEE"/>
    <x v="70"/>
    <x v="17"/>
    <m/>
    <x v="0"/>
    <n v="-18381.43"/>
    <m/>
    <n v="-18381.43"/>
    <m/>
    <x v="46"/>
    <n v="0"/>
    <m/>
    <m/>
    <m/>
    <x v="43"/>
    <s v="SCBPLUS43383"/>
  </r>
  <r>
    <d v="2018-10-10T00:00:00"/>
    <x v="8"/>
    <s v="FEES"/>
    <x v="13"/>
    <s v="MANAGEMENT FEE"/>
    <x v="70"/>
    <x v="17"/>
    <m/>
    <x v="0"/>
    <n v="-337506.93"/>
    <m/>
    <n v="-337506.93"/>
    <m/>
    <x v="46"/>
    <n v="0"/>
    <m/>
    <m/>
    <m/>
    <x v="43"/>
    <s v="SCBPLUS43383"/>
  </r>
  <r>
    <d v="2018-10-10T00:00:00"/>
    <x v="9"/>
    <s v="FIXED INCOME"/>
    <x v="0"/>
    <m/>
    <x v="0"/>
    <x v="19"/>
    <m/>
    <x v="0"/>
    <n v="2750830.41"/>
    <n v="4226.93"/>
    <n v="2750830.41"/>
    <n v="0"/>
    <x v="0"/>
    <n v="0"/>
    <s v="Cash Bal"/>
    <s v="THB"/>
    <d v="1900-01-01T00:00:00"/>
    <x v="0"/>
    <s v="SCBFIXED43383"/>
  </r>
  <r>
    <d v="2018-10-10T00:00:00"/>
    <x v="9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FIXED43383"/>
  </r>
  <r>
    <d v="2018-10-10T00:00:00"/>
    <x v="9"/>
    <s v="FIXED INCOME"/>
    <x v="1"/>
    <m/>
    <x v="25"/>
    <x v="5"/>
    <s v="A"/>
    <x v="18"/>
    <n v="75697800"/>
    <n v="2207.85"/>
    <n v="76000000"/>
    <n v="0.44434600000000002"/>
    <x v="149"/>
    <n v="0.05"/>
    <s v="Bond"/>
    <s v="EURbb"/>
    <d v="2018-09-20T00:00:00"/>
    <x v="11"/>
    <s v="SCBFIXED43383"/>
  </r>
  <r>
    <d v="2018-10-10T00:00:00"/>
    <x v="9"/>
    <s v="FIXED INCOME"/>
    <x v="1"/>
    <m/>
    <x v="477"/>
    <x v="9"/>
    <s v="AAA(tha)"/>
    <x v="19"/>
    <n v="4007009.58"/>
    <n v="20882.400000000001"/>
    <n v="4007009.58"/>
    <n v="0"/>
    <x v="332"/>
    <n v="0"/>
    <s v="Bond"/>
    <s v="THB"/>
    <d v="2018-06-07T00:00:00"/>
    <x v="190"/>
    <s v="SCBFIXED43383"/>
  </r>
  <r>
    <d v="2018-10-10T00:00:00"/>
    <x v="9"/>
    <s v="FIXED INCOME"/>
    <x v="2"/>
    <m/>
    <x v="478"/>
    <x v="75"/>
    <s v="A-"/>
    <x v="159"/>
    <n v="49671977.5"/>
    <m/>
    <n v="49684415.5"/>
    <n v="0.342941"/>
    <x v="3"/>
    <n v="1.84"/>
    <s v="Bond"/>
    <s v="THB"/>
    <d v="2018-08-14T00:00:00"/>
    <x v="53"/>
    <s v="SCBFIXED43383"/>
  </r>
  <r>
    <d v="2018-10-10T00:00:00"/>
    <x v="9"/>
    <s v="FIXED INCOME"/>
    <x v="4"/>
    <m/>
    <x v="290"/>
    <x v="13"/>
    <m/>
    <x v="71"/>
    <n v="79767777.599999994"/>
    <m/>
    <n v="79751648.799999997"/>
    <n v="0.210311"/>
    <x v="48"/>
    <n v="1.476143"/>
    <s v="Bond"/>
    <s v="THB"/>
    <d v="2018-06-28T00:00:00"/>
    <x v="19"/>
    <s v="SCBFIXED43383"/>
  </r>
  <r>
    <d v="2018-10-10T00:00:00"/>
    <x v="9"/>
    <s v="FIXED INCOME"/>
    <x v="4"/>
    <m/>
    <x v="51"/>
    <x v="13"/>
    <m/>
    <x v="34"/>
    <n v="64983300.200000003"/>
    <m/>
    <n v="64982886.149999999"/>
    <n v="1.9174E-2"/>
    <x v="333"/>
    <n v="1.37321"/>
    <s v="Bond"/>
    <s v="THB"/>
    <d v="2018-07-19T00:00:00"/>
    <x v="18"/>
    <s v="SCBFIXED43383"/>
  </r>
  <r>
    <d v="2018-10-10T00:00:00"/>
    <x v="9"/>
    <s v="FIXED INCOME"/>
    <x v="4"/>
    <m/>
    <x v="53"/>
    <x v="13"/>
    <m/>
    <x v="36"/>
    <n v="94955930.450000003"/>
    <m/>
    <n v="94955930.450000003"/>
    <n v="3.8338999999999998E-2"/>
    <x v="215"/>
    <n v="1.21"/>
    <s v="Bond"/>
    <s v="THB"/>
    <d v="2018-04-26T00:00:00"/>
    <x v="19"/>
    <s v="SCBFIXED43383"/>
  </r>
  <r>
    <d v="2018-10-10T00:00:00"/>
    <x v="9"/>
    <s v="FIXED INCOME"/>
    <x v="4"/>
    <m/>
    <x v="54"/>
    <x v="13"/>
    <m/>
    <x v="36"/>
    <n v="9995552.6999999993"/>
    <m/>
    <n v="9995552.6999999993"/>
    <n v="3.8338999999999998E-2"/>
    <x v="17"/>
    <n v="1.1599999999999999"/>
    <s v="Bond"/>
    <s v="THB"/>
    <d v="2018-07-26T00:00:00"/>
    <x v="18"/>
    <s v="SCBFIXED43383"/>
  </r>
  <r>
    <d v="2018-10-10T00:00:00"/>
    <x v="9"/>
    <s v="FIXED INCOME"/>
    <x v="4"/>
    <m/>
    <x v="291"/>
    <x v="13"/>
    <m/>
    <x v="37"/>
    <n v="89674270.200000003"/>
    <m/>
    <n v="89662896.900000006"/>
    <n v="0.24841299999999999"/>
    <x v="52"/>
    <n v="1.508"/>
    <s v="Bond"/>
    <s v="THB"/>
    <d v="2018-07-12T00:00:00"/>
    <x v="19"/>
    <s v="SCBFIXED43383"/>
  </r>
  <r>
    <d v="2018-10-10T00:00:00"/>
    <x v="9"/>
    <s v="FIXED INCOME"/>
    <x v="4"/>
    <m/>
    <x v="479"/>
    <x v="13"/>
    <m/>
    <x v="14"/>
    <n v="49802892"/>
    <m/>
    <n v="49798239.5"/>
    <n v="0.26743499999999998"/>
    <x v="3"/>
    <n v="1.5089999999999999"/>
    <s v="Bond"/>
    <s v="THB"/>
    <d v="2018-07-19T00:00:00"/>
    <x v="19"/>
    <s v="SCBFIXED43383"/>
  </r>
  <r>
    <d v="2018-10-10T00:00:00"/>
    <x v="9"/>
    <s v="FIXED INCOME"/>
    <x v="4"/>
    <m/>
    <x v="292"/>
    <x v="13"/>
    <m/>
    <x v="51"/>
    <n v="99528155"/>
    <m/>
    <n v="99541835"/>
    <n v="0.30540099999999998"/>
    <x v="45"/>
    <n v="1.5"/>
    <s v="Bond"/>
    <s v="THB"/>
    <d v="2018-08-02T00:00:00"/>
    <x v="19"/>
    <s v="SCBFIXED43383"/>
  </r>
  <r>
    <d v="2018-10-10T00:00:00"/>
    <x v="9"/>
    <s v="FIXED INCOME"/>
    <x v="4"/>
    <m/>
    <x v="444"/>
    <x v="13"/>
    <m/>
    <x v="256"/>
    <n v="99420366"/>
    <m/>
    <n v="99456396"/>
    <n v="0.36227100000000001"/>
    <x v="45"/>
    <n v="1.5"/>
    <s v="Bond"/>
    <s v="THB"/>
    <d v="2018-08-23T00:00:00"/>
    <x v="19"/>
    <s v="SCBFIXED43383"/>
  </r>
  <r>
    <d v="2018-10-10T00:00:00"/>
    <x v="9"/>
    <s v="FIXED INCOME"/>
    <x v="4"/>
    <m/>
    <x v="294"/>
    <x v="13"/>
    <m/>
    <x v="160"/>
    <n v="59634027"/>
    <m/>
    <n v="59659044.600000001"/>
    <n v="0.38122200000000001"/>
    <x v="50"/>
    <n v="1.49"/>
    <s v="Bond"/>
    <s v="THB"/>
    <d v="2018-08-30T00:00:00"/>
    <x v="19"/>
    <s v="SCBFIXED43383"/>
  </r>
  <r>
    <d v="2018-10-10T00:00:00"/>
    <x v="9"/>
    <s v="FIXED INCOME"/>
    <x v="5"/>
    <m/>
    <x v="480"/>
    <x v="25"/>
    <s v="A+"/>
    <x v="277"/>
    <n v="50902391"/>
    <n v="926301.5"/>
    <n v="50935474"/>
    <n v="0.60332699999999995"/>
    <x v="3"/>
    <n v="1.75"/>
    <s v="Bond"/>
    <s v="THB"/>
    <d v="2012-05-24T00:00:00"/>
    <x v="119"/>
    <s v="SCBFIXED43383"/>
  </r>
  <r>
    <d v="2018-10-10T00:00:00"/>
    <x v="9"/>
    <s v="FIXED INCOME"/>
    <x v="5"/>
    <m/>
    <x v="258"/>
    <x v="25"/>
    <s v="A+"/>
    <x v="136"/>
    <n v="10335701.4"/>
    <n v="118257.5"/>
    <n v="10371868.4"/>
    <n v="1.6516580000000001"/>
    <x v="17"/>
    <n v="2.15"/>
    <s v="Bond"/>
    <s v="THB"/>
    <d v="2014-07-04T00:00:00"/>
    <x v="127"/>
    <s v="SCBFIXED43383"/>
  </r>
  <r>
    <d v="2018-10-10T00:00:00"/>
    <x v="9"/>
    <s v="FIXED INCOME"/>
    <x v="5"/>
    <m/>
    <x v="260"/>
    <x v="53"/>
    <s v="A"/>
    <x v="138"/>
    <n v="40073640"/>
    <n v="265183.59999999998"/>
    <n v="40109518.799999997"/>
    <n v="0.69052999999999998"/>
    <x v="15"/>
    <n v="1.82"/>
    <s v="Bond"/>
    <s v="THB"/>
    <d v="2016-06-24T00:00:00"/>
    <x v="62"/>
    <s v="SCBFIXED43383"/>
  </r>
  <r>
    <d v="2018-10-10T00:00:00"/>
    <x v="9"/>
    <s v="FIXED INCOME"/>
    <x v="5"/>
    <m/>
    <x v="481"/>
    <x v="108"/>
    <s v="AA-(tha)"/>
    <x v="62"/>
    <n v="6357998.4900000002"/>
    <n v="20672.63"/>
    <n v="6364252.5700000003"/>
    <n v="0.412443"/>
    <x v="334"/>
    <n v="1.7"/>
    <s v="Bond"/>
    <s v="THB"/>
    <d v="2014-03-12T00:00:00"/>
    <x v="22"/>
    <s v="SCBFIXED43383"/>
  </r>
  <r>
    <d v="2018-10-10T00:00:00"/>
    <x v="9"/>
    <s v="FIXED INCOME"/>
    <x v="5"/>
    <m/>
    <x v="354"/>
    <x v="79"/>
    <s v="A"/>
    <x v="205"/>
    <n v="43830187.719999999"/>
    <n v="316438.32"/>
    <n v="44000000"/>
    <n v="2.5881409999999998"/>
    <x v="129"/>
    <n v="2.5"/>
    <s v="Bond"/>
    <s v="THB"/>
    <d v="2018-06-28T00:00:00"/>
    <x v="69"/>
    <s v="SCBFIXED43383"/>
  </r>
  <r>
    <d v="2018-10-10T00:00:00"/>
    <x v="9"/>
    <s v="FIXED INCOME"/>
    <x v="5"/>
    <m/>
    <x v="245"/>
    <x v="39"/>
    <s v="BBB+"/>
    <x v="67"/>
    <n v="33004640.129999999"/>
    <n v="282805.38"/>
    <n v="33001041.809999999"/>
    <n v="0.29935499999999998"/>
    <x v="217"/>
    <n v="2.27"/>
    <s v="Bond"/>
    <s v="THB"/>
    <d v="2018-05-28T00:00:00"/>
    <x v="73"/>
    <s v="SCBFIXED43383"/>
  </r>
  <r>
    <d v="2018-10-10T00:00:00"/>
    <x v="9"/>
    <s v="FIXED INCOME"/>
    <x v="5"/>
    <m/>
    <x v="149"/>
    <x v="40"/>
    <s v="BBB+"/>
    <x v="86"/>
    <n v="45941821.5"/>
    <n v="326410.94"/>
    <n v="46000000"/>
    <n v="2.638757"/>
    <x v="335"/>
    <n v="3.7"/>
    <s v="Bond"/>
    <s v="THB"/>
    <d v="2018-08-02T00:00:00"/>
    <x v="69"/>
    <s v="SCBFIXED43383"/>
  </r>
  <r>
    <d v="2018-10-10T00:00:00"/>
    <x v="9"/>
    <s v="FIXED INCOME"/>
    <x v="5"/>
    <m/>
    <x v="151"/>
    <x v="42"/>
    <s v="A"/>
    <x v="88"/>
    <n v="3969784.6"/>
    <n v="2724.4"/>
    <n v="3984282.6"/>
    <n v="2.3912019999999998"/>
    <x v="143"/>
    <n v="2.4249999999999998"/>
    <s v="Bond"/>
    <s v="THB"/>
    <d v="2018-03-30T00:00:00"/>
    <x v="69"/>
    <s v="SCBFIXED43383"/>
  </r>
  <r>
    <d v="2018-10-10T00:00:00"/>
    <x v="9"/>
    <s v="FIXED INCOME"/>
    <x v="5"/>
    <m/>
    <x v="482"/>
    <x v="60"/>
    <s v="A"/>
    <x v="58"/>
    <n v="50016395.5"/>
    <n v="218342.5"/>
    <n v="50081383"/>
    <n v="0.78016700000000005"/>
    <x v="3"/>
    <n v="1.85"/>
    <s v="Bond"/>
    <s v="THB"/>
    <d v="2017-07-26T00:00:00"/>
    <x v="122"/>
    <s v="SCBFIXED43383"/>
  </r>
  <r>
    <d v="2018-10-10T00:00:00"/>
    <x v="9"/>
    <s v="FIXED INCOME"/>
    <x v="5"/>
    <m/>
    <x v="276"/>
    <x v="68"/>
    <s v="A-"/>
    <x v="101"/>
    <n v="40010304.399999999"/>
    <n v="575342.4"/>
    <n v="40010478.799999997"/>
    <n v="2.1760000000000002E-2"/>
    <x v="15"/>
    <n v="1.6"/>
    <s v="Bond"/>
    <s v="THB"/>
    <d v="2015-04-22T00:00:00"/>
    <x v="129"/>
    <s v="SCBFIXED43383"/>
  </r>
  <r>
    <d v="2018-10-10T00:00:00"/>
    <x v="9"/>
    <s v="FIXED INCOME"/>
    <x v="5"/>
    <m/>
    <x v="277"/>
    <x v="35"/>
    <s v="A"/>
    <x v="97"/>
    <n v="45017688.600000001"/>
    <n v="60657.75"/>
    <n v="45063659.25"/>
    <n v="0.43763600000000002"/>
    <x v="283"/>
    <n v="1.73"/>
    <s v="Bond"/>
    <s v="THB"/>
    <d v="2016-03-17T00:00:00"/>
    <x v="130"/>
    <s v="SCBFIXED43383"/>
  </r>
  <r>
    <d v="2018-10-10T00:00:00"/>
    <x v="9"/>
    <s v="FIXED INCOME"/>
    <x v="5"/>
    <m/>
    <x v="280"/>
    <x v="36"/>
    <s v="A-"/>
    <x v="4"/>
    <n v="44974842.75"/>
    <n v="408378.12"/>
    <n v="45055380.149999999"/>
    <n v="0.53285300000000002"/>
    <x v="283"/>
    <n v="1.73"/>
    <s v="Bond"/>
    <s v="THB"/>
    <d v="2016-04-25T00:00:00"/>
    <x v="62"/>
    <s v="SCBFIXED43383"/>
  </r>
  <r>
    <d v="2018-10-10T00:00:00"/>
    <x v="9"/>
    <s v="FIXED INCOME"/>
    <x v="5"/>
    <m/>
    <x v="283"/>
    <x v="37"/>
    <s v="AA"/>
    <x v="155"/>
    <n v="119838446.40000001"/>
    <n v="231452.4"/>
    <n v="120000000"/>
    <n v="3.2221039999999999"/>
    <x v="114"/>
    <n v="3.2"/>
    <s v="Bond"/>
    <s v="THB"/>
    <d v="2018-09-19T00:00:00"/>
    <x v="133"/>
    <s v="SCBFIXED43383"/>
  </r>
  <r>
    <d v="2018-10-10T00:00:00"/>
    <x v="9"/>
    <s v="FIXED INCOME"/>
    <x v="5"/>
    <m/>
    <x v="483"/>
    <x v="72"/>
    <m/>
    <x v="141"/>
    <n v="5583347.8799999999"/>
    <n v="29006.84"/>
    <n v="5598581.7300000004"/>
    <n v="0.84902900000000003"/>
    <x v="336"/>
    <n v="1.738"/>
    <s v="Bond"/>
    <s v="THB"/>
    <d v="2014-08-22T00:00:00"/>
    <x v="22"/>
    <s v="SCBFIXED43383"/>
  </r>
  <r>
    <d v="2018-10-10T00:00:00"/>
    <x v="9"/>
    <s v="FIXED INCOME"/>
    <x v="5"/>
    <m/>
    <x v="155"/>
    <x v="46"/>
    <s v="A"/>
    <x v="91"/>
    <n v="7111738.2000000002"/>
    <n v="101260.25"/>
    <n v="7132482.0700000003"/>
    <n v="1.05698"/>
    <x v="150"/>
    <n v="1.75"/>
    <s v="Bond"/>
    <s v="THB"/>
    <d v="2014-11-14T00:00:00"/>
    <x v="22"/>
    <s v="SCBFIXED43383"/>
  </r>
  <r>
    <d v="2018-10-10T00:00:00"/>
    <x v="9"/>
    <s v="FIXED INCOME"/>
    <x v="5"/>
    <m/>
    <x v="228"/>
    <x v="55"/>
    <s v="A-"/>
    <x v="116"/>
    <n v="49754780.5"/>
    <n v="360466"/>
    <n v="50000000"/>
    <n v="1.624603"/>
    <x v="3"/>
    <n v="2.23"/>
    <s v="Bond"/>
    <s v="THB"/>
    <d v="2018-06-15T00:00:00"/>
    <x v="66"/>
    <s v="SCBFIXED43383"/>
  </r>
  <r>
    <d v="2018-10-10T00:00:00"/>
    <x v="9"/>
    <s v="FIXED INCOME"/>
    <x v="5"/>
    <m/>
    <x v="263"/>
    <x v="14"/>
    <s v="A+"/>
    <x v="49"/>
    <n v="45472975.649999999"/>
    <n v="74219.399999999994"/>
    <n v="45538627.950000003"/>
    <n v="0.45296399999999998"/>
    <x v="283"/>
    <n v="1.7"/>
    <s v="Bond"/>
    <s v="THB"/>
    <d v="2014-03-27T00:00:00"/>
    <x v="22"/>
    <s v="SCBFIXED43383"/>
  </r>
  <r>
    <d v="2018-10-10T00:00:00"/>
    <x v="9"/>
    <s v="FIXED INCOME"/>
    <x v="5"/>
    <m/>
    <x v="484"/>
    <x v="14"/>
    <s v="A+"/>
    <x v="278"/>
    <n v="20042083"/>
    <n v="62761.599999999999"/>
    <n v="20110463.399999999"/>
    <n v="0.86231199999999997"/>
    <x v="112"/>
    <n v="1.84"/>
    <s v="Bond"/>
    <s v="THB"/>
    <d v="2016-08-26T00:00:00"/>
    <x v="62"/>
    <s v="SCBFIXED43383"/>
  </r>
  <r>
    <d v="2018-10-10T00:00:00"/>
    <x v="9"/>
    <s v="FIXED INCOME"/>
    <x v="5"/>
    <m/>
    <x v="270"/>
    <x v="63"/>
    <s v="AAA"/>
    <x v="146"/>
    <n v="19867276.399999999"/>
    <n v="24559"/>
    <n v="19942599.199999999"/>
    <n v="1.394628"/>
    <x v="112"/>
    <n v="1.87"/>
    <s v="Bond"/>
    <s v="THB"/>
    <d v="2018-03-14T00:00:00"/>
    <x v="66"/>
    <s v="SCBFIXED43383"/>
  </r>
  <r>
    <d v="2018-10-10T00:00:00"/>
    <x v="9"/>
    <s v="FIXED INCOME"/>
    <x v="5"/>
    <m/>
    <x v="485"/>
    <x v="71"/>
    <m/>
    <x v="279"/>
    <n v="50051649.5"/>
    <n v="373698.5"/>
    <n v="50192404"/>
    <n v="1.1334610000000001"/>
    <x v="3"/>
    <n v="1.86"/>
    <s v="Bond"/>
    <s v="THB"/>
    <d v="2016-12-09T00:00:00"/>
    <x v="62"/>
    <s v="SCBFIXED43383"/>
  </r>
  <r>
    <d v="2018-10-10T00:00:00"/>
    <x v="9"/>
    <s v="DERIVATIVE"/>
    <x v="6"/>
    <m/>
    <x v="486"/>
    <x v="19"/>
    <s v="AA+(tha)"/>
    <x v="18"/>
    <n v="394474.91"/>
    <m/>
    <n v="0"/>
    <n v="0"/>
    <x v="0"/>
    <n v="0"/>
    <s v="Future"/>
    <s v="THB"/>
    <d v="1900-01-01T00:00:00"/>
    <x v="26"/>
    <s v="SCBFIXED43383"/>
  </r>
  <r>
    <d v="2018-10-10T00:00:00"/>
    <x v="9"/>
    <s v="DEFERED CHARGE"/>
    <x v="23"/>
    <s v="D SEC FEE"/>
    <x v="487"/>
    <x v="17"/>
    <m/>
    <x v="0"/>
    <n v="64327.7"/>
    <m/>
    <m/>
    <m/>
    <x v="46"/>
    <n v="0"/>
    <m/>
    <m/>
    <m/>
    <x v="43"/>
    <s v="SCBFIXED43383"/>
  </r>
  <r>
    <d v="2018-10-10T00:00:00"/>
    <x v="9"/>
    <s v="ACCRUED PAYABLE"/>
    <x v="9"/>
    <s v="AUDITING FEE"/>
    <x v="69"/>
    <x v="17"/>
    <m/>
    <x v="0"/>
    <n v="-23928.38"/>
    <m/>
    <m/>
    <m/>
    <x v="46"/>
    <n v="0"/>
    <m/>
    <m/>
    <m/>
    <x v="43"/>
    <s v="SCBFIXED43383"/>
  </r>
  <r>
    <d v="2018-10-10T00:00:00"/>
    <x v="9"/>
    <s v="ACCRUED PAYABLE"/>
    <x v="10"/>
    <m/>
    <x v="70"/>
    <x v="17"/>
    <m/>
    <x v="0"/>
    <n v="-18905.759999999998"/>
    <n v="0"/>
    <m/>
    <m/>
    <x v="46"/>
    <n v="0"/>
    <m/>
    <m/>
    <m/>
    <x v="43"/>
    <s v="SCBFIXED43383"/>
  </r>
  <r>
    <d v="2018-10-10T00:00:00"/>
    <x v="9"/>
    <s v="ACCRUED PAYABLE"/>
    <x v="12"/>
    <s v="CUSTODIAN FEE"/>
    <x v="70"/>
    <x v="17"/>
    <m/>
    <x v="0"/>
    <n v="-12080.43"/>
    <m/>
    <n v="-12080.43"/>
    <m/>
    <x v="46"/>
    <n v="0"/>
    <m/>
    <m/>
    <m/>
    <x v="43"/>
    <s v="SCBFIXED43383"/>
  </r>
  <r>
    <d v="2018-10-10T00:00:00"/>
    <x v="9"/>
    <s v="ACCRUED PAYABLE"/>
    <x v="13"/>
    <s v="MANAGEMENT FEE"/>
    <x v="70"/>
    <x v="17"/>
    <m/>
    <x v="0"/>
    <n v="-161072.47"/>
    <m/>
    <n v="-161072.47"/>
    <m/>
    <x v="46"/>
    <n v="0"/>
    <m/>
    <m/>
    <m/>
    <x v="43"/>
    <s v="SCBFIXED43383"/>
  </r>
  <r>
    <d v="2018-10-10T00:00:00"/>
    <x v="9"/>
    <s v="ACCRUED PAYABLE"/>
    <x v="14"/>
    <s v="REGISTRAR FEE"/>
    <x v="70"/>
    <x v="17"/>
    <m/>
    <x v="0"/>
    <n v="-24563.56"/>
    <m/>
    <n v="-24563.56"/>
    <m/>
    <x v="46"/>
    <n v="0"/>
    <m/>
    <m/>
    <m/>
    <x v="43"/>
    <s v="SCBFIXED43383"/>
  </r>
  <r>
    <d v="2018-10-10T00:00:00"/>
    <x v="9"/>
    <s v="FEES"/>
    <x v="12"/>
    <s v="CUSTODIAN FEE"/>
    <x v="70"/>
    <x v="17"/>
    <m/>
    <x v="0"/>
    <n v="-1334.19"/>
    <m/>
    <n v="-1334.19"/>
    <m/>
    <x v="46"/>
    <n v="0"/>
    <m/>
    <m/>
    <m/>
    <x v="43"/>
    <s v="SCBFIXED43383"/>
  </r>
  <r>
    <d v="2018-10-10T00:00:00"/>
    <x v="9"/>
    <s v="FEES"/>
    <x v="13"/>
    <s v="MANAGEMENT FEE"/>
    <x v="70"/>
    <x v="17"/>
    <m/>
    <x v="0"/>
    <n v="-17789.23"/>
    <m/>
    <n v="-17789.23"/>
    <m/>
    <x v="46"/>
    <n v="0"/>
    <m/>
    <m/>
    <m/>
    <x v="43"/>
    <s v="SCBFIXED43383"/>
  </r>
  <r>
    <d v="2018-10-10T00:00:00"/>
    <x v="9"/>
    <s v="FEES"/>
    <x v="14"/>
    <s v="REGISTRAR FEE"/>
    <x v="70"/>
    <x v="17"/>
    <m/>
    <x v="0"/>
    <n v="-2712.86"/>
    <m/>
    <n v="-2712.86"/>
    <m/>
    <x v="46"/>
    <n v="0"/>
    <m/>
    <m/>
    <m/>
    <x v="43"/>
    <s v="SCBFIXED433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3069E5-E0C8-46EE-9CC5-ED62B6123F2A}" name="PortAtt" cacheId="31" applyNumberFormats="0" applyBorderFormats="0" applyFontFormats="0" applyPatternFormats="0" applyAlignmentFormats="0" applyWidthHeightFormats="1" dataCaption="Values" updatedVersion="6" minRefreshableVersion="3" useAutoFormatting="1" pageWrap="1" pageOverThenDown="1" rowGrandTotals="0" colGrandTotals="0" itemPrintTitles="1" mergeItem="1" createdVersion="6" indent="127" compact="0" compactData="0" multipleFieldFilters="0">
  <location ref="A4:W113" firstHeaderRow="1" firstDataRow="3" firstDataCol="3" rowPageCount="2" colPageCount="1"/>
  <pivotFields count="20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0">
        <item x="9"/>
        <item x="7"/>
        <item x="8"/>
        <item x="4"/>
        <item x="5"/>
        <item x="6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4">
        <item x="11"/>
        <item x="18"/>
        <item x="9"/>
        <item x="2"/>
        <item x="16"/>
        <item x="4"/>
        <item x="8"/>
        <item x="15"/>
        <item x="0"/>
        <item x="12"/>
        <item x="23"/>
        <item x="5"/>
        <item x="6"/>
        <item x="13"/>
        <item x="20"/>
        <item x="14"/>
        <item x="17"/>
        <item x="21"/>
        <item x="10"/>
        <item x="19"/>
        <item x="1"/>
        <item x="3"/>
        <item x="22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88">
        <item x="421"/>
        <item x="420"/>
        <item x="414"/>
        <item x="418"/>
        <item x="419"/>
        <item x="415"/>
        <item x="413"/>
        <item x="417"/>
        <item x="326"/>
        <item x="416"/>
        <item x="475"/>
        <item x="476"/>
        <item x="71"/>
        <item x="351"/>
        <item x="352"/>
        <item x="353"/>
        <item x="72"/>
        <item x="215"/>
        <item x="69"/>
        <item x="257"/>
        <item x="357"/>
        <item x="111"/>
        <item x="480"/>
        <item x="258"/>
        <item x="216"/>
        <item x="217"/>
        <item x="218"/>
        <item x="212"/>
        <item x="259"/>
        <item x="208"/>
        <item x="358"/>
        <item x="219"/>
        <item x="359"/>
        <item x="360"/>
        <item x="361"/>
        <item x="362"/>
        <item x="465"/>
        <item x="466"/>
        <item x="260"/>
        <item x="308"/>
        <item x="363"/>
        <item x="309"/>
        <item x="220"/>
        <item x="153"/>
        <item x="261"/>
        <item x="262"/>
        <item x="310"/>
        <item x="154"/>
        <item x="221"/>
        <item x="364"/>
        <item x="222"/>
        <item x="311"/>
        <item x="423"/>
        <item x="253"/>
        <item x="301"/>
        <item x="254"/>
        <item x="341"/>
        <item x="302"/>
        <item x="446"/>
        <item x="255"/>
        <item x="155"/>
        <item x="365"/>
        <item x="223"/>
        <item x="224"/>
        <item x="225"/>
        <item x="226"/>
        <item x="112"/>
        <item x="448"/>
        <item x="227"/>
        <item x="424"/>
        <item x="422"/>
        <item x="214"/>
        <item x="0"/>
        <item x="206"/>
        <item x="34"/>
        <item x="121"/>
        <item x="35"/>
        <item x="289"/>
        <item x="36"/>
        <item x="290"/>
        <item x="122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123"/>
        <item x="55"/>
        <item x="291"/>
        <item x="56"/>
        <item x="479"/>
        <item x="292"/>
        <item x="293"/>
        <item x="444"/>
        <item x="294"/>
        <item x="295"/>
        <item x="252"/>
        <item x="296"/>
        <item x="297"/>
        <item x="298"/>
        <item x="445"/>
        <item x="299"/>
        <item x="300"/>
        <item x="228"/>
        <item x="75"/>
        <item x="76"/>
        <item x="287"/>
        <item x="6"/>
        <item x="77"/>
        <item x="327"/>
        <item x="78"/>
        <item x="79"/>
        <item x="328"/>
        <item x="80"/>
        <item x="439"/>
        <item x="7"/>
        <item x="229"/>
        <item x="312"/>
        <item x="366"/>
        <item x="1"/>
        <item x="57"/>
        <item x="156"/>
        <item x="263"/>
        <item x="264"/>
        <item x="484"/>
        <item x="265"/>
        <item x="367"/>
        <item x="449"/>
        <item x="313"/>
        <item x="113"/>
        <item x="114"/>
        <item x="368"/>
        <item x="266"/>
        <item x="267"/>
        <item x="369"/>
        <item x="230"/>
        <item x="370"/>
        <item x="314"/>
        <item x="315"/>
        <item x="231"/>
        <item x="115"/>
        <item x="116"/>
        <item x="268"/>
        <item x="316"/>
        <item x="317"/>
        <item x="371"/>
        <item x="117"/>
        <item x="372"/>
        <item x="373"/>
        <item x="425"/>
        <item x="450"/>
        <item x="451"/>
        <item x="452"/>
        <item x="487"/>
        <item x="426"/>
        <item x="157"/>
        <item x="158"/>
        <item x="374"/>
        <item x="478"/>
        <item x="346"/>
        <item x="350"/>
        <item x="427"/>
        <item x="401"/>
        <item x="462"/>
        <item x="159"/>
        <item x="160"/>
        <item x="161"/>
        <item x="162"/>
        <item x="463"/>
        <item x="163"/>
        <item x="464"/>
        <item x="2"/>
        <item x="345"/>
        <item x="329"/>
        <item x="8"/>
        <item x="81"/>
        <item x="82"/>
        <item x="83"/>
        <item x="330"/>
        <item x="9"/>
        <item x="84"/>
        <item x="85"/>
        <item x="86"/>
        <item x="87"/>
        <item x="88"/>
        <item x="89"/>
        <item x="331"/>
        <item x="10"/>
        <item x="11"/>
        <item x="90"/>
        <item x="332"/>
        <item x="91"/>
        <item x="12"/>
        <item x="92"/>
        <item x="93"/>
        <item x="13"/>
        <item x="94"/>
        <item x="333"/>
        <item x="14"/>
        <item x="95"/>
        <item x="96"/>
        <item x="97"/>
        <item x="15"/>
        <item x="16"/>
        <item x="203"/>
        <item x="334"/>
        <item x="201"/>
        <item x="17"/>
        <item x="335"/>
        <item x="18"/>
        <item x="19"/>
        <item x="20"/>
        <item x="21"/>
        <item x="336"/>
        <item x="22"/>
        <item x="337"/>
        <item x="98"/>
        <item x="248"/>
        <item x="440"/>
        <item x="99"/>
        <item x="441"/>
        <item x="338"/>
        <item x="100"/>
        <item x="23"/>
        <item x="101"/>
        <item x="102"/>
        <item x="339"/>
        <item x="103"/>
        <item x="104"/>
        <item x="24"/>
        <item x="25"/>
        <item x="105"/>
        <item x="106"/>
        <item x="164"/>
        <item x="58"/>
        <item x="59"/>
        <item x="402"/>
        <item x="165"/>
        <item x="166"/>
        <item x="60"/>
        <item x="403"/>
        <item x="167"/>
        <item x="168"/>
        <item x="404"/>
        <item x="169"/>
        <item x="170"/>
        <item x="486"/>
        <item x="61"/>
        <item x="171"/>
        <item x="172"/>
        <item x="405"/>
        <item x="173"/>
        <item x="174"/>
        <item x="62"/>
        <item x="406"/>
        <item x="175"/>
        <item x="63"/>
        <item x="176"/>
        <item x="177"/>
        <item x="467"/>
        <item x="178"/>
        <item x="179"/>
        <item x="407"/>
        <item x="180"/>
        <item x="408"/>
        <item x="64"/>
        <item x="181"/>
        <item x="182"/>
        <item x="183"/>
        <item x="184"/>
        <item x="468"/>
        <item x="65"/>
        <item x="185"/>
        <item x="66"/>
        <item x="186"/>
        <item x="409"/>
        <item x="187"/>
        <item x="469"/>
        <item x="188"/>
        <item x="189"/>
        <item x="410"/>
        <item x="190"/>
        <item x="191"/>
        <item x="192"/>
        <item x="193"/>
        <item x="470"/>
        <item x="67"/>
        <item x="194"/>
        <item x="195"/>
        <item x="196"/>
        <item x="471"/>
        <item x="472"/>
        <item x="473"/>
        <item x="197"/>
        <item x="198"/>
        <item x="474"/>
        <item x="411"/>
        <item x="199"/>
        <item x="412"/>
        <item x="200"/>
        <item x="73"/>
        <item x="347"/>
        <item x="207"/>
        <item x="375"/>
        <item x="124"/>
        <item x="232"/>
        <item x="447"/>
        <item x="428"/>
        <item x="3"/>
        <item x="376"/>
        <item x="377"/>
        <item x="429"/>
        <item x="125"/>
        <item x="303"/>
        <item x="430"/>
        <item x="209"/>
        <item x="26"/>
        <item x="442"/>
        <item x="210"/>
        <item x="249"/>
        <item x="27"/>
        <item x="107"/>
        <item x="204"/>
        <item x="108"/>
        <item x="109"/>
        <item x="477"/>
        <item x="340"/>
        <item x="443"/>
        <item x="211"/>
        <item x="250"/>
        <item x="288"/>
        <item x="28"/>
        <item x="110"/>
        <item x="202"/>
        <item x="205"/>
        <item x="233"/>
        <item x="234"/>
        <item x="378"/>
        <item x="431"/>
        <item x="74"/>
        <item x="269"/>
        <item x="270"/>
        <item x="126"/>
        <item x="127"/>
        <item x="128"/>
        <item x="129"/>
        <item x="130"/>
        <item x="131"/>
        <item x="132"/>
        <item x="133"/>
        <item x="461"/>
        <item x="271"/>
        <item x="379"/>
        <item x="342"/>
        <item x="343"/>
        <item x="256"/>
        <item x="344"/>
        <item x="304"/>
        <item x="305"/>
        <item x="306"/>
        <item x="318"/>
        <item x="272"/>
        <item x="380"/>
        <item x="381"/>
        <item x="382"/>
        <item x="383"/>
        <item x="384"/>
        <item x="134"/>
        <item x="135"/>
        <item x="432"/>
        <item x="273"/>
        <item x="385"/>
        <item x="30"/>
        <item x="285"/>
        <item x="485"/>
        <item x="274"/>
        <item x="319"/>
        <item x="320"/>
        <item x="118"/>
        <item x="136"/>
        <item x="386"/>
        <item x="387"/>
        <item x="388"/>
        <item x="389"/>
        <item x="390"/>
        <item x="453"/>
        <item x="454"/>
        <item x="455"/>
        <item x="456"/>
        <item x="275"/>
        <item x="482"/>
        <item x="235"/>
        <item x="276"/>
        <item x="137"/>
        <item x="277"/>
        <item x="278"/>
        <item x="321"/>
        <item x="236"/>
        <item x="391"/>
        <item x="392"/>
        <item x="393"/>
        <item x="279"/>
        <item x="394"/>
        <item x="395"/>
        <item x="280"/>
        <item x="396"/>
        <item x="281"/>
        <item x="322"/>
        <item x="237"/>
        <item x="138"/>
        <item x="433"/>
        <item x="29"/>
        <item x="4"/>
        <item x="213"/>
        <item x="139"/>
        <item x="397"/>
        <item x="282"/>
        <item x="398"/>
        <item x="323"/>
        <item x="434"/>
        <item x="119"/>
        <item x="399"/>
        <item x="120"/>
        <item x="31"/>
        <item x="400"/>
        <item x="324"/>
        <item x="238"/>
        <item x="140"/>
        <item x="435"/>
        <item x="457"/>
        <item x="307"/>
        <item x="32"/>
        <item x="33"/>
        <item x="141"/>
        <item x="142"/>
        <item x="283"/>
        <item x="325"/>
        <item x="458"/>
        <item x="143"/>
        <item x="239"/>
        <item x="240"/>
        <item x="241"/>
        <item x="144"/>
        <item x="242"/>
        <item x="145"/>
        <item x="146"/>
        <item x="436"/>
        <item x="483"/>
        <item x="286"/>
        <item x="348"/>
        <item x="349"/>
        <item x="481"/>
        <item x="459"/>
        <item x="437"/>
        <item x="354"/>
        <item x="243"/>
        <item x="244"/>
        <item x="284"/>
        <item x="245"/>
        <item x="147"/>
        <item x="355"/>
        <item x="460"/>
        <item x="246"/>
        <item x="148"/>
        <item x="251"/>
        <item x="149"/>
        <item x="68"/>
        <item x="247"/>
        <item x="356"/>
        <item x="5"/>
        <item x="150"/>
        <item x="438"/>
        <item x="151"/>
        <item x="152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15">
        <item h="1" x="3"/>
        <item h="1" x="78"/>
        <item h="1" x="4"/>
        <item h="1" x="52"/>
        <item h="1" x="114"/>
        <item h="1" x="62"/>
        <item h="1" x="80"/>
        <item h="1" x="25"/>
        <item h="1" x="50"/>
        <item h="1" x="0"/>
        <item h="1" x="90"/>
        <item h="1" x="81"/>
        <item h="1" x="113"/>
        <item h="1" x="53"/>
        <item h="1" x="44"/>
        <item h="1" x="91"/>
        <item h="1" x="45"/>
        <item h="1" x="22"/>
        <item h="1" x="5"/>
        <item x="13"/>
        <item h="1" x="46"/>
        <item h="1" x="26"/>
        <item h="1" x="54"/>
        <item h="1" x="51"/>
        <item h="1" x="18"/>
        <item h="1" x="55"/>
        <item h="1" x="49"/>
        <item h="1" x="56"/>
        <item h="1" x="82"/>
        <item h="1" x="20"/>
        <item h="1" x="14"/>
        <item h="1" x="27"/>
        <item h="1" x="28"/>
        <item h="1" x="29"/>
        <item h="1" x="92"/>
        <item h="1" x="47"/>
        <item h="1" x="83"/>
        <item h="1" x="75"/>
        <item h="1" x="77"/>
        <item h="1" x="74"/>
        <item h="1" x="76"/>
        <item h="1" x="6"/>
        <item h="1" x="84"/>
        <item h="1" x="32"/>
        <item x="12"/>
        <item h="1" x="57"/>
        <item h="1" x="104"/>
        <item h="1" x="95"/>
        <item h="1" x="85"/>
        <item h="1" x="21"/>
        <item h="1" x="23"/>
        <item h="1" x="33"/>
        <item h="1" x="111"/>
        <item h="1" x="58"/>
        <item h="1" x="59"/>
        <item h="1" x="19"/>
        <item h="1" x="63"/>
        <item h="1" x="15"/>
        <item h="1" x="110"/>
        <item h="1" x="64"/>
        <item h="1" x="93"/>
        <item h="1" x="8"/>
        <item h="1" x="65"/>
        <item h="1" x="34"/>
        <item h="1" x="97"/>
        <item h="1" x="66"/>
        <item h="1" x="48"/>
        <item h="1" x="86"/>
        <item h="1" x="10"/>
        <item h="1" x="71"/>
        <item h="1" x="67"/>
        <item h="1" x="30"/>
        <item h="1" x="60"/>
        <item h="1" x="99"/>
        <item h="1" x="68"/>
        <item h="1" x="35"/>
        <item h="1" x="87"/>
        <item h="1" x="69"/>
        <item h="1" x="36"/>
        <item h="1" x="96"/>
        <item h="1" x="105"/>
        <item h="1" x="1"/>
        <item h="1" x="16"/>
        <item h="1" x="88"/>
        <item h="1" x="70"/>
        <item h="1" x="103"/>
        <item h="1" x="31"/>
        <item h="1" x="106"/>
        <item h="1" x="11"/>
        <item h="1" x="107"/>
        <item h="1" x="73"/>
        <item h="1" x="98"/>
        <item h="1" x="2"/>
        <item h="1" x="37"/>
        <item h="1" x="38"/>
        <item h="1" x="61"/>
        <item h="1" x="100"/>
        <item h="1" x="7"/>
        <item h="1" x="72"/>
        <item h="1" x="89"/>
        <item h="1" x="112"/>
        <item h="1" x="108"/>
        <item h="1" x="79"/>
        <item h="1" x="39"/>
        <item h="1" x="109"/>
        <item h="1" x="40"/>
        <item h="1" x="24"/>
        <item h="1" x="9"/>
        <item h="1" x="94"/>
        <item h="1" x="41"/>
        <item h="1" x="101"/>
        <item h="1" x="42"/>
        <item h="1" x="43"/>
        <item h="1" x="102"/>
        <item h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sertBlankRow="1" defaultSubtotal="0">
      <items count="280">
        <item x="33"/>
        <item x="6"/>
        <item x="79"/>
        <item x="34"/>
        <item x="101"/>
        <item x="61"/>
        <item x="35"/>
        <item x="36"/>
        <item x="137"/>
        <item x="38"/>
        <item x="28"/>
        <item x="17"/>
        <item x="5"/>
        <item x="29"/>
        <item x="69"/>
        <item x="23"/>
        <item x="30"/>
        <item x="64"/>
        <item x="65"/>
        <item x="31"/>
        <item x="74"/>
        <item x="63"/>
        <item x="128"/>
        <item x="32"/>
        <item x="75"/>
        <item x="156"/>
        <item x="70"/>
        <item x="25"/>
        <item x="42"/>
        <item x="247"/>
        <item x="26"/>
        <item x="12"/>
        <item x="21"/>
        <item x="27"/>
        <item x="99"/>
        <item x="71"/>
        <item x="20"/>
        <item x="54"/>
        <item x="55"/>
        <item x="37"/>
        <item x="193"/>
        <item x="13"/>
        <item x="14"/>
        <item x="15"/>
        <item x="16"/>
        <item x="191"/>
        <item x="67"/>
        <item x="51"/>
        <item x="39"/>
        <item x="66"/>
        <item x="43"/>
        <item x="44"/>
        <item x="159"/>
        <item x="22"/>
        <item x="131"/>
        <item x="256"/>
        <item x="85"/>
        <item x="160"/>
        <item x="100"/>
        <item x="41"/>
        <item x="93"/>
        <item x="194"/>
        <item x="62"/>
        <item x="130"/>
        <item x="129"/>
        <item x="18"/>
        <item x="97"/>
        <item x="45"/>
        <item x="139"/>
        <item x="187"/>
        <item x="68"/>
        <item x="49"/>
        <item x="50"/>
        <item x="24"/>
        <item x="7"/>
        <item x="95"/>
        <item x="8"/>
        <item x="189"/>
        <item x="273"/>
        <item x="190"/>
        <item x="4"/>
        <item x="48"/>
        <item x="148"/>
        <item x="179"/>
        <item x="53"/>
        <item x="94"/>
        <item x="127"/>
        <item x="3"/>
        <item x="96"/>
        <item x="1"/>
        <item x="152"/>
        <item x="40"/>
        <item x="239"/>
        <item x="46"/>
        <item x="277"/>
        <item x="150"/>
        <item x="254"/>
        <item x="52"/>
        <item x="161"/>
        <item x="2"/>
        <item x="272"/>
        <item x="249"/>
        <item x="276"/>
        <item x="138"/>
        <item x="47"/>
        <item x="242"/>
        <item x="56"/>
        <item x="255"/>
        <item x="158"/>
        <item x="58"/>
        <item x="207"/>
        <item x="57"/>
        <item x="9"/>
        <item x="216"/>
        <item x="224"/>
        <item x="10"/>
        <item x="153"/>
        <item x="11"/>
        <item x="198"/>
        <item x="141"/>
        <item x="278"/>
        <item x="162"/>
        <item x="140"/>
        <item x="132"/>
        <item x="188"/>
        <item x="145"/>
        <item x="233"/>
        <item x="77"/>
        <item x="59"/>
        <item x="60"/>
        <item x="223"/>
        <item x="228"/>
        <item x="234"/>
        <item x="220"/>
        <item x="114"/>
        <item x="91"/>
        <item x="72"/>
        <item x="73"/>
        <item x="151"/>
        <item x="279"/>
        <item x="121"/>
        <item x="246"/>
        <item x="225"/>
        <item x="157"/>
        <item x="184"/>
        <item x="192"/>
        <item x="199"/>
        <item x="147"/>
        <item x="146"/>
        <item x="76"/>
        <item x="82"/>
        <item x="171"/>
        <item x="163"/>
        <item x="78"/>
        <item x="229"/>
        <item x="143"/>
        <item x="202"/>
        <item x="245"/>
        <item x="230"/>
        <item x="120"/>
        <item x="102"/>
        <item x="154"/>
        <item x="182"/>
        <item x="217"/>
        <item x="84"/>
        <item x="180"/>
        <item x="90"/>
        <item x="116"/>
        <item x="134"/>
        <item x="136"/>
        <item x="144"/>
        <item x="214"/>
        <item x="222"/>
        <item x="181"/>
        <item x="125"/>
        <item x="89"/>
        <item x="257"/>
        <item x="259"/>
        <item x="235"/>
        <item x="133"/>
        <item x="103"/>
        <item x="231"/>
        <item x="236"/>
        <item x="169"/>
        <item x="142"/>
        <item x="107"/>
        <item x="240"/>
        <item x="122"/>
        <item x="123"/>
        <item x="200"/>
        <item x="92"/>
        <item x="221"/>
        <item x="115"/>
        <item x="19"/>
        <item x="177"/>
        <item x="208"/>
        <item x="210"/>
        <item x="80"/>
        <item x="126"/>
        <item x="81"/>
        <item x="260"/>
        <item x="237"/>
        <item x="83"/>
        <item x="88"/>
        <item x="104"/>
        <item x="135"/>
        <item x="203"/>
        <item x="87"/>
        <item x="227"/>
        <item x="119"/>
        <item x="111"/>
        <item x="238"/>
        <item x="226"/>
        <item x="215"/>
        <item x="261"/>
        <item x="262"/>
        <item x="212"/>
        <item x="205"/>
        <item x="209"/>
        <item x="164"/>
        <item x="197"/>
        <item x="173"/>
        <item x="86"/>
        <item x="251"/>
        <item x="253"/>
        <item x="109"/>
        <item x="118"/>
        <item x="274"/>
        <item x="124"/>
        <item x="241"/>
        <item x="271"/>
        <item x="195"/>
        <item x="155"/>
        <item x="213"/>
        <item x="168"/>
        <item x="204"/>
        <item x="258"/>
        <item x="201"/>
        <item x="165"/>
        <item x="112"/>
        <item x="218"/>
        <item x="170"/>
        <item x="149"/>
        <item x="196"/>
        <item x="264"/>
        <item x="206"/>
        <item x="166"/>
        <item x="211"/>
        <item x="263"/>
        <item x="178"/>
        <item x="269"/>
        <item x="270"/>
        <item x="265"/>
        <item x="174"/>
        <item x="185"/>
        <item x="113"/>
        <item x="108"/>
        <item x="175"/>
        <item x="250"/>
        <item x="266"/>
        <item x="219"/>
        <item x="267"/>
        <item x="252"/>
        <item x="110"/>
        <item x="167"/>
        <item x="172"/>
        <item x="176"/>
        <item x="244"/>
        <item x="183"/>
        <item x="105"/>
        <item x="243"/>
        <item x="117"/>
        <item x="248"/>
        <item x="232"/>
        <item x="186"/>
        <item x="106"/>
        <item x="268"/>
        <item x="275"/>
        <item x="9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37">
        <item x="0"/>
        <item x="123"/>
        <item x="58"/>
        <item x="147"/>
        <item x="145"/>
        <item x="159"/>
        <item x="144"/>
        <item x="19"/>
        <item x="18"/>
        <item x="306"/>
        <item x="20"/>
        <item x="192"/>
        <item x="110"/>
        <item x="331"/>
        <item x="324"/>
        <item x="330"/>
        <item x="158"/>
        <item x="149"/>
        <item x="156"/>
        <item x="299"/>
        <item x="60"/>
        <item x="143"/>
        <item x="332"/>
        <item x="297"/>
        <item x="287"/>
        <item x="288"/>
        <item x="142"/>
        <item x="160"/>
        <item x="336"/>
        <item x="295"/>
        <item x="170"/>
        <item x="334"/>
        <item x="300"/>
        <item x="150"/>
        <item x="109"/>
        <item x="155"/>
        <item x="17"/>
        <item x="290"/>
        <item x="294"/>
        <item x="304"/>
        <item x="148"/>
        <item x="298"/>
        <item x="151"/>
        <item x="328"/>
        <item x="113"/>
        <item x="157"/>
        <item x="292"/>
        <item x="216"/>
        <item x="95"/>
        <item x="57"/>
        <item x="146"/>
        <item x="193"/>
        <item x="108"/>
        <item x="59"/>
        <item x="214"/>
        <item x="301"/>
        <item x="154"/>
        <item x="202"/>
        <item x="102"/>
        <item x="307"/>
        <item x="329"/>
        <item x="112"/>
        <item x="293"/>
        <item x="152"/>
        <item x="124"/>
        <item x="188"/>
        <item x="177"/>
        <item x="16"/>
        <item x="179"/>
        <item x="302"/>
        <item x="153"/>
        <item x="275"/>
        <item x="4"/>
        <item x="131"/>
        <item x="173"/>
        <item x="217"/>
        <item x="303"/>
        <item x="219"/>
        <item x="291"/>
        <item x="5"/>
        <item x="199"/>
        <item x="321"/>
        <item x="194"/>
        <item x="15"/>
        <item x="218"/>
        <item x="176"/>
        <item x="186"/>
        <item x="129"/>
        <item x="289"/>
        <item x="283"/>
        <item x="262"/>
        <item x="335"/>
        <item x="189"/>
        <item x="254"/>
        <item x="3"/>
        <item x="252"/>
        <item x="27"/>
        <item x="213"/>
        <item x="61"/>
        <item x="161"/>
        <item x="251"/>
        <item x="50"/>
        <item x="269"/>
        <item x="313"/>
        <item x="333"/>
        <item x="318"/>
        <item x="12"/>
        <item x="111"/>
        <item x="8"/>
        <item x="224"/>
        <item x="197"/>
        <item x="183"/>
        <item x="56"/>
        <item x="210"/>
        <item x="48"/>
        <item x="195"/>
        <item x="296"/>
        <item x="49"/>
        <item x="264"/>
        <item x="200"/>
        <item x="319"/>
        <item x="227"/>
        <item x="52"/>
        <item x="215"/>
        <item x="184"/>
        <item x="325"/>
        <item x="51"/>
        <item x="45"/>
        <item x="279"/>
        <item x="169"/>
        <item x="212"/>
        <item x="98"/>
        <item x="305"/>
        <item x="172"/>
        <item x="225"/>
        <item x="114"/>
        <item x="191"/>
        <item x="276"/>
        <item x="201"/>
        <item x="317"/>
        <item x="163"/>
        <item x="92"/>
        <item x="222"/>
        <item x="206"/>
        <item x="253"/>
        <item x="165"/>
        <item x="327"/>
        <item x="228"/>
        <item x="119"/>
        <item x="211"/>
        <item x="166"/>
        <item x="38"/>
        <item x="171"/>
        <item x="249"/>
        <item x="273"/>
        <item x="11"/>
        <item x="326"/>
        <item x="14"/>
        <item x="168"/>
        <item x="235"/>
        <item x="54"/>
        <item x="316"/>
        <item x="101"/>
        <item x="180"/>
        <item x="122"/>
        <item x="31"/>
        <item x="315"/>
        <item x="116"/>
        <item x="312"/>
        <item x="309"/>
        <item x="205"/>
        <item x="278"/>
        <item x="310"/>
        <item x="232"/>
        <item x="13"/>
        <item x="115"/>
        <item x="127"/>
        <item x="138"/>
        <item x="240"/>
        <item x="258"/>
        <item x="135"/>
        <item x="185"/>
        <item x="187"/>
        <item x="282"/>
        <item x="220"/>
        <item x="259"/>
        <item x="164"/>
        <item x="257"/>
        <item x="239"/>
        <item x="267"/>
        <item x="323"/>
        <item x="117"/>
        <item x="174"/>
        <item x="241"/>
        <item x="203"/>
        <item x="204"/>
        <item x="106"/>
        <item x="141"/>
        <item x="178"/>
        <item x="121"/>
        <item x="268"/>
        <item x="162"/>
        <item x="221"/>
        <item x="272"/>
        <item x="9"/>
        <item x="182"/>
        <item x="88"/>
        <item x="190"/>
        <item x="55"/>
        <item x="91"/>
        <item x="167"/>
        <item x="139"/>
        <item x="133"/>
        <item x="245"/>
        <item x="209"/>
        <item x="181"/>
        <item x="243"/>
        <item x="96"/>
        <item x="2"/>
        <item x="175"/>
        <item x="277"/>
        <item x="270"/>
        <item x="284"/>
        <item x="107"/>
        <item x="208"/>
        <item x="7"/>
        <item x="308"/>
        <item x="86"/>
        <item x="247"/>
        <item x="311"/>
        <item x="118"/>
        <item x="99"/>
        <item x="81"/>
        <item x="196"/>
        <item x="285"/>
        <item x="280"/>
        <item x="261"/>
        <item x="104"/>
        <item x="6"/>
        <item x="322"/>
        <item x="255"/>
        <item x="266"/>
        <item x="198"/>
        <item x="263"/>
        <item x="140"/>
        <item x="68"/>
        <item x="265"/>
        <item x="120"/>
        <item x="237"/>
        <item x="256"/>
        <item x="126"/>
        <item x="250"/>
        <item x="97"/>
        <item x="230"/>
        <item x="207"/>
        <item x="75"/>
        <item x="10"/>
        <item x="244"/>
        <item x="136"/>
        <item x="134"/>
        <item x="271"/>
        <item x="53"/>
        <item x="130"/>
        <item x="84"/>
        <item x="226"/>
        <item x="23"/>
        <item x="248"/>
        <item x="39"/>
        <item x="231"/>
        <item x="314"/>
        <item x="42"/>
        <item x="36"/>
        <item x="286"/>
        <item x="234"/>
        <item x="260"/>
        <item x="320"/>
        <item x="137"/>
        <item x="64"/>
        <item x="29"/>
        <item x="71"/>
        <item x="233"/>
        <item x="93"/>
        <item x="125"/>
        <item x="242"/>
        <item x="229"/>
        <item x="79"/>
        <item x="22"/>
        <item x="132"/>
        <item x="33"/>
        <item x="73"/>
        <item x="274"/>
        <item x="281"/>
        <item x="94"/>
        <item x="66"/>
        <item x="223"/>
        <item x="128"/>
        <item x="62"/>
        <item x="105"/>
        <item x="63"/>
        <item x="246"/>
        <item x="65"/>
        <item x="100"/>
        <item x="21"/>
        <item x="34"/>
        <item x="238"/>
        <item x="47"/>
        <item x="41"/>
        <item x="26"/>
        <item x="32"/>
        <item x="40"/>
        <item x="77"/>
        <item x="1"/>
        <item x="72"/>
        <item x="35"/>
        <item x="28"/>
        <item x="236"/>
        <item x="43"/>
        <item x="37"/>
        <item x="24"/>
        <item x="44"/>
        <item x="30"/>
        <item x="70"/>
        <item x="78"/>
        <item x="90"/>
        <item x="82"/>
        <item x="69"/>
        <item x="83"/>
        <item x="103"/>
        <item x="74"/>
        <item x="25"/>
        <item x="85"/>
        <item x="89"/>
        <item x="87"/>
        <item x="67"/>
        <item x="80"/>
        <item x="76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1">
        <item x="31"/>
        <item x="40"/>
        <item x="141"/>
        <item x="189"/>
        <item x="37"/>
        <item x="35"/>
        <item x="33"/>
        <item x="42"/>
        <item x="39"/>
        <item x="38"/>
        <item x="108"/>
        <item x="36"/>
        <item x="34"/>
        <item x="32"/>
        <item x="41"/>
        <item x="109"/>
        <item x="142"/>
        <item x="0"/>
        <item x="43"/>
        <item x="20"/>
        <item x="21"/>
        <item x="59"/>
        <item x="58"/>
        <item x="16"/>
        <item x="18"/>
        <item x="46"/>
        <item x="9"/>
        <item x="15"/>
        <item x="55"/>
        <item x="125"/>
        <item x="169"/>
        <item x="47"/>
        <item x="11"/>
        <item x="19"/>
        <item x="48"/>
        <item x="53"/>
        <item x="70"/>
        <item x="10"/>
        <item x="60"/>
        <item x="57"/>
        <item x="54"/>
        <item x="73"/>
        <item x="56"/>
        <item x="64"/>
        <item x="65"/>
        <item x="61"/>
        <item x="17"/>
        <item x="2"/>
        <item x="6"/>
        <item x="1"/>
        <item x="5"/>
        <item x="4"/>
        <item x="7"/>
        <item x="3"/>
        <item x="44"/>
        <item x="8"/>
        <item x="72"/>
        <item x="170"/>
        <item x="45"/>
        <item x="143"/>
        <item x="71"/>
        <item x="67"/>
        <item x="122"/>
        <item x="66"/>
        <item x="134"/>
        <item x="63"/>
        <item x="190"/>
        <item x="131"/>
        <item x="62"/>
        <item x="69"/>
        <item x="130"/>
        <item x="116"/>
        <item x="123"/>
        <item x="139"/>
        <item x="129"/>
        <item x="133"/>
        <item x="75"/>
        <item x="113"/>
        <item x="68"/>
        <item x="156"/>
        <item x="121"/>
        <item x="148"/>
        <item x="149"/>
        <item x="171"/>
        <item x="173"/>
        <item x="172"/>
        <item x="174"/>
        <item x="176"/>
        <item x="22"/>
        <item x="124"/>
        <item x="138"/>
        <item x="137"/>
        <item x="177"/>
        <item x="12"/>
        <item x="136"/>
        <item x="128"/>
        <item x="127"/>
        <item x="49"/>
        <item x="155"/>
        <item x="52"/>
        <item x="154"/>
        <item x="132"/>
        <item x="119"/>
        <item x="74"/>
        <item x="51"/>
        <item x="50"/>
        <item x="146"/>
        <item x="151"/>
        <item x="120"/>
        <item x="112"/>
        <item x="152"/>
        <item x="150"/>
        <item x="118"/>
        <item x="117"/>
        <item x="144"/>
        <item x="175"/>
        <item x="110"/>
        <item x="126"/>
        <item x="147"/>
        <item x="145"/>
        <item x="13"/>
        <item x="178"/>
        <item x="179"/>
        <item x="114"/>
        <item x="153"/>
        <item x="135"/>
        <item x="115"/>
        <item x="14"/>
        <item x="111"/>
        <item x="181"/>
        <item x="30"/>
        <item x="89"/>
        <item x="159"/>
        <item x="94"/>
        <item x="25"/>
        <item x="29"/>
        <item x="180"/>
        <item x="91"/>
        <item x="92"/>
        <item x="93"/>
        <item x="157"/>
        <item x="77"/>
        <item x="164"/>
        <item x="76"/>
        <item x="95"/>
        <item x="96"/>
        <item x="97"/>
        <item x="78"/>
        <item x="79"/>
        <item x="98"/>
        <item x="80"/>
        <item x="81"/>
        <item x="99"/>
        <item x="90"/>
        <item x="26"/>
        <item x="82"/>
        <item x="83"/>
        <item x="158"/>
        <item x="84"/>
        <item x="85"/>
        <item x="23"/>
        <item x="100"/>
        <item x="24"/>
        <item x="182"/>
        <item x="27"/>
        <item x="101"/>
        <item x="86"/>
        <item x="102"/>
        <item x="28"/>
        <item x="103"/>
        <item x="87"/>
        <item x="183"/>
        <item x="88"/>
        <item x="184"/>
        <item x="162"/>
        <item x="185"/>
        <item x="104"/>
        <item x="105"/>
        <item x="186"/>
        <item x="160"/>
        <item x="106"/>
        <item x="107"/>
        <item x="165"/>
        <item x="166"/>
        <item x="168"/>
        <item x="187"/>
        <item x="188"/>
        <item x="163"/>
        <item x="167"/>
        <item x="161"/>
        <item x="1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8"/>
    <field x="5"/>
    <field x="18"/>
  </rowFields>
  <rowItems count="107">
    <i>
      <x/>
      <x v="91"/>
      <x v="33"/>
    </i>
    <i r="1">
      <x v="92"/>
      <x v="24"/>
    </i>
    <i t="blank">
      <x/>
    </i>
    <i>
      <x v="1"/>
      <x v="93"/>
      <x v="19"/>
    </i>
    <i t="blank">
      <x v="1"/>
    </i>
    <i>
      <x v="3"/>
      <x v="94"/>
      <x v="33"/>
    </i>
    <i r="1">
      <x v="95"/>
      <x v="24"/>
    </i>
    <i t="blank">
      <x v="3"/>
    </i>
    <i>
      <x v="4"/>
      <x v="426"/>
      <x v="69"/>
    </i>
    <i t="blank">
      <x v="4"/>
    </i>
    <i>
      <x v="6"/>
      <x v="96"/>
      <x v="20"/>
    </i>
    <i t="blank">
      <x v="6"/>
    </i>
    <i>
      <x v="7"/>
      <x v="97"/>
      <x v="33"/>
    </i>
    <i r="1">
      <x v="98"/>
      <x v="24"/>
    </i>
    <i t="blank">
      <x v="7"/>
    </i>
    <i>
      <x v="10"/>
      <x v="81"/>
      <x v="33"/>
    </i>
    <i r="1">
      <x v="82"/>
      <x v="24"/>
    </i>
    <i t="blank">
      <x v="10"/>
    </i>
    <i>
      <x v="13"/>
      <x v="83"/>
      <x v="33"/>
    </i>
    <i r="1">
      <x v="84"/>
      <x v="24"/>
    </i>
    <i t="blank">
      <x v="13"/>
    </i>
    <i>
      <x v="15"/>
      <x v="444"/>
      <x v="52"/>
    </i>
    <i t="blank">
      <x v="15"/>
    </i>
    <i>
      <x v="16"/>
      <x v="85"/>
      <x v="33"/>
    </i>
    <i r="1">
      <x v="86"/>
      <x v="24"/>
    </i>
    <i t="blank">
      <x v="16"/>
    </i>
    <i>
      <x v="19"/>
      <x v="87"/>
      <x v="33"/>
    </i>
    <i r="1">
      <x v="88"/>
      <x v="24"/>
    </i>
    <i t="blank">
      <x v="19"/>
    </i>
    <i>
      <x v="23"/>
      <x v="89"/>
      <x v="33"/>
    </i>
    <i r="1">
      <x v="90"/>
      <x v="24"/>
    </i>
    <i t="blank">
      <x v="23"/>
    </i>
    <i>
      <x v="27"/>
      <x v="73"/>
      <x v="52"/>
    </i>
    <i r="1">
      <x v="74"/>
      <x v="24"/>
    </i>
    <i t="blank">
      <x v="27"/>
    </i>
    <i>
      <x v="30"/>
      <x v="75"/>
      <x v="33"/>
    </i>
    <i r="1">
      <x v="76"/>
      <x v="24"/>
    </i>
    <i t="blank">
      <x v="30"/>
    </i>
    <i>
      <x v="33"/>
      <x v="77"/>
      <x v="33"/>
    </i>
    <i r="1">
      <x v="78"/>
      <x v="24"/>
    </i>
    <i t="blank">
      <x v="33"/>
    </i>
    <i>
      <x v="35"/>
      <x v="79"/>
      <x v="33"/>
    </i>
    <i r="1">
      <x v="80"/>
      <x v="24"/>
    </i>
    <i t="blank">
      <x v="35"/>
    </i>
    <i>
      <x v="36"/>
      <x v="99"/>
      <x v="33"/>
    </i>
    <i r="1">
      <x v="100"/>
      <x v="24"/>
    </i>
    <i t="blank">
      <x v="36"/>
    </i>
    <i>
      <x v="39"/>
      <x v="101"/>
      <x v="33"/>
    </i>
    <i r="1">
      <x v="102"/>
      <x v="24"/>
    </i>
    <i t="blank">
      <x v="39"/>
    </i>
    <i>
      <x v="40"/>
      <x v="366"/>
      <x v="119"/>
    </i>
    <i t="blank">
      <x v="40"/>
    </i>
    <i>
      <x v="42"/>
      <x v="103"/>
      <x v="33"/>
    </i>
    <i t="blank">
      <x v="42"/>
    </i>
    <i>
      <x v="47"/>
      <x v="104"/>
      <x v="33"/>
    </i>
    <i t="blank">
      <x v="47"/>
    </i>
    <i>
      <x v="52"/>
      <x v="105"/>
      <x v="33"/>
    </i>
    <i t="blank">
      <x v="52"/>
    </i>
    <i>
      <x v="54"/>
      <x v="53"/>
      <x v="62"/>
    </i>
    <i t="blank">
      <x v="54"/>
    </i>
    <i>
      <x v="55"/>
      <x v="106"/>
      <x v="33"/>
    </i>
    <i t="blank">
      <x v="55"/>
    </i>
    <i>
      <x v="57"/>
      <x v="107"/>
      <x v="33"/>
    </i>
    <i t="blank">
      <x v="57"/>
    </i>
    <i>
      <x v="60"/>
      <x v="108"/>
      <x v="33"/>
    </i>
    <i t="blank">
      <x v="60"/>
    </i>
    <i>
      <x v="61"/>
      <x v="367"/>
      <x v="106"/>
    </i>
    <i t="blank">
      <x v="61"/>
    </i>
    <i>
      <x v="63"/>
      <x v="109"/>
      <x v="52"/>
    </i>
    <i t="blank">
      <x v="63"/>
    </i>
    <i>
      <x v="66"/>
      <x v="54"/>
      <x v="68"/>
    </i>
    <i r="1">
      <x v="110"/>
      <x v="33"/>
    </i>
    <i t="blank">
      <x v="66"/>
    </i>
    <i>
      <x v="72"/>
      <x v="111"/>
      <x v="33"/>
    </i>
    <i t="blank">
      <x v="72"/>
    </i>
    <i>
      <x v="73"/>
      <x v="445"/>
      <x v="52"/>
    </i>
    <i t="blank">
      <x v="73"/>
    </i>
    <i>
      <x v="74"/>
      <x v="112"/>
      <x v="33"/>
    </i>
    <i t="blank">
      <x v="74"/>
    </i>
    <i>
      <x v="76"/>
      <x v="113"/>
      <x v="33"/>
    </i>
    <i t="blank">
      <x v="76"/>
    </i>
    <i>
      <x v="98"/>
      <x v="114"/>
      <x v="52"/>
    </i>
    <i t="blank">
      <x v="98"/>
    </i>
    <i>
      <x v="121"/>
      <x v="115"/>
      <x v="52"/>
    </i>
    <i t="blank">
      <x v="121"/>
    </i>
    <i>
      <x v="123"/>
      <x v="55"/>
      <x v="68"/>
    </i>
    <i t="blank">
      <x v="123"/>
    </i>
    <i>
      <x v="145"/>
      <x v="56"/>
      <x v="62"/>
    </i>
    <i t="blank">
      <x v="145"/>
    </i>
    <i>
      <x v="152"/>
      <x v="57"/>
      <x v="69"/>
    </i>
    <i t="blank">
      <x v="152"/>
    </i>
    <i>
      <x v="168"/>
      <x v="368"/>
      <x v="89"/>
    </i>
    <i t="blank">
      <x v="168"/>
    </i>
    <i>
      <x v="176"/>
      <x v="58"/>
      <x v="63"/>
    </i>
    <i t="blank">
      <x v="176"/>
    </i>
    <i>
      <x v="179"/>
      <x v="59"/>
      <x v="69"/>
    </i>
    <i t="blank">
      <x v="179"/>
    </i>
    <i>
      <x v="219"/>
      <x v="326"/>
      <x v="113"/>
    </i>
    <i t="blank">
      <x v="219"/>
    </i>
    <i>
      <x v="231"/>
      <x v="369"/>
      <x v="118"/>
    </i>
    <i t="blank">
      <x v="231"/>
    </i>
    <i>
      <x v="238"/>
      <x v="370"/>
      <x v="94"/>
    </i>
    <i t="blank">
      <x v="238"/>
    </i>
    <i>
      <x v="246"/>
      <x v="371"/>
      <x v="91"/>
    </i>
    <i t="blank">
      <x v="246"/>
    </i>
    <i>
      <x v="264"/>
      <x v="372"/>
      <x v="90"/>
    </i>
    <i t="blank">
      <x v="264"/>
    </i>
  </rowItems>
  <colFields count="2">
    <field x="1"/>
    <field x="-2"/>
  </colFields>
  <colItems count="2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</colItems>
  <pageFields count="2">
    <pageField fld="3" hier="-1"/>
    <pageField fld="6" hier="-1"/>
  </pageFields>
  <dataFields count="2">
    <dataField name="Sum of HLD_Principal" fld="13" baseField="0" baseItem="0"/>
    <dataField name="Average of HLD_YieldCost" fld="14" subtotal="average" baseField="5" baseItem="93"/>
  </dataFields>
  <formats count="63">
    <format dxfId="249">
      <pivotArea field="1" type="button" dataOnly="0" labelOnly="1" outline="0" axis="axisCol" fieldPosition="0"/>
    </format>
    <format dxfId="248">
      <pivotArea field="-2" type="button" dataOnly="0" labelOnly="1" outline="0" axis="axisCol" fieldPosition="1"/>
    </format>
    <format dxfId="247">
      <pivotArea type="topRight" dataOnly="0" labelOnly="1" outline="0" fieldPosition="0"/>
    </format>
    <format dxfId="246">
      <pivotArea field="5" type="button" dataOnly="0" labelOnly="1" outline="0" axis="axisRow" fieldPosition="1"/>
    </format>
    <format dxfId="245">
      <pivotArea dataOnly="0" labelOnly="1" outline="0" fieldPosition="0">
        <references count="1">
          <reference field="1" count="0"/>
        </references>
      </pivotArea>
    </format>
    <format dxfId="2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0"/>
          </reference>
        </references>
      </pivotArea>
    </format>
    <format dxfId="2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"/>
          </reference>
        </references>
      </pivotArea>
    </format>
    <format dxfId="2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"/>
          </reference>
        </references>
      </pivotArea>
    </format>
    <format dxfId="2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3"/>
          </reference>
        </references>
      </pivotArea>
    </format>
    <format dxfId="2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2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2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"/>
          </reference>
        </references>
      </pivotArea>
    </format>
    <format dxfId="2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7"/>
          </reference>
        </references>
      </pivotArea>
    </format>
    <format dxfId="2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8"/>
          </reference>
        </references>
      </pivotArea>
    </format>
    <format dxfId="2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9"/>
          </reference>
        </references>
      </pivotArea>
    </format>
    <format dxfId="234">
      <pivotArea type="origin" dataOnly="0" labelOnly="1" outline="0" fieldPosition="0"/>
    </format>
    <format dxfId="233">
      <pivotArea field="8" type="button" dataOnly="0" labelOnly="1" outline="0" axis="axisRow" fieldPosition="0"/>
    </format>
    <format dxfId="232">
      <pivotArea dataOnly="0" labelOnly="1" outline="0" fieldPosition="0">
        <references count="1">
          <reference field="8" count="1">
            <x v="0"/>
          </reference>
        </references>
      </pivotArea>
    </format>
    <format dxfId="231">
      <pivotArea dataOnly="0" labelOnly="1" outline="0" fieldPosition="0">
        <references count="1">
          <reference field="8" count="1">
            <x v="1"/>
          </reference>
        </references>
      </pivotArea>
    </format>
    <format dxfId="230">
      <pivotArea dataOnly="0" labelOnly="1" outline="0" fieldPosition="0">
        <references count="1">
          <reference field="8" count="1">
            <x v="3"/>
          </reference>
        </references>
      </pivotArea>
    </format>
    <format dxfId="229">
      <pivotArea dataOnly="0" labelOnly="1" outline="0" fieldPosition="0">
        <references count="1">
          <reference field="8" count="1">
            <x v="4"/>
          </reference>
        </references>
      </pivotArea>
    </format>
    <format dxfId="228">
      <pivotArea dataOnly="0" labelOnly="1" outline="0" fieldPosition="0">
        <references count="1">
          <reference field="8" count="1">
            <x v="6"/>
          </reference>
        </references>
      </pivotArea>
    </format>
    <format dxfId="227">
      <pivotArea dataOnly="0" labelOnly="1" outline="0" fieldPosition="0">
        <references count="1">
          <reference field="8" count="1">
            <x v="7"/>
          </reference>
        </references>
      </pivotArea>
    </format>
    <format dxfId="226">
      <pivotArea dataOnly="0" labelOnly="1" outline="0" fieldPosition="0">
        <references count="1">
          <reference field="8" count="1">
            <x v="10"/>
          </reference>
        </references>
      </pivotArea>
    </format>
    <format dxfId="225">
      <pivotArea dataOnly="0" labelOnly="1" outline="0" fieldPosition="0">
        <references count="1">
          <reference field="8" count="1">
            <x v="13"/>
          </reference>
        </references>
      </pivotArea>
    </format>
    <format dxfId="224">
      <pivotArea dataOnly="0" labelOnly="1" outline="0" fieldPosition="0">
        <references count="1">
          <reference field="8" count="1">
            <x v="15"/>
          </reference>
        </references>
      </pivotArea>
    </format>
    <format dxfId="223">
      <pivotArea dataOnly="0" labelOnly="1" outline="0" fieldPosition="0">
        <references count="1">
          <reference field="8" count="1">
            <x v="16"/>
          </reference>
        </references>
      </pivotArea>
    </format>
    <format dxfId="222">
      <pivotArea dataOnly="0" labelOnly="1" outline="0" fieldPosition="0">
        <references count="1">
          <reference field="8" count="1">
            <x v="19"/>
          </reference>
        </references>
      </pivotArea>
    </format>
    <format dxfId="221">
      <pivotArea dataOnly="0" labelOnly="1" outline="0" fieldPosition="0">
        <references count="1">
          <reference field="8" count="1">
            <x v="23"/>
          </reference>
        </references>
      </pivotArea>
    </format>
    <format dxfId="220">
      <pivotArea dataOnly="0" labelOnly="1" outline="0" fieldPosition="0">
        <references count="1">
          <reference field="8" count="1">
            <x v="27"/>
          </reference>
        </references>
      </pivotArea>
    </format>
    <format dxfId="219">
      <pivotArea dataOnly="0" labelOnly="1" outline="0" fieldPosition="0">
        <references count="1">
          <reference field="8" count="1">
            <x v="30"/>
          </reference>
        </references>
      </pivotArea>
    </format>
    <format dxfId="218">
      <pivotArea dataOnly="0" labelOnly="1" outline="0" fieldPosition="0">
        <references count="1">
          <reference field="8" count="1">
            <x v="33"/>
          </reference>
        </references>
      </pivotArea>
    </format>
    <format dxfId="217">
      <pivotArea dataOnly="0" labelOnly="1" outline="0" fieldPosition="0">
        <references count="1">
          <reference field="8" count="1">
            <x v="35"/>
          </reference>
        </references>
      </pivotArea>
    </format>
    <format dxfId="216">
      <pivotArea dataOnly="0" labelOnly="1" outline="0" fieldPosition="0">
        <references count="1">
          <reference field="8" count="1">
            <x v="36"/>
          </reference>
        </references>
      </pivotArea>
    </format>
    <format dxfId="215">
      <pivotArea dataOnly="0" labelOnly="1" outline="0" fieldPosition="0">
        <references count="1">
          <reference field="8" count="1">
            <x v="39"/>
          </reference>
        </references>
      </pivotArea>
    </format>
    <format dxfId="214">
      <pivotArea dataOnly="0" labelOnly="1" outline="0" fieldPosition="0">
        <references count="1">
          <reference field="8" count="1">
            <x v="40"/>
          </reference>
        </references>
      </pivotArea>
    </format>
    <format dxfId="213">
      <pivotArea dataOnly="0" labelOnly="1" outline="0" fieldPosition="0">
        <references count="1">
          <reference field="8" count="1">
            <x v="42"/>
          </reference>
        </references>
      </pivotArea>
    </format>
    <format dxfId="212">
      <pivotArea dataOnly="0" labelOnly="1" outline="0" fieldPosition="0">
        <references count="1">
          <reference field="8" count="1">
            <x v="47"/>
          </reference>
        </references>
      </pivotArea>
    </format>
    <format dxfId="211">
      <pivotArea dataOnly="0" labelOnly="1" outline="0" fieldPosition="0">
        <references count="1">
          <reference field="8" count="1">
            <x v="52"/>
          </reference>
        </references>
      </pivotArea>
    </format>
    <format dxfId="210">
      <pivotArea dataOnly="0" labelOnly="1" outline="0" fieldPosition="0">
        <references count="1">
          <reference field="8" count="1">
            <x v="54"/>
          </reference>
        </references>
      </pivotArea>
    </format>
    <format dxfId="209">
      <pivotArea dataOnly="0" labelOnly="1" outline="0" fieldPosition="0">
        <references count="1">
          <reference field="8" count="1">
            <x v="55"/>
          </reference>
        </references>
      </pivotArea>
    </format>
    <format dxfId="208">
      <pivotArea dataOnly="0" labelOnly="1" outline="0" fieldPosition="0">
        <references count="1">
          <reference field="8" count="1">
            <x v="57"/>
          </reference>
        </references>
      </pivotArea>
    </format>
    <format dxfId="207">
      <pivotArea dataOnly="0" labelOnly="1" outline="0" fieldPosition="0">
        <references count="1">
          <reference field="8" count="1">
            <x v="60"/>
          </reference>
        </references>
      </pivotArea>
    </format>
    <format dxfId="206">
      <pivotArea dataOnly="0" labelOnly="1" outline="0" fieldPosition="0">
        <references count="1">
          <reference field="8" count="1">
            <x v="61"/>
          </reference>
        </references>
      </pivotArea>
    </format>
    <format dxfId="205">
      <pivotArea dataOnly="0" labelOnly="1" outline="0" fieldPosition="0">
        <references count="1">
          <reference field="8" count="1">
            <x v="63"/>
          </reference>
        </references>
      </pivotArea>
    </format>
    <format dxfId="204">
      <pivotArea dataOnly="0" labelOnly="1" outline="0" fieldPosition="0">
        <references count="1">
          <reference field="8" count="1">
            <x v="66"/>
          </reference>
        </references>
      </pivotArea>
    </format>
    <format dxfId="203">
      <pivotArea dataOnly="0" labelOnly="1" outline="0" fieldPosition="0">
        <references count="1">
          <reference field="8" count="1">
            <x v="72"/>
          </reference>
        </references>
      </pivotArea>
    </format>
    <format dxfId="202">
      <pivotArea dataOnly="0" labelOnly="1" outline="0" fieldPosition="0">
        <references count="1">
          <reference field="8" count="1">
            <x v="73"/>
          </reference>
        </references>
      </pivotArea>
    </format>
    <format dxfId="201">
      <pivotArea dataOnly="0" labelOnly="1" outline="0" fieldPosition="0">
        <references count="1">
          <reference field="8" count="1">
            <x v="74"/>
          </reference>
        </references>
      </pivotArea>
    </format>
    <format dxfId="200">
      <pivotArea dataOnly="0" labelOnly="1" outline="0" fieldPosition="0">
        <references count="1">
          <reference field="8" count="1">
            <x v="76"/>
          </reference>
        </references>
      </pivotArea>
    </format>
    <format dxfId="199">
      <pivotArea dataOnly="0" labelOnly="1" outline="0" fieldPosition="0">
        <references count="1">
          <reference field="8" count="1">
            <x v="98"/>
          </reference>
        </references>
      </pivotArea>
    </format>
    <format dxfId="198">
      <pivotArea dataOnly="0" labelOnly="1" outline="0" fieldPosition="0">
        <references count="1">
          <reference field="8" count="1">
            <x v="121"/>
          </reference>
        </references>
      </pivotArea>
    </format>
    <format dxfId="197">
      <pivotArea dataOnly="0" labelOnly="1" outline="0" fieldPosition="0">
        <references count="1">
          <reference field="8" count="1">
            <x v="123"/>
          </reference>
        </references>
      </pivotArea>
    </format>
    <format dxfId="196">
      <pivotArea dataOnly="0" labelOnly="1" outline="0" fieldPosition="0">
        <references count="1">
          <reference field="8" count="1">
            <x v="145"/>
          </reference>
        </references>
      </pivotArea>
    </format>
    <format dxfId="195">
      <pivotArea dataOnly="0" labelOnly="1" outline="0" fieldPosition="0">
        <references count="1">
          <reference field="8" count="1">
            <x v="152"/>
          </reference>
        </references>
      </pivotArea>
    </format>
    <format dxfId="194">
      <pivotArea dataOnly="0" labelOnly="1" outline="0" fieldPosition="0">
        <references count="1">
          <reference field="8" count="1">
            <x v="168"/>
          </reference>
        </references>
      </pivotArea>
    </format>
    <format dxfId="193">
      <pivotArea dataOnly="0" labelOnly="1" outline="0" fieldPosition="0">
        <references count="1">
          <reference field="8" count="1">
            <x v="176"/>
          </reference>
        </references>
      </pivotArea>
    </format>
    <format dxfId="192">
      <pivotArea dataOnly="0" labelOnly="1" outline="0" fieldPosition="0">
        <references count="1">
          <reference field="8" count="1">
            <x v="179"/>
          </reference>
        </references>
      </pivotArea>
    </format>
    <format dxfId="191">
      <pivotArea dataOnly="0" labelOnly="1" outline="0" fieldPosition="0">
        <references count="1">
          <reference field="8" count="1">
            <x v="219"/>
          </reference>
        </references>
      </pivotArea>
    </format>
    <format dxfId="190">
      <pivotArea dataOnly="0" labelOnly="1" outline="0" fieldPosition="0">
        <references count="1">
          <reference field="8" count="1">
            <x v="231"/>
          </reference>
        </references>
      </pivotArea>
    </format>
    <format dxfId="189">
      <pivotArea dataOnly="0" labelOnly="1" outline="0" fieldPosition="0">
        <references count="1">
          <reference field="8" count="1">
            <x v="238"/>
          </reference>
        </references>
      </pivotArea>
    </format>
    <format dxfId="188">
      <pivotArea dataOnly="0" labelOnly="1" outline="0" fieldPosition="0">
        <references count="1">
          <reference field="8" count="1">
            <x v="246"/>
          </reference>
        </references>
      </pivotArea>
    </format>
    <format dxfId="187">
      <pivotArea dataOnly="0" labelOnly="1" outline="0" fieldPosition="0">
        <references count="1">
          <reference field="8" count="1">
            <x v="264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21E33C-B08C-4715-9934-889400436571}" name="IntraTrans" displayName="IntraTrans" ref="D21:V33" totalsRowShown="0" headerRowDxfId="262">
  <autoFilter ref="D21:V33" xr:uid="{61A0D734-FAB3-44E2-925B-8DF88BFBC997}"/>
  <tableColumns count="19">
    <tableColumn id="1" xr3:uid="{8C876275-0F5A-4DC3-9E4B-5192FEDE1BEA}" name="Portfolio"/>
    <tableColumn id="2" xr3:uid="{A1AEA8D8-1FAA-434C-9506-FD5BFC623201}" name="Trans. Date" dataDxfId="261"/>
    <tableColumn id="3" xr3:uid="{E2F3DCD5-800E-441E-A07C-7188022FAB8E}" name="Settle Date" dataDxfId="260"/>
    <tableColumn id="4" xr3:uid="{C3907B05-AFA4-4989-9F83-060941425BF5}" name="B/S"/>
    <tableColumn id="5" xr3:uid="{BFD29884-C8A5-4C34-BEA7-632D0E831811}" name="F/S"/>
    <tableColumn id="6" xr3:uid="{254BC94B-014B-4449-9BB5-9F139FD6F227}" name="Type"/>
    <tableColumn id="7" xr3:uid="{6FE1F75B-479D-42B6-B6D4-595598655B4B}" name="Name"/>
    <tableColumn id="8" xr3:uid="{5FA7AC06-22E5-498C-9183-86EB66FBA416}" name="Counter-Party"/>
    <tableColumn id="9" xr3:uid="{04ADDEFC-3DFF-4727-A20C-9E1664FF965C}" name="Maturity Date" dataDxfId="259"/>
    <tableColumn id="10" xr3:uid="{B389422A-9620-4C65-8879-D09CA4F25DBD}" name="Days"/>
    <tableColumn id="11" xr3:uid="{47E0D20C-0C50-4AE6-AD74-72350322F087}" name="Yield"/>
    <tableColumn id="12" xr3:uid="{AA3C9752-7F45-4EB6-9D88-33A33F1CE02A}" name="Unit"/>
    <tableColumn id="13" xr3:uid="{628B2C3D-B789-4250-A411-9570722B177A}" name="Par"/>
    <tableColumn id="14" xr3:uid="{42232D33-A19B-4325-98EC-B735A0D7E909}" name="CP"/>
    <tableColumn id="15" xr3:uid="{AB6D2231-8510-45BC-8C11-42D489AD00F8}" name="AI"/>
    <tableColumn id="16" xr3:uid="{360FD80A-3B11-4B61-82FC-E51E092E7D2E}" name="DP"/>
    <tableColumn id="17" xr3:uid="{BDE1A185-A7F5-4F37-9FBC-3E841C064F29}" name="Adj."/>
    <tableColumn id="18" xr3:uid="{87B21139-E5BE-4C72-B2F0-522B49FB3558}" name="Net Settlement"/>
    <tableColumn id="19" xr3:uid="{B9E78CBE-6F3D-474C-A1C1-F131A1E8CEBA}" name="Pay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9EA97B-DAFA-48CD-9FF1-71113865415C}" name="DataTable" displayName="DataTable" ref="A1:T964" totalsRowShown="0">
  <autoFilter ref="A1:T964" xr:uid="{35C98E9F-E167-4B86-9E39-83DCBCFEF853}">
    <filterColumn colId="6">
      <filters>
        <filter val="BOT"/>
        <filter val="GOVERNMENT"/>
      </filters>
    </filterColumn>
  </autoFilter>
  <tableColumns count="20">
    <tableColumn id="1" xr3:uid="{73593C56-B5E0-4429-ABEC-FC4D9810025C}" name="HLD_Date" dataDxfId="258"/>
    <tableColumn id="2" xr3:uid="{B7C53A23-6082-4834-B84B-6FBAB7528E41}" name="HLD_Portfolio"/>
    <tableColumn id="3" xr3:uid="{492238F6-6913-41F2-8E41-990EEC2DC1A7}" name="Group1"/>
    <tableColumn id="4" xr3:uid="{36A6DAD3-909C-4182-B52D-4AE69B84DF84}" name="Group2"/>
    <tableColumn id="5" xr3:uid="{F2001132-773E-449F-8A01-1A23302C2670}" name="Group3"/>
    <tableColumn id="6" xr3:uid="{B2DE208E-EE2F-49B0-9C33-2E68D6DAD332}" name="HLD_SecCode"/>
    <tableColumn id="7" xr3:uid="{33DDB40B-D77A-45CE-A696-6CDBDB9C6C83}" name="HLD_Issuer"/>
    <tableColumn id="8" xr3:uid="{13853DAF-1C98-45F2-A123-3C6699B66C15}" name="HLD_Rating"/>
    <tableColumn id="9" xr3:uid="{6DF99013-113B-4E8F-883E-86AFC0D833F7}" name="HLD_MaturityDate" dataDxfId="251"/>
    <tableColumn id="10" xr3:uid="{96CBFC27-3314-44A5-8658-FEA5E3049E26}" name="HLD_MarketValue" dataDxfId="250"/>
    <tableColumn id="11" xr3:uid="{E9C93296-83CC-4A82-9104-8BBC6526CF5B}" name="HLD_AI"/>
    <tableColumn id="12" xr3:uid="{2EEAF628-172B-41EF-BC69-C6A8FE2D92FA}" name="HLD_Cost"/>
    <tableColumn id="13" xr3:uid="{8E2E860B-BB1D-482E-BA74-CB95115860FF}" name="HLD_ModDuration"/>
    <tableColumn id="19" xr3:uid="{E32DAFA0-A5CE-4BF9-90B2-8E9FC18F503A}" name="HLD_Principal"/>
    <tableColumn id="14" xr3:uid="{E34BF21A-DF2C-43BA-BBC0-8C162459F4BE}" name="HLD_YieldCost"/>
    <tableColumn id="15" xr3:uid="{6D775B87-EF2D-4485-B38D-D3114AE75057}" name="SEC_Class"/>
    <tableColumn id="16" xr3:uid="{01940705-488B-45A2-BE5A-20AF929AF698}" name="SEC_Currency"/>
    <tableColumn id="17" xr3:uid="{BDD355A4-71C5-4AED-88A1-C185BE7C4573}" name="SEC_Issue_Date" dataDxfId="254"/>
    <tableColumn id="20" xr3:uid="{E4B987B0-F5F1-44A0-9A37-8B93A7258433}" name="IssTerm" dataDxfId="252">
      <calculatedColumnFormula>DataTable[HLD_MaturityDate] - DataTable[SEC_Issue_Date]</calculatedColumnFormula>
    </tableColumn>
    <tableColumn id="18" xr3:uid="{7BC0F2D7-F74F-4BBF-93F2-719A85DAA733}" name="RefRng" dataDxfId="253">
      <calculatedColumnFormula>DataTable[HLD_Portfolio]&amp;DataTable[HLD_Date]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9DE5EE-6BEA-4028-A3B4-58FBE37E202F}" name="CashIntraTable" displayName="CashIntraTable" ref="A1:I761" totalsRowShown="0">
  <autoFilter ref="A1:I761" xr:uid="{3C59359B-F8C2-417C-865F-3E9D13692A7F}"/>
  <tableColumns count="9">
    <tableColumn id="1" xr3:uid="{88EB0948-85E1-4C35-B1DA-351931275ADC}" name="Portfolio"/>
    <tableColumn id="2" xr3:uid="{94E6B2CA-22C2-48FC-BB2F-5AF54FD79E36}" name="Cur"/>
    <tableColumn id="3" xr3:uid="{9964455B-A891-488C-923E-A1440A7CD09B}" name="Cash Date" dataDxfId="255"/>
    <tableColumn id="4" xr3:uid="{3D2E7043-0458-4BCC-B4AA-2FB54068517D}" name="Type"/>
    <tableColumn id="5" xr3:uid="{5EFBC911-2C62-4F30-9F26-5A3A10CA6438}" name="Amount"/>
    <tableColumn id="6" xr3:uid="{A7319921-AA01-4D98-8C65-D8304059B886}" name="Detail"/>
    <tableColumn id="7" xr3:uid="{E1E6CCD9-F334-4DC4-8C7E-44F077C52011}" name="Mode"/>
    <tableColumn id="8" xr3:uid="{541CEEB3-061F-47B7-83B6-1B1E245DAADB}" name="ID"/>
    <tableColumn id="9" xr3:uid="{34BAE64D-DF7F-461A-86AF-DECF558D7B83}" name="RefRng">
      <calculatedColumnFormula>CashIntraTable[Portfolio]&amp;VALUE(CashIntraTable[Cash Date])&amp;CashIntraTable[Detail]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0F8FCF-D376-4B6A-AD61-50A74690AEA8}" name="CashProjTable" displayName="CashProjTable" ref="A1:AA161" totalsRowShown="0">
  <autoFilter ref="A1:AA161" xr:uid="{9077A6B0-A50B-4568-B45F-2BBD7E6355A4}"/>
  <tableColumns count="27">
    <tableColumn id="1" xr3:uid="{B45DA52B-F60E-4A60-A97D-743F219953E9}" name="Portfolio"/>
    <tableColumn id="2" xr3:uid="{6C079AE6-B7C9-4EC6-94DF-77D8E337FDCB}" name="Custodian"/>
    <tableColumn id="3" xr3:uid="{AFE982E6-1A3D-47B0-A2B5-E682E1FFFADD}" name="ProjDate" dataDxfId="257"/>
    <tableColumn id="4" xr3:uid="{A6496386-429A-4FC7-B75B-51830D4C9DFA}" name="DebtBuy"/>
    <tableColumn id="5" xr3:uid="{B0FB8A8B-1B49-4604-9A05-0CA39C63FE62}" name="DebtSell"/>
    <tableColumn id="6" xr3:uid="{C2A3FBF7-DA0C-472E-BF06-3448BC2E9349}" name="DebtInterest"/>
    <tableColumn id="7" xr3:uid="{4BC3F1D2-108E-4728-9BE2-FA06EF81A940}" name="CashEqBuy"/>
    <tableColumn id="8" xr3:uid="{E2487DCE-49A2-4250-9C14-A193D9A62433}" name="CashEqSell"/>
    <tableColumn id="9" xr3:uid="{CA8F419A-DF8E-4785-892B-6F6D05ECC121}" name="CashEqInterest"/>
    <tableColumn id="10" xr3:uid="{6B6B0E9A-B4C1-4B84-AFB1-241FDE54BF55}" name="Expense"/>
    <tableColumn id="11" xr3:uid="{2F2D8A77-E945-4595-90EE-CB9BF065F4E9}" name="Application"/>
    <tableColumn id="12" xr3:uid="{68F7B3AD-6292-41AF-92D4-8DAB19CE84A9}" name="Redemtion"/>
    <tableColumn id="13" xr3:uid="{66882AA2-A94C-48B9-873B-76B1AC5F9C60}" name="SwitchIn"/>
    <tableColumn id="14" xr3:uid="{4ACBB8F7-5C8F-4319-910C-AFD6A172836A}" name="SwitchOut"/>
    <tableColumn id="15" xr3:uid="{82089495-8B65-446B-B063-A1AE759BB79C}" name="CashBal"/>
    <tableColumn id="16" xr3:uid="{E28B219E-316C-4F33-82EC-19C8B67642A2}" name="CashEqBal" dataDxfId="256" dataCellStyle="Comma"/>
    <tableColumn id="17" xr3:uid="{90AAE8A0-7E24-4D69-97F7-57890E85FC14}" name="DebtBuy_BahtNet"/>
    <tableColumn id="18" xr3:uid="{321BC403-B12D-4C58-A5CE-83643A405857}" name="DebtSell_BahtNet"/>
    <tableColumn id="19" xr3:uid="{0F75505F-F48C-4BC6-986F-77D503737315}" name="CashEqBuy_BahtNet"/>
    <tableColumn id="20" xr3:uid="{2B674010-A9D2-44CD-A766-A4ECB96AB4D6}" name="CashEqSell_BahtNet"/>
    <tableColumn id="21" xr3:uid="{364DB900-CCEA-4FEF-8B8B-2C7EFEC73023}" name="App_SCB_BahtNet"/>
    <tableColumn id="22" xr3:uid="{C26FFFA4-0675-419C-8700-F818EEF7FB8C}" name="App_Other_BahtNet"/>
    <tableColumn id="23" xr3:uid="{F0566C95-B4AD-4A2A-B835-56A6487A5A20}" name="App_SCB_Cheque"/>
    <tableColumn id="24" xr3:uid="{47E745F3-25A9-469E-B360-F2243B33A972}" name="App_Other_Cheque"/>
    <tableColumn id="25" xr3:uid="{103E7C3E-DA8F-45B4-AE71-7B188417F105}" name="CashForUse"/>
    <tableColumn id="26" xr3:uid="{3BE3B8CF-8F26-4C2D-A0B3-1CEC8CFCB59B}" name="CashForBahtNet"/>
    <tableColumn id="27" xr3:uid="{9DB01920-187B-4423-8337-ECB5E19D6AF8}" name="RefRng">
      <calculatedColumnFormula>CashProjTable[Portfolio]&amp;CashProjTable[ProjDate]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689C-8678-46E1-BC5A-DD4783CB7976}">
  <sheetPr codeName="Sheet4"/>
  <dimension ref="A1:W33"/>
  <sheetViews>
    <sheetView topLeftCell="B2" zoomScale="85" zoomScaleNormal="85" workbookViewId="0">
      <selection activeCell="D5" sqref="D5:D14"/>
    </sheetView>
  </sheetViews>
  <sheetFormatPr defaultRowHeight="14.25" outlineLevelCol="1" x14ac:dyDescent="0.2"/>
  <cols>
    <col min="1" max="1" width="13.75" hidden="1" customWidth="1"/>
    <col min="2" max="2" width="11.875" customWidth="1"/>
    <col min="3" max="3" width="13" customWidth="1"/>
    <col min="4" max="4" width="17.75" customWidth="1"/>
    <col min="5" max="5" width="16.125" customWidth="1"/>
    <col min="6" max="6" width="21.125" customWidth="1"/>
    <col min="7" max="7" width="19.5" customWidth="1"/>
    <col min="8" max="8" width="16.625" customWidth="1"/>
    <col min="9" max="9" width="17.25" customWidth="1"/>
    <col min="10" max="10" width="19.75" customWidth="1"/>
    <col min="11" max="11" width="18.625" customWidth="1"/>
    <col min="12" max="12" width="13.875" customWidth="1"/>
    <col min="13" max="13" width="17.75" customWidth="1"/>
    <col min="14" max="14" width="9.75" hidden="1" customWidth="1" outlineLevel="1"/>
    <col min="15" max="15" width="19.125" hidden="1" customWidth="1" outlineLevel="1"/>
    <col min="16" max="16" width="18.75" hidden="1" customWidth="1" outlineLevel="1"/>
    <col min="17" max="19" width="17.125" hidden="1" customWidth="1" outlineLevel="1"/>
    <col min="20" max="20" width="10.875" hidden="1" customWidth="1" outlineLevel="1"/>
    <col min="21" max="21" width="17.5" hidden="1" customWidth="1" outlineLevel="1"/>
    <col min="22" max="22" width="10.75" hidden="1" customWidth="1" outlineLevel="1"/>
    <col min="23" max="23" width="9" collapsed="1"/>
  </cols>
  <sheetData>
    <row r="1" spans="1:19" hidden="1" x14ac:dyDescent="0.2">
      <c r="A1" t="s">
        <v>138</v>
      </c>
      <c r="D1">
        <f ca="1">MATCH($D$3,SCBSFF!$5:$5,0)</f>
        <v>4</v>
      </c>
    </row>
    <row r="2" spans="1:19" x14ac:dyDescent="0.2">
      <c r="A2" t="s">
        <v>17</v>
      </c>
      <c r="D2" s="8" t="s">
        <v>842</v>
      </c>
    </row>
    <row r="3" spans="1:19" x14ac:dyDescent="0.2">
      <c r="A3" t="s">
        <v>139</v>
      </c>
      <c r="D3" s="74">
        <f ca="1">TODAY()</f>
        <v>43384</v>
      </c>
      <c r="G3" s="7"/>
      <c r="H3" s="7"/>
      <c r="I3" s="7"/>
      <c r="O3" s="8" t="s">
        <v>1203</v>
      </c>
    </row>
    <row r="4" spans="1:19" x14ac:dyDescent="0.2">
      <c r="A4" t="s">
        <v>140</v>
      </c>
      <c r="D4" s="68" t="s">
        <v>318</v>
      </c>
      <c r="E4" s="68" t="s">
        <v>843</v>
      </c>
      <c r="F4" s="68" t="s">
        <v>844</v>
      </c>
      <c r="G4" s="68" t="s">
        <v>845</v>
      </c>
      <c r="H4" s="68" t="s">
        <v>846</v>
      </c>
      <c r="I4" s="68" t="s">
        <v>847</v>
      </c>
      <c r="J4" s="68" t="s">
        <v>848</v>
      </c>
      <c r="K4" s="68" t="s">
        <v>849</v>
      </c>
      <c r="L4" s="68" t="s">
        <v>1204</v>
      </c>
      <c r="M4" s="90" t="s">
        <v>850</v>
      </c>
      <c r="O4" s="68" t="s">
        <v>344</v>
      </c>
      <c r="P4" s="68" t="s">
        <v>348</v>
      </c>
      <c r="Q4" s="68" t="s">
        <v>345</v>
      </c>
      <c r="R4" s="68" t="s">
        <v>346</v>
      </c>
      <c r="S4" s="68" t="s">
        <v>347</v>
      </c>
    </row>
    <row r="5" spans="1:19" x14ac:dyDescent="0.2">
      <c r="A5" t="s">
        <v>141</v>
      </c>
      <c r="D5" s="69" t="str">
        <f t="array" ref="D5:D14">A2:A11</f>
        <v>SCBSFF</v>
      </c>
      <c r="E5" s="72">
        <f ca="1">INDIRECT("'"&amp;$D5&amp;"'!"&amp;ADDRESS(12,$D$1))</f>
        <v>165105488.38999999</v>
      </c>
      <c r="F5" s="72">
        <f ca="1">INDIRECT("'"&amp;$D5&amp;"'!"&amp;ADDRESS(13,$D$1))</f>
        <v>0</v>
      </c>
      <c r="G5" s="72">
        <f ca="1">INDIRECT("'"&amp;$D5&amp;"'!"&amp;ADDRESS(48,($D$1)+1))</f>
        <v>-2178351706.3899994</v>
      </c>
      <c r="H5" s="72">
        <f ca="1">INDIRECT("'"&amp;$D5&amp;"'!"&amp;ADDRESS(48,($D$1)+2))</f>
        <v>-1975125851.0799994</v>
      </c>
      <c r="I5" s="72">
        <f ca="1">INDIRECT("'"&amp;$D5&amp;"'!"&amp;ADDRESS(48,($D$1)+3))</f>
        <v>-1954613982.3999994</v>
      </c>
      <c r="J5" s="72">
        <f ca="1">E5+F5+G5</f>
        <v>-2013246217.9999995</v>
      </c>
      <c r="K5" s="72">
        <f ca="1">INDIRECT("'"&amp;$D5&amp;"'!"&amp;ADDRESS(51,$D$1))</f>
        <v>73729645384.490005</v>
      </c>
      <c r="L5" s="73">
        <f ca="1">J5/K5</f>
        <v>-2.7305790059089476E-2</v>
      </c>
      <c r="M5" s="72">
        <f ca="1">(SUM(OFFSET(INDIRECT("'"&amp;$D5&amp;"'!"&amp;ADDRESS(23,($D$1))),,,4))-SUM(O5:Q5)) + (-SUM(OFFSET(INDIRECT("'"&amp;$D5&amp;"'!"&amp;ADDRESS(37,($D$1))),,,2))-SUM(R5:S5))</f>
        <v>0</v>
      </c>
      <c r="O5" s="72">
        <f ca="1">IFERROR(INDEX(CashIntraTable[Amount],MATCH($D5&amp;$D$3&amp;O$4,CashIntraTable[RefRng],0)),0)</f>
        <v>120273683.88</v>
      </c>
      <c r="P5" s="72">
        <f ca="1">IFERROR(INDEX(CashIntraTable[Amount],MATCH($D5&amp;$D$3&amp;P$4,CashIntraTable[RefRng],0)),0)</f>
        <v>3150000</v>
      </c>
      <c r="Q5" s="72">
        <f ca="1">IFERROR(INDEX(CashIntraTable[Amount],MATCH($D5&amp;$D$3&amp;Q$4,CashIntraTable[RefRng],0)),0)</f>
        <v>27915467.170000002</v>
      </c>
      <c r="R5" s="72">
        <f ca="1">IFERROR(INDEX(CashIntraTable[Amount],MATCH($D5&amp;$D$3&amp;R$4,CashIntraTable[RefRng],0)),0)</f>
        <v>-173003015.72999999</v>
      </c>
      <c r="S5" s="72">
        <f ca="1">IFERROR(INDEX(CashIntraTable[Amount],MATCH($D5&amp;$D$3&amp;S$4,CashIntraTable[RefRng],0)),0)</f>
        <v>-322512733.36000001</v>
      </c>
    </row>
    <row r="6" spans="1:19" x14ac:dyDescent="0.2">
      <c r="A6" t="s">
        <v>352</v>
      </c>
      <c r="D6" s="70" t="str">
        <v>SCBSFFPLUS</v>
      </c>
      <c r="E6" s="72">
        <f ca="1">INDIRECT("'"&amp;$D6&amp;"'!"&amp;ADDRESS(9,$D$1))</f>
        <v>57730392.330000043</v>
      </c>
      <c r="F6" s="72">
        <f ca="1">INDIRECT("'"&amp;$D6&amp;"'!"&amp;ADDRESS(10,$D$1))</f>
        <v>-10000000</v>
      </c>
      <c r="G6" s="72">
        <f ca="1">INDIRECT("'"&amp;$D6&amp;"'!"&amp;ADDRESS(41,($D$1)+1))</f>
        <v>223523805.48999906</v>
      </c>
      <c r="H6" s="72">
        <f ca="1">INDIRECT("'"&amp;$D6&amp;"'!"&amp;ADDRESS(41,($D$1)+2))</f>
        <v>5602781830.3599987</v>
      </c>
      <c r="I6" s="72">
        <f ca="1">INDIRECT("'"&amp;$D6&amp;"'!"&amp;ADDRESS(41,($D$1)+3))</f>
        <v>5712065713.8699989</v>
      </c>
      <c r="J6" s="72">
        <f t="shared" ref="J6:J14" ca="1" si="0">E6+F6+G6</f>
        <v>271254197.8199991</v>
      </c>
      <c r="K6" s="72">
        <f ca="1">INDIRECT("'"&amp;$D6&amp;"'!"&amp;ADDRESS(44,$D$1))</f>
        <v>213928044495.12003</v>
      </c>
      <c r="L6" s="73">
        <f ca="1">J6/K6</f>
        <v>1.2679693233309892E-3</v>
      </c>
      <c r="M6" s="72">
        <f ca="1">(SUM(OFFSET(INDIRECT("'"&amp;$D6&amp;"'!"&amp;ADDRESS(16,($D$1))),,,4))-SUM(O6:Q6)) + (-SUM(OFFSET(INDIRECT("'"&amp;$D6&amp;"'!"&amp;ADDRESS(30,($D$1))),,,2))-SUM(R6:S6))</f>
        <v>0</v>
      </c>
      <c r="O6" s="72">
        <f ca="1">IFERROR(INDEX(CashIntraTable[Amount],MATCH($D6&amp;$D$3&amp;O$4,CashIntraTable[RefRng],0)),0)</f>
        <v>568759889.84000003</v>
      </c>
      <c r="P6" s="72">
        <f ca="1">IFERROR(INDEX(CashIntraTable[Amount],MATCH($D6&amp;$D$3&amp;P$4,CashIntraTable[RefRng],0)),0)</f>
        <v>24840680.620000001</v>
      </c>
      <c r="Q6" s="72">
        <f ca="1">IFERROR(INDEX(CashIntraTable[Amount],MATCH($D6&amp;$D$3&amp;Q$4,CashIntraTable[RefRng],0)),0)</f>
        <v>362774945.19999999</v>
      </c>
      <c r="R6" s="72">
        <f ca="1">IFERROR(INDEX(CashIntraTable[Amount],MATCH($D6&amp;$D$3&amp;R$4,CashIntraTable[RefRng],0)),0)</f>
        <v>-990574757.03999996</v>
      </c>
      <c r="S6" s="72">
        <f ca="1">IFERROR(INDEX(CashIntraTable[Amount],MATCH($D6&amp;$D$3&amp;S$4,CashIntraTable[RefRng],0)),0)</f>
        <v>-163551194.99000001</v>
      </c>
    </row>
    <row r="7" spans="1:19" x14ac:dyDescent="0.2">
      <c r="A7" t="s">
        <v>353</v>
      </c>
      <c r="D7" s="71" t="str">
        <v>SCBTMF</v>
      </c>
      <c r="E7" s="72">
        <f t="shared" ref="E7:E14" ca="1" si="1">INDIRECT("'"&amp;$D7&amp;"'!"&amp;ADDRESS(9,$D$1))</f>
        <v>11275021.050000001</v>
      </c>
      <c r="F7" s="72">
        <f t="shared" ref="F7:F14" ca="1" si="2">INDIRECT("'"&amp;$D7&amp;"'!"&amp;ADDRESS(10,$D$1))</f>
        <v>27000000</v>
      </c>
      <c r="G7" s="72">
        <f t="shared" ref="G7:G14" ca="1" si="3">INDIRECT("'"&amp;$D7&amp;"'!"&amp;ADDRESS(41,($D$1)+1))</f>
        <v>6605217.7600000044</v>
      </c>
      <c r="H7" s="72">
        <f t="shared" ref="H7:H14" ca="1" si="4">INDIRECT("'"&amp;$D7&amp;"'!"&amp;ADDRESS(41,($D$1)+2))</f>
        <v>586608305.24000001</v>
      </c>
      <c r="I7" s="72">
        <f t="shared" ref="I7:I14" ca="1" si="5">INDIRECT("'"&amp;$D7&amp;"'!"&amp;ADDRESS(41,($D$1)+3))</f>
        <v>586620850.59000003</v>
      </c>
      <c r="J7" s="72">
        <f t="shared" ca="1" si="0"/>
        <v>44880238.810000002</v>
      </c>
      <c r="K7" s="72">
        <f t="shared" ref="K7:K14" ca="1" si="6">INDIRECT("'"&amp;$D7&amp;"'!"&amp;ADDRESS(44,$D$1))</f>
        <v>3698101864.0700002</v>
      </c>
      <c r="L7" s="73">
        <f t="shared" ref="L7:L14" ca="1" si="7">J7/K7</f>
        <v>1.2136020169170354E-2</v>
      </c>
      <c r="M7" s="72">
        <f t="shared" ref="M7:M14" ca="1" si="8">(SUM(OFFSET(INDIRECT("'"&amp;$D7&amp;"'!"&amp;ADDRESS(16,($D$1))),,,4))-SUM(O7:Q7)) + (-SUM(OFFSET(INDIRECT("'"&amp;$D7&amp;"'!"&amp;ADDRESS(30,($D$1))),,,2))-SUM(R7:S7))</f>
        <v>0</v>
      </c>
      <c r="O7" s="72">
        <f ca="1">IFERROR(INDEX(CashIntraTable[Amount],MATCH($D7&amp;$D$3&amp;O$4,CashIntraTable[RefRng],0)),0)</f>
        <v>1829000</v>
      </c>
      <c r="P7" s="72">
        <f ca="1">IFERROR(INDEX(CashIntraTable[Amount],MATCH($D7&amp;$D$3&amp;P$4,CashIntraTable[RefRng],0)),0)</f>
        <v>0</v>
      </c>
      <c r="Q7" s="72">
        <f ca="1">IFERROR(INDEX(CashIntraTable[Amount],MATCH($D7&amp;$D$3&amp;Q$4,CashIntraTable[RefRng],0)),0)</f>
        <v>700000</v>
      </c>
      <c r="R7" s="72">
        <f ca="1">IFERROR(INDEX(CashIntraTable[Amount],MATCH($D7&amp;$D$3&amp;R$4,CashIntraTable[RefRng],0)),0)</f>
        <v>-13513327.560000001</v>
      </c>
      <c r="S7" s="72">
        <f ca="1">IFERROR(INDEX(CashIntraTable[Amount],MATCH($D7&amp;$D$3&amp;S$4,CashIntraTable[RefRng],0)),0)</f>
        <v>-1145500.93</v>
      </c>
    </row>
    <row r="8" spans="1:19" x14ac:dyDescent="0.2">
      <c r="A8" t="s">
        <v>354</v>
      </c>
      <c r="C8" s="4"/>
      <c r="D8" s="70" t="str">
        <v>SCBTMFPLUS</v>
      </c>
      <c r="E8" s="72">
        <f t="shared" ca="1" si="1"/>
        <v>21816728.560000002</v>
      </c>
      <c r="F8" s="72">
        <f t="shared" ca="1" si="2"/>
        <v>5000000</v>
      </c>
      <c r="G8" s="72">
        <f t="shared" ca="1" si="3"/>
        <v>1211371269.7400002</v>
      </c>
      <c r="H8" s="72">
        <f t="shared" ca="1" si="4"/>
        <v>2031371269.7400002</v>
      </c>
      <c r="I8" s="72">
        <f t="shared" ca="1" si="5"/>
        <v>2031371269.7400002</v>
      </c>
      <c r="J8" s="72">
        <f t="shared" ca="1" si="0"/>
        <v>1238187998.3000002</v>
      </c>
      <c r="K8" s="72">
        <f t="shared" ca="1" si="6"/>
        <v>12047655955.66</v>
      </c>
      <c r="L8" s="73">
        <f t="shared" ca="1" si="7"/>
        <v>0.10277418303253409</v>
      </c>
      <c r="M8" s="72">
        <f t="shared" ca="1" si="8"/>
        <v>0</v>
      </c>
      <c r="O8" s="72">
        <f ca="1">IFERROR(INDEX(CashIntraTable[Amount],MATCH($D8&amp;$D$3&amp;O$4,CashIntraTable[RefRng],0)),0)</f>
        <v>6427095.8200000003</v>
      </c>
      <c r="P8" s="72">
        <f ca="1">IFERROR(INDEX(CashIntraTable[Amount],MATCH($D8&amp;$D$3&amp;P$4,CashIntraTable[RefRng],0)),0)</f>
        <v>7000000</v>
      </c>
      <c r="Q8" s="72">
        <f ca="1">IFERROR(INDEX(CashIntraTable[Amount],MATCH($D8&amp;$D$3&amp;Q$4,CashIntraTable[RefRng],0)),0)</f>
        <v>1000</v>
      </c>
      <c r="R8" s="72">
        <f ca="1">IFERROR(INDEX(CashIntraTable[Amount],MATCH($D8&amp;$D$3&amp;R$4,CashIntraTable[RefRng],0)),0)</f>
        <v>-1235314480.6800001</v>
      </c>
      <c r="S8" s="72">
        <f ca="1">IFERROR(INDEX(CashIntraTable[Amount],MATCH($D8&amp;$D$3&amp;S$4,CashIntraTable[RefRng],0)),0)</f>
        <v>-1070501.81</v>
      </c>
    </row>
    <row r="9" spans="1:19" x14ac:dyDescent="0.2">
      <c r="A9" t="s">
        <v>350</v>
      </c>
      <c r="C9" s="4"/>
      <c r="D9" s="70" t="str">
        <v>SCBRF</v>
      </c>
      <c r="E9" s="72">
        <f t="shared" ca="1" si="1"/>
        <v>14128950.960000001</v>
      </c>
      <c r="F9" s="72">
        <f t="shared" ca="1" si="2"/>
        <v>20000000</v>
      </c>
      <c r="G9" s="72">
        <f t="shared" ca="1" si="3"/>
        <v>911857.5199999999</v>
      </c>
      <c r="H9" s="72">
        <f t="shared" ca="1" si="4"/>
        <v>911857.5199999999</v>
      </c>
      <c r="I9" s="72">
        <f t="shared" ca="1" si="5"/>
        <v>911857.5199999999</v>
      </c>
      <c r="J9" s="72">
        <f t="shared" ca="1" si="0"/>
        <v>35040808.480000004</v>
      </c>
      <c r="K9" s="72">
        <f t="shared" ca="1" si="6"/>
        <v>641681472.37</v>
      </c>
      <c r="L9" s="73">
        <f t="shared" ca="1" si="7"/>
        <v>5.4607792166071957E-2</v>
      </c>
      <c r="M9" s="72">
        <f t="shared" ca="1" si="8"/>
        <v>0</v>
      </c>
      <c r="O9" s="72">
        <f ca="1">IFERROR(INDEX(CashIntraTable[Amount],MATCH($D9&amp;$D$3&amp;O$4,CashIntraTable[RefRng],0)),0)</f>
        <v>10600</v>
      </c>
      <c r="P9" s="72">
        <f ca="1">IFERROR(INDEX(CashIntraTable[Amount],MATCH($D9&amp;$D$3&amp;P$4,CashIntraTable[RefRng],0)),0)</f>
        <v>0</v>
      </c>
      <c r="Q9" s="72">
        <f ca="1">IFERROR(INDEX(CashIntraTable[Amount],MATCH($D9&amp;$D$3&amp;Q$4,CashIntraTable[RefRng],0)),0)</f>
        <v>0</v>
      </c>
      <c r="R9" s="72">
        <f ca="1">IFERROR(INDEX(CashIntraTable[Amount],MATCH($D9&amp;$D$3&amp;R$4,CashIntraTable[RefRng],0)),0)</f>
        <v>0</v>
      </c>
      <c r="S9" s="72">
        <f ca="1">IFERROR(INDEX(CashIntraTable[Amount],MATCH($D9&amp;$D$3&amp;S$4,CashIntraTable[RefRng],0)),0)</f>
        <v>0</v>
      </c>
    </row>
    <row r="10" spans="1:19" x14ac:dyDescent="0.2">
      <c r="A10" t="s">
        <v>351</v>
      </c>
      <c r="C10" s="4"/>
      <c r="D10" s="70" t="str">
        <v>SCBRM1</v>
      </c>
      <c r="E10" s="72">
        <f t="shared" ca="1" si="1"/>
        <v>5310271.09</v>
      </c>
      <c r="F10" s="72">
        <f t="shared" ca="1" si="2"/>
        <v>0</v>
      </c>
      <c r="G10" s="72">
        <f t="shared" ca="1" si="3"/>
        <v>18626309.409999985</v>
      </c>
      <c r="H10" s="72">
        <f t="shared" ca="1" si="4"/>
        <v>21963334.659999985</v>
      </c>
      <c r="I10" s="72">
        <f t="shared" ca="1" si="5"/>
        <v>119337668.93999998</v>
      </c>
      <c r="J10" s="72">
        <f t="shared" ca="1" si="0"/>
        <v>23936580.499999985</v>
      </c>
      <c r="K10" s="72">
        <f t="shared" ca="1" si="6"/>
        <v>9773091943.0499992</v>
      </c>
      <c r="L10" s="73">
        <f t="shared" ca="1" si="7"/>
        <v>2.4492331228933291E-3</v>
      </c>
      <c r="M10" s="72">
        <f t="shared" ca="1" si="8"/>
        <v>0</v>
      </c>
      <c r="O10" s="72">
        <f ca="1">IFERROR(INDEX(CashIntraTable[Amount],MATCH($D10&amp;$D$3&amp;O$4,CashIntraTable[RefRng],0)),0)</f>
        <v>1235200</v>
      </c>
      <c r="P10" s="72">
        <f ca="1">IFERROR(INDEX(CashIntraTable[Amount],MATCH($D10&amp;$D$3&amp;P$4,CashIntraTable[RefRng],0)),0)</f>
        <v>2048000</v>
      </c>
      <c r="Q10" s="72">
        <f ca="1">IFERROR(INDEX(CashIntraTable[Amount],MATCH($D10&amp;$D$3&amp;Q$4,CashIntraTable[RefRng],0)),0)</f>
        <v>1639593.54</v>
      </c>
      <c r="R10" s="72">
        <f ca="1">IFERROR(INDEX(CashIntraTable[Amount],MATCH($D10&amp;$D$3&amp;R$4,CashIntraTable[RefRng],0)),0)</f>
        <v>-4730660.87</v>
      </c>
      <c r="S10" s="72">
        <f ca="1">IFERROR(INDEX(CashIntraTable[Amount],MATCH($D10&amp;$D$3&amp;S$4,CashIntraTable[RefRng],0)),0)</f>
        <v>-13691919.57</v>
      </c>
    </row>
    <row r="11" spans="1:19" x14ac:dyDescent="0.2">
      <c r="A11" t="s">
        <v>349</v>
      </c>
      <c r="C11" s="4"/>
      <c r="D11" s="70" t="str">
        <v>SCBRM2</v>
      </c>
      <c r="E11" s="72">
        <f t="shared" ca="1" si="1"/>
        <v>14128950.960000001</v>
      </c>
      <c r="F11" s="72">
        <f t="shared" ca="1" si="2"/>
        <v>0</v>
      </c>
      <c r="G11" s="72">
        <f t="shared" ca="1" si="3"/>
        <v>2557923.8500000006</v>
      </c>
      <c r="H11" s="72">
        <f t="shared" ca="1" si="4"/>
        <v>152633281.15000001</v>
      </c>
      <c r="I11" s="72">
        <f t="shared" ca="1" si="5"/>
        <v>152634253.11000001</v>
      </c>
      <c r="J11" s="72">
        <f t="shared" ca="1" si="0"/>
        <v>16686874.810000002</v>
      </c>
      <c r="K11" s="72">
        <f t="shared" ca="1" si="6"/>
        <v>6158268549.6300001</v>
      </c>
      <c r="L11" s="73">
        <f t="shared" ca="1" si="7"/>
        <v>2.7096698813179527E-3</v>
      </c>
      <c r="M11" s="72">
        <f t="shared" ca="1" si="8"/>
        <v>0</v>
      </c>
      <c r="O11" s="72">
        <f ca="1">IFERROR(INDEX(CashIntraTable[Amount],MATCH($D11&amp;$D$3&amp;O$4,CashIntraTable[RefRng],0)),0)</f>
        <v>816200</v>
      </c>
      <c r="P11" s="72">
        <f ca="1">IFERROR(INDEX(CashIntraTable[Amount],MATCH($D11&amp;$D$3&amp;P$4,CashIntraTable[RefRng],0)),0)</f>
        <v>1331000</v>
      </c>
      <c r="Q11" s="72">
        <f ca="1">IFERROR(INDEX(CashIntraTable[Amount],MATCH($D11&amp;$D$3&amp;Q$4,CashIntraTable[RefRng],0)),0)</f>
        <v>2902217.21</v>
      </c>
      <c r="R11" s="72">
        <f ca="1">IFERROR(INDEX(CashIntraTable[Amount],MATCH($D11&amp;$D$3&amp;R$4,CashIntraTable[RefRng],0)),0)</f>
        <v>-331125.2</v>
      </c>
      <c r="S11" s="72">
        <f ca="1">IFERROR(INDEX(CashIntraTable[Amount],MATCH($D11&amp;$D$3&amp;S$4,CashIntraTable[RefRng],0)),0)</f>
        <v>-1183888.27</v>
      </c>
    </row>
    <row r="12" spans="1:19" x14ac:dyDescent="0.2">
      <c r="C12" s="4"/>
      <c r="D12" s="70" t="str">
        <v>SCBFPFUND</v>
      </c>
      <c r="E12" s="72">
        <f t="shared" ca="1" si="1"/>
        <v>132640424.21000001</v>
      </c>
      <c r="F12" s="72">
        <f t="shared" ca="1" si="2"/>
        <v>-95000000</v>
      </c>
      <c r="G12" s="72">
        <f t="shared" ca="1" si="3"/>
        <v>134823980.79999995</v>
      </c>
      <c r="H12" s="72">
        <f t="shared" ca="1" si="4"/>
        <v>134894980.79999995</v>
      </c>
      <c r="I12" s="72">
        <f t="shared" ca="1" si="5"/>
        <v>135398356.13999996</v>
      </c>
      <c r="J12" s="72">
        <f t="shared" ca="1" si="0"/>
        <v>172464405.00999996</v>
      </c>
      <c r="K12" s="72">
        <f t="shared" ca="1" si="6"/>
        <v>56979128112.139999</v>
      </c>
      <c r="L12" s="73">
        <f t="shared" ca="1" si="7"/>
        <v>3.0267996496993539E-3</v>
      </c>
      <c r="M12" s="72">
        <f t="shared" ca="1" si="8"/>
        <v>0</v>
      </c>
      <c r="O12" s="72">
        <f ca="1">IFERROR(INDEX(CashIntraTable[Amount],MATCH($D12&amp;$D$3&amp;O$4,CashIntraTable[RefRng],0)),0)</f>
        <v>78968760.030000001</v>
      </c>
      <c r="P12" s="72">
        <f ca="1">IFERROR(INDEX(CashIntraTable[Amount],MATCH($D12&amp;$D$3&amp;P$4,CashIntraTable[RefRng],0)),0)</f>
        <v>0</v>
      </c>
      <c r="Q12" s="72">
        <f ca="1">IFERROR(INDEX(CashIntraTable[Amount],MATCH($D12&amp;$D$3&amp;Q$4,CashIntraTable[RefRng],0)),0)</f>
        <v>652795.68000000005</v>
      </c>
      <c r="R12" s="72">
        <f ca="1">IFERROR(INDEX(CashIntraTable[Amount],MATCH($D12&amp;$D$3&amp;R$4,CashIntraTable[RefRng],0)),0)</f>
        <v>-74377659.599999994</v>
      </c>
      <c r="S12" s="72">
        <f ca="1">IFERROR(INDEX(CashIntraTable[Amount],MATCH($D12&amp;$D$3&amp;S$4,CashIntraTable[RefRng],0)),0)</f>
        <v>-225261276.12</v>
      </c>
    </row>
    <row r="13" spans="1:19" x14ac:dyDescent="0.2">
      <c r="C13" s="4"/>
      <c r="D13" s="70" t="str">
        <v>SCBPLUS</v>
      </c>
      <c r="E13" s="72">
        <f t="shared" ca="1" si="1"/>
        <v>19153570.5</v>
      </c>
      <c r="F13" s="72">
        <f t="shared" ca="1" si="2"/>
        <v>3000000</v>
      </c>
      <c r="G13" s="72">
        <f t="shared" ca="1" si="3"/>
        <v>-433260393.40000004</v>
      </c>
      <c r="H13" s="72">
        <f t="shared" ca="1" si="4"/>
        <v>-380356677.10000002</v>
      </c>
      <c r="I13" s="72">
        <f t="shared" ca="1" si="5"/>
        <v>-379956677.10000002</v>
      </c>
      <c r="J13" s="72">
        <f t="shared" ca="1" si="0"/>
        <v>-411106822.90000004</v>
      </c>
      <c r="K13" s="72">
        <f t="shared" ca="1" si="6"/>
        <v>20939183253.120003</v>
      </c>
      <c r="L13" s="73">
        <f t="shared" ca="1" si="7"/>
        <v>-1.9633374326515046E-2</v>
      </c>
      <c r="M13" s="72">
        <f t="shared" ca="1" si="8"/>
        <v>0</v>
      </c>
      <c r="O13" s="72">
        <f ca="1">IFERROR(INDEX(CashIntraTable[Amount],MATCH($D13&amp;$D$3&amp;O$4,CashIntraTable[RefRng],0)),0)</f>
        <v>2814902.77</v>
      </c>
      <c r="P13" s="72">
        <f ca="1">IFERROR(INDEX(CashIntraTable[Amount],MATCH($D13&amp;$D$3&amp;P$4,CashIntraTable[RefRng],0)),0)</f>
        <v>0</v>
      </c>
      <c r="Q13" s="72">
        <f ca="1">IFERROR(INDEX(CashIntraTable[Amount],MATCH($D13&amp;$D$3&amp;Q$4,CashIntraTable[RefRng],0)),0)</f>
        <v>35719435.159999996</v>
      </c>
      <c r="R13" s="72">
        <f ca="1">IFERROR(INDEX(CashIntraTable[Amount],MATCH($D13&amp;$D$3&amp;R$4,CashIntraTable[RefRng],0)),0)</f>
        <v>0</v>
      </c>
      <c r="S13" s="72">
        <f ca="1">IFERROR(INDEX(CashIntraTable[Amount],MATCH($D13&amp;$D$3&amp;S$4,CashIntraTable[RefRng],0)),0)</f>
        <v>0</v>
      </c>
    </row>
    <row r="14" spans="1:19" x14ac:dyDescent="0.2">
      <c r="C14" s="4"/>
      <c r="D14" s="70" t="str">
        <v>SCBFIXED</v>
      </c>
      <c r="E14" s="72">
        <f t="shared" ca="1" si="1"/>
        <v>4007009.58</v>
      </c>
      <c r="F14" s="72">
        <f t="shared" ca="1" si="2"/>
        <v>0</v>
      </c>
      <c r="G14" s="72">
        <f t="shared" ca="1" si="3"/>
        <v>2325333.2999999998</v>
      </c>
      <c r="H14" s="72">
        <f t="shared" ca="1" si="4"/>
        <v>2325333.2999999998</v>
      </c>
      <c r="I14" s="72">
        <f t="shared" ca="1" si="5"/>
        <v>2325333.2999999998</v>
      </c>
      <c r="J14" s="72">
        <f t="shared" ca="1" si="0"/>
        <v>6332342.8799999999</v>
      </c>
      <c r="K14" s="72">
        <f t="shared" ca="1" si="6"/>
        <v>1517143249.8700001</v>
      </c>
      <c r="L14" s="73">
        <f t="shared" ca="1" si="7"/>
        <v>4.1738595749231996E-3</v>
      </c>
      <c r="M14" s="72">
        <f t="shared" ca="1" si="8"/>
        <v>0</v>
      </c>
      <c r="O14" s="72">
        <f ca="1">IFERROR(INDEX(CashIntraTable[Amount],MATCH($D14&amp;$D$3&amp;O$4,CashIntraTable[RefRng],0)),0)</f>
        <v>1108000</v>
      </c>
      <c r="P14" s="72">
        <f ca="1">IFERROR(INDEX(CashIntraTable[Amount],MATCH($D14&amp;$D$3&amp;P$4,CashIntraTable[RefRng],0)),0)</f>
        <v>0</v>
      </c>
      <c r="Q14" s="72">
        <f ca="1">IFERROR(INDEX(CashIntraTable[Amount],MATCH($D14&amp;$D$3&amp;Q$4,CashIntraTable[RefRng],0)),0)</f>
        <v>0</v>
      </c>
      <c r="R14" s="72">
        <f ca="1">IFERROR(INDEX(CashIntraTable[Amount],MATCH($D14&amp;$D$3&amp;R$4,CashIntraTable[RefRng],0)),0)</f>
        <v>-14004.36</v>
      </c>
      <c r="S14" s="72">
        <f ca="1">IFERROR(INDEX(CashIntraTable[Amount],MATCH($D14&amp;$D$3&amp;S$4,CashIntraTable[RefRng],0)),0)</f>
        <v>-1000999.97</v>
      </c>
    </row>
    <row r="15" spans="1:19" x14ac:dyDescent="0.2">
      <c r="A15" s="12" t="s">
        <v>344</v>
      </c>
      <c r="C15" s="4"/>
    </row>
    <row r="16" spans="1:19" x14ac:dyDescent="0.2">
      <c r="A16" s="12" t="s">
        <v>348</v>
      </c>
      <c r="C16" s="4"/>
      <c r="O16" s="89"/>
    </row>
    <row r="17" spans="1:22" x14ac:dyDescent="0.2">
      <c r="A17" s="12" t="s">
        <v>345</v>
      </c>
      <c r="C17" s="4"/>
      <c r="O17" s="89"/>
    </row>
    <row r="18" spans="1:22" x14ac:dyDescent="0.2">
      <c r="A18" s="12" t="s">
        <v>346</v>
      </c>
      <c r="C18" s="4"/>
      <c r="M18" s="5"/>
    </row>
    <row r="19" spans="1:22" x14ac:dyDescent="0.2">
      <c r="A19" s="12" t="s">
        <v>347</v>
      </c>
      <c r="C19" s="4"/>
    </row>
    <row r="20" spans="1:22" x14ac:dyDescent="0.2">
      <c r="C20" s="4"/>
      <c r="D20" s="1" t="s">
        <v>851</v>
      </c>
    </row>
    <row r="21" spans="1:22" x14ac:dyDescent="0.2">
      <c r="C21" s="4"/>
      <c r="D21" s="9" t="s">
        <v>318</v>
      </c>
      <c r="E21" s="9" t="s">
        <v>844</v>
      </c>
      <c r="F21" s="9" t="s">
        <v>852</v>
      </c>
      <c r="G21" s="9" t="s">
        <v>853</v>
      </c>
      <c r="H21" s="9" t="s">
        <v>854</v>
      </c>
      <c r="I21" s="9" t="s">
        <v>391</v>
      </c>
      <c r="J21" s="9" t="s">
        <v>855</v>
      </c>
      <c r="K21" s="9" t="s">
        <v>856</v>
      </c>
      <c r="L21" s="9" t="s">
        <v>857</v>
      </c>
      <c r="M21" s="9" t="s">
        <v>858</v>
      </c>
      <c r="N21" s="9" t="s">
        <v>859</v>
      </c>
      <c r="O21" s="9" t="s">
        <v>860</v>
      </c>
      <c r="P21" s="9" t="s">
        <v>861</v>
      </c>
      <c r="Q21" s="9" t="s">
        <v>862</v>
      </c>
      <c r="R21" s="9" t="s">
        <v>863</v>
      </c>
      <c r="S21" s="9" t="s">
        <v>864</v>
      </c>
      <c r="T21" s="9" t="s">
        <v>865</v>
      </c>
      <c r="U21" s="9" t="s">
        <v>866</v>
      </c>
      <c r="V21" s="9" t="s">
        <v>867</v>
      </c>
    </row>
    <row r="22" spans="1:22" x14ac:dyDescent="0.2">
      <c r="C22" s="4"/>
      <c r="D22" t="s">
        <v>17</v>
      </c>
      <c r="E22" s="7">
        <v>43383</v>
      </c>
      <c r="F22" s="7">
        <v>43385</v>
      </c>
      <c r="G22" t="s">
        <v>868</v>
      </c>
      <c r="H22" t="s">
        <v>889</v>
      </c>
      <c r="I22" t="s">
        <v>869</v>
      </c>
      <c r="J22" t="s">
        <v>93</v>
      </c>
      <c r="L22" s="7">
        <v>43412</v>
      </c>
      <c r="M22">
        <v>27</v>
      </c>
      <c r="N22">
        <v>1.2</v>
      </c>
      <c r="O22">
        <v>55000</v>
      </c>
      <c r="P22">
        <v>1000</v>
      </c>
      <c r="Q22">
        <v>999.11311999999998</v>
      </c>
      <c r="R22">
        <v>0</v>
      </c>
      <c r="S22">
        <v>999.11311999999998</v>
      </c>
      <c r="T22">
        <v>0</v>
      </c>
      <c r="U22">
        <v>54951221.600000001</v>
      </c>
      <c r="V22" t="s">
        <v>871</v>
      </c>
    </row>
    <row r="23" spans="1:22" x14ac:dyDescent="0.2">
      <c r="C23" s="4"/>
      <c r="D23" t="s">
        <v>17</v>
      </c>
      <c r="E23" s="7">
        <v>43383</v>
      </c>
      <c r="F23" s="7">
        <v>43385</v>
      </c>
      <c r="G23" t="s">
        <v>868</v>
      </c>
      <c r="H23" t="s">
        <v>889</v>
      </c>
      <c r="I23" t="s">
        <v>869</v>
      </c>
      <c r="J23" t="s">
        <v>96</v>
      </c>
      <c r="L23" s="7">
        <v>43419</v>
      </c>
      <c r="M23">
        <v>34</v>
      </c>
      <c r="N23">
        <v>1.2</v>
      </c>
      <c r="O23">
        <v>10000</v>
      </c>
      <c r="P23">
        <v>1000</v>
      </c>
      <c r="Q23">
        <v>998.88343999999995</v>
      </c>
      <c r="R23">
        <v>0</v>
      </c>
      <c r="S23">
        <v>998.88343999999995</v>
      </c>
      <c r="T23">
        <v>0</v>
      </c>
      <c r="U23">
        <v>9988834.4000000004</v>
      </c>
      <c r="V23" t="s">
        <v>871</v>
      </c>
    </row>
    <row r="24" spans="1:22" x14ac:dyDescent="0.2">
      <c r="C24" s="4"/>
      <c r="D24" t="s">
        <v>17</v>
      </c>
      <c r="E24" s="7">
        <v>43383</v>
      </c>
      <c r="F24" s="7">
        <v>43385</v>
      </c>
      <c r="G24" t="s">
        <v>868</v>
      </c>
      <c r="H24" t="s">
        <v>889</v>
      </c>
      <c r="I24" t="s">
        <v>869</v>
      </c>
      <c r="J24" t="s">
        <v>355</v>
      </c>
      <c r="L24" s="7">
        <v>43397</v>
      </c>
      <c r="M24">
        <v>12</v>
      </c>
      <c r="N24">
        <v>1.2</v>
      </c>
      <c r="O24">
        <v>712000</v>
      </c>
      <c r="P24">
        <v>1000</v>
      </c>
      <c r="Q24">
        <v>999.60563999999999</v>
      </c>
      <c r="R24">
        <v>0</v>
      </c>
      <c r="S24">
        <v>999.60563999999999</v>
      </c>
      <c r="T24">
        <v>0</v>
      </c>
      <c r="U24">
        <v>711719215.67999995</v>
      </c>
      <c r="V24" t="s">
        <v>871</v>
      </c>
    </row>
    <row r="25" spans="1:22" x14ac:dyDescent="0.2">
      <c r="C25" s="4"/>
      <c r="D25" t="s">
        <v>351</v>
      </c>
      <c r="E25" s="7">
        <v>43383</v>
      </c>
      <c r="F25" s="7">
        <v>43384</v>
      </c>
      <c r="G25" t="s">
        <v>868</v>
      </c>
      <c r="H25" t="s">
        <v>889</v>
      </c>
      <c r="I25" t="s">
        <v>869</v>
      </c>
      <c r="J25" t="s">
        <v>606</v>
      </c>
      <c r="L25" s="7">
        <v>43713</v>
      </c>
      <c r="M25">
        <v>329</v>
      </c>
      <c r="N25">
        <v>1.6</v>
      </c>
      <c r="O25">
        <v>65000</v>
      </c>
      <c r="P25">
        <v>1000</v>
      </c>
      <c r="Q25">
        <v>985.78312000000005</v>
      </c>
      <c r="R25">
        <v>0</v>
      </c>
      <c r="S25">
        <v>985.78312000000005</v>
      </c>
      <c r="T25">
        <v>0</v>
      </c>
      <c r="U25">
        <v>64075902.799999997</v>
      </c>
      <c r="V25" t="s">
        <v>871</v>
      </c>
    </row>
    <row r="26" spans="1:22" x14ac:dyDescent="0.2">
      <c r="C26" s="4"/>
      <c r="D26" t="s">
        <v>351</v>
      </c>
      <c r="E26" s="7">
        <v>43383</v>
      </c>
      <c r="F26" s="7">
        <v>43384</v>
      </c>
      <c r="G26" t="s">
        <v>868</v>
      </c>
      <c r="H26" t="s">
        <v>889</v>
      </c>
      <c r="I26" t="s">
        <v>869</v>
      </c>
      <c r="J26" t="s">
        <v>890</v>
      </c>
      <c r="L26" s="7">
        <v>43566</v>
      </c>
      <c r="M26">
        <v>182</v>
      </c>
      <c r="N26">
        <v>1.6</v>
      </c>
      <c r="O26">
        <v>200000</v>
      </c>
      <c r="P26">
        <v>1000</v>
      </c>
      <c r="Q26">
        <v>992.08506</v>
      </c>
      <c r="R26">
        <v>0</v>
      </c>
      <c r="S26">
        <v>992.08506</v>
      </c>
      <c r="T26">
        <v>0</v>
      </c>
      <c r="U26">
        <v>198417012</v>
      </c>
      <c r="V26" t="s">
        <v>871</v>
      </c>
    </row>
    <row r="27" spans="1:22" x14ac:dyDescent="0.2">
      <c r="C27" s="4"/>
      <c r="D27" t="s">
        <v>351</v>
      </c>
      <c r="E27" s="7">
        <v>43383</v>
      </c>
      <c r="F27" s="7">
        <v>43384</v>
      </c>
      <c r="G27" t="s">
        <v>868</v>
      </c>
      <c r="H27" t="s">
        <v>889</v>
      </c>
      <c r="I27" t="s">
        <v>869</v>
      </c>
      <c r="J27" t="s">
        <v>602</v>
      </c>
      <c r="L27" s="7">
        <v>43545</v>
      </c>
      <c r="M27">
        <v>161</v>
      </c>
      <c r="N27">
        <v>1.6</v>
      </c>
      <c r="O27">
        <v>115000</v>
      </c>
      <c r="P27">
        <v>1000</v>
      </c>
      <c r="Q27">
        <v>992.99193000000002</v>
      </c>
      <c r="R27">
        <v>0</v>
      </c>
      <c r="S27">
        <v>992.99193000000002</v>
      </c>
      <c r="T27">
        <v>0</v>
      </c>
      <c r="U27">
        <v>114194071.95</v>
      </c>
      <c r="V27" t="s">
        <v>871</v>
      </c>
    </row>
    <row r="28" spans="1:22" x14ac:dyDescent="0.2">
      <c r="C28" s="4"/>
      <c r="D28" t="s">
        <v>141</v>
      </c>
      <c r="E28" s="10">
        <v>43383</v>
      </c>
      <c r="F28" s="10">
        <v>43384</v>
      </c>
      <c r="G28" t="s">
        <v>889</v>
      </c>
      <c r="H28" t="s">
        <v>889</v>
      </c>
      <c r="I28" t="s">
        <v>869</v>
      </c>
      <c r="J28" t="s">
        <v>107</v>
      </c>
      <c r="L28" s="10">
        <v>43398</v>
      </c>
      <c r="M28">
        <v>14</v>
      </c>
      <c r="N28">
        <v>1.2</v>
      </c>
      <c r="O28">
        <v>1200000</v>
      </c>
      <c r="P28">
        <v>1000</v>
      </c>
      <c r="Q28">
        <v>999.53994</v>
      </c>
      <c r="R28">
        <v>0</v>
      </c>
      <c r="S28">
        <v>999.53994</v>
      </c>
      <c r="T28">
        <v>0</v>
      </c>
      <c r="U28">
        <v>1199447928</v>
      </c>
      <c r="V28" t="s">
        <v>871</v>
      </c>
    </row>
    <row r="29" spans="1:22" x14ac:dyDescent="0.2">
      <c r="D29" t="s">
        <v>139</v>
      </c>
      <c r="E29" s="10">
        <v>43383</v>
      </c>
      <c r="F29" s="10">
        <v>43384</v>
      </c>
      <c r="G29" t="s">
        <v>868</v>
      </c>
      <c r="H29" t="s">
        <v>889</v>
      </c>
      <c r="I29" t="s">
        <v>869</v>
      </c>
      <c r="J29" t="s">
        <v>93</v>
      </c>
      <c r="L29" s="10">
        <v>43412</v>
      </c>
      <c r="M29">
        <v>28</v>
      </c>
      <c r="N29">
        <v>1.2</v>
      </c>
      <c r="O29">
        <v>180000</v>
      </c>
      <c r="P29">
        <v>1000</v>
      </c>
      <c r="Q29">
        <v>999.08029999999997</v>
      </c>
      <c r="R29">
        <v>0</v>
      </c>
      <c r="S29">
        <v>999.08029999999997</v>
      </c>
      <c r="T29">
        <v>0</v>
      </c>
      <c r="U29">
        <v>179834454</v>
      </c>
      <c r="V29" t="s">
        <v>871</v>
      </c>
    </row>
    <row r="30" spans="1:22" x14ac:dyDescent="0.2">
      <c r="D30" t="s">
        <v>139</v>
      </c>
      <c r="E30" s="10">
        <v>43383</v>
      </c>
      <c r="F30" s="10">
        <v>43384</v>
      </c>
      <c r="G30" t="s">
        <v>868</v>
      </c>
      <c r="H30" t="s">
        <v>889</v>
      </c>
      <c r="I30" t="s">
        <v>869</v>
      </c>
      <c r="J30" t="s">
        <v>94</v>
      </c>
      <c r="L30" s="10">
        <v>43412</v>
      </c>
      <c r="M30">
        <v>28</v>
      </c>
      <c r="N30">
        <v>1.2</v>
      </c>
      <c r="O30">
        <v>20000</v>
      </c>
      <c r="P30">
        <v>1000</v>
      </c>
      <c r="Q30">
        <v>999.08029999999997</v>
      </c>
      <c r="R30">
        <v>0</v>
      </c>
      <c r="S30">
        <v>999.08029999999997</v>
      </c>
      <c r="T30">
        <v>0</v>
      </c>
      <c r="U30">
        <v>19981606</v>
      </c>
      <c r="V30" t="s">
        <v>871</v>
      </c>
    </row>
    <row r="31" spans="1:22" x14ac:dyDescent="0.2">
      <c r="D31" t="s">
        <v>139</v>
      </c>
      <c r="E31" s="10">
        <v>43383</v>
      </c>
      <c r="F31" s="10">
        <v>43384</v>
      </c>
      <c r="G31" t="s">
        <v>868</v>
      </c>
      <c r="H31" t="s">
        <v>889</v>
      </c>
      <c r="I31" t="s">
        <v>869</v>
      </c>
      <c r="J31" t="s">
        <v>97</v>
      </c>
      <c r="L31" s="10">
        <v>43426</v>
      </c>
      <c r="M31">
        <v>42</v>
      </c>
      <c r="N31">
        <v>1.2</v>
      </c>
      <c r="O31">
        <v>200000</v>
      </c>
      <c r="P31">
        <v>1000</v>
      </c>
      <c r="Q31">
        <v>998.62108000000001</v>
      </c>
      <c r="R31">
        <v>0</v>
      </c>
      <c r="S31">
        <v>998.62108000000001</v>
      </c>
      <c r="T31">
        <v>0</v>
      </c>
      <c r="U31">
        <v>199724216</v>
      </c>
      <c r="V31" t="s">
        <v>871</v>
      </c>
    </row>
    <row r="32" spans="1:22" x14ac:dyDescent="0.2">
      <c r="D32" t="s">
        <v>139</v>
      </c>
      <c r="E32" s="10">
        <v>43383</v>
      </c>
      <c r="F32" s="10">
        <v>43384</v>
      </c>
      <c r="G32" t="s">
        <v>868</v>
      </c>
      <c r="H32" t="s">
        <v>889</v>
      </c>
      <c r="I32" t="s">
        <v>869</v>
      </c>
      <c r="J32" t="s">
        <v>104</v>
      </c>
      <c r="L32" s="10">
        <v>43391</v>
      </c>
      <c r="M32">
        <v>7</v>
      </c>
      <c r="N32">
        <v>1.2</v>
      </c>
      <c r="O32">
        <v>5000</v>
      </c>
      <c r="P32">
        <v>1000</v>
      </c>
      <c r="Q32">
        <v>999.76991999999996</v>
      </c>
      <c r="R32">
        <v>0</v>
      </c>
      <c r="S32">
        <v>999.76991999999996</v>
      </c>
      <c r="T32">
        <v>0</v>
      </c>
      <c r="U32">
        <v>4998849.5999999996</v>
      </c>
      <c r="V32" t="s">
        <v>871</v>
      </c>
    </row>
    <row r="33" spans="4:22" x14ac:dyDescent="0.2">
      <c r="D33" t="s">
        <v>17</v>
      </c>
      <c r="E33" s="10">
        <v>43383</v>
      </c>
      <c r="F33" s="10">
        <v>43385</v>
      </c>
      <c r="G33" t="s">
        <v>868</v>
      </c>
      <c r="H33" t="s">
        <v>889</v>
      </c>
      <c r="I33" t="s">
        <v>869</v>
      </c>
      <c r="J33" t="s">
        <v>95</v>
      </c>
      <c r="L33" s="10">
        <v>43419</v>
      </c>
      <c r="M33">
        <v>34</v>
      </c>
      <c r="N33">
        <v>1.2</v>
      </c>
      <c r="O33">
        <v>23000</v>
      </c>
      <c r="P33">
        <v>1000</v>
      </c>
      <c r="Q33">
        <v>998.88343999999995</v>
      </c>
      <c r="R33">
        <v>0</v>
      </c>
      <c r="S33">
        <v>998.88343999999995</v>
      </c>
      <c r="T33">
        <v>0</v>
      </c>
      <c r="U33">
        <v>22974319.120000001</v>
      </c>
      <c r="V33" t="s">
        <v>871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ashInBtn">
          <controlPr defaultSize="0" autoLine="0" r:id="rId5">
            <anchor moveWithCells="1">
              <from>
                <xdr:col>1</xdr:col>
                <xdr:colOff>180975</xdr:colOff>
                <xdr:row>2</xdr:row>
                <xdr:rowOff>57150</xdr:rowOff>
              </from>
              <to>
                <xdr:col>2</xdr:col>
                <xdr:colOff>781050</xdr:colOff>
                <xdr:row>4</xdr:row>
                <xdr:rowOff>28575</xdr:rowOff>
              </to>
            </anchor>
          </controlPr>
        </control>
      </mc:Choice>
      <mc:Fallback>
        <control shapeId="2052" r:id="rId4" name="CashInBtn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73E37F0-A993-49E1-B104-627C25095221}">
            <x14:iconSet iconSet="3Arrows"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3Triangles" iconId="0"/>
              <x14:cfIcon iconSet="3Triangles" iconId="2"/>
            </x14:iconSet>
          </x14:cfRule>
          <xm:sqref>L5:L14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4BEC-07E9-4463-AB42-841DAA8B2FC3}">
  <sheetPr codeName="Sheet16"/>
  <dimension ref="A1:W116"/>
  <sheetViews>
    <sheetView showGridLines="0" zoomScale="70" zoomScaleNormal="70" workbookViewId="0">
      <pane xSplit="2" ySplit="6" topLeftCell="C46" activePane="bottomRight" state="frozen"/>
      <selection pane="topRight" activeCell="C1" sqref="C1"/>
      <selection pane="bottomLeft" activeCell="A7" sqref="A7"/>
      <selection pane="bottomRight" activeCell="F22" sqref="F22"/>
    </sheetView>
  </sheetViews>
  <sheetFormatPr defaultRowHeight="14.25" x14ac:dyDescent="0.2"/>
  <cols>
    <col min="1" max="1" width="18.375" style="1" bestFit="1" customWidth="1"/>
    <col min="2" max="2" width="21.75" bestFit="1" customWidth="1"/>
    <col min="3" max="3" width="13.125" bestFit="1" customWidth="1"/>
    <col min="4" max="4" width="24.5" customWidth="1"/>
    <col min="5" max="5" width="29.375" customWidth="1"/>
    <col min="6" max="23" width="28.125" bestFit="1" customWidth="1"/>
    <col min="24" max="95" width="16.75" bestFit="1" customWidth="1"/>
    <col min="96" max="96" width="15" bestFit="1" customWidth="1"/>
  </cols>
  <sheetData>
    <row r="1" spans="1:23" x14ac:dyDescent="0.2">
      <c r="A1" s="86" t="s">
        <v>3</v>
      </c>
      <c r="B1" t="s">
        <v>892</v>
      </c>
    </row>
    <row r="2" spans="1:23" x14ac:dyDescent="0.2">
      <c r="A2" s="86" t="s">
        <v>6</v>
      </c>
      <c r="B2" t="s">
        <v>1201</v>
      </c>
    </row>
    <row r="4" spans="1:23" s="1" customFormat="1" x14ac:dyDescent="0.2">
      <c r="A4" s="79"/>
      <c r="B4" s="79"/>
      <c r="C4" s="79"/>
      <c r="D4" s="80" t="s">
        <v>1</v>
      </c>
      <c r="E4" s="80" t="s">
        <v>1200</v>
      </c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</row>
    <row r="5" spans="1:23" s="1" customFormat="1" x14ac:dyDescent="0.2">
      <c r="A5" s="79"/>
      <c r="B5" s="79"/>
      <c r="C5" s="79"/>
      <c r="D5" s="81" t="s">
        <v>349</v>
      </c>
      <c r="E5" s="82" t="s">
        <v>349</v>
      </c>
      <c r="F5" s="81" t="s">
        <v>350</v>
      </c>
      <c r="G5" s="82" t="s">
        <v>350</v>
      </c>
      <c r="H5" s="81" t="s">
        <v>351</v>
      </c>
      <c r="I5" s="82" t="s">
        <v>351</v>
      </c>
      <c r="J5" s="81" t="s">
        <v>352</v>
      </c>
      <c r="K5" s="82" t="s">
        <v>352</v>
      </c>
      <c r="L5" s="81" t="s">
        <v>353</v>
      </c>
      <c r="M5" s="82" t="s">
        <v>353</v>
      </c>
      <c r="N5" s="81" t="s">
        <v>354</v>
      </c>
      <c r="O5" s="82" t="s">
        <v>354</v>
      </c>
      <c r="P5" s="81" t="s">
        <v>17</v>
      </c>
      <c r="Q5" s="82" t="s">
        <v>17</v>
      </c>
      <c r="R5" s="81" t="s">
        <v>139</v>
      </c>
      <c r="S5" s="82" t="s">
        <v>139</v>
      </c>
      <c r="T5" s="81" t="s">
        <v>140</v>
      </c>
      <c r="U5" s="82" t="s">
        <v>140</v>
      </c>
      <c r="V5" s="81" t="s">
        <v>141</v>
      </c>
      <c r="W5" s="82" t="s">
        <v>141</v>
      </c>
    </row>
    <row r="6" spans="1:23" s="1" customFormat="1" x14ac:dyDescent="0.2">
      <c r="A6" s="80" t="s">
        <v>8</v>
      </c>
      <c r="B6" s="80" t="s">
        <v>5</v>
      </c>
      <c r="C6" s="75" t="s">
        <v>897</v>
      </c>
      <c r="D6" s="83" t="s">
        <v>1199</v>
      </c>
      <c r="E6" s="83" t="s">
        <v>1202</v>
      </c>
      <c r="F6" s="83" t="s">
        <v>1199</v>
      </c>
      <c r="G6" s="83" t="s">
        <v>1202</v>
      </c>
      <c r="H6" s="83" t="s">
        <v>1199</v>
      </c>
      <c r="I6" s="83" t="s">
        <v>1202</v>
      </c>
      <c r="J6" s="83" t="s">
        <v>1199</v>
      </c>
      <c r="K6" s="83" t="s">
        <v>1202</v>
      </c>
      <c r="L6" s="83" t="s">
        <v>1199</v>
      </c>
      <c r="M6" s="83" t="s">
        <v>1202</v>
      </c>
      <c r="N6" s="83" t="s">
        <v>1199</v>
      </c>
      <c r="O6" s="83" t="s">
        <v>1202</v>
      </c>
      <c r="P6" s="83" t="s">
        <v>1199</v>
      </c>
      <c r="Q6" s="83" t="s">
        <v>1202</v>
      </c>
      <c r="R6" s="83" t="s">
        <v>1199</v>
      </c>
      <c r="S6" s="83" t="s">
        <v>1202</v>
      </c>
      <c r="T6" s="83" t="s">
        <v>1199</v>
      </c>
      <c r="U6" s="83" t="s">
        <v>1202</v>
      </c>
      <c r="V6" s="83" t="s">
        <v>1199</v>
      </c>
      <c r="W6" s="83" t="s">
        <v>1202</v>
      </c>
    </row>
    <row r="7" spans="1:23" x14ac:dyDescent="0.2">
      <c r="A7" s="84">
        <v>43384</v>
      </c>
      <c r="B7" s="78" t="s">
        <v>101</v>
      </c>
      <c r="C7" s="78">
        <v>182</v>
      </c>
      <c r="D7" s="6"/>
      <c r="E7" s="6"/>
      <c r="F7" s="6"/>
      <c r="G7" s="6"/>
      <c r="H7" s="6"/>
      <c r="I7" s="6"/>
      <c r="J7" s="6">
        <v>20000000</v>
      </c>
      <c r="K7" s="6">
        <v>1.1499999999999999</v>
      </c>
      <c r="L7" s="6">
        <v>2000000</v>
      </c>
      <c r="M7" s="6">
        <v>1.1924999999999999</v>
      </c>
      <c r="N7" s="6">
        <v>74000000</v>
      </c>
      <c r="O7" s="6">
        <v>1.153378</v>
      </c>
      <c r="P7" s="6">
        <v>759000000</v>
      </c>
      <c r="Q7" s="6">
        <v>1.1682079999999999</v>
      </c>
      <c r="R7" s="6">
        <v>452000000</v>
      </c>
      <c r="S7" s="6">
        <v>1.1412439999999999</v>
      </c>
      <c r="T7" s="6">
        <v>140000000</v>
      </c>
      <c r="U7" s="6">
        <v>1.1421429999999999</v>
      </c>
      <c r="V7" s="6">
        <v>211800000</v>
      </c>
      <c r="W7" s="6">
        <v>1.169896</v>
      </c>
    </row>
    <row r="8" spans="1:23" x14ac:dyDescent="0.2">
      <c r="A8" s="85">
        <v>43384</v>
      </c>
      <c r="B8" s="78" t="s">
        <v>102</v>
      </c>
      <c r="C8" s="78">
        <v>91</v>
      </c>
      <c r="D8" s="6"/>
      <c r="E8" s="6"/>
      <c r="F8" s="6"/>
      <c r="G8" s="6"/>
      <c r="H8" s="6"/>
      <c r="I8" s="6"/>
      <c r="J8" s="6"/>
      <c r="K8" s="6"/>
      <c r="L8" s="6">
        <v>232000000</v>
      </c>
      <c r="M8" s="6">
        <v>1.1340520000000001</v>
      </c>
      <c r="N8" s="6"/>
      <c r="O8" s="6"/>
      <c r="P8" s="6">
        <v>3861000000</v>
      </c>
      <c r="Q8" s="6">
        <v>1.304637</v>
      </c>
      <c r="R8" s="6">
        <v>5126000000</v>
      </c>
      <c r="S8" s="6">
        <v>1.309858</v>
      </c>
      <c r="T8" s="6">
        <v>98000000</v>
      </c>
      <c r="U8" s="6">
        <v>1.2522960000000001</v>
      </c>
      <c r="V8" s="6">
        <v>663000000</v>
      </c>
      <c r="W8" s="6">
        <v>1.299917</v>
      </c>
    </row>
    <row r="9" spans="1:23" x14ac:dyDescent="0.2">
      <c r="A9" s="77"/>
      <c r="B9" s="76"/>
      <c r="C9" s="7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 x14ac:dyDescent="0.2">
      <c r="A10" s="87">
        <v>43389</v>
      </c>
      <c r="B10" s="78" t="s">
        <v>103</v>
      </c>
      <c r="C10" s="78">
        <v>14</v>
      </c>
      <c r="D10" s="6"/>
      <c r="E10" s="6"/>
      <c r="F10" s="6"/>
      <c r="G10" s="6"/>
      <c r="H10" s="6">
        <v>50000000</v>
      </c>
      <c r="I10" s="6">
        <v>1.1399999999999999</v>
      </c>
      <c r="J10" s="6"/>
      <c r="K10" s="6"/>
      <c r="L10" s="6"/>
      <c r="M10" s="6"/>
      <c r="N10" s="6">
        <v>150000000</v>
      </c>
      <c r="O10" s="6">
        <v>1.1100000000000001</v>
      </c>
      <c r="P10" s="6">
        <v>144000000</v>
      </c>
      <c r="Q10" s="6">
        <v>1.1399999999999999</v>
      </c>
      <c r="R10" s="6">
        <v>5281000000</v>
      </c>
      <c r="S10" s="6">
        <v>1.1121160000000001</v>
      </c>
      <c r="T10" s="6">
        <v>580000000</v>
      </c>
      <c r="U10" s="6">
        <v>1.11304</v>
      </c>
      <c r="V10" s="6">
        <v>820000000</v>
      </c>
      <c r="W10" s="6">
        <v>1.1127279999999999</v>
      </c>
    </row>
    <row r="11" spans="1:23" x14ac:dyDescent="0.2">
      <c r="A11" s="77"/>
      <c r="B11" s="76"/>
      <c r="C11" s="7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1:23" x14ac:dyDescent="0.2">
      <c r="A12" s="84">
        <v>43391</v>
      </c>
      <c r="B12" s="78" t="s">
        <v>104</v>
      </c>
      <c r="C12" s="78">
        <v>182</v>
      </c>
      <c r="D12" s="6"/>
      <c r="E12" s="6"/>
      <c r="F12" s="6">
        <v>39000000</v>
      </c>
      <c r="G12" s="6">
        <v>1.1599999999999999</v>
      </c>
      <c r="H12" s="6">
        <v>10000000</v>
      </c>
      <c r="I12" s="6">
        <v>1.365</v>
      </c>
      <c r="J12" s="6"/>
      <c r="K12" s="6"/>
      <c r="L12" s="6">
        <v>137000000</v>
      </c>
      <c r="M12" s="6">
        <v>1.172372</v>
      </c>
      <c r="N12" s="6">
        <v>60000000</v>
      </c>
      <c r="O12" s="6">
        <v>1.1599999999999999</v>
      </c>
      <c r="P12" s="6">
        <v>735000000</v>
      </c>
      <c r="Q12" s="6">
        <v>1.134857</v>
      </c>
      <c r="R12" s="6">
        <v>674000000</v>
      </c>
      <c r="S12" s="6">
        <v>1.1586799999999999</v>
      </c>
      <c r="T12" s="6">
        <v>272000000</v>
      </c>
      <c r="U12" s="6">
        <v>1.1707350000000001</v>
      </c>
      <c r="V12" s="6">
        <v>205000000</v>
      </c>
      <c r="W12" s="6">
        <v>1.115073</v>
      </c>
    </row>
    <row r="13" spans="1:23" x14ac:dyDescent="0.2">
      <c r="A13" s="85">
        <v>43391</v>
      </c>
      <c r="B13" s="78" t="s">
        <v>105</v>
      </c>
      <c r="C13" s="78">
        <v>91</v>
      </c>
      <c r="D13" s="6">
        <v>65000000</v>
      </c>
      <c r="E13" s="6">
        <v>1.37321</v>
      </c>
      <c r="F13" s="6"/>
      <c r="G13" s="6"/>
      <c r="H13" s="6">
        <v>22000000</v>
      </c>
      <c r="I13" s="6">
        <v>1.1599999999999999</v>
      </c>
      <c r="J13" s="6"/>
      <c r="K13" s="6"/>
      <c r="L13" s="6">
        <v>143000000</v>
      </c>
      <c r="M13" s="6">
        <v>1.2511760000000001</v>
      </c>
      <c r="N13" s="6"/>
      <c r="O13" s="6"/>
      <c r="P13" s="6">
        <v>2759000000</v>
      </c>
      <c r="Q13" s="6">
        <v>1.3207040000000001</v>
      </c>
      <c r="R13" s="6">
        <v>6017000000</v>
      </c>
      <c r="S13" s="6">
        <v>1.346217</v>
      </c>
      <c r="T13" s="6">
        <v>150000000</v>
      </c>
      <c r="U13" s="6">
        <v>1.37321</v>
      </c>
      <c r="V13" s="6">
        <v>327000000</v>
      </c>
      <c r="W13" s="6">
        <v>1.3583860000000001</v>
      </c>
    </row>
    <row r="14" spans="1:23" x14ac:dyDescent="0.2">
      <c r="A14" s="77"/>
      <c r="B14" s="76"/>
      <c r="C14" s="7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 x14ac:dyDescent="0.2">
      <c r="A15" s="87">
        <v>43392</v>
      </c>
      <c r="B15" s="78" t="s">
        <v>491</v>
      </c>
      <c r="C15" s="78">
        <v>1096</v>
      </c>
      <c r="D15" s="6"/>
      <c r="E15" s="6"/>
      <c r="F15" s="6"/>
      <c r="G15" s="6"/>
      <c r="H15" s="6"/>
      <c r="I15" s="6"/>
      <c r="J15" s="6">
        <v>4000000</v>
      </c>
      <c r="K15" s="6">
        <v>1.53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 x14ac:dyDescent="0.2">
      <c r="A16" s="77"/>
      <c r="B16" s="76"/>
      <c r="C16" s="7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 x14ac:dyDescent="0.2">
      <c r="A17" s="87">
        <v>43397</v>
      </c>
      <c r="B17" s="78" t="s">
        <v>355</v>
      </c>
      <c r="C17" s="78">
        <v>15</v>
      </c>
      <c r="D17" s="6"/>
      <c r="E17" s="6"/>
      <c r="F17" s="6"/>
      <c r="G17" s="6"/>
      <c r="H17" s="6">
        <v>120000000</v>
      </c>
      <c r="I17" s="6">
        <v>1.135</v>
      </c>
      <c r="J17" s="6"/>
      <c r="K17" s="6"/>
      <c r="L17" s="6">
        <v>320000000</v>
      </c>
      <c r="M17" s="6">
        <v>1.137888</v>
      </c>
      <c r="N17" s="6"/>
      <c r="O17" s="6"/>
      <c r="P17" s="6">
        <v>2179000000</v>
      </c>
      <c r="Q17" s="6">
        <v>1.15168</v>
      </c>
      <c r="R17" s="6">
        <v>997000000</v>
      </c>
      <c r="S17" s="6">
        <v>1.138056</v>
      </c>
      <c r="T17" s="6"/>
      <c r="U17" s="6"/>
      <c r="V17" s="6">
        <v>570000000</v>
      </c>
      <c r="W17" s="6">
        <v>1.1375390000000001</v>
      </c>
    </row>
    <row r="18" spans="1:23" x14ac:dyDescent="0.2">
      <c r="A18" s="77"/>
      <c r="B18" s="76"/>
      <c r="C18" s="7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1:23" x14ac:dyDescent="0.2">
      <c r="A19" s="84">
        <v>43398</v>
      </c>
      <c r="B19" s="78" t="s">
        <v>106</v>
      </c>
      <c r="C19" s="78">
        <v>182</v>
      </c>
      <c r="D19" s="6">
        <v>95000000</v>
      </c>
      <c r="E19" s="6">
        <v>1.21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>
        <v>758000000</v>
      </c>
      <c r="Q19" s="6">
        <v>1.1714910000000001</v>
      </c>
      <c r="R19" s="6">
        <v>410000000</v>
      </c>
      <c r="S19" s="6">
        <v>1.1568210000000001</v>
      </c>
      <c r="T19" s="6">
        <v>165000000</v>
      </c>
      <c r="U19" s="6">
        <v>1.227368</v>
      </c>
      <c r="V19" s="6">
        <v>265000000</v>
      </c>
      <c r="W19" s="6">
        <v>1.2160530000000001</v>
      </c>
    </row>
    <row r="20" spans="1:23" x14ac:dyDescent="0.2">
      <c r="A20" s="85">
        <v>43398</v>
      </c>
      <c r="B20" s="78" t="s">
        <v>107</v>
      </c>
      <c r="C20" s="78">
        <v>91</v>
      </c>
      <c r="D20" s="6">
        <v>10000000</v>
      </c>
      <c r="E20" s="6">
        <v>1.1599999999999999</v>
      </c>
      <c r="F20" s="6"/>
      <c r="G20" s="6"/>
      <c r="H20" s="6">
        <v>180000000</v>
      </c>
      <c r="I20" s="6">
        <v>1.19</v>
      </c>
      <c r="J20" s="6">
        <v>10000000</v>
      </c>
      <c r="K20" s="6">
        <v>1.1299999999999999</v>
      </c>
      <c r="L20" s="6">
        <v>158000000</v>
      </c>
      <c r="M20" s="6">
        <v>1.1427849999999999</v>
      </c>
      <c r="N20" s="6"/>
      <c r="O20" s="6"/>
      <c r="P20" s="6">
        <v>3691000000</v>
      </c>
      <c r="Q20" s="6">
        <v>1.276985</v>
      </c>
      <c r="R20" s="6">
        <v>6471000000</v>
      </c>
      <c r="S20" s="6">
        <v>1.304557</v>
      </c>
      <c r="T20" s="6"/>
      <c r="U20" s="6"/>
      <c r="V20" s="6">
        <v>5000000</v>
      </c>
      <c r="W20" s="6">
        <v>1.222683</v>
      </c>
    </row>
    <row r="21" spans="1:23" x14ac:dyDescent="0.2">
      <c r="A21" s="77"/>
      <c r="B21" s="76"/>
      <c r="C21" s="7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1:23" x14ac:dyDescent="0.2">
      <c r="A22" s="84">
        <v>43405</v>
      </c>
      <c r="B22" s="78" t="s">
        <v>209</v>
      </c>
      <c r="C22" s="78">
        <v>182</v>
      </c>
      <c r="D22" s="6"/>
      <c r="E22" s="6"/>
      <c r="F22" s="6"/>
      <c r="G22" s="6"/>
      <c r="H22" s="6">
        <v>196000000</v>
      </c>
      <c r="I22" s="6">
        <v>1.281463</v>
      </c>
      <c r="J22" s="6"/>
      <c r="K22" s="6"/>
      <c r="L22" s="6"/>
      <c r="M22" s="6"/>
      <c r="N22" s="6">
        <v>100000000</v>
      </c>
      <c r="O22" s="6">
        <v>1.1599999999999999</v>
      </c>
      <c r="P22" s="6">
        <v>52000000</v>
      </c>
      <c r="Q22" s="6">
        <v>1.2475000000000001</v>
      </c>
      <c r="R22" s="6">
        <v>886000000</v>
      </c>
      <c r="S22" s="6">
        <v>1.146879</v>
      </c>
      <c r="T22" s="6">
        <v>50000000</v>
      </c>
      <c r="U22" s="6">
        <v>1.125</v>
      </c>
      <c r="V22" s="6">
        <v>202000000</v>
      </c>
      <c r="W22" s="6">
        <v>1.2329209999999999</v>
      </c>
    </row>
    <row r="23" spans="1:23" x14ac:dyDescent="0.2">
      <c r="A23" s="85">
        <v>43405</v>
      </c>
      <c r="B23" s="78" t="s">
        <v>92</v>
      </c>
      <c r="C23" s="78">
        <v>91</v>
      </c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>
        <v>3481000000</v>
      </c>
      <c r="Q23" s="6">
        <v>1.292341</v>
      </c>
      <c r="R23" s="6">
        <v>3010000000</v>
      </c>
      <c r="S23" s="6">
        <v>1.2871360000000001</v>
      </c>
      <c r="T23" s="6">
        <v>175000000</v>
      </c>
      <c r="U23" s="6">
        <v>1.298095</v>
      </c>
      <c r="V23" s="6">
        <v>1340000000</v>
      </c>
      <c r="W23" s="6">
        <v>1.266359</v>
      </c>
    </row>
    <row r="24" spans="1:23" x14ac:dyDescent="0.2">
      <c r="A24" s="77"/>
      <c r="B24" s="76"/>
      <c r="C24" s="7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">
      <c r="A25" s="84">
        <v>43412</v>
      </c>
      <c r="B25" s="78" t="s">
        <v>93</v>
      </c>
      <c r="C25" s="78">
        <v>182</v>
      </c>
      <c r="D25" s="6"/>
      <c r="E25" s="6"/>
      <c r="F25" s="6"/>
      <c r="G25" s="6"/>
      <c r="H25" s="6">
        <v>425000000</v>
      </c>
      <c r="I25" s="6">
        <v>1.397308</v>
      </c>
      <c r="J25" s="6"/>
      <c r="K25" s="6"/>
      <c r="L25" s="6">
        <v>129000000</v>
      </c>
      <c r="M25" s="6">
        <v>1.1772480000000001</v>
      </c>
      <c r="N25" s="6"/>
      <c r="O25" s="6"/>
      <c r="P25" s="6">
        <v>851000000</v>
      </c>
      <c r="Q25" s="6">
        <v>1.1434930000000001</v>
      </c>
      <c r="R25" s="6">
        <v>1061000000</v>
      </c>
      <c r="S25" s="6">
        <v>1.2117009999999999</v>
      </c>
      <c r="T25" s="6">
        <v>20000000</v>
      </c>
      <c r="U25" s="6">
        <v>1.2649999999999999</v>
      </c>
      <c r="V25" s="6">
        <v>44000000</v>
      </c>
      <c r="W25" s="6">
        <v>1.2159089999999999</v>
      </c>
    </row>
    <row r="26" spans="1:23" x14ac:dyDescent="0.2">
      <c r="A26" s="85">
        <v>43412</v>
      </c>
      <c r="B26" s="78" t="s">
        <v>94</v>
      </c>
      <c r="C26" s="78">
        <v>91</v>
      </c>
      <c r="D26" s="6"/>
      <c r="E26" s="6"/>
      <c r="F26" s="6"/>
      <c r="G26" s="6"/>
      <c r="H26" s="6"/>
      <c r="I26" s="6"/>
      <c r="J26" s="6"/>
      <c r="K26" s="6"/>
      <c r="L26" s="6">
        <v>70000000</v>
      </c>
      <c r="M26" s="6">
        <v>1.28356</v>
      </c>
      <c r="N26" s="6"/>
      <c r="O26" s="6"/>
      <c r="P26" s="6">
        <v>4263000000</v>
      </c>
      <c r="Q26" s="6">
        <v>1.281339</v>
      </c>
      <c r="R26" s="6">
        <v>5719000000</v>
      </c>
      <c r="S26" s="6">
        <v>1.2676259999999999</v>
      </c>
      <c r="T26" s="6">
        <v>240000000</v>
      </c>
      <c r="U26" s="6">
        <v>1.2629790000000001</v>
      </c>
      <c r="V26" s="6">
        <v>672000000</v>
      </c>
      <c r="W26" s="6">
        <v>1.1783650000000001</v>
      </c>
    </row>
    <row r="27" spans="1:23" x14ac:dyDescent="0.2">
      <c r="A27" s="77"/>
      <c r="B27" s="76"/>
      <c r="C27" s="7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2">
      <c r="A28" s="87">
        <v>43418</v>
      </c>
      <c r="B28" s="78" t="s">
        <v>84</v>
      </c>
      <c r="C28" s="78">
        <v>364</v>
      </c>
      <c r="D28" s="6"/>
      <c r="E28" s="6"/>
      <c r="F28" s="6"/>
      <c r="G28" s="6"/>
      <c r="H28" s="6"/>
      <c r="I28" s="6"/>
      <c r="J28" s="6"/>
      <c r="K28" s="6"/>
      <c r="L28" s="6">
        <v>40000000</v>
      </c>
      <c r="M28" s="6">
        <v>1.22</v>
      </c>
      <c r="N28" s="6"/>
      <c r="O28" s="6"/>
      <c r="P28" s="6">
        <v>700000000</v>
      </c>
      <c r="Q28" s="6">
        <v>1.2</v>
      </c>
      <c r="R28" s="6">
        <v>1489000000</v>
      </c>
      <c r="S28" s="6">
        <v>1.2332240000000001</v>
      </c>
      <c r="T28" s="6"/>
      <c r="U28" s="6"/>
      <c r="V28" s="6">
        <v>68000000</v>
      </c>
      <c r="W28" s="6">
        <v>1.22</v>
      </c>
    </row>
    <row r="29" spans="1:23" x14ac:dyDescent="0.2">
      <c r="A29" s="77"/>
      <c r="B29" s="76"/>
      <c r="C29" s="7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2">
      <c r="A30" s="84">
        <v>43419</v>
      </c>
      <c r="B30" s="78" t="s">
        <v>95</v>
      </c>
      <c r="C30" s="78">
        <v>182</v>
      </c>
      <c r="D30" s="6"/>
      <c r="E30" s="6"/>
      <c r="F30" s="6"/>
      <c r="G30" s="6"/>
      <c r="H30" s="6">
        <v>160000000</v>
      </c>
      <c r="I30" s="6">
        <v>1.416563</v>
      </c>
      <c r="J30" s="6">
        <v>5000000</v>
      </c>
      <c r="K30" s="6">
        <v>1.17</v>
      </c>
      <c r="L30" s="6"/>
      <c r="M30" s="6"/>
      <c r="N30" s="6"/>
      <c r="O30" s="6"/>
      <c r="P30" s="6">
        <v>167000000</v>
      </c>
      <c r="Q30" s="6">
        <v>1.1908529999999999</v>
      </c>
      <c r="R30" s="6">
        <v>625000000</v>
      </c>
      <c r="S30" s="6">
        <v>1.1634640000000001</v>
      </c>
      <c r="T30" s="6"/>
      <c r="U30" s="6"/>
      <c r="V30" s="6">
        <v>31000000</v>
      </c>
      <c r="W30" s="6">
        <v>1.175</v>
      </c>
    </row>
    <row r="31" spans="1:23" x14ac:dyDescent="0.2">
      <c r="A31" s="85">
        <v>43419</v>
      </c>
      <c r="B31" s="78" t="s">
        <v>96</v>
      </c>
      <c r="C31" s="78">
        <v>91</v>
      </c>
      <c r="D31" s="6"/>
      <c r="E31" s="6"/>
      <c r="F31" s="6"/>
      <c r="G31" s="6"/>
      <c r="H31" s="6"/>
      <c r="I31" s="6"/>
      <c r="J31" s="6"/>
      <c r="K31" s="6"/>
      <c r="L31" s="6">
        <v>50000000</v>
      </c>
      <c r="M31" s="6">
        <v>1.1957139999999999</v>
      </c>
      <c r="N31" s="6"/>
      <c r="O31" s="6"/>
      <c r="P31" s="6">
        <v>2510000000</v>
      </c>
      <c r="Q31" s="6">
        <v>1.2636369999999999</v>
      </c>
      <c r="R31" s="6">
        <v>7934000000</v>
      </c>
      <c r="S31" s="6">
        <v>1.2569760000000001</v>
      </c>
      <c r="T31" s="6">
        <v>160000000</v>
      </c>
      <c r="U31" s="6">
        <v>1.2636099999999999</v>
      </c>
      <c r="V31" s="6">
        <v>1004000000</v>
      </c>
      <c r="W31" s="6">
        <v>1.22601</v>
      </c>
    </row>
    <row r="32" spans="1:23" x14ac:dyDescent="0.2">
      <c r="A32" s="77"/>
      <c r="B32" s="76"/>
      <c r="C32" s="7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23" x14ac:dyDescent="0.2">
      <c r="A33" s="84">
        <v>43426</v>
      </c>
      <c r="B33" s="78" t="s">
        <v>97</v>
      </c>
      <c r="C33" s="78">
        <v>182</v>
      </c>
      <c r="D33" s="6"/>
      <c r="E33" s="6"/>
      <c r="F33" s="6">
        <v>71000000</v>
      </c>
      <c r="G33" s="6">
        <v>1.23</v>
      </c>
      <c r="H33" s="6">
        <v>280000000</v>
      </c>
      <c r="I33" s="6">
        <v>1.28</v>
      </c>
      <c r="J33" s="6"/>
      <c r="K33" s="6"/>
      <c r="L33" s="6">
        <v>100000000</v>
      </c>
      <c r="M33" s="6">
        <v>1.23</v>
      </c>
      <c r="N33" s="6"/>
      <c r="O33" s="6"/>
      <c r="P33" s="6">
        <v>1050000000</v>
      </c>
      <c r="Q33" s="6">
        <v>1.2226189999999999</v>
      </c>
      <c r="R33" s="6">
        <v>2851000000</v>
      </c>
      <c r="S33" s="6">
        <v>1.2338579999999999</v>
      </c>
      <c r="T33" s="6"/>
      <c r="U33" s="6"/>
      <c r="V33" s="6"/>
      <c r="W33" s="6"/>
    </row>
    <row r="34" spans="1:23" x14ac:dyDescent="0.2">
      <c r="A34" s="85">
        <v>43426</v>
      </c>
      <c r="B34" s="78" t="s">
        <v>98</v>
      </c>
      <c r="C34" s="78">
        <v>91</v>
      </c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>
        <v>4000000000</v>
      </c>
      <c r="Q34" s="6">
        <v>1.282381</v>
      </c>
      <c r="R34" s="6">
        <v>4745000000</v>
      </c>
      <c r="S34" s="6">
        <v>1.273101</v>
      </c>
      <c r="T34" s="6">
        <v>448000000</v>
      </c>
      <c r="U34" s="6">
        <v>1.267692</v>
      </c>
      <c r="V34" s="6">
        <v>339000000</v>
      </c>
      <c r="W34" s="6">
        <v>1.267868</v>
      </c>
    </row>
    <row r="35" spans="1:23" x14ac:dyDescent="0.2">
      <c r="A35" s="77"/>
      <c r="B35" s="76"/>
      <c r="C35" s="7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1:23" x14ac:dyDescent="0.2">
      <c r="A36" s="84">
        <v>43433</v>
      </c>
      <c r="B36" s="78" t="s">
        <v>99</v>
      </c>
      <c r="C36" s="78">
        <v>182</v>
      </c>
      <c r="D36" s="6"/>
      <c r="E36" s="6"/>
      <c r="F36" s="6"/>
      <c r="G36" s="6"/>
      <c r="H36" s="6">
        <v>90000000</v>
      </c>
      <c r="I36" s="6">
        <v>1.44</v>
      </c>
      <c r="J36" s="6"/>
      <c r="K36" s="6"/>
      <c r="L36" s="6">
        <v>200000000</v>
      </c>
      <c r="M36" s="6">
        <v>1.0900000000000001</v>
      </c>
      <c r="N36" s="6">
        <v>6000000</v>
      </c>
      <c r="O36" s="6">
        <v>1.35</v>
      </c>
      <c r="P36" s="6">
        <v>1520000000</v>
      </c>
      <c r="Q36" s="6">
        <v>1.1434280000000001</v>
      </c>
      <c r="R36" s="6">
        <v>997000000</v>
      </c>
      <c r="S36" s="6">
        <v>1.2101200000000001</v>
      </c>
      <c r="T36" s="6">
        <v>70000000</v>
      </c>
      <c r="U36" s="6">
        <v>1.0900000000000001</v>
      </c>
      <c r="V36" s="6"/>
      <c r="W36" s="6"/>
    </row>
    <row r="37" spans="1:23" x14ac:dyDescent="0.2">
      <c r="A37" s="85">
        <v>43433</v>
      </c>
      <c r="B37" s="78" t="s">
        <v>100</v>
      </c>
      <c r="C37" s="78">
        <v>91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>
        <v>3130000000</v>
      </c>
      <c r="Q37" s="6">
        <v>1.240904</v>
      </c>
      <c r="R37" s="6">
        <v>7059000000</v>
      </c>
      <c r="S37" s="6">
        <v>1.2433479999999999</v>
      </c>
      <c r="T37" s="6">
        <v>200000000</v>
      </c>
      <c r="U37" s="6">
        <v>1.2431099999999999</v>
      </c>
      <c r="V37" s="6">
        <v>666000000</v>
      </c>
      <c r="W37" s="6">
        <v>1.241832</v>
      </c>
    </row>
    <row r="38" spans="1:23" x14ac:dyDescent="0.2">
      <c r="A38" s="77"/>
      <c r="B38" s="76"/>
      <c r="C38" s="7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</row>
    <row r="39" spans="1:23" x14ac:dyDescent="0.2">
      <c r="A39" s="84">
        <v>43440</v>
      </c>
      <c r="B39" s="78" t="s">
        <v>314</v>
      </c>
      <c r="C39" s="78">
        <v>364</v>
      </c>
      <c r="D39" s="6"/>
      <c r="E39" s="6"/>
      <c r="F39" s="6"/>
      <c r="G39" s="6"/>
      <c r="H39" s="6">
        <v>401000000</v>
      </c>
      <c r="I39" s="6">
        <v>1.3821349999999999</v>
      </c>
      <c r="J39" s="6"/>
      <c r="K39" s="6"/>
      <c r="L39" s="6"/>
      <c r="M39" s="6"/>
      <c r="N39" s="6">
        <v>83000000</v>
      </c>
      <c r="O39" s="6">
        <v>1.356786</v>
      </c>
      <c r="P39" s="6"/>
      <c r="Q39" s="6"/>
      <c r="R39" s="6"/>
      <c r="S39" s="6"/>
      <c r="T39" s="6"/>
      <c r="U39" s="6"/>
      <c r="V39" s="6">
        <v>50000000</v>
      </c>
      <c r="W39" s="6">
        <v>1.31</v>
      </c>
    </row>
    <row r="40" spans="1:23" x14ac:dyDescent="0.2">
      <c r="A40" s="85">
        <v>43440</v>
      </c>
      <c r="B40" s="78" t="s">
        <v>88</v>
      </c>
      <c r="C40" s="78">
        <v>91</v>
      </c>
      <c r="D40" s="6"/>
      <c r="E40" s="6"/>
      <c r="F40" s="6"/>
      <c r="G40" s="6"/>
      <c r="H40" s="6">
        <v>190000000</v>
      </c>
      <c r="I40" s="6">
        <v>1.342595</v>
      </c>
      <c r="J40" s="6"/>
      <c r="K40" s="6"/>
      <c r="L40" s="6">
        <v>150000000</v>
      </c>
      <c r="M40" s="6">
        <v>1.3426</v>
      </c>
      <c r="N40" s="6"/>
      <c r="O40" s="6"/>
      <c r="P40" s="6">
        <v>4000000000</v>
      </c>
      <c r="Q40" s="6">
        <v>1.3426089999999999</v>
      </c>
      <c r="R40" s="6">
        <v>7000000000</v>
      </c>
      <c r="S40" s="6">
        <v>1.3426100000000001</v>
      </c>
      <c r="T40" s="6">
        <v>150000000</v>
      </c>
      <c r="U40" s="6">
        <v>1.3426</v>
      </c>
      <c r="V40" s="6">
        <v>1000000000</v>
      </c>
      <c r="W40" s="6">
        <v>1.3426119999999999</v>
      </c>
    </row>
    <row r="41" spans="1:23" x14ac:dyDescent="0.2">
      <c r="A41" s="77"/>
      <c r="B41" s="76"/>
      <c r="C41" s="7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</row>
    <row r="42" spans="1:23" x14ac:dyDescent="0.2">
      <c r="A42" s="84">
        <v>43447</v>
      </c>
      <c r="B42" s="78" t="s">
        <v>207</v>
      </c>
      <c r="C42" s="78">
        <v>182</v>
      </c>
      <c r="D42" s="6"/>
      <c r="E42" s="6"/>
      <c r="F42" s="6"/>
      <c r="G42" s="6"/>
      <c r="H42" s="6">
        <v>10000000</v>
      </c>
      <c r="I42" s="6">
        <v>1.38</v>
      </c>
      <c r="J42" s="6"/>
      <c r="K42" s="6"/>
      <c r="L42" s="6"/>
      <c r="M42" s="6"/>
      <c r="N42" s="6">
        <v>10000000</v>
      </c>
      <c r="O42" s="6">
        <v>1.38</v>
      </c>
      <c r="P42" s="6"/>
      <c r="Q42" s="6"/>
      <c r="R42" s="6">
        <v>571000000</v>
      </c>
      <c r="S42" s="6">
        <v>1.265779</v>
      </c>
      <c r="T42" s="6"/>
      <c r="U42" s="6"/>
      <c r="V42" s="6"/>
      <c r="W42" s="6"/>
    </row>
    <row r="43" spans="1:23" x14ac:dyDescent="0.2">
      <c r="A43" s="85">
        <v>43447</v>
      </c>
      <c r="B43" s="78" t="s">
        <v>90</v>
      </c>
      <c r="C43" s="78">
        <v>91</v>
      </c>
      <c r="D43" s="6"/>
      <c r="E43" s="6"/>
      <c r="F43" s="6"/>
      <c r="G43" s="6"/>
      <c r="H43" s="6">
        <v>70000000</v>
      </c>
      <c r="I43" s="6">
        <v>1.32</v>
      </c>
      <c r="J43" s="6"/>
      <c r="K43" s="6"/>
      <c r="L43" s="6">
        <v>150000000</v>
      </c>
      <c r="M43" s="6">
        <v>1.163953</v>
      </c>
      <c r="N43" s="6"/>
      <c r="O43" s="6"/>
      <c r="P43" s="6">
        <v>6010000000</v>
      </c>
      <c r="Q43" s="6">
        <v>1.1643289999999999</v>
      </c>
      <c r="R43" s="6">
        <v>5137000000</v>
      </c>
      <c r="S43" s="6">
        <v>1.165035</v>
      </c>
      <c r="T43" s="6">
        <v>120000000</v>
      </c>
      <c r="U43" s="6">
        <v>1.1639999999999999</v>
      </c>
      <c r="V43" s="6">
        <v>960000000</v>
      </c>
      <c r="W43" s="6">
        <v>1.193222</v>
      </c>
    </row>
    <row r="44" spans="1:23" x14ac:dyDescent="0.2">
      <c r="A44" s="77"/>
      <c r="B44" s="76"/>
      <c r="C44" s="7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</row>
    <row r="45" spans="1:23" x14ac:dyDescent="0.2">
      <c r="A45" s="84">
        <v>43454</v>
      </c>
      <c r="B45" s="78" t="s">
        <v>595</v>
      </c>
      <c r="C45" s="78">
        <v>182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>
        <v>120000000</v>
      </c>
      <c r="O45" s="6">
        <v>1.29</v>
      </c>
      <c r="P45" s="6"/>
      <c r="Q45" s="6"/>
      <c r="R45" s="6"/>
      <c r="S45" s="6"/>
      <c r="T45" s="6"/>
      <c r="U45" s="6"/>
      <c r="V45" s="6"/>
      <c r="W45" s="6"/>
    </row>
    <row r="46" spans="1:23" x14ac:dyDescent="0.2">
      <c r="A46" s="85">
        <v>43454</v>
      </c>
      <c r="B46" s="78" t="s">
        <v>91</v>
      </c>
      <c r="C46" s="78">
        <v>91</v>
      </c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>
        <v>2500000000</v>
      </c>
      <c r="Q46" s="6">
        <v>1.376952</v>
      </c>
      <c r="R46" s="6">
        <v>4499000000</v>
      </c>
      <c r="S46" s="6">
        <v>1.376922</v>
      </c>
      <c r="T46" s="6">
        <v>201000000</v>
      </c>
      <c r="U46" s="6">
        <v>1.3764179999999999</v>
      </c>
      <c r="V46" s="6">
        <v>600000000</v>
      </c>
      <c r="W46" s="6">
        <v>1.3769830000000001</v>
      </c>
    </row>
    <row r="47" spans="1:23" x14ac:dyDescent="0.2">
      <c r="A47" s="77"/>
      <c r="B47" s="76"/>
      <c r="C47" s="7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</row>
    <row r="48" spans="1:23" x14ac:dyDescent="0.2">
      <c r="A48" s="84">
        <v>43461</v>
      </c>
      <c r="B48" s="78" t="s">
        <v>596</v>
      </c>
      <c r="C48" s="78">
        <v>182</v>
      </c>
      <c r="D48" s="6">
        <v>80000000</v>
      </c>
      <c r="E48" s="6">
        <v>1.476143</v>
      </c>
      <c r="F48" s="6"/>
      <c r="G48" s="6"/>
      <c r="H48" s="6"/>
      <c r="I48" s="6"/>
      <c r="J48" s="6"/>
      <c r="K48" s="6"/>
      <c r="L48" s="6"/>
      <c r="M48" s="6"/>
      <c r="N48" s="6">
        <v>4000000</v>
      </c>
      <c r="O48" s="6">
        <v>1.47</v>
      </c>
      <c r="P48" s="6"/>
      <c r="Q48" s="6"/>
      <c r="R48" s="6"/>
      <c r="S48" s="6"/>
      <c r="T48" s="6"/>
      <c r="U48" s="6"/>
      <c r="V48" s="6"/>
      <c r="W48" s="6"/>
    </row>
    <row r="49" spans="1:23" x14ac:dyDescent="0.2">
      <c r="A49" s="85">
        <v>43461</v>
      </c>
      <c r="B49" s="78" t="s">
        <v>208</v>
      </c>
      <c r="C49" s="78">
        <v>91</v>
      </c>
      <c r="D49" s="6"/>
      <c r="E49" s="6"/>
      <c r="F49" s="6">
        <v>1223000000</v>
      </c>
      <c r="G49" s="6">
        <v>1.379141</v>
      </c>
      <c r="H49" s="6">
        <v>30000000</v>
      </c>
      <c r="I49" s="6">
        <v>1.3725000000000001</v>
      </c>
      <c r="J49" s="6"/>
      <c r="K49" s="6"/>
      <c r="L49" s="6">
        <v>279000000</v>
      </c>
      <c r="M49" s="6">
        <v>1.39</v>
      </c>
      <c r="N49" s="6">
        <v>462000000</v>
      </c>
      <c r="O49" s="6">
        <v>1.379297</v>
      </c>
      <c r="P49" s="6"/>
      <c r="Q49" s="6"/>
      <c r="R49" s="6">
        <v>850000000</v>
      </c>
      <c r="S49" s="6">
        <v>1.494</v>
      </c>
      <c r="T49" s="6">
        <v>100000000</v>
      </c>
      <c r="U49" s="6">
        <v>1.494</v>
      </c>
      <c r="V49" s="6">
        <v>850000000</v>
      </c>
      <c r="W49" s="6">
        <v>1.451176</v>
      </c>
    </row>
    <row r="50" spans="1:23" x14ac:dyDescent="0.2">
      <c r="A50" s="77"/>
      <c r="B50" s="76"/>
      <c r="C50" s="7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</row>
    <row r="51" spans="1:23" x14ac:dyDescent="0.2">
      <c r="A51" s="84">
        <v>43468</v>
      </c>
      <c r="B51" s="78" t="s">
        <v>210</v>
      </c>
      <c r="C51" s="78">
        <v>182</v>
      </c>
      <c r="D51" s="6"/>
      <c r="E51" s="6"/>
      <c r="F51" s="6">
        <v>33000000</v>
      </c>
      <c r="G51" s="6">
        <v>1.43</v>
      </c>
      <c r="H51" s="6">
        <v>25000000</v>
      </c>
      <c r="I51" s="6">
        <v>1.365</v>
      </c>
      <c r="J51" s="6"/>
      <c r="K51" s="6"/>
      <c r="L51" s="6"/>
      <c r="M51" s="6"/>
      <c r="N51" s="6">
        <v>536000000</v>
      </c>
      <c r="O51" s="6">
        <v>1.4120109999999999</v>
      </c>
      <c r="P51" s="6"/>
      <c r="Q51" s="6"/>
      <c r="R51" s="6">
        <v>303000000</v>
      </c>
      <c r="S51" s="6">
        <v>1.4938940000000001</v>
      </c>
      <c r="T51" s="6"/>
      <c r="U51" s="6"/>
      <c r="V51" s="6"/>
      <c r="W51" s="6"/>
    </row>
    <row r="52" spans="1:23" x14ac:dyDescent="0.2">
      <c r="A52" s="85">
        <v>43468</v>
      </c>
      <c r="B52" s="78" t="s">
        <v>108</v>
      </c>
      <c r="C52" s="78">
        <v>91</v>
      </c>
      <c r="D52" s="6"/>
      <c r="E52" s="6"/>
      <c r="F52" s="6"/>
      <c r="G52" s="6"/>
      <c r="H52" s="6"/>
      <c r="I52" s="6"/>
      <c r="J52" s="6"/>
      <c r="K52" s="6"/>
      <c r="L52" s="6">
        <v>90000000</v>
      </c>
      <c r="M52" s="6">
        <v>1.490667</v>
      </c>
      <c r="N52" s="6"/>
      <c r="O52" s="6"/>
      <c r="P52" s="6">
        <v>3000000000</v>
      </c>
      <c r="Q52" s="6">
        <v>1.490442</v>
      </c>
      <c r="R52" s="6">
        <v>6468000000</v>
      </c>
      <c r="S52" s="6">
        <v>1.4903040000000001</v>
      </c>
      <c r="T52" s="6">
        <v>150000000</v>
      </c>
      <c r="U52" s="6">
        <v>1.4906330000000001</v>
      </c>
      <c r="V52" s="6">
        <v>450000000</v>
      </c>
      <c r="W52" s="6">
        <v>1.490669</v>
      </c>
    </row>
    <row r="53" spans="1:23" x14ac:dyDescent="0.2">
      <c r="A53" s="77"/>
      <c r="B53" s="76"/>
      <c r="C53" s="7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</row>
    <row r="54" spans="1:23" x14ac:dyDescent="0.2">
      <c r="A54" s="84">
        <v>43475</v>
      </c>
      <c r="B54" s="78" t="s">
        <v>597</v>
      </c>
      <c r="C54" s="78">
        <v>182</v>
      </c>
      <c r="D54" s="6">
        <v>90000000</v>
      </c>
      <c r="E54" s="6">
        <v>1.508</v>
      </c>
      <c r="F54" s="6"/>
      <c r="G54" s="6"/>
      <c r="H54" s="6"/>
      <c r="I54" s="6"/>
      <c r="J54" s="6"/>
      <c r="K54" s="6"/>
      <c r="L54" s="6"/>
      <c r="M54" s="6"/>
      <c r="N54" s="6">
        <v>37000000</v>
      </c>
      <c r="O54" s="6">
        <v>1.425</v>
      </c>
      <c r="P54" s="6"/>
      <c r="Q54" s="6"/>
      <c r="R54" s="6"/>
      <c r="S54" s="6"/>
      <c r="T54" s="6"/>
      <c r="U54" s="6"/>
      <c r="V54" s="6"/>
      <c r="W54" s="6"/>
    </row>
    <row r="55" spans="1:23" x14ac:dyDescent="0.2">
      <c r="A55" s="85">
        <v>43475</v>
      </c>
      <c r="B55" s="78" t="s">
        <v>870</v>
      </c>
      <c r="C55" s="78">
        <v>91</v>
      </c>
      <c r="D55" s="6"/>
      <c r="E55" s="6"/>
      <c r="F55" s="6"/>
      <c r="G55" s="6"/>
      <c r="H55" s="6"/>
      <c r="I55" s="6"/>
      <c r="J55" s="6"/>
      <c r="K55" s="6"/>
      <c r="L55" s="6">
        <v>200000000</v>
      </c>
      <c r="M55" s="6">
        <v>1.554554</v>
      </c>
      <c r="N55" s="6"/>
      <c r="O55" s="6"/>
      <c r="P55" s="6">
        <v>4050000000</v>
      </c>
      <c r="Q55" s="6">
        <v>1.554413</v>
      </c>
      <c r="R55" s="6">
        <v>5000000000</v>
      </c>
      <c r="S55" s="6">
        <v>1.5545469999999999</v>
      </c>
      <c r="T55" s="6">
        <v>200000000</v>
      </c>
      <c r="U55" s="6">
        <v>1.5544899999999999</v>
      </c>
      <c r="V55" s="6">
        <v>850000000</v>
      </c>
      <c r="W55" s="6">
        <v>1.554543</v>
      </c>
    </row>
    <row r="56" spans="1:23" x14ac:dyDescent="0.2">
      <c r="A56" s="77"/>
      <c r="B56" s="76"/>
      <c r="C56" s="7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</row>
    <row r="57" spans="1:23" x14ac:dyDescent="0.2">
      <c r="A57" s="87">
        <v>43477</v>
      </c>
      <c r="B57" s="78" t="s">
        <v>651</v>
      </c>
      <c r="C57" s="78">
        <v>4383</v>
      </c>
      <c r="D57" s="6"/>
      <c r="E57" s="6"/>
      <c r="F57" s="6">
        <v>778000000</v>
      </c>
      <c r="G57" s="6">
        <v>1.4112880000000001</v>
      </c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</row>
    <row r="58" spans="1:23" x14ac:dyDescent="0.2">
      <c r="A58" s="77"/>
      <c r="B58" s="76"/>
      <c r="C58" s="7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</row>
    <row r="59" spans="1:23" x14ac:dyDescent="0.2">
      <c r="A59" s="87">
        <v>43482</v>
      </c>
      <c r="B59" s="78" t="s">
        <v>832</v>
      </c>
      <c r="C59" s="78">
        <v>182</v>
      </c>
      <c r="D59" s="6">
        <v>50000000</v>
      </c>
      <c r="E59" s="6">
        <v>1.5089999999999999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</row>
    <row r="60" spans="1:23" x14ac:dyDescent="0.2">
      <c r="A60" s="77"/>
      <c r="B60" s="76"/>
      <c r="C60" s="7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</row>
    <row r="61" spans="1:23" x14ac:dyDescent="0.2">
      <c r="A61" s="87">
        <v>43496</v>
      </c>
      <c r="B61" s="78" t="s">
        <v>598</v>
      </c>
      <c r="C61" s="78">
        <v>182</v>
      </c>
      <c r="D61" s="6">
        <v>100000000</v>
      </c>
      <c r="E61" s="6">
        <v>1.5</v>
      </c>
      <c r="F61" s="6"/>
      <c r="G61" s="6"/>
      <c r="H61" s="6"/>
      <c r="I61" s="6"/>
      <c r="J61" s="6"/>
      <c r="K61" s="6"/>
      <c r="L61" s="6"/>
      <c r="M61" s="6"/>
      <c r="N61" s="6">
        <v>87000000</v>
      </c>
      <c r="O61" s="6">
        <v>1.48</v>
      </c>
      <c r="P61" s="6"/>
      <c r="Q61" s="6"/>
      <c r="R61" s="6"/>
      <c r="S61" s="6"/>
      <c r="T61" s="6"/>
      <c r="U61" s="6"/>
      <c r="V61" s="6"/>
      <c r="W61" s="6"/>
    </row>
    <row r="62" spans="1:23" x14ac:dyDescent="0.2">
      <c r="A62" s="77"/>
      <c r="B62" s="76"/>
      <c r="C62" s="7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</row>
    <row r="63" spans="1:23" x14ac:dyDescent="0.2">
      <c r="A63" s="87">
        <v>43510</v>
      </c>
      <c r="B63" s="78" t="s">
        <v>599</v>
      </c>
      <c r="C63" s="78">
        <v>182</v>
      </c>
      <c r="D63" s="6"/>
      <c r="E63" s="6"/>
      <c r="F63" s="6">
        <v>119000000</v>
      </c>
      <c r="G63" s="6">
        <v>1.4782569999999999</v>
      </c>
      <c r="H63" s="6"/>
      <c r="I63" s="6"/>
      <c r="J63" s="6"/>
      <c r="K63" s="6"/>
      <c r="L63" s="6"/>
      <c r="M63" s="6"/>
      <c r="N63" s="6">
        <v>69000000</v>
      </c>
      <c r="O63" s="6">
        <v>1.4907969999999999</v>
      </c>
      <c r="P63" s="6"/>
      <c r="Q63" s="6"/>
      <c r="R63" s="6"/>
      <c r="S63" s="6"/>
      <c r="T63" s="6"/>
      <c r="U63" s="6"/>
      <c r="V63" s="6"/>
      <c r="W63" s="6"/>
    </row>
    <row r="64" spans="1:23" x14ac:dyDescent="0.2">
      <c r="A64" s="77"/>
      <c r="B64" s="76"/>
      <c r="C64" s="7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</row>
    <row r="65" spans="1:23" x14ac:dyDescent="0.2">
      <c r="A65" s="87">
        <v>43516</v>
      </c>
      <c r="B65" s="78" t="s">
        <v>545</v>
      </c>
      <c r="C65" s="78">
        <v>730</v>
      </c>
      <c r="D65" s="6"/>
      <c r="E65" s="6"/>
      <c r="F65" s="6"/>
      <c r="G65" s="6"/>
      <c r="H65" s="6"/>
      <c r="I65" s="6"/>
      <c r="J65" s="6"/>
      <c r="K65" s="6"/>
      <c r="L65" s="6">
        <v>50000000</v>
      </c>
      <c r="M65" s="6">
        <v>1.3946000000000001</v>
      </c>
      <c r="N65" s="6"/>
      <c r="O65" s="6"/>
      <c r="P65" s="6"/>
      <c r="Q65" s="6"/>
      <c r="R65" s="6"/>
      <c r="S65" s="6"/>
      <c r="T65" s="6"/>
      <c r="U65" s="6"/>
      <c r="V65" s="6"/>
      <c r="W65" s="6"/>
    </row>
    <row r="66" spans="1:23" x14ac:dyDescent="0.2">
      <c r="A66" s="77"/>
      <c r="B66" s="76"/>
      <c r="C66" s="7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</row>
    <row r="67" spans="1:23" x14ac:dyDescent="0.2">
      <c r="A67" s="87">
        <v>43517</v>
      </c>
      <c r="B67" s="78" t="s">
        <v>785</v>
      </c>
      <c r="C67" s="78">
        <v>182</v>
      </c>
      <c r="D67" s="6">
        <v>100000000</v>
      </c>
      <c r="E67" s="6">
        <v>1.5</v>
      </c>
      <c r="F67" s="6"/>
      <c r="G67" s="6"/>
      <c r="H67" s="6">
        <v>40000000</v>
      </c>
      <c r="I67" s="6">
        <v>1.5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</row>
    <row r="68" spans="1:23" x14ac:dyDescent="0.2">
      <c r="A68" s="77"/>
      <c r="B68" s="76"/>
      <c r="C68" s="7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</row>
    <row r="69" spans="1:23" x14ac:dyDescent="0.2">
      <c r="A69" s="87">
        <v>43524</v>
      </c>
      <c r="B69" s="78" t="s">
        <v>600</v>
      </c>
      <c r="C69" s="78">
        <v>182</v>
      </c>
      <c r="D69" s="6">
        <v>60000000</v>
      </c>
      <c r="E69" s="6">
        <v>1.49</v>
      </c>
      <c r="F69" s="6">
        <v>694000000</v>
      </c>
      <c r="G69" s="6">
        <v>1.4706859999999999</v>
      </c>
      <c r="H69" s="6">
        <v>90000000</v>
      </c>
      <c r="I69" s="6">
        <v>1.4627779999999999</v>
      </c>
      <c r="J69" s="6"/>
      <c r="K69" s="6"/>
      <c r="L69" s="6"/>
      <c r="M69" s="6"/>
      <c r="N69" s="6">
        <v>127000000</v>
      </c>
      <c r="O69" s="6">
        <v>1.4524999999999999</v>
      </c>
      <c r="P69" s="6"/>
      <c r="Q69" s="6"/>
      <c r="R69" s="6"/>
      <c r="S69" s="6"/>
      <c r="T69" s="6"/>
      <c r="U69" s="6"/>
      <c r="V69" s="6"/>
      <c r="W69" s="6"/>
    </row>
    <row r="70" spans="1:23" x14ac:dyDescent="0.2">
      <c r="A70" s="77"/>
      <c r="B70" s="76"/>
      <c r="C70" s="7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</row>
    <row r="71" spans="1:23" x14ac:dyDescent="0.2">
      <c r="A71" s="87">
        <v>43531</v>
      </c>
      <c r="B71" s="78" t="s">
        <v>601</v>
      </c>
      <c r="C71" s="78">
        <v>182</v>
      </c>
      <c r="D71" s="6"/>
      <c r="E71" s="6"/>
      <c r="F71" s="6">
        <v>47000000</v>
      </c>
      <c r="G71" s="6">
        <v>1.56</v>
      </c>
      <c r="H71" s="6">
        <v>64000000</v>
      </c>
      <c r="I71" s="6">
        <v>1.555625</v>
      </c>
      <c r="J71" s="6"/>
      <c r="K71" s="6"/>
      <c r="L71" s="6"/>
      <c r="M71" s="6"/>
      <c r="N71" s="6">
        <v>18000000</v>
      </c>
      <c r="O71" s="6">
        <v>1.56</v>
      </c>
      <c r="P71" s="6"/>
      <c r="Q71" s="6"/>
      <c r="R71" s="6"/>
      <c r="S71" s="6"/>
      <c r="T71" s="6"/>
      <c r="U71" s="6"/>
      <c r="V71" s="6"/>
      <c r="W71" s="6"/>
    </row>
    <row r="72" spans="1:23" x14ac:dyDescent="0.2">
      <c r="A72" s="77"/>
      <c r="B72" s="76"/>
      <c r="C72" s="7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</row>
    <row r="73" spans="1:23" x14ac:dyDescent="0.2">
      <c r="A73" s="87">
        <v>43532</v>
      </c>
      <c r="B73" s="78" t="s">
        <v>652</v>
      </c>
      <c r="C73" s="78">
        <v>2681</v>
      </c>
      <c r="D73" s="6"/>
      <c r="E73" s="6"/>
      <c r="F73" s="6">
        <v>159260000</v>
      </c>
      <c r="G73" s="6">
        <v>1.486116</v>
      </c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</row>
    <row r="74" spans="1:23" x14ac:dyDescent="0.2">
      <c r="A74" s="77"/>
      <c r="B74" s="76"/>
      <c r="C74" s="7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</row>
    <row r="75" spans="1:23" x14ac:dyDescent="0.2">
      <c r="A75" s="87">
        <v>43538</v>
      </c>
      <c r="B75" s="78" t="s">
        <v>544</v>
      </c>
      <c r="C75" s="78">
        <v>364</v>
      </c>
      <c r="D75" s="6"/>
      <c r="E75" s="6"/>
      <c r="F75" s="6"/>
      <c r="G75" s="6"/>
      <c r="H75" s="6">
        <v>757000000</v>
      </c>
      <c r="I75" s="6">
        <v>1.430879</v>
      </c>
      <c r="J75" s="6"/>
      <c r="K75" s="6"/>
      <c r="L75" s="6">
        <v>50000000</v>
      </c>
      <c r="M75" s="6">
        <v>1.5315000000000001</v>
      </c>
      <c r="N75" s="6">
        <v>253000000</v>
      </c>
      <c r="O75" s="6">
        <v>1.485306</v>
      </c>
      <c r="P75" s="6"/>
      <c r="Q75" s="6"/>
      <c r="R75" s="6"/>
      <c r="S75" s="6"/>
      <c r="T75" s="6"/>
      <c r="U75" s="6"/>
      <c r="V75" s="6"/>
      <c r="W75" s="6"/>
    </row>
    <row r="76" spans="1:23" x14ac:dyDescent="0.2">
      <c r="A76" s="77"/>
      <c r="B76" s="76"/>
      <c r="C76" s="7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</row>
    <row r="77" spans="1:23" x14ac:dyDescent="0.2">
      <c r="A77" s="84">
        <v>43545</v>
      </c>
      <c r="B77" s="78" t="s">
        <v>607</v>
      </c>
      <c r="C77" s="78">
        <v>1095</v>
      </c>
      <c r="D77" s="6"/>
      <c r="E77" s="6"/>
      <c r="F77" s="6">
        <v>744000000</v>
      </c>
      <c r="G77" s="6">
        <v>1.403095</v>
      </c>
      <c r="H77" s="6">
        <v>145000000</v>
      </c>
      <c r="I77" s="6">
        <v>1.365</v>
      </c>
      <c r="J77" s="6"/>
      <c r="K77" s="6"/>
      <c r="L77" s="6"/>
      <c r="M77" s="6"/>
      <c r="N77" s="6">
        <v>30000000</v>
      </c>
      <c r="O77" s="6">
        <v>1.4025000000000001</v>
      </c>
      <c r="P77" s="6"/>
      <c r="Q77" s="6"/>
      <c r="R77" s="6"/>
      <c r="S77" s="6"/>
      <c r="T77" s="6"/>
      <c r="U77" s="6"/>
      <c r="V77" s="6"/>
      <c r="W77" s="6"/>
    </row>
    <row r="78" spans="1:23" x14ac:dyDescent="0.2">
      <c r="A78" s="85">
        <v>43545</v>
      </c>
      <c r="B78" s="78" t="s">
        <v>602</v>
      </c>
      <c r="C78" s="78">
        <v>182</v>
      </c>
      <c r="D78" s="6"/>
      <c r="E78" s="6"/>
      <c r="F78" s="6">
        <v>89000000</v>
      </c>
      <c r="G78" s="6">
        <v>1.5793440000000001</v>
      </c>
      <c r="H78" s="6">
        <v>115000000</v>
      </c>
      <c r="I78" s="6">
        <v>1.65</v>
      </c>
      <c r="J78" s="6"/>
      <c r="K78" s="6"/>
      <c r="L78" s="6"/>
      <c r="M78" s="6"/>
      <c r="N78" s="6">
        <v>87000000</v>
      </c>
      <c r="O78" s="6">
        <v>1.622069</v>
      </c>
      <c r="P78" s="6"/>
      <c r="Q78" s="6"/>
      <c r="R78" s="6"/>
      <c r="S78" s="6"/>
      <c r="T78" s="6"/>
      <c r="U78" s="6"/>
      <c r="V78" s="6"/>
      <c r="W78" s="6"/>
    </row>
    <row r="79" spans="1:23" x14ac:dyDescent="0.2">
      <c r="A79" s="77"/>
      <c r="B79" s="76"/>
      <c r="C79" s="7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</row>
    <row r="80" spans="1:23" x14ac:dyDescent="0.2">
      <c r="A80" s="87">
        <v>43552</v>
      </c>
      <c r="B80" s="78" t="s">
        <v>603</v>
      </c>
      <c r="C80" s="78">
        <v>182</v>
      </c>
      <c r="D80" s="6"/>
      <c r="E80" s="6"/>
      <c r="F80" s="6">
        <v>139000000</v>
      </c>
      <c r="G80" s="6">
        <v>1.57</v>
      </c>
      <c r="H80" s="6">
        <v>234000000</v>
      </c>
      <c r="I80" s="6">
        <v>1.5717950000000001</v>
      </c>
      <c r="J80" s="6"/>
      <c r="K80" s="6"/>
      <c r="L80" s="6"/>
      <c r="M80" s="6"/>
      <c r="N80" s="6">
        <v>261000000</v>
      </c>
      <c r="O80" s="6">
        <v>1.57</v>
      </c>
      <c r="P80" s="6"/>
      <c r="Q80" s="6"/>
      <c r="R80" s="6"/>
      <c r="S80" s="6"/>
      <c r="T80" s="6"/>
      <c r="U80" s="6"/>
      <c r="V80" s="6"/>
      <c r="W80" s="6"/>
    </row>
    <row r="81" spans="1:23" x14ac:dyDescent="0.2">
      <c r="A81" s="77"/>
      <c r="B81" s="76"/>
      <c r="C81" s="7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</row>
    <row r="82" spans="1:23" x14ac:dyDescent="0.2">
      <c r="A82" s="87">
        <v>43558</v>
      </c>
      <c r="B82" s="78" t="s">
        <v>86</v>
      </c>
      <c r="C82" s="78">
        <v>364</v>
      </c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>
        <v>10000000</v>
      </c>
      <c r="Q82" s="6">
        <v>1.6</v>
      </c>
      <c r="R82" s="6">
        <v>1190000000</v>
      </c>
      <c r="S82" s="6">
        <v>1.312079</v>
      </c>
      <c r="T82" s="6"/>
      <c r="U82" s="6"/>
      <c r="V82" s="6"/>
      <c r="W82" s="6"/>
    </row>
    <row r="83" spans="1:23" x14ac:dyDescent="0.2">
      <c r="A83" s="77"/>
      <c r="B83" s="76"/>
      <c r="C83" s="7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</row>
    <row r="84" spans="1:23" x14ac:dyDescent="0.2">
      <c r="A84" s="87">
        <v>43559</v>
      </c>
      <c r="B84" s="78" t="s">
        <v>604</v>
      </c>
      <c r="C84" s="78">
        <v>182</v>
      </c>
      <c r="D84" s="6"/>
      <c r="E84" s="6"/>
      <c r="F84" s="6">
        <v>971000000</v>
      </c>
      <c r="G84" s="6">
        <v>1.5974999999999999</v>
      </c>
      <c r="H84" s="6">
        <v>50000000</v>
      </c>
      <c r="I84" s="6">
        <v>1.5974999999999999</v>
      </c>
      <c r="J84" s="6"/>
      <c r="K84" s="6"/>
      <c r="L84" s="6"/>
      <c r="M84" s="6"/>
      <c r="N84" s="6">
        <v>194000000</v>
      </c>
      <c r="O84" s="6">
        <v>1.5974999999999999</v>
      </c>
      <c r="P84" s="6"/>
      <c r="Q84" s="6"/>
      <c r="R84" s="6"/>
      <c r="S84" s="6"/>
      <c r="T84" s="6"/>
      <c r="U84" s="6"/>
      <c r="V84" s="6"/>
      <c r="W84" s="6"/>
    </row>
    <row r="85" spans="1:23" x14ac:dyDescent="0.2">
      <c r="A85" s="77"/>
      <c r="B85" s="76"/>
      <c r="C85" s="7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</row>
    <row r="86" spans="1:23" x14ac:dyDescent="0.2">
      <c r="A86" s="87">
        <v>43566</v>
      </c>
      <c r="B86" s="78" t="s">
        <v>890</v>
      </c>
      <c r="C86" s="78">
        <v>182</v>
      </c>
      <c r="D86" s="6"/>
      <c r="E86" s="6"/>
      <c r="F86" s="6"/>
      <c r="G86" s="6"/>
      <c r="H86" s="6">
        <v>200000000</v>
      </c>
      <c r="I86" s="6">
        <v>1.72</v>
      </c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</row>
    <row r="87" spans="1:23" x14ac:dyDescent="0.2">
      <c r="A87" s="77"/>
      <c r="B87" s="76"/>
      <c r="C87" s="7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</row>
    <row r="88" spans="1:23" x14ac:dyDescent="0.2">
      <c r="A88" s="87">
        <v>43622</v>
      </c>
      <c r="B88" s="78" t="s">
        <v>605</v>
      </c>
      <c r="C88" s="78">
        <v>364</v>
      </c>
      <c r="D88" s="6"/>
      <c r="E88" s="6"/>
      <c r="F88" s="6"/>
      <c r="G88" s="6"/>
      <c r="H88" s="6">
        <v>170000000</v>
      </c>
      <c r="I88" s="6">
        <v>1.5829409999999999</v>
      </c>
      <c r="J88" s="6"/>
      <c r="K88" s="6"/>
      <c r="L88" s="6"/>
      <c r="M88" s="6"/>
      <c r="N88" s="6">
        <v>133000000</v>
      </c>
      <c r="O88" s="6">
        <v>1.5750379999999999</v>
      </c>
      <c r="P88" s="6"/>
      <c r="Q88" s="6"/>
      <c r="R88" s="6"/>
      <c r="S88" s="6"/>
      <c r="T88" s="6"/>
      <c r="U88" s="6"/>
      <c r="V88" s="6"/>
      <c r="W88" s="6"/>
    </row>
    <row r="89" spans="1:23" x14ac:dyDescent="0.2">
      <c r="A89" s="77"/>
      <c r="B89" s="76"/>
      <c r="C89" s="7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</row>
    <row r="90" spans="1:23" x14ac:dyDescent="0.2">
      <c r="A90" s="87">
        <v>43713</v>
      </c>
      <c r="B90" s="78" t="s">
        <v>606</v>
      </c>
      <c r="C90" s="78">
        <v>364</v>
      </c>
      <c r="D90" s="6"/>
      <c r="E90" s="6"/>
      <c r="F90" s="6">
        <v>622000000</v>
      </c>
      <c r="G90" s="6">
        <v>1.735233</v>
      </c>
      <c r="H90" s="6">
        <v>161000000</v>
      </c>
      <c r="I90" s="6">
        <v>1.7532140000000001</v>
      </c>
      <c r="J90" s="6"/>
      <c r="K90" s="6"/>
      <c r="L90" s="6"/>
      <c r="M90" s="6"/>
      <c r="N90" s="6">
        <v>624000000</v>
      </c>
      <c r="O90" s="6">
        <v>1.7331730000000001</v>
      </c>
      <c r="P90" s="6"/>
      <c r="Q90" s="6"/>
      <c r="R90" s="6"/>
      <c r="S90" s="6"/>
      <c r="T90" s="6"/>
      <c r="U90" s="6"/>
      <c r="V90" s="6"/>
      <c r="W90" s="6"/>
    </row>
    <row r="91" spans="1:23" x14ac:dyDescent="0.2">
      <c r="A91" s="77"/>
      <c r="B91" s="76"/>
      <c r="C91" s="7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</row>
    <row r="92" spans="1:23" x14ac:dyDescent="0.2">
      <c r="A92" s="87">
        <v>43720</v>
      </c>
      <c r="B92" s="78" t="s">
        <v>546</v>
      </c>
      <c r="C92" s="78">
        <v>1095</v>
      </c>
      <c r="D92" s="6"/>
      <c r="E92" s="6"/>
      <c r="F92" s="6"/>
      <c r="G92" s="6"/>
      <c r="H92" s="6"/>
      <c r="I92" s="6"/>
      <c r="J92" s="6"/>
      <c r="K92" s="6"/>
      <c r="L92" s="6">
        <v>200000000</v>
      </c>
      <c r="M92" s="6">
        <v>1.47</v>
      </c>
      <c r="N92" s="6">
        <v>240000000</v>
      </c>
      <c r="O92" s="6">
        <v>1.67875</v>
      </c>
      <c r="P92" s="6"/>
      <c r="Q92" s="6"/>
      <c r="R92" s="6"/>
      <c r="S92" s="6"/>
      <c r="T92" s="6"/>
      <c r="U92" s="6"/>
      <c r="V92" s="6"/>
      <c r="W92" s="6"/>
    </row>
    <row r="93" spans="1:23" x14ac:dyDescent="0.2">
      <c r="A93" s="77"/>
      <c r="B93" s="76"/>
      <c r="C93" s="7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</row>
    <row r="94" spans="1:23" x14ac:dyDescent="0.2">
      <c r="A94" s="87">
        <v>43887</v>
      </c>
      <c r="B94" s="78" t="s">
        <v>650</v>
      </c>
      <c r="C94" s="78">
        <v>730</v>
      </c>
      <c r="D94" s="6"/>
      <c r="E94" s="6"/>
      <c r="F94" s="6">
        <v>198000000</v>
      </c>
      <c r="G94" s="6">
        <v>1.4884820000000001</v>
      </c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</row>
    <row r="95" spans="1:23" x14ac:dyDescent="0.2">
      <c r="A95" s="77"/>
      <c r="B95" s="76"/>
      <c r="C95" s="7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</row>
    <row r="96" spans="1:23" x14ac:dyDescent="0.2">
      <c r="A96" s="87">
        <v>43917</v>
      </c>
      <c r="B96" s="78" t="s">
        <v>608</v>
      </c>
      <c r="C96" s="78">
        <v>1096</v>
      </c>
      <c r="D96" s="6"/>
      <c r="E96" s="6"/>
      <c r="F96" s="6">
        <v>898000000</v>
      </c>
      <c r="G96" s="6">
        <v>1.7205189999999999</v>
      </c>
      <c r="H96" s="6">
        <v>50000000</v>
      </c>
      <c r="I96" s="6">
        <v>1.5699799999999999</v>
      </c>
      <c r="J96" s="6"/>
      <c r="K96" s="6"/>
      <c r="L96" s="6"/>
      <c r="M96" s="6"/>
      <c r="N96" s="6">
        <v>393000000</v>
      </c>
      <c r="O96" s="6">
        <v>1.7534510000000001</v>
      </c>
      <c r="P96" s="6"/>
      <c r="Q96" s="6"/>
      <c r="R96" s="6"/>
      <c r="S96" s="6"/>
      <c r="T96" s="6"/>
      <c r="U96" s="6"/>
      <c r="V96" s="6"/>
      <c r="W96" s="6"/>
    </row>
    <row r="97" spans="1:23" x14ac:dyDescent="0.2">
      <c r="A97" s="77"/>
      <c r="B97" s="76"/>
      <c r="C97" s="7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</row>
    <row r="98" spans="1:23" x14ac:dyDescent="0.2">
      <c r="A98" s="87">
        <v>44008</v>
      </c>
      <c r="B98" s="78" t="s">
        <v>548</v>
      </c>
      <c r="C98" s="78">
        <v>1827</v>
      </c>
      <c r="D98" s="6"/>
      <c r="E98" s="6"/>
      <c r="F98" s="6">
        <v>3511000000</v>
      </c>
      <c r="G98" s="6">
        <v>1.6983729999999999</v>
      </c>
      <c r="H98" s="6">
        <v>128000000</v>
      </c>
      <c r="I98" s="6">
        <v>1.5104610000000001</v>
      </c>
      <c r="J98" s="6"/>
      <c r="K98" s="6"/>
      <c r="L98" s="6">
        <v>90000000</v>
      </c>
      <c r="M98" s="6">
        <v>1.5216670000000001</v>
      </c>
      <c r="N98" s="6"/>
      <c r="O98" s="6"/>
      <c r="P98" s="6"/>
      <c r="Q98" s="6"/>
      <c r="R98" s="6"/>
      <c r="S98" s="6"/>
      <c r="T98" s="6"/>
      <c r="U98" s="6"/>
      <c r="V98" s="6"/>
      <c r="W98" s="6"/>
    </row>
    <row r="99" spans="1:23" x14ac:dyDescent="0.2">
      <c r="A99" s="77"/>
      <c r="B99" s="76"/>
      <c r="C99" s="7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</row>
    <row r="100" spans="1:23" x14ac:dyDescent="0.2">
      <c r="A100" s="87">
        <v>44070</v>
      </c>
      <c r="B100" s="78" t="s">
        <v>786</v>
      </c>
      <c r="C100" s="78">
        <v>731</v>
      </c>
      <c r="D100" s="6"/>
      <c r="E100" s="6"/>
      <c r="F100" s="6"/>
      <c r="G100" s="6"/>
      <c r="H100" s="6">
        <v>180000000</v>
      </c>
      <c r="I100" s="6">
        <v>1.9634499999999999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</row>
    <row r="101" spans="1:23" x14ac:dyDescent="0.2">
      <c r="A101" s="77"/>
      <c r="B101" s="76"/>
      <c r="C101" s="7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</row>
    <row r="102" spans="1:23" x14ac:dyDescent="0.2">
      <c r="A102" s="87">
        <v>44099</v>
      </c>
      <c r="B102" s="78" t="s">
        <v>547</v>
      </c>
      <c r="C102" s="78">
        <v>1096</v>
      </c>
      <c r="D102" s="6"/>
      <c r="E102" s="6"/>
      <c r="F102" s="6"/>
      <c r="G102" s="6"/>
      <c r="H102" s="6">
        <v>280000000</v>
      </c>
      <c r="I102" s="6">
        <v>1.5116959999999999</v>
      </c>
      <c r="J102" s="6"/>
      <c r="K102" s="6"/>
      <c r="L102" s="6">
        <v>110000000</v>
      </c>
      <c r="M102" s="6">
        <v>1.52</v>
      </c>
      <c r="N102" s="6">
        <v>344500000</v>
      </c>
      <c r="O102" s="6">
        <v>1.50197</v>
      </c>
      <c r="P102" s="6"/>
      <c r="Q102" s="6"/>
      <c r="R102" s="6"/>
      <c r="S102" s="6"/>
      <c r="T102" s="6"/>
      <c r="U102" s="6"/>
      <c r="V102" s="6"/>
      <c r="W102" s="6"/>
    </row>
    <row r="103" spans="1:23" x14ac:dyDescent="0.2">
      <c r="A103" s="77"/>
      <c r="B103" s="76"/>
      <c r="C103" s="7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</row>
    <row r="104" spans="1:23" x14ac:dyDescent="0.2">
      <c r="A104" s="87">
        <v>44391</v>
      </c>
      <c r="B104" s="78" t="s">
        <v>609</v>
      </c>
      <c r="C104" s="78">
        <v>3653</v>
      </c>
      <c r="D104" s="6"/>
      <c r="E104" s="6"/>
      <c r="F104" s="6">
        <v>666000000</v>
      </c>
      <c r="G104" s="6">
        <v>1.2076089999999999</v>
      </c>
      <c r="H104" s="6"/>
      <c r="I104" s="6"/>
      <c r="J104" s="6"/>
      <c r="K104" s="6"/>
      <c r="L104" s="6"/>
      <c r="M104" s="6"/>
      <c r="N104" s="6">
        <v>76000000</v>
      </c>
      <c r="O104" s="6">
        <v>1.1913860000000001</v>
      </c>
      <c r="P104" s="6"/>
      <c r="Q104" s="6"/>
      <c r="R104" s="6"/>
      <c r="S104" s="6"/>
      <c r="T104" s="6"/>
      <c r="U104" s="6"/>
      <c r="V104" s="6"/>
      <c r="W104" s="6"/>
    </row>
    <row r="105" spans="1:23" x14ac:dyDescent="0.2">
      <c r="A105" s="77"/>
      <c r="B105" s="76"/>
      <c r="C105" s="7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</row>
    <row r="106" spans="1:23" x14ac:dyDescent="0.2">
      <c r="A106" s="87">
        <v>44547</v>
      </c>
      <c r="B106" s="78" t="s">
        <v>653</v>
      </c>
      <c r="C106" s="78">
        <v>4046</v>
      </c>
      <c r="D106" s="6"/>
      <c r="E106" s="6"/>
      <c r="F106" s="6">
        <v>583000000</v>
      </c>
      <c r="G106" s="6">
        <v>1.662968</v>
      </c>
      <c r="H106" s="6">
        <v>67000000</v>
      </c>
      <c r="I106" s="6">
        <v>1.605507</v>
      </c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</row>
    <row r="107" spans="1:23" x14ac:dyDescent="0.2">
      <c r="A107" s="77"/>
      <c r="B107" s="76"/>
      <c r="C107" s="7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</row>
    <row r="108" spans="1:23" x14ac:dyDescent="0.2">
      <c r="A108" s="87">
        <v>44729</v>
      </c>
      <c r="B108" s="78" t="s">
        <v>610</v>
      </c>
      <c r="C108" s="78">
        <v>2163</v>
      </c>
      <c r="D108" s="6"/>
      <c r="E108" s="6"/>
      <c r="F108" s="6">
        <v>1695000000</v>
      </c>
      <c r="G108" s="6">
        <v>1.9837039999999999</v>
      </c>
      <c r="H108" s="6"/>
      <c r="I108" s="6"/>
      <c r="J108" s="6"/>
      <c r="K108" s="6"/>
      <c r="L108" s="6"/>
      <c r="M108" s="6"/>
      <c r="N108" s="6">
        <v>142000000</v>
      </c>
      <c r="O108" s="6">
        <v>2.246769</v>
      </c>
      <c r="P108" s="6"/>
      <c r="Q108" s="6"/>
      <c r="R108" s="6"/>
      <c r="S108" s="6"/>
      <c r="T108" s="6"/>
      <c r="U108" s="6"/>
      <c r="V108" s="6"/>
      <c r="W108" s="6"/>
    </row>
    <row r="109" spans="1:23" x14ac:dyDescent="0.2">
      <c r="A109" s="77"/>
      <c r="B109" s="76"/>
      <c r="C109" s="7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</row>
    <row r="110" spans="1:23" x14ac:dyDescent="0.2">
      <c r="A110" s="87">
        <v>44912</v>
      </c>
      <c r="B110" s="78" t="s">
        <v>611</v>
      </c>
      <c r="C110" s="78">
        <v>1961</v>
      </c>
      <c r="D110" s="6"/>
      <c r="E110" s="6"/>
      <c r="F110" s="6">
        <v>237000000</v>
      </c>
      <c r="G110" s="6">
        <v>1.8714660000000001</v>
      </c>
      <c r="H110" s="6">
        <v>390000000</v>
      </c>
      <c r="I110" s="6">
        <v>1.794038</v>
      </c>
      <c r="J110" s="6"/>
      <c r="K110" s="6"/>
      <c r="L110" s="6"/>
      <c r="M110" s="6"/>
      <c r="N110" s="6">
        <v>112500000</v>
      </c>
      <c r="O110" s="6">
        <v>1.819229</v>
      </c>
      <c r="P110" s="6"/>
      <c r="Q110" s="6"/>
      <c r="R110" s="6"/>
      <c r="S110" s="6"/>
      <c r="T110" s="6"/>
      <c r="U110" s="6"/>
      <c r="V110" s="6"/>
      <c r="W110" s="6"/>
    </row>
    <row r="111" spans="1:23" x14ac:dyDescent="0.2">
      <c r="A111" s="77"/>
      <c r="B111" s="76"/>
      <c r="C111" s="7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</row>
    <row r="112" spans="1:23" x14ac:dyDescent="0.2">
      <c r="A112" s="87">
        <v>45277</v>
      </c>
      <c r="B112" s="78" t="s">
        <v>612</v>
      </c>
      <c r="C112" s="78">
        <v>1948</v>
      </c>
      <c r="D112" s="6"/>
      <c r="E112" s="6"/>
      <c r="F112" s="6">
        <v>206000000</v>
      </c>
      <c r="G112" s="6">
        <v>2.3401049999999999</v>
      </c>
      <c r="H112" s="6">
        <v>127000000</v>
      </c>
      <c r="I112" s="6">
        <v>2.34274</v>
      </c>
      <c r="J112" s="6"/>
      <c r="K112" s="6"/>
      <c r="L112" s="6"/>
      <c r="M112" s="6"/>
      <c r="N112" s="6">
        <v>57000000</v>
      </c>
      <c r="O112" s="6">
        <v>2.3435640000000002</v>
      </c>
      <c r="P112" s="6"/>
      <c r="Q112" s="6"/>
      <c r="R112" s="6"/>
      <c r="S112" s="6"/>
      <c r="T112" s="6"/>
      <c r="U112" s="6"/>
      <c r="V112" s="6"/>
      <c r="W112" s="6"/>
    </row>
    <row r="113" spans="1:23" x14ac:dyDescent="0.2">
      <c r="A113" s="77"/>
      <c r="B113" s="76"/>
      <c r="C113" s="7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</row>
    <row r="116" spans="1:23" x14ac:dyDescent="0.2">
      <c r="C116" s="5" t="s">
        <v>1205</v>
      </c>
    </row>
  </sheetData>
  <mergeCells count="71">
    <mergeCell ref="R5:S5"/>
    <mergeCell ref="T5:U5"/>
    <mergeCell ref="V5:W5"/>
    <mergeCell ref="A109:C109"/>
    <mergeCell ref="A111:C111"/>
    <mergeCell ref="A113:C113"/>
    <mergeCell ref="D5:E5"/>
    <mergeCell ref="F5:G5"/>
    <mergeCell ref="H5:I5"/>
    <mergeCell ref="A97:C97"/>
    <mergeCell ref="A99:C99"/>
    <mergeCell ref="A101:C101"/>
    <mergeCell ref="A103:C103"/>
    <mergeCell ref="A105:C105"/>
    <mergeCell ref="A107:C107"/>
    <mergeCell ref="A83:C83"/>
    <mergeCell ref="A85:C85"/>
    <mergeCell ref="A87:C87"/>
    <mergeCell ref="A89:C89"/>
    <mergeCell ref="A91:C91"/>
    <mergeCell ref="A93:C93"/>
    <mergeCell ref="A54:A55"/>
    <mergeCell ref="A56:C56"/>
    <mergeCell ref="A58:C58"/>
    <mergeCell ref="A60:C60"/>
    <mergeCell ref="A62:C62"/>
    <mergeCell ref="A64:C64"/>
    <mergeCell ref="A39:A40"/>
    <mergeCell ref="A41:C41"/>
    <mergeCell ref="A42:A43"/>
    <mergeCell ref="A44:C44"/>
    <mergeCell ref="A45:A46"/>
    <mergeCell ref="A47:C47"/>
    <mergeCell ref="A29:C29"/>
    <mergeCell ref="A30:A31"/>
    <mergeCell ref="A32:C32"/>
    <mergeCell ref="A33:A34"/>
    <mergeCell ref="A35:C35"/>
    <mergeCell ref="A36:A37"/>
    <mergeCell ref="A19:A20"/>
    <mergeCell ref="A21:C21"/>
    <mergeCell ref="A22:A23"/>
    <mergeCell ref="A24:C24"/>
    <mergeCell ref="A25:A26"/>
    <mergeCell ref="A27:C27"/>
    <mergeCell ref="A7:A8"/>
    <mergeCell ref="A9:C9"/>
    <mergeCell ref="A11:C11"/>
    <mergeCell ref="J5:K5"/>
    <mergeCell ref="L5:M5"/>
    <mergeCell ref="N5:O5"/>
    <mergeCell ref="P5:Q5"/>
    <mergeCell ref="A12:A13"/>
    <mergeCell ref="A14:C14"/>
    <mergeCell ref="A16:C16"/>
    <mergeCell ref="A18:C18"/>
    <mergeCell ref="A74:C74"/>
    <mergeCell ref="A76:C76"/>
    <mergeCell ref="A77:A78"/>
    <mergeCell ref="A79:C79"/>
    <mergeCell ref="A66:C66"/>
    <mergeCell ref="A68:C68"/>
    <mergeCell ref="A70:C70"/>
    <mergeCell ref="A72:C72"/>
    <mergeCell ref="A48:A49"/>
    <mergeCell ref="A50:C50"/>
    <mergeCell ref="A51:A52"/>
    <mergeCell ref="A53:C53"/>
    <mergeCell ref="A38:C38"/>
    <mergeCell ref="A81:C81"/>
    <mergeCell ref="A95:C9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44B8-0BC1-4511-B41A-0B1BF403C1A8}">
  <sheetPr codeName="Sheet2"/>
  <dimension ref="A1:X964"/>
  <sheetViews>
    <sheetView topLeftCell="A638" zoomScale="70" zoomScaleNormal="70" workbookViewId="0">
      <selection activeCell="D965" sqref="D965"/>
    </sheetView>
  </sheetViews>
  <sheetFormatPr defaultRowHeight="14.25" x14ac:dyDescent="0.2"/>
  <cols>
    <col min="1" max="1" width="13" style="2" customWidth="1"/>
    <col min="2" max="2" width="16.75" customWidth="1"/>
    <col min="3" max="3" width="17.25" bestFit="1" customWidth="1"/>
    <col min="4" max="4" width="23.375" bestFit="1" customWidth="1"/>
    <col min="5" max="5" width="20.875" bestFit="1" customWidth="1"/>
    <col min="6" max="6" width="17.875" bestFit="1" customWidth="1"/>
    <col min="7" max="7" width="14.25" customWidth="1"/>
    <col min="8" max="8" width="14.875" customWidth="1"/>
    <col min="9" max="9" width="20.875" style="2" customWidth="1"/>
    <col min="10" max="10" width="24" style="6" customWidth="1"/>
    <col min="11" max="11" width="11.875" bestFit="1" customWidth="1"/>
    <col min="12" max="12" width="12.875" customWidth="1"/>
    <col min="13" max="13" width="20.875" customWidth="1"/>
    <col min="14" max="15" width="17.875" customWidth="1"/>
    <col min="16" max="16" width="13.75" customWidth="1"/>
    <col min="17" max="17" width="17.375" customWidth="1"/>
    <col min="18" max="18" width="19.5" style="2" customWidth="1"/>
    <col min="19" max="19" width="20" style="6" customWidth="1"/>
    <col min="20" max="20" width="18.875" customWidth="1"/>
  </cols>
  <sheetData>
    <row r="1" spans="1:24" x14ac:dyDescent="0.2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6" t="s">
        <v>9</v>
      </c>
      <c r="K1" t="s">
        <v>10</v>
      </c>
      <c r="L1" t="s">
        <v>11</v>
      </c>
      <c r="M1" t="s">
        <v>12</v>
      </c>
      <c r="N1" t="s">
        <v>896</v>
      </c>
      <c r="O1" t="s">
        <v>13</v>
      </c>
      <c r="P1" t="s">
        <v>14</v>
      </c>
      <c r="Q1" t="s">
        <v>15</v>
      </c>
      <c r="R1" t="s">
        <v>16</v>
      </c>
      <c r="S1" s="6" t="s">
        <v>897</v>
      </c>
      <c r="T1" t="s">
        <v>396</v>
      </c>
    </row>
    <row r="2" spans="1:24" hidden="1" x14ac:dyDescent="0.2">
      <c r="A2" s="66">
        <v>43383</v>
      </c>
      <c r="B2" s="2" t="s">
        <v>17</v>
      </c>
      <c r="C2" t="s">
        <v>18</v>
      </c>
      <c r="D2" t="s">
        <v>19</v>
      </c>
      <c r="F2" t="s">
        <v>20</v>
      </c>
      <c r="G2" t="s">
        <v>21</v>
      </c>
      <c r="I2" s="66"/>
      <c r="J2" s="6">
        <v>165105488.38999999</v>
      </c>
      <c r="K2">
        <v>5140388.8600000003</v>
      </c>
      <c r="L2">
        <v>165105488.38999999</v>
      </c>
      <c r="M2">
        <v>0</v>
      </c>
      <c r="N2">
        <v>0</v>
      </c>
      <c r="O2">
        <v>0</v>
      </c>
      <c r="P2" t="s">
        <v>22</v>
      </c>
      <c r="Q2" t="s">
        <v>23</v>
      </c>
      <c r="R2" s="66">
        <v>2</v>
      </c>
      <c r="S2" s="6">
        <f>DataTable[HLD_MaturityDate] - DataTable[SEC_Issue_Date]</f>
        <v>-2</v>
      </c>
      <c r="T2" s="66" t="str">
        <f>DataTable[HLD_Portfolio]&amp;DataTable[HLD_Date]</f>
        <v>SCBSFF43383</v>
      </c>
      <c r="W2" t="b">
        <f>DataTable[HLD_SecCode]="CB18O18A"</f>
        <v>0</v>
      </c>
      <c r="X2">
        <f>COUNTIF(W2:W964,TRUE)</f>
        <v>9</v>
      </c>
    </row>
    <row r="3" spans="1:24" hidden="1" x14ac:dyDescent="0.2">
      <c r="A3" s="66">
        <v>43383</v>
      </c>
      <c r="B3" t="s">
        <v>17</v>
      </c>
      <c r="C3" t="s">
        <v>18</v>
      </c>
      <c r="D3" t="s">
        <v>19</v>
      </c>
      <c r="F3" t="s">
        <v>25</v>
      </c>
      <c r="G3" t="s">
        <v>26</v>
      </c>
      <c r="H3" t="s">
        <v>27</v>
      </c>
      <c r="I3" s="66"/>
      <c r="J3" s="6">
        <v>0</v>
      </c>
      <c r="L3">
        <v>0</v>
      </c>
      <c r="M3">
        <v>0</v>
      </c>
      <c r="N3">
        <v>0</v>
      </c>
      <c r="O3">
        <v>0</v>
      </c>
      <c r="P3" t="s">
        <v>22</v>
      </c>
      <c r="Q3" t="s">
        <v>28</v>
      </c>
      <c r="R3" s="66">
        <v>2</v>
      </c>
      <c r="S3" s="6">
        <f>DataTable[HLD_MaturityDate] - DataTable[SEC_Issue_Date]</f>
        <v>-2</v>
      </c>
      <c r="T3" s="66" t="str">
        <f>DataTable[HLD_Portfolio]&amp;DataTable[HLD_Date]</f>
        <v>SCBSFF43383</v>
      </c>
      <c r="W3" t="b">
        <f>DataTable[HLD_SecCode]="CB18O18A"</f>
        <v>0</v>
      </c>
    </row>
    <row r="4" spans="1:24" hidden="1" x14ac:dyDescent="0.2">
      <c r="A4" s="66">
        <v>43383</v>
      </c>
      <c r="B4" t="s">
        <v>17</v>
      </c>
      <c r="C4" t="s">
        <v>18</v>
      </c>
      <c r="D4" t="s">
        <v>19</v>
      </c>
      <c r="F4" t="s">
        <v>30</v>
      </c>
      <c r="G4" t="s">
        <v>26</v>
      </c>
      <c r="H4" t="s">
        <v>27</v>
      </c>
      <c r="I4" s="66"/>
      <c r="J4" s="6">
        <v>0</v>
      </c>
      <c r="L4">
        <v>0</v>
      </c>
      <c r="M4">
        <v>0</v>
      </c>
      <c r="N4">
        <v>0</v>
      </c>
      <c r="O4">
        <v>0</v>
      </c>
      <c r="P4" t="s">
        <v>22</v>
      </c>
      <c r="Q4" t="s">
        <v>31</v>
      </c>
      <c r="R4" s="66">
        <v>2</v>
      </c>
      <c r="S4" s="6">
        <f>DataTable[HLD_MaturityDate] - DataTable[SEC_Issue_Date]</f>
        <v>-2</v>
      </c>
      <c r="T4" s="66" t="str">
        <f>DataTable[HLD_Portfolio]&amp;DataTable[HLD_Date]</f>
        <v>SCBSFF43383</v>
      </c>
      <c r="W4" t="b">
        <f>DataTable[HLD_SecCode]="CB18O18A"</f>
        <v>0</v>
      </c>
    </row>
    <row r="5" spans="1:24" hidden="1" x14ac:dyDescent="0.2">
      <c r="A5" s="66">
        <v>43383</v>
      </c>
      <c r="B5" t="s">
        <v>17</v>
      </c>
      <c r="C5" t="s">
        <v>18</v>
      </c>
      <c r="D5" t="s">
        <v>19</v>
      </c>
      <c r="F5" t="s">
        <v>32</v>
      </c>
      <c r="G5" t="s">
        <v>26</v>
      </c>
      <c r="H5" t="s">
        <v>27</v>
      </c>
      <c r="I5" s="66"/>
      <c r="J5" s="6">
        <v>0</v>
      </c>
      <c r="L5">
        <v>0</v>
      </c>
      <c r="M5">
        <v>0</v>
      </c>
      <c r="N5">
        <v>0</v>
      </c>
      <c r="O5">
        <v>0</v>
      </c>
      <c r="P5" t="s">
        <v>22</v>
      </c>
      <c r="Q5" t="s">
        <v>33</v>
      </c>
      <c r="R5" s="66">
        <v>2</v>
      </c>
      <c r="S5" s="6">
        <f>DataTable[HLD_MaturityDate] - DataTable[SEC_Issue_Date]</f>
        <v>-2</v>
      </c>
      <c r="T5" s="66" t="str">
        <f>DataTable[HLD_Portfolio]&amp;DataTable[HLD_Date]</f>
        <v>SCBSFF43383</v>
      </c>
      <c r="W5" t="b">
        <f>DataTable[HLD_SecCode]="CB18O18A"</f>
        <v>0</v>
      </c>
    </row>
    <row r="6" spans="1:24" hidden="1" x14ac:dyDescent="0.2">
      <c r="A6" s="66">
        <v>43383</v>
      </c>
      <c r="B6" t="s">
        <v>17</v>
      </c>
      <c r="C6" t="s">
        <v>18</v>
      </c>
      <c r="D6" t="s">
        <v>19</v>
      </c>
      <c r="F6" t="s">
        <v>34</v>
      </c>
      <c r="G6" t="s">
        <v>26</v>
      </c>
      <c r="H6" t="s">
        <v>27</v>
      </c>
      <c r="I6" s="66"/>
      <c r="J6" s="6">
        <v>342790.48</v>
      </c>
      <c r="K6">
        <v>376.83</v>
      </c>
      <c r="L6">
        <v>342790.48</v>
      </c>
      <c r="M6">
        <v>0</v>
      </c>
      <c r="N6">
        <v>0</v>
      </c>
      <c r="O6">
        <v>0</v>
      </c>
      <c r="P6" t="s">
        <v>22</v>
      </c>
      <c r="Q6" t="s">
        <v>23</v>
      </c>
      <c r="R6" s="66">
        <v>2</v>
      </c>
      <c r="S6" s="6">
        <f>DataTable[HLD_MaturityDate] - DataTable[SEC_Issue_Date]</f>
        <v>-2</v>
      </c>
      <c r="T6" s="66" t="str">
        <f>DataTable[HLD_Portfolio]&amp;DataTable[HLD_Date]</f>
        <v>SCBSFF43383</v>
      </c>
      <c r="W6" t="b">
        <f>DataTable[HLD_SecCode]="CB18O18A"</f>
        <v>0</v>
      </c>
    </row>
    <row r="7" spans="1:24" hidden="1" x14ac:dyDescent="0.2">
      <c r="A7" s="66">
        <v>43383</v>
      </c>
      <c r="B7" t="s">
        <v>17</v>
      </c>
      <c r="C7" t="s">
        <v>18</v>
      </c>
      <c r="D7" t="s">
        <v>19</v>
      </c>
      <c r="F7" t="s">
        <v>36</v>
      </c>
      <c r="G7" t="s">
        <v>26</v>
      </c>
      <c r="H7" t="s">
        <v>27</v>
      </c>
      <c r="I7" s="66"/>
      <c r="J7" s="6">
        <v>0</v>
      </c>
      <c r="L7">
        <v>0</v>
      </c>
      <c r="M7">
        <v>0</v>
      </c>
      <c r="N7">
        <v>0</v>
      </c>
      <c r="O7">
        <v>0</v>
      </c>
      <c r="P7" t="s">
        <v>22</v>
      </c>
      <c r="Q7" t="s">
        <v>37</v>
      </c>
      <c r="R7" s="66">
        <v>2</v>
      </c>
      <c r="S7" s="6">
        <f>DataTable[HLD_MaturityDate] - DataTable[SEC_Issue_Date]</f>
        <v>-2</v>
      </c>
      <c r="T7" s="66" t="str">
        <f>DataTable[HLD_Portfolio]&amp;DataTable[HLD_Date]</f>
        <v>SCBSFF43383</v>
      </c>
      <c r="W7" t="b">
        <f>DataTable[HLD_SecCode]="CB18O18A"</f>
        <v>0</v>
      </c>
    </row>
    <row r="8" spans="1:24" hidden="1" x14ac:dyDescent="0.2">
      <c r="A8" s="66">
        <v>43383</v>
      </c>
      <c r="B8" t="s">
        <v>17</v>
      </c>
      <c r="C8" t="s">
        <v>18</v>
      </c>
      <c r="D8" t="s">
        <v>38</v>
      </c>
      <c r="F8" t="s">
        <v>39</v>
      </c>
      <c r="G8" t="s">
        <v>40</v>
      </c>
      <c r="H8" t="s">
        <v>41</v>
      </c>
      <c r="I8" s="66">
        <v>43599</v>
      </c>
      <c r="J8" s="6">
        <v>3000000000</v>
      </c>
      <c r="K8">
        <v>19800000</v>
      </c>
      <c r="L8">
        <v>3000000000</v>
      </c>
      <c r="M8">
        <v>0.58609500000000003</v>
      </c>
      <c r="N8">
        <v>3000000000</v>
      </c>
      <c r="O8">
        <v>1.65</v>
      </c>
      <c r="P8" t="s">
        <v>42</v>
      </c>
      <c r="Q8" t="s">
        <v>23</v>
      </c>
      <c r="R8" s="66">
        <v>43238</v>
      </c>
      <c r="S8" s="6">
        <f>DataTable[HLD_MaturityDate] - DataTable[SEC_Issue_Date]</f>
        <v>361</v>
      </c>
      <c r="T8" s="66" t="str">
        <f>DataTable[HLD_Portfolio]&amp;DataTable[HLD_Date]</f>
        <v>SCBSFF43383</v>
      </c>
      <c r="W8" t="b">
        <f>DataTable[HLD_SecCode]="CB18O18A"</f>
        <v>0</v>
      </c>
    </row>
    <row r="9" spans="1:24" hidden="1" x14ac:dyDescent="0.2">
      <c r="A9" s="66">
        <v>43383</v>
      </c>
      <c r="B9" t="s">
        <v>17</v>
      </c>
      <c r="C9" t="s">
        <v>18</v>
      </c>
      <c r="D9" t="s">
        <v>38</v>
      </c>
      <c r="F9" t="s">
        <v>44</v>
      </c>
      <c r="G9" t="s">
        <v>40</v>
      </c>
      <c r="H9" t="s">
        <v>41</v>
      </c>
      <c r="I9" s="66">
        <v>43627</v>
      </c>
      <c r="J9" s="6">
        <v>370000000</v>
      </c>
      <c r="K9">
        <v>602136.99</v>
      </c>
      <c r="L9">
        <v>370000000</v>
      </c>
      <c r="M9">
        <v>0.66121099999999999</v>
      </c>
      <c r="N9">
        <v>370000000</v>
      </c>
      <c r="O9">
        <v>1.65</v>
      </c>
      <c r="P9" t="s">
        <v>42</v>
      </c>
      <c r="Q9" t="s">
        <v>23</v>
      </c>
      <c r="R9" s="66">
        <v>43348</v>
      </c>
      <c r="S9" s="6">
        <f>DataTable[HLD_MaturityDate] - DataTable[SEC_Issue_Date]</f>
        <v>279</v>
      </c>
      <c r="T9" s="66" t="str">
        <f>DataTable[HLD_Portfolio]&amp;DataTable[HLD_Date]</f>
        <v>SCBSFF43383</v>
      </c>
      <c r="W9" t="b">
        <f>DataTable[HLD_SecCode]="CB18O18A"</f>
        <v>0</v>
      </c>
    </row>
    <row r="10" spans="1:24" hidden="1" x14ac:dyDescent="0.2">
      <c r="A10" s="66">
        <v>43383</v>
      </c>
      <c r="B10" t="s">
        <v>17</v>
      </c>
      <c r="C10" t="s">
        <v>18</v>
      </c>
      <c r="D10" t="s">
        <v>38</v>
      </c>
      <c r="F10" t="s">
        <v>45</v>
      </c>
      <c r="G10" t="s">
        <v>46</v>
      </c>
      <c r="H10" t="s">
        <v>47</v>
      </c>
      <c r="I10" s="66">
        <v>43595</v>
      </c>
      <c r="J10" s="6">
        <v>1892445000</v>
      </c>
      <c r="K10">
        <v>404772.96</v>
      </c>
      <c r="L10">
        <v>1899500000</v>
      </c>
      <c r="M10">
        <v>0.58871600000000002</v>
      </c>
      <c r="N10">
        <v>50000000</v>
      </c>
      <c r="O10">
        <v>0.05</v>
      </c>
      <c r="P10" t="s">
        <v>42</v>
      </c>
      <c r="Q10" t="s">
        <v>31</v>
      </c>
      <c r="R10" s="66">
        <v>43230</v>
      </c>
      <c r="S10" s="6">
        <f>DataTable[HLD_MaturityDate] - DataTable[SEC_Issue_Date]</f>
        <v>365</v>
      </c>
      <c r="T10" s="66" t="str">
        <f>DataTable[HLD_Portfolio]&amp;DataTable[HLD_Date]</f>
        <v>SCBSFF43383</v>
      </c>
      <c r="W10" t="b">
        <f>DataTable[HLD_SecCode]="CB18O18A"</f>
        <v>0</v>
      </c>
    </row>
    <row r="11" spans="1:24" hidden="1" x14ac:dyDescent="0.2">
      <c r="A11" s="66">
        <v>43383</v>
      </c>
      <c r="B11" t="s">
        <v>17</v>
      </c>
      <c r="C11" t="s">
        <v>18</v>
      </c>
      <c r="D11" t="s">
        <v>38</v>
      </c>
      <c r="F11" t="s">
        <v>48</v>
      </c>
      <c r="G11" t="s">
        <v>46</v>
      </c>
      <c r="H11" t="s">
        <v>47</v>
      </c>
      <c r="I11" s="66">
        <v>43580</v>
      </c>
      <c r="J11" s="6">
        <v>988350000</v>
      </c>
      <c r="K11">
        <v>14533961.289999999</v>
      </c>
      <c r="L11">
        <v>946500000</v>
      </c>
      <c r="M11">
        <v>0.53802399999999995</v>
      </c>
      <c r="N11">
        <v>30000000</v>
      </c>
      <c r="O11">
        <v>3.17</v>
      </c>
      <c r="P11" t="s">
        <v>42</v>
      </c>
      <c r="Q11" t="s">
        <v>37</v>
      </c>
      <c r="R11" s="66">
        <v>43217</v>
      </c>
      <c r="S11" s="6">
        <f>DataTable[HLD_MaturityDate] - DataTable[SEC_Issue_Date]</f>
        <v>363</v>
      </c>
      <c r="T11" s="66" t="str">
        <f>DataTable[HLD_Portfolio]&amp;DataTable[HLD_Date]</f>
        <v>SCBSFF43383</v>
      </c>
      <c r="W11" t="b">
        <f>DataTable[HLD_SecCode]="CB18O18A"</f>
        <v>0</v>
      </c>
    </row>
    <row r="12" spans="1:24" hidden="1" x14ac:dyDescent="0.2">
      <c r="A12" s="66">
        <v>43383</v>
      </c>
      <c r="B12" t="s">
        <v>17</v>
      </c>
      <c r="C12" t="s">
        <v>18</v>
      </c>
      <c r="D12" t="s">
        <v>38</v>
      </c>
      <c r="F12" t="s">
        <v>49</v>
      </c>
      <c r="G12" t="s">
        <v>50</v>
      </c>
      <c r="H12" t="s">
        <v>51</v>
      </c>
      <c r="I12" s="66">
        <v>43410</v>
      </c>
      <c r="J12" s="6">
        <v>1153075000</v>
      </c>
      <c r="K12">
        <v>25978071.890000001</v>
      </c>
      <c r="L12">
        <v>1158500000</v>
      </c>
      <c r="M12">
        <v>7.4868000000000004E-2</v>
      </c>
      <c r="N12">
        <v>35000000</v>
      </c>
      <c r="O12">
        <v>2.4066999999999998</v>
      </c>
      <c r="P12" t="s">
        <v>42</v>
      </c>
      <c r="Q12" t="s">
        <v>37</v>
      </c>
      <c r="R12" s="66">
        <v>43047</v>
      </c>
      <c r="S12" s="6">
        <f>DataTable[HLD_MaturityDate] - DataTable[SEC_Issue_Date]</f>
        <v>363</v>
      </c>
      <c r="T12" s="66" t="str">
        <f>DataTable[HLD_Portfolio]&amp;DataTable[HLD_Date]</f>
        <v>SCBSFF43383</v>
      </c>
      <c r="W12" t="b">
        <f>DataTable[HLD_SecCode]="CB18O18A"</f>
        <v>0</v>
      </c>
    </row>
    <row r="13" spans="1:24" hidden="1" x14ac:dyDescent="0.2">
      <c r="A13" s="66">
        <v>43383</v>
      </c>
      <c r="B13" t="s">
        <v>17</v>
      </c>
      <c r="C13" t="s">
        <v>18</v>
      </c>
      <c r="D13" t="s">
        <v>38</v>
      </c>
      <c r="F13" t="s">
        <v>52</v>
      </c>
      <c r="G13" t="s">
        <v>50</v>
      </c>
      <c r="H13" t="s">
        <v>51</v>
      </c>
      <c r="I13" s="66">
        <v>43389</v>
      </c>
      <c r="J13" s="6">
        <v>1647250000</v>
      </c>
      <c r="K13">
        <v>39204550</v>
      </c>
      <c r="L13">
        <v>1654000000</v>
      </c>
      <c r="M13">
        <v>1.6660000000000001E-2</v>
      </c>
      <c r="N13">
        <v>50000000</v>
      </c>
      <c r="O13">
        <v>2.4</v>
      </c>
      <c r="P13" t="s">
        <v>42</v>
      </c>
      <c r="Q13" t="s">
        <v>37</v>
      </c>
      <c r="R13" s="66">
        <v>43027</v>
      </c>
      <c r="S13" s="6">
        <f>DataTable[HLD_MaturityDate] - DataTable[SEC_Issue_Date]</f>
        <v>362</v>
      </c>
      <c r="T13" s="66" t="str">
        <f>DataTable[HLD_Portfolio]&amp;DataTable[HLD_Date]</f>
        <v>SCBSFF43383</v>
      </c>
      <c r="W13" t="b">
        <f>DataTable[HLD_SecCode]="CB18O18A"</f>
        <v>0</v>
      </c>
    </row>
    <row r="14" spans="1:24" hidden="1" x14ac:dyDescent="0.2">
      <c r="A14" s="66">
        <v>43383</v>
      </c>
      <c r="B14" t="s">
        <v>17</v>
      </c>
      <c r="C14" t="s">
        <v>18</v>
      </c>
      <c r="D14" t="s">
        <v>38</v>
      </c>
      <c r="F14" t="s">
        <v>53</v>
      </c>
      <c r="G14" t="s">
        <v>54</v>
      </c>
      <c r="H14" t="s">
        <v>47</v>
      </c>
      <c r="I14" s="66">
        <v>43559</v>
      </c>
      <c r="J14" s="6">
        <v>2377150000</v>
      </c>
      <c r="K14">
        <v>54971593.75</v>
      </c>
      <c r="L14">
        <v>2477500000</v>
      </c>
      <c r="M14">
        <v>0.47859600000000002</v>
      </c>
      <c r="N14">
        <v>500000000</v>
      </c>
      <c r="O14">
        <v>4.5</v>
      </c>
      <c r="P14" t="s">
        <v>42</v>
      </c>
      <c r="Q14" t="s">
        <v>28</v>
      </c>
      <c r="R14" s="66">
        <v>43199</v>
      </c>
      <c r="S14" s="6">
        <f>DataTable[HLD_MaturityDate] - DataTable[SEC_Issue_Date]</f>
        <v>360</v>
      </c>
      <c r="T14" s="66" t="str">
        <f>DataTable[HLD_Portfolio]&amp;DataTable[HLD_Date]</f>
        <v>SCBSFF43383</v>
      </c>
      <c r="W14" t="b">
        <f>DataTable[HLD_SecCode]="CB18O18A"</f>
        <v>0</v>
      </c>
    </row>
    <row r="15" spans="1:24" hidden="1" x14ac:dyDescent="0.2">
      <c r="A15" s="66">
        <v>43383</v>
      </c>
      <c r="B15" t="s">
        <v>17</v>
      </c>
      <c r="C15" t="s">
        <v>18</v>
      </c>
      <c r="D15" t="s">
        <v>38</v>
      </c>
      <c r="F15" t="s">
        <v>55</v>
      </c>
      <c r="G15" t="s">
        <v>54</v>
      </c>
      <c r="H15" t="s">
        <v>47</v>
      </c>
      <c r="I15" s="66">
        <v>43566</v>
      </c>
      <c r="J15" s="6">
        <v>1901720000</v>
      </c>
      <c r="K15">
        <v>43018491.170000002</v>
      </c>
      <c r="L15">
        <v>1981400000</v>
      </c>
      <c r="M15">
        <v>0.49733100000000002</v>
      </c>
      <c r="N15">
        <v>400000000</v>
      </c>
      <c r="O15">
        <v>4.45</v>
      </c>
      <c r="P15" t="s">
        <v>42</v>
      </c>
      <c r="Q15" t="s">
        <v>28</v>
      </c>
      <c r="R15" s="66">
        <v>43201</v>
      </c>
      <c r="S15" s="6">
        <f>DataTable[HLD_MaturityDate] - DataTable[SEC_Issue_Date]</f>
        <v>365</v>
      </c>
      <c r="T15" s="66" t="str">
        <f>DataTable[HLD_Portfolio]&amp;DataTable[HLD_Date]</f>
        <v>SCBSFF43383</v>
      </c>
      <c r="W15" t="b">
        <f>DataTable[HLD_SecCode]="CB18O18A"</f>
        <v>0</v>
      </c>
    </row>
    <row r="16" spans="1:24" hidden="1" x14ac:dyDescent="0.2">
      <c r="A16" s="66">
        <v>43383</v>
      </c>
      <c r="B16" t="s">
        <v>17</v>
      </c>
      <c r="C16" t="s">
        <v>18</v>
      </c>
      <c r="D16" t="s">
        <v>38</v>
      </c>
      <c r="F16" t="s">
        <v>56</v>
      </c>
      <c r="G16" t="s">
        <v>54</v>
      </c>
      <c r="H16" t="s">
        <v>47</v>
      </c>
      <c r="I16" s="66">
        <v>43580</v>
      </c>
      <c r="J16" s="6">
        <v>2649423000</v>
      </c>
      <c r="K16">
        <v>746254.15</v>
      </c>
      <c r="L16">
        <v>2691500000</v>
      </c>
      <c r="M16">
        <v>0.54704299999999995</v>
      </c>
      <c r="N16">
        <v>70000000</v>
      </c>
      <c r="O16">
        <v>0.06</v>
      </c>
      <c r="P16" t="s">
        <v>42</v>
      </c>
      <c r="Q16" t="s">
        <v>31</v>
      </c>
      <c r="R16" s="66">
        <v>43215</v>
      </c>
      <c r="S16" s="6">
        <f>DataTable[HLD_MaturityDate] - DataTable[SEC_Issue_Date]</f>
        <v>365</v>
      </c>
      <c r="T16" s="66" t="str">
        <f>DataTable[HLD_Portfolio]&amp;DataTable[HLD_Date]</f>
        <v>SCBSFF43383</v>
      </c>
      <c r="W16" t="b">
        <f>DataTable[HLD_SecCode]="CB18O18A"</f>
        <v>0</v>
      </c>
    </row>
    <row r="17" spans="1:23" hidden="1" x14ac:dyDescent="0.2">
      <c r="A17" s="66">
        <v>43383</v>
      </c>
      <c r="B17" t="s">
        <v>17</v>
      </c>
      <c r="C17" t="s">
        <v>18</v>
      </c>
      <c r="D17" t="s">
        <v>38</v>
      </c>
      <c r="F17" t="s">
        <v>57</v>
      </c>
      <c r="G17" t="s">
        <v>58</v>
      </c>
      <c r="H17" t="s">
        <v>59</v>
      </c>
      <c r="I17" s="66">
        <v>43679</v>
      </c>
      <c r="J17" s="6">
        <v>300000000</v>
      </c>
      <c r="K17">
        <v>964109.59</v>
      </c>
      <c r="L17">
        <v>300000000</v>
      </c>
      <c r="M17">
        <v>0.79996500000000004</v>
      </c>
      <c r="N17">
        <v>300000000</v>
      </c>
      <c r="O17">
        <v>1.7</v>
      </c>
      <c r="P17" t="s">
        <v>42</v>
      </c>
      <c r="Q17" t="s">
        <v>23</v>
      </c>
      <c r="R17" s="66">
        <v>43315</v>
      </c>
      <c r="S17" s="6">
        <f>DataTable[HLD_MaturityDate] - DataTable[SEC_Issue_Date]</f>
        <v>364</v>
      </c>
      <c r="T17" s="66" t="str">
        <f>DataTable[HLD_Portfolio]&amp;DataTable[HLD_Date]</f>
        <v>SCBSFF43383</v>
      </c>
      <c r="W17" t="b">
        <f>DataTable[HLD_SecCode]="CB18O18A"</f>
        <v>0</v>
      </c>
    </row>
    <row r="18" spans="1:23" hidden="1" x14ac:dyDescent="0.2">
      <c r="A18" s="66">
        <v>43383</v>
      </c>
      <c r="B18" t="s">
        <v>17</v>
      </c>
      <c r="C18" t="s">
        <v>18</v>
      </c>
      <c r="D18" t="s">
        <v>38</v>
      </c>
      <c r="F18" t="s">
        <v>60</v>
      </c>
      <c r="G18" t="s">
        <v>58</v>
      </c>
      <c r="H18" t="s">
        <v>59</v>
      </c>
      <c r="I18" s="66">
        <v>43683</v>
      </c>
      <c r="J18" s="6">
        <v>650000000</v>
      </c>
      <c r="K18">
        <v>1998082.19</v>
      </c>
      <c r="L18">
        <v>650000000</v>
      </c>
      <c r="M18">
        <v>0.81062500000000004</v>
      </c>
      <c r="N18">
        <v>650000000</v>
      </c>
      <c r="O18">
        <v>1.7</v>
      </c>
      <c r="P18" t="s">
        <v>42</v>
      </c>
      <c r="Q18" t="s">
        <v>23</v>
      </c>
      <c r="R18" s="66">
        <v>43318</v>
      </c>
      <c r="S18" s="6">
        <f>DataTable[HLD_MaturityDate] - DataTable[SEC_Issue_Date]</f>
        <v>365</v>
      </c>
      <c r="T18" s="66" t="str">
        <f>DataTable[HLD_Portfolio]&amp;DataTable[HLD_Date]</f>
        <v>SCBSFF43383</v>
      </c>
      <c r="W18" t="b">
        <f>DataTable[HLD_SecCode]="CB18O18A"</f>
        <v>0</v>
      </c>
    </row>
    <row r="19" spans="1:23" hidden="1" x14ac:dyDescent="0.2">
      <c r="A19" s="66">
        <v>43383</v>
      </c>
      <c r="B19" t="s">
        <v>17</v>
      </c>
      <c r="C19" t="s">
        <v>18</v>
      </c>
      <c r="D19" t="s">
        <v>38</v>
      </c>
      <c r="F19" t="s">
        <v>61</v>
      </c>
      <c r="G19" t="s">
        <v>58</v>
      </c>
      <c r="H19" t="s">
        <v>59</v>
      </c>
      <c r="I19" s="66">
        <v>43686</v>
      </c>
      <c r="J19" s="6">
        <v>150000000</v>
      </c>
      <c r="K19">
        <v>440136.99</v>
      </c>
      <c r="L19">
        <v>150000000</v>
      </c>
      <c r="M19">
        <v>0.81861799999999996</v>
      </c>
      <c r="N19">
        <v>150000000</v>
      </c>
      <c r="O19">
        <v>1.7</v>
      </c>
      <c r="P19" t="s">
        <v>42</v>
      </c>
      <c r="Q19" t="s">
        <v>23</v>
      </c>
      <c r="R19" s="66">
        <v>43321</v>
      </c>
      <c r="S19" s="6">
        <f>DataTable[HLD_MaturityDate] - DataTable[SEC_Issue_Date]</f>
        <v>365</v>
      </c>
      <c r="T19" s="66" t="str">
        <f>DataTable[HLD_Portfolio]&amp;DataTable[HLD_Date]</f>
        <v>SCBSFF43383</v>
      </c>
      <c r="W19" t="b">
        <f>DataTable[HLD_SecCode]="CB18O18A"</f>
        <v>0</v>
      </c>
    </row>
    <row r="20" spans="1:23" hidden="1" x14ac:dyDescent="0.2">
      <c r="A20" s="66">
        <v>43383</v>
      </c>
      <c r="B20" t="s">
        <v>17</v>
      </c>
      <c r="C20" t="s">
        <v>18</v>
      </c>
      <c r="D20" t="s">
        <v>38</v>
      </c>
      <c r="F20" t="s">
        <v>62</v>
      </c>
      <c r="G20" t="s">
        <v>58</v>
      </c>
      <c r="H20" t="s">
        <v>59</v>
      </c>
      <c r="I20" s="66">
        <v>43448</v>
      </c>
      <c r="J20" s="6">
        <v>70000000</v>
      </c>
      <c r="K20">
        <v>923616.44</v>
      </c>
      <c r="L20">
        <v>70000000</v>
      </c>
      <c r="M20">
        <v>0.17757600000000001</v>
      </c>
      <c r="N20">
        <v>70000000</v>
      </c>
      <c r="O20">
        <v>1.6</v>
      </c>
      <c r="P20" t="s">
        <v>42</v>
      </c>
      <c r="Q20" t="s">
        <v>23</v>
      </c>
      <c r="R20" s="66">
        <v>43083</v>
      </c>
      <c r="S20" s="6">
        <f>DataTable[HLD_MaturityDate] - DataTable[SEC_Issue_Date]</f>
        <v>365</v>
      </c>
      <c r="T20" s="66" t="str">
        <f>DataTable[HLD_Portfolio]&amp;DataTable[HLD_Date]</f>
        <v>SCBSFF43383</v>
      </c>
      <c r="W20" t="b">
        <f>DataTable[HLD_SecCode]="CB18O18A"</f>
        <v>0</v>
      </c>
    </row>
    <row r="21" spans="1:23" hidden="1" x14ac:dyDescent="0.2">
      <c r="A21" s="66">
        <v>43383</v>
      </c>
      <c r="B21" t="s">
        <v>17</v>
      </c>
      <c r="C21" t="s">
        <v>18</v>
      </c>
      <c r="D21" t="s">
        <v>38</v>
      </c>
      <c r="F21" t="s">
        <v>63</v>
      </c>
      <c r="G21" t="s">
        <v>58</v>
      </c>
      <c r="H21" t="s">
        <v>59</v>
      </c>
      <c r="I21" s="66">
        <v>43481</v>
      </c>
      <c r="J21" s="6">
        <v>68000000</v>
      </c>
      <c r="K21">
        <v>798860.27</v>
      </c>
      <c r="L21">
        <v>68000000</v>
      </c>
      <c r="M21">
        <v>0.267345</v>
      </c>
      <c r="N21">
        <v>68000000</v>
      </c>
      <c r="O21">
        <v>1.6</v>
      </c>
      <c r="P21" t="s">
        <v>42</v>
      </c>
      <c r="Q21" t="s">
        <v>23</v>
      </c>
      <c r="R21" s="66">
        <v>43116</v>
      </c>
      <c r="S21" s="6">
        <f>DataTable[HLD_MaturityDate] - DataTable[SEC_Issue_Date]</f>
        <v>365</v>
      </c>
      <c r="T21" s="66" t="str">
        <f>DataTable[HLD_Portfolio]&amp;DataTable[HLD_Date]</f>
        <v>SCBSFF43383</v>
      </c>
      <c r="W21" t="b">
        <f>DataTable[HLD_SecCode]="CB18O18A"</f>
        <v>0</v>
      </c>
    </row>
    <row r="22" spans="1:23" hidden="1" x14ac:dyDescent="0.2">
      <c r="A22" s="66">
        <v>43383</v>
      </c>
      <c r="B22" t="s">
        <v>17</v>
      </c>
      <c r="C22" t="s">
        <v>18</v>
      </c>
      <c r="D22" t="s">
        <v>38</v>
      </c>
      <c r="F22" t="s">
        <v>64</v>
      </c>
      <c r="G22" t="s">
        <v>58</v>
      </c>
      <c r="H22" t="s">
        <v>59</v>
      </c>
      <c r="I22" s="66">
        <v>43482</v>
      </c>
      <c r="J22" s="6">
        <v>200000000</v>
      </c>
      <c r="K22">
        <v>2340821.92</v>
      </c>
      <c r="L22">
        <v>200000000</v>
      </c>
      <c r="M22">
        <v>0.270061</v>
      </c>
      <c r="N22">
        <v>200000000</v>
      </c>
      <c r="O22">
        <v>1.6</v>
      </c>
      <c r="P22" t="s">
        <v>42</v>
      </c>
      <c r="Q22" t="s">
        <v>23</v>
      </c>
      <c r="R22" s="66">
        <v>43117</v>
      </c>
      <c r="S22" s="6">
        <f>DataTable[HLD_MaturityDate] - DataTable[SEC_Issue_Date]</f>
        <v>365</v>
      </c>
      <c r="T22" s="66" t="str">
        <f>DataTable[HLD_Portfolio]&amp;DataTable[HLD_Date]</f>
        <v>SCBSFF43383</v>
      </c>
      <c r="W22" t="b">
        <f>DataTable[HLD_SecCode]="CB18O18A"</f>
        <v>0</v>
      </c>
    </row>
    <row r="23" spans="1:23" hidden="1" x14ac:dyDescent="0.2">
      <c r="A23" s="66">
        <v>43383</v>
      </c>
      <c r="B23" t="s">
        <v>17</v>
      </c>
      <c r="C23" t="s">
        <v>18</v>
      </c>
      <c r="D23" t="s">
        <v>38</v>
      </c>
      <c r="F23" t="s">
        <v>65</v>
      </c>
      <c r="G23" t="s">
        <v>58</v>
      </c>
      <c r="H23" t="s">
        <v>59</v>
      </c>
      <c r="I23" s="66">
        <v>43483</v>
      </c>
      <c r="J23" s="6">
        <v>157000000</v>
      </c>
      <c r="K23">
        <v>1830663.01</v>
      </c>
      <c r="L23">
        <v>157000000</v>
      </c>
      <c r="M23">
        <v>0.27277699999999999</v>
      </c>
      <c r="N23">
        <v>157000000</v>
      </c>
      <c r="O23">
        <v>1.6</v>
      </c>
      <c r="P23" t="s">
        <v>42</v>
      </c>
      <c r="Q23" t="s">
        <v>23</v>
      </c>
      <c r="R23" s="66">
        <v>43118</v>
      </c>
      <c r="S23" s="6">
        <f>DataTable[HLD_MaturityDate] - DataTable[SEC_Issue_Date]</f>
        <v>365</v>
      </c>
      <c r="T23" s="66" t="str">
        <f>DataTable[HLD_Portfolio]&amp;DataTable[HLD_Date]</f>
        <v>SCBSFF43383</v>
      </c>
      <c r="W23" t="b">
        <f>DataTable[HLD_SecCode]="CB18O18A"</f>
        <v>0</v>
      </c>
    </row>
    <row r="24" spans="1:23" hidden="1" x14ac:dyDescent="0.2">
      <c r="A24" s="66">
        <v>43383</v>
      </c>
      <c r="B24" t="s">
        <v>17</v>
      </c>
      <c r="C24" t="s">
        <v>18</v>
      </c>
      <c r="D24" t="s">
        <v>38</v>
      </c>
      <c r="F24" t="s">
        <v>66</v>
      </c>
      <c r="G24" t="s">
        <v>58</v>
      </c>
      <c r="H24" t="s">
        <v>59</v>
      </c>
      <c r="I24" s="66">
        <v>43486</v>
      </c>
      <c r="J24" s="6">
        <v>300000000</v>
      </c>
      <c r="K24">
        <v>3484931.51</v>
      </c>
      <c r="L24">
        <v>300000000</v>
      </c>
      <c r="M24">
        <v>0.28092299999999998</v>
      </c>
      <c r="N24">
        <v>300000000</v>
      </c>
      <c r="O24">
        <v>1.6</v>
      </c>
      <c r="P24" t="s">
        <v>42</v>
      </c>
      <c r="Q24" t="s">
        <v>23</v>
      </c>
      <c r="R24" s="66">
        <v>43119</v>
      </c>
      <c r="S24" s="6">
        <f>DataTable[HLD_MaturityDate] - DataTable[SEC_Issue_Date]</f>
        <v>367</v>
      </c>
      <c r="T24" s="66" t="str">
        <f>DataTable[HLD_Portfolio]&amp;DataTable[HLD_Date]</f>
        <v>SCBSFF43383</v>
      </c>
      <c r="W24" t="b">
        <f>DataTable[HLD_SecCode]="CB18O18A"</f>
        <v>0</v>
      </c>
    </row>
    <row r="25" spans="1:23" hidden="1" x14ac:dyDescent="0.2">
      <c r="A25" s="66">
        <v>43383</v>
      </c>
      <c r="B25" t="s">
        <v>17</v>
      </c>
      <c r="C25" t="s">
        <v>18</v>
      </c>
      <c r="D25" t="s">
        <v>38</v>
      </c>
      <c r="F25" t="s">
        <v>67</v>
      </c>
      <c r="G25" t="s">
        <v>46</v>
      </c>
      <c r="H25" t="s">
        <v>47</v>
      </c>
      <c r="I25" s="66">
        <v>43389</v>
      </c>
      <c r="J25" s="6">
        <v>1317800000</v>
      </c>
      <c r="K25">
        <v>9360406.6099999994</v>
      </c>
      <c r="L25">
        <v>1326400000</v>
      </c>
      <c r="M25">
        <v>1.6659E-2</v>
      </c>
      <c r="N25">
        <v>40000000</v>
      </c>
      <c r="O25">
        <v>2.81</v>
      </c>
      <c r="P25" t="s">
        <v>42</v>
      </c>
      <c r="Q25" t="s">
        <v>37</v>
      </c>
      <c r="R25" s="66">
        <v>43293</v>
      </c>
      <c r="S25" s="6">
        <f>DataTable[HLD_MaturityDate] - DataTable[SEC_Issue_Date]</f>
        <v>96</v>
      </c>
      <c r="T25" s="66" t="str">
        <f>DataTable[HLD_Portfolio]&amp;DataTable[HLD_Date]</f>
        <v>SCBSFF43383</v>
      </c>
      <c r="W25" t="b">
        <f>DataTable[HLD_SecCode]="CB18O18A"</f>
        <v>0</v>
      </c>
    </row>
    <row r="26" spans="1:23" hidden="1" x14ac:dyDescent="0.2">
      <c r="A26" s="66">
        <v>43383</v>
      </c>
      <c r="B26" t="s">
        <v>17</v>
      </c>
      <c r="C26" t="s">
        <v>18</v>
      </c>
      <c r="D26" t="s">
        <v>38</v>
      </c>
      <c r="F26" t="s">
        <v>68</v>
      </c>
      <c r="G26" t="s">
        <v>54</v>
      </c>
      <c r="H26" t="s">
        <v>47</v>
      </c>
      <c r="I26" s="66">
        <v>43409</v>
      </c>
      <c r="J26" s="6">
        <v>946222500</v>
      </c>
      <c r="K26">
        <v>169268.69</v>
      </c>
      <c r="L26">
        <v>950000000</v>
      </c>
      <c r="M26">
        <v>7.2220000000000006E-2</v>
      </c>
      <c r="N26">
        <v>25000000</v>
      </c>
      <c r="O26">
        <v>0.04</v>
      </c>
      <c r="P26" t="s">
        <v>42</v>
      </c>
      <c r="Q26" t="s">
        <v>31</v>
      </c>
      <c r="R26" s="66">
        <v>43223</v>
      </c>
      <c r="S26" s="6">
        <f>DataTable[HLD_MaturityDate] - DataTable[SEC_Issue_Date]</f>
        <v>186</v>
      </c>
      <c r="T26" s="66" t="str">
        <f>DataTable[HLD_Portfolio]&amp;DataTable[HLD_Date]</f>
        <v>SCBSFF43383</v>
      </c>
      <c r="W26" t="b">
        <f>DataTable[HLD_SecCode]="CB18O18A"</f>
        <v>0</v>
      </c>
    </row>
    <row r="27" spans="1:23" hidden="1" x14ac:dyDescent="0.2">
      <c r="A27" s="66">
        <v>43383</v>
      </c>
      <c r="B27" t="s">
        <v>17</v>
      </c>
      <c r="C27" t="s">
        <v>18</v>
      </c>
      <c r="D27" t="s">
        <v>38</v>
      </c>
      <c r="F27" t="s">
        <v>69</v>
      </c>
      <c r="G27" t="s">
        <v>54</v>
      </c>
      <c r="H27" t="s">
        <v>47</v>
      </c>
      <c r="I27" s="66">
        <v>43543</v>
      </c>
      <c r="J27" s="6">
        <v>378489000</v>
      </c>
      <c r="K27">
        <v>11039.26</v>
      </c>
      <c r="L27">
        <v>380000000</v>
      </c>
      <c r="M27">
        <v>0.44434600000000002</v>
      </c>
      <c r="N27">
        <v>10000000</v>
      </c>
      <c r="O27">
        <v>0.05</v>
      </c>
      <c r="P27" t="s">
        <v>42</v>
      </c>
      <c r="Q27" t="s">
        <v>31</v>
      </c>
      <c r="R27" s="66">
        <v>43363</v>
      </c>
      <c r="S27" s="6">
        <f>DataTable[HLD_MaturityDate] - DataTable[SEC_Issue_Date]</f>
        <v>180</v>
      </c>
      <c r="T27" s="66" t="str">
        <f>DataTable[HLD_Portfolio]&amp;DataTable[HLD_Date]</f>
        <v>SCBSFF43383</v>
      </c>
      <c r="W27" t="b">
        <f>DataTable[HLD_SecCode]="CB18O18A"</f>
        <v>0</v>
      </c>
    </row>
    <row r="28" spans="1:23" hidden="1" x14ac:dyDescent="0.2">
      <c r="A28" s="66">
        <v>43383</v>
      </c>
      <c r="B28" t="s">
        <v>17</v>
      </c>
      <c r="C28" t="s">
        <v>18</v>
      </c>
      <c r="D28" t="s">
        <v>38</v>
      </c>
      <c r="F28" t="s">
        <v>70</v>
      </c>
      <c r="G28" t="s">
        <v>71</v>
      </c>
      <c r="H28" t="s">
        <v>47</v>
      </c>
      <c r="I28" s="66">
        <v>44196</v>
      </c>
      <c r="J28" s="6">
        <v>347165.51</v>
      </c>
      <c r="K28">
        <v>770.42</v>
      </c>
      <c r="L28">
        <v>347165.51</v>
      </c>
      <c r="M28">
        <v>0</v>
      </c>
      <c r="N28">
        <v>347165.51</v>
      </c>
      <c r="O28">
        <v>0</v>
      </c>
      <c r="P28" t="s">
        <v>42</v>
      </c>
      <c r="Q28" t="s">
        <v>23</v>
      </c>
      <c r="R28" s="66">
        <v>42066</v>
      </c>
      <c r="S28" s="6">
        <f>DataTable[HLD_MaturityDate] - DataTable[SEC_Issue_Date]</f>
        <v>2130</v>
      </c>
      <c r="T28" s="66" t="str">
        <f>DataTable[HLD_Portfolio]&amp;DataTable[HLD_Date]</f>
        <v>SCBSFF43383</v>
      </c>
      <c r="W28" t="b">
        <f>DataTable[HLD_SecCode]="CB18O18A"</f>
        <v>0</v>
      </c>
    </row>
    <row r="29" spans="1:23" hidden="1" x14ac:dyDescent="0.2">
      <c r="A29" s="66">
        <v>43383</v>
      </c>
      <c r="B29" t="s">
        <v>17</v>
      </c>
      <c r="C29" t="s">
        <v>18</v>
      </c>
      <c r="D29" t="s">
        <v>38</v>
      </c>
      <c r="F29" t="s">
        <v>72</v>
      </c>
      <c r="G29" t="s">
        <v>73</v>
      </c>
      <c r="H29" t="s">
        <v>27</v>
      </c>
      <c r="I29" s="66">
        <v>44196</v>
      </c>
      <c r="J29" s="6">
        <v>287668.24</v>
      </c>
      <c r="K29">
        <v>301.45999999999998</v>
      </c>
      <c r="L29">
        <v>287668.24</v>
      </c>
      <c r="M29">
        <v>0</v>
      </c>
      <c r="N29">
        <v>287668.24</v>
      </c>
      <c r="O29">
        <v>0</v>
      </c>
      <c r="P29" t="s">
        <v>42</v>
      </c>
      <c r="Q29" t="s">
        <v>23</v>
      </c>
      <c r="R29" s="66">
        <v>39535</v>
      </c>
      <c r="S29" s="6">
        <f>DataTable[HLD_MaturityDate] - DataTable[SEC_Issue_Date]</f>
        <v>4661</v>
      </c>
      <c r="T29" s="66" t="str">
        <f>DataTable[HLD_Portfolio]&amp;DataTable[HLD_Date]</f>
        <v>SCBSFF43383</v>
      </c>
      <c r="W29" t="b">
        <f>DataTable[HLD_SecCode]="CB18O18A"</f>
        <v>0</v>
      </c>
    </row>
    <row r="30" spans="1:23" hidden="1" x14ac:dyDescent="0.2">
      <c r="A30" s="66">
        <v>43383</v>
      </c>
      <c r="B30" t="s">
        <v>17</v>
      </c>
      <c r="C30" t="s">
        <v>18</v>
      </c>
      <c r="D30" t="s">
        <v>38</v>
      </c>
      <c r="F30" t="s">
        <v>74</v>
      </c>
      <c r="G30" t="s">
        <v>75</v>
      </c>
      <c r="H30" t="s">
        <v>59</v>
      </c>
      <c r="I30" s="66">
        <v>44196</v>
      </c>
      <c r="J30" s="6">
        <v>497966.31</v>
      </c>
      <c r="K30">
        <v>1182.8399999999999</v>
      </c>
      <c r="L30">
        <v>497966.31</v>
      </c>
      <c r="M30">
        <v>0</v>
      </c>
      <c r="N30">
        <v>497966.31</v>
      </c>
      <c r="O30">
        <v>0</v>
      </c>
      <c r="P30" t="s">
        <v>42</v>
      </c>
      <c r="Q30" t="s">
        <v>23</v>
      </c>
      <c r="R30" s="66">
        <v>38594</v>
      </c>
      <c r="S30" s="6">
        <f>DataTable[HLD_MaturityDate] - DataTable[SEC_Issue_Date]</f>
        <v>5602</v>
      </c>
      <c r="T30" s="66" t="str">
        <f>DataTable[HLD_Portfolio]&amp;DataTable[HLD_Date]</f>
        <v>SCBSFF43383</v>
      </c>
      <c r="W30" t="b">
        <f>DataTable[HLD_SecCode]="CB18O18A"</f>
        <v>0</v>
      </c>
    </row>
    <row r="31" spans="1:23" hidden="1" x14ac:dyDescent="0.2">
      <c r="A31" s="66">
        <v>43383</v>
      </c>
      <c r="B31" t="s">
        <v>17</v>
      </c>
      <c r="C31" t="s">
        <v>18</v>
      </c>
      <c r="D31" t="s">
        <v>38</v>
      </c>
      <c r="F31" t="s">
        <v>76</v>
      </c>
      <c r="G31" t="s">
        <v>26</v>
      </c>
      <c r="H31" t="s">
        <v>27</v>
      </c>
      <c r="I31" s="66">
        <v>43468</v>
      </c>
      <c r="J31" s="6">
        <v>1500000000</v>
      </c>
      <c r="K31">
        <v>1294520.55</v>
      </c>
      <c r="L31">
        <v>1500000000</v>
      </c>
      <c r="M31">
        <v>0.232067</v>
      </c>
      <c r="N31">
        <v>1500000000</v>
      </c>
      <c r="O31">
        <v>1.5</v>
      </c>
      <c r="P31" t="s">
        <v>42</v>
      </c>
      <c r="Q31" t="s">
        <v>23</v>
      </c>
      <c r="R31" s="66">
        <v>43363</v>
      </c>
      <c r="S31" s="6">
        <f>DataTable[HLD_MaturityDate] - DataTable[SEC_Issue_Date]</f>
        <v>105</v>
      </c>
      <c r="T31" s="66" t="str">
        <f>DataTable[HLD_Portfolio]&amp;DataTable[HLD_Date]</f>
        <v>SCBSFF43383</v>
      </c>
      <c r="W31" t="b">
        <f>DataTable[HLD_SecCode]="CB18O18A"</f>
        <v>0</v>
      </c>
    </row>
    <row r="32" spans="1:23" hidden="1" x14ac:dyDescent="0.2">
      <c r="A32" s="66">
        <v>43383</v>
      </c>
      <c r="B32" t="s">
        <v>17</v>
      </c>
      <c r="C32" t="s">
        <v>18</v>
      </c>
      <c r="D32" t="s">
        <v>77</v>
      </c>
      <c r="F32" t="s">
        <v>78</v>
      </c>
      <c r="G32" t="s">
        <v>79</v>
      </c>
      <c r="H32" t="s">
        <v>27</v>
      </c>
      <c r="I32" s="66">
        <v>43452</v>
      </c>
      <c r="J32" s="6">
        <v>996842880</v>
      </c>
      <c r="L32">
        <v>996842880</v>
      </c>
      <c r="M32">
        <v>0.18568699999999999</v>
      </c>
      <c r="N32">
        <v>1000000000</v>
      </c>
      <c r="O32">
        <v>1.7</v>
      </c>
      <c r="P32" t="s">
        <v>42</v>
      </c>
      <c r="Q32" t="s">
        <v>23</v>
      </c>
      <c r="R32" s="66">
        <v>43363</v>
      </c>
      <c r="S32" s="6">
        <f>DataTable[HLD_MaturityDate] - DataTable[SEC_Issue_Date]</f>
        <v>89</v>
      </c>
      <c r="T32" s="66" t="str">
        <f>DataTable[HLD_Portfolio]&amp;DataTable[HLD_Date]</f>
        <v>SCBSFF43383</v>
      </c>
      <c r="W32" t="b">
        <f>DataTable[HLD_SecCode]="CB18O18A"</f>
        <v>0</v>
      </c>
    </row>
    <row r="33" spans="1:23" hidden="1" x14ac:dyDescent="0.2">
      <c r="A33" s="66">
        <v>43383</v>
      </c>
      <c r="B33" t="s">
        <v>17</v>
      </c>
      <c r="C33" t="s">
        <v>18</v>
      </c>
      <c r="D33" t="s">
        <v>77</v>
      </c>
      <c r="F33" t="s">
        <v>81</v>
      </c>
      <c r="G33" t="s">
        <v>82</v>
      </c>
      <c r="H33" t="s">
        <v>47</v>
      </c>
      <c r="I33" s="66">
        <v>43514</v>
      </c>
      <c r="J33" s="6">
        <v>149093670</v>
      </c>
      <c r="L33">
        <v>149107804.5</v>
      </c>
      <c r="M33">
        <v>0.35401199999999999</v>
      </c>
      <c r="N33">
        <v>150000000</v>
      </c>
      <c r="O33">
        <v>1.68</v>
      </c>
      <c r="P33" t="s">
        <v>42</v>
      </c>
      <c r="Q33" t="s">
        <v>23</v>
      </c>
      <c r="R33" s="66">
        <v>43244</v>
      </c>
      <c r="S33" s="6">
        <f>DataTable[HLD_MaturityDate] - DataTable[SEC_Issue_Date]</f>
        <v>270</v>
      </c>
      <c r="T33" s="66" t="str">
        <f>DataTable[HLD_Portfolio]&amp;DataTable[HLD_Date]</f>
        <v>SCBSFF43383</v>
      </c>
      <c r="W33" t="b">
        <f>DataTable[HLD_SecCode]="CB18O18A"</f>
        <v>0</v>
      </c>
    </row>
    <row r="34" spans="1:23" x14ac:dyDescent="0.2">
      <c r="A34" s="66">
        <v>43383</v>
      </c>
      <c r="B34" t="s">
        <v>17</v>
      </c>
      <c r="C34" t="s">
        <v>18</v>
      </c>
      <c r="D34" t="s">
        <v>83</v>
      </c>
      <c r="F34" t="s">
        <v>84</v>
      </c>
      <c r="G34" t="s">
        <v>85</v>
      </c>
      <c r="H34" t="s">
        <v>29</v>
      </c>
      <c r="I34" s="66">
        <v>43418</v>
      </c>
      <c r="J34" s="6">
        <v>699218408</v>
      </c>
      <c r="L34">
        <v>699218408</v>
      </c>
      <c r="M34">
        <v>9.3044000000000002E-2</v>
      </c>
      <c r="N34">
        <v>700000000</v>
      </c>
      <c r="O34">
        <v>1.2</v>
      </c>
      <c r="P34" t="s">
        <v>42</v>
      </c>
      <c r="Q34" t="s">
        <v>23</v>
      </c>
      <c r="R34" s="66">
        <v>43054</v>
      </c>
      <c r="S34" s="6">
        <f>DataTable[HLD_MaturityDate] - DataTable[SEC_Issue_Date]</f>
        <v>364</v>
      </c>
      <c r="T34" s="66" t="str">
        <f>DataTable[HLD_Portfolio]&amp;DataTable[HLD_Date]</f>
        <v>SCBSFF43383</v>
      </c>
      <c r="W34" t="b">
        <f>DataTable[HLD_SecCode]="CB18O18A"</f>
        <v>0</v>
      </c>
    </row>
    <row r="35" spans="1:23" x14ac:dyDescent="0.2">
      <c r="A35" s="66">
        <v>43383</v>
      </c>
      <c r="B35" t="s">
        <v>17</v>
      </c>
      <c r="C35" t="s">
        <v>18</v>
      </c>
      <c r="D35" t="s">
        <v>83</v>
      </c>
      <c r="F35" t="s">
        <v>86</v>
      </c>
      <c r="G35" t="s">
        <v>85</v>
      </c>
      <c r="H35" t="s">
        <v>29</v>
      </c>
      <c r="I35" s="66">
        <v>43558</v>
      </c>
      <c r="J35" s="6">
        <v>9921486.0999999996</v>
      </c>
      <c r="L35">
        <v>9924303.4000000004</v>
      </c>
      <c r="M35">
        <v>0.47296899999999997</v>
      </c>
      <c r="N35">
        <v>10000000</v>
      </c>
      <c r="O35">
        <v>1.6</v>
      </c>
      <c r="P35" t="s">
        <v>42</v>
      </c>
      <c r="Q35" t="s">
        <v>23</v>
      </c>
      <c r="R35" s="66">
        <v>43194</v>
      </c>
      <c r="S35" s="6">
        <f>DataTable[HLD_MaturityDate] - DataTable[SEC_Issue_Date]</f>
        <v>364</v>
      </c>
      <c r="T35" s="66" t="str">
        <f>DataTable[HLD_Portfolio]&amp;DataTable[HLD_Date]</f>
        <v>SCBSFF43383</v>
      </c>
      <c r="W35" t="b">
        <f>DataTable[HLD_SecCode]="CB18O18A"</f>
        <v>0</v>
      </c>
    </row>
    <row r="36" spans="1:23" x14ac:dyDescent="0.2">
      <c r="A36" s="66">
        <v>43383</v>
      </c>
      <c r="B36" t="s">
        <v>17</v>
      </c>
      <c r="C36" t="s">
        <v>18</v>
      </c>
      <c r="D36" t="s">
        <v>87</v>
      </c>
      <c r="F36" t="s">
        <v>88</v>
      </c>
      <c r="G36" t="s">
        <v>89</v>
      </c>
      <c r="I36" s="66">
        <v>43440</v>
      </c>
      <c r="J36" s="6">
        <v>3992037800</v>
      </c>
      <c r="L36">
        <v>3991777360</v>
      </c>
      <c r="M36">
        <v>0.153115</v>
      </c>
      <c r="N36">
        <v>4000000000</v>
      </c>
      <c r="O36">
        <v>1.3426089999999999</v>
      </c>
      <c r="P36" t="s">
        <v>42</v>
      </c>
      <c r="Q36" t="s">
        <v>23</v>
      </c>
      <c r="R36" s="66">
        <v>43349</v>
      </c>
      <c r="S36" s="6">
        <f>DataTable[HLD_MaturityDate] - DataTable[SEC_Issue_Date]</f>
        <v>91</v>
      </c>
      <c r="T36" s="66" t="str">
        <f>DataTable[HLD_Portfolio]&amp;DataTable[HLD_Date]</f>
        <v>SCBSFF43383</v>
      </c>
      <c r="W36" t="b">
        <f>DataTable[HLD_SecCode]="CB18O18A"</f>
        <v>0</v>
      </c>
    </row>
    <row r="37" spans="1:23" x14ac:dyDescent="0.2">
      <c r="A37" s="66">
        <v>43383</v>
      </c>
      <c r="B37" t="s">
        <v>17</v>
      </c>
      <c r="C37" t="s">
        <v>18</v>
      </c>
      <c r="D37" t="s">
        <v>87</v>
      </c>
      <c r="F37" t="s">
        <v>90</v>
      </c>
      <c r="G37" t="s">
        <v>89</v>
      </c>
      <c r="I37" s="66">
        <v>43447</v>
      </c>
      <c r="J37" s="6">
        <v>5998064440.5</v>
      </c>
      <c r="L37">
        <v>5997946163.6999998</v>
      </c>
      <c r="M37">
        <v>0.17219100000000001</v>
      </c>
      <c r="N37">
        <v>6010000000</v>
      </c>
      <c r="O37">
        <v>1.1643289999999999</v>
      </c>
      <c r="P37" t="s">
        <v>42</v>
      </c>
      <c r="Q37" t="s">
        <v>23</v>
      </c>
      <c r="R37" s="66">
        <v>43356</v>
      </c>
      <c r="S37" s="6">
        <f>DataTable[HLD_MaturityDate] - DataTable[SEC_Issue_Date]</f>
        <v>91</v>
      </c>
      <c r="T37" s="66" t="str">
        <f>DataTable[HLD_Portfolio]&amp;DataTable[HLD_Date]</f>
        <v>SCBSFF43383</v>
      </c>
      <c r="W37" t="b">
        <f>DataTable[HLD_SecCode]="CB18O18A"</f>
        <v>0</v>
      </c>
    </row>
    <row r="38" spans="1:23" x14ac:dyDescent="0.2">
      <c r="A38" s="66">
        <v>43383</v>
      </c>
      <c r="B38" t="s">
        <v>17</v>
      </c>
      <c r="C38" t="s">
        <v>18</v>
      </c>
      <c r="D38" t="s">
        <v>87</v>
      </c>
      <c r="F38" t="s">
        <v>91</v>
      </c>
      <c r="G38" t="s">
        <v>89</v>
      </c>
      <c r="I38" s="66">
        <v>43454</v>
      </c>
      <c r="J38" s="6">
        <v>2493997325</v>
      </c>
      <c r="L38">
        <v>2493415575</v>
      </c>
      <c r="M38">
        <v>0.19125700000000001</v>
      </c>
      <c r="N38">
        <v>2500000000</v>
      </c>
      <c r="O38">
        <v>1.376952</v>
      </c>
      <c r="P38" t="s">
        <v>42</v>
      </c>
      <c r="Q38" t="s">
        <v>23</v>
      </c>
      <c r="R38" s="66">
        <v>43363</v>
      </c>
      <c r="S38" s="6">
        <f>DataTable[HLD_MaturityDate] - DataTable[SEC_Issue_Date]</f>
        <v>91</v>
      </c>
      <c r="T38" s="66" t="str">
        <f>DataTable[HLD_Portfolio]&amp;DataTable[HLD_Date]</f>
        <v>SCBSFF43383</v>
      </c>
      <c r="W38" t="b">
        <f>DataTable[HLD_SecCode]="CB18O18A"</f>
        <v>0</v>
      </c>
    </row>
    <row r="39" spans="1:23" x14ac:dyDescent="0.2">
      <c r="A39" s="66">
        <v>43383</v>
      </c>
      <c r="B39" t="s">
        <v>17</v>
      </c>
      <c r="C39" t="s">
        <v>18</v>
      </c>
      <c r="D39" t="s">
        <v>87</v>
      </c>
      <c r="F39" t="s">
        <v>209</v>
      </c>
      <c r="G39" t="s">
        <v>89</v>
      </c>
      <c r="I39" s="66">
        <v>43405</v>
      </c>
      <c r="J39" s="6">
        <v>51962704.560000002</v>
      </c>
      <c r="L39">
        <v>51962704.560000002</v>
      </c>
      <c r="M39">
        <v>5.7493000000000002E-2</v>
      </c>
      <c r="N39">
        <v>52000000</v>
      </c>
      <c r="O39">
        <v>1.2475000000000001</v>
      </c>
      <c r="P39" t="s">
        <v>42</v>
      </c>
      <c r="Q39" t="s">
        <v>23</v>
      </c>
      <c r="R39" s="66">
        <v>43223</v>
      </c>
      <c r="S39" s="6">
        <f>DataTable[HLD_MaturityDate] - DataTable[SEC_Issue_Date]</f>
        <v>182</v>
      </c>
      <c r="T39" s="66" t="str">
        <f>DataTable[HLD_Portfolio]&amp;DataTable[HLD_Date]</f>
        <v>SCBSFF43383</v>
      </c>
      <c r="W39" t="b">
        <f>DataTable[HLD_SecCode]="CB18O18A"</f>
        <v>0</v>
      </c>
    </row>
    <row r="40" spans="1:23" x14ac:dyDescent="0.2">
      <c r="A40" s="66">
        <v>43383</v>
      </c>
      <c r="B40" t="s">
        <v>17</v>
      </c>
      <c r="C40" t="s">
        <v>18</v>
      </c>
      <c r="D40" t="s">
        <v>87</v>
      </c>
      <c r="F40" t="s">
        <v>92</v>
      </c>
      <c r="G40" t="s">
        <v>89</v>
      </c>
      <c r="I40" s="66">
        <v>43405</v>
      </c>
      <c r="J40" s="6">
        <v>3478427993.5300002</v>
      </c>
      <c r="L40">
        <v>3478413651.8099999</v>
      </c>
      <c r="M40">
        <v>5.7493000000000002E-2</v>
      </c>
      <c r="N40">
        <v>3481000000</v>
      </c>
      <c r="O40">
        <v>1.292341</v>
      </c>
      <c r="P40" t="s">
        <v>42</v>
      </c>
      <c r="Q40" t="s">
        <v>23</v>
      </c>
      <c r="R40" s="66">
        <v>43314</v>
      </c>
      <c r="S40" s="6">
        <f>DataTable[HLD_MaturityDate] - DataTable[SEC_Issue_Date]</f>
        <v>91</v>
      </c>
      <c r="T40" s="66" t="str">
        <f>DataTable[HLD_Portfolio]&amp;DataTable[HLD_Date]</f>
        <v>SCBSFF43383</v>
      </c>
      <c r="W40" t="b">
        <f>DataTable[HLD_SecCode]="CB18O18A"</f>
        <v>0</v>
      </c>
    </row>
    <row r="41" spans="1:23" x14ac:dyDescent="0.2">
      <c r="A41" s="66">
        <v>43383</v>
      </c>
      <c r="B41" t="s">
        <v>17</v>
      </c>
      <c r="C41" t="s">
        <v>18</v>
      </c>
      <c r="D41" t="s">
        <v>87</v>
      </c>
      <c r="F41" t="s">
        <v>93</v>
      </c>
      <c r="G41" t="s">
        <v>89</v>
      </c>
      <c r="I41" s="66">
        <v>43412</v>
      </c>
      <c r="J41" s="6">
        <v>850254158.07000005</v>
      </c>
      <c r="L41">
        <v>850254158.07000005</v>
      </c>
      <c r="M41">
        <v>7.6638999999999999E-2</v>
      </c>
      <c r="N41">
        <v>851000000</v>
      </c>
      <c r="O41">
        <v>1.1434930000000001</v>
      </c>
      <c r="P41" t="s">
        <v>42</v>
      </c>
      <c r="Q41" t="s">
        <v>23</v>
      </c>
      <c r="R41" s="66">
        <v>43230</v>
      </c>
      <c r="S41" s="6">
        <f>DataTable[HLD_MaturityDate] - DataTable[SEC_Issue_Date]</f>
        <v>182</v>
      </c>
      <c r="T41" s="66" t="str">
        <f>DataTable[HLD_Portfolio]&amp;DataTable[HLD_Date]</f>
        <v>SCBSFF43383</v>
      </c>
      <c r="W41" t="b">
        <f>DataTable[HLD_SecCode]="CB18O18A"</f>
        <v>0</v>
      </c>
    </row>
    <row r="42" spans="1:23" x14ac:dyDescent="0.2">
      <c r="A42" s="66">
        <v>43383</v>
      </c>
      <c r="B42" t="s">
        <v>17</v>
      </c>
      <c r="C42" t="s">
        <v>18</v>
      </c>
      <c r="D42" t="s">
        <v>87</v>
      </c>
      <c r="F42" t="s">
        <v>94</v>
      </c>
      <c r="G42" t="s">
        <v>89</v>
      </c>
      <c r="I42" s="66">
        <v>43412</v>
      </c>
      <c r="J42" s="6">
        <v>4258840036.71</v>
      </c>
      <c r="L42">
        <v>4258813819.2600002</v>
      </c>
      <c r="M42">
        <v>7.6638999999999999E-2</v>
      </c>
      <c r="N42">
        <v>4263000000</v>
      </c>
      <c r="O42">
        <v>1.281339</v>
      </c>
      <c r="P42" t="s">
        <v>42</v>
      </c>
      <c r="Q42" t="s">
        <v>23</v>
      </c>
      <c r="R42" s="66">
        <v>43321</v>
      </c>
      <c r="S42" s="6">
        <f>DataTable[HLD_MaturityDate] - DataTable[SEC_Issue_Date]</f>
        <v>91</v>
      </c>
      <c r="T42" s="66" t="str">
        <f>DataTable[HLD_Portfolio]&amp;DataTable[HLD_Date]</f>
        <v>SCBSFF43383</v>
      </c>
      <c r="W42" t="b">
        <f>DataTable[HLD_SecCode]="CB18O18A"</f>
        <v>0</v>
      </c>
    </row>
    <row r="43" spans="1:23" x14ac:dyDescent="0.2">
      <c r="A43" s="66">
        <v>43383</v>
      </c>
      <c r="B43" t="s">
        <v>17</v>
      </c>
      <c r="C43" t="s">
        <v>18</v>
      </c>
      <c r="D43" t="s">
        <v>87</v>
      </c>
      <c r="F43" t="s">
        <v>95</v>
      </c>
      <c r="G43" t="s">
        <v>89</v>
      </c>
      <c r="I43" s="66">
        <v>43419</v>
      </c>
      <c r="J43" s="6">
        <v>166809518.13</v>
      </c>
      <c r="L43">
        <v>166809518.13</v>
      </c>
      <c r="M43">
        <v>9.5774999999999999E-2</v>
      </c>
      <c r="N43">
        <v>167000000</v>
      </c>
      <c r="O43">
        <v>1.1908529999999999</v>
      </c>
      <c r="P43" t="s">
        <v>42</v>
      </c>
      <c r="Q43" t="s">
        <v>23</v>
      </c>
      <c r="R43" s="66">
        <v>43237</v>
      </c>
      <c r="S43" s="6">
        <f>DataTable[HLD_MaturityDate] - DataTable[SEC_Issue_Date]</f>
        <v>182</v>
      </c>
      <c r="T43" s="66" t="str">
        <f>DataTable[HLD_Portfolio]&amp;DataTable[HLD_Date]</f>
        <v>SCBSFF43383</v>
      </c>
      <c r="W43" t="b">
        <f>DataTable[HLD_SecCode]="CB18O18A"</f>
        <v>0</v>
      </c>
    </row>
    <row r="44" spans="1:23" x14ac:dyDescent="0.2">
      <c r="A44" s="66">
        <v>43383</v>
      </c>
      <c r="B44" t="s">
        <v>17</v>
      </c>
      <c r="C44" t="s">
        <v>18</v>
      </c>
      <c r="D44" t="s">
        <v>87</v>
      </c>
      <c r="F44" t="s">
        <v>96</v>
      </c>
      <c r="G44" t="s">
        <v>89</v>
      </c>
      <c r="I44" s="66">
        <v>43419</v>
      </c>
      <c r="J44" s="6">
        <v>2506964958.1999998</v>
      </c>
      <c r="L44">
        <v>2506962297.5999999</v>
      </c>
      <c r="M44">
        <v>9.5776E-2</v>
      </c>
      <c r="N44">
        <v>2510000000</v>
      </c>
      <c r="O44">
        <v>1.2636369999999999</v>
      </c>
      <c r="P44" t="s">
        <v>42</v>
      </c>
      <c r="Q44" t="s">
        <v>23</v>
      </c>
      <c r="R44" s="66">
        <v>43328</v>
      </c>
      <c r="S44" s="6">
        <f>DataTable[HLD_MaturityDate] - DataTable[SEC_Issue_Date]</f>
        <v>91</v>
      </c>
      <c r="T44" s="66" t="str">
        <f>DataTable[HLD_Portfolio]&amp;DataTable[HLD_Date]</f>
        <v>SCBSFF43383</v>
      </c>
      <c r="W44" t="b">
        <f>DataTable[HLD_SecCode]="CB18O18A"</f>
        <v>0</v>
      </c>
    </row>
    <row r="45" spans="1:23" x14ac:dyDescent="0.2">
      <c r="A45" s="66">
        <v>43383</v>
      </c>
      <c r="B45" t="s">
        <v>17</v>
      </c>
      <c r="C45" t="s">
        <v>18</v>
      </c>
      <c r="D45" t="s">
        <v>87</v>
      </c>
      <c r="F45" t="s">
        <v>97</v>
      </c>
      <c r="G45" t="s">
        <v>89</v>
      </c>
      <c r="I45" s="66">
        <v>43426</v>
      </c>
      <c r="J45" s="6">
        <v>1048524886.5</v>
      </c>
      <c r="L45">
        <v>1048524886.5</v>
      </c>
      <c r="M45">
        <v>0.114899</v>
      </c>
      <c r="N45">
        <v>1050000000</v>
      </c>
      <c r="O45">
        <v>1.2226189999999999</v>
      </c>
      <c r="P45" t="s">
        <v>42</v>
      </c>
      <c r="Q45" t="s">
        <v>23</v>
      </c>
      <c r="R45" s="66">
        <v>43244</v>
      </c>
      <c r="S45" s="6">
        <f>DataTable[HLD_MaturityDate] - DataTable[SEC_Issue_Date]</f>
        <v>182</v>
      </c>
      <c r="T45" s="66" t="str">
        <f>DataTable[HLD_Portfolio]&amp;DataTable[HLD_Date]</f>
        <v>SCBSFF43383</v>
      </c>
      <c r="W45" t="b">
        <f>DataTable[HLD_SecCode]="CB18O18A"</f>
        <v>0</v>
      </c>
    </row>
    <row r="46" spans="1:23" x14ac:dyDescent="0.2">
      <c r="A46" s="66">
        <v>43383</v>
      </c>
      <c r="B46" t="s">
        <v>17</v>
      </c>
      <c r="C46" t="s">
        <v>18</v>
      </c>
      <c r="D46" t="s">
        <v>87</v>
      </c>
      <c r="F46" t="s">
        <v>98</v>
      </c>
      <c r="G46" t="s">
        <v>89</v>
      </c>
      <c r="I46" s="66">
        <v>43426</v>
      </c>
      <c r="J46" s="6">
        <v>3994231880</v>
      </c>
      <c r="L46">
        <v>3994106240</v>
      </c>
      <c r="M46">
        <v>0.114899</v>
      </c>
      <c r="N46">
        <v>4000000000</v>
      </c>
      <c r="O46">
        <v>1.282381</v>
      </c>
      <c r="P46" t="s">
        <v>42</v>
      </c>
      <c r="Q46" t="s">
        <v>23</v>
      </c>
      <c r="R46" s="66">
        <v>43335</v>
      </c>
      <c r="S46" s="6">
        <f>DataTable[HLD_MaturityDate] - DataTable[SEC_Issue_Date]</f>
        <v>91</v>
      </c>
      <c r="T46" s="66" t="str">
        <f>DataTable[HLD_Portfolio]&amp;DataTable[HLD_Date]</f>
        <v>SCBSFF43383</v>
      </c>
      <c r="W46" t="b">
        <f>DataTable[HLD_SecCode]="CB18O18A"</f>
        <v>0</v>
      </c>
    </row>
    <row r="47" spans="1:23" x14ac:dyDescent="0.2">
      <c r="A47" s="66">
        <v>43383</v>
      </c>
      <c r="B47" t="s">
        <v>17</v>
      </c>
      <c r="C47" t="s">
        <v>18</v>
      </c>
      <c r="D47" t="s">
        <v>87</v>
      </c>
      <c r="F47" t="s">
        <v>99</v>
      </c>
      <c r="G47" t="s">
        <v>89</v>
      </c>
      <c r="I47" s="66">
        <v>43433</v>
      </c>
      <c r="J47" s="6">
        <v>1517670356.8</v>
      </c>
      <c r="L47">
        <v>1517670356.8</v>
      </c>
      <c r="M47">
        <v>0.13400799999999999</v>
      </c>
      <c r="N47">
        <v>1520000000</v>
      </c>
      <c r="O47">
        <v>1.1434280000000001</v>
      </c>
      <c r="P47" t="s">
        <v>42</v>
      </c>
      <c r="Q47" t="s">
        <v>23</v>
      </c>
      <c r="R47" s="66">
        <v>43251</v>
      </c>
      <c r="S47" s="6">
        <f>DataTable[HLD_MaturityDate] - DataTable[SEC_Issue_Date]</f>
        <v>182</v>
      </c>
      <c r="T47" s="66" t="str">
        <f>DataTable[HLD_Portfolio]&amp;DataTable[HLD_Date]</f>
        <v>SCBSFF43383</v>
      </c>
      <c r="W47" t="b">
        <f>DataTable[HLD_SecCode]="CB18O18A"</f>
        <v>0</v>
      </c>
    </row>
    <row r="48" spans="1:23" x14ac:dyDescent="0.2">
      <c r="A48" s="66">
        <v>43383</v>
      </c>
      <c r="B48" t="s">
        <v>17</v>
      </c>
      <c r="C48" t="s">
        <v>18</v>
      </c>
      <c r="D48" t="s">
        <v>87</v>
      </c>
      <c r="F48" t="s">
        <v>100</v>
      </c>
      <c r="G48" t="s">
        <v>89</v>
      </c>
      <c r="I48" s="66">
        <v>43433</v>
      </c>
      <c r="J48" s="6">
        <v>3125007681.3000002</v>
      </c>
      <c r="L48">
        <v>3124794497</v>
      </c>
      <c r="M48">
        <v>0.13401399999999999</v>
      </c>
      <c r="N48">
        <v>3130000000</v>
      </c>
      <c r="O48">
        <v>1.240904</v>
      </c>
      <c r="P48" t="s">
        <v>42</v>
      </c>
      <c r="Q48" t="s">
        <v>23</v>
      </c>
      <c r="R48" s="66">
        <v>43342</v>
      </c>
      <c r="S48" s="6">
        <f>DataTable[HLD_MaturityDate] - DataTable[SEC_Issue_Date]</f>
        <v>91</v>
      </c>
      <c r="T48" s="66" t="str">
        <f>DataTable[HLD_Portfolio]&amp;DataTable[HLD_Date]</f>
        <v>SCBSFF43383</v>
      </c>
      <c r="W48" t="b">
        <f>DataTable[HLD_SecCode]="CB18O18A"</f>
        <v>0</v>
      </c>
    </row>
    <row r="49" spans="1:23" x14ac:dyDescent="0.2">
      <c r="A49" s="66">
        <v>43383</v>
      </c>
      <c r="B49" t="s">
        <v>17</v>
      </c>
      <c r="C49" t="s">
        <v>18</v>
      </c>
      <c r="D49" t="s">
        <v>87</v>
      </c>
      <c r="F49" t="s">
        <v>101</v>
      </c>
      <c r="G49" t="s">
        <v>89</v>
      </c>
      <c r="I49" s="66">
        <v>43384</v>
      </c>
      <c r="J49" s="6">
        <v>759000000</v>
      </c>
      <c r="L49">
        <v>759000000</v>
      </c>
      <c r="M49">
        <v>2.7399999999999998E-3</v>
      </c>
      <c r="N49">
        <v>759000000</v>
      </c>
      <c r="O49">
        <v>1.1682079999999999</v>
      </c>
      <c r="P49" t="s">
        <v>42</v>
      </c>
      <c r="Q49" t="s">
        <v>23</v>
      </c>
      <c r="R49" s="66">
        <v>43202</v>
      </c>
      <c r="S49" s="6">
        <f>DataTable[HLD_MaturityDate] - DataTable[SEC_Issue_Date]</f>
        <v>182</v>
      </c>
      <c r="T49" s="66" t="str">
        <f>DataTable[HLD_Portfolio]&amp;DataTable[HLD_Date]</f>
        <v>SCBSFF43383</v>
      </c>
      <c r="W49" t="b">
        <f>DataTable[HLD_SecCode]="CB18O18A"</f>
        <v>0</v>
      </c>
    </row>
    <row r="50" spans="1:23" x14ac:dyDescent="0.2">
      <c r="A50" s="66">
        <v>43383</v>
      </c>
      <c r="B50" t="s">
        <v>17</v>
      </c>
      <c r="C50" t="s">
        <v>18</v>
      </c>
      <c r="D50" t="s">
        <v>87</v>
      </c>
      <c r="F50" t="s">
        <v>102</v>
      </c>
      <c r="G50" t="s">
        <v>89</v>
      </c>
      <c r="I50" s="66">
        <v>43384</v>
      </c>
      <c r="J50" s="6">
        <v>3861000000</v>
      </c>
      <c r="L50">
        <v>3861000000</v>
      </c>
      <c r="M50">
        <v>2.7399999999999998E-3</v>
      </c>
      <c r="N50">
        <v>3861000000</v>
      </c>
      <c r="O50">
        <v>1.304637</v>
      </c>
      <c r="P50" t="s">
        <v>42</v>
      </c>
      <c r="Q50" t="s">
        <v>23</v>
      </c>
      <c r="R50" s="66">
        <v>43293</v>
      </c>
      <c r="S50" s="6">
        <f>DataTable[HLD_MaturityDate] - DataTable[SEC_Issue_Date]</f>
        <v>91</v>
      </c>
      <c r="T50" s="66" t="str">
        <f>DataTable[HLD_Portfolio]&amp;DataTable[HLD_Date]</f>
        <v>SCBSFF43383</v>
      </c>
      <c r="W50" t="b">
        <f>DataTable[HLD_SecCode]="CB18O18A"</f>
        <v>0</v>
      </c>
    </row>
    <row r="51" spans="1:23" x14ac:dyDescent="0.2">
      <c r="A51" s="66">
        <v>43383</v>
      </c>
      <c r="B51" t="s">
        <v>17</v>
      </c>
      <c r="C51" t="s">
        <v>18</v>
      </c>
      <c r="D51" t="s">
        <v>87</v>
      </c>
      <c r="F51" t="s">
        <v>103</v>
      </c>
      <c r="G51" t="s">
        <v>89</v>
      </c>
      <c r="I51" s="66">
        <v>43389</v>
      </c>
      <c r="J51" s="6">
        <v>143977515.84</v>
      </c>
      <c r="L51">
        <v>143977515.84</v>
      </c>
      <c r="M51">
        <v>1.3696E-2</v>
      </c>
      <c r="N51">
        <v>144000000</v>
      </c>
      <c r="O51">
        <v>1.1399999999999999</v>
      </c>
      <c r="P51" t="s">
        <v>42</v>
      </c>
      <c r="Q51" t="s">
        <v>23</v>
      </c>
      <c r="R51" s="66">
        <v>43375</v>
      </c>
      <c r="S51" s="6">
        <f>DataTable[HLD_MaturityDate] - DataTable[SEC_Issue_Date]</f>
        <v>14</v>
      </c>
      <c r="T51" s="66" t="str">
        <f>DataTable[HLD_Portfolio]&amp;DataTable[HLD_Date]</f>
        <v>SCBSFF43383</v>
      </c>
      <c r="W51" t="b">
        <f>DataTable[HLD_SecCode]="CB18O18A"</f>
        <v>0</v>
      </c>
    </row>
    <row r="52" spans="1:23" x14ac:dyDescent="0.2">
      <c r="A52" s="66">
        <v>43383</v>
      </c>
      <c r="B52" t="s">
        <v>17</v>
      </c>
      <c r="C52" t="s">
        <v>18</v>
      </c>
      <c r="D52" t="s">
        <v>87</v>
      </c>
      <c r="F52" t="s">
        <v>104</v>
      </c>
      <c r="G52" t="s">
        <v>89</v>
      </c>
      <c r="I52" s="66">
        <v>43391</v>
      </c>
      <c r="J52" s="6">
        <v>734840064</v>
      </c>
      <c r="L52">
        <v>734840064</v>
      </c>
      <c r="M52">
        <v>1.9174E-2</v>
      </c>
      <c r="N52">
        <v>735000000</v>
      </c>
      <c r="O52">
        <v>1.134857</v>
      </c>
      <c r="P52" t="s">
        <v>42</v>
      </c>
      <c r="Q52" t="s">
        <v>23</v>
      </c>
      <c r="R52" s="66">
        <v>43209</v>
      </c>
      <c r="S52" s="6">
        <f>DataTable[HLD_MaturityDate] - DataTable[SEC_Issue_Date]</f>
        <v>182</v>
      </c>
      <c r="T52" s="66" t="str">
        <f>DataTable[HLD_Portfolio]&amp;DataTable[HLD_Date]</f>
        <v>SCBSFF43383</v>
      </c>
      <c r="W52" t="b">
        <f>DataTable[HLD_SecCode]="CB18O18A"</f>
        <v>1</v>
      </c>
    </row>
    <row r="53" spans="1:23" x14ac:dyDescent="0.2">
      <c r="A53" s="66">
        <v>43383</v>
      </c>
      <c r="B53" t="s">
        <v>17</v>
      </c>
      <c r="C53" t="s">
        <v>18</v>
      </c>
      <c r="D53" t="s">
        <v>87</v>
      </c>
      <c r="F53" t="s">
        <v>105</v>
      </c>
      <c r="G53" t="s">
        <v>89</v>
      </c>
      <c r="I53" s="66">
        <v>43391</v>
      </c>
      <c r="J53" s="6">
        <v>2758314085.0100002</v>
      </c>
      <c r="L53">
        <v>2758301366.02</v>
      </c>
      <c r="M53">
        <v>1.9174E-2</v>
      </c>
      <c r="N53">
        <v>2759000000</v>
      </c>
      <c r="O53">
        <v>1.3207040000000001</v>
      </c>
      <c r="P53" t="s">
        <v>42</v>
      </c>
      <c r="Q53" t="s">
        <v>23</v>
      </c>
      <c r="R53" s="66">
        <v>43300</v>
      </c>
      <c r="S53" s="6">
        <f>DataTable[HLD_MaturityDate] - DataTable[SEC_Issue_Date]</f>
        <v>91</v>
      </c>
      <c r="T53" s="66" t="str">
        <f>DataTable[HLD_Portfolio]&amp;DataTable[HLD_Date]</f>
        <v>SCBSFF43383</v>
      </c>
      <c r="W53" t="b">
        <f>DataTable[HLD_SecCode]="CB18O18A"</f>
        <v>0</v>
      </c>
    </row>
    <row r="54" spans="1:23" x14ac:dyDescent="0.2">
      <c r="A54" s="66">
        <v>43383</v>
      </c>
      <c r="B54" t="s">
        <v>17</v>
      </c>
      <c r="C54" t="s">
        <v>18</v>
      </c>
      <c r="D54" t="s">
        <v>87</v>
      </c>
      <c r="F54" t="s">
        <v>355</v>
      </c>
      <c r="G54" t="s">
        <v>89</v>
      </c>
      <c r="I54" s="66">
        <v>43397</v>
      </c>
      <c r="J54" s="6">
        <v>2178106566.4200001</v>
      </c>
      <c r="L54">
        <v>2178106566.4200001</v>
      </c>
      <c r="M54">
        <v>3.5601000000000001E-2</v>
      </c>
      <c r="N54">
        <v>2179000000</v>
      </c>
      <c r="O54">
        <v>1.15168</v>
      </c>
      <c r="P54" t="s">
        <v>42</v>
      </c>
      <c r="Q54" t="s">
        <v>23</v>
      </c>
      <c r="R54" s="66">
        <v>43382</v>
      </c>
      <c r="S54" s="6">
        <f>DataTable[HLD_MaturityDate] - DataTable[SEC_Issue_Date]</f>
        <v>15</v>
      </c>
      <c r="T54" s="66" t="str">
        <f>DataTable[HLD_Portfolio]&amp;DataTable[HLD_Date]</f>
        <v>SCBSFF43383</v>
      </c>
      <c r="W54" t="b">
        <f>DataTable[HLD_SecCode]="CB18O18A"</f>
        <v>0</v>
      </c>
    </row>
    <row r="55" spans="1:23" x14ac:dyDescent="0.2">
      <c r="A55" s="66">
        <v>43383</v>
      </c>
      <c r="B55" t="s">
        <v>17</v>
      </c>
      <c r="C55" t="s">
        <v>18</v>
      </c>
      <c r="D55" t="s">
        <v>87</v>
      </c>
      <c r="F55" t="s">
        <v>106</v>
      </c>
      <c r="G55" t="s">
        <v>89</v>
      </c>
      <c r="I55" s="66">
        <v>43398</v>
      </c>
      <c r="J55" s="6">
        <v>757659551.88</v>
      </c>
      <c r="L55">
        <v>757659551.88</v>
      </c>
      <c r="M55">
        <v>3.8338999999999998E-2</v>
      </c>
      <c r="N55">
        <v>758000000</v>
      </c>
      <c r="O55">
        <v>1.1714910000000001</v>
      </c>
      <c r="P55" t="s">
        <v>42</v>
      </c>
      <c r="Q55" t="s">
        <v>23</v>
      </c>
      <c r="R55" s="66">
        <v>43216</v>
      </c>
      <c r="S55" s="6">
        <f>DataTable[HLD_MaturityDate] - DataTable[SEC_Issue_Date]</f>
        <v>182</v>
      </c>
      <c r="T55" s="66" t="str">
        <f>DataTable[HLD_Portfolio]&amp;DataTable[HLD_Date]</f>
        <v>SCBSFF43383</v>
      </c>
      <c r="W55" t="b">
        <f>DataTable[HLD_SecCode]="CB18O18A"</f>
        <v>0</v>
      </c>
    </row>
    <row r="56" spans="1:23" x14ac:dyDescent="0.2">
      <c r="A56" s="66">
        <v>43383</v>
      </c>
      <c r="B56" t="s">
        <v>17</v>
      </c>
      <c r="C56" t="s">
        <v>18</v>
      </c>
      <c r="D56" t="s">
        <v>87</v>
      </c>
      <c r="F56" t="s">
        <v>107</v>
      </c>
      <c r="G56" t="s">
        <v>89</v>
      </c>
      <c r="I56" s="66">
        <v>43398</v>
      </c>
      <c r="J56" s="6">
        <v>3689249653.98</v>
      </c>
      <c r="L56">
        <v>3689193034.04</v>
      </c>
      <c r="M56">
        <v>3.8338999999999998E-2</v>
      </c>
      <c r="N56">
        <v>3691000000</v>
      </c>
      <c r="O56">
        <v>1.276985</v>
      </c>
      <c r="P56" t="s">
        <v>42</v>
      </c>
      <c r="Q56" t="s">
        <v>23</v>
      </c>
      <c r="R56" s="66">
        <v>43307</v>
      </c>
      <c r="S56" s="6">
        <f>DataTable[HLD_MaturityDate] - DataTable[SEC_Issue_Date]</f>
        <v>91</v>
      </c>
      <c r="T56" s="66" t="str">
        <f>DataTable[HLD_Portfolio]&amp;DataTable[HLD_Date]</f>
        <v>SCBSFF43383</v>
      </c>
      <c r="W56" t="b">
        <f>DataTable[HLD_SecCode]="CB18O18A"</f>
        <v>0</v>
      </c>
    </row>
    <row r="57" spans="1:23" x14ac:dyDescent="0.2">
      <c r="A57" s="66">
        <v>43383</v>
      </c>
      <c r="B57" t="s">
        <v>17</v>
      </c>
      <c r="C57" t="s">
        <v>18</v>
      </c>
      <c r="D57" t="s">
        <v>87</v>
      </c>
      <c r="F57" t="s">
        <v>108</v>
      </c>
      <c r="G57" t="s">
        <v>89</v>
      </c>
      <c r="I57" s="66">
        <v>43468</v>
      </c>
      <c r="J57" s="6">
        <v>2989885170</v>
      </c>
      <c r="L57">
        <v>2989745010</v>
      </c>
      <c r="M57">
        <v>0.229353</v>
      </c>
      <c r="N57">
        <v>3000000000</v>
      </c>
      <c r="O57">
        <v>1.490442</v>
      </c>
      <c r="P57" t="s">
        <v>42</v>
      </c>
      <c r="Q57" t="s">
        <v>23</v>
      </c>
      <c r="R57" s="66">
        <v>43377</v>
      </c>
      <c r="S57" s="6">
        <f>DataTable[HLD_MaturityDate] - DataTable[SEC_Issue_Date]</f>
        <v>91</v>
      </c>
      <c r="T57" s="66" t="str">
        <f>DataTable[HLD_Portfolio]&amp;DataTable[HLD_Date]</f>
        <v>SCBSFF43383</v>
      </c>
      <c r="W57" t="b">
        <f>DataTable[HLD_SecCode]="CB18O18A"</f>
        <v>0</v>
      </c>
    </row>
    <row r="58" spans="1:23" x14ac:dyDescent="0.2">
      <c r="A58" s="66">
        <v>43383</v>
      </c>
      <c r="B58" t="s">
        <v>17</v>
      </c>
      <c r="C58" t="s">
        <v>18</v>
      </c>
      <c r="D58" t="s">
        <v>87</v>
      </c>
      <c r="F58" t="s">
        <v>870</v>
      </c>
      <c r="G58" t="s">
        <v>89</v>
      </c>
      <c r="I58" s="66">
        <v>43475</v>
      </c>
      <c r="J58" s="6">
        <v>4034407530.6199999</v>
      </c>
      <c r="L58">
        <v>4034407530.6199999</v>
      </c>
      <c r="M58">
        <v>0.25205499999999997</v>
      </c>
      <c r="N58">
        <v>4050000000</v>
      </c>
      <c r="O58">
        <v>1.554413</v>
      </c>
      <c r="P58" t="s">
        <v>42</v>
      </c>
      <c r="Q58" t="s">
        <v>23</v>
      </c>
      <c r="R58" s="66">
        <v>43384</v>
      </c>
      <c r="S58" s="6">
        <f>DataTable[HLD_MaturityDate] - DataTable[SEC_Issue_Date]</f>
        <v>91</v>
      </c>
      <c r="T58" s="66" t="str">
        <f>DataTable[HLD_Portfolio]&amp;DataTable[HLD_Date]</f>
        <v>SCBSFF43383</v>
      </c>
      <c r="W58" t="b">
        <f>DataTable[HLD_SecCode]="CB18O18A"</f>
        <v>0</v>
      </c>
    </row>
    <row r="59" spans="1:23" hidden="1" x14ac:dyDescent="0.2">
      <c r="A59" s="66">
        <v>43383</v>
      </c>
      <c r="B59" t="s">
        <v>17</v>
      </c>
      <c r="C59" t="s">
        <v>18</v>
      </c>
      <c r="D59" t="s">
        <v>109</v>
      </c>
      <c r="F59" t="s">
        <v>110</v>
      </c>
      <c r="G59" t="s">
        <v>111</v>
      </c>
      <c r="H59" t="s">
        <v>51</v>
      </c>
      <c r="I59" s="66">
        <v>43404</v>
      </c>
      <c r="J59" s="6">
        <v>100154444</v>
      </c>
      <c r="K59">
        <v>2111781</v>
      </c>
      <c r="L59">
        <v>100154444</v>
      </c>
      <c r="M59">
        <v>5.4371999999999997E-2</v>
      </c>
      <c r="N59">
        <v>100000000</v>
      </c>
      <c r="O59">
        <v>1.5</v>
      </c>
      <c r="P59" t="s">
        <v>42</v>
      </c>
      <c r="Q59" t="s">
        <v>23</v>
      </c>
      <c r="R59" s="66">
        <v>41578</v>
      </c>
      <c r="S59" s="6">
        <f>DataTable[HLD_MaturityDate] - DataTable[SEC_Issue_Date]</f>
        <v>1826</v>
      </c>
      <c r="T59" s="66" t="str">
        <f>DataTable[HLD_Portfolio]&amp;DataTable[HLD_Date]</f>
        <v>SCBSFF43383</v>
      </c>
      <c r="W59" t="b">
        <f>DataTable[HLD_SecCode]="CB18O18A"</f>
        <v>0</v>
      </c>
    </row>
    <row r="60" spans="1:23" hidden="1" x14ac:dyDescent="0.2">
      <c r="A60" s="66">
        <v>43383</v>
      </c>
      <c r="B60" t="s">
        <v>17</v>
      </c>
      <c r="C60" t="s">
        <v>113</v>
      </c>
      <c r="D60" t="s">
        <v>114</v>
      </c>
      <c r="F60" t="s">
        <v>115</v>
      </c>
      <c r="G60" t="s">
        <v>26</v>
      </c>
      <c r="H60" t="s">
        <v>27</v>
      </c>
      <c r="I60" s="66">
        <v>43559</v>
      </c>
      <c r="J60" s="6">
        <v>70437789.579999998</v>
      </c>
      <c r="L60">
        <v>0</v>
      </c>
      <c r="M60">
        <v>0</v>
      </c>
      <c r="N60">
        <v>0</v>
      </c>
      <c r="O60">
        <v>0</v>
      </c>
      <c r="P60" t="s">
        <v>116</v>
      </c>
      <c r="Q60" t="s">
        <v>23</v>
      </c>
      <c r="R60" s="66">
        <v>2</v>
      </c>
      <c r="S60" s="6">
        <f>DataTable[HLD_MaturityDate] - DataTable[SEC_Issue_Date]</f>
        <v>43557</v>
      </c>
      <c r="T60" s="66" t="str">
        <f>DataTable[HLD_Portfolio]&amp;DataTable[HLD_Date]</f>
        <v>SCBSFF43383</v>
      </c>
      <c r="W60" t="b">
        <f>DataTable[HLD_SecCode]="CB18O18A"</f>
        <v>0</v>
      </c>
    </row>
    <row r="61" spans="1:23" hidden="1" x14ac:dyDescent="0.2">
      <c r="A61" s="66">
        <v>43383</v>
      </c>
      <c r="B61" t="s">
        <v>17</v>
      </c>
      <c r="C61" t="s">
        <v>113</v>
      </c>
      <c r="D61" t="s">
        <v>114</v>
      </c>
      <c r="F61" t="s">
        <v>117</v>
      </c>
      <c r="G61" t="s">
        <v>26</v>
      </c>
      <c r="H61" t="s">
        <v>27</v>
      </c>
      <c r="I61" s="66">
        <v>43566</v>
      </c>
      <c r="J61" s="6">
        <v>56865875.57</v>
      </c>
      <c r="L61">
        <v>0</v>
      </c>
      <c r="M61">
        <v>0</v>
      </c>
      <c r="N61">
        <v>0</v>
      </c>
      <c r="O61">
        <v>0</v>
      </c>
      <c r="P61" t="s">
        <v>116</v>
      </c>
      <c r="Q61" t="s">
        <v>23</v>
      </c>
      <c r="R61" s="66">
        <v>2</v>
      </c>
      <c r="S61" s="6">
        <f>DataTable[HLD_MaturityDate] - DataTable[SEC_Issue_Date]</f>
        <v>43564</v>
      </c>
      <c r="T61" s="66" t="str">
        <f>DataTable[HLD_Portfolio]&amp;DataTable[HLD_Date]</f>
        <v>SCBSFF43383</v>
      </c>
      <c r="W61" t="b">
        <f>DataTable[HLD_SecCode]="CB18O18A"</f>
        <v>0</v>
      </c>
    </row>
    <row r="62" spans="1:23" hidden="1" x14ac:dyDescent="0.2">
      <c r="A62" s="66">
        <v>43383</v>
      </c>
      <c r="B62" t="s">
        <v>17</v>
      </c>
      <c r="C62" t="s">
        <v>113</v>
      </c>
      <c r="D62" t="s">
        <v>114</v>
      </c>
      <c r="F62" t="s">
        <v>118</v>
      </c>
      <c r="G62" t="s">
        <v>26</v>
      </c>
      <c r="H62" t="s">
        <v>27</v>
      </c>
      <c r="I62" s="66">
        <v>43409</v>
      </c>
      <c r="J62" s="6">
        <v>10526960.07</v>
      </c>
      <c r="L62">
        <v>0</v>
      </c>
      <c r="M62">
        <v>0</v>
      </c>
      <c r="N62">
        <v>0</v>
      </c>
      <c r="O62">
        <v>0</v>
      </c>
      <c r="P62" t="s">
        <v>116</v>
      </c>
      <c r="Q62" t="s">
        <v>23</v>
      </c>
      <c r="R62" s="66">
        <v>2</v>
      </c>
      <c r="S62" s="6">
        <f>DataTable[HLD_MaturityDate] - DataTable[SEC_Issue_Date]</f>
        <v>43407</v>
      </c>
      <c r="T62" s="66" t="str">
        <f>DataTable[HLD_Portfolio]&amp;DataTable[HLD_Date]</f>
        <v>SCBSFF43383</v>
      </c>
      <c r="W62" t="b">
        <f>DataTable[HLD_SecCode]="CB18O18A"</f>
        <v>0</v>
      </c>
    </row>
    <row r="63" spans="1:23" hidden="1" x14ac:dyDescent="0.2">
      <c r="A63" s="66">
        <v>43383</v>
      </c>
      <c r="B63" t="s">
        <v>17</v>
      </c>
      <c r="C63" t="s">
        <v>113</v>
      </c>
      <c r="D63" t="s">
        <v>114</v>
      </c>
      <c r="F63" t="s">
        <v>119</v>
      </c>
      <c r="G63" t="s">
        <v>26</v>
      </c>
      <c r="H63" t="s">
        <v>27</v>
      </c>
      <c r="I63" s="66">
        <v>43543</v>
      </c>
      <c r="J63" s="6">
        <v>1922730.56</v>
      </c>
      <c r="L63">
        <v>0</v>
      </c>
      <c r="M63">
        <v>0</v>
      </c>
      <c r="N63">
        <v>0</v>
      </c>
      <c r="O63">
        <v>0</v>
      </c>
      <c r="P63" t="s">
        <v>116</v>
      </c>
      <c r="Q63" t="s">
        <v>23</v>
      </c>
      <c r="R63" s="66">
        <v>2</v>
      </c>
      <c r="S63" s="6">
        <f>DataTable[HLD_MaturityDate] - DataTable[SEC_Issue_Date]</f>
        <v>43541</v>
      </c>
      <c r="T63" s="66" t="str">
        <f>DataTable[HLD_Portfolio]&amp;DataTable[HLD_Date]</f>
        <v>SCBSFF43383</v>
      </c>
      <c r="W63" t="b">
        <f>DataTable[HLD_SecCode]="CB18O18A"</f>
        <v>0</v>
      </c>
    </row>
    <row r="64" spans="1:23" hidden="1" x14ac:dyDescent="0.2">
      <c r="A64" s="66">
        <v>43383</v>
      </c>
      <c r="B64" t="s">
        <v>17</v>
      </c>
      <c r="C64" t="s">
        <v>113</v>
      </c>
      <c r="D64" t="s">
        <v>114</v>
      </c>
      <c r="F64" t="s">
        <v>120</v>
      </c>
      <c r="G64" t="s">
        <v>26</v>
      </c>
      <c r="H64" t="s">
        <v>27</v>
      </c>
      <c r="I64" s="66">
        <v>43580</v>
      </c>
      <c r="J64" s="6">
        <v>63244154.240000002</v>
      </c>
      <c r="L64">
        <v>0</v>
      </c>
      <c r="M64">
        <v>0</v>
      </c>
      <c r="N64">
        <v>0</v>
      </c>
      <c r="O64">
        <v>0</v>
      </c>
      <c r="P64" t="s">
        <v>116</v>
      </c>
      <c r="Q64" t="s">
        <v>23</v>
      </c>
      <c r="R64" s="66">
        <v>2</v>
      </c>
      <c r="S64" s="6">
        <f>DataTable[HLD_MaturityDate] - DataTable[SEC_Issue_Date]</f>
        <v>43578</v>
      </c>
      <c r="T64" s="66" t="str">
        <f>DataTable[HLD_Portfolio]&amp;DataTable[HLD_Date]</f>
        <v>SCBSFF43383</v>
      </c>
      <c r="W64" t="b">
        <f>DataTable[HLD_SecCode]="CB18O18A"</f>
        <v>0</v>
      </c>
    </row>
    <row r="65" spans="1:23" hidden="1" x14ac:dyDescent="0.2">
      <c r="A65" s="66">
        <v>43383</v>
      </c>
      <c r="B65" t="s">
        <v>17</v>
      </c>
      <c r="C65" t="s">
        <v>113</v>
      </c>
      <c r="D65" t="s">
        <v>114</v>
      </c>
      <c r="F65" t="s">
        <v>121</v>
      </c>
      <c r="G65" t="s">
        <v>122</v>
      </c>
      <c r="H65" t="s">
        <v>123</v>
      </c>
      <c r="I65" s="66">
        <v>43595</v>
      </c>
      <c r="J65" s="6">
        <v>20824292.050000001</v>
      </c>
      <c r="L65">
        <v>0</v>
      </c>
      <c r="M65">
        <v>0</v>
      </c>
      <c r="N65">
        <v>0</v>
      </c>
      <c r="O65">
        <v>0</v>
      </c>
      <c r="P65" t="s">
        <v>116</v>
      </c>
      <c r="Q65" t="s">
        <v>23</v>
      </c>
      <c r="R65" s="66">
        <v>2</v>
      </c>
      <c r="S65" s="6">
        <f>DataTable[HLD_MaturityDate] - DataTable[SEC_Issue_Date]</f>
        <v>43593</v>
      </c>
      <c r="T65" s="66" t="str">
        <f>DataTable[HLD_Portfolio]&amp;DataTable[HLD_Date]</f>
        <v>SCBSFF43383</v>
      </c>
      <c r="W65" t="b">
        <f>DataTable[HLD_SecCode]="CB18O18A"</f>
        <v>0</v>
      </c>
    </row>
    <row r="66" spans="1:23" hidden="1" x14ac:dyDescent="0.2">
      <c r="A66" s="66">
        <v>43383</v>
      </c>
      <c r="B66" t="s">
        <v>17</v>
      </c>
      <c r="C66" t="s">
        <v>113</v>
      </c>
      <c r="D66" t="s">
        <v>114</v>
      </c>
      <c r="F66" t="s">
        <v>124</v>
      </c>
      <c r="G66" t="s">
        <v>122</v>
      </c>
      <c r="H66" t="s">
        <v>123</v>
      </c>
      <c r="I66" s="66">
        <v>43410</v>
      </c>
      <c r="J66" s="6">
        <v>980425.8</v>
      </c>
      <c r="L66">
        <v>0</v>
      </c>
      <c r="M66">
        <v>0</v>
      </c>
      <c r="N66">
        <v>0</v>
      </c>
      <c r="O66">
        <v>0</v>
      </c>
      <c r="P66" t="s">
        <v>116</v>
      </c>
      <c r="Q66" t="s">
        <v>23</v>
      </c>
      <c r="R66" s="66">
        <v>2</v>
      </c>
      <c r="S66" s="6">
        <f>DataTable[HLD_MaturityDate] - DataTable[SEC_Issue_Date]</f>
        <v>43408</v>
      </c>
      <c r="T66" s="66" t="str">
        <f>DataTable[HLD_Portfolio]&amp;DataTable[HLD_Date]</f>
        <v>SCBSFF43383</v>
      </c>
      <c r="W66" t="b">
        <f>DataTable[HLD_SecCode]="CB18O18A"</f>
        <v>0</v>
      </c>
    </row>
    <row r="67" spans="1:23" hidden="1" x14ac:dyDescent="0.2">
      <c r="A67" s="66">
        <v>43383</v>
      </c>
      <c r="B67" t="s">
        <v>17</v>
      </c>
      <c r="C67" t="s">
        <v>113</v>
      </c>
      <c r="D67" t="s">
        <v>114</v>
      </c>
      <c r="F67" t="s">
        <v>125</v>
      </c>
      <c r="G67" t="s">
        <v>26</v>
      </c>
      <c r="H67" t="s">
        <v>27</v>
      </c>
      <c r="I67" s="66">
        <v>43389</v>
      </c>
      <c r="J67" s="6">
        <v>575226.27</v>
      </c>
      <c r="L67">
        <v>0</v>
      </c>
      <c r="M67">
        <v>0</v>
      </c>
      <c r="N67">
        <v>0</v>
      </c>
      <c r="O67">
        <v>0</v>
      </c>
      <c r="P67" t="s">
        <v>116</v>
      </c>
      <c r="Q67" t="s">
        <v>23</v>
      </c>
      <c r="R67" s="66">
        <v>2</v>
      </c>
      <c r="S67" s="6">
        <f>DataTable[HLD_MaturityDate] - DataTable[SEC_Issue_Date]</f>
        <v>43387</v>
      </c>
      <c r="T67" s="66" t="str">
        <f>DataTable[HLD_Portfolio]&amp;DataTable[HLD_Date]</f>
        <v>SCBSFF43383</v>
      </c>
      <c r="W67" t="b">
        <f>DataTable[HLD_SecCode]="CB18O18A"</f>
        <v>0</v>
      </c>
    </row>
    <row r="68" spans="1:23" hidden="1" x14ac:dyDescent="0.2">
      <c r="A68" s="66">
        <v>43383</v>
      </c>
      <c r="B68" t="s">
        <v>17</v>
      </c>
      <c r="C68" t="s">
        <v>113</v>
      </c>
      <c r="D68" t="s">
        <v>114</v>
      </c>
      <c r="F68" t="s">
        <v>126</v>
      </c>
      <c r="G68" t="s">
        <v>26</v>
      </c>
      <c r="H68" t="s">
        <v>27</v>
      </c>
      <c r="I68" s="66">
        <v>43389</v>
      </c>
      <c r="J68" s="6">
        <v>5004807.09</v>
      </c>
      <c r="L68">
        <v>0</v>
      </c>
      <c r="M68">
        <v>0</v>
      </c>
      <c r="N68">
        <v>0</v>
      </c>
      <c r="O68">
        <v>0</v>
      </c>
      <c r="P68" t="s">
        <v>116</v>
      </c>
      <c r="Q68" t="s">
        <v>23</v>
      </c>
      <c r="R68" s="66">
        <v>2</v>
      </c>
      <c r="S68" s="6">
        <f>DataTable[HLD_MaturityDate] - DataTable[SEC_Issue_Date]</f>
        <v>43387</v>
      </c>
      <c r="T68" s="66" t="str">
        <f>DataTable[HLD_Portfolio]&amp;DataTable[HLD_Date]</f>
        <v>SCBSFF43383</v>
      </c>
      <c r="W68" t="b">
        <f>DataTable[HLD_SecCode]="CB18O18A"</f>
        <v>0</v>
      </c>
    </row>
    <row r="69" spans="1:23" hidden="1" x14ac:dyDescent="0.2">
      <c r="A69" s="66">
        <v>43383</v>
      </c>
      <c r="B69" t="s">
        <v>17</v>
      </c>
      <c r="C69" t="s">
        <v>113</v>
      </c>
      <c r="D69" t="s">
        <v>114</v>
      </c>
      <c r="F69" t="s">
        <v>127</v>
      </c>
      <c r="G69" t="s">
        <v>26</v>
      </c>
      <c r="H69" t="s">
        <v>27</v>
      </c>
      <c r="I69" s="66">
        <v>43580</v>
      </c>
      <c r="J69" s="6">
        <v>-49262259.359999999</v>
      </c>
      <c r="L69">
        <v>0</v>
      </c>
      <c r="M69">
        <v>0</v>
      </c>
      <c r="N69">
        <v>0</v>
      </c>
      <c r="O69">
        <v>0</v>
      </c>
      <c r="P69" t="s">
        <v>116</v>
      </c>
      <c r="Q69" t="s">
        <v>23</v>
      </c>
      <c r="R69" s="66">
        <v>2</v>
      </c>
      <c r="S69" s="6">
        <f>DataTable[HLD_MaturityDate] - DataTable[SEC_Issue_Date]</f>
        <v>43578</v>
      </c>
      <c r="T69" s="66" t="str">
        <f>DataTable[HLD_Portfolio]&amp;DataTable[HLD_Date]</f>
        <v>SCBSFF43383</v>
      </c>
      <c r="W69" t="b">
        <f>DataTable[HLD_SecCode]="CB18O18A"</f>
        <v>0</v>
      </c>
    </row>
    <row r="70" spans="1:23" hidden="1" x14ac:dyDescent="0.2">
      <c r="A70" s="66">
        <v>43383</v>
      </c>
      <c r="B70" t="s">
        <v>17</v>
      </c>
      <c r="C70" t="s">
        <v>128</v>
      </c>
      <c r="D70" t="s">
        <v>872</v>
      </c>
      <c r="E70" t="s">
        <v>873</v>
      </c>
      <c r="F70" t="s">
        <v>872</v>
      </c>
      <c r="G70" t="s">
        <v>759</v>
      </c>
      <c r="I70" s="66"/>
      <c r="J70" s="6">
        <v>60251.06</v>
      </c>
      <c r="L70">
        <v>60251.06</v>
      </c>
      <c r="M70">
        <v>0</v>
      </c>
      <c r="N70">
        <v>0</v>
      </c>
      <c r="O70">
        <v>0</v>
      </c>
      <c r="P70" t="s">
        <v>22</v>
      </c>
      <c r="Q70" t="s">
        <v>23</v>
      </c>
      <c r="R70" s="66">
        <v>2</v>
      </c>
      <c r="S70" s="6">
        <f>DataTable[HLD_MaturityDate] - DataTable[SEC_Issue_Date]</f>
        <v>-2</v>
      </c>
      <c r="T70" s="66" t="str">
        <f>DataTable[HLD_Portfolio]&amp;DataTable[HLD_Date]</f>
        <v>SCBSFF43383</v>
      </c>
      <c r="W70" t="b">
        <f>DataTable[HLD_SecCode]="CB18O18A"</f>
        <v>0</v>
      </c>
    </row>
    <row r="71" spans="1:23" hidden="1" x14ac:dyDescent="0.2">
      <c r="A71" s="66">
        <v>43383</v>
      </c>
      <c r="B71" t="s">
        <v>17</v>
      </c>
      <c r="C71" t="s">
        <v>129</v>
      </c>
      <c r="D71" t="s">
        <v>130</v>
      </c>
      <c r="E71" t="s">
        <v>590</v>
      </c>
      <c r="F71" t="s">
        <v>870</v>
      </c>
      <c r="I71" s="66"/>
      <c r="J71" s="6">
        <v>-3038224685.6199999</v>
      </c>
      <c r="L71">
        <v>-3038224685.6199999</v>
      </c>
      <c r="O71">
        <v>0</v>
      </c>
      <c r="P71" t="s">
        <v>42</v>
      </c>
      <c r="Q71" t="s">
        <v>23</v>
      </c>
      <c r="R71" s="66">
        <v>43384</v>
      </c>
      <c r="S71" s="6">
        <f>DataTable[HLD_MaturityDate] - DataTable[SEC_Issue_Date]</f>
        <v>-43384</v>
      </c>
      <c r="T71" s="66" t="str">
        <f>DataTable[HLD_Portfolio]&amp;DataTable[HLD_Date]</f>
        <v>SCBSFF43383</v>
      </c>
      <c r="W71" t="b">
        <f>DataTable[HLD_SecCode]="CB18O18A"</f>
        <v>0</v>
      </c>
    </row>
    <row r="72" spans="1:23" hidden="1" x14ac:dyDescent="0.2">
      <c r="A72" s="66">
        <v>43383</v>
      </c>
      <c r="B72" t="s">
        <v>17</v>
      </c>
      <c r="C72" t="s">
        <v>129</v>
      </c>
      <c r="D72" t="s">
        <v>130</v>
      </c>
      <c r="E72" t="s">
        <v>874</v>
      </c>
      <c r="F72" t="s">
        <v>209</v>
      </c>
      <c r="I72" s="66"/>
      <c r="J72" s="6">
        <v>-51964479.32</v>
      </c>
      <c r="L72">
        <v>-51964479.32</v>
      </c>
      <c r="O72">
        <v>0</v>
      </c>
      <c r="P72" t="s">
        <v>42</v>
      </c>
      <c r="Q72" t="s">
        <v>23</v>
      </c>
      <c r="R72" s="66">
        <v>43223</v>
      </c>
      <c r="S72" s="6">
        <f>DataTable[HLD_MaturityDate] - DataTable[SEC_Issue_Date]</f>
        <v>-43223</v>
      </c>
      <c r="T72" s="66" t="str">
        <f>DataTable[HLD_Portfolio]&amp;DataTable[HLD_Date]</f>
        <v>SCBSFF43383</v>
      </c>
      <c r="W72" t="b">
        <f>DataTable[HLD_SecCode]="CB18O18A"</f>
        <v>0</v>
      </c>
    </row>
    <row r="73" spans="1:23" hidden="1" x14ac:dyDescent="0.2">
      <c r="A73" s="66">
        <v>43383</v>
      </c>
      <c r="B73" t="s">
        <v>17</v>
      </c>
      <c r="C73" t="s">
        <v>129</v>
      </c>
      <c r="D73" t="s">
        <v>130</v>
      </c>
      <c r="E73" t="s">
        <v>874</v>
      </c>
      <c r="F73" t="s">
        <v>92</v>
      </c>
      <c r="I73" s="66"/>
      <c r="J73" s="6">
        <v>-171882508.52000001</v>
      </c>
      <c r="L73">
        <v>-171882508.52000001</v>
      </c>
      <c r="O73">
        <v>0</v>
      </c>
      <c r="P73" t="s">
        <v>42</v>
      </c>
      <c r="Q73" t="s">
        <v>23</v>
      </c>
      <c r="R73" s="66">
        <v>43314</v>
      </c>
      <c r="S73" s="6">
        <f>DataTable[HLD_MaturityDate] - DataTable[SEC_Issue_Date]</f>
        <v>-43314</v>
      </c>
      <c r="T73" s="66" t="str">
        <f>DataTable[HLD_Portfolio]&amp;DataTable[HLD_Date]</f>
        <v>SCBSFF43383</v>
      </c>
      <c r="W73" t="b">
        <f>DataTable[HLD_SecCode]="CB18O18A"</f>
        <v>0</v>
      </c>
    </row>
    <row r="74" spans="1:23" hidden="1" x14ac:dyDescent="0.2">
      <c r="A74" s="66">
        <v>43383</v>
      </c>
      <c r="B74" t="s">
        <v>17</v>
      </c>
      <c r="C74" t="s">
        <v>129</v>
      </c>
      <c r="D74" t="s">
        <v>130</v>
      </c>
      <c r="E74" t="s">
        <v>874</v>
      </c>
      <c r="F74" t="s">
        <v>93</v>
      </c>
      <c r="I74" s="66"/>
      <c r="J74" s="6">
        <v>-249769408.80000001</v>
      </c>
      <c r="L74">
        <v>-249769408.80000001</v>
      </c>
      <c r="O74">
        <v>0</v>
      </c>
      <c r="P74" t="s">
        <v>42</v>
      </c>
      <c r="Q74" t="s">
        <v>23</v>
      </c>
      <c r="R74" s="66">
        <v>43230</v>
      </c>
      <c r="S74" s="6">
        <f>DataTable[HLD_MaturityDate] - DataTable[SEC_Issue_Date]</f>
        <v>-43230</v>
      </c>
      <c r="T74" s="66" t="str">
        <f>DataTable[HLD_Portfolio]&amp;DataTable[HLD_Date]</f>
        <v>SCBSFF43383</v>
      </c>
      <c r="W74" t="b">
        <f>DataTable[HLD_SecCode]="CB18O18A"</f>
        <v>0</v>
      </c>
    </row>
    <row r="75" spans="1:23" hidden="1" x14ac:dyDescent="0.2">
      <c r="A75" s="66">
        <v>43383</v>
      </c>
      <c r="B75" t="s">
        <v>17</v>
      </c>
      <c r="C75" t="s">
        <v>129</v>
      </c>
      <c r="D75" t="s">
        <v>130</v>
      </c>
      <c r="E75" t="s">
        <v>874</v>
      </c>
      <c r="F75" t="s">
        <v>94</v>
      </c>
      <c r="I75" s="66"/>
      <c r="J75" s="6">
        <v>-262757524.52000001</v>
      </c>
      <c r="L75">
        <v>-262757524.52000001</v>
      </c>
      <c r="O75">
        <v>0</v>
      </c>
      <c r="P75" t="s">
        <v>42</v>
      </c>
      <c r="Q75" t="s">
        <v>23</v>
      </c>
      <c r="R75" s="66">
        <v>43321</v>
      </c>
      <c r="S75" s="6">
        <f>DataTable[HLD_MaturityDate] - DataTable[SEC_Issue_Date]</f>
        <v>-43321</v>
      </c>
      <c r="T75" s="66" t="str">
        <f>DataTable[HLD_Portfolio]&amp;DataTable[HLD_Date]</f>
        <v>SCBSFF43383</v>
      </c>
      <c r="W75" t="b">
        <f>DataTable[HLD_SecCode]="CB18O18A"</f>
        <v>0</v>
      </c>
    </row>
    <row r="76" spans="1:23" hidden="1" x14ac:dyDescent="0.2">
      <c r="A76" s="66">
        <v>43383</v>
      </c>
      <c r="B76" t="s">
        <v>17</v>
      </c>
      <c r="C76" t="s">
        <v>129</v>
      </c>
      <c r="D76" t="s">
        <v>130</v>
      </c>
      <c r="E76" t="s">
        <v>874</v>
      </c>
      <c r="F76" t="s">
        <v>95</v>
      </c>
      <c r="I76" s="66"/>
      <c r="J76" s="6">
        <v>-22973090</v>
      </c>
      <c r="L76">
        <v>-22973090</v>
      </c>
      <c r="O76">
        <v>0</v>
      </c>
      <c r="P76" t="s">
        <v>42</v>
      </c>
      <c r="Q76" t="s">
        <v>23</v>
      </c>
      <c r="R76" s="66">
        <v>43237</v>
      </c>
      <c r="S76" s="6">
        <f>DataTable[HLD_MaturityDate] - DataTable[SEC_Issue_Date]</f>
        <v>-43237</v>
      </c>
      <c r="T76" s="66" t="str">
        <f>DataTable[HLD_Portfolio]&amp;DataTable[HLD_Date]</f>
        <v>SCBSFF43383</v>
      </c>
      <c r="W76" t="b">
        <f>DataTable[HLD_SecCode]="CB18O18A"</f>
        <v>0</v>
      </c>
    </row>
    <row r="77" spans="1:23" hidden="1" x14ac:dyDescent="0.2">
      <c r="A77" s="66">
        <v>43383</v>
      </c>
      <c r="B77" t="s">
        <v>17</v>
      </c>
      <c r="C77" t="s">
        <v>129</v>
      </c>
      <c r="D77" t="s">
        <v>130</v>
      </c>
      <c r="E77" t="s">
        <v>874</v>
      </c>
      <c r="F77" t="s">
        <v>96</v>
      </c>
      <c r="I77" s="66"/>
      <c r="J77" s="6">
        <v>-9988183.8000000007</v>
      </c>
      <c r="L77">
        <v>-9988183.8000000007</v>
      </c>
      <c r="O77">
        <v>0</v>
      </c>
      <c r="P77" t="s">
        <v>42</v>
      </c>
      <c r="Q77" t="s">
        <v>23</v>
      </c>
      <c r="R77" s="66">
        <v>43328</v>
      </c>
      <c r="S77" s="6">
        <f>DataTable[HLD_MaturityDate] - DataTable[SEC_Issue_Date]</f>
        <v>-43328</v>
      </c>
      <c r="T77" s="66" t="str">
        <f>DataTable[HLD_Portfolio]&amp;DataTable[HLD_Date]</f>
        <v>SCBSFF43383</v>
      </c>
      <c r="W77" t="b">
        <f>DataTable[HLD_SecCode]="CB18O18A"</f>
        <v>0</v>
      </c>
    </row>
    <row r="78" spans="1:23" hidden="1" x14ac:dyDescent="0.2">
      <c r="A78" s="66">
        <v>43383</v>
      </c>
      <c r="B78" t="s">
        <v>17</v>
      </c>
      <c r="C78" t="s">
        <v>129</v>
      </c>
      <c r="D78" t="s">
        <v>130</v>
      </c>
      <c r="E78" t="s">
        <v>874</v>
      </c>
      <c r="F78" t="s">
        <v>99</v>
      </c>
      <c r="I78" s="66"/>
      <c r="J78" s="6">
        <v>-71875232.640000001</v>
      </c>
      <c r="L78">
        <v>-71875232.640000001</v>
      </c>
      <c r="O78">
        <v>0</v>
      </c>
      <c r="P78" t="s">
        <v>42</v>
      </c>
      <c r="Q78" t="s">
        <v>23</v>
      </c>
      <c r="R78" s="66">
        <v>43251</v>
      </c>
      <c r="S78" s="6">
        <f>DataTable[HLD_MaturityDate] - DataTable[SEC_Issue_Date]</f>
        <v>-43251</v>
      </c>
      <c r="T78" s="66" t="str">
        <f>DataTable[HLD_Portfolio]&amp;DataTable[HLD_Date]</f>
        <v>SCBSFF43383</v>
      </c>
      <c r="W78" t="b">
        <f>DataTable[HLD_SecCode]="CB18O18A"</f>
        <v>0</v>
      </c>
    </row>
    <row r="79" spans="1:23" hidden="1" x14ac:dyDescent="0.2">
      <c r="A79" s="66">
        <v>43383</v>
      </c>
      <c r="B79" t="s">
        <v>17</v>
      </c>
      <c r="C79" t="s">
        <v>129</v>
      </c>
      <c r="D79" t="s">
        <v>130</v>
      </c>
      <c r="E79" t="s">
        <v>874</v>
      </c>
      <c r="F79" t="s">
        <v>105</v>
      </c>
      <c r="I79" s="66"/>
      <c r="J79" s="6">
        <v>-49990303.5</v>
      </c>
      <c r="L79">
        <v>-49990303.5</v>
      </c>
      <c r="O79">
        <v>0</v>
      </c>
      <c r="P79" t="s">
        <v>42</v>
      </c>
      <c r="Q79" t="s">
        <v>23</v>
      </c>
      <c r="R79" s="66">
        <v>43300</v>
      </c>
      <c r="S79" s="6">
        <f>DataTable[HLD_MaturityDate] - DataTable[SEC_Issue_Date]</f>
        <v>-43300</v>
      </c>
      <c r="T79" s="66" t="str">
        <f>DataTable[HLD_Portfolio]&amp;DataTable[HLD_Date]</f>
        <v>SCBSFF43383</v>
      </c>
      <c r="W79" t="b">
        <f>DataTable[HLD_SecCode]="CB18O18A"</f>
        <v>0</v>
      </c>
    </row>
    <row r="80" spans="1:23" hidden="1" x14ac:dyDescent="0.2">
      <c r="A80" s="66">
        <v>43383</v>
      </c>
      <c r="B80" t="s">
        <v>17</v>
      </c>
      <c r="C80" t="s">
        <v>129</v>
      </c>
      <c r="D80" t="s">
        <v>130</v>
      </c>
      <c r="E80" t="s">
        <v>874</v>
      </c>
      <c r="F80" t="s">
        <v>355</v>
      </c>
      <c r="I80" s="66"/>
      <c r="J80" s="6">
        <v>-711723893.51999998</v>
      </c>
      <c r="L80">
        <v>-711723893.51999998</v>
      </c>
      <c r="O80">
        <v>0</v>
      </c>
      <c r="P80" t="s">
        <v>42</v>
      </c>
      <c r="Q80" t="s">
        <v>23</v>
      </c>
      <c r="R80" s="66">
        <v>43382</v>
      </c>
      <c r="S80" s="6">
        <f>DataTable[HLD_MaturityDate] - DataTable[SEC_Issue_Date]</f>
        <v>-43382</v>
      </c>
      <c r="T80" s="66" t="str">
        <f>DataTable[HLD_Portfolio]&amp;DataTable[HLD_Date]</f>
        <v>SCBSFF43383</v>
      </c>
      <c r="W80" t="b">
        <f>DataTable[HLD_SecCode]="CB18O18A"</f>
        <v>0</v>
      </c>
    </row>
    <row r="81" spans="1:23" hidden="1" x14ac:dyDescent="0.2">
      <c r="A81" s="66">
        <v>43383</v>
      </c>
      <c r="B81" t="s">
        <v>17</v>
      </c>
      <c r="C81" t="s">
        <v>129</v>
      </c>
      <c r="D81" t="s">
        <v>130</v>
      </c>
      <c r="E81" t="s">
        <v>874</v>
      </c>
      <c r="F81" t="s">
        <v>106</v>
      </c>
      <c r="I81" s="66"/>
      <c r="J81" s="6">
        <v>-15993278.4</v>
      </c>
      <c r="L81">
        <v>-15993278.4</v>
      </c>
      <c r="O81">
        <v>0</v>
      </c>
      <c r="P81" t="s">
        <v>42</v>
      </c>
      <c r="Q81" t="s">
        <v>23</v>
      </c>
      <c r="R81" s="66">
        <v>43216</v>
      </c>
      <c r="S81" s="6">
        <f>DataTable[HLD_MaturityDate] - DataTable[SEC_Issue_Date]</f>
        <v>-43216</v>
      </c>
      <c r="T81" s="66" t="str">
        <f>DataTable[HLD_Portfolio]&amp;DataTable[HLD_Date]</f>
        <v>SCBSFF43383</v>
      </c>
      <c r="W81" t="b">
        <f>DataTable[HLD_SecCode]="CB18O18A"</f>
        <v>0</v>
      </c>
    </row>
    <row r="82" spans="1:23" hidden="1" x14ac:dyDescent="0.2">
      <c r="A82" s="66">
        <v>43383</v>
      </c>
      <c r="B82" t="s">
        <v>17</v>
      </c>
      <c r="C82" t="s">
        <v>129</v>
      </c>
      <c r="D82" t="s">
        <v>130</v>
      </c>
      <c r="E82" t="s">
        <v>874</v>
      </c>
      <c r="F82" t="s">
        <v>107</v>
      </c>
      <c r="I82" s="66"/>
      <c r="J82" s="6">
        <v>-192918920.69999999</v>
      </c>
      <c r="L82">
        <v>-192918920.69999999</v>
      </c>
      <c r="O82">
        <v>0</v>
      </c>
      <c r="P82" t="s">
        <v>42</v>
      </c>
      <c r="Q82" t="s">
        <v>23</v>
      </c>
      <c r="R82" s="66">
        <v>43307</v>
      </c>
      <c r="S82" s="6">
        <f>DataTable[HLD_MaturityDate] - DataTable[SEC_Issue_Date]</f>
        <v>-43307</v>
      </c>
      <c r="T82" s="66" t="str">
        <f>DataTable[HLD_Portfolio]&amp;DataTable[HLD_Date]</f>
        <v>SCBSFF43383</v>
      </c>
      <c r="W82" t="b">
        <f>DataTable[HLD_SecCode]="CB18O18A"</f>
        <v>0</v>
      </c>
    </row>
    <row r="83" spans="1:23" hidden="1" x14ac:dyDescent="0.2">
      <c r="A83" s="66">
        <v>43383</v>
      </c>
      <c r="B83" t="s">
        <v>17</v>
      </c>
      <c r="C83" t="s">
        <v>129</v>
      </c>
      <c r="D83" t="s">
        <v>130</v>
      </c>
      <c r="E83" t="s">
        <v>874</v>
      </c>
      <c r="F83" t="s">
        <v>870</v>
      </c>
      <c r="I83" s="66"/>
      <c r="J83" s="6">
        <v>-996182845</v>
      </c>
      <c r="L83">
        <v>-996182845</v>
      </c>
      <c r="O83">
        <v>0</v>
      </c>
      <c r="P83" t="s">
        <v>42</v>
      </c>
      <c r="Q83" t="s">
        <v>23</v>
      </c>
      <c r="R83" s="66">
        <v>43384</v>
      </c>
      <c r="S83" s="6">
        <f>DataTable[HLD_MaturityDate] - DataTable[SEC_Issue_Date]</f>
        <v>-43384</v>
      </c>
      <c r="T83" s="66" t="str">
        <f>DataTable[HLD_Portfolio]&amp;DataTable[HLD_Date]</f>
        <v>SCBSFF43383</v>
      </c>
      <c r="W83" t="b">
        <f>DataTable[HLD_SecCode]="CB18O18A"</f>
        <v>0</v>
      </c>
    </row>
    <row r="84" spans="1:23" hidden="1" x14ac:dyDescent="0.2">
      <c r="A84" s="66">
        <v>43383</v>
      </c>
      <c r="B84" t="s">
        <v>17</v>
      </c>
      <c r="C84" t="s">
        <v>129</v>
      </c>
      <c r="D84" t="s">
        <v>131</v>
      </c>
      <c r="E84" t="s">
        <v>131</v>
      </c>
      <c r="F84" t="s">
        <v>131</v>
      </c>
      <c r="I84" s="66"/>
      <c r="J84" s="6">
        <v>-186674.28</v>
      </c>
      <c r="O84">
        <v>0</v>
      </c>
      <c r="R84" s="66"/>
      <c r="S84" s="6">
        <f>DataTable[HLD_MaturityDate] - DataTable[SEC_Issue_Date]</f>
        <v>0</v>
      </c>
      <c r="T84" s="66" t="str">
        <f>DataTable[HLD_Portfolio]&amp;DataTable[HLD_Date]</f>
        <v>SCBSFF43383</v>
      </c>
      <c r="W84" t="b">
        <f>DataTable[HLD_SecCode]="CB18O18A"</f>
        <v>0</v>
      </c>
    </row>
    <row r="85" spans="1:23" hidden="1" x14ac:dyDescent="0.2">
      <c r="A85" s="66">
        <v>43383</v>
      </c>
      <c r="B85" t="s">
        <v>17</v>
      </c>
      <c r="C85" t="s">
        <v>129</v>
      </c>
      <c r="D85" t="s">
        <v>131</v>
      </c>
      <c r="E85" t="s">
        <v>131</v>
      </c>
      <c r="F85" t="s">
        <v>131</v>
      </c>
      <c r="I85" s="66"/>
      <c r="J85" s="6">
        <v>-1275.1600000000001</v>
      </c>
      <c r="O85">
        <v>0</v>
      </c>
      <c r="R85" s="66"/>
      <c r="S85" s="6">
        <f>DataTable[HLD_MaturityDate] - DataTable[SEC_Issue_Date]</f>
        <v>0</v>
      </c>
      <c r="T85" s="66" t="str">
        <f>DataTable[HLD_Portfolio]&amp;DataTable[HLD_Date]</f>
        <v>SCBSFF43383</v>
      </c>
      <c r="W85" t="b">
        <f>DataTable[HLD_SecCode]="CB18O18A"</f>
        <v>0</v>
      </c>
    </row>
    <row r="86" spans="1:23" hidden="1" x14ac:dyDescent="0.2">
      <c r="A86" s="66">
        <v>43383</v>
      </c>
      <c r="B86" t="s">
        <v>17</v>
      </c>
      <c r="C86" t="s">
        <v>129</v>
      </c>
      <c r="D86" t="s">
        <v>132</v>
      </c>
      <c r="I86" s="66"/>
      <c r="J86" s="6">
        <v>-1538751.35</v>
      </c>
      <c r="K86">
        <v>0</v>
      </c>
      <c r="O86">
        <v>0</v>
      </c>
      <c r="R86" s="66"/>
      <c r="S86" s="6">
        <f>DataTable[HLD_MaturityDate] - DataTable[SEC_Issue_Date]</f>
        <v>0</v>
      </c>
      <c r="T86" s="66" t="str">
        <f>DataTable[HLD_Portfolio]&amp;DataTable[HLD_Date]</f>
        <v>SCBSFF43383</v>
      </c>
      <c r="W86" t="b">
        <f>DataTable[HLD_SecCode]="CB18O18A"</f>
        <v>0</v>
      </c>
    </row>
    <row r="87" spans="1:23" hidden="1" x14ac:dyDescent="0.2">
      <c r="A87" s="66">
        <v>43383</v>
      </c>
      <c r="B87" t="s">
        <v>17</v>
      </c>
      <c r="C87" t="s">
        <v>129</v>
      </c>
      <c r="D87" t="s">
        <v>133</v>
      </c>
      <c r="E87" t="s">
        <v>133</v>
      </c>
      <c r="F87" t="s">
        <v>133</v>
      </c>
      <c r="I87" s="66"/>
      <c r="J87" s="6">
        <v>-4182.17</v>
      </c>
      <c r="O87">
        <v>0</v>
      </c>
      <c r="R87" s="66"/>
      <c r="S87" s="6">
        <f>DataTable[HLD_MaturityDate] - DataTable[SEC_Issue_Date]</f>
        <v>0</v>
      </c>
      <c r="T87" s="66" t="str">
        <f>DataTable[HLD_Portfolio]&amp;DataTable[HLD_Date]</f>
        <v>SCBSFF43383</v>
      </c>
      <c r="W87" t="b">
        <f>DataTable[HLD_SecCode]="CB18O18A"</f>
        <v>0</v>
      </c>
    </row>
    <row r="88" spans="1:23" hidden="1" x14ac:dyDescent="0.2">
      <c r="A88" s="66">
        <v>43383</v>
      </c>
      <c r="B88" t="s">
        <v>17</v>
      </c>
      <c r="C88" t="s">
        <v>129</v>
      </c>
      <c r="D88" t="s">
        <v>133</v>
      </c>
      <c r="E88" t="s">
        <v>133</v>
      </c>
      <c r="F88" t="s">
        <v>133</v>
      </c>
      <c r="I88" s="66"/>
      <c r="J88" s="6">
        <v>-1416.5</v>
      </c>
      <c r="O88">
        <v>0</v>
      </c>
      <c r="R88" s="66"/>
      <c r="S88" s="6">
        <f>DataTable[HLD_MaturityDate] - DataTable[SEC_Issue_Date]</f>
        <v>0</v>
      </c>
      <c r="T88" s="66" t="str">
        <f>DataTable[HLD_Portfolio]&amp;DataTable[HLD_Date]</f>
        <v>SCBSFF43383</v>
      </c>
      <c r="W88" t="b">
        <f>DataTable[HLD_SecCode]="CB18O18A"</f>
        <v>0</v>
      </c>
    </row>
    <row r="89" spans="1:23" hidden="1" x14ac:dyDescent="0.2">
      <c r="A89" s="66">
        <v>43383</v>
      </c>
      <c r="B89" t="s">
        <v>17</v>
      </c>
      <c r="C89" t="s">
        <v>129</v>
      </c>
      <c r="D89" t="s">
        <v>134</v>
      </c>
      <c r="E89" t="s">
        <v>134</v>
      </c>
      <c r="I89" s="66"/>
      <c r="J89" s="6">
        <v>-199931.34</v>
      </c>
      <c r="L89">
        <v>-199931.34</v>
      </c>
      <c r="O89">
        <v>0</v>
      </c>
      <c r="R89" s="66"/>
      <c r="S89" s="6">
        <f>DataTable[HLD_MaturityDate] - DataTable[SEC_Issue_Date]</f>
        <v>0</v>
      </c>
      <c r="T89" s="66" t="str">
        <f>DataTable[HLD_Portfolio]&amp;DataTable[HLD_Date]</f>
        <v>SCBSFF43383</v>
      </c>
      <c r="W89" t="b">
        <f>DataTable[HLD_SecCode]="CB18O18A"</f>
        <v>0</v>
      </c>
    </row>
    <row r="90" spans="1:23" hidden="1" x14ac:dyDescent="0.2">
      <c r="A90" s="66">
        <v>43383</v>
      </c>
      <c r="B90" t="s">
        <v>17</v>
      </c>
      <c r="C90" t="s">
        <v>129</v>
      </c>
      <c r="D90" t="s">
        <v>135</v>
      </c>
      <c r="E90" t="s">
        <v>135</v>
      </c>
      <c r="I90" s="66"/>
      <c r="J90" s="6">
        <v>-15570260.23</v>
      </c>
      <c r="L90">
        <v>-15570260.23</v>
      </c>
      <c r="O90">
        <v>0</v>
      </c>
      <c r="R90" s="66"/>
      <c r="S90" s="6">
        <f>DataTable[HLD_MaturityDate] - DataTable[SEC_Issue_Date]</f>
        <v>0</v>
      </c>
      <c r="T90" s="66" t="str">
        <f>DataTable[HLD_Portfolio]&amp;DataTable[HLD_Date]</f>
        <v>SCBSFF43383</v>
      </c>
      <c r="W90" t="b">
        <f>DataTable[HLD_SecCode]="CB18O18A"</f>
        <v>0</v>
      </c>
    </row>
    <row r="91" spans="1:23" hidden="1" x14ac:dyDescent="0.2">
      <c r="A91" s="66">
        <v>43383</v>
      </c>
      <c r="B91" t="s">
        <v>17</v>
      </c>
      <c r="C91" t="s">
        <v>129</v>
      </c>
      <c r="D91" t="s">
        <v>136</v>
      </c>
      <c r="E91" t="s">
        <v>136</v>
      </c>
      <c r="I91" s="66"/>
      <c r="J91" s="6">
        <v>0</v>
      </c>
      <c r="L91">
        <v>0</v>
      </c>
      <c r="O91">
        <v>0</v>
      </c>
      <c r="R91" s="66"/>
      <c r="S91" s="6">
        <f>DataTable[HLD_MaturityDate] - DataTable[SEC_Issue_Date]</f>
        <v>0</v>
      </c>
      <c r="T91" s="66" t="str">
        <f>DataTable[HLD_Portfolio]&amp;DataTable[HLD_Date]</f>
        <v>SCBSFF43383</v>
      </c>
      <c r="W91" t="b">
        <f>DataTable[HLD_SecCode]="CB18O18A"</f>
        <v>0</v>
      </c>
    </row>
    <row r="92" spans="1:23" hidden="1" x14ac:dyDescent="0.2">
      <c r="A92" s="66">
        <v>43383</v>
      </c>
      <c r="B92" t="s">
        <v>17</v>
      </c>
      <c r="C92" t="s">
        <v>137</v>
      </c>
      <c r="D92" t="s">
        <v>134</v>
      </c>
      <c r="E92" t="s">
        <v>134</v>
      </c>
      <c r="I92" s="66"/>
      <c r="J92" s="6">
        <v>-21715.29</v>
      </c>
      <c r="L92">
        <v>-21715.29</v>
      </c>
      <c r="O92">
        <v>0</v>
      </c>
      <c r="R92" s="66"/>
      <c r="S92" s="6">
        <f>DataTable[HLD_MaturityDate] - DataTable[SEC_Issue_Date]</f>
        <v>0</v>
      </c>
      <c r="T92" s="66" t="str">
        <f>DataTable[HLD_Portfolio]&amp;DataTable[HLD_Date]</f>
        <v>SCBSFF43383</v>
      </c>
      <c r="W92" t="b">
        <f>DataTable[HLD_SecCode]="CB18O18A"</f>
        <v>0</v>
      </c>
    </row>
    <row r="93" spans="1:23" hidden="1" x14ac:dyDescent="0.2">
      <c r="A93" s="66">
        <v>43383</v>
      </c>
      <c r="B93" t="s">
        <v>17</v>
      </c>
      <c r="C93" t="s">
        <v>137</v>
      </c>
      <c r="D93" t="s">
        <v>135</v>
      </c>
      <c r="E93" t="s">
        <v>135</v>
      </c>
      <c r="I93" s="66"/>
      <c r="J93" s="6">
        <v>-1691144.46</v>
      </c>
      <c r="L93">
        <v>-1691144.46</v>
      </c>
      <c r="O93">
        <v>0</v>
      </c>
      <c r="R93" s="66"/>
      <c r="S93" s="6">
        <f>DataTable[HLD_MaturityDate] - DataTable[SEC_Issue_Date]</f>
        <v>0</v>
      </c>
      <c r="T93" s="66" t="str">
        <f>DataTable[HLD_Portfolio]&amp;DataTable[HLD_Date]</f>
        <v>SCBSFF43383</v>
      </c>
      <c r="W93" t="b">
        <f>DataTable[HLD_SecCode]="CB18O18A"</f>
        <v>0</v>
      </c>
    </row>
    <row r="94" spans="1:23" hidden="1" x14ac:dyDescent="0.2">
      <c r="A94" s="66">
        <v>43383</v>
      </c>
      <c r="B94" t="s">
        <v>17</v>
      </c>
      <c r="C94" t="s">
        <v>137</v>
      </c>
      <c r="D94" t="s">
        <v>136</v>
      </c>
      <c r="E94" t="s">
        <v>136</v>
      </c>
      <c r="I94" s="66"/>
      <c r="J94" s="6">
        <v>0</v>
      </c>
      <c r="L94">
        <v>0</v>
      </c>
      <c r="O94">
        <v>0</v>
      </c>
      <c r="R94" s="66"/>
      <c r="S94" s="6">
        <f>DataTable[HLD_MaturityDate] - DataTable[SEC_Issue_Date]</f>
        <v>0</v>
      </c>
      <c r="T94" s="66" t="str">
        <f>DataTable[HLD_Portfolio]&amp;DataTable[HLD_Date]</f>
        <v>SCBSFF43383</v>
      </c>
      <c r="W94" t="b">
        <f>DataTable[HLD_SecCode]="CB18O18A"</f>
        <v>0</v>
      </c>
    </row>
    <row r="95" spans="1:23" hidden="1" x14ac:dyDescent="0.2">
      <c r="A95" s="66">
        <v>43383</v>
      </c>
      <c r="B95" t="s">
        <v>139</v>
      </c>
      <c r="C95" t="s">
        <v>18</v>
      </c>
      <c r="D95" t="s">
        <v>19</v>
      </c>
      <c r="F95" t="s">
        <v>20</v>
      </c>
      <c r="G95" t="s">
        <v>21</v>
      </c>
      <c r="I95" s="66"/>
      <c r="J95" s="6">
        <v>6215226.3700000001</v>
      </c>
      <c r="K95">
        <v>575028.56000000006</v>
      </c>
      <c r="L95">
        <v>6215226.3700000001</v>
      </c>
      <c r="M95">
        <v>0</v>
      </c>
      <c r="N95">
        <v>0</v>
      </c>
      <c r="O95">
        <v>0</v>
      </c>
      <c r="P95" t="s">
        <v>22</v>
      </c>
      <c r="Q95" t="s">
        <v>23</v>
      </c>
      <c r="R95" s="66">
        <v>2</v>
      </c>
      <c r="S95" s="6">
        <f>DataTable[HLD_MaturityDate] - DataTable[SEC_Issue_Date]</f>
        <v>-2</v>
      </c>
      <c r="T95" s="66" t="str">
        <f>DataTable[HLD_Portfolio]&amp;DataTable[HLD_Date]</f>
        <v>SCBSFFPLUS43383</v>
      </c>
      <c r="W95" t="b">
        <f>DataTable[HLD_SecCode]="CB18O18A"</f>
        <v>0</v>
      </c>
    </row>
    <row r="96" spans="1:23" hidden="1" x14ac:dyDescent="0.2">
      <c r="A96" s="66">
        <v>43383</v>
      </c>
      <c r="B96" t="s">
        <v>139</v>
      </c>
      <c r="C96" t="s">
        <v>18</v>
      </c>
      <c r="D96" t="s">
        <v>19</v>
      </c>
      <c r="F96" t="s">
        <v>142</v>
      </c>
      <c r="G96" t="s">
        <v>143</v>
      </c>
      <c r="I96" s="66"/>
      <c r="J96" s="6">
        <v>0</v>
      </c>
      <c r="L96">
        <v>0</v>
      </c>
      <c r="M96">
        <v>0</v>
      </c>
      <c r="N96">
        <v>0</v>
      </c>
      <c r="O96">
        <v>0</v>
      </c>
      <c r="P96" t="s">
        <v>22</v>
      </c>
      <c r="Q96" t="s">
        <v>144</v>
      </c>
      <c r="R96" s="66">
        <v>2</v>
      </c>
      <c r="S96" s="6">
        <f>DataTable[HLD_MaturityDate] - DataTable[SEC_Issue_Date]</f>
        <v>-2</v>
      </c>
      <c r="T96" s="66" t="str">
        <f>DataTable[HLD_Portfolio]&amp;DataTable[HLD_Date]</f>
        <v>SCBSFFPLUS43383</v>
      </c>
      <c r="W96" t="b">
        <f>DataTable[HLD_SecCode]="CB18O18A"</f>
        <v>0</v>
      </c>
    </row>
    <row r="97" spans="1:23" hidden="1" x14ac:dyDescent="0.2">
      <c r="A97" s="66">
        <v>43383</v>
      </c>
      <c r="B97" t="s">
        <v>139</v>
      </c>
      <c r="C97" t="s">
        <v>18</v>
      </c>
      <c r="D97" t="s">
        <v>19</v>
      </c>
      <c r="F97" t="s">
        <v>25</v>
      </c>
      <c r="G97" t="s">
        <v>26</v>
      </c>
      <c r="H97" t="s">
        <v>27</v>
      </c>
      <c r="I97" s="66"/>
      <c r="J97" s="6">
        <v>0</v>
      </c>
      <c r="L97">
        <v>0</v>
      </c>
      <c r="M97">
        <v>0</v>
      </c>
      <c r="N97">
        <v>0</v>
      </c>
      <c r="O97">
        <v>0</v>
      </c>
      <c r="P97" t="s">
        <v>22</v>
      </c>
      <c r="Q97" t="s">
        <v>28</v>
      </c>
      <c r="R97" s="66">
        <v>2</v>
      </c>
      <c r="S97" s="6">
        <f>DataTable[HLD_MaturityDate] - DataTable[SEC_Issue_Date]</f>
        <v>-2</v>
      </c>
      <c r="T97" s="66" t="str">
        <f>DataTable[HLD_Portfolio]&amp;DataTable[HLD_Date]</f>
        <v>SCBSFFPLUS43383</v>
      </c>
      <c r="W97" t="b">
        <f>DataTable[HLD_SecCode]="CB18O18A"</f>
        <v>0</v>
      </c>
    </row>
    <row r="98" spans="1:23" hidden="1" x14ac:dyDescent="0.2">
      <c r="A98" s="66">
        <v>43383</v>
      </c>
      <c r="B98" t="s">
        <v>139</v>
      </c>
      <c r="C98" t="s">
        <v>18</v>
      </c>
      <c r="D98" t="s">
        <v>19</v>
      </c>
      <c r="F98" t="s">
        <v>30</v>
      </c>
      <c r="G98" t="s">
        <v>26</v>
      </c>
      <c r="H98" t="s">
        <v>27</v>
      </c>
      <c r="I98" s="66"/>
      <c r="J98" s="6">
        <v>0</v>
      </c>
      <c r="L98">
        <v>0</v>
      </c>
      <c r="M98">
        <v>0</v>
      </c>
      <c r="N98">
        <v>0</v>
      </c>
      <c r="O98">
        <v>0</v>
      </c>
      <c r="P98" t="s">
        <v>22</v>
      </c>
      <c r="Q98" t="s">
        <v>31</v>
      </c>
      <c r="R98" s="66">
        <v>2</v>
      </c>
      <c r="S98" s="6">
        <f>DataTable[HLD_MaturityDate] - DataTable[SEC_Issue_Date]</f>
        <v>-2</v>
      </c>
      <c r="T98" s="66" t="str">
        <f>DataTable[HLD_Portfolio]&amp;DataTable[HLD_Date]</f>
        <v>SCBSFFPLUS43383</v>
      </c>
      <c r="W98" t="b">
        <f>DataTable[HLD_SecCode]="CB18O18A"</f>
        <v>0</v>
      </c>
    </row>
    <row r="99" spans="1:23" hidden="1" x14ac:dyDescent="0.2">
      <c r="A99" s="66">
        <v>43383</v>
      </c>
      <c r="B99" t="s">
        <v>139</v>
      </c>
      <c r="C99" t="s">
        <v>18</v>
      </c>
      <c r="D99" t="s">
        <v>19</v>
      </c>
      <c r="F99" t="s">
        <v>145</v>
      </c>
      <c r="G99" t="s">
        <v>146</v>
      </c>
      <c r="H99" t="s">
        <v>27</v>
      </c>
      <c r="I99" s="66"/>
      <c r="J99" s="6">
        <v>0</v>
      </c>
      <c r="L99">
        <v>0</v>
      </c>
      <c r="M99">
        <v>0</v>
      </c>
      <c r="N99">
        <v>0</v>
      </c>
      <c r="O99">
        <v>0</v>
      </c>
      <c r="P99" t="s">
        <v>22</v>
      </c>
      <c r="Q99" t="s">
        <v>147</v>
      </c>
      <c r="R99" s="66">
        <v>2</v>
      </c>
      <c r="S99" s="6">
        <f>DataTable[HLD_MaturityDate] - DataTable[SEC_Issue_Date]</f>
        <v>-2</v>
      </c>
      <c r="T99" s="66" t="str">
        <f>DataTable[HLD_Portfolio]&amp;DataTable[HLD_Date]</f>
        <v>SCBSFFPLUS43383</v>
      </c>
      <c r="W99" t="b">
        <f>DataTable[HLD_SecCode]="CB18O18A"</f>
        <v>0</v>
      </c>
    </row>
    <row r="100" spans="1:23" hidden="1" x14ac:dyDescent="0.2">
      <c r="A100" s="66">
        <v>43383</v>
      </c>
      <c r="B100" t="s">
        <v>139</v>
      </c>
      <c r="C100" t="s">
        <v>18</v>
      </c>
      <c r="D100" t="s">
        <v>19</v>
      </c>
      <c r="F100" t="s">
        <v>32</v>
      </c>
      <c r="G100" t="s">
        <v>26</v>
      </c>
      <c r="H100" t="s">
        <v>27</v>
      </c>
      <c r="I100" s="66"/>
      <c r="J100" s="6">
        <v>0</v>
      </c>
      <c r="L100">
        <v>0</v>
      </c>
      <c r="M100">
        <v>0</v>
      </c>
      <c r="N100">
        <v>0</v>
      </c>
      <c r="O100">
        <v>0</v>
      </c>
      <c r="P100" t="s">
        <v>22</v>
      </c>
      <c r="Q100" t="s">
        <v>33</v>
      </c>
      <c r="R100" s="66">
        <v>2</v>
      </c>
      <c r="S100" s="6">
        <f>DataTable[HLD_MaturityDate] - DataTable[SEC_Issue_Date]</f>
        <v>-2</v>
      </c>
      <c r="T100" s="66" t="str">
        <f>DataTable[HLD_Portfolio]&amp;DataTable[HLD_Date]</f>
        <v>SCBSFFPLUS43383</v>
      </c>
      <c r="W100" t="b">
        <f>DataTable[HLD_SecCode]="CB18O18A"</f>
        <v>0</v>
      </c>
    </row>
    <row r="101" spans="1:23" hidden="1" x14ac:dyDescent="0.2">
      <c r="A101" s="66">
        <v>43383</v>
      </c>
      <c r="B101" t="s">
        <v>139</v>
      </c>
      <c r="C101" t="s">
        <v>18</v>
      </c>
      <c r="D101" t="s">
        <v>19</v>
      </c>
      <c r="F101" t="s">
        <v>148</v>
      </c>
      <c r="G101" t="s">
        <v>26</v>
      </c>
      <c r="H101" t="s">
        <v>27</v>
      </c>
      <c r="I101" s="66"/>
      <c r="J101" s="6">
        <v>0</v>
      </c>
      <c r="L101">
        <v>0</v>
      </c>
      <c r="M101">
        <v>0</v>
      </c>
      <c r="N101">
        <v>0</v>
      </c>
      <c r="O101">
        <v>0</v>
      </c>
      <c r="P101" t="s">
        <v>22</v>
      </c>
      <c r="Q101" t="s">
        <v>149</v>
      </c>
      <c r="R101" s="66">
        <v>2</v>
      </c>
      <c r="S101" s="6">
        <f>DataTable[HLD_MaturityDate] - DataTable[SEC_Issue_Date]</f>
        <v>-2</v>
      </c>
      <c r="T101" s="66" t="str">
        <f>DataTable[HLD_Portfolio]&amp;DataTable[HLD_Date]</f>
        <v>SCBSFFPLUS43383</v>
      </c>
      <c r="W101" t="b">
        <f>DataTable[HLD_SecCode]="CB18O18A"</f>
        <v>0</v>
      </c>
    </row>
    <row r="102" spans="1:23" hidden="1" x14ac:dyDescent="0.2">
      <c r="A102" s="66">
        <v>43383</v>
      </c>
      <c r="B102" t="s">
        <v>139</v>
      </c>
      <c r="C102" t="s">
        <v>18</v>
      </c>
      <c r="D102" t="s">
        <v>19</v>
      </c>
      <c r="F102" t="s">
        <v>36</v>
      </c>
      <c r="G102" t="s">
        <v>26</v>
      </c>
      <c r="H102" t="s">
        <v>27</v>
      </c>
      <c r="I102" s="66"/>
      <c r="J102" s="6">
        <v>0</v>
      </c>
      <c r="L102">
        <v>0</v>
      </c>
      <c r="M102">
        <v>0</v>
      </c>
      <c r="N102">
        <v>0</v>
      </c>
      <c r="O102">
        <v>0</v>
      </c>
      <c r="P102" t="s">
        <v>22</v>
      </c>
      <c r="Q102" t="s">
        <v>37</v>
      </c>
      <c r="R102" s="66">
        <v>2</v>
      </c>
      <c r="S102" s="6">
        <f>DataTable[HLD_MaturityDate] - DataTable[SEC_Issue_Date]</f>
        <v>-2</v>
      </c>
      <c r="T102" s="66" t="str">
        <f>DataTable[HLD_Portfolio]&amp;DataTable[HLD_Date]</f>
        <v>SCBSFFPLUS43383</v>
      </c>
      <c r="W102" t="b">
        <f>DataTable[HLD_SecCode]="CB18O18A"</f>
        <v>0</v>
      </c>
    </row>
    <row r="103" spans="1:23" hidden="1" x14ac:dyDescent="0.2">
      <c r="A103" s="66">
        <v>43383</v>
      </c>
      <c r="B103" t="s">
        <v>139</v>
      </c>
      <c r="C103" t="s">
        <v>18</v>
      </c>
      <c r="D103" t="s">
        <v>38</v>
      </c>
      <c r="F103" t="s">
        <v>150</v>
      </c>
      <c r="G103" t="s">
        <v>151</v>
      </c>
      <c r="H103" t="s">
        <v>35</v>
      </c>
      <c r="I103" s="66">
        <v>43497</v>
      </c>
      <c r="J103" s="6">
        <v>3784890000</v>
      </c>
      <c r="L103">
        <v>3783227481.6999998</v>
      </c>
      <c r="N103">
        <v>100000000</v>
      </c>
      <c r="O103">
        <v>0.14000000000000001</v>
      </c>
      <c r="P103" t="s">
        <v>42</v>
      </c>
      <c r="Q103" t="s">
        <v>31</v>
      </c>
      <c r="R103" s="66">
        <v>43136</v>
      </c>
      <c r="S103" s="6">
        <f>DataTable[HLD_MaturityDate] - DataTable[SEC_Issue_Date]</f>
        <v>361</v>
      </c>
      <c r="T103" s="66" t="str">
        <f>DataTable[HLD_Portfolio]&amp;DataTable[HLD_Date]</f>
        <v>SCBSFFPLUS43383</v>
      </c>
      <c r="W103" t="b">
        <f>DataTable[HLD_SecCode]="CB18O18A"</f>
        <v>0</v>
      </c>
    </row>
    <row r="104" spans="1:23" hidden="1" x14ac:dyDescent="0.2">
      <c r="A104" s="66">
        <v>43383</v>
      </c>
      <c r="B104" t="s">
        <v>139</v>
      </c>
      <c r="C104" t="s">
        <v>18</v>
      </c>
      <c r="D104" t="s">
        <v>38</v>
      </c>
      <c r="F104" t="s">
        <v>152</v>
      </c>
      <c r="G104" t="s">
        <v>153</v>
      </c>
      <c r="H104" t="s">
        <v>47</v>
      </c>
      <c r="I104" s="66">
        <v>43481</v>
      </c>
      <c r="J104" s="6">
        <v>987539553</v>
      </c>
      <c r="K104">
        <v>18394291.670000002</v>
      </c>
      <c r="L104">
        <v>987728752.84000003</v>
      </c>
      <c r="N104">
        <v>30000000</v>
      </c>
      <c r="O104">
        <v>2.6850000000000001</v>
      </c>
      <c r="P104" t="s">
        <v>42</v>
      </c>
      <c r="Q104" t="s">
        <v>37</v>
      </c>
      <c r="R104" s="66">
        <v>43116</v>
      </c>
      <c r="S104" s="6">
        <f>DataTable[HLD_MaturityDate] - DataTable[SEC_Issue_Date]</f>
        <v>365</v>
      </c>
      <c r="T104" s="66" t="str">
        <f>DataTable[HLD_Portfolio]&amp;DataTable[HLD_Date]</f>
        <v>SCBSFFPLUS43383</v>
      </c>
      <c r="W104" t="b">
        <f>DataTable[HLD_SecCode]="CB18O18A"</f>
        <v>0</v>
      </c>
    </row>
    <row r="105" spans="1:23" hidden="1" x14ac:dyDescent="0.2">
      <c r="A105" s="66">
        <v>43383</v>
      </c>
      <c r="B105" t="s">
        <v>139</v>
      </c>
      <c r="C105" t="s">
        <v>18</v>
      </c>
      <c r="D105" t="s">
        <v>38</v>
      </c>
      <c r="F105" t="s">
        <v>154</v>
      </c>
      <c r="G105" t="s">
        <v>40</v>
      </c>
      <c r="H105" t="s">
        <v>41</v>
      </c>
      <c r="I105" s="66">
        <v>43602</v>
      </c>
      <c r="J105" s="6">
        <v>2000000000</v>
      </c>
      <c r="K105">
        <v>13290410.960000001</v>
      </c>
      <c r="L105">
        <v>2000000000</v>
      </c>
      <c r="M105">
        <v>0.59415600000000002</v>
      </c>
      <c r="N105">
        <v>2000000000</v>
      </c>
      <c r="O105">
        <v>1.65</v>
      </c>
      <c r="P105" t="s">
        <v>42</v>
      </c>
      <c r="Q105" t="s">
        <v>23</v>
      </c>
      <c r="R105" s="66">
        <v>43237</v>
      </c>
      <c r="S105" s="6">
        <f>DataTable[HLD_MaturityDate] - DataTable[SEC_Issue_Date]</f>
        <v>365</v>
      </c>
      <c r="T105" s="66" t="str">
        <f>DataTable[HLD_Portfolio]&amp;DataTable[HLD_Date]</f>
        <v>SCBSFFPLUS43383</v>
      </c>
      <c r="W105" t="b">
        <f>DataTable[HLD_SecCode]="CB18O18A"</f>
        <v>0</v>
      </c>
    </row>
    <row r="106" spans="1:23" hidden="1" x14ac:dyDescent="0.2">
      <c r="A106" s="66">
        <v>43383</v>
      </c>
      <c r="B106" t="s">
        <v>139</v>
      </c>
      <c r="C106" t="s">
        <v>18</v>
      </c>
      <c r="D106" t="s">
        <v>38</v>
      </c>
      <c r="F106" t="s">
        <v>155</v>
      </c>
      <c r="G106" t="s">
        <v>156</v>
      </c>
      <c r="H106" t="s">
        <v>47</v>
      </c>
      <c r="I106" s="66">
        <v>43530</v>
      </c>
      <c r="J106" s="6">
        <v>3784890000</v>
      </c>
      <c r="L106">
        <v>3784890000</v>
      </c>
      <c r="N106">
        <v>100000000</v>
      </c>
      <c r="O106">
        <v>0</v>
      </c>
      <c r="P106" t="s">
        <v>42</v>
      </c>
      <c r="Q106" t="s">
        <v>31</v>
      </c>
      <c r="R106" s="66">
        <v>43165</v>
      </c>
      <c r="S106" s="6">
        <f>DataTable[HLD_MaturityDate] - DataTable[SEC_Issue_Date]</f>
        <v>365</v>
      </c>
      <c r="T106" s="66" t="str">
        <f>DataTable[HLD_Portfolio]&amp;DataTable[HLD_Date]</f>
        <v>SCBSFFPLUS43383</v>
      </c>
      <c r="W106" t="b">
        <f>DataTable[HLD_SecCode]="CB18O18A"</f>
        <v>0</v>
      </c>
    </row>
    <row r="107" spans="1:23" hidden="1" x14ac:dyDescent="0.2">
      <c r="A107" s="66">
        <v>43383</v>
      </c>
      <c r="B107" t="s">
        <v>139</v>
      </c>
      <c r="C107" t="s">
        <v>18</v>
      </c>
      <c r="D107" t="s">
        <v>38</v>
      </c>
      <c r="F107" t="s">
        <v>157</v>
      </c>
      <c r="G107" t="s">
        <v>156</v>
      </c>
      <c r="H107" t="s">
        <v>47</v>
      </c>
      <c r="I107" s="66">
        <v>43441</v>
      </c>
      <c r="J107" s="6">
        <v>1892445000</v>
      </c>
      <c r="L107">
        <v>1892474964.1900001</v>
      </c>
      <c r="N107">
        <v>50000000</v>
      </c>
      <c r="O107">
        <v>-0.01</v>
      </c>
      <c r="P107" t="s">
        <v>42</v>
      </c>
      <c r="Q107" t="s">
        <v>31</v>
      </c>
      <c r="R107" s="66">
        <v>43076</v>
      </c>
      <c r="S107" s="6">
        <f>DataTable[HLD_MaturityDate] - DataTable[SEC_Issue_Date]</f>
        <v>365</v>
      </c>
      <c r="T107" s="66" t="str">
        <f>DataTable[HLD_Portfolio]&amp;DataTable[HLD_Date]</f>
        <v>SCBSFFPLUS43383</v>
      </c>
      <c r="W107" t="b">
        <f>DataTable[HLD_SecCode]="CB18O18A"</f>
        <v>0</v>
      </c>
    </row>
    <row r="108" spans="1:23" hidden="1" x14ac:dyDescent="0.2">
      <c r="A108" s="66">
        <v>43383</v>
      </c>
      <c r="B108" t="s">
        <v>139</v>
      </c>
      <c r="C108" t="s">
        <v>18</v>
      </c>
      <c r="D108" t="s">
        <v>38</v>
      </c>
      <c r="F108" t="s">
        <v>158</v>
      </c>
      <c r="G108" t="s">
        <v>159</v>
      </c>
      <c r="H108" t="s">
        <v>47</v>
      </c>
      <c r="I108" s="66">
        <v>43504</v>
      </c>
      <c r="J108" s="6">
        <v>1647250000</v>
      </c>
      <c r="K108">
        <v>31261144.440000001</v>
      </c>
      <c r="L108">
        <v>1647250000</v>
      </c>
      <c r="N108">
        <v>50000000</v>
      </c>
      <c r="O108">
        <v>2.8</v>
      </c>
      <c r="P108" t="s">
        <v>42</v>
      </c>
      <c r="Q108" t="s">
        <v>37</v>
      </c>
      <c r="R108" s="66">
        <v>43140</v>
      </c>
      <c r="S108" s="6">
        <f>DataTable[HLD_MaturityDate] - DataTable[SEC_Issue_Date]</f>
        <v>364</v>
      </c>
      <c r="T108" s="66" t="str">
        <f>DataTable[HLD_Portfolio]&amp;DataTable[HLD_Date]</f>
        <v>SCBSFFPLUS43383</v>
      </c>
      <c r="W108" t="b">
        <f>DataTable[HLD_SecCode]="CB18O18A"</f>
        <v>0</v>
      </c>
    </row>
    <row r="109" spans="1:23" hidden="1" x14ac:dyDescent="0.2">
      <c r="A109" s="66">
        <v>43383</v>
      </c>
      <c r="B109" t="s">
        <v>139</v>
      </c>
      <c r="C109" t="s">
        <v>18</v>
      </c>
      <c r="D109" t="s">
        <v>38</v>
      </c>
      <c r="F109" t="s">
        <v>160</v>
      </c>
      <c r="G109" t="s">
        <v>46</v>
      </c>
      <c r="H109" t="s">
        <v>47</v>
      </c>
      <c r="I109" s="66">
        <v>43509</v>
      </c>
      <c r="J109" s="6">
        <v>3784890000</v>
      </c>
      <c r="K109">
        <v>1261630</v>
      </c>
      <c r="L109">
        <v>3865000000</v>
      </c>
      <c r="M109">
        <v>0.349939</v>
      </c>
      <c r="N109">
        <v>100000000</v>
      </c>
      <c r="O109">
        <v>0.05</v>
      </c>
      <c r="P109" t="s">
        <v>42</v>
      </c>
      <c r="Q109" t="s">
        <v>31</v>
      </c>
      <c r="R109" s="66">
        <v>43144</v>
      </c>
      <c r="S109" s="6">
        <f>DataTable[HLD_MaturityDate] - DataTable[SEC_Issue_Date]</f>
        <v>365</v>
      </c>
      <c r="T109" s="66" t="str">
        <f>DataTable[HLD_Portfolio]&amp;DataTable[HLD_Date]</f>
        <v>SCBSFFPLUS43383</v>
      </c>
      <c r="W109" t="b">
        <f>DataTable[HLD_SecCode]="CB18O18A"</f>
        <v>0</v>
      </c>
    </row>
    <row r="110" spans="1:23" hidden="1" x14ac:dyDescent="0.2">
      <c r="A110" s="66">
        <v>43383</v>
      </c>
      <c r="B110" t="s">
        <v>139</v>
      </c>
      <c r="C110" t="s">
        <v>18</v>
      </c>
      <c r="D110" t="s">
        <v>38</v>
      </c>
      <c r="F110" t="s">
        <v>161</v>
      </c>
      <c r="G110" t="s">
        <v>46</v>
      </c>
      <c r="H110" t="s">
        <v>47</v>
      </c>
      <c r="I110" s="66">
        <v>43546</v>
      </c>
      <c r="J110" s="6">
        <v>1135467000</v>
      </c>
      <c r="K110">
        <v>256110.89</v>
      </c>
      <c r="L110">
        <v>1140000000</v>
      </c>
      <c r="M110">
        <v>0.45269599999999999</v>
      </c>
      <c r="N110">
        <v>30000000</v>
      </c>
      <c r="O110">
        <v>0.04</v>
      </c>
      <c r="P110" t="s">
        <v>42</v>
      </c>
      <c r="Q110" t="s">
        <v>31</v>
      </c>
      <c r="R110" s="66">
        <v>43181</v>
      </c>
      <c r="S110" s="6">
        <f>DataTable[HLD_MaturityDate] - DataTable[SEC_Issue_Date]</f>
        <v>365</v>
      </c>
      <c r="T110" s="66" t="str">
        <f>DataTable[HLD_Portfolio]&amp;DataTable[HLD_Date]</f>
        <v>SCBSFFPLUS43383</v>
      </c>
      <c r="W110" t="b">
        <f>DataTable[HLD_SecCode]="CB18O18A"</f>
        <v>0</v>
      </c>
    </row>
    <row r="111" spans="1:23" hidden="1" x14ac:dyDescent="0.2">
      <c r="A111" s="66">
        <v>43383</v>
      </c>
      <c r="B111" t="s">
        <v>139</v>
      </c>
      <c r="C111" t="s">
        <v>18</v>
      </c>
      <c r="D111" t="s">
        <v>38</v>
      </c>
      <c r="F111" t="s">
        <v>162</v>
      </c>
      <c r="G111" t="s">
        <v>46</v>
      </c>
      <c r="H111" t="s">
        <v>47</v>
      </c>
      <c r="I111" s="66">
        <v>43608</v>
      </c>
      <c r="J111" s="6">
        <v>3027912000</v>
      </c>
      <c r="K111">
        <v>1648529.87</v>
      </c>
      <c r="L111">
        <v>3010400000</v>
      </c>
      <c r="M111">
        <v>0.62445399999999995</v>
      </c>
      <c r="N111">
        <v>80000000</v>
      </c>
      <c r="O111">
        <v>0.14000000000000001</v>
      </c>
      <c r="P111" t="s">
        <v>42</v>
      </c>
      <c r="Q111" t="s">
        <v>31</v>
      </c>
      <c r="R111" s="66">
        <v>43244</v>
      </c>
      <c r="S111" s="6">
        <f>DataTable[HLD_MaturityDate] - DataTable[SEC_Issue_Date]</f>
        <v>364</v>
      </c>
      <c r="T111" s="66" t="str">
        <f>DataTable[HLD_Portfolio]&amp;DataTable[HLD_Date]</f>
        <v>SCBSFFPLUS43383</v>
      </c>
      <c r="W111" t="b">
        <f>DataTable[HLD_SecCode]="CB18O18A"</f>
        <v>0</v>
      </c>
    </row>
    <row r="112" spans="1:23" hidden="1" x14ac:dyDescent="0.2">
      <c r="A112" s="66">
        <v>43383</v>
      </c>
      <c r="B112" t="s">
        <v>139</v>
      </c>
      <c r="C112" t="s">
        <v>18</v>
      </c>
      <c r="D112" t="s">
        <v>38</v>
      </c>
      <c r="F112" t="s">
        <v>163</v>
      </c>
      <c r="G112" t="s">
        <v>46</v>
      </c>
      <c r="H112" t="s">
        <v>47</v>
      </c>
      <c r="I112" s="66">
        <v>43641</v>
      </c>
      <c r="J112" s="6">
        <v>2800325000</v>
      </c>
      <c r="K112">
        <v>27891237</v>
      </c>
      <c r="L112">
        <v>2803725000</v>
      </c>
      <c r="M112">
        <v>0.70016999999999996</v>
      </c>
      <c r="N112">
        <v>85000000</v>
      </c>
      <c r="O112">
        <v>3.32</v>
      </c>
      <c r="P112" t="s">
        <v>42</v>
      </c>
      <c r="Q112" t="s">
        <v>37</v>
      </c>
      <c r="R112" s="66">
        <v>43276</v>
      </c>
      <c r="S112" s="6">
        <f>DataTable[HLD_MaturityDate] - DataTable[SEC_Issue_Date]</f>
        <v>365</v>
      </c>
      <c r="T112" s="66" t="str">
        <f>DataTable[HLD_Portfolio]&amp;DataTable[HLD_Date]</f>
        <v>SCBSFFPLUS43383</v>
      </c>
      <c r="W112" t="b">
        <f>DataTable[HLD_SecCode]="CB18O18A"</f>
        <v>0</v>
      </c>
    </row>
    <row r="113" spans="1:23" hidden="1" x14ac:dyDescent="0.2">
      <c r="A113" s="66">
        <v>43383</v>
      </c>
      <c r="B113" t="s">
        <v>139</v>
      </c>
      <c r="C113" t="s">
        <v>18</v>
      </c>
      <c r="D113" t="s">
        <v>38</v>
      </c>
      <c r="F113" t="s">
        <v>164</v>
      </c>
      <c r="G113" t="s">
        <v>46</v>
      </c>
      <c r="H113" t="s">
        <v>47</v>
      </c>
      <c r="I113" s="66">
        <v>43581</v>
      </c>
      <c r="J113" s="6">
        <v>1976700000</v>
      </c>
      <c r="K113">
        <v>29241982</v>
      </c>
      <c r="L113">
        <v>1887600000</v>
      </c>
      <c r="M113">
        <v>0.540709</v>
      </c>
      <c r="N113">
        <v>60000000</v>
      </c>
      <c r="O113">
        <v>3.17</v>
      </c>
      <c r="P113" t="s">
        <v>42</v>
      </c>
      <c r="Q113" t="s">
        <v>37</v>
      </c>
      <c r="R113" s="66">
        <v>43216</v>
      </c>
      <c r="S113" s="6">
        <f>DataTable[HLD_MaturityDate] - DataTable[SEC_Issue_Date]</f>
        <v>365</v>
      </c>
      <c r="T113" s="66" t="str">
        <f>DataTable[HLD_Portfolio]&amp;DataTable[HLD_Date]</f>
        <v>SCBSFFPLUS43383</v>
      </c>
      <c r="W113" t="b">
        <f>DataTable[HLD_SecCode]="CB18O18A"</f>
        <v>0</v>
      </c>
    </row>
    <row r="114" spans="1:23" hidden="1" x14ac:dyDescent="0.2">
      <c r="A114" s="66">
        <v>43383</v>
      </c>
      <c r="B114" t="s">
        <v>139</v>
      </c>
      <c r="C114" t="s">
        <v>18</v>
      </c>
      <c r="D114" t="s">
        <v>38</v>
      </c>
      <c r="F114" t="s">
        <v>165</v>
      </c>
      <c r="G114" t="s">
        <v>46</v>
      </c>
      <c r="H114" t="s">
        <v>47</v>
      </c>
      <c r="I114" s="66">
        <v>43551</v>
      </c>
      <c r="J114" s="6">
        <v>3027912000</v>
      </c>
      <c r="K114">
        <v>1831886.76</v>
      </c>
      <c r="L114">
        <v>3051200000</v>
      </c>
      <c r="M114">
        <v>0.46642699999999998</v>
      </c>
      <c r="N114">
        <v>80000000</v>
      </c>
      <c r="O114">
        <v>0.11</v>
      </c>
      <c r="P114" t="s">
        <v>42</v>
      </c>
      <c r="Q114" t="s">
        <v>31</v>
      </c>
      <c r="R114" s="66">
        <v>43186</v>
      </c>
      <c r="S114" s="6">
        <f>DataTable[HLD_MaturityDate] - DataTable[SEC_Issue_Date]</f>
        <v>365</v>
      </c>
      <c r="T114" s="66" t="str">
        <f>DataTable[HLD_Portfolio]&amp;DataTable[HLD_Date]</f>
        <v>SCBSFFPLUS43383</v>
      </c>
      <c r="W114" t="b">
        <f>DataTable[HLD_SecCode]="CB18O18A"</f>
        <v>0</v>
      </c>
    </row>
    <row r="115" spans="1:23" hidden="1" x14ac:dyDescent="0.2">
      <c r="A115" s="66">
        <v>43383</v>
      </c>
      <c r="B115" t="s">
        <v>139</v>
      </c>
      <c r="C115" t="s">
        <v>18</v>
      </c>
      <c r="D115" t="s">
        <v>38</v>
      </c>
      <c r="F115" t="s">
        <v>166</v>
      </c>
      <c r="G115" t="s">
        <v>46</v>
      </c>
      <c r="H115" t="s">
        <v>47</v>
      </c>
      <c r="I115" s="66">
        <v>43552</v>
      </c>
      <c r="J115" s="6">
        <v>3027912000</v>
      </c>
      <c r="K115">
        <v>1739787.77</v>
      </c>
      <c r="L115">
        <v>3065600000</v>
      </c>
      <c r="M115">
        <v>0.46921299999999999</v>
      </c>
      <c r="N115">
        <v>80000000</v>
      </c>
      <c r="O115">
        <v>0.105</v>
      </c>
      <c r="P115" t="s">
        <v>42</v>
      </c>
      <c r="Q115" t="s">
        <v>31</v>
      </c>
      <c r="R115" s="66">
        <v>43187</v>
      </c>
      <c r="S115" s="6">
        <f>DataTable[HLD_MaturityDate] - DataTable[SEC_Issue_Date]</f>
        <v>365</v>
      </c>
      <c r="T115" s="66" t="str">
        <f>DataTable[HLD_Portfolio]&amp;DataTable[HLD_Date]</f>
        <v>SCBSFFPLUS43383</v>
      </c>
      <c r="W115" t="b">
        <f>DataTable[HLD_SecCode]="CB18O18A"</f>
        <v>0</v>
      </c>
    </row>
    <row r="116" spans="1:23" hidden="1" x14ac:dyDescent="0.2">
      <c r="A116" s="66">
        <v>43383</v>
      </c>
      <c r="B116" t="s">
        <v>139</v>
      </c>
      <c r="C116" t="s">
        <v>18</v>
      </c>
      <c r="D116" t="s">
        <v>38</v>
      </c>
      <c r="F116" t="s">
        <v>167</v>
      </c>
      <c r="G116" t="s">
        <v>46</v>
      </c>
      <c r="H116" t="s">
        <v>47</v>
      </c>
      <c r="I116" s="66">
        <v>43496</v>
      </c>
      <c r="J116" s="6">
        <v>3784890000</v>
      </c>
      <c r="K116">
        <v>3989904.88</v>
      </c>
      <c r="L116">
        <v>3880000000</v>
      </c>
      <c r="M116">
        <v>0.31374099999999999</v>
      </c>
      <c r="N116">
        <v>100000000</v>
      </c>
      <c r="O116">
        <v>0.15</v>
      </c>
      <c r="P116" t="s">
        <v>42</v>
      </c>
      <c r="Q116" t="s">
        <v>31</v>
      </c>
      <c r="R116" s="66">
        <v>43131</v>
      </c>
      <c r="S116" s="6">
        <f>DataTable[HLD_MaturityDate] - DataTable[SEC_Issue_Date]</f>
        <v>365</v>
      </c>
      <c r="T116" s="66" t="str">
        <f>DataTable[HLD_Portfolio]&amp;DataTable[HLD_Date]</f>
        <v>SCBSFFPLUS43383</v>
      </c>
      <c r="W116" t="b">
        <f>DataTable[HLD_SecCode]="CB18O18A"</f>
        <v>0</v>
      </c>
    </row>
    <row r="117" spans="1:23" hidden="1" x14ac:dyDescent="0.2">
      <c r="A117" s="66">
        <v>43383</v>
      </c>
      <c r="B117" t="s">
        <v>139</v>
      </c>
      <c r="C117" t="s">
        <v>18</v>
      </c>
      <c r="D117" t="s">
        <v>38</v>
      </c>
      <c r="F117" t="s">
        <v>168</v>
      </c>
      <c r="G117" t="s">
        <v>46</v>
      </c>
      <c r="H117" t="s">
        <v>47</v>
      </c>
      <c r="I117" s="66">
        <v>43616</v>
      </c>
      <c r="J117" s="6">
        <v>1892445000</v>
      </c>
      <c r="K117">
        <v>986174.12</v>
      </c>
      <c r="L117">
        <v>1855000000</v>
      </c>
      <c r="M117">
        <v>0.64663700000000002</v>
      </c>
      <c r="N117">
        <v>50000000</v>
      </c>
      <c r="O117">
        <v>0.14000000000000001</v>
      </c>
      <c r="P117" t="s">
        <v>42</v>
      </c>
      <c r="Q117" t="s">
        <v>31</v>
      </c>
      <c r="R117" s="66">
        <v>43250</v>
      </c>
      <c r="S117" s="6">
        <f>DataTable[HLD_MaturityDate] - DataTable[SEC_Issue_Date]</f>
        <v>366</v>
      </c>
      <c r="T117" s="66" t="str">
        <f>DataTable[HLD_Portfolio]&amp;DataTable[HLD_Date]</f>
        <v>SCBSFFPLUS43383</v>
      </c>
      <c r="W117" t="b">
        <f>DataTable[HLD_SecCode]="CB18O18A"</f>
        <v>0</v>
      </c>
    </row>
    <row r="118" spans="1:23" hidden="1" x14ac:dyDescent="0.2">
      <c r="A118" s="66">
        <v>43383</v>
      </c>
      <c r="B118" t="s">
        <v>139</v>
      </c>
      <c r="C118" t="s">
        <v>18</v>
      </c>
      <c r="D118" t="s">
        <v>38</v>
      </c>
      <c r="F118" t="s">
        <v>49</v>
      </c>
      <c r="G118" t="s">
        <v>50</v>
      </c>
      <c r="H118" t="s">
        <v>51</v>
      </c>
      <c r="I118" s="66">
        <v>43410</v>
      </c>
      <c r="J118" s="6">
        <v>1153075000</v>
      </c>
      <c r="K118">
        <v>25978071.890000001</v>
      </c>
      <c r="L118">
        <v>1158500000</v>
      </c>
      <c r="M118">
        <v>7.4868000000000004E-2</v>
      </c>
      <c r="N118">
        <v>35000000</v>
      </c>
      <c r="O118">
        <v>2.4066999999999998</v>
      </c>
      <c r="P118" t="s">
        <v>42</v>
      </c>
      <c r="Q118" t="s">
        <v>37</v>
      </c>
      <c r="R118" s="66">
        <v>43047</v>
      </c>
      <c r="S118" s="6">
        <f>DataTable[HLD_MaturityDate] - DataTable[SEC_Issue_Date]</f>
        <v>363</v>
      </c>
      <c r="T118" s="66" t="str">
        <f>DataTable[HLD_Portfolio]&amp;DataTable[HLD_Date]</f>
        <v>SCBSFFPLUS43383</v>
      </c>
      <c r="W118" t="b">
        <f>DataTable[HLD_SecCode]="CB18O18A"</f>
        <v>0</v>
      </c>
    </row>
    <row r="119" spans="1:23" hidden="1" x14ac:dyDescent="0.2">
      <c r="A119" s="66">
        <v>43383</v>
      </c>
      <c r="B119" t="s">
        <v>139</v>
      </c>
      <c r="C119" t="s">
        <v>18</v>
      </c>
      <c r="D119" t="s">
        <v>38</v>
      </c>
      <c r="F119" t="s">
        <v>52</v>
      </c>
      <c r="G119" t="s">
        <v>50</v>
      </c>
      <c r="H119" t="s">
        <v>51</v>
      </c>
      <c r="I119" s="66">
        <v>43389</v>
      </c>
      <c r="J119" s="6">
        <v>1647250000</v>
      </c>
      <c r="K119">
        <v>39204550</v>
      </c>
      <c r="L119">
        <v>1654000000</v>
      </c>
      <c r="M119">
        <v>1.6660000000000001E-2</v>
      </c>
      <c r="N119">
        <v>50000000</v>
      </c>
      <c r="O119">
        <v>2.4</v>
      </c>
      <c r="P119" t="s">
        <v>42</v>
      </c>
      <c r="Q119" t="s">
        <v>37</v>
      </c>
      <c r="R119" s="66">
        <v>43027</v>
      </c>
      <c r="S119" s="6">
        <f>DataTable[HLD_MaturityDate] - DataTable[SEC_Issue_Date]</f>
        <v>362</v>
      </c>
      <c r="T119" s="66" t="str">
        <f>DataTable[HLD_Portfolio]&amp;DataTable[HLD_Date]</f>
        <v>SCBSFFPLUS43383</v>
      </c>
      <c r="W119" t="b">
        <f>DataTable[HLD_SecCode]="CB18O18A"</f>
        <v>0</v>
      </c>
    </row>
    <row r="120" spans="1:23" hidden="1" x14ac:dyDescent="0.2">
      <c r="A120" s="66">
        <v>43383</v>
      </c>
      <c r="B120" t="s">
        <v>139</v>
      </c>
      <c r="C120" t="s">
        <v>18</v>
      </c>
      <c r="D120" t="s">
        <v>38</v>
      </c>
      <c r="F120" t="s">
        <v>169</v>
      </c>
      <c r="G120" t="s">
        <v>50</v>
      </c>
      <c r="H120" t="s">
        <v>51</v>
      </c>
      <c r="I120" s="66">
        <v>43452</v>
      </c>
      <c r="J120" s="6">
        <v>3587802880</v>
      </c>
      <c r="K120">
        <v>85838183.900000006</v>
      </c>
      <c r="L120">
        <v>3542000000</v>
      </c>
      <c r="M120">
        <v>0.190632</v>
      </c>
      <c r="N120">
        <v>400000000</v>
      </c>
      <c r="O120">
        <v>2.9</v>
      </c>
      <c r="P120" t="s">
        <v>42</v>
      </c>
      <c r="Q120" t="s">
        <v>144</v>
      </c>
      <c r="R120" s="66">
        <v>43087</v>
      </c>
      <c r="S120" s="6">
        <f>DataTable[HLD_MaturityDate] - DataTable[SEC_Issue_Date]</f>
        <v>365</v>
      </c>
      <c r="T120" s="66" t="str">
        <f>DataTable[HLD_Portfolio]&amp;DataTable[HLD_Date]</f>
        <v>SCBSFFPLUS43383</v>
      </c>
      <c r="W120" t="b">
        <f>DataTable[HLD_SecCode]="CB18O18A"</f>
        <v>0</v>
      </c>
    </row>
    <row r="121" spans="1:23" hidden="1" x14ac:dyDescent="0.2">
      <c r="A121" s="66">
        <v>43383</v>
      </c>
      <c r="B121" t="s">
        <v>139</v>
      </c>
      <c r="C121" t="s">
        <v>18</v>
      </c>
      <c r="D121" t="s">
        <v>38</v>
      </c>
      <c r="F121" t="s">
        <v>170</v>
      </c>
      <c r="G121" t="s">
        <v>54</v>
      </c>
      <c r="H121" t="s">
        <v>47</v>
      </c>
      <c r="I121" s="66">
        <v>43587</v>
      </c>
      <c r="J121" s="6">
        <v>2649423000</v>
      </c>
      <c r="K121">
        <v>706512.8</v>
      </c>
      <c r="L121">
        <v>2660000000</v>
      </c>
      <c r="M121">
        <v>0.56647400000000003</v>
      </c>
      <c r="N121">
        <v>70000000</v>
      </c>
      <c r="O121">
        <v>0.06</v>
      </c>
      <c r="P121" t="s">
        <v>42</v>
      </c>
      <c r="Q121" t="s">
        <v>31</v>
      </c>
      <c r="R121" s="66">
        <v>43224</v>
      </c>
      <c r="S121" s="6">
        <f>DataTable[HLD_MaturityDate] - DataTable[SEC_Issue_Date]</f>
        <v>363</v>
      </c>
      <c r="T121" s="66" t="str">
        <f>DataTable[HLD_Portfolio]&amp;DataTable[HLD_Date]</f>
        <v>SCBSFFPLUS43383</v>
      </c>
      <c r="W121" t="b">
        <f>DataTable[HLD_SecCode]="CB18O18A"</f>
        <v>0</v>
      </c>
    </row>
    <row r="122" spans="1:23" hidden="1" x14ac:dyDescent="0.2">
      <c r="A122" s="66">
        <v>43383</v>
      </c>
      <c r="B122" t="s">
        <v>139</v>
      </c>
      <c r="C122" t="s">
        <v>18</v>
      </c>
      <c r="D122" t="s">
        <v>38</v>
      </c>
      <c r="F122" t="s">
        <v>171</v>
      </c>
      <c r="G122" t="s">
        <v>54</v>
      </c>
      <c r="H122" t="s">
        <v>47</v>
      </c>
      <c r="I122" s="66">
        <v>43473</v>
      </c>
      <c r="J122" s="6">
        <v>3294500000</v>
      </c>
      <c r="K122">
        <v>67438415</v>
      </c>
      <c r="L122">
        <v>3230500000</v>
      </c>
      <c r="M122">
        <v>0.24837500000000001</v>
      </c>
      <c r="N122">
        <v>100000000</v>
      </c>
      <c r="O122">
        <v>2.67</v>
      </c>
      <c r="P122" t="s">
        <v>42</v>
      </c>
      <c r="Q122" t="s">
        <v>37</v>
      </c>
      <c r="R122" s="66">
        <v>43108</v>
      </c>
      <c r="S122" s="6">
        <f>DataTable[HLD_MaturityDate] - DataTable[SEC_Issue_Date]</f>
        <v>365</v>
      </c>
      <c r="T122" s="66" t="str">
        <f>DataTable[HLD_Portfolio]&amp;DataTable[HLD_Date]</f>
        <v>SCBSFFPLUS43383</v>
      </c>
      <c r="W122" t="b">
        <f>DataTable[HLD_SecCode]="CB18O18A"</f>
        <v>0</v>
      </c>
    </row>
    <row r="123" spans="1:23" hidden="1" x14ac:dyDescent="0.2">
      <c r="A123" s="66">
        <v>43383</v>
      </c>
      <c r="B123" t="s">
        <v>139</v>
      </c>
      <c r="C123" t="s">
        <v>18</v>
      </c>
      <c r="D123" t="s">
        <v>38</v>
      </c>
      <c r="F123" t="s">
        <v>172</v>
      </c>
      <c r="G123" t="s">
        <v>54</v>
      </c>
      <c r="H123" t="s">
        <v>47</v>
      </c>
      <c r="I123" s="66">
        <v>43474</v>
      </c>
      <c r="J123" s="6">
        <v>3228610000</v>
      </c>
      <c r="K123">
        <v>65850191.460000001</v>
      </c>
      <c r="L123">
        <v>3155600000</v>
      </c>
      <c r="M123">
        <v>0.25111699999999998</v>
      </c>
      <c r="N123">
        <v>98000000</v>
      </c>
      <c r="O123">
        <v>2.67</v>
      </c>
      <c r="P123" t="s">
        <v>42</v>
      </c>
      <c r="Q123" t="s">
        <v>37</v>
      </c>
      <c r="R123" s="66">
        <v>43109</v>
      </c>
      <c r="S123" s="6">
        <f>DataTable[HLD_MaturityDate] - DataTable[SEC_Issue_Date]</f>
        <v>365</v>
      </c>
      <c r="T123" s="66" t="str">
        <f>DataTable[HLD_Portfolio]&amp;DataTable[HLD_Date]</f>
        <v>SCBSFFPLUS43383</v>
      </c>
      <c r="W123" t="b">
        <f>DataTable[HLD_SecCode]="CB18O18A"</f>
        <v>0</v>
      </c>
    </row>
    <row r="124" spans="1:23" hidden="1" x14ac:dyDescent="0.2">
      <c r="A124" s="66">
        <v>43383</v>
      </c>
      <c r="B124" t="s">
        <v>139</v>
      </c>
      <c r="C124" t="s">
        <v>18</v>
      </c>
      <c r="D124" t="s">
        <v>38</v>
      </c>
      <c r="F124" t="s">
        <v>173</v>
      </c>
      <c r="G124" t="s">
        <v>54</v>
      </c>
      <c r="H124" t="s">
        <v>47</v>
      </c>
      <c r="I124" s="66">
        <v>43452</v>
      </c>
      <c r="J124" s="6">
        <v>2965050000</v>
      </c>
      <c r="K124">
        <v>65379352.5</v>
      </c>
      <c r="L124">
        <v>2945700000</v>
      </c>
      <c r="M124">
        <v>0.19070100000000001</v>
      </c>
      <c r="N124">
        <v>90000000</v>
      </c>
      <c r="O124">
        <v>2.7</v>
      </c>
      <c r="P124" t="s">
        <v>42</v>
      </c>
      <c r="Q124" t="s">
        <v>37</v>
      </c>
      <c r="R124" s="66">
        <v>43090</v>
      </c>
      <c r="S124" s="6">
        <f>DataTable[HLD_MaturityDate] - DataTable[SEC_Issue_Date]</f>
        <v>362</v>
      </c>
      <c r="T124" s="66" t="str">
        <f>DataTable[HLD_Portfolio]&amp;DataTable[HLD_Date]</f>
        <v>SCBSFFPLUS43383</v>
      </c>
      <c r="W124" t="b">
        <f>DataTable[HLD_SecCode]="CB18O18A"</f>
        <v>0</v>
      </c>
    </row>
    <row r="125" spans="1:23" hidden="1" x14ac:dyDescent="0.2">
      <c r="A125" s="66">
        <v>43383</v>
      </c>
      <c r="B125" t="s">
        <v>139</v>
      </c>
      <c r="C125" t="s">
        <v>18</v>
      </c>
      <c r="D125" t="s">
        <v>38</v>
      </c>
      <c r="F125" t="s">
        <v>174</v>
      </c>
      <c r="G125" t="s">
        <v>54</v>
      </c>
      <c r="H125" t="s">
        <v>47</v>
      </c>
      <c r="I125" s="66">
        <v>43644</v>
      </c>
      <c r="J125" s="6">
        <v>2800325000</v>
      </c>
      <c r="K125">
        <v>27769889.579999998</v>
      </c>
      <c r="L125">
        <v>2805637500</v>
      </c>
      <c r="M125">
        <v>0.70755900000000005</v>
      </c>
      <c r="N125">
        <v>85000000</v>
      </c>
      <c r="O125">
        <v>3.4</v>
      </c>
      <c r="P125" t="s">
        <v>42</v>
      </c>
      <c r="Q125" t="s">
        <v>37</v>
      </c>
      <c r="R125" s="66">
        <v>43279</v>
      </c>
      <c r="S125" s="6">
        <f>DataTable[HLD_MaturityDate] - DataTable[SEC_Issue_Date]</f>
        <v>365</v>
      </c>
      <c r="T125" s="66" t="str">
        <f>DataTable[HLD_Portfolio]&amp;DataTable[HLD_Date]</f>
        <v>SCBSFFPLUS43383</v>
      </c>
      <c r="W125" t="b">
        <f>DataTable[HLD_SecCode]="CB18O18A"</f>
        <v>0</v>
      </c>
    </row>
    <row r="126" spans="1:23" hidden="1" x14ac:dyDescent="0.2">
      <c r="A126" s="66">
        <v>43383</v>
      </c>
      <c r="B126" t="s">
        <v>139</v>
      </c>
      <c r="C126" t="s">
        <v>18</v>
      </c>
      <c r="D126" t="s">
        <v>38</v>
      </c>
      <c r="F126" t="s">
        <v>175</v>
      </c>
      <c r="G126" t="s">
        <v>58</v>
      </c>
      <c r="H126" t="s">
        <v>59</v>
      </c>
      <c r="I126" s="66">
        <v>43678</v>
      </c>
      <c r="J126" s="6">
        <v>670000000</v>
      </c>
      <c r="K126">
        <v>2215589.04</v>
      </c>
      <c r="L126">
        <v>670000000</v>
      </c>
      <c r="M126">
        <v>0.79730000000000001</v>
      </c>
      <c r="N126">
        <v>670000000</v>
      </c>
      <c r="O126">
        <v>1.7</v>
      </c>
      <c r="P126" t="s">
        <v>42</v>
      </c>
      <c r="Q126" t="s">
        <v>23</v>
      </c>
      <c r="R126" s="66">
        <v>43313</v>
      </c>
      <c r="S126" s="6">
        <f>DataTable[HLD_MaturityDate] - DataTable[SEC_Issue_Date]</f>
        <v>365</v>
      </c>
      <c r="T126" s="66" t="str">
        <f>DataTable[HLD_Portfolio]&amp;DataTable[HLD_Date]</f>
        <v>SCBSFFPLUS43383</v>
      </c>
      <c r="W126" t="b">
        <f>DataTable[HLD_SecCode]="CB18O18A"</f>
        <v>0</v>
      </c>
    </row>
    <row r="127" spans="1:23" hidden="1" x14ac:dyDescent="0.2">
      <c r="A127" s="66">
        <v>43383</v>
      </c>
      <c r="B127" t="s">
        <v>139</v>
      </c>
      <c r="C127" t="s">
        <v>18</v>
      </c>
      <c r="D127" t="s">
        <v>38</v>
      </c>
      <c r="F127" t="s">
        <v>176</v>
      </c>
      <c r="G127" t="s">
        <v>58</v>
      </c>
      <c r="H127" t="s">
        <v>59</v>
      </c>
      <c r="I127" s="66">
        <v>43679</v>
      </c>
      <c r="J127" s="6">
        <v>1000000000</v>
      </c>
      <c r="K127">
        <v>3260273.97</v>
      </c>
      <c r="L127">
        <v>1000000000</v>
      </c>
      <c r="M127">
        <v>0.79996599999999995</v>
      </c>
      <c r="N127">
        <v>1000000000</v>
      </c>
      <c r="O127">
        <v>1.7</v>
      </c>
      <c r="P127" t="s">
        <v>42</v>
      </c>
      <c r="Q127" t="s">
        <v>23</v>
      </c>
      <c r="R127" s="66">
        <v>43314</v>
      </c>
      <c r="S127" s="6">
        <f>DataTable[HLD_MaturityDate] - DataTable[SEC_Issue_Date]</f>
        <v>365</v>
      </c>
      <c r="T127" s="66" t="str">
        <f>DataTable[HLD_Portfolio]&amp;DataTable[HLD_Date]</f>
        <v>SCBSFFPLUS43383</v>
      </c>
      <c r="W127" t="b">
        <f>DataTable[HLD_SecCode]="CB18O18A"</f>
        <v>0</v>
      </c>
    </row>
    <row r="128" spans="1:23" hidden="1" x14ac:dyDescent="0.2">
      <c r="A128" s="66">
        <v>43383</v>
      </c>
      <c r="B128" t="s">
        <v>139</v>
      </c>
      <c r="C128" t="s">
        <v>18</v>
      </c>
      <c r="D128" t="s">
        <v>38</v>
      </c>
      <c r="F128" t="s">
        <v>57</v>
      </c>
      <c r="G128" t="s">
        <v>58</v>
      </c>
      <c r="H128" t="s">
        <v>59</v>
      </c>
      <c r="I128" s="66">
        <v>43679</v>
      </c>
      <c r="J128" s="6">
        <v>700000000</v>
      </c>
      <c r="K128">
        <v>2249589.04</v>
      </c>
      <c r="L128">
        <v>700000000</v>
      </c>
      <c r="M128">
        <v>0.79996500000000004</v>
      </c>
      <c r="N128">
        <v>700000000</v>
      </c>
      <c r="O128">
        <v>1.7</v>
      </c>
      <c r="P128" t="s">
        <v>42</v>
      </c>
      <c r="Q128" t="s">
        <v>23</v>
      </c>
      <c r="R128" s="66">
        <v>43315</v>
      </c>
      <c r="S128" s="6">
        <f>DataTable[HLD_MaturityDate] - DataTable[SEC_Issue_Date]</f>
        <v>364</v>
      </c>
      <c r="T128" s="66" t="str">
        <f>DataTable[HLD_Portfolio]&amp;DataTable[HLD_Date]</f>
        <v>SCBSFFPLUS43383</v>
      </c>
      <c r="W128" t="b">
        <f>DataTable[HLD_SecCode]="CB18O18A"</f>
        <v>0</v>
      </c>
    </row>
    <row r="129" spans="1:23" hidden="1" x14ac:dyDescent="0.2">
      <c r="A129" s="66">
        <v>43383</v>
      </c>
      <c r="B129" t="s">
        <v>139</v>
      </c>
      <c r="C129" t="s">
        <v>18</v>
      </c>
      <c r="D129" t="s">
        <v>38</v>
      </c>
      <c r="F129" t="s">
        <v>177</v>
      </c>
      <c r="G129" t="s">
        <v>58</v>
      </c>
      <c r="H129" t="s">
        <v>59</v>
      </c>
      <c r="I129" s="66">
        <v>43672</v>
      </c>
      <c r="J129" s="6">
        <v>160000000</v>
      </c>
      <c r="K129">
        <v>573808.22</v>
      </c>
      <c r="L129">
        <v>160000000</v>
      </c>
      <c r="M129">
        <v>0.78130100000000002</v>
      </c>
      <c r="N129">
        <v>160000000</v>
      </c>
      <c r="O129">
        <v>1.7</v>
      </c>
      <c r="P129" t="s">
        <v>42</v>
      </c>
      <c r="Q129" t="s">
        <v>23</v>
      </c>
      <c r="R129" s="66">
        <v>43307</v>
      </c>
      <c r="S129" s="6">
        <f>DataTable[HLD_MaturityDate] - DataTable[SEC_Issue_Date]</f>
        <v>365</v>
      </c>
      <c r="T129" s="66" t="str">
        <f>DataTable[HLD_Portfolio]&amp;DataTable[HLD_Date]</f>
        <v>SCBSFFPLUS43383</v>
      </c>
      <c r="W129" t="b">
        <f>DataTable[HLD_SecCode]="CB18O18A"</f>
        <v>0</v>
      </c>
    </row>
    <row r="130" spans="1:23" hidden="1" x14ac:dyDescent="0.2">
      <c r="A130" s="66">
        <v>43383</v>
      </c>
      <c r="B130" t="s">
        <v>139</v>
      </c>
      <c r="C130" t="s">
        <v>18</v>
      </c>
      <c r="D130" t="s">
        <v>38</v>
      </c>
      <c r="F130" t="s">
        <v>178</v>
      </c>
      <c r="G130" t="s">
        <v>179</v>
      </c>
      <c r="H130" t="s">
        <v>51</v>
      </c>
      <c r="I130" s="66">
        <v>43739</v>
      </c>
      <c r="J130" s="6">
        <v>2965050000</v>
      </c>
      <c r="K130">
        <v>4480520</v>
      </c>
      <c r="L130">
        <v>2914650000</v>
      </c>
      <c r="M130">
        <v>0.95676600000000001</v>
      </c>
      <c r="N130">
        <v>90000000</v>
      </c>
      <c r="O130">
        <v>3.4</v>
      </c>
      <c r="P130" t="s">
        <v>42</v>
      </c>
      <c r="Q130" t="s">
        <v>37</v>
      </c>
      <c r="R130" s="66">
        <v>43368</v>
      </c>
      <c r="S130" s="6">
        <f>DataTable[HLD_MaturityDate] - DataTable[SEC_Issue_Date]</f>
        <v>371</v>
      </c>
      <c r="T130" s="66" t="str">
        <f>DataTable[HLD_Portfolio]&amp;DataTable[HLD_Date]</f>
        <v>SCBSFFPLUS43383</v>
      </c>
      <c r="W130" t="b">
        <f>DataTable[HLD_SecCode]="CB18O18A"</f>
        <v>0</v>
      </c>
    </row>
    <row r="131" spans="1:23" hidden="1" x14ac:dyDescent="0.2">
      <c r="A131" s="66">
        <v>43383</v>
      </c>
      <c r="B131" t="s">
        <v>139</v>
      </c>
      <c r="C131" t="s">
        <v>18</v>
      </c>
      <c r="D131" t="s">
        <v>38</v>
      </c>
      <c r="F131" t="s">
        <v>180</v>
      </c>
      <c r="G131" t="s">
        <v>179</v>
      </c>
      <c r="H131" t="s">
        <v>51</v>
      </c>
      <c r="I131" s="66">
        <v>43740</v>
      </c>
      <c r="J131" s="6">
        <v>2965050000</v>
      </c>
      <c r="K131">
        <v>4200487.5</v>
      </c>
      <c r="L131">
        <v>2922750000</v>
      </c>
      <c r="M131">
        <v>0.95936299999999997</v>
      </c>
      <c r="N131">
        <v>90000000</v>
      </c>
      <c r="O131">
        <v>3.4</v>
      </c>
      <c r="P131" t="s">
        <v>42</v>
      </c>
      <c r="Q131" t="s">
        <v>37</v>
      </c>
      <c r="R131" s="66">
        <v>43369</v>
      </c>
      <c r="S131" s="6">
        <f>DataTable[HLD_MaturityDate] - DataTable[SEC_Issue_Date]</f>
        <v>371</v>
      </c>
      <c r="T131" s="66" t="str">
        <f>DataTable[HLD_Portfolio]&amp;DataTable[HLD_Date]</f>
        <v>SCBSFFPLUS43383</v>
      </c>
      <c r="W131" t="b">
        <f>DataTable[HLD_SecCode]="CB18O18A"</f>
        <v>0</v>
      </c>
    </row>
    <row r="132" spans="1:23" hidden="1" x14ac:dyDescent="0.2">
      <c r="A132" s="66">
        <v>43383</v>
      </c>
      <c r="B132" t="s">
        <v>139</v>
      </c>
      <c r="C132" t="s">
        <v>18</v>
      </c>
      <c r="D132" t="s">
        <v>38</v>
      </c>
      <c r="F132" t="s">
        <v>67</v>
      </c>
      <c r="G132" t="s">
        <v>46</v>
      </c>
      <c r="H132" t="s">
        <v>47</v>
      </c>
      <c r="I132" s="66">
        <v>43389</v>
      </c>
      <c r="J132" s="6">
        <v>1317800000</v>
      </c>
      <c r="K132">
        <v>9360406.6099999994</v>
      </c>
      <c r="L132">
        <v>1326400000</v>
      </c>
      <c r="M132">
        <v>1.6659E-2</v>
      </c>
      <c r="N132">
        <v>40000000</v>
      </c>
      <c r="O132">
        <v>2.81</v>
      </c>
      <c r="P132" t="s">
        <v>42</v>
      </c>
      <c r="Q132" t="s">
        <v>37</v>
      </c>
      <c r="R132" s="66">
        <v>43293</v>
      </c>
      <c r="S132" s="6">
        <f>DataTable[HLD_MaturityDate] - DataTable[SEC_Issue_Date]</f>
        <v>96</v>
      </c>
      <c r="T132" s="66" t="str">
        <f>DataTable[HLD_Portfolio]&amp;DataTable[HLD_Date]</f>
        <v>SCBSFFPLUS43383</v>
      </c>
      <c r="W132" t="b">
        <f>DataTable[HLD_SecCode]="CB18O18A"</f>
        <v>0</v>
      </c>
    </row>
    <row r="133" spans="1:23" hidden="1" x14ac:dyDescent="0.2">
      <c r="A133" s="66">
        <v>43383</v>
      </c>
      <c r="B133" t="s">
        <v>139</v>
      </c>
      <c r="C133" t="s">
        <v>18</v>
      </c>
      <c r="D133" t="s">
        <v>38</v>
      </c>
      <c r="F133" t="s">
        <v>181</v>
      </c>
      <c r="G133" t="s">
        <v>46</v>
      </c>
      <c r="H133" t="s">
        <v>47</v>
      </c>
      <c r="I133" s="66">
        <v>43395</v>
      </c>
      <c r="J133" s="6">
        <v>1681520000</v>
      </c>
      <c r="K133">
        <v>9024003.7699999996</v>
      </c>
      <c r="L133">
        <v>1698400000</v>
      </c>
      <c r="M133">
        <v>3.2850999999999998E-2</v>
      </c>
      <c r="N133">
        <v>400000000</v>
      </c>
      <c r="O133">
        <v>2.36</v>
      </c>
      <c r="P133" t="s">
        <v>42</v>
      </c>
      <c r="Q133" t="s">
        <v>33</v>
      </c>
      <c r="R133" s="66">
        <v>43301</v>
      </c>
      <c r="S133" s="6">
        <f>DataTable[HLD_MaturityDate] - DataTable[SEC_Issue_Date]</f>
        <v>94</v>
      </c>
      <c r="T133" s="66" t="str">
        <f>DataTable[HLD_Portfolio]&amp;DataTable[HLD_Date]</f>
        <v>SCBSFFPLUS43383</v>
      </c>
      <c r="W133" t="b">
        <f>DataTable[HLD_SecCode]="CB18O18A"</f>
        <v>0</v>
      </c>
    </row>
    <row r="134" spans="1:23" hidden="1" x14ac:dyDescent="0.2">
      <c r="A134" s="66">
        <v>43383</v>
      </c>
      <c r="B134" t="s">
        <v>139</v>
      </c>
      <c r="C134" t="s">
        <v>18</v>
      </c>
      <c r="D134" t="s">
        <v>38</v>
      </c>
      <c r="F134" t="s">
        <v>182</v>
      </c>
      <c r="G134" t="s">
        <v>46</v>
      </c>
      <c r="H134" t="s">
        <v>47</v>
      </c>
      <c r="I134" s="66">
        <v>43536</v>
      </c>
      <c r="J134" s="6">
        <v>1303178000</v>
      </c>
      <c r="K134">
        <v>2458186.4500000002</v>
      </c>
      <c r="L134">
        <v>1296265000</v>
      </c>
      <c r="M134">
        <v>0.41475299999999998</v>
      </c>
      <c r="N134">
        <v>310000000</v>
      </c>
      <c r="O134">
        <v>2.5499999999999998</v>
      </c>
      <c r="P134" t="s">
        <v>42</v>
      </c>
      <c r="Q134" t="s">
        <v>33</v>
      </c>
      <c r="R134" s="66">
        <v>43357</v>
      </c>
      <c r="S134" s="6">
        <f>DataTable[HLD_MaturityDate] - DataTable[SEC_Issue_Date]</f>
        <v>179</v>
      </c>
      <c r="T134" s="66" t="str">
        <f>DataTable[HLD_Portfolio]&amp;DataTable[HLD_Date]</f>
        <v>SCBSFFPLUS43383</v>
      </c>
      <c r="W134" t="b">
        <f>DataTable[HLD_SecCode]="CB18O18A"</f>
        <v>0</v>
      </c>
    </row>
    <row r="135" spans="1:23" hidden="1" x14ac:dyDescent="0.2">
      <c r="A135" s="66">
        <v>43383</v>
      </c>
      <c r="B135" t="s">
        <v>139</v>
      </c>
      <c r="C135" t="s">
        <v>18</v>
      </c>
      <c r="D135" t="s">
        <v>38</v>
      </c>
      <c r="F135" t="s">
        <v>183</v>
      </c>
      <c r="G135" t="s">
        <v>50</v>
      </c>
      <c r="H135" t="s">
        <v>51</v>
      </c>
      <c r="I135" s="66">
        <v>43398</v>
      </c>
      <c r="J135" s="6">
        <v>1317800000</v>
      </c>
      <c r="K135">
        <v>18559016.670000002</v>
      </c>
      <c r="L135">
        <v>1258000000</v>
      </c>
      <c r="M135">
        <v>4.1614999999999999E-2</v>
      </c>
      <c r="N135">
        <v>40000000</v>
      </c>
      <c r="O135">
        <v>3</v>
      </c>
      <c r="P135" t="s">
        <v>42</v>
      </c>
      <c r="Q135" t="s">
        <v>37</v>
      </c>
      <c r="R135" s="66">
        <v>43215</v>
      </c>
      <c r="S135" s="6">
        <f>DataTable[HLD_MaturityDate] - DataTable[SEC_Issue_Date]</f>
        <v>183</v>
      </c>
      <c r="T135" s="66" t="str">
        <f>DataTable[HLD_Portfolio]&amp;DataTable[HLD_Date]</f>
        <v>SCBSFFPLUS43383</v>
      </c>
      <c r="W135" t="b">
        <f>DataTable[HLD_SecCode]="CB18O18A"</f>
        <v>0</v>
      </c>
    </row>
    <row r="136" spans="1:23" hidden="1" x14ac:dyDescent="0.2">
      <c r="A136" s="66">
        <v>43383</v>
      </c>
      <c r="B136" t="s">
        <v>139</v>
      </c>
      <c r="C136" t="s">
        <v>18</v>
      </c>
      <c r="D136" t="s">
        <v>38</v>
      </c>
      <c r="F136" t="s">
        <v>184</v>
      </c>
      <c r="G136" t="s">
        <v>50</v>
      </c>
      <c r="H136" t="s">
        <v>51</v>
      </c>
      <c r="I136" s="66">
        <v>43430</v>
      </c>
      <c r="J136" s="6">
        <v>1647250000</v>
      </c>
      <c r="K136">
        <v>19217916.670000002</v>
      </c>
      <c r="L136">
        <v>1603000000</v>
      </c>
      <c r="M136">
        <v>0.130052</v>
      </c>
      <c r="N136">
        <v>50000000</v>
      </c>
      <c r="O136">
        <v>3</v>
      </c>
      <c r="P136" t="s">
        <v>42</v>
      </c>
      <c r="Q136" t="s">
        <v>37</v>
      </c>
      <c r="R136" s="66">
        <v>43244</v>
      </c>
      <c r="S136" s="6">
        <f>DataTable[HLD_MaturityDate] - DataTable[SEC_Issue_Date]</f>
        <v>186</v>
      </c>
      <c r="T136" s="66" t="str">
        <f>DataTable[HLD_Portfolio]&amp;DataTable[HLD_Date]</f>
        <v>SCBSFFPLUS43383</v>
      </c>
      <c r="W136" t="b">
        <f>DataTable[HLD_SecCode]="CB18O18A"</f>
        <v>0</v>
      </c>
    </row>
    <row r="137" spans="1:23" hidden="1" x14ac:dyDescent="0.2">
      <c r="A137" s="66">
        <v>43383</v>
      </c>
      <c r="B137" t="s">
        <v>139</v>
      </c>
      <c r="C137" t="s">
        <v>18</v>
      </c>
      <c r="D137" t="s">
        <v>38</v>
      </c>
      <c r="F137" t="s">
        <v>68</v>
      </c>
      <c r="G137" t="s">
        <v>54</v>
      </c>
      <c r="H137" t="s">
        <v>47</v>
      </c>
      <c r="I137" s="66">
        <v>43409</v>
      </c>
      <c r="J137" s="6">
        <v>2838667500</v>
      </c>
      <c r="K137">
        <v>507806.08</v>
      </c>
      <c r="L137">
        <v>2850000000</v>
      </c>
      <c r="M137">
        <v>7.2220000000000006E-2</v>
      </c>
      <c r="N137">
        <v>75000000</v>
      </c>
      <c r="O137">
        <v>0.04</v>
      </c>
      <c r="P137" t="s">
        <v>42</v>
      </c>
      <c r="Q137" t="s">
        <v>31</v>
      </c>
      <c r="R137" s="66">
        <v>43223</v>
      </c>
      <c r="S137" s="6">
        <f>DataTable[HLD_MaturityDate] - DataTable[SEC_Issue_Date]</f>
        <v>186</v>
      </c>
      <c r="T137" s="66" t="str">
        <f>DataTable[HLD_Portfolio]&amp;DataTable[HLD_Date]</f>
        <v>SCBSFFPLUS43383</v>
      </c>
      <c r="W137" t="b">
        <f>DataTable[HLD_SecCode]="CB18O18A"</f>
        <v>0</v>
      </c>
    </row>
    <row r="138" spans="1:23" hidden="1" x14ac:dyDescent="0.2">
      <c r="A138" s="66">
        <v>43383</v>
      </c>
      <c r="B138" t="s">
        <v>139</v>
      </c>
      <c r="C138" t="s">
        <v>18</v>
      </c>
      <c r="D138" t="s">
        <v>38</v>
      </c>
      <c r="F138" t="s">
        <v>185</v>
      </c>
      <c r="G138" t="s">
        <v>54</v>
      </c>
      <c r="H138" t="s">
        <v>47</v>
      </c>
      <c r="I138" s="66">
        <v>43423</v>
      </c>
      <c r="J138" s="6">
        <v>1647250000</v>
      </c>
      <c r="K138">
        <v>19640710.829999998</v>
      </c>
      <c r="L138">
        <v>1596250000</v>
      </c>
      <c r="M138">
        <v>0.11075599999999999</v>
      </c>
      <c r="N138">
        <v>50000000</v>
      </c>
      <c r="O138">
        <v>2.92</v>
      </c>
      <c r="P138" t="s">
        <v>42</v>
      </c>
      <c r="Q138" t="s">
        <v>37</v>
      </c>
      <c r="R138" s="66">
        <v>43237</v>
      </c>
      <c r="S138" s="6">
        <f>DataTable[HLD_MaturityDate] - DataTable[SEC_Issue_Date]</f>
        <v>186</v>
      </c>
      <c r="T138" s="66" t="str">
        <f>DataTable[HLD_Portfolio]&amp;DataTable[HLD_Date]</f>
        <v>SCBSFFPLUS43383</v>
      </c>
      <c r="W138" t="b">
        <f>DataTable[HLD_SecCode]="CB18O18A"</f>
        <v>0</v>
      </c>
    </row>
    <row r="139" spans="1:23" hidden="1" x14ac:dyDescent="0.2">
      <c r="A139" s="66">
        <v>43383</v>
      </c>
      <c r="B139" t="s">
        <v>139</v>
      </c>
      <c r="C139" t="s">
        <v>18</v>
      </c>
      <c r="D139" t="s">
        <v>38</v>
      </c>
      <c r="F139" t="s">
        <v>186</v>
      </c>
      <c r="G139" t="s">
        <v>54</v>
      </c>
      <c r="H139" t="s">
        <v>47</v>
      </c>
      <c r="I139" s="66">
        <v>43424</v>
      </c>
      <c r="J139" s="6">
        <v>461230000</v>
      </c>
      <c r="K139">
        <v>5461988.1600000001</v>
      </c>
      <c r="L139">
        <v>449330000</v>
      </c>
      <c r="M139">
        <v>0.11351600000000001</v>
      </c>
      <c r="N139">
        <v>14000000</v>
      </c>
      <c r="O139">
        <v>2.92</v>
      </c>
      <c r="P139" t="s">
        <v>42</v>
      </c>
      <c r="Q139" t="s">
        <v>37</v>
      </c>
      <c r="R139" s="66">
        <v>43238</v>
      </c>
      <c r="S139" s="6">
        <f>DataTable[HLD_MaturityDate] - DataTable[SEC_Issue_Date]</f>
        <v>186</v>
      </c>
      <c r="T139" s="66" t="str">
        <f>DataTable[HLD_Portfolio]&amp;DataTable[HLD_Date]</f>
        <v>SCBSFFPLUS43383</v>
      </c>
      <c r="W139" t="b">
        <f>DataTable[HLD_SecCode]="CB18O18A"</f>
        <v>0</v>
      </c>
    </row>
    <row r="140" spans="1:23" hidden="1" x14ac:dyDescent="0.2">
      <c r="A140" s="66">
        <v>43383</v>
      </c>
      <c r="B140" t="s">
        <v>139</v>
      </c>
      <c r="C140" t="s">
        <v>18</v>
      </c>
      <c r="D140" t="s">
        <v>38</v>
      </c>
      <c r="F140" t="s">
        <v>187</v>
      </c>
      <c r="G140" t="s">
        <v>73</v>
      </c>
      <c r="H140" t="s">
        <v>27</v>
      </c>
      <c r="I140" s="66">
        <v>44196</v>
      </c>
      <c r="J140" s="6">
        <v>9535.0499999999993</v>
      </c>
      <c r="K140">
        <v>9.99</v>
      </c>
      <c r="L140">
        <v>9535.0499999999993</v>
      </c>
      <c r="M140">
        <v>0</v>
      </c>
      <c r="N140">
        <v>9535.0499999999993</v>
      </c>
      <c r="O140">
        <v>0</v>
      </c>
      <c r="P140" t="s">
        <v>42</v>
      </c>
      <c r="Q140" t="s">
        <v>23</v>
      </c>
      <c r="R140" s="66">
        <v>41946</v>
      </c>
      <c r="S140" s="6">
        <f>DataTable[HLD_MaturityDate] - DataTable[SEC_Issue_Date]</f>
        <v>2250</v>
      </c>
      <c r="T140" s="66" t="str">
        <f>DataTable[HLD_Portfolio]&amp;DataTable[HLD_Date]</f>
        <v>SCBSFFPLUS43383</v>
      </c>
      <c r="W140" t="b">
        <f>DataTable[HLD_SecCode]="CB18O18A"</f>
        <v>0</v>
      </c>
    </row>
    <row r="141" spans="1:23" hidden="1" x14ac:dyDescent="0.2">
      <c r="A141" s="66">
        <v>43383</v>
      </c>
      <c r="B141" t="s">
        <v>139</v>
      </c>
      <c r="C141" t="s">
        <v>18</v>
      </c>
      <c r="D141" t="s">
        <v>38</v>
      </c>
      <c r="F141" t="s">
        <v>188</v>
      </c>
      <c r="G141" t="s">
        <v>26</v>
      </c>
      <c r="H141" t="s">
        <v>27</v>
      </c>
      <c r="I141" s="66">
        <v>44196</v>
      </c>
      <c r="J141" s="6">
        <v>74614922.409999996</v>
      </c>
      <c r="K141">
        <v>52852.22</v>
      </c>
      <c r="L141">
        <v>85887038.310000002</v>
      </c>
      <c r="M141">
        <v>0</v>
      </c>
      <c r="N141">
        <v>15694197.34</v>
      </c>
      <c r="O141">
        <v>0</v>
      </c>
      <c r="P141" t="s">
        <v>42</v>
      </c>
      <c r="Q141" t="s">
        <v>28</v>
      </c>
      <c r="R141" s="66">
        <v>41614</v>
      </c>
      <c r="S141" s="6">
        <f>DataTable[HLD_MaturityDate] - DataTable[SEC_Issue_Date]</f>
        <v>2582</v>
      </c>
      <c r="T141" s="66" t="str">
        <f>DataTable[HLD_Portfolio]&amp;DataTable[HLD_Date]</f>
        <v>SCBSFFPLUS43383</v>
      </c>
      <c r="W141" t="b">
        <f>DataTable[HLD_SecCode]="CB18O18A"</f>
        <v>0</v>
      </c>
    </row>
    <row r="142" spans="1:23" hidden="1" x14ac:dyDescent="0.2">
      <c r="A142" s="66">
        <v>43383</v>
      </c>
      <c r="B142" t="s">
        <v>139</v>
      </c>
      <c r="C142" t="s">
        <v>18</v>
      </c>
      <c r="D142" t="s">
        <v>38</v>
      </c>
      <c r="F142" t="s">
        <v>189</v>
      </c>
      <c r="G142" t="s">
        <v>26</v>
      </c>
      <c r="H142" t="s">
        <v>27</v>
      </c>
      <c r="I142" s="66">
        <v>44196</v>
      </c>
      <c r="J142" s="6">
        <v>123841909.17</v>
      </c>
      <c r="K142">
        <v>17544.2</v>
      </c>
      <c r="L142">
        <v>129319397.17</v>
      </c>
      <c r="M142">
        <v>0</v>
      </c>
      <c r="N142">
        <v>3759050.21</v>
      </c>
      <c r="O142">
        <v>0</v>
      </c>
      <c r="P142" t="s">
        <v>42</v>
      </c>
      <c r="Q142" t="s">
        <v>37</v>
      </c>
      <c r="R142" s="66">
        <v>41617</v>
      </c>
      <c r="S142" s="6">
        <f>DataTable[HLD_MaturityDate] - DataTable[SEC_Issue_Date]</f>
        <v>2579</v>
      </c>
      <c r="T142" s="66" t="str">
        <f>DataTable[HLD_Portfolio]&amp;DataTable[HLD_Date]</f>
        <v>SCBSFFPLUS43383</v>
      </c>
      <c r="W142" t="b">
        <f>DataTable[HLD_SecCode]="CB18O18A"</f>
        <v>0</v>
      </c>
    </row>
    <row r="143" spans="1:23" hidden="1" x14ac:dyDescent="0.2">
      <c r="A143" s="66">
        <v>43383</v>
      </c>
      <c r="B143" t="s">
        <v>139</v>
      </c>
      <c r="C143" t="s">
        <v>18</v>
      </c>
      <c r="D143" t="s">
        <v>38</v>
      </c>
      <c r="F143" t="s">
        <v>190</v>
      </c>
      <c r="G143" t="s">
        <v>75</v>
      </c>
      <c r="H143" t="s">
        <v>59</v>
      </c>
      <c r="I143" s="66">
        <v>44196</v>
      </c>
      <c r="J143" s="6">
        <v>57730392.329999998</v>
      </c>
      <c r="K143">
        <v>1477963.7</v>
      </c>
      <c r="L143">
        <v>57730392.329999998</v>
      </c>
      <c r="M143">
        <v>0</v>
      </c>
      <c r="N143">
        <v>57730392.329999998</v>
      </c>
      <c r="O143">
        <v>0</v>
      </c>
      <c r="P143" t="s">
        <v>42</v>
      </c>
      <c r="Q143" t="s">
        <v>23</v>
      </c>
      <c r="R143" s="66">
        <v>41652</v>
      </c>
      <c r="S143" s="6">
        <f>DataTable[HLD_MaturityDate] - DataTable[SEC_Issue_Date]</f>
        <v>2544</v>
      </c>
      <c r="T143" s="66" t="str">
        <f>DataTable[HLD_Portfolio]&amp;DataTable[HLD_Date]</f>
        <v>SCBSFFPLUS43383</v>
      </c>
      <c r="W143" t="b">
        <f>DataTable[HLD_SecCode]="CB18O18A"</f>
        <v>0</v>
      </c>
    </row>
    <row r="144" spans="1:23" hidden="1" x14ac:dyDescent="0.2">
      <c r="A144" s="66">
        <v>43383</v>
      </c>
      <c r="B144" t="s">
        <v>139</v>
      </c>
      <c r="C144" t="s">
        <v>18</v>
      </c>
      <c r="D144" t="s">
        <v>38</v>
      </c>
      <c r="F144" t="s">
        <v>76</v>
      </c>
      <c r="G144" t="s">
        <v>26</v>
      </c>
      <c r="H144" t="s">
        <v>27</v>
      </c>
      <c r="I144" s="66">
        <v>43468</v>
      </c>
      <c r="J144" s="6">
        <v>1500000000</v>
      </c>
      <c r="K144">
        <v>1294520.55</v>
      </c>
      <c r="L144">
        <v>1500000000</v>
      </c>
      <c r="M144">
        <v>0.232067</v>
      </c>
      <c r="N144">
        <v>1500000000</v>
      </c>
      <c r="O144">
        <v>1.5</v>
      </c>
      <c r="P144" t="s">
        <v>42</v>
      </c>
      <c r="Q144" t="s">
        <v>23</v>
      </c>
      <c r="R144" s="66">
        <v>43363</v>
      </c>
      <c r="S144" s="6">
        <f>DataTable[HLD_MaturityDate] - DataTable[SEC_Issue_Date]</f>
        <v>105</v>
      </c>
      <c r="T144" s="66" t="str">
        <f>DataTable[HLD_Portfolio]&amp;DataTable[HLD_Date]</f>
        <v>SCBSFFPLUS43383</v>
      </c>
      <c r="W144" t="b">
        <f>DataTable[HLD_SecCode]="CB18O18A"</f>
        <v>0</v>
      </c>
    </row>
    <row r="145" spans="1:23" hidden="1" x14ac:dyDescent="0.2">
      <c r="A145" s="66">
        <v>43383</v>
      </c>
      <c r="B145" t="s">
        <v>139</v>
      </c>
      <c r="C145" t="s">
        <v>18</v>
      </c>
      <c r="D145" t="s">
        <v>77</v>
      </c>
      <c r="F145" t="s">
        <v>191</v>
      </c>
      <c r="G145" t="s">
        <v>192</v>
      </c>
      <c r="H145" t="s">
        <v>51</v>
      </c>
      <c r="I145" s="66">
        <v>43502</v>
      </c>
      <c r="J145" s="6">
        <v>1352307268.8</v>
      </c>
      <c r="L145">
        <v>1352566444</v>
      </c>
      <c r="M145">
        <v>0.32145899999999999</v>
      </c>
      <c r="N145">
        <v>1360000000</v>
      </c>
      <c r="O145">
        <v>1.7</v>
      </c>
      <c r="P145" t="s">
        <v>42</v>
      </c>
      <c r="Q145" t="s">
        <v>23</v>
      </c>
      <c r="R145" s="66">
        <v>43318</v>
      </c>
      <c r="S145" s="6">
        <f>DataTable[HLD_MaturityDate] - DataTable[SEC_Issue_Date]</f>
        <v>184</v>
      </c>
      <c r="T145" s="66" t="str">
        <f>DataTable[HLD_Portfolio]&amp;DataTable[HLD_Date]</f>
        <v>SCBSFFPLUS43383</v>
      </c>
      <c r="W145" t="b">
        <f>DataTable[HLD_SecCode]="CB18O18A"</f>
        <v>0</v>
      </c>
    </row>
    <row r="146" spans="1:23" hidden="1" x14ac:dyDescent="0.2">
      <c r="A146" s="66">
        <v>43383</v>
      </c>
      <c r="B146" t="s">
        <v>139</v>
      </c>
      <c r="C146" t="s">
        <v>18</v>
      </c>
      <c r="D146" t="s">
        <v>77</v>
      </c>
      <c r="F146" t="s">
        <v>193</v>
      </c>
      <c r="G146" t="s">
        <v>194</v>
      </c>
      <c r="H146" t="s">
        <v>47</v>
      </c>
      <c r="I146" s="66">
        <v>43424</v>
      </c>
      <c r="J146" s="6">
        <v>299417379</v>
      </c>
      <c r="L146">
        <v>299425758</v>
      </c>
      <c r="M146">
        <v>0.109379</v>
      </c>
      <c r="N146">
        <v>300000000</v>
      </c>
      <c r="O146">
        <v>1.75</v>
      </c>
      <c r="P146" t="s">
        <v>42</v>
      </c>
      <c r="Q146" t="s">
        <v>23</v>
      </c>
      <c r="R146" s="66">
        <v>43328</v>
      </c>
      <c r="S146" s="6">
        <f>DataTable[HLD_MaturityDate] - DataTable[SEC_Issue_Date]</f>
        <v>96</v>
      </c>
      <c r="T146" s="66" t="str">
        <f>DataTable[HLD_Portfolio]&amp;DataTable[HLD_Date]</f>
        <v>SCBSFFPLUS43383</v>
      </c>
      <c r="W146" t="b">
        <f>DataTable[HLD_SecCode]="CB18O18A"</f>
        <v>0</v>
      </c>
    </row>
    <row r="147" spans="1:23" hidden="1" x14ac:dyDescent="0.2">
      <c r="A147" s="66">
        <v>43383</v>
      </c>
      <c r="B147" t="s">
        <v>139</v>
      </c>
      <c r="C147" t="s">
        <v>18</v>
      </c>
      <c r="D147" t="s">
        <v>77</v>
      </c>
      <c r="F147" t="s">
        <v>195</v>
      </c>
      <c r="G147" t="s">
        <v>196</v>
      </c>
      <c r="H147" t="s">
        <v>51</v>
      </c>
      <c r="I147" s="66">
        <v>43447</v>
      </c>
      <c r="J147" s="6">
        <v>1994498500</v>
      </c>
      <c r="L147">
        <v>1994543420</v>
      </c>
      <c r="M147">
        <v>0.172099</v>
      </c>
      <c r="N147">
        <v>2000000000</v>
      </c>
      <c r="O147">
        <v>1.585</v>
      </c>
      <c r="P147" t="s">
        <v>42</v>
      </c>
      <c r="Q147" t="s">
        <v>23</v>
      </c>
      <c r="R147" s="66">
        <v>43207</v>
      </c>
      <c r="S147" s="6">
        <f>DataTable[HLD_MaturityDate] - DataTable[SEC_Issue_Date]</f>
        <v>240</v>
      </c>
      <c r="T147" s="66" t="str">
        <f>DataTable[HLD_Portfolio]&amp;DataTable[HLD_Date]</f>
        <v>SCBSFFPLUS43383</v>
      </c>
      <c r="W147" t="b">
        <f>DataTable[HLD_SecCode]="CB18O18A"</f>
        <v>0</v>
      </c>
    </row>
    <row r="148" spans="1:23" hidden="1" x14ac:dyDescent="0.2">
      <c r="A148" s="66">
        <v>43383</v>
      </c>
      <c r="B148" t="s">
        <v>139</v>
      </c>
      <c r="C148" t="s">
        <v>18</v>
      </c>
      <c r="D148" t="s">
        <v>77</v>
      </c>
      <c r="F148" t="s">
        <v>197</v>
      </c>
      <c r="G148" t="s">
        <v>196</v>
      </c>
      <c r="H148" t="s">
        <v>51</v>
      </c>
      <c r="I148" s="66">
        <v>43494</v>
      </c>
      <c r="J148" s="6">
        <v>397771612</v>
      </c>
      <c r="L148">
        <v>397782228</v>
      </c>
      <c r="M148">
        <v>0.29969099999999999</v>
      </c>
      <c r="N148">
        <v>400000000</v>
      </c>
      <c r="O148">
        <v>1.85</v>
      </c>
      <c r="P148" t="s">
        <v>42</v>
      </c>
      <c r="Q148" t="s">
        <v>23</v>
      </c>
      <c r="R148" s="66">
        <v>43360</v>
      </c>
      <c r="S148" s="6">
        <f>DataTable[HLD_MaturityDate] - DataTable[SEC_Issue_Date]</f>
        <v>134</v>
      </c>
      <c r="T148" s="66" t="str">
        <f>DataTable[HLD_Portfolio]&amp;DataTable[HLD_Date]</f>
        <v>SCBSFFPLUS43383</v>
      </c>
      <c r="W148" t="b">
        <f>DataTable[HLD_SecCode]="CB18O18A"</f>
        <v>0</v>
      </c>
    </row>
    <row r="149" spans="1:23" hidden="1" x14ac:dyDescent="0.2">
      <c r="A149" s="66">
        <v>43383</v>
      </c>
      <c r="B149" t="s">
        <v>139</v>
      </c>
      <c r="C149" t="s">
        <v>18</v>
      </c>
      <c r="D149" t="s">
        <v>77</v>
      </c>
      <c r="F149" t="s">
        <v>198</v>
      </c>
      <c r="G149" t="s">
        <v>199</v>
      </c>
      <c r="H149" t="s">
        <v>51</v>
      </c>
      <c r="I149" s="66">
        <v>43440</v>
      </c>
      <c r="J149" s="6">
        <v>1396655652</v>
      </c>
      <c r="L149">
        <v>1396464846</v>
      </c>
      <c r="M149">
        <v>0.15304499999999999</v>
      </c>
      <c r="N149">
        <v>1400000000</v>
      </c>
      <c r="O149">
        <v>1.65</v>
      </c>
      <c r="P149" t="s">
        <v>42</v>
      </c>
      <c r="Q149" t="s">
        <v>23</v>
      </c>
      <c r="R149" s="66">
        <v>43174</v>
      </c>
      <c r="S149" s="6">
        <f>DataTable[HLD_MaturityDate] - DataTable[SEC_Issue_Date]</f>
        <v>266</v>
      </c>
      <c r="T149" s="66" t="str">
        <f>DataTable[HLD_Portfolio]&amp;DataTable[HLD_Date]</f>
        <v>SCBSFFPLUS43383</v>
      </c>
      <c r="W149" t="b">
        <f>DataTable[HLD_SecCode]="CB18O18A"</f>
        <v>0</v>
      </c>
    </row>
    <row r="150" spans="1:23" hidden="1" x14ac:dyDescent="0.2">
      <c r="A150" s="66">
        <v>43383</v>
      </c>
      <c r="B150" t="s">
        <v>139</v>
      </c>
      <c r="C150" t="s">
        <v>18</v>
      </c>
      <c r="D150" t="s">
        <v>77</v>
      </c>
      <c r="F150" t="s">
        <v>200</v>
      </c>
      <c r="G150" t="s">
        <v>199</v>
      </c>
      <c r="H150" t="s">
        <v>51</v>
      </c>
      <c r="I150" s="66">
        <v>43550</v>
      </c>
      <c r="J150" s="6">
        <v>991269640</v>
      </c>
      <c r="L150">
        <v>992103940</v>
      </c>
      <c r="M150">
        <v>0.450824</v>
      </c>
      <c r="N150">
        <v>1000000000</v>
      </c>
      <c r="O150">
        <v>1.75</v>
      </c>
      <c r="P150" t="s">
        <v>42</v>
      </c>
      <c r="Q150" t="s">
        <v>23</v>
      </c>
      <c r="R150" s="66">
        <v>43326</v>
      </c>
      <c r="S150" s="6">
        <f>DataTable[HLD_MaturityDate] - DataTable[SEC_Issue_Date]</f>
        <v>224</v>
      </c>
      <c r="T150" s="66" t="str">
        <f>DataTable[HLD_Portfolio]&amp;DataTable[HLD_Date]</f>
        <v>SCBSFFPLUS43383</v>
      </c>
      <c r="W150" t="b">
        <f>DataTable[HLD_SecCode]="CB18O18A"</f>
        <v>0</v>
      </c>
    </row>
    <row r="151" spans="1:23" hidden="1" x14ac:dyDescent="0.2">
      <c r="A151" s="66">
        <v>43383</v>
      </c>
      <c r="B151" t="s">
        <v>139</v>
      </c>
      <c r="C151" t="s">
        <v>18</v>
      </c>
      <c r="D151" t="s">
        <v>77</v>
      </c>
      <c r="F151" t="s">
        <v>201</v>
      </c>
      <c r="G151" t="s">
        <v>202</v>
      </c>
      <c r="H151" t="s">
        <v>203</v>
      </c>
      <c r="I151" s="66">
        <v>43417</v>
      </c>
      <c r="J151" s="6">
        <v>1497833265</v>
      </c>
      <c r="L151">
        <v>1497833265</v>
      </c>
      <c r="M151">
        <v>9.0283000000000002E-2</v>
      </c>
      <c r="N151">
        <v>1500000000</v>
      </c>
      <c r="O151">
        <v>1.6</v>
      </c>
      <c r="P151" t="s">
        <v>42</v>
      </c>
      <c r="Q151" t="s">
        <v>23</v>
      </c>
      <c r="R151" s="66">
        <v>43329</v>
      </c>
      <c r="S151" s="6">
        <f>DataTable[HLD_MaturityDate] - DataTable[SEC_Issue_Date]</f>
        <v>88</v>
      </c>
      <c r="T151" s="66" t="str">
        <f>DataTable[HLD_Portfolio]&amp;DataTable[HLD_Date]</f>
        <v>SCBSFFPLUS43383</v>
      </c>
      <c r="W151" t="b">
        <f>DataTable[HLD_SecCode]="CB18O18A"</f>
        <v>0</v>
      </c>
    </row>
    <row r="152" spans="1:23" hidden="1" x14ac:dyDescent="0.2">
      <c r="A152" s="66">
        <v>43383</v>
      </c>
      <c r="B152" t="s">
        <v>139</v>
      </c>
      <c r="C152" t="s">
        <v>18</v>
      </c>
      <c r="D152" t="s">
        <v>77</v>
      </c>
      <c r="F152" t="s">
        <v>875</v>
      </c>
      <c r="G152" t="s">
        <v>80</v>
      </c>
      <c r="H152" t="s">
        <v>51</v>
      </c>
      <c r="I152" s="66">
        <v>43438</v>
      </c>
      <c r="J152" s="6">
        <v>1496369355</v>
      </c>
      <c r="L152">
        <v>1496369355</v>
      </c>
      <c r="M152">
        <v>0.14758399999999999</v>
      </c>
      <c r="N152">
        <v>1500000000</v>
      </c>
      <c r="O152">
        <v>1.64</v>
      </c>
      <c r="P152" t="s">
        <v>42</v>
      </c>
      <c r="Q152" t="s">
        <v>23</v>
      </c>
      <c r="R152" s="66">
        <v>43382</v>
      </c>
      <c r="S152" s="6">
        <f>DataTable[HLD_MaturityDate] - DataTable[SEC_Issue_Date]</f>
        <v>56</v>
      </c>
      <c r="T152" s="66" t="str">
        <f>DataTable[HLD_Portfolio]&amp;DataTable[HLD_Date]</f>
        <v>SCBSFFPLUS43383</v>
      </c>
      <c r="W152" t="b">
        <f>DataTable[HLD_SecCode]="CB18O18A"</f>
        <v>0</v>
      </c>
    </row>
    <row r="153" spans="1:23" hidden="1" x14ac:dyDescent="0.2">
      <c r="A153" s="66">
        <v>43383</v>
      </c>
      <c r="B153" t="s">
        <v>139</v>
      </c>
      <c r="C153" t="s">
        <v>18</v>
      </c>
      <c r="D153" t="s">
        <v>77</v>
      </c>
      <c r="F153" t="s">
        <v>204</v>
      </c>
      <c r="G153" t="s">
        <v>205</v>
      </c>
      <c r="H153" t="s">
        <v>29</v>
      </c>
      <c r="I153" s="66">
        <v>43397</v>
      </c>
      <c r="J153" s="6">
        <v>99933491</v>
      </c>
      <c r="L153">
        <v>99925261</v>
      </c>
      <c r="M153">
        <v>3.5593E-2</v>
      </c>
      <c r="N153">
        <v>100000000</v>
      </c>
      <c r="O153">
        <v>2.1</v>
      </c>
      <c r="P153" t="s">
        <v>42</v>
      </c>
      <c r="Q153" t="s">
        <v>23</v>
      </c>
      <c r="R153" s="66">
        <v>43209</v>
      </c>
      <c r="S153" s="6">
        <f>DataTable[HLD_MaturityDate] - DataTable[SEC_Issue_Date]</f>
        <v>188</v>
      </c>
      <c r="T153" s="66" t="str">
        <f>DataTable[HLD_Portfolio]&amp;DataTable[HLD_Date]</f>
        <v>SCBSFFPLUS43383</v>
      </c>
      <c r="W153" t="b">
        <f>DataTable[HLD_SecCode]="CB18O18A"</f>
        <v>0</v>
      </c>
    </row>
    <row r="154" spans="1:23" hidden="1" x14ac:dyDescent="0.2">
      <c r="A154" s="66">
        <v>43383</v>
      </c>
      <c r="B154" t="s">
        <v>139</v>
      </c>
      <c r="C154" t="s">
        <v>18</v>
      </c>
      <c r="D154" t="s">
        <v>77</v>
      </c>
      <c r="F154" t="s">
        <v>206</v>
      </c>
      <c r="G154" t="s">
        <v>82</v>
      </c>
      <c r="H154" t="s">
        <v>47</v>
      </c>
      <c r="I154" s="66">
        <v>43496</v>
      </c>
      <c r="J154" s="6">
        <v>696457103.40999997</v>
      </c>
      <c r="L154">
        <v>696633257.35000002</v>
      </c>
      <c r="M154">
        <v>0.30529600000000001</v>
      </c>
      <c r="N154">
        <v>700000000</v>
      </c>
      <c r="O154">
        <v>1.575</v>
      </c>
      <c r="P154" t="s">
        <v>42</v>
      </c>
      <c r="Q154" t="s">
        <v>23</v>
      </c>
      <c r="R154" s="66">
        <v>43227</v>
      </c>
      <c r="S154" s="6">
        <f>DataTable[HLD_MaturityDate] - DataTable[SEC_Issue_Date]</f>
        <v>269</v>
      </c>
      <c r="T154" s="66" t="str">
        <f>DataTable[HLD_Portfolio]&amp;DataTable[HLD_Date]</f>
        <v>SCBSFFPLUS43383</v>
      </c>
      <c r="W154" t="b">
        <f>DataTable[HLD_SecCode]="CB18O18A"</f>
        <v>0</v>
      </c>
    </row>
    <row r="155" spans="1:23" hidden="1" x14ac:dyDescent="0.2">
      <c r="A155" s="66">
        <v>43383</v>
      </c>
      <c r="B155" t="s">
        <v>139</v>
      </c>
      <c r="C155" t="s">
        <v>18</v>
      </c>
      <c r="D155" t="s">
        <v>77</v>
      </c>
      <c r="F155" t="s">
        <v>81</v>
      </c>
      <c r="G155" t="s">
        <v>82</v>
      </c>
      <c r="H155" t="s">
        <v>47</v>
      </c>
      <c r="I155" s="66">
        <v>43514</v>
      </c>
      <c r="J155" s="6">
        <v>844864130</v>
      </c>
      <c r="L155">
        <v>844944225.5</v>
      </c>
      <c r="M155">
        <v>0.35401199999999999</v>
      </c>
      <c r="N155">
        <v>850000000</v>
      </c>
      <c r="O155">
        <v>1.68</v>
      </c>
      <c r="P155" t="s">
        <v>42</v>
      </c>
      <c r="Q155" t="s">
        <v>23</v>
      </c>
      <c r="R155" s="66">
        <v>43244</v>
      </c>
      <c r="S155" s="6">
        <f>DataTable[HLD_MaturityDate] - DataTable[SEC_Issue_Date]</f>
        <v>270</v>
      </c>
      <c r="T155" s="66" t="str">
        <f>DataTable[HLD_Portfolio]&amp;DataTable[HLD_Date]</f>
        <v>SCBSFFPLUS43383</v>
      </c>
      <c r="W155" t="b">
        <f>DataTable[HLD_SecCode]="CB18O18A"</f>
        <v>0</v>
      </c>
    </row>
    <row r="156" spans="1:23" x14ac:dyDescent="0.2">
      <c r="A156" s="66">
        <v>43383</v>
      </c>
      <c r="B156" t="s">
        <v>139</v>
      </c>
      <c r="C156" t="s">
        <v>18</v>
      </c>
      <c r="D156" t="s">
        <v>83</v>
      </c>
      <c r="F156" t="s">
        <v>84</v>
      </c>
      <c r="G156" t="s">
        <v>85</v>
      </c>
      <c r="H156" t="s">
        <v>29</v>
      </c>
      <c r="I156" s="66">
        <v>43418</v>
      </c>
      <c r="J156" s="6">
        <v>1487314273.3199999</v>
      </c>
      <c r="L156">
        <v>1487291461.8399999</v>
      </c>
      <c r="M156">
        <v>9.3044000000000002E-2</v>
      </c>
      <c r="N156">
        <v>1489000000</v>
      </c>
      <c r="O156">
        <v>1.2332240000000001</v>
      </c>
      <c r="P156" t="s">
        <v>42</v>
      </c>
      <c r="Q156" t="s">
        <v>23</v>
      </c>
      <c r="R156" s="66">
        <v>43054</v>
      </c>
      <c r="S156" s="6">
        <f>DataTable[HLD_MaturityDate] - DataTable[SEC_Issue_Date]</f>
        <v>364</v>
      </c>
      <c r="T156" s="66" t="str">
        <f>DataTable[HLD_Portfolio]&amp;DataTable[HLD_Date]</f>
        <v>SCBSFFPLUS43383</v>
      </c>
      <c r="W156" t="b">
        <f>DataTable[HLD_SecCode]="CB18O18A"</f>
        <v>0</v>
      </c>
    </row>
    <row r="157" spans="1:23" x14ac:dyDescent="0.2">
      <c r="A157" s="66">
        <v>43383</v>
      </c>
      <c r="B157" t="s">
        <v>139</v>
      </c>
      <c r="C157" t="s">
        <v>18</v>
      </c>
      <c r="D157" t="s">
        <v>83</v>
      </c>
      <c r="F157" t="s">
        <v>86</v>
      </c>
      <c r="G157" t="s">
        <v>85</v>
      </c>
      <c r="H157" t="s">
        <v>29</v>
      </c>
      <c r="I157" s="66">
        <v>43558</v>
      </c>
      <c r="J157" s="6">
        <v>1180656845.9000001</v>
      </c>
      <c r="L157">
        <v>1182603007.5999999</v>
      </c>
      <c r="M157">
        <v>0.47296899999999997</v>
      </c>
      <c r="N157">
        <v>1190000000</v>
      </c>
      <c r="O157">
        <v>1.312079</v>
      </c>
      <c r="P157" t="s">
        <v>42</v>
      </c>
      <c r="Q157" t="s">
        <v>23</v>
      </c>
      <c r="R157" s="66">
        <v>43194</v>
      </c>
      <c r="S157" s="6">
        <f>DataTable[HLD_MaturityDate] - DataTable[SEC_Issue_Date]</f>
        <v>364</v>
      </c>
      <c r="T157" s="66" t="str">
        <f>DataTable[HLD_Portfolio]&amp;DataTable[HLD_Date]</f>
        <v>SCBSFFPLUS43383</v>
      </c>
      <c r="W157" t="b">
        <f>DataTable[HLD_SecCode]="CB18O18A"</f>
        <v>0</v>
      </c>
    </row>
    <row r="158" spans="1:23" x14ac:dyDescent="0.2">
      <c r="A158" s="66">
        <v>43383</v>
      </c>
      <c r="B158" t="s">
        <v>139</v>
      </c>
      <c r="C158" t="s">
        <v>18</v>
      </c>
      <c r="D158" t="s">
        <v>87</v>
      </c>
      <c r="F158" t="s">
        <v>88</v>
      </c>
      <c r="G158" t="s">
        <v>89</v>
      </c>
      <c r="I158" s="66">
        <v>43440</v>
      </c>
      <c r="J158" s="6">
        <v>6986066150</v>
      </c>
      <c r="L158">
        <v>6985610380</v>
      </c>
      <c r="M158">
        <v>0.153115</v>
      </c>
      <c r="N158">
        <v>7000000000</v>
      </c>
      <c r="O158">
        <v>1.3426100000000001</v>
      </c>
      <c r="P158" t="s">
        <v>42</v>
      </c>
      <c r="Q158" t="s">
        <v>23</v>
      </c>
      <c r="R158" s="66">
        <v>43349</v>
      </c>
      <c r="S158" s="6">
        <f>DataTable[HLD_MaturityDate] - DataTable[SEC_Issue_Date]</f>
        <v>91</v>
      </c>
      <c r="T158" s="66" t="str">
        <f>DataTable[HLD_Portfolio]&amp;DataTable[HLD_Date]</f>
        <v>SCBSFFPLUS43383</v>
      </c>
      <c r="W158" t="b">
        <f>DataTable[HLD_SecCode]="CB18O18A"</f>
        <v>0</v>
      </c>
    </row>
    <row r="159" spans="1:23" x14ac:dyDescent="0.2">
      <c r="A159" s="66">
        <v>43383</v>
      </c>
      <c r="B159" t="s">
        <v>139</v>
      </c>
      <c r="C159" t="s">
        <v>18</v>
      </c>
      <c r="D159" t="s">
        <v>87</v>
      </c>
      <c r="F159" t="s">
        <v>207</v>
      </c>
      <c r="G159" t="s">
        <v>89</v>
      </c>
      <c r="I159" s="66">
        <v>43447</v>
      </c>
      <c r="J159" s="6">
        <v>569755214.28999996</v>
      </c>
      <c r="L159">
        <v>569755214.28999996</v>
      </c>
      <c r="M159">
        <v>0.17217499999999999</v>
      </c>
      <c r="N159">
        <v>571000000</v>
      </c>
      <c r="O159">
        <v>1.265779</v>
      </c>
      <c r="P159" t="s">
        <v>42</v>
      </c>
      <c r="Q159" t="s">
        <v>23</v>
      </c>
      <c r="R159" s="66">
        <v>43265</v>
      </c>
      <c r="S159" s="6">
        <f>DataTable[HLD_MaturityDate] - DataTable[SEC_Issue_Date]</f>
        <v>182</v>
      </c>
      <c r="T159" s="66" t="str">
        <f>DataTable[HLD_Portfolio]&amp;DataTable[HLD_Date]</f>
        <v>SCBSFFPLUS43383</v>
      </c>
      <c r="W159" t="b">
        <f>DataTable[HLD_SecCode]="CB18O18A"</f>
        <v>0</v>
      </c>
    </row>
    <row r="160" spans="1:23" x14ac:dyDescent="0.2">
      <c r="A160" s="66">
        <v>43383</v>
      </c>
      <c r="B160" t="s">
        <v>139</v>
      </c>
      <c r="C160" t="s">
        <v>18</v>
      </c>
      <c r="D160" t="s">
        <v>87</v>
      </c>
      <c r="F160" t="s">
        <v>90</v>
      </c>
      <c r="G160" t="s">
        <v>89</v>
      </c>
      <c r="I160" s="66">
        <v>43447</v>
      </c>
      <c r="J160" s="6">
        <v>5126790983.0500002</v>
      </c>
      <c r="L160">
        <v>5126690811.5500002</v>
      </c>
      <c r="M160">
        <v>0.17219100000000001</v>
      </c>
      <c r="N160">
        <v>5137000000</v>
      </c>
      <c r="O160">
        <v>1.165035</v>
      </c>
      <c r="P160" t="s">
        <v>42</v>
      </c>
      <c r="Q160" t="s">
        <v>23</v>
      </c>
      <c r="R160" s="66">
        <v>43356</v>
      </c>
      <c r="S160" s="6">
        <f>DataTable[HLD_MaturityDate] - DataTable[SEC_Issue_Date]</f>
        <v>91</v>
      </c>
      <c r="T160" s="66" t="str">
        <f>DataTable[HLD_Portfolio]&amp;DataTable[HLD_Date]</f>
        <v>SCBSFFPLUS43383</v>
      </c>
      <c r="W160" t="b">
        <f>DataTable[HLD_SecCode]="CB18O18A"</f>
        <v>0</v>
      </c>
    </row>
    <row r="161" spans="1:23" x14ac:dyDescent="0.2">
      <c r="A161" s="66">
        <v>43383</v>
      </c>
      <c r="B161" t="s">
        <v>139</v>
      </c>
      <c r="C161" t="s">
        <v>18</v>
      </c>
      <c r="D161" t="s">
        <v>87</v>
      </c>
      <c r="F161" t="s">
        <v>91</v>
      </c>
      <c r="G161" t="s">
        <v>89</v>
      </c>
      <c r="I161" s="66">
        <v>43454</v>
      </c>
      <c r="J161" s="6">
        <v>4488197586.0699997</v>
      </c>
      <c r="L161">
        <v>4487150893.7200003</v>
      </c>
      <c r="M161">
        <v>0.19125700000000001</v>
      </c>
      <c r="N161">
        <v>4499000000</v>
      </c>
      <c r="O161">
        <v>1.376922</v>
      </c>
      <c r="P161" t="s">
        <v>42</v>
      </c>
      <c r="Q161" t="s">
        <v>23</v>
      </c>
      <c r="R161" s="66">
        <v>43363</v>
      </c>
      <c r="S161" s="6">
        <f>DataTable[HLD_MaturityDate] - DataTable[SEC_Issue_Date]</f>
        <v>91</v>
      </c>
      <c r="T161" s="66" t="str">
        <f>DataTable[HLD_Portfolio]&amp;DataTable[HLD_Date]</f>
        <v>SCBSFFPLUS43383</v>
      </c>
      <c r="W161" t="b">
        <f>DataTable[HLD_SecCode]="CB18O18A"</f>
        <v>0</v>
      </c>
    </row>
    <row r="162" spans="1:23" x14ac:dyDescent="0.2">
      <c r="A162" s="66">
        <v>43383</v>
      </c>
      <c r="B162" t="s">
        <v>139</v>
      </c>
      <c r="C162" t="s">
        <v>18</v>
      </c>
      <c r="D162" t="s">
        <v>87</v>
      </c>
      <c r="F162" t="s">
        <v>208</v>
      </c>
      <c r="G162" t="s">
        <v>89</v>
      </c>
      <c r="I162" s="66">
        <v>43461</v>
      </c>
      <c r="J162" s="6">
        <v>847532637</v>
      </c>
      <c r="L162">
        <v>847329453</v>
      </c>
      <c r="M162">
        <v>0.210337</v>
      </c>
      <c r="N162">
        <v>850000000</v>
      </c>
      <c r="O162">
        <v>1.494</v>
      </c>
      <c r="P162" t="s">
        <v>42</v>
      </c>
      <c r="Q162" t="s">
        <v>23</v>
      </c>
      <c r="R162" s="66">
        <v>43370</v>
      </c>
      <c r="S162" s="6">
        <f>DataTable[HLD_MaturityDate] - DataTable[SEC_Issue_Date]</f>
        <v>91</v>
      </c>
      <c r="T162" s="66" t="str">
        <f>DataTable[HLD_Portfolio]&amp;DataTable[HLD_Date]</f>
        <v>SCBSFFPLUS43383</v>
      </c>
      <c r="W162" t="b">
        <f>DataTable[HLD_SecCode]="CB18O18A"</f>
        <v>0</v>
      </c>
    </row>
    <row r="163" spans="1:23" x14ac:dyDescent="0.2">
      <c r="A163" s="66">
        <v>43383</v>
      </c>
      <c r="B163" t="s">
        <v>139</v>
      </c>
      <c r="C163" t="s">
        <v>18</v>
      </c>
      <c r="D163" t="s">
        <v>87</v>
      </c>
      <c r="F163" t="s">
        <v>209</v>
      </c>
      <c r="G163" t="s">
        <v>89</v>
      </c>
      <c r="I163" s="66">
        <v>43405</v>
      </c>
      <c r="J163" s="6">
        <v>885415762.74000001</v>
      </c>
      <c r="L163">
        <v>885415762.74000001</v>
      </c>
      <c r="M163">
        <v>5.7493000000000002E-2</v>
      </c>
      <c r="N163">
        <v>886000000</v>
      </c>
      <c r="O163">
        <v>1.146879</v>
      </c>
      <c r="P163" t="s">
        <v>42</v>
      </c>
      <c r="Q163" t="s">
        <v>23</v>
      </c>
      <c r="R163" s="66">
        <v>43223</v>
      </c>
      <c r="S163" s="6">
        <f>DataTable[HLD_MaturityDate] - DataTable[SEC_Issue_Date]</f>
        <v>182</v>
      </c>
      <c r="T163" s="66" t="str">
        <f>DataTable[HLD_Portfolio]&amp;DataTable[HLD_Date]</f>
        <v>SCBSFFPLUS43383</v>
      </c>
      <c r="W163" t="b">
        <f>DataTable[HLD_SecCode]="CB18O18A"</f>
        <v>0</v>
      </c>
    </row>
    <row r="164" spans="1:23" x14ac:dyDescent="0.2">
      <c r="A164" s="66">
        <v>43383</v>
      </c>
      <c r="B164" t="s">
        <v>139</v>
      </c>
      <c r="C164" t="s">
        <v>18</v>
      </c>
      <c r="D164" t="s">
        <v>87</v>
      </c>
      <c r="F164" t="s">
        <v>92</v>
      </c>
      <c r="G164" t="s">
        <v>89</v>
      </c>
      <c r="I164" s="66">
        <v>43405</v>
      </c>
      <c r="J164" s="6">
        <v>3007785392.5</v>
      </c>
      <c r="L164">
        <v>3007772600</v>
      </c>
      <c r="M164">
        <v>5.7493000000000002E-2</v>
      </c>
      <c r="N164">
        <v>3010000000</v>
      </c>
      <c r="O164">
        <v>1.2871360000000001</v>
      </c>
      <c r="P164" t="s">
        <v>42</v>
      </c>
      <c r="Q164" t="s">
        <v>23</v>
      </c>
      <c r="R164" s="66">
        <v>43314</v>
      </c>
      <c r="S164" s="6">
        <f>DataTable[HLD_MaturityDate] - DataTable[SEC_Issue_Date]</f>
        <v>91</v>
      </c>
      <c r="T164" s="66" t="str">
        <f>DataTable[HLD_Portfolio]&amp;DataTable[HLD_Date]</f>
        <v>SCBSFFPLUS43383</v>
      </c>
      <c r="W164" t="b">
        <f>DataTable[HLD_SecCode]="CB18O18A"</f>
        <v>0</v>
      </c>
    </row>
    <row r="165" spans="1:23" x14ac:dyDescent="0.2">
      <c r="A165" s="66">
        <v>43383</v>
      </c>
      <c r="B165" t="s">
        <v>139</v>
      </c>
      <c r="C165" t="s">
        <v>18</v>
      </c>
      <c r="D165" t="s">
        <v>87</v>
      </c>
      <c r="F165" t="s">
        <v>93</v>
      </c>
      <c r="G165" t="s">
        <v>89</v>
      </c>
      <c r="I165" s="66">
        <v>43412</v>
      </c>
      <c r="J165" s="6">
        <v>1060014691.74</v>
      </c>
      <c r="L165">
        <v>1060014691.74</v>
      </c>
      <c r="M165">
        <v>7.6638999999999999E-2</v>
      </c>
      <c r="N165">
        <v>1061000000</v>
      </c>
      <c r="O165">
        <v>1.2117009999999999</v>
      </c>
      <c r="P165" t="s">
        <v>42</v>
      </c>
      <c r="Q165" t="s">
        <v>23</v>
      </c>
      <c r="R165" s="66">
        <v>43230</v>
      </c>
      <c r="S165" s="6">
        <f>DataTable[HLD_MaturityDate] - DataTable[SEC_Issue_Date]</f>
        <v>182</v>
      </c>
      <c r="T165" s="66" t="str">
        <f>DataTable[HLD_Portfolio]&amp;DataTable[HLD_Date]</f>
        <v>SCBSFFPLUS43383</v>
      </c>
      <c r="W165" t="b">
        <f>DataTable[HLD_SecCode]="CB18O18A"</f>
        <v>0</v>
      </c>
    </row>
    <row r="166" spans="1:23" x14ac:dyDescent="0.2">
      <c r="A166" s="66">
        <v>43383</v>
      </c>
      <c r="B166" t="s">
        <v>139</v>
      </c>
      <c r="C166" t="s">
        <v>18</v>
      </c>
      <c r="D166" t="s">
        <v>87</v>
      </c>
      <c r="F166" t="s">
        <v>94</v>
      </c>
      <c r="G166" t="s">
        <v>89</v>
      </c>
      <c r="I166" s="66">
        <v>43412</v>
      </c>
      <c r="J166" s="6">
        <v>5713470642.04</v>
      </c>
      <c r="L166">
        <v>5713444105.8800001</v>
      </c>
      <c r="M166">
        <v>7.6638999999999999E-2</v>
      </c>
      <c r="N166">
        <v>5719000000</v>
      </c>
      <c r="O166">
        <v>1.2676259999999999</v>
      </c>
      <c r="P166" t="s">
        <v>42</v>
      </c>
      <c r="Q166" t="s">
        <v>23</v>
      </c>
      <c r="R166" s="66">
        <v>43321</v>
      </c>
      <c r="S166" s="6">
        <f>DataTable[HLD_MaturityDate] - DataTable[SEC_Issue_Date]</f>
        <v>91</v>
      </c>
      <c r="T166" s="66" t="str">
        <f>DataTable[HLD_Portfolio]&amp;DataTable[HLD_Date]</f>
        <v>SCBSFFPLUS43383</v>
      </c>
      <c r="W166" t="b">
        <f>DataTable[HLD_SecCode]="CB18O18A"</f>
        <v>0</v>
      </c>
    </row>
    <row r="167" spans="1:23" x14ac:dyDescent="0.2">
      <c r="A167" s="66">
        <v>43383</v>
      </c>
      <c r="B167" t="s">
        <v>139</v>
      </c>
      <c r="C167" t="s">
        <v>18</v>
      </c>
      <c r="D167" t="s">
        <v>87</v>
      </c>
      <c r="F167" t="s">
        <v>95</v>
      </c>
      <c r="G167" t="s">
        <v>89</v>
      </c>
      <c r="I167" s="66">
        <v>43419</v>
      </c>
      <c r="J167" s="6">
        <v>624303493.75</v>
      </c>
      <c r="L167">
        <v>624303493.75</v>
      </c>
      <c r="M167">
        <v>9.5774999999999999E-2</v>
      </c>
      <c r="N167">
        <v>625000000</v>
      </c>
      <c r="O167">
        <v>1.1634640000000001</v>
      </c>
      <c r="P167" t="s">
        <v>42</v>
      </c>
      <c r="Q167" t="s">
        <v>23</v>
      </c>
      <c r="R167" s="66">
        <v>43237</v>
      </c>
      <c r="S167" s="6">
        <f>DataTable[HLD_MaturityDate] - DataTable[SEC_Issue_Date]</f>
        <v>182</v>
      </c>
      <c r="T167" s="66" t="str">
        <f>DataTable[HLD_Portfolio]&amp;DataTable[HLD_Date]</f>
        <v>SCBSFFPLUS43383</v>
      </c>
      <c r="W167" t="b">
        <f>DataTable[HLD_SecCode]="CB18O18A"</f>
        <v>0</v>
      </c>
    </row>
    <row r="168" spans="1:23" x14ac:dyDescent="0.2">
      <c r="A168" s="66">
        <v>43383</v>
      </c>
      <c r="B168" t="s">
        <v>139</v>
      </c>
      <c r="C168" t="s">
        <v>18</v>
      </c>
      <c r="D168" t="s">
        <v>87</v>
      </c>
      <c r="F168" t="s">
        <v>96</v>
      </c>
      <c r="G168" t="s">
        <v>89</v>
      </c>
      <c r="I168" s="66">
        <v>43419</v>
      </c>
      <c r="J168" s="6">
        <v>7924456984.8000002</v>
      </c>
      <c r="L168">
        <v>7924448495.4200001</v>
      </c>
      <c r="M168">
        <v>9.5776E-2</v>
      </c>
      <c r="N168">
        <v>7934000000</v>
      </c>
      <c r="O168">
        <v>1.2569760000000001</v>
      </c>
      <c r="P168" t="s">
        <v>42</v>
      </c>
      <c r="Q168" t="s">
        <v>23</v>
      </c>
      <c r="R168" s="66">
        <v>43328</v>
      </c>
      <c r="S168" s="6">
        <f>DataTable[HLD_MaturityDate] - DataTable[SEC_Issue_Date]</f>
        <v>91</v>
      </c>
      <c r="T168" s="66" t="str">
        <f>DataTable[HLD_Portfolio]&amp;DataTable[HLD_Date]</f>
        <v>SCBSFFPLUS43383</v>
      </c>
      <c r="W168" t="b">
        <f>DataTable[HLD_SecCode]="CB18O18A"</f>
        <v>0</v>
      </c>
    </row>
    <row r="169" spans="1:23" x14ac:dyDescent="0.2">
      <c r="A169" s="66">
        <v>43383</v>
      </c>
      <c r="B169" t="s">
        <v>139</v>
      </c>
      <c r="C169" t="s">
        <v>18</v>
      </c>
      <c r="D169" t="s">
        <v>87</v>
      </c>
      <c r="F169" t="s">
        <v>97</v>
      </c>
      <c r="G169" t="s">
        <v>89</v>
      </c>
      <c r="I169" s="66">
        <v>43426</v>
      </c>
      <c r="J169" s="6">
        <v>2846957937.73</v>
      </c>
      <c r="L169">
        <v>2846957937.73</v>
      </c>
      <c r="M169">
        <v>0.114899</v>
      </c>
      <c r="N169">
        <v>2851000000</v>
      </c>
      <c r="O169">
        <v>1.2338579999999999</v>
      </c>
      <c r="P169" t="s">
        <v>42</v>
      </c>
      <c r="Q169" t="s">
        <v>23</v>
      </c>
      <c r="R169" s="66">
        <v>43244</v>
      </c>
      <c r="S169" s="6">
        <f>DataTable[HLD_MaturityDate] - DataTable[SEC_Issue_Date]</f>
        <v>182</v>
      </c>
      <c r="T169" s="66" t="str">
        <f>DataTable[HLD_Portfolio]&amp;DataTable[HLD_Date]</f>
        <v>SCBSFFPLUS43383</v>
      </c>
      <c r="W169" t="b">
        <f>DataTable[HLD_SecCode]="CB18O18A"</f>
        <v>0</v>
      </c>
    </row>
    <row r="170" spans="1:23" x14ac:dyDescent="0.2">
      <c r="A170" s="66">
        <v>43383</v>
      </c>
      <c r="B170" t="s">
        <v>139</v>
      </c>
      <c r="C170" t="s">
        <v>18</v>
      </c>
      <c r="D170" t="s">
        <v>87</v>
      </c>
      <c r="F170" t="s">
        <v>98</v>
      </c>
      <c r="G170" t="s">
        <v>89</v>
      </c>
      <c r="I170" s="66">
        <v>43426</v>
      </c>
      <c r="J170" s="6">
        <v>4738184709.0500002</v>
      </c>
      <c r="L170">
        <v>4738059014</v>
      </c>
      <c r="M170">
        <v>0.114899</v>
      </c>
      <c r="N170">
        <v>4745000000</v>
      </c>
      <c r="O170">
        <v>1.273101</v>
      </c>
      <c r="P170" t="s">
        <v>42</v>
      </c>
      <c r="Q170" t="s">
        <v>23</v>
      </c>
      <c r="R170" s="66">
        <v>43335</v>
      </c>
      <c r="S170" s="6">
        <f>DataTable[HLD_MaturityDate] - DataTable[SEC_Issue_Date]</f>
        <v>91</v>
      </c>
      <c r="T170" s="66" t="str">
        <f>DataTable[HLD_Portfolio]&amp;DataTable[HLD_Date]</f>
        <v>SCBSFFPLUS43383</v>
      </c>
      <c r="W170" t="b">
        <f>DataTable[HLD_SecCode]="CB18O18A"</f>
        <v>0</v>
      </c>
    </row>
    <row r="171" spans="1:23" x14ac:dyDescent="0.2">
      <c r="A171" s="66">
        <v>43383</v>
      </c>
      <c r="B171" t="s">
        <v>139</v>
      </c>
      <c r="C171" t="s">
        <v>18</v>
      </c>
      <c r="D171" t="s">
        <v>87</v>
      </c>
      <c r="F171" t="s">
        <v>99</v>
      </c>
      <c r="G171" t="s">
        <v>89</v>
      </c>
      <c r="I171" s="66">
        <v>43433</v>
      </c>
      <c r="J171" s="6">
        <v>995382736.38999999</v>
      </c>
      <c r="L171">
        <v>995382955.73000002</v>
      </c>
      <c r="M171">
        <v>0.13400799999999999</v>
      </c>
      <c r="N171">
        <v>997000000</v>
      </c>
      <c r="O171">
        <v>1.2101200000000001</v>
      </c>
      <c r="P171" t="s">
        <v>42</v>
      </c>
      <c r="Q171" t="s">
        <v>23</v>
      </c>
      <c r="R171" s="66">
        <v>43251</v>
      </c>
      <c r="S171" s="6">
        <f>DataTable[HLD_MaturityDate] - DataTable[SEC_Issue_Date]</f>
        <v>182</v>
      </c>
      <c r="T171" s="66" t="str">
        <f>DataTable[HLD_Portfolio]&amp;DataTable[HLD_Date]</f>
        <v>SCBSFFPLUS43383</v>
      </c>
      <c r="W171" t="b">
        <f>DataTable[HLD_SecCode]="CB18O18A"</f>
        <v>0</v>
      </c>
    </row>
    <row r="172" spans="1:23" x14ac:dyDescent="0.2">
      <c r="A172" s="66">
        <v>43383</v>
      </c>
      <c r="B172" t="s">
        <v>139</v>
      </c>
      <c r="C172" t="s">
        <v>18</v>
      </c>
      <c r="D172" t="s">
        <v>87</v>
      </c>
      <c r="F172" t="s">
        <v>100</v>
      </c>
      <c r="G172" t="s">
        <v>89</v>
      </c>
      <c r="I172" s="66">
        <v>43433</v>
      </c>
      <c r="J172" s="6">
        <v>7047733130.1000004</v>
      </c>
      <c r="L172">
        <v>7047237094.1700001</v>
      </c>
      <c r="M172">
        <v>0.13401399999999999</v>
      </c>
      <c r="N172">
        <v>7059000000</v>
      </c>
      <c r="O172">
        <v>1.2433479999999999</v>
      </c>
      <c r="P172" t="s">
        <v>42</v>
      </c>
      <c r="Q172" t="s">
        <v>23</v>
      </c>
      <c r="R172" s="66">
        <v>43342</v>
      </c>
      <c r="S172" s="6">
        <f>DataTable[HLD_MaturityDate] - DataTable[SEC_Issue_Date]</f>
        <v>91</v>
      </c>
      <c r="T172" s="66" t="str">
        <f>DataTable[HLD_Portfolio]&amp;DataTable[HLD_Date]</f>
        <v>SCBSFFPLUS43383</v>
      </c>
      <c r="W172" t="b">
        <f>DataTable[HLD_SecCode]="CB18O18A"</f>
        <v>0</v>
      </c>
    </row>
    <row r="173" spans="1:23" x14ac:dyDescent="0.2">
      <c r="A173" s="66">
        <v>43383</v>
      </c>
      <c r="B173" t="s">
        <v>139</v>
      </c>
      <c r="C173" t="s">
        <v>18</v>
      </c>
      <c r="D173" t="s">
        <v>87</v>
      </c>
      <c r="F173" t="s">
        <v>101</v>
      </c>
      <c r="G173" t="s">
        <v>89</v>
      </c>
      <c r="I173" s="66">
        <v>43384</v>
      </c>
      <c r="J173" s="6">
        <v>452000000</v>
      </c>
      <c r="L173">
        <v>452000000</v>
      </c>
      <c r="M173">
        <v>2.7399999999999998E-3</v>
      </c>
      <c r="N173">
        <v>452000000</v>
      </c>
      <c r="O173">
        <v>1.1412439999999999</v>
      </c>
      <c r="P173" t="s">
        <v>42</v>
      </c>
      <c r="Q173" t="s">
        <v>23</v>
      </c>
      <c r="R173" s="66">
        <v>43202</v>
      </c>
      <c r="S173" s="6">
        <f>DataTable[HLD_MaturityDate] - DataTable[SEC_Issue_Date]</f>
        <v>182</v>
      </c>
      <c r="T173" s="66" t="str">
        <f>DataTable[HLD_Portfolio]&amp;DataTable[HLD_Date]</f>
        <v>SCBSFFPLUS43383</v>
      </c>
      <c r="W173" t="b">
        <f>DataTable[HLD_SecCode]="CB18O18A"</f>
        <v>0</v>
      </c>
    </row>
    <row r="174" spans="1:23" x14ac:dyDescent="0.2">
      <c r="A174" s="66">
        <v>43383</v>
      </c>
      <c r="B174" t="s">
        <v>139</v>
      </c>
      <c r="C174" t="s">
        <v>18</v>
      </c>
      <c r="D174" t="s">
        <v>87</v>
      </c>
      <c r="F174" t="s">
        <v>102</v>
      </c>
      <c r="G174" t="s">
        <v>89</v>
      </c>
      <c r="I174" s="66">
        <v>43384</v>
      </c>
      <c r="J174" s="6">
        <v>5126000000</v>
      </c>
      <c r="L174">
        <v>5126000000</v>
      </c>
      <c r="M174">
        <v>2.7399999999999998E-3</v>
      </c>
      <c r="N174">
        <v>5126000000</v>
      </c>
      <c r="O174">
        <v>1.309858</v>
      </c>
      <c r="P174" t="s">
        <v>42</v>
      </c>
      <c r="Q174" t="s">
        <v>23</v>
      </c>
      <c r="R174" s="66">
        <v>43293</v>
      </c>
      <c r="S174" s="6">
        <f>DataTable[HLD_MaturityDate] - DataTable[SEC_Issue_Date]</f>
        <v>91</v>
      </c>
      <c r="T174" s="66" t="str">
        <f>DataTable[HLD_Portfolio]&amp;DataTable[HLD_Date]</f>
        <v>SCBSFFPLUS43383</v>
      </c>
      <c r="W174" t="b">
        <f>DataTable[HLD_SecCode]="CB18O18A"</f>
        <v>0</v>
      </c>
    </row>
    <row r="175" spans="1:23" x14ac:dyDescent="0.2">
      <c r="A175" s="66">
        <v>43383</v>
      </c>
      <c r="B175" t="s">
        <v>139</v>
      </c>
      <c r="C175" t="s">
        <v>18</v>
      </c>
      <c r="D175" t="s">
        <v>87</v>
      </c>
      <c r="F175" t="s">
        <v>103</v>
      </c>
      <c r="G175" t="s">
        <v>89</v>
      </c>
      <c r="I175" s="66">
        <v>43389</v>
      </c>
      <c r="J175" s="6">
        <v>5280195598.0799999</v>
      </c>
      <c r="L175">
        <v>5280195598.0799999</v>
      </c>
      <c r="M175">
        <v>1.3696E-2</v>
      </c>
      <c r="N175">
        <v>5281000000</v>
      </c>
      <c r="O175">
        <v>1.1121160000000001</v>
      </c>
      <c r="P175" t="s">
        <v>42</v>
      </c>
      <c r="Q175" t="s">
        <v>23</v>
      </c>
      <c r="R175" s="66">
        <v>43375</v>
      </c>
      <c r="S175" s="6">
        <f>DataTable[HLD_MaturityDate] - DataTable[SEC_Issue_Date]</f>
        <v>14</v>
      </c>
      <c r="T175" s="66" t="str">
        <f>DataTable[HLD_Portfolio]&amp;DataTable[HLD_Date]</f>
        <v>SCBSFFPLUS43383</v>
      </c>
      <c r="W175" t="b">
        <f>DataTable[HLD_SecCode]="CB18O18A"</f>
        <v>0</v>
      </c>
    </row>
    <row r="176" spans="1:23" x14ac:dyDescent="0.2">
      <c r="A176" s="66">
        <v>43383</v>
      </c>
      <c r="B176" t="s">
        <v>139</v>
      </c>
      <c r="C176" t="s">
        <v>18</v>
      </c>
      <c r="D176" t="s">
        <v>87</v>
      </c>
      <c r="F176" t="s">
        <v>104</v>
      </c>
      <c r="G176" t="s">
        <v>89</v>
      </c>
      <c r="I176" s="66">
        <v>43391</v>
      </c>
      <c r="J176" s="6">
        <v>673850264.15999997</v>
      </c>
      <c r="L176">
        <v>673850264.15999997</v>
      </c>
      <c r="M176">
        <v>1.9174E-2</v>
      </c>
      <c r="N176">
        <v>674000000</v>
      </c>
      <c r="O176">
        <v>1.1586799999999999</v>
      </c>
      <c r="P176" t="s">
        <v>42</v>
      </c>
      <c r="Q176" t="s">
        <v>23</v>
      </c>
      <c r="R176" s="66">
        <v>43209</v>
      </c>
      <c r="S176" s="6">
        <f>DataTable[HLD_MaturityDate] - DataTable[SEC_Issue_Date]</f>
        <v>182</v>
      </c>
      <c r="T176" s="66" t="str">
        <f>DataTable[HLD_Portfolio]&amp;DataTable[HLD_Date]</f>
        <v>SCBSFFPLUS43383</v>
      </c>
      <c r="W176" t="b">
        <f>DataTable[HLD_SecCode]="CB18O18A"</f>
        <v>1</v>
      </c>
    </row>
    <row r="177" spans="1:23" x14ac:dyDescent="0.2">
      <c r="A177" s="66">
        <v>43383</v>
      </c>
      <c r="B177" t="s">
        <v>139</v>
      </c>
      <c r="C177" t="s">
        <v>18</v>
      </c>
      <c r="D177" t="s">
        <v>87</v>
      </c>
      <c r="F177" t="s">
        <v>105</v>
      </c>
      <c r="G177" t="s">
        <v>89</v>
      </c>
      <c r="I177" s="66">
        <v>43391</v>
      </c>
      <c r="J177" s="6">
        <v>6015479203.25</v>
      </c>
      <c r="L177">
        <v>6015446952.1300001</v>
      </c>
      <c r="M177">
        <v>1.9174E-2</v>
      </c>
      <c r="N177">
        <v>6017000000</v>
      </c>
      <c r="O177">
        <v>1.346217</v>
      </c>
      <c r="P177" t="s">
        <v>42</v>
      </c>
      <c r="Q177" t="s">
        <v>23</v>
      </c>
      <c r="R177" s="66">
        <v>43300</v>
      </c>
      <c r="S177" s="6">
        <f>DataTable[HLD_MaturityDate] - DataTable[SEC_Issue_Date]</f>
        <v>91</v>
      </c>
      <c r="T177" s="66" t="str">
        <f>DataTable[HLD_Portfolio]&amp;DataTable[HLD_Date]</f>
        <v>SCBSFFPLUS43383</v>
      </c>
      <c r="W177" t="b">
        <f>DataTable[HLD_SecCode]="CB18O18A"</f>
        <v>0</v>
      </c>
    </row>
    <row r="178" spans="1:23" x14ac:dyDescent="0.2">
      <c r="A178" s="66">
        <v>43383</v>
      </c>
      <c r="B178" t="s">
        <v>139</v>
      </c>
      <c r="C178" t="s">
        <v>18</v>
      </c>
      <c r="D178" t="s">
        <v>87</v>
      </c>
      <c r="F178" t="s">
        <v>355</v>
      </c>
      <c r="G178" t="s">
        <v>89</v>
      </c>
      <c r="I178" s="66">
        <v>43397</v>
      </c>
      <c r="J178" s="6">
        <v>996596045.50999999</v>
      </c>
      <c r="L178">
        <v>996596045.50999999</v>
      </c>
      <c r="M178">
        <v>3.5601000000000001E-2</v>
      </c>
      <c r="N178">
        <v>997000000</v>
      </c>
      <c r="O178">
        <v>1.138056</v>
      </c>
      <c r="P178" t="s">
        <v>42</v>
      </c>
      <c r="Q178" t="s">
        <v>23</v>
      </c>
      <c r="R178" s="66">
        <v>43382</v>
      </c>
      <c r="S178" s="6">
        <f>DataTable[HLD_MaturityDate] - DataTable[SEC_Issue_Date]</f>
        <v>15</v>
      </c>
      <c r="T178" s="66" t="str">
        <f>DataTable[HLD_Portfolio]&amp;DataTable[HLD_Date]</f>
        <v>SCBSFFPLUS43383</v>
      </c>
      <c r="W178" t="b">
        <f>DataTable[HLD_SecCode]="CB18O18A"</f>
        <v>0</v>
      </c>
    </row>
    <row r="179" spans="1:23" x14ac:dyDescent="0.2">
      <c r="A179" s="66">
        <v>43383</v>
      </c>
      <c r="B179" t="s">
        <v>139</v>
      </c>
      <c r="C179" t="s">
        <v>18</v>
      </c>
      <c r="D179" t="s">
        <v>87</v>
      </c>
      <c r="F179" t="s">
        <v>106</v>
      </c>
      <c r="G179" t="s">
        <v>89</v>
      </c>
      <c r="I179" s="66">
        <v>43398</v>
      </c>
      <c r="J179" s="6">
        <v>409818156.80000001</v>
      </c>
      <c r="L179">
        <v>409818156.80000001</v>
      </c>
      <c r="M179">
        <v>3.8338999999999998E-2</v>
      </c>
      <c r="N179">
        <v>410000000</v>
      </c>
      <c r="O179">
        <v>1.1568210000000001</v>
      </c>
      <c r="P179" t="s">
        <v>42</v>
      </c>
      <c r="Q179" t="s">
        <v>23</v>
      </c>
      <c r="R179" s="66">
        <v>43216</v>
      </c>
      <c r="S179" s="6">
        <f>DataTable[HLD_MaturityDate] - DataTable[SEC_Issue_Date]</f>
        <v>182</v>
      </c>
      <c r="T179" s="66" t="str">
        <f>DataTable[HLD_Portfolio]&amp;DataTable[HLD_Date]</f>
        <v>SCBSFFPLUS43383</v>
      </c>
      <c r="W179" t="b">
        <f>DataTable[HLD_SecCode]="CB18O18A"</f>
        <v>0</v>
      </c>
    </row>
    <row r="180" spans="1:23" x14ac:dyDescent="0.2">
      <c r="A180" s="66">
        <v>43383</v>
      </c>
      <c r="B180" t="s">
        <v>139</v>
      </c>
      <c r="C180" t="s">
        <v>18</v>
      </c>
      <c r="D180" t="s">
        <v>87</v>
      </c>
      <c r="F180" t="s">
        <v>107</v>
      </c>
      <c r="G180" t="s">
        <v>89</v>
      </c>
      <c r="I180" s="66">
        <v>43398</v>
      </c>
      <c r="J180" s="6">
        <v>6467894761.2299995</v>
      </c>
      <c r="L180">
        <v>6467763658.7700005</v>
      </c>
      <c r="M180">
        <v>3.8338999999999998E-2</v>
      </c>
      <c r="N180">
        <v>6471000000</v>
      </c>
      <c r="O180">
        <v>1.304557</v>
      </c>
      <c r="P180" t="s">
        <v>42</v>
      </c>
      <c r="Q180" t="s">
        <v>23</v>
      </c>
      <c r="R180" s="66">
        <v>43307</v>
      </c>
      <c r="S180" s="6">
        <f>DataTable[HLD_MaturityDate] - DataTable[SEC_Issue_Date]</f>
        <v>91</v>
      </c>
      <c r="T180" s="66" t="str">
        <f>DataTable[HLD_Portfolio]&amp;DataTable[HLD_Date]</f>
        <v>SCBSFFPLUS43383</v>
      </c>
      <c r="W180" t="b">
        <f>DataTable[HLD_SecCode]="CB18O18A"</f>
        <v>0</v>
      </c>
    </row>
    <row r="181" spans="1:23" x14ac:dyDescent="0.2">
      <c r="A181" s="66">
        <v>43383</v>
      </c>
      <c r="B181" t="s">
        <v>139</v>
      </c>
      <c r="C181" t="s">
        <v>18</v>
      </c>
      <c r="D181" t="s">
        <v>87</v>
      </c>
      <c r="F181" t="s">
        <v>210</v>
      </c>
      <c r="G181" t="s">
        <v>89</v>
      </c>
      <c r="I181" s="66">
        <v>43468</v>
      </c>
      <c r="J181" s="6">
        <v>302026894.29000002</v>
      </c>
      <c r="L181">
        <v>301961855.33999997</v>
      </c>
      <c r="M181">
        <v>0.22930300000000001</v>
      </c>
      <c r="N181">
        <v>303000000</v>
      </c>
      <c r="O181">
        <v>1.4938940000000001</v>
      </c>
      <c r="P181" t="s">
        <v>42</v>
      </c>
      <c r="Q181" t="s">
        <v>23</v>
      </c>
      <c r="R181" s="66">
        <v>43286</v>
      </c>
      <c r="S181" s="6">
        <f>DataTable[HLD_MaturityDate] - DataTable[SEC_Issue_Date]</f>
        <v>182</v>
      </c>
      <c r="T181" s="66" t="str">
        <f>DataTable[HLD_Portfolio]&amp;DataTable[HLD_Date]</f>
        <v>SCBSFFPLUS43383</v>
      </c>
      <c r="W181" t="b">
        <f>DataTable[HLD_SecCode]="CB18O18A"</f>
        <v>0</v>
      </c>
    </row>
    <row r="182" spans="1:23" x14ac:dyDescent="0.2">
      <c r="A182" s="66">
        <v>43383</v>
      </c>
      <c r="B182" t="s">
        <v>139</v>
      </c>
      <c r="C182" t="s">
        <v>18</v>
      </c>
      <c r="D182" t="s">
        <v>87</v>
      </c>
      <c r="F182" t="s">
        <v>108</v>
      </c>
      <c r="G182" t="s">
        <v>89</v>
      </c>
      <c r="I182" s="66">
        <v>43468</v>
      </c>
      <c r="J182" s="6">
        <v>6446192426.5200005</v>
      </c>
      <c r="L182">
        <v>6445892246.6400003</v>
      </c>
      <c r="M182">
        <v>0.229353</v>
      </c>
      <c r="N182">
        <v>6468000000</v>
      </c>
      <c r="O182">
        <v>1.4903040000000001</v>
      </c>
      <c r="P182" t="s">
        <v>42</v>
      </c>
      <c r="Q182" t="s">
        <v>23</v>
      </c>
      <c r="R182" s="66">
        <v>43377</v>
      </c>
      <c r="S182" s="6">
        <f>DataTable[HLD_MaturityDate] - DataTable[SEC_Issue_Date]</f>
        <v>91</v>
      </c>
      <c r="T182" s="66" t="str">
        <f>DataTable[HLD_Portfolio]&amp;DataTable[HLD_Date]</f>
        <v>SCBSFFPLUS43383</v>
      </c>
      <c r="W182" t="b">
        <f>DataTable[HLD_SecCode]="CB18O18A"</f>
        <v>0</v>
      </c>
    </row>
    <row r="183" spans="1:23" x14ac:dyDescent="0.2">
      <c r="A183" s="66">
        <v>43383</v>
      </c>
      <c r="B183" t="s">
        <v>139</v>
      </c>
      <c r="C183" t="s">
        <v>18</v>
      </c>
      <c r="D183" t="s">
        <v>87</v>
      </c>
      <c r="F183" t="s">
        <v>870</v>
      </c>
      <c r="G183" t="s">
        <v>89</v>
      </c>
      <c r="I183" s="66">
        <v>43475</v>
      </c>
      <c r="J183" s="6">
        <v>4980696211.96</v>
      </c>
      <c r="L183">
        <v>4980696211.96</v>
      </c>
      <c r="M183">
        <v>0.25205499999999997</v>
      </c>
      <c r="N183">
        <v>5000000000</v>
      </c>
      <c r="O183">
        <v>1.5545469999999999</v>
      </c>
      <c r="P183" t="s">
        <v>42</v>
      </c>
      <c r="Q183" t="s">
        <v>23</v>
      </c>
      <c r="R183" s="66">
        <v>43384</v>
      </c>
      <c r="S183" s="6">
        <f>DataTable[HLD_MaturityDate] - DataTable[SEC_Issue_Date]</f>
        <v>91</v>
      </c>
      <c r="T183" s="66" t="str">
        <f>DataTable[HLD_Portfolio]&amp;DataTable[HLD_Date]</f>
        <v>SCBSFFPLUS43383</v>
      </c>
      <c r="W183" t="b">
        <f>DataTable[HLD_SecCode]="CB18O18A"</f>
        <v>0</v>
      </c>
    </row>
    <row r="184" spans="1:23" hidden="1" x14ac:dyDescent="0.2">
      <c r="A184" s="66">
        <v>43383</v>
      </c>
      <c r="B184" t="s">
        <v>139</v>
      </c>
      <c r="C184" t="s">
        <v>18</v>
      </c>
      <c r="D184" t="s">
        <v>109</v>
      </c>
      <c r="F184" t="s">
        <v>211</v>
      </c>
      <c r="G184" t="s">
        <v>212</v>
      </c>
      <c r="H184" t="s">
        <v>29</v>
      </c>
      <c r="I184" s="66">
        <v>43792</v>
      </c>
      <c r="J184" s="6">
        <v>314476765.30000001</v>
      </c>
      <c r="K184">
        <v>4050564.3</v>
      </c>
      <c r="L184">
        <v>313000000</v>
      </c>
      <c r="M184">
        <v>1.0776760000000001</v>
      </c>
      <c r="N184">
        <v>313000000</v>
      </c>
      <c r="O184">
        <v>3.35</v>
      </c>
      <c r="P184" t="s">
        <v>42</v>
      </c>
      <c r="Q184" t="s">
        <v>23</v>
      </c>
      <c r="R184" s="66">
        <v>42697</v>
      </c>
      <c r="S184" s="6">
        <f>DataTable[HLD_MaturityDate] - DataTable[SEC_Issue_Date]</f>
        <v>1095</v>
      </c>
      <c r="T184" s="66" t="str">
        <f>DataTable[HLD_Portfolio]&amp;DataTable[HLD_Date]</f>
        <v>SCBSFFPLUS43383</v>
      </c>
      <c r="W184" t="b">
        <f>DataTable[HLD_SecCode]="CB18O18A"</f>
        <v>0</v>
      </c>
    </row>
    <row r="185" spans="1:23" hidden="1" x14ac:dyDescent="0.2">
      <c r="A185" s="66">
        <v>43383</v>
      </c>
      <c r="B185" t="s">
        <v>139</v>
      </c>
      <c r="C185" t="s">
        <v>18</v>
      </c>
      <c r="D185" t="s">
        <v>109</v>
      </c>
      <c r="F185" t="s">
        <v>213</v>
      </c>
      <c r="G185" t="s">
        <v>214</v>
      </c>
      <c r="H185" t="s">
        <v>59</v>
      </c>
      <c r="I185" s="66">
        <v>43795</v>
      </c>
      <c r="J185" s="6">
        <v>10000304.699999999</v>
      </c>
      <c r="K185">
        <v>81287.7</v>
      </c>
      <c r="L185">
        <v>10069112.1</v>
      </c>
      <c r="M185">
        <v>1.0983890000000001</v>
      </c>
      <c r="N185">
        <v>10000000</v>
      </c>
      <c r="O185">
        <v>1.52</v>
      </c>
      <c r="P185" t="s">
        <v>42</v>
      </c>
      <c r="Q185" t="s">
        <v>23</v>
      </c>
      <c r="R185" s="66">
        <v>42881</v>
      </c>
      <c r="S185" s="6">
        <f>DataTable[HLD_MaturityDate] - DataTable[SEC_Issue_Date]</f>
        <v>914</v>
      </c>
      <c r="T185" s="66" t="str">
        <f>DataTable[HLD_Portfolio]&amp;DataTable[HLD_Date]</f>
        <v>SCBSFFPLUS43383</v>
      </c>
      <c r="W185" t="b">
        <f>DataTable[HLD_SecCode]="CB18O18A"</f>
        <v>0</v>
      </c>
    </row>
    <row r="186" spans="1:23" hidden="1" x14ac:dyDescent="0.2">
      <c r="A186" s="66">
        <v>43383</v>
      </c>
      <c r="B186" t="s">
        <v>139</v>
      </c>
      <c r="C186" t="s">
        <v>18</v>
      </c>
      <c r="D186" t="s">
        <v>109</v>
      </c>
      <c r="F186" t="s">
        <v>215</v>
      </c>
      <c r="G186" t="s">
        <v>122</v>
      </c>
      <c r="H186" t="s">
        <v>123</v>
      </c>
      <c r="I186" s="66">
        <v>43419</v>
      </c>
      <c r="J186" s="6">
        <v>500049740</v>
      </c>
      <c r="K186">
        <v>5063015</v>
      </c>
      <c r="L186">
        <v>500000000</v>
      </c>
      <c r="M186">
        <v>9.5762E-2</v>
      </c>
      <c r="N186">
        <v>500000000</v>
      </c>
      <c r="O186">
        <v>1.6</v>
      </c>
      <c r="P186" t="s">
        <v>42</v>
      </c>
      <c r="Q186" t="s">
        <v>23</v>
      </c>
      <c r="R186" s="66">
        <v>43153</v>
      </c>
      <c r="S186" s="6">
        <f>DataTable[HLD_MaturityDate] - DataTable[SEC_Issue_Date]</f>
        <v>266</v>
      </c>
      <c r="T186" s="66" t="str">
        <f>DataTable[HLD_Portfolio]&amp;DataTable[HLD_Date]</f>
        <v>SCBSFFPLUS43383</v>
      </c>
      <c r="W186" t="b">
        <f>DataTable[HLD_SecCode]="CB18O18A"</f>
        <v>0</v>
      </c>
    </row>
    <row r="187" spans="1:23" hidden="1" x14ac:dyDescent="0.2">
      <c r="A187" s="66">
        <v>43383</v>
      </c>
      <c r="B187" t="s">
        <v>139</v>
      </c>
      <c r="C187" t="s">
        <v>18</v>
      </c>
      <c r="D187" t="s">
        <v>109</v>
      </c>
      <c r="F187" t="s">
        <v>216</v>
      </c>
      <c r="G187" t="s">
        <v>122</v>
      </c>
      <c r="H187" t="s">
        <v>123</v>
      </c>
      <c r="I187" s="66">
        <v>43424</v>
      </c>
      <c r="J187" s="6">
        <v>500057780</v>
      </c>
      <c r="K187">
        <v>4975340</v>
      </c>
      <c r="L187">
        <v>500000000</v>
      </c>
      <c r="M187">
        <v>0.109418</v>
      </c>
      <c r="N187">
        <v>500000000</v>
      </c>
      <c r="O187">
        <v>1.6</v>
      </c>
      <c r="P187" t="s">
        <v>42</v>
      </c>
      <c r="Q187" t="s">
        <v>23</v>
      </c>
      <c r="R187" s="66">
        <v>43157</v>
      </c>
      <c r="S187" s="6">
        <f>DataTable[HLD_MaturityDate] - DataTable[SEC_Issue_Date]</f>
        <v>267</v>
      </c>
      <c r="T187" s="66" t="str">
        <f>DataTable[HLD_Portfolio]&amp;DataTable[HLD_Date]</f>
        <v>SCBSFFPLUS43383</v>
      </c>
      <c r="W187" t="b">
        <f>DataTable[HLD_SecCode]="CB18O18A"</f>
        <v>0</v>
      </c>
    </row>
    <row r="188" spans="1:23" hidden="1" x14ac:dyDescent="0.2">
      <c r="A188" s="66">
        <v>43383</v>
      </c>
      <c r="B188" t="s">
        <v>139</v>
      </c>
      <c r="C188" t="s">
        <v>18</v>
      </c>
      <c r="D188" t="s">
        <v>109</v>
      </c>
      <c r="F188" t="s">
        <v>217</v>
      </c>
      <c r="G188" t="s">
        <v>122</v>
      </c>
      <c r="H188" t="s">
        <v>123</v>
      </c>
      <c r="I188" s="66">
        <v>43426</v>
      </c>
      <c r="J188" s="6">
        <v>500056490</v>
      </c>
      <c r="K188">
        <v>4953425</v>
      </c>
      <c r="L188">
        <v>500000000</v>
      </c>
      <c r="M188">
        <v>0.114879</v>
      </c>
      <c r="N188">
        <v>500000000</v>
      </c>
      <c r="O188">
        <v>1.6</v>
      </c>
      <c r="P188" t="s">
        <v>42</v>
      </c>
      <c r="Q188" t="s">
        <v>23</v>
      </c>
      <c r="R188" s="66">
        <v>43158</v>
      </c>
      <c r="S188" s="6">
        <f>DataTable[HLD_MaturityDate] - DataTable[SEC_Issue_Date]</f>
        <v>268</v>
      </c>
      <c r="T188" s="66" t="str">
        <f>DataTable[HLD_Portfolio]&amp;DataTable[HLD_Date]</f>
        <v>SCBSFFPLUS43383</v>
      </c>
      <c r="W188" t="b">
        <f>DataTable[HLD_SecCode]="CB18O18A"</f>
        <v>0</v>
      </c>
    </row>
    <row r="189" spans="1:23" hidden="1" x14ac:dyDescent="0.2">
      <c r="A189" s="66">
        <v>43383</v>
      </c>
      <c r="B189" t="s">
        <v>139</v>
      </c>
      <c r="C189" t="s">
        <v>18</v>
      </c>
      <c r="D189" t="s">
        <v>109</v>
      </c>
      <c r="F189" t="s">
        <v>218</v>
      </c>
      <c r="G189" t="s">
        <v>122</v>
      </c>
      <c r="H189" t="s">
        <v>123</v>
      </c>
      <c r="I189" s="66">
        <v>43427</v>
      </c>
      <c r="J189" s="6">
        <v>500056325</v>
      </c>
      <c r="K189">
        <v>4953425</v>
      </c>
      <c r="L189">
        <v>500000000</v>
      </c>
      <c r="M189">
        <v>0.11760900000000001</v>
      </c>
      <c r="N189">
        <v>500000000</v>
      </c>
      <c r="O189">
        <v>1.6</v>
      </c>
      <c r="P189" t="s">
        <v>42</v>
      </c>
      <c r="Q189" t="s">
        <v>23</v>
      </c>
      <c r="R189" s="66">
        <v>43158</v>
      </c>
      <c r="S189" s="6">
        <f>DataTable[HLD_MaturityDate] - DataTable[SEC_Issue_Date]</f>
        <v>269</v>
      </c>
      <c r="T189" s="66" t="str">
        <f>DataTable[HLD_Portfolio]&amp;DataTable[HLD_Date]</f>
        <v>SCBSFFPLUS43383</v>
      </c>
      <c r="W189" t="b">
        <f>DataTable[HLD_SecCode]="CB18O18A"</f>
        <v>0</v>
      </c>
    </row>
    <row r="190" spans="1:23" hidden="1" x14ac:dyDescent="0.2">
      <c r="A190" s="66">
        <v>43383</v>
      </c>
      <c r="B190" t="s">
        <v>139</v>
      </c>
      <c r="C190" t="s">
        <v>18</v>
      </c>
      <c r="D190" t="s">
        <v>109</v>
      </c>
      <c r="F190" t="s">
        <v>219</v>
      </c>
      <c r="G190" t="s">
        <v>122</v>
      </c>
      <c r="H190" t="s">
        <v>123</v>
      </c>
      <c r="I190" s="66">
        <v>43434</v>
      </c>
      <c r="J190" s="6">
        <v>130020868.90000001</v>
      </c>
      <c r="K190">
        <v>1242300.8</v>
      </c>
      <c r="L190">
        <v>130000000</v>
      </c>
      <c r="M190">
        <v>0.136711</v>
      </c>
      <c r="N190">
        <v>130000000</v>
      </c>
      <c r="O190">
        <v>1.6</v>
      </c>
      <c r="P190" t="s">
        <v>42</v>
      </c>
      <c r="Q190" t="s">
        <v>23</v>
      </c>
      <c r="R190" s="66">
        <v>43166</v>
      </c>
      <c r="S190" s="6">
        <f>DataTable[HLD_MaturityDate] - DataTable[SEC_Issue_Date]</f>
        <v>268</v>
      </c>
      <c r="T190" s="66" t="str">
        <f>DataTable[HLD_Portfolio]&amp;DataTable[HLD_Date]</f>
        <v>SCBSFFPLUS43383</v>
      </c>
      <c r="W190" t="b">
        <f>DataTable[HLD_SecCode]="CB18O18A"</f>
        <v>0</v>
      </c>
    </row>
    <row r="191" spans="1:23" hidden="1" x14ac:dyDescent="0.2">
      <c r="A191" s="66">
        <v>43383</v>
      </c>
      <c r="B191" t="s">
        <v>139</v>
      </c>
      <c r="C191" t="s">
        <v>18</v>
      </c>
      <c r="D191" t="s">
        <v>109</v>
      </c>
      <c r="F191" t="s">
        <v>220</v>
      </c>
      <c r="G191" t="s">
        <v>122</v>
      </c>
      <c r="H191" t="s">
        <v>123</v>
      </c>
      <c r="I191" s="66">
        <v>43483</v>
      </c>
      <c r="J191" s="6">
        <v>199952106</v>
      </c>
      <c r="K191">
        <v>1490410</v>
      </c>
      <c r="L191">
        <v>200000000</v>
      </c>
      <c r="M191">
        <v>0.270005</v>
      </c>
      <c r="N191">
        <v>200000000</v>
      </c>
      <c r="O191">
        <v>1.6</v>
      </c>
      <c r="P191" t="s">
        <v>42</v>
      </c>
      <c r="Q191" t="s">
        <v>23</v>
      </c>
      <c r="R191" s="66">
        <v>43214</v>
      </c>
      <c r="S191" s="6">
        <f>DataTable[HLD_MaturityDate] - DataTable[SEC_Issue_Date]</f>
        <v>269</v>
      </c>
      <c r="T191" s="66" t="str">
        <f>DataTable[HLD_Portfolio]&amp;DataTable[HLD_Date]</f>
        <v>SCBSFFPLUS43383</v>
      </c>
      <c r="W191" t="b">
        <f>DataTable[HLD_SecCode]="CB18O18A"</f>
        <v>0</v>
      </c>
    </row>
    <row r="192" spans="1:23" hidden="1" x14ac:dyDescent="0.2">
      <c r="A192" s="66">
        <v>43383</v>
      </c>
      <c r="B192" t="s">
        <v>139</v>
      </c>
      <c r="C192" t="s">
        <v>18</v>
      </c>
      <c r="D192" t="s">
        <v>109</v>
      </c>
      <c r="F192" t="s">
        <v>221</v>
      </c>
      <c r="G192" t="s">
        <v>122</v>
      </c>
      <c r="H192" t="s">
        <v>123</v>
      </c>
      <c r="I192" s="66">
        <v>43483</v>
      </c>
      <c r="J192" s="6">
        <v>849796620.5</v>
      </c>
      <c r="K192">
        <v>6296987</v>
      </c>
      <c r="L192">
        <v>850000000</v>
      </c>
      <c r="M192">
        <v>0.270005</v>
      </c>
      <c r="N192">
        <v>850000000</v>
      </c>
      <c r="O192">
        <v>1.6</v>
      </c>
      <c r="P192" t="s">
        <v>42</v>
      </c>
      <c r="Q192" t="s">
        <v>23</v>
      </c>
      <c r="R192" s="66">
        <v>43215</v>
      </c>
      <c r="S192" s="6">
        <f>DataTable[HLD_MaturityDate] - DataTable[SEC_Issue_Date]</f>
        <v>268</v>
      </c>
      <c r="T192" s="66" t="str">
        <f>DataTable[HLD_Portfolio]&amp;DataTable[HLD_Date]</f>
        <v>SCBSFFPLUS43383</v>
      </c>
      <c r="W192" t="b">
        <f>DataTable[HLD_SecCode]="CB18O18A"</f>
        <v>0</v>
      </c>
    </row>
    <row r="193" spans="1:23" hidden="1" x14ac:dyDescent="0.2">
      <c r="A193" s="66">
        <v>43383</v>
      </c>
      <c r="B193" t="s">
        <v>139</v>
      </c>
      <c r="C193" t="s">
        <v>18</v>
      </c>
      <c r="D193" t="s">
        <v>109</v>
      </c>
      <c r="F193" t="s">
        <v>222</v>
      </c>
      <c r="G193" t="s">
        <v>122</v>
      </c>
      <c r="H193" t="s">
        <v>123</v>
      </c>
      <c r="I193" s="66">
        <v>43910</v>
      </c>
      <c r="J193" s="6">
        <v>917433139.25</v>
      </c>
      <c r="K193">
        <v>915370.75</v>
      </c>
      <c r="L193">
        <v>925000000</v>
      </c>
      <c r="M193">
        <v>1.4092910000000001</v>
      </c>
      <c r="N193">
        <v>925000000</v>
      </c>
      <c r="O193">
        <v>1.72</v>
      </c>
      <c r="P193" t="s">
        <v>42</v>
      </c>
      <c r="Q193" t="s">
        <v>23</v>
      </c>
      <c r="R193" s="66">
        <v>43179</v>
      </c>
      <c r="S193" s="6">
        <f>DataTable[HLD_MaturityDate] - DataTable[SEC_Issue_Date]</f>
        <v>731</v>
      </c>
      <c r="T193" s="66" t="str">
        <f>DataTable[HLD_Portfolio]&amp;DataTable[HLD_Date]</f>
        <v>SCBSFFPLUS43383</v>
      </c>
      <c r="W193" t="b">
        <f>DataTable[HLD_SecCode]="CB18O18A"</f>
        <v>0</v>
      </c>
    </row>
    <row r="194" spans="1:23" hidden="1" x14ac:dyDescent="0.2">
      <c r="A194" s="66">
        <v>43383</v>
      </c>
      <c r="B194" t="s">
        <v>139</v>
      </c>
      <c r="C194" t="s">
        <v>18</v>
      </c>
      <c r="D194" t="s">
        <v>109</v>
      </c>
      <c r="F194" t="s">
        <v>223</v>
      </c>
      <c r="G194" t="s">
        <v>224</v>
      </c>
      <c r="H194" t="s">
        <v>123</v>
      </c>
      <c r="I194" s="66">
        <v>43738</v>
      </c>
      <c r="J194" s="6">
        <v>1153684849.1800001</v>
      </c>
      <c r="K194">
        <v>593790.47</v>
      </c>
      <c r="L194">
        <v>1159000000</v>
      </c>
      <c r="M194">
        <v>0.95111699999999999</v>
      </c>
      <c r="N194">
        <v>1159000000</v>
      </c>
      <c r="O194">
        <v>1.7</v>
      </c>
      <c r="P194" t="s">
        <v>42</v>
      </c>
      <c r="Q194" t="s">
        <v>23</v>
      </c>
      <c r="R194" s="66">
        <v>43189</v>
      </c>
      <c r="S194" s="6">
        <f>DataTable[HLD_MaturityDate] - DataTable[SEC_Issue_Date]</f>
        <v>549</v>
      </c>
      <c r="T194" s="66" t="str">
        <f>DataTable[HLD_Portfolio]&amp;DataTable[HLD_Date]</f>
        <v>SCBSFFPLUS43383</v>
      </c>
      <c r="W194" t="b">
        <f>DataTable[HLD_SecCode]="CB18O18A"</f>
        <v>0</v>
      </c>
    </row>
    <row r="195" spans="1:23" hidden="1" x14ac:dyDescent="0.2">
      <c r="A195" s="66">
        <v>43383</v>
      </c>
      <c r="B195" t="s">
        <v>139</v>
      </c>
      <c r="C195" t="s">
        <v>18</v>
      </c>
      <c r="D195" t="s">
        <v>109</v>
      </c>
      <c r="F195" t="s">
        <v>225</v>
      </c>
      <c r="G195" t="s">
        <v>224</v>
      </c>
      <c r="H195" t="s">
        <v>123</v>
      </c>
      <c r="I195" s="66">
        <v>43920</v>
      </c>
      <c r="J195" s="6">
        <v>158696267.19999999</v>
      </c>
      <c r="K195">
        <v>84384</v>
      </c>
      <c r="L195">
        <v>160000000</v>
      </c>
      <c r="M195">
        <v>1.4360360000000001</v>
      </c>
      <c r="N195">
        <v>160000000</v>
      </c>
      <c r="O195">
        <v>1.75</v>
      </c>
      <c r="P195" t="s">
        <v>42</v>
      </c>
      <c r="Q195" t="s">
        <v>23</v>
      </c>
      <c r="R195" s="66">
        <v>43189</v>
      </c>
      <c r="S195" s="6">
        <f>DataTable[HLD_MaturityDate] - DataTable[SEC_Issue_Date]</f>
        <v>731</v>
      </c>
      <c r="T195" s="66" t="str">
        <f>DataTable[HLD_Portfolio]&amp;DataTable[HLD_Date]</f>
        <v>SCBSFFPLUS43383</v>
      </c>
      <c r="W195" t="b">
        <f>DataTable[HLD_SecCode]="CB18O18A"</f>
        <v>0</v>
      </c>
    </row>
    <row r="196" spans="1:23" hidden="1" x14ac:dyDescent="0.2">
      <c r="A196" s="66">
        <v>43383</v>
      </c>
      <c r="B196" t="s">
        <v>139</v>
      </c>
      <c r="C196" t="s">
        <v>18</v>
      </c>
      <c r="D196" t="s">
        <v>109</v>
      </c>
      <c r="F196" t="s">
        <v>226</v>
      </c>
      <c r="G196" t="s">
        <v>80</v>
      </c>
      <c r="H196" t="s">
        <v>51</v>
      </c>
      <c r="I196" s="66">
        <v>43390</v>
      </c>
      <c r="J196" s="6">
        <v>70030169.299999997</v>
      </c>
      <c r="K196">
        <v>1537718</v>
      </c>
      <c r="L196">
        <v>70023681</v>
      </c>
      <c r="M196">
        <v>1.6322E-2</v>
      </c>
      <c r="N196">
        <v>70000000</v>
      </c>
      <c r="O196">
        <v>2.0590000000000002</v>
      </c>
      <c r="P196" t="s">
        <v>42</v>
      </c>
      <c r="Q196" t="s">
        <v>23</v>
      </c>
      <c r="R196" s="66">
        <v>41564</v>
      </c>
      <c r="S196" s="6">
        <f>DataTable[HLD_MaturityDate] - DataTable[SEC_Issue_Date]</f>
        <v>1826</v>
      </c>
      <c r="T196" s="66" t="str">
        <f>DataTable[HLD_Portfolio]&amp;DataTable[HLD_Date]</f>
        <v>SCBSFFPLUS43383</v>
      </c>
      <c r="W196" t="b">
        <f>DataTable[HLD_SecCode]="CB18O18A"</f>
        <v>0</v>
      </c>
    </row>
    <row r="197" spans="1:23" hidden="1" x14ac:dyDescent="0.2">
      <c r="A197" s="66">
        <v>43383</v>
      </c>
      <c r="B197" t="s">
        <v>139</v>
      </c>
      <c r="C197" t="s">
        <v>18</v>
      </c>
      <c r="D197" t="s">
        <v>109</v>
      </c>
      <c r="F197" t="s">
        <v>227</v>
      </c>
      <c r="G197" t="s">
        <v>228</v>
      </c>
      <c r="H197" t="s">
        <v>47</v>
      </c>
      <c r="I197" s="66">
        <v>43417</v>
      </c>
      <c r="J197" s="6">
        <v>13514073.619999999</v>
      </c>
      <c r="K197">
        <v>58482.68</v>
      </c>
      <c r="L197">
        <v>13505463.449999999</v>
      </c>
      <c r="M197">
        <v>9.0082999999999996E-2</v>
      </c>
      <c r="N197">
        <v>13500000</v>
      </c>
      <c r="O197">
        <v>2.1649630000000002</v>
      </c>
      <c r="P197" t="s">
        <v>42</v>
      </c>
      <c r="Q197" t="s">
        <v>23</v>
      </c>
      <c r="R197" s="66">
        <v>42137</v>
      </c>
      <c r="S197" s="6">
        <f>DataTable[HLD_MaturityDate] - DataTable[SEC_Issue_Date]</f>
        <v>1280</v>
      </c>
      <c r="T197" s="66" t="str">
        <f>DataTable[HLD_Portfolio]&amp;DataTable[HLD_Date]</f>
        <v>SCBSFFPLUS43383</v>
      </c>
      <c r="W197" t="b">
        <f>DataTable[HLD_SecCode]="CB18O18A"</f>
        <v>0</v>
      </c>
    </row>
    <row r="198" spans="1:23" hidden="1" x14ac:dyDescent="0.2">
      <c r="A198" s="66">
        <v>43383</v>
      </c>
      <c r="B198" t="s">
        <v>139</v>
      </c>
      <c r="C198" t="s">
        <v>18</v>
      </c>
      <c r="D198" t="s">
        <v>109</v>
      </c>
      <c r="F198" t="s">
        <v>229</v>
      </c>
      <c r="G198" t="s">
        <v>230</v>
      </c>
      <c r="H198" t="s">
        <v>123</v>
      </c>
      <c r="I198" s="66">
        <v>44260</v>
      </c>
      <c r="J198" s="6">
        <v>358715137.11000001</v>
      </c>
      <c r="K198">
        <v>773338.83</v>
      </c>
      <c r="L198">
        <v>363000000</v>
      </c>
      <c r="M198">
        <v>2.3130760000000001</v>
      </c>
      <c r="N198">
        <v>363000000</v>
      </c>
      <c r="O198">
        <v>2.16</v>
      </c>
      <c r="P198" t="s">
        <v>42</v>
      </c>
      <c r="Q198" t="s">
        <v>23</v>
      </c>
      <c r="R198" s="66">
        <v>43164</v>
      </c>
      <c r="S198" s="6">
        <f>DataTable[HLD_MaturityDate] - DataTable[SEC_Issue_Date]</f>
        <v>1096</v>
      </c>
      <c r="T198" s="66" t="str">
        <f>DataTable[HLD_Portfolio]&amp;DataTable[HLD_Date]</f>
        <v>SCBSFFPLUS43383</v>
      </c>
      <c r="W198" t="b">
        <f>DataTable[HLD_SecCode]="CB18O18A"</f>
        <v>0</v>
      </c>
    </row>
    <row r="199" spans="1:23" hidden="1" x14ac:dyDescent="0.2">
      <c r="A199" s="66">
        <v>43383</v>
      </c>
      <c r="B199" t="s">
        <v>139</v>
      </c>
      <c r="C199" t="s">
        <v>18</v>
      </c>
      <c r="D199" t="s">
        <v>109</v>
      </c>
      <c r="F199" t="s">
        <v>231</v>
      </c>
      <c r="G199" t="s">
        <v>26</v>
      </c>
      <c r="H199" t="s">
        <v>27</v>
      </c>
      <c r="I199" s="66">
        <v>43514</v>
      </c>
      <c r="J199" s="6">
        <v>615833365.84000003</v>
      </c>
      <c r="K199">
        <v>1485151.36</v>
      </c>
      <c r="L199">
        <v>616000000</v>
      </c>
      <c r="M199">
        <v>0.35405500000000001</v>
      </c>
      <c r="N199">
        <v>616000000</v>
      </c>
      <c r="O199">
        <v>1.6</v>
      </c>
      <c r="P199" t="s">
        <v>42</v>
      </c>
      <c r="Q199" t="s">
        <v>23</v>
      </c>
      <c r="R199" s="66">
        <v>43329</v>
      </c>
      <c r="S199" s="6">
        <f>DataTable[HLD_MaturityDate] - DataTable[SEC_Issue_Date]</f>
        <v>185</v>
      </c>
      <c r="T199" s="66" t="str">
        <f>DataTable[HLD_Portfolio]&amp;DataTable[HLD_Date]</f>
        <v>SCBSFFPLUS43383</v>
      </c>
      <c r="W199" t="b">
        <f>DataTable[HLD_SecCode]="CB18O18A"</f>
        <v>0</v>
      </c>
    </row>
    <row r="200" spans="1:23" hidden="1" x14ac:dyDescent="0.2">
      <c r="A200" s="66">
        <v>43383</v>
      </c>
      <c r="B200" t="s">
        <v>139</v>
      </c>
      <c r="C200" t="s">
        <v>18</v>
      </c>
      <c r="D200" t="s">
        <v>109</v>
      </c>
      <c r="F200" t="s">
        <v>232</v>
      </c>
      <c r="G200" t="s">
        <v>82</v>
      </c>
      <c r="H200" t="s">
        <v>47</v>
      </c>
      <c r="I200" s="66">
        <v>44270</v>
      </c>
      <c r="J200" s="6">
        <v>111861478.67</v>
      </c>
      <c r="K200">
        <v>168231.01</v>
      </c>
      <c r="L200">
        <v>113000000</v>
      </c>
      <c r="M200">
        <v>2.3435800000000002</v>
      </c>
      <c r="N200">
        <v>113000000</v>
      </c>
      <c r="O200">
        <v>2.09</v>
      </c>
      <c r="P200" t="s">
        <v>42</v>
      </c>
      <c r="Q200" t="s">
        <v>23</v>
      </c>
      <c r="R200" s="66">
        <v>43174</v>
      </c>
      <c r="S200" s="6">
        <f>DataTable[HLD_MaturityDate] - DataTable[SEC_Issue_Date]</f>
        <v>1096</v>
      </c>
      <c r="T200" s="66" t="str">
        <f>DataTable[HLD_Portfolio]&amp;DataTable[HLD_Date]</f>
        <v>SCBSFFPLUS43383</v>
      </c>
      <c r="W200" t="b">
        <f>DataTable[HLD_SecCode]="CB18O18A"</f>
        <v>0</v>
      </c>
    </row>
    <row r="201" spans="1:23" hidden="1" x14ac:dyDescent="0.2">
      <c r="A201" s="66">
        <v>43383</v>
      </c>
      <c r="B201" t="s">
        <v>139</v>
      </c>
      <c r="C201" t="s">
        <v>18</v>
      </c>
      <c r="D201" t="s">
        <v>109</v>
      </c>
      <c r="F201" t="s">
        <v>233</v>
      </c>
      <c r="G201" t="s">
        <v>234</v>
      </c>
      <c r="H201" t="s">
        <v>203</v>
      </c>
      <c r="I201" s="66">
        <v>43912</v>
      </c>
      <c r="J201" s="6">
        <v>446410566</v>
      </c>
      <c r="K201">
        <v>419301</v>
      </c>
      <c r="L201">
        <v>450000000</v>
      </c>
      <c r="M201">
        <v>1.413824</v>
      </c>
      <c r="N201">
        <v>450000000</v>
      </c>
      <c r="O201">
        <v>1.79</v>
      </c>
      <c r="P201" t="s">
        <v>42</v>
      </c>
      <c r="Q201" t="s">
        <v>23</v>
      </c>
      <c r="R201" s="66">
        <v>43181</v>
      </c>
      <c r="S201" s="6">
        <f>DataTable[HLD_MaturityDate] - DataTable[SEC_Issue_Date]</f>
        <v>731</v>
      </c>
      <c r="T201" s="66" t="str">
        <f>DataTable[HLD_Portfolio]&amp;DataTable[HLD_Date]</f>
        <v>SCBSFFPLUS43383</v>
      </c>
      <c r="W201" t="b">
        <f>DataTable[HLD_SecCode]="CB18O18A"</f>
        <v>0</v>
      </c>
    </row>
    <row r="202" spans="1:23" hidden="1" x14ac:dyDescent="0.2">
      <c r="A202" s="66">
        <v>43383</v>
      </c>
      <c r="B202" t="s">
        <v>139</v>
      </c>
      <c r="C202" t="s">
        <v>18</v>
      </c>
      <c r="D202" t="s">
        <v>109</v>
      </c>
      <c r="F202" t="s">
        <v>235</v>
      </c>
      <c r="G202" t="s">
        <v>234</v>
      </c>
      <c r="H202" t="s">
        <v>203</v>
      </c>
      <c r="I202" s="66">
        <v>44277</v>
      </c>
      <c r="J202" s="6">
        <v>1478613168.6199999</v>
      </c>
      <c r="K202">
        <v>1637538.7</v>
      </c>
      <c r="L202">
        <v>1498136512.74</v>
      </c>
      <c r="M202">
        <v>2.3606829999999999</v>
      </c>
      <c r="N202">
        <v>1498000000</v>
      </c>
      <c r="O202">
        <v>2.0995659999999998</v>
      </c>
      <c r="P202" t="s">
        <v>42</v>
      </c>
      <c r="Q202" t="s">
        <v>23</v>
      </c>
      <c r="R202" s="66">
        <v>43181</v>
      </c>
      <c r="S202" s="6">
        <f>DataTable[HLD_MaturityDate] - DataTable[SEC_Issue_Date]</f>
        <v>1096</v>
      </c>
      <c r="T202" s="66" t="str">
        <f>DataTable[HLD_Portfolio]&amp;DataTable[HLD_Date]</f>
        <v>SCBSFFPLUS43383</v>
      </c>
      <c r="W202" t="b">
        <f>DataTable[HLD_SecCode]="CB18O18A"</f>
        <v>0</v>
      </c>
    </row>
    <row r="203" spans="1:23" hidden="1" x14ac:dyDescent="0.2">
      <c r="A203" s="66">
        <v>43383</v>
      </c>
      <c r="B203" t="s">
        <v>139</v>
      </c>
      <c r="C203" t="s">
        <v>18</v>
      </c>
      <c r="D203" t="s">
        <v>109</v>
      </c>
      <c r="F203" t="s">
        <v>236</v>
      </c>
      <c r="G203" t="s">
        <v>237</v>
      </c>
      <c r="H203" t="s">
        <v>123</v>
      </c>
      <c r="I203" s="66">
        <v>43740</v>
      </c>
      <c r="J203" s="6">
        <v>165268478.44999999</v>
      </c>
      <c r="K203">
        <v>170859.55</v>
      </c>
      <c r="L203">
        <v>165926666.71000001</v>
      </c>
      <c r="M203">
        <v>0.95351699999999995</v>
      </c>
      <c r="N203">
        <v>161900000</v>
      </c>
      <c r="O203">
        <v>1.7</v>
      </c>
      <c r="P203" t="s">
        <v>42</v>
      </c>
      <c r="Q203" t="s">
        <v>23</v>
      </c>
      <c r="R203" s="66">
        <v>41914</v>
      </c>
      <c r="S203" s="6">
        <f>DataTable[HLD_MaturityDate] - DataTable[SEC_Issue_Date]</f>
        <v>1826</v>
      </c>
      <c r="T203" s="66" t="str">
        <f>DataTable[HLD_Portfolio]&amp;DataTable[HLD_Date]</f>
        <v>SCBSFFPLUS43383</v>
      </c>
      <c r="W203" t="b">
        <f>DataTable[HLD_SecCode]="CB18O18A"</f>
        <v>0</v>
      </c>
    </row>
    <row r="204" spans="1:23" hidden="1" x14ac:dyDescent="0.2">
      <c r="A204" s="66">
        <v>43383</v>
      </c>
      <c r="B204" t="s">
        <v>139</v>
      </c>
      <c r="C204" t="s">
        <v>18</v>
      </c>
      <c r="D204" t="s">
        <v>109</v>
      </c>
      <c r="F204" t="s">
        <v>238</v>
      </c>
      <c r="G204" t="s">
        <v>71</v>
      </c>
      <c r="H204" t="s">
        <v>47</v>
      </c>
      <c r="I204" s="66">
        <v>43433</v>
      </c>
      <c r="J204" s="6">
        <v>300137418</v>
      </c>
      <c r="K204">
        <v>2052741</v>
      </c>
      <c r="L204">
        <v>300000000</v>
      </c>
      <c r="M204">
        <v>0.133241</v>
      </c>
      <c r="N204">
        <v>300000000</v>
      </c>
      <c r="O204">
        <v>1.85</v>
      </c>
      <c r="P204" t="s">
        <v>42</v>
      </c>
      <c r="Q204" t="s">
        <v>23</v>
      </c>
      <c r="R204" s="66">
        <v>42884</v>
      </c>
      <c r="S204" s="6">
        <f>DataTable[HLD_MaturityDate] - DataTable[SEC_Issue_Date]</f>
        <v>549</v>
      </c>
      <c r="T204" s="66" t="str">
        <f>DataTable[HLD_Portfolio]&amp;DataTable[HLD_Date]</f>
        <v>SCBSFFPLUS43383</v>
      </c>
      <c r="W204" t="b">
        <f>DataTable[HLD_SecCode]="CB18O18A"</f>
        <v>0</v>
      </c>
    </row>
    <row r="205" spans="1:23" hidden="1" x14ac:dyDescent="0.2">
      <c r="A205" s="66">
        <v>43383</v>
      </c>
      <c r="B205" t="s">
        <v>139</v>
      </c>
      <c r="C205" t="s">
        <v>18</v>
      </c>
      <c r="D205" t="s">
        <v>109</v>
      </c>
      <c r="F205" t="s">
        <v>239</v>
      </c>
      <c r="G205" t="s">
        <v>71</v>
      </c>
      <c r="H205" t="s">
        <v>47</v>
      </c>
      <c r="I205" s="66">
        <v>43686</v>
      </c>
      <c r="J205" s="6">
        <v>623065262.5</v>
      </c>
      <c r="K205">
        <v>1812331.25</v>
      </c>
      <c r="L205">
        <v>625000000</v>
      </c>
      <c r="M205">
        <v>0.81894900000000004</v>
      </c>
      <c r="N205">
        <v>625000000</v>
      </c>
      <c r="O205">
        <v>1.68</v>
      </c>
      <c r="P205" t="s">
        <v>42</v>
      </c>
      <c r="Q205" t="s">
        <v>23</v>
      </c>
      <c r="R205" s="66">
        <v>43140</v>
      </c>
      <c r="S205" s="6">
        <f>DataTable[HLD_MaturityDate] - DataTable[SEC_Issue_Date]</f>
        <v>546</v>
      </c>
      <c r="T205" s="66" t="str">
        <f>DataTable[HLD_Portfolio]&amp;DataTable[HLD_Date]</f>
        <v>SCBSFFPLUS43383</v>
      </c>
      <c r="W205" t="b">
        <f>DataTable[HLD_SecCode]="CB18O18A"</f>
        <v>0</v>
      </c>
    </row>
    <row r="206" spans="1:23" hidden="1" x14ac:dyDescent="0.2">
      <c r="A206" s="66">
        <v>43383</v>
      </c>
      <c r="B206" t="s">
        <v>139</v>
      </c>
      <c r="C206" t="s">
        <v>18</v>
      </c>
      <c r="D206" t="s">
        <v>109</v>
      </c>
      <c r="F206" t="s">
        <v>240</v>
      </c>
      <c r="G206" t="s">
        <v>71</v>
      </c>
      <c r="H206" t="s">
        <v>47</v>
      </c>
      <c r="I206" s="66">
        <v>43972</v>
      </c>
      <c r="J206" s="6">
        <v>18893117.210000001</v>
      </c>
      <c r="K206">
        <v>130267.04</v>
      </c>
      <c r="L206">
        <v>19000000</v>
      </c>
      <c r="M206">
        <v>1.5698570000000001</v>
      </c>
      <c r="N206">
        <v>19000000</v>
      </c>
      <c r="O206">
        <v>1.75</v>
      </c>
      <c r="P206" t="s">
        <v>42</v>
      </c>
      <c r="Q206" t="s">
        <v>23</v>
      </c>
      <c r="R206" s="66">
        <v>43241</v>
      </c>
      <c r="S206" s="6">
        <f>DataTable[HLD_MaturityDate] - DataTable[SEC_Issue_Date]</f>
        <v>731</v>
      </c>
      <c r="T206" s="66" t="str">
        <f>DataTable[HLD_Portfolio]&amp;DataTable[HLD_Date]</f>
        <v>SCBSFFPLUS43383</v>
      </c>
      <c r="W206" t="b">
        <f>DataTable[HLD_SecCode]="CB18O18A"</f>
        <v>0</v>
      </c>
    </row>
    <row r="207" spans="1:23" hidden="1" x14ac:dyDescent="0.2">
      <c r="A207" s="66">
        <v>43383</v>
      </c>
      <c r="B207" t="s">
        <v>139</v>
      </c>
      <c r="C207" t="s">
        <v>18</v>
      </c>
      <c r="D207" t="s">
        <v>109</v>
      </c>
      <c r="F207" t="s">
        <v>241</v>
      </c>
      <c r="G207" t="s">
        <v>242</v>
      </c>
      <c r="H207" t="s">
        <v>29</v>
      </c>
      <c r="I207" s="66">
        <v>43518</v>
      </c>
      <c r="J207" s="6">
        <v>5448883513</v>
      </c>
      <c r="K207">
        <v>97132461.5</v>
      </c>
      <c r="L207">
        <v>5450000000</v>
      </c>
      <c r="M207">
        <v>0.36340499999999998</v>
      </c>
      <c r="N207">
        <v>5450000000</v>
      </c>
      <c r="O207">
        <v>2.78</v>
      </c>
      <c r="P207" t="s">
        <v>42</v>
      </c>
      <c r="Q207" t="s">
        <v>23</v>
      </c>
      <c r="R207" s="66">
        <v>43150</v>
      </c>
      <c r="S207" s="6">
        <f>DataTable[HLD_MaturityDate] - DataTable[SEC_Issue_Date]</f>
        <v>368</v>
      </c>
      <c r="T207" s="66" t="str">
        <f>DataTable[HLD_Portfolio]&amp;DataTable[HLD_Date]</f>
        <v>SCBSFFPLUS43383</v>
      </c>
      <c r="W207" t="b">
        <f>DataTable[HLD_SecCode]="CB18O18A"</f>
        <v>0</v>
      </c>
    </row>
    <row r="208" spans="1:23" hidden="1" x14ac:dyDescent="0.2">
      <c r="A208" s="66">
        <v>43383</v>
      </c>
      <c r="B208" t="s">
        <v>139</v>
      </c>
      <c r="C208" t="s">
        <v>18</v>
      </c>
      <c r="D208" t="s">
        <v>109</v>
      </c>
      <c r="F208" t="s">
        <v>243</v>
      </c>
      <c r="G208" t="s">
        <v>244</v>
      </c>
      <c r="H208" t="s">
        <v>29</v>
      </c>
      <c r="I208" s="66">
        <v>43494</v>
      </c>
      <c r="J208" s="6">
        <v>497953770.66000003</v>
      </c>
      <c r="K208">
        <v>4267790.28</v>
      </c>
      <c r="L208">
        <v>498000000</v>
      </c>
      <c r="M208">
        <v>0.29928500000000002</v>
      </c>
      <c r="N208">
        <v>498000000</v>
      </c>
      <c r="O208">
        <v>2.2999999999999998</v>
      </c>
      <c r="P208" t="s">
        <v>42</v>
      </c>
      <c r="Q208" t="s">
        <v>23</v>
      </c>
      <c r="R208" s="66">
        <v>43248</v>
      </c>
      <c r="S208" s="6">
        <f>DataTable[HLD_MaturityDate] - DataTable[SEC_Issue_Date]</f>
        <v>246</v>
      </c>
      <c r="T208" s="66" t="str">
        <f>DataTable[HLD_Portfolio]&amp;DataTable[HLD_Date]</f>
        <v>SCBSFFPLUS43383</v>
      </c>
      <c r="W208" t="b">
        <f>DataTable[HLD_SecCode]="CB18O18A"</f>
        <v>0</v>
      </c>
    </row>
    <row r="209" spans="1:23" hidden="1" x14ac:dyDescent="0.2">
      <c r="A209" s="66">
        <v>43383</v>
      </c>
      <c r="B209" t="s">
        <v>139</v>
      </c>
      <c r="C209" t="s">
        <v>18</v>
      </c>
      <c r="D209" t="s">
        <v>109</v>
      </c>
      <c r="F209" t="s">
        <v>245</v>
      </c>
      <c r="G209" t="s">
        <v>244</v>
      </c>
      <c r="H209" t="s">
        <v>29</v>
      </c>
      <c r="I209" s="66">
        <v>44410</v>
      </c>
      <c r="J209" s="6">
        <v>1366269822</v>
      </c>
      <c r="K209">
        <v>9707177.5199999996</v>
      </c>
      <c r="L209">
        <v>1368000000</v>
      </c>
      <c r="M209">
        <v>2.638757</v>
      </c>
      <c r="N209">
        <v>1368000000</v>
      </c>
      <c r="O209">
        <v>3.7</v>
      </c>
      <c r="P209" t="s">
        <v>42</v>
      </c>
      <c r="Q209" t="s">
        <v>23</v>
      </c>
      <c r="R209" s="66">
        <v>43314</v>
      </c>
      <c r="S209" s="6">
        <f>DataTable[HLD_MaturityDate] - DataTable[SEC_Issue_Date]</f>
        <v>1096</v>
      </c>
      <c r="T209" s="66" t="str">
        <f>DataTable[HLD_Portfolio]&amp;DataTable[HLD_Date]</f>
        <v>SCBSFFPLUS43383</v>
      </c>
      <c r="W209" t="b">
        <f>DataTable[HLD_SecCode]="CB18O18A"</f>
        <v>0</v>
      </c>
    </row>
    <row r="210" spans="1:23" hidden="1" x14ac:dyDescent="0.2">
      <c r="A210" s="66">
        <v>43383</v>
      </c>
      <c r="B210" t="s">
        <v>139</v>
      </c>
      <c r="C210" t="s">
        <v>18</v>
      </c>
      <c r="D210" t="s">
        <v>109</v>
      </c>
      <c r="F210" t="s">
        <v>246</v>
      </c>
      <c r="G210" t="s">
        <v>247</v>
      </c>
      <c r="H210" t="s">
        <v>123</v>
      </c>
      <c r="I210" s="66">
        <v>44313</v>
      </c>
      <c r="J210" s="6">
        <v>69400639</v>
      </c>
      <c r="K210">
        <v>348350.8</v>
      </c>
      <c r="L210">
        <v>70000000</v>
      </c>
      <c r="M210">
        <v>2.4463970000000002</v>
      </c>
      <c r="N210">
        <v>70000000</v>
      </c>
      <c r="O210">
        <v>2.39</v>
      </c>
      <c r="P210" t="s">
        <v>42</v>
      </c>
      <c r="Q210" t="s">
        <v>23</v>
      </c>
      <c r="R210" s="66">
        <v>43217</v>
      </c>
      <c r="S210" s="6">
        <f>DataTable[HLD_MaturityDate] - DataTable[SEC_Issue_Date]</f>
        <v>1096</v>
      </c>
      <c r="T210" s="66" t="str">
        <f>DataTable[HLD_Portfolio]&amp;DataTable[HLD_Date]</f>
        <v>SCBSFFPLUS43383</v>
      </c>
      <c r="W210" t="b">
        <f>DataTable[HLD_SecCode]="CB18O18A"</f>
        <v>0</v>
      </c>
    </row>
    <row r="211" spans="1:23" hidden="1" x14ac:dyDescent="0.2">
      <c r="A211" s="66">
        <v>43383</v>
      </c>
      <c r="B211" t="s">
        <v>139</v>
      </c>
      <c r="C211" t="s">
        <v>18</v>
      </c>
      <c r="D211" t="s">
        <v>109</v>
      </c>
      <c r="F211" t="s">
        <v>248</v>
      </c>
      <c r="G211" t="s">
        <v>249</v>
      </c>
      <c r="H211" t="s">
        <v>47</v>
      </c>
      <c r="I211" s="66">
        <v>44285</v>
      </c>
      <c r="J211" s="6">
        <v>260020891.30000001</v>
      </c>
      <c r="K211">
        <v>178448.2</v>
      </c>
      <c r="L211">
        <v>262000000</v>
      </c>
      <c r="M211">
        <v>2.3912019999999998</v>
      </c>
      <c r="N211">
        <v>262000000</v>
      </c>
      <c r="O211">
        <v>2.2599999999999998</v>
      </c>
      <c r="P211" t="s">
        <v>42</v>
      </c>
      <c r="Q211" t="s">
        <v>23</v>
      </c>
      <c r="R211" s="66">
        <v>43189</v>
      </c>
      <c r="S211" s="6">
        <f>DataTable[HLD_MaturityDate] - DataTable[SEC_Issue_Date]</f>
        <v>1096</v>
      </c>
      <c r="T211" s="66" t="str">
        <f>DataTable[HLD_Portfolio]&amp;DataTable[HLD_Date]</f>
        <v>SCBSFFPLUS43383</v>
      </c>
      <c r="W211" t="b">
        <f>DataTable[HLD_SecCode]="CB18O18A"</f>
        <v>0</v>
      </c>
    </row>
    <row r="212" spans="1:23" hidden="1" x14ac:dyDescent="0.2">
      <c r="A212" s="66">
        <v>43383</v>
      </c>
      <c r="B212" t="s">
        <v>139</v>
      </c>
      <c r="C212" t="s">
        <v>18</v>
      </c>
      <c r="D212" t="s">
        <v>109</v>
      </c>
      <c r="F212" t="s">
        <v>250</v>
      </c>
      <c r="G212" t="s">
        <v>251</v>
      </c>
      <c r="H212" t="s">
        <v>123</v>
      </c>
      <c r="I212" s="66">
        <v>44061</v>
      </c>
      <c r="J212" s="6">
        <v>393193078.19999999</v>
      </c>
      <c r="K212">
        <v>1921366.2</v>
      </c>
      <c r="L212">
        <v>390000000</v>
      </c>
      <c r="M212">
        <v>1.7822849999999999</v>
      </c>
      <c r="N212">
        <v>390000000</v>
      </c>
      <c r="O212">
        <v>3.33</v>
      </c>
      <c r="P212" t="s">
        <v>42</v>
      </c>
      <c r="Q212" t="s">
        <v>23</v>
      </c>
      <c r="R212" s="66">
        <v>42965</v>
      </c>
      <c r="S212" s="6">
        <f>DataTable[HLD_MaturityDate] - DataTable[SEC_Issue_Date]</f>
        <v>1096</v>
      </c>
      <c r="T212" s="66" t="str">
        <f>DataTable[HLD_Portfolio]&amp;DataTable[HLD_Date]</f>
        <v>SCBSFFPLUS43383</v>
      </c>
      <c r="W212" t="b">
        <f>DataTable[HLD_SecCode]="CB18O18A"</f>
        <v>0</v>
      </c>
    </row>
    <row r="213" spans="1:23" hidden="1" x14ac:dyDescent="0.2">
      <c r="A213" s="66">
        <v>43383</v>
      </c>
      <c r="B213" t="s">
        <v>139</v>
      </c>
      <c r="C213" t="s">
        <v>18</v>
      </c>
      <c r="D213" t="s">
        <v>109</v>
      </c>
      <c r="F213" t="s">
        <v>252</v>
      </c>
      <c r="G213" t="s">
        <v>253</v>
      </c>
      <c r="H213" t="s">
        <v>51</v>
      </c>
      <c r="I213" s="66">
        <v>43454</v>
      </c>
      <c r="J213" s="6">
        <v>15087163.65</v>
      </c>
      <c r="K213">
        <v>213152.1</v>
      </c>
      <c r="L213">
        <v>15073518</v>
      </c>
      <c r="M213">
        <v>0.19026299999999999</v>
      </c>
      <c r="N213">
        <v>15000000</v>
      </c>
      <c r="O213">
        <v>1.97</v>
      </c>
      <c r="P213" t="s">
        <v>42</v>
      </c>
      <c r="Q213" t="s">
        <v>23</v>
      </c>
      <c r="R213" s="66">
        <v>40897</v>
      </c>
      <c r="S213" s="6">
        <f>DataTable[HLD_MaturityDate] - DataTable[SEC_Issue_Date]</f>
        <v>2557</v>
      </c>
      <c r="T213" s="66" t="str">
        <f>DataTable[HLD_Portfolio]&amp;DataTable[HLD_Date]</f>
        <v>SCBSFFPLUS43383</v>
      </c>
      <c r="W213" t="b">
        <f>DataTable[HLD_SecCode]="CB18O18A"</f>
        <v>0</v>
      </c>
    </row>
    <row r="214" spans="1:23" hidden="1" x14ac:dyDescent="0.2">
      <c r="A214" s="66">
        <v>43383</v>
      </c>
      <c r="B214" t="s">
        <v>139</v>
      </c>
      <c r="C214" t="s">
        <v>18</v>
      </c>
      <c r="D214" t="s">
        <v>109</v>
      </c>
      <c r="F214" t="s">
        <v>254</v>
      </c>
      <c r="G214" t="s">
        <v>255</v>
      </c>
      <c r="H214" t="s">
        <v>51</v>
      </c>
      <c r="I214" s="66">
        <v>43990</v>
      </c>
      <c r="J214" s="6">
        <v>50142533.5</v>
      </c>
      <c r="K214">
        <v>464041</v>
      </c>
      <c r="L214">
        <v>50741961</v>
      </c>
      <c r="M214">
        <v>1.5990059999999999</v>
      </c>
      <c r="N214">
        <v>50000000</v>
      </c>
      <c r="O214">
        <v>1.7949999999999999</v>
      </c>
      <c r="P214" t="s">
        <v>42</v>
      </c>
      <c r="Q214" t="s">
        <v>23</v>
      </c>
      <c r="R214" s="66">
        <v>42712</v>
      </c>
      <c r="S214" s="6">
        <f>DataTable[HLD_MaturityDate] - DataTable[SEC_Issue_Date]</f>
        <v>1278</v>
      </c>
      <c r="T214" s="66" t="str">
        <f>DataTable[HLD_Portfolio]&amp;DataTable[HLD_Date]</f>
        <v>SCBSFFPLUS43383</v>
      </c>
      <c r="W214" t="b">
        <f>DataTable[HLD_SecCode]="CB18O18A"</f>
        <v>0</v>
      </c>
    </row>
    <row r="215" spans="1:23" hidden="1" x14ac:dyDescent="0.2">
      <c r="A215" s="66">
        <v>43383</v>
      </c>
      <c r="B215" t="s">
        <v>139</v>
      </c>
      <c r="C215" t="s">
        <v>18</v>
      </c>
      <c r="D215" t="s">
        <v>109</v>
      </c>
      <c r="F215" t="s">
        <v>256</v>
      </c>
      <c r="G215" t="s">
        <v>257</v>
      </c>
      <c r="H215" t="s">
        <v>47</v>
      </c>
      <c r="I215" s="66">
        <v>43783</v>
      </c>
      <c r="J215" s="6">
        <v>8127700.7999999998</v>
      </c>
      <c r="K215">
        <v>115726</v>
      </c>
      <c r="L215">
        <v>8151408.0800000001</v>
      </c>
      <c r="M215">
        <v>1.05698</v>
      </c>
      <c r="N215">
        <v>8000000</v>
      </c>
      <c r="O215">
        <v>1.75</v>
      </c>
      <c r="P215" t="s">
        <v>42</v>
      </c>
      <c r="Q215" t="s">
        <v>23</v>
      </c>
      <c r="R215" s="66">
        <v>41957</v>
      </c>
      <c r="S215" s="6">
        <f>DataTable[HLD_MaturityDate] - DataTable[SEC_Issue_Date]</f>
        <v>1826</v>
      </c>
      <c r="T215" s="66" t="str">
        <f>DataTable[HLD_Portfolio]&amp;DataTable[HLD_Date]</f>
        <v>SCBSFFPLUS43383</v>
      </c>
      <c r="W215" t="b">
        <f>DataTable[HLD_SecCode]="CB18O18A"</f>
        <v>0</v>
      </c>
    </row>
    <row r="216" spans="1:23" hidden="1" x14ac:dyDescent="0.2">
      <c r="A216" s="66">
        <v>43383</v>
      </c>
      <c r="B216" t="s">
        <v>139</v>
      </c>
      <c r="C216" t="s">
        <v>18</v>
      </c>
      <c r="D216" t="s">
        <v>109</v>
      </c>
      <c r="F216" t="s">
        <v>110</v>
      </c>
      <c r="G216" t="s">
        <v>111</v>
      </c>
      <c r="H216" t="s">
        <v>51</v>
      </c>
      <c r="I216" s="66">
        <v>43404</v>
      </c>
      <c r="J216" s="6">
        <v>40060782</v>
      </c>
      <c r="K216">
        <v>844712.4</v>
      </c>
      <c r="L216">
        <v>40041804</v>
      </c>
      <c r="M216">
        <v>5.4371999999999997E-2</v>
      </c>
      <c r="N216">
        <v>40000000</v>
      </c>
      <c r="O216">
        <v>2.4</v>
      </c>
      <c r="P216" t="s">
        <v>42</v>
      </c>
      <c r="Q216" t="s">
        <v>23</v>
      </c>
      <c r="R216" s="66">
        <v>41578</v>
      </c>
      <c r="S216" s="6">
        <f>DataTable[HLD_MaturityDate] - DataTable[SEC_Issue_Date]</f>
        <v>1826</v>
      </c>
      <c r="T216" s="66" t="str">
        <f>DataTable[HLD_Portfolio]&amp;DataTable[HLD_Date]</f>
        <v>SCBSFFPLUS43383</v>
      </c>
      <c r="W216" t="b">
        <f>DataTable[HLD_SecCode]="CB18O18A"</f>
        <v>0</v>
      </c>
    </row>
    <row r="217" spans="1:23" hidden="1" x14ac:dyDescent="0.2">
      <c r="A217" s="66">
        <v>43383</v>
      </c>
      <c r="B217" t="s">
        <v>139</v>
      </c>
      <c r="C217" t="s">
        <v>18</v>
      </c>
      <c r="D217" t="s">
        <v>109</v>
      </c>
      <c r="F217" t="s">
        <v>258</v>
      </c>
      <c r="G217" t="s">
        <v>111</v>
      </c>
      <c r="H217" t="s">
        <v>51</v>
      </c>
      <c r="I217" s="66">
        <v>43551</v>
      </c>
      <c r="J217" s="6">
        <v>1010567.08</v>
      </c>
      <c r="K217">
        <v>1649.32</v>
      </c>
      <c r="L217">
        <v>1007848.4</v>
      </c>
      <c r="M217">
        <v>0.45299200000000001</v>
      </c>
      <c r="N217">
        <v>1000000</v>
      </c>
      <c r="O217">
        <v>2.6</v>
      </c>
      <c r="P217" t="s">
        <v>42</v>
      </c>
      <c r="Q217" t="s">
        <v>23</v>
      </c>
      <c r="R217" s="66">
        <v>41725</v>
      </c>
      <c r="S217" s="6">
        <f>DataTable[HLD_MaturityDate] - DataTable[SEC_Issue_Date]</f>
        <v>1826</v>
      </c>
      <c r="T217" s="66" t="str">
        <f>DataTable[HLD_Portfolio]&amp;DataTable[HLD_Date]</f>
        <v>SCBSFFPLUS43383</v>
      </c>
      <c r="W217" t="b">
        <f>DataTable[HLD_SecCode]="CB18O18A"</f>
        <v>0</v>
      </c>
    </row>
    <row r="218" spans="1:23" hidden="1" x14ac:dyDescent="0.2">
      <c r="A218" s="66">
        <v>43383</v>
      </c>
      <c r="B218" t="s">
        <v>139</v>
      </c>
      <c r="C218" t="s">
        <v>18</v>
      </c>
      <c r="D218" t="s">
        <v>109</v>
      </c>
      <c r="F218" t="s">
        <v>259</v>
      </c>
      <c r="G218" t="s">
        <v>260</v>
      </c>
      <c r="H218" t="s">
        <v>29</v>
      </c>
      <c r="I218" s="66">
        <v>43434</v>
      </c>
      <c r="J218" s="6">
        <v>70037130.799999997</v>
      </c>
      <c r="K218">
        <v>598777.9</v>
      </c>
      <c r="L218">
        <v>70000000</v>
      </c>
      <c r="M218">
        <v>0.13571</v>
      </c>
      <c r="N218">
        <v>70000000</v>
      </c>
      <c r="O218">
        <v>2.33</v>
      </c>
      <c r="P218" t="s">
        <v>42</v>
      </c>
      <c r="Q218" t="s">
        <v>23</v>
      </c>
      <c r="R218" s="66">
        <v>43069</v>
      </c>
      <c r="S218" s="6">
        <f>DataTable[HLD_MaturityDate] - DataTable[SEC_Issue_Date]</f>
        <v>365</v>
      </c>
      <c r="T218" s="66" t="str">
        <f>DataTable[HLD_Portfolio]&amp;DataTable[HLD_Date]</f>
        <v>SCBSFFPLUS43383</v>
      </c>
      <c r="W218" t="b">
        <f>DataTable[HLD_SecCode]="CB18O18A"</f>
        <v>0</v>
      </c>
    </row>
    <row r="219" spans="1:23" hidden="1" x14ac:dyDescent="0.2">
      <c r="A219" s="66">
        <v>43383</v>
      </c>
      <c r="B219" t="s">
        <v>139</v>
      </c>
      <c r="C219" t="s">
        <v>18</v>
      </c>
      <c r="D219" t="s">
        <v>109</v>
      </c>
      <c r="F219" t="s">
        <v>261</v>
      </c>
      <c r="G219" t="s">
        <v>260</v>
      </c>
      <c r="H219" t="s">
        <v>29</v>
      </c>
      <c r="I219" s="66">
        <v>44165</v>
      </c>
      <c r="J219" s="6">
        <v>68448874.920000002</v>
      </c>
      <c r="K219">
        <v>780210.6</v>
      </c>
      <c r="L219">
        <v>69000000</v>
      </c>
      <c r="M219">
        <v>2.0267909999999998</v>
      </c>
      <c r="N219">
        <v>69000000</v>
      </c>
      <c r="O219">
        <v>3.08</v>
      </c>
      <c r="P219" t="s">
        <v>42</v>
      </c>
      <c r="Q219" t="s">
        <v>23</v>
      </c>
      <c r="R219" s="66">
        <v>43069</v>
      </c>
      <c r="S219" s="6">
        <f>DataTable[HLD_MaturityDate] - DataTable[SEC_Issue_Date]</f>
        <v>1096</v>
      </c>
      <c r="T219" s="66" t="str">
        <f>DataTable[HLD_Portfolio]&amp;DataTable[HLD_Date]</f>
        <v>SCBSFFPLUS43383</v>
      </c>
      <c r="W219" t="b">
        <f>DataTable[HLD_SecCode]="CB18O18A"</f>
        <v>0</v>
      </c>
    </row>
    <row r="220" spans="1:23" hidden="1" x14ac:dyDescent="0.2">
      <c r="A220" s="66">
        <v>43383</v>
      </c>
      <c r="B220" t="s">
        <v>139</v>
      </c>
      <c r="C220" t="s">
        <v>18</v>
      </c>
      <c r="D220" t="s">
        <v>262</v>
      </c>
      <c r="F220" t="s">
        <v>263</v>
      </c>
      <c r="G220" t="s">
        <v>264</v>
      </c>
      <c r="H220" t="s">
        <v>47</v>
      </c>
      <c r="I220" s="66">
        <v>43531</v>
      </c>
      <c r="J220" s="6">
        <v>3294500000</v>
      </c>
      <c r="K220">
        <v>58453581.390000001</v>
      </c>
      <c r="L220">
        <v>3294500000</v>
      </c>
      <c r="M220">
        <v>0.40621800000000002</v>
      </c>
      <c r="N220">
        <v>100000000</v>
      </c>
      <c r="O220">
        <v>2.93</v>
      </c>
      <c r="P220" t="s">
        <v>42</v>
      </c>
      <c r="Q220" t="s">
        <v>37</v>
      </c>
      <c r="R220" s="66">
        <v>43166</v>
      </c>
      <c r="S220" s="6">
        <f>DataTable[HLD_MaturityDate] - DataTable[SEC_Issue_Date]</f>
        <v>365</v>
      </c>
      <c r="T220" s="66" t="str">
        <f>DataTable[HLD_Portfolio]&amp;DataTable[HLD_Date]</f>
        <v>SCBSFFPLUS43383</v>
      </c>
      <c r="W220" t="b">
        <f>DataTable[HLD_SecCode]="CB18O18A"</f>
        <v>0</v>
      </c>
    </row>
    <row r="221" spans="1:23" hidden="1" x14ac:dyDescent="0.2">
      <c r="A221" s="66">
        <v>43383</v>
      </c>
      <c r="B221" t="s">
        <v>139</v>
      </c>
      <c r="C221" t="s">
        <v>18</v>
      </c>
      <c r="D221" t="s">
        <v>262</v>
      </c>
      <c r="F221" t="s">
        <v>265</v>
      </c>
      <c r="G221" t="s">
        <v>264</v>
      </c>
      <c r="H221" t="s">
        <v>47</v>
      </c>
      <c r="I221" s="66">
        <v>43593</v>
      </c>
      <c r="J221" s="6">
        <v>2635600000</v>
      </c>
      <c r="K221">
        <v>37460661.329999998</v>
      </c>
      <c r="L221">
        <v>2635600000</v>
      </c>
      <c r="M221">
        <v>0.57238199999999995</v>
      </c>
      <c r="N221">
        <v>80000000</v>
      </c>
      <c r="O221">
        <v>3.28</v>
      </c>
      <c r="P221" t="s">
        <v>42</v>
      </c>
      <c r="Q221" t="s">
        <v>37</v>
      </c>
      <c r="R221" s="66">
        <v>43228</v>
      </c>
      <c r="S221" s="6">
        <f>DataTable[HLD_MaturityDate] - DataTable[SEC_Issue_Date]</f>
        <v>365</v>
      </c>
      <c r="T221" s="66" t="str">
        <f>DataTable[HLD_Portfolio]&amp;DataTable[HLD_Date]</f>
        <v>SCBSFFPLUS43383</v>
      </c>
      <c r="W221" t="b">
        <f>DataTable[HLD_SecCode]="CB18O18A"</f>
        <v>0</v>
      </c>
    </row>
    <row r="222" spans="1:23" hidden="1" x14ac:dyDescent="0.2">
      <c r="A222" s="66">
        <v>43383</v>
      </c>
      <c r="B222" t="s">
        <v>139</v>
      </c>
      <c r="C222" t="s">
        <v>18</v>
      </c>
      <c r="D222" t="s">
        <v>262</v>
      </c>
      <c r="F222" t="s">
        <v>266</v>
      </c>
      <c r="G222" t="s">
        <v>264</v>
      </c>
      <c r="H222" t="s">
        <v>47</v>
      </c>
      <c r="I222" s="66">
        <v>43564</v>
      </c>
      <c r="J222" s="6">
        <v>3294500000</v>
      </c>
      <c r="K222">
        <v>53499019.439999998</v>
      </c>
      <c r="L222">
        <v>3294500000</v>
      </c>
      <c r="M222">
        <v>0.49491499999999999</v>
      </c>
      <c r="N222">
        <v>100000000</v>
      </c>
      <c r="O222">
        <v>3.16</v>
      </c>
      <c r="P222" t="s">
        <v>42</v>
      </c>
      <c r="Q222" t="s">
        <v>37</v>
      </c>
      <c r="R222" s="66">
        <v>43199</v>
      </c>
      <c r="S222" s="6">
        <f>DataTable[HLD_MaturityDate] - DataTable[SEC_Issue_Date]</f>
        <v>365</v>
      </c>
      <c r="T222" s="66" t="str">
        <f>DataTable[HLD_Portfolio]&amp;DataTable[HLD_Date]</f>
        <v>SCBSFFPLUS43383</v>
      </c>
      <c r="W222" t="b">
        <f>DataTable[HLD_SecCode]="CB18O18A"</f>
        <v>0</v>
      </c>
    </row>
    <row r="223" spans="1:23" hidden="1" x14ac:dyDescent="0.2">
      <c r="A223" s="66">
        <v>43383</v>
      </c>
      <c r="B223" t="s">
        <v>139</v>
      </c>
      <c r="C223" t="s">
        <v>18</v>
      </c>
      <c r="D223" t="s">
        <v>262</v>
      </c>
      <c r="F223" t="s">
        <v>267</v>
      </c>
      <c r="G223" t="s">
        <v>264</v>
      </c>
      <c r="H223" t="s">
        <v>47</v>
      </c>
      <c r="I223" s="66">
        <v>43598</v>
      </c>
      <c r="J223" s="6">
        <v>2635600000</v>
      </c>
      <c r="K223">
        <v>37205886.670000002</v>
      </c>
      <c r="L223">
        <v>2635600000</v>
      </c>
      <c r="M223">
        <v>0.58567899999999995</v>
      </c>
      <c r="N223">
        <v>80000000</v>
      </c>
      <c r="O223">
        <v>3.3</v>
      </c>
      <c r="P223" t="s">
        <v>42</v>
      </c>
      <c r="Q223" t="s">
        <v>37</v>
      </c>
      <c r="R223" s="66">
        <v>43230</v>
      </c>
      <c r="S223" s="6">
        <f>DataTable[HLD_MaturityDate] - DataTable[SEC_Issue_Date]</f>
        <v>368</v>
      </c>
      <c r="T223" s="66" t="str">
        <f>DataTable[HLD_Portfolio]&amp;DataTable[HLD_Date]</f>
        <v>SCBSFFPLUS43383</v>
      </c>
      <c r="W223" t="b">
        <f>DataTable[HLD_SecCode]="CB18O18A"</f>
        <v>0</v>
      </c>
    </row>
    <row r="224" spans="1:23" hidden="1" x14ac:dyDescent="0.2">
      <c r="A224" s="66">
        <v>43383</v>
      </c>
      <c r="B224" t="s">
        <v>139</v>
      </c>
      <c r="C224" t="s">
        <v>18</v>
      </c>
      <c r="D224" t="s">
        <v>262</v>
      </c>
      <c r="F224" t="s">
        <v>268</v>
      </c>
      <c r="G224" t="s">
        <v>264</v>
      </c>
      <c r="H224" t="s">
        <v>47</v>
      </c>
      <c r="I224" s="66">
        <v>43545</v>
      </c>
      <c r="J224" s="6">
        <v>3027912000</v>
      </c>
      <c r="K224">
        <v>841086.67</v>
      </c>
      <c r="L224">
        <v>3027912000</v>
      </c>
      <c r="M224">
        <v>0.44712200000000002</v>
      </c>
      <c r="N224">
        <v>80000000</v>
      </c>
      <c r="O224">
        <v>0.05</v>
      </c>
      <c r="P224" t="s">
        <v>42</v>
      </c>
      <c r="Q224" t="s">
        <v>31</v>
      </c>
      <c r="R224" s="66">
        <v>43180</v>
      </c>
      <c r="S224" s="6">
        <f>DataTable[HLD_MaturityDate] - DataTable[SEC_Issue_Date]</f>
        <v>365</v>
      </c>
      <c r="T224" s="66" t="str">
        <f>DataTable[HLD_Portfolio]&amp;DataTable[HLD_Date]</f>
        <v>SCBSFFPLUS43383</v>
      </c>
      <c r="W224" t="b">
        <f>DataTable[HLD_SecCode]="CB18O18A"</f>
        <v>0</v>
      </c>
    </row>
    <row r="225" spans="1:23" hidden="1" x14ac:dyDescent="0.2">
      <c r="A225" s="66">
        <v>43383</v>
      </c>
      <c r="B225" t="s">
        <v>139</v>
      </c>
      <c r="C225" t="s">
        <v>113</v>
      </c>
      <c r="D225" t="s">
        <v>114</v>
      </c>
      <c r="F225" t="s">
        <v>269</v>
      </c>
      <c r="G225" t="s">
        <v>26</v>
      </c>
      <c r="H225" t="s">
        <v>27</v>
      </c>
      <c r="I225" s="66">
        <v>43452</v>
      </c>
      <c r="J225" s="6">
        <v>-74623666.969999999</v>
      </c>
      <c r="L225">
        <v>0</v>
      </c>
      <c r="M225">
        <v>0</v>
      </c>
      <c r="N225">
        <v>0</v>
      </c>
      <c r="O225">
        <v>0</v>
      </c>
      <c r="P225" t="s">
        <v>116</v>
      </c>
      <c r="Q225" t="s">
        <v>23</v>
      </c>
      <c r="R225" s="66">
        <v>2</v>
      </c>
      <c r="S225" s="6">
        <f>DataTable[HLD_MaturityDate] - DataTable[SEC_Issue_Date]</f>
        <v>43450</v>
      </c>
      <c r="T225" s="66" t="str">
        <f>DataTable[HLD_Portfolio]&amp;DataTable[HLD_Date]</f>
        <v>SCBSFFPLUS43383</v>
      </c>
      <c r="W225" t="b">
        <f>DataTable[HLD_SecCode]="CB18O18A"</f>
        <v>0</v>
      </c>
    </row>
    <row r="226" spans="1:23" hidden="1" x14ac:dyDescent="0.2">
      <c r="A226" s="66">
        <v>43383</v>
      </c>
      <c r="B226" t="s">
        <v>139</v>
      </c>
      <c r="C226" t="s">
        <v>113</v>
      </c>
      <c r="D226" t="s">
        <v>114</v>
      </c>
      <c r="F226" t="s">
        <v>270</v>
      </c>
      <c r="G226" t="s">
        <v>26</v>
      </c>
      <c r="H226" t="s">
        <v>27</v>
      </c>
      <c r="I226" s="66">
        <v>43441</v>
      </c>
      <c r="J226" s="6">
        <v>81920424.659999996</v>
      </c>
      <c r="L226">
        <v>0</v>
      </c>
      <c r="M226">
        <v>0</v>
      </c>
      <c r="N226">
        <v>0</v>
      </c>
      <c r="O226">
        <v>0</v>
      </c>
      <c r="P226" t="s">
        <v>116</v>
      </c>
      <c r="Q226" t="s">
        <v>23</v>
      </c>
      <c r="R226" s="66">
        <v>2</v>
      </c>
      <c r="S226" s="6">
        <f>DataTable[HLD_MaturityDate] - DataTable[SEC_Issue_Date]</f>
        <v>43439</v>
      </c>
      <c r="T226" s="66" t="str">
        <f>DataTable[HLD_Portfolio]&amp;DataTable[HLD_Date]</f>
        <v>SCBSFFPLUS43383</v>
      </c>
      <c r="W226" t="b">
        <f>DataTable[HLD_SecCode]="CB18O18A"</f>
        <v>0</v>
      </c>
    </row>
    <row r="227" spans="1:23" hidden="1" x14ac:dyDescent="0.2">
      <c r="A227" s="66">
        <v>43383</v>
      </c>
      <c r="B227" t="s">
        <v>139</v>
      </c>
      <c r="C227" t="s">
        <v>113</v>
      </c>
      <c r="D227" t="s">
        <v>114</v>
      </c>
      <c r="F227" t="s">
        <v>271</v>
      </c>
      <c r="G227" t="s">
        <v>26</v>
      </c>
      <c r="H227" t="s">
        <v>27</v>
      </c>
      <c r="I227" s="66">
        <v>43409</v>
      </c>
      <c r="J227" s="6">
        <v>31580880.210000001</v>
      </c>
      <c r="L227">
        <v>0</v>
      </c>
      <c r="M227">
        <v>0</v>
      </c>
      <c r="N227">
        <v>0</v>
      </c>
      <c r="O227">
        <v>0</v>
      </c>
      <c r="P227" t="s">
        <v>116</v>
      </c>
      <c r="Q227" t="s">
        <v>23</v>
      </c>
      <c r="R227" s="66">
        <v>2</v>
      </c>
      <c r="S227" s="6">
        <f>DataTable[HLD_MaturityDate] - DataTable[SEC_Issue_Date]</f>
        <v>43407</v>
      </c>
      <c r="T227" s="66" t="str">
        <f>DataTable[HLD_Portfolio]&amp;DataTable[HLD_Date]</f>
        <v>SCBSFFPLUS43383</v>
      </c>
      <c r="W227" t="b">
        <f>DataTable[HLD_SecCode]="CB18O18A"</f>
        <v>0</v>
      </c>
    </row>
    <row r="228" spans="1:23" hidden="1" x14ac:dyDescent="0.2">
      <c r="A228" s="66">
        <v>43383</v>
      </c>
      <c r="B228" t="s">
        <v>139</v>
      </c>
      <c r="C228" t="s">
        <v>113</v>
      </c>
      <c r="D228" t="s">
        <v>114</v>
      </c>
      <c r="F228" t="s">
        <v>272</v>
      </c>
      <c r="G228" t="s">
        <v>26</v>
      </c>
      <c r="H228" t="s">
        <v>27</v>
      </c>
      <c r="I228" s="66">
        <v>43496</v>
      </c>
      <c r="J228" s="6">
        <v>141696951.03</v>
      </c>
      <c r="L228">
        <v>0</v>
      </c>
      <c r="M228">
        <v>0</v>
      </c>
      <c r="N228">
        <v>0</v>
      </c>
      <c r="O228">
        <v>0</v>
      </c>
      <c r="P228" t="s">
        <v>116</v>
      </c>
      <c r="Q228" t="s">
        <v>23</v>
      </c>
      <c r="R228" s="66">
        <v>2</v>
      </c>
      <c r="S228" s="6">
        <f>DataTable[HLD_MaturityDate] - DataTable[SEC_Issue_Date]</f>
        <v>43494</v>
      </c>
      <c r="T228" s="66" t="str">
        <f>DataTable[HLD_Portfolio]&amp;DataTable[HLD_Date]</f>
        <v>SCBSFFPLUS43383</v>
      </c>
      <c r="W228" t="b">
        <f>DataTable[HLD_SecCode]="CB18O18A"</f>
        <v>0</v>
      </c>
    </row>
    <row r="229" spans="1:23" hidden="1" x14ac:dyDescent="0.2">
      <c r="A229" s="66">
        <v>43383</v>
      </c>
      <c r="B229" t="s">
        <v>139</v>
      </c>
      <c r="C229" t="s">
        <v>113</v>
      </c>
      <c r="D229" t="s">
        <v>114</v>
      </c>
      <c r="F229" t="s">
        <v>273</v>
      </c>
      <c r="G229" t="s">
        <v>26</v>
      </c>
      <c r="H229" t="s">
        <v>27</v>
      </c>
      <c r="I229" s="66">
        <v>43497</v>
      </c>
      <c r="J229" s="6">
        <v>133267340.72</v>
      </c>
      <c r="L229">
        <v>0</v>
      </c>
      <c r="M229">
        <v>0</v>
      </c>
      <c r="N229">
        <v>0</v>
      </c>
      <c r="O229">
        <v>0</v>
      </c>
      <c r="P229" t="s">
        <v>116</v>
      </c>
      <c r="Q229" t="s">
        <v>23</v>
      </c>
      <c r="R229" s="66">
        <v>2</v>
      </c>
      <c r="S229" s="6">
        <f>DataTable[HLD_MaturityDate] - DataTable[SEC_Issue_Date]</f>
        <v>43495</v>
      </c>
      <c r="T229" s="66" t="str">
        <f>DataTable[HLD_Portfolio]&amp;DataTable[HLD_Date]</f>
        <v>SCBSFFPLUS43383</v>
      </c>
      <c r="W229" t="b">
        <f>DataTable[HLD_SecCode]="CB18O18A"</f>
        <v>0</v>
      </c>
    </row>
    <row r="230" spans="1:23" hidden="1" x14ac:dyDescent="0.2">
      <c r="A230" s="66">
        <v>43383</v>
      </c>
      <c r="B230" t="s">
        <v>139</v>
      </c>
      <c r="C230" t="s">
        <v>113</v>
      </c>
      <c r="D230" t="s">
        <v>114</v>
      </c>
      <c r="F230" t="s">
        <v>274</v>
      </c>
      <c r="G230" t="s">
        <v>26</v>
      </c>
      <c r="H230" t="s">
        <v>27</v>
      </c>
      <c r="I230" s="66">
        <v>43509</v>
      </c>
      <c r="J230" s="6">
        <v>124754033.23</v>
      </c>
      <c r="L230">
        <v>0</v>
      </c>
      <c r="M230">
        <v>0</v>
      </c>
      <c r="N230">
        <v>0</v>
      </c>
      <c r="O230">
        <v>0</v>
      </c>
      <c r="P230" t="s">
        <v>116</v>
      </c>
      <c r="Q230" t="s">
        <v>23</v>
      </c>
      <c r="R230" s="66">
        <v>2</v>
      </c>
      <c r="S230" s="6">
        <f>DataTable[HLD_MaturityDate] - DataTable[SEC_Issue_Date]</f>
        <v>43507</v>
      </c>
      <c r="T230" s="66" t="str">
        <f>DataTable[HLD_Portfolio]&amp;DataTable[HLD_Date]</f>
        <v>SCBSFFPLUS43383</v>
      </c>
      <c r="W230" t="b">
        <f>DataTable[HLD_SecCode]="CB18O18A"</f>
        <v>0</v>
      </c>
    </row>
    <row r="231" spans="1:23" hidden="1" x14ac:dyDescent="0.2">
      <c r="A231" s="66">
        <v>43383</v>
      </c>
      <c r="B231" t="s">
        <v>139</v>
      </c>
      <c r="C231" t="s">
        <v>113</v>
      </c>
      <c r="D231" t="s">
        <v>114</v>
      </c>
      <c r="F231" t="s">
        <v>275</v>
      </c>
      <c r="G231" t="s">
        <v>26</v>
      </c>
      <c r="H231" t="s">
        <v>27</v>
      </c>
      <c r="I231" s="66">
        <v>43530</v>
      </c>
      <c r="J231" s="6">
        <v>97538000</v>
      </c>
      <c r="L231">
        <v>0</v>
      </c>
      <c r="M231">
        <v>0</v>
      </c>
      <c r="N231">
        <v>0</v>
      </c>
      <c r="O231">
        <v>0</v>
      </c>
      <c r="P231" t="s">
        <v>116</v>
      </c>
      <c r="Q231" t="s">
        <v>23</v>
      </c>
      <c r="R231" s="66">
        <v>2</v>
      </c>
      <c r="S231" s="6">
        <f>DataTable[HLD_MaturityDate] - DataTable[SEC_Issue_Date]</f>
        <v>43528</v>
      </c>
      <c r="T231" s="66" t="str">
        <f>DataTable[HLD_Portfolio]&amp;DataTable[HLD_Date]</f>
        <v>SCBSFFPLUS43383</v>
      </c>
      <c r="W231" t="b">
        <f>DataTable[HLD_SecCode]="CB18O18A"</f>
        <v>0</v>
      </c>
    </row>
    <row r="232" spans="1:23" hidden="1" x14ac:dyDescent="0.2">
      <c r="A232" s="66">
        <v>43383</v>
      </c>
      <c r="B232" t="s">
        <v>139</v>
      </c>
      <c r="C232" t="s">
        <v>113</v>
      </c>
      <c r="D232" t="s">
        <v>114</v>
      </c>
      <c r="F232" t="s">
        <v>276</v>
      </c>
      <c r="G232" t="s">
        <v>26</v>
      </c>
      <c r="H232" t="s">
        <v>27</v>
      </c>
      <c r="I232" s="66">
        <v>43545</v>
      </c>
      <c r="J232" s="6">
        <v>42696340.240000002</v>
      </c>
      <c r="L232">
        <v>0</v>
      </c>
      <c r="M232">
        <v>0</v>
      </c>
      <c r="N232">
        <v>0</v>
      </c>
      <c r="O232">
        <v>0</v>
      </c>
      <c r="P232" t="s">
        <v>116</v>
      </c>
      <c r="Q232" t="s">
        <v>23</v>
      </c>
      <c r="R232" s="66">
        <v>2</v>
      </c>
      <c r="S232" s="6">
        <f>DataTable[HLD_MaturityDate] - DataTable[SEC_Issue_Date]</f>
        <v>43543</v>
      </c>
      <c r="T232" s="66" t="str">
        <f>DataTable[HLD_Portfolio]&amp;DataTable[HLD_Date]</f>
        <v>SCBSFFPLUS43383</v>
      </c>
      <c r="W232" t="b">
        <f>DataTable[HLD_SecCode]="CB18O18A"</f>
        <v>0</v>
      </c>
    </row>
    <row r="233" spans="1:23" hidden="1" x14ac:dyDescent="0.2">
      <c r="A233" s="66">
        <v>43383</v>
      </c>
      <c r="B233" t="s">
        <v>139</v>
      </c>
      <c r="C233" t="s">
        <v>113</v>
      </c>
      <c r="D233" t="s">
        <v>114</v>
      </c>
      <c r="F233" t="s">
        <v>277</v>
      </c>
      <c r="G233" t="s">
        <v>122</v>
      </c>
      <c r="H233" t="s">
        <v>123</v>
      </c>
      <c r="I233" s="66">
        <v>43546</v>
      </c>
      <c r="J233" s="6">
        <v>15025571.4</v>
      </c>
      <c r="L233">
        <v>0</v>
      </c>
      <c r="M233">
        <v>0</v>
      </c>
      <c r="N233">
        <v>0</v>
      </c>
      <c r="O233">
        <v>0</v>
      </c>
      <c r="P233" t="s">
        <v>116</v>
      </c>
      <c r="Q233" t="s">
        <v>23</v>
      </c>
      <c r="R233" s="66">
        <v>2</v>
      </c>
      <c r="S233" s="6">
        <f>DataTable[HLD_MaturityDate] - DataTable[SEC_Issue_Date]</f>
        <v>43544</v>
      </c>
      <c r="T233" s="66" t="str">
        <f>DataTable[HLD_Portfolio]&amp;DataTable[HLD_Date]</f>
        <v>SCBSFFPLUS43383</v>
      </c>
      <c r="W233" t="b">
        <f>DataTable[HLD_SecCode]="CB18O18A"</f>
        <v>0</v>
      </c>
    </row>
    <row r="234" spans="1:23" hidden="1" x14ac:dyDescent="0.2">
      <c r="A234" s="66">
        <v>43383</v>
      </c>
      <c r="B234" t="s">
        <v>139</v>
      </c>
      <c r="C234" t="s">
        <v>113</v>
      </c>
      <c r="D234" t="s">
        <v>114</v>
      </c>
      <c r="F234" t="s">
        <v>278</v>
      </c>
      <c r="G234" t="s">
        <v>26</v>
      </c>
      <c r="H234" t="s">
        <v>27</v>
      </c>
      <c r="I234" s="66">
        <v>43551</v>
      </c>
      <c r="J234" s="6">
        <v>51306011.5</v>
      </c>
      <c r="L234">
        <v>0</v>
      </c>
      <c r="M234">
        <v>0</v>
      </c>
      <c r="N234">
        <v>0</v>
      </c>
      <c r="O234">
        <v>0</v>
      </c>
      <c r="P234" t="s">
        <v>116</v>
      </c>
      <c r="Q234" t="s">
        <v>23</v>
      </c>
      <c r="R234" s="66">
        <v>2</v>
      </c>
      <c r="S234" s="6">
        <f>DataTable[HLD_MaturityDate] - DataTable[SEC_Issue_Date]</f>
        <v>43549</v>
      </c>
      <c r="T234" s="66" t="str">
        <f>DataTable[HLD_Portfolio]&amp;DataTable[HLD_Date]</f>
        <v>SCBSFFPLUS43383</v>
      </c>
      <c r="W234" t="b">
        <f>DataTable[HLD_SecCode]="CB18O18A"</f>
        <v>0</v>
      </c>
    </row>
    <row r="235" spans="1:23" hidden="1" x14ac:dyDescent="0.2">
      <c r="A235" s="66">
        <v>43383</v>
      </c>
      <c r="B235" t="s">
        <v>139</v>
      </c>
      <c r="C235" t="s">
        <v>113</v>
      </c>
      <c r="D235" t="s">
        <v>114</v>
      </c>
      <c r="F235" t="s">
        <v>279</v>
      </c>
      <c r="G235" t="s">
        <v>26</v>
      </c>
      <c r="H235" t="s">
        <v>27</v>
      </c>
      <c r="I235" s="66">
        <v>43552</v>
      </c>
      <c r="J235" s="6">
        <v>66083098.07</v>
      </c>
      <c r="L235">
        <v>0</v>
      </c>
      <c r="M235">
        <v>0</v>
      </c>
      <c r="N235">
        <v>0</v>
      </c>
      <c r="O235">
        <v>0</v>
      </c>
      <c r="P235" t="s">
        <v>116</v>
      </c>
      <c r="Q235" t="s">
        <v>23</v>
      </c>
      <c r="R235" s="66">
        <v>2</v>
      </c>
      <c r="S235" s="6">
        <f>DataTable[HLD_MaturityDate] - DataTable[SEC_Issue_Date]</f>
        <v>43550</v>
      </c>
      <c r="T235" s="66" t="str">
        <f>DataTable[HLD_Portfolio]&amp;DataTable[HLD_Date]</f>
        <v>SCBSFFPLUS43383</v>
      </c>
      <c r="W235" t="b">
        <f>DataTable[HLD_SecCode]="CB18O18A"</f>
        <v>0</v>
      </c>
    </row>
    <row r="236" spans="1:23" hidden="1" x14ac:dyDescent="0.2">
      <c r="A236" s="66">
        <v>43383</v>
      </c>
      <c r="B236" t="s">
        <v>139</v>
      </c>
      <c r="C236" t="s">
        <v>113</v>
      </c>
      <c r="D236" t="s">
        <v>114</v>
      </c>
      <c r="F236" t="s">
        <v>280</v>
      </c>
      <c r="G236" t="s">
        <v>122</v>
      </c>
      <c r="H236" t="s">
        <v>123</v>
      </c>
      <c r="I236" s="66">
        <v>43587</v>
      </c>
      <c r="J236" s="6">
        <v>31487276.84</v>
      </c>
      <c r="L236">
        <v>0</v>
      </c>
      <c r="M236">
        <v>0</v>
      </c>
      <c r="N236">
        <v>0</v>
      </c>
      <c r="O236">
        <v>0</v>
      </c>
      <c r="P236" t="s">
        <v>116</v>
      </c>
      <c r="Q236" t="s">
        <v>23</v>
      </c>
      <c r="R236" s="66">
        <v>2</v>
      </c>
      <c r="S236" s="6">
        <f>DataTable[HLD_MaturityDate] - DataTable[SEC_Issue_Date]</f>
        <v>43585</v>
      </c>
      <c r="T236" s="66" t="str">
        <f>DataTable[HLD_Portfolio]&amp;DataTable[HLD_Date]</f>
        <v>SCBSFFPLUS43383</v>
      </c>
      <c r="W236" t="b">
        <f>DataTable[HLD_SecCode]="CB18O18A"</f>
        <v>0</v>
      </c>
    </row>
    <row r="237" spans="1:23" hidden="1" x14ac:dyDescent="0.2">
      <c r="A237" s="66">
        <v>43383</v>
      </c>
      <c r="B237" t="s">
        <v>139</v>
      </c>
      <c r="C237" t="s">
        <v>113</v>
      </c>
      <c r="D237" t="s">
        <v>114</v>
      </c>
      <c r="F237" t="s">
        <v>281</v>
      </c>
      <c r="G237" t="s">
        <v>26</v>
      </c>
      <c r="H237" t="s">
        <v>27</v>
      </c>
      <c r="I237" s="66">
        <v>43608</v>
      </c>
      <c r="J237" s="6">
        <v>3187890.87</v>
      </c>
      <c r="L237">
        <v>0</v>
      </c>
      <c r="M237">
        <v>0</v>
      </c>
      <c r="N237">
        <v>0</v>
      </c>
      <c r="O237">
        <v>0</v>
      </c>
      <c r="P237" t="s">
        <v>116</v>
      </c>
      <c r="Q237" t="s">
        <v>23</v>
      </c>
      <c r="R237" s="66">
        <v>2</v>
      </c>
      <c r="S237" s="6">
        <f>DataTable[HLD_MaturityDate] - DataTable[SEC_Issue_Date]</f>
        <v>43606</v>
      </c>
      <c r="T237" s="66" t="str">
        <f>DataTable[HLD_Portfolio]&amp;DataTable[HLD_Date]</f>
        <v>SCBSFFPLUS43383</v>
      </c>
      <c r="W237" t="b">
        <f>DataTable[HLD_SecCode]="CB18O18A"</f>
        <v>0</v>
      </c>
    </row>
    <row r="238" spans="1:23" hidden="1" x14ac:dyDescent="0.2">
      <c r="A238" s="66">
        <v>43383</v>
      </c>
      <c r="B238" t="s">
        <v>139</v>
      </c>
      <c r="C238" t="s">
        <v>113</v>
      </c>
      <c r="D238" t="s">
        <v>114</v>
      </c>
      <c r="F238" t="s">
        <v>282</v>
      </c>
      <c r="G238" t="s">
        <v>26</v>
      </c>
      <c r="H238" t="s">
        <v>27</v>
      </c>
      <c r="I238" s="66">
        <v>43616</v>
      </c>
      <c r="J238" s="6">
        <v>-25683279.870000001</v>
      </c>
      <c r="L238">
        <v>0</v>
      </c>
      <c r="M238">
        <v>0</v>
      </c>
      <c r="N238">
        <v>0</v>
      </c>
      <c r="O238">
        <v>0</v>
      </c>
      <c r="P238" t="s">
        <v>116</v>
      </c>
      <c r="Q238" t="s">
        <v>23</v>
      </c>
      <c r="R238" s="66">
        <v>2</v>
      </c>
      <c r="S238" s="6">
        <f>DataTable[HLD_MaturityDate] - DataTable[SEC_Issue_Date]</f>
        <v>43614</v>
      </c>
      <c r="T238" s="66" t="str">
        <f>DataTable[HLD_Portfolio]&amp;DataTable[HLD_Date]</f>
        <v>SCBSFFPLUS43383</v>
      </c>
      <c r="W238" t="b">
        <f>DataTable[HLD_SecCode]="CB18O18A"</f>
        <v>0</v>
      </c>
    </row>
    <row r="239" spans="1:23" hidden="1" x14ac:dyDescent="0.2">
      <c r="A239" s="66">
        <v>43383</v>
      </c>
      <c r="B239" t="s">
        <v>139</v>
      </c>
      <c r="C239" t="s">
        <v>113</v>
      </c>
      <c r="D239" t="s">
        <v>114</v>
      </c>
      <c r="F239" t="s">
        <v>283</v>
      </c>
      <c r="G239" t="s">
        <v>26</v>
      </c>
      <c r="H239" t="s">
        <v>27</v>
      </c>
      <c r="I239" s="66">
        <v>43395</v>
      </c>
      <c r="J239" s="6">
        <v>15323164.380000001</v>
      </c>
      <c r="L239">
        <v>0</v>
      </c>
      <c r="M239">
        <v>0</v>
      </c>
      <c r="N239">
        <v>0</v>
      </c>
      <c r="O239">
        <v>0</v>
      </c>
      <c r="P239" t="s">
        <v>116</v>
      </c>
      <c r="Q239" t="s">
        <v>23</v>
      </c>
      <c r="R239" s="66">
        <v>2</v>
      </c>
      <c r="S239" s="6">
        <f>DataTable[HLD_MaturityDate] - DataTable[SEC_Issue_Date]</f>
        <v>43393</v>
      </c>
      <c r="T239" s="66" t="str">
        <f>DataTable[HLD_Portfolio]&amp;DataTable[HLD_Date]</f>
        <v>SCBSFFPLUS43383</v>
      </c>
      <c r="W239" t="b">
        <f>DataTable[HLD_SecCode]="CB18O18A"</f>
        <v>0</v>
      </c>
    </row>
    <row r="240" spans="1:23" hidden="1" x14ac:dyDescent="0.2">
      <c r="A240" s="66">
        <v>43383</v>
      </c>
      <c r="B240" t="s">
        <v>139</v>
      </c>
      <c r="C240" t="s">
        <v>113</v>
      </c>
      <c r="D240" t="s">
        <v>114</v>
      </c>
      <c r="F240" t="s">
        <v>284</v>
      </c>
      <c r="G240" t="s">
        <v>26</v>
      </c>
      <c r="H240" t="s">
        <v>27</v>
      </c>
      <c r="I240" s="66">
        <v>43536</v>
      </c>
      <c r="J240" s="6">
        <v>-7581788.0999999996</v>
      </c>
      <c r="L240">
        <v>0</v>
      </c>
      <c r="M240">
        <v>0</v>
      </c>
      <c r="N240">
        <v>0</v>
      </c>
      <c r="O240">
        <v>0</v>
      </c>
      <c r="P240" t="s">
        <v>116</v>
      </c>
      <c r="Q240" t="s">
        <v>23</v>
      </c>
      <c r="R240" s="66">
        <v>2</v>
      </c>
      <c r="S240" s="6">
        <f>DataTable[HLD_MaturityDate] - DataTable[SEC_Issue_Date]</f>
        <v>43534</v>
      </c>
      <c r="T240" s="66" t="str">
        <f>DataTable[HLD_Portfolio]&amp;DataTable[HLD_Date]</f>
        <v>SCBSFFPLUS43383</v>
      </c>
      <c r="W240" t="b">
        <f>DataTable[HLD_SecCode]="CB18O18A"</f>
        <v>0</v>
      </c>
    </row>
    <row r="241" spans="1:23" hidden="1" x14ac:dyDescent="0.2">
      <c r="A241" s="66">
        <v>43383</v>
      </c>
      <c r="B241" t="s">
        <v>139</v>
      </c>
      <c r="C241" t="s">
        <v>113</v>
      </c>
      <c r="D241" t="s">
        <v>114</v>
      </c>
      <c r="F241" t="s">
        <v>285</v>
      </c>
      <c r="G241" t="s">
        <v>286</v>
      </c>
      <c r="H241" t="s">
        <v>43</v>
      </c>
      <c r="I241" s="66">
        <v>43452</v>
      </c>
      <c r="J241" s="6">
        <v>-39931390.020000003</v>
      </c>
      <c r="L241">
        <v>0</v>
      </c>
      <c r="M241">
        <v>0</v>
      </c>
      <c r="N241">
        <v>0</v>
      </c>
      <c r="O241">
        <v>0</v>
      </c>
      <c r="P241" t="s">
        <v>116</v>
      </c>
      <c r="Q241" t="s">
        <v>23</v>
      </c>
      <c r="R241" s="66">
        <v>2</v>
      </c>
      <c r="S241" s="6">
        <f>DataTable[HLD_MaturityDate] - DataTable[SEC_Issue_Date]</f>
        <v>43450</v>
      </c>
      <c r="T241" s="66" t="str">
        <f>DataTable[HLD_Portfolio]&amp;DataTable[HLD_Date]</f>
        <v>SCBSFFPLUS43383</v>
      </c>
      <c r="W241" t="b">
        <f>DataTable[HLD_SecCode]="CB18O18A"</f>
        <v>0</v>
      </c>
    </row>
    <row r="242" spans="1:23" hidden="1" x14ac:dyDescent="0.2">
      <c r="A242" s="66">
        <v>43383</v>
      </c>
      <c r="B242" t="s">
        <v>139</v>
      </c>
      <c r="C242" t="s">
        <v>113</v>
      </c>
      <c r="D242" t="s">
        <v>114</v>
      </c>
      <c r="F242" t="s">
        <v>287</v>
      </c>
      <c r="G242" t="s">
        <v>122</v>
      </c>
      <c r="H242" t="s">
        <v>123</v>
      </c>
      <c r="I242" s="66">
        <v>43410</v>
      </c>
      <c r="J242" s="6">
        <v>980425.8</v>
      </c>
      <c r="L242">
        <v>0</v>
      </c>
      <c r="M242">
        <v>0</v>
      </c>
      <c r="N242">
        <v>0</v>
      </c>
      <c r="O242">
        <v>0</v>
      </c>
      <c r="P242" t="s">
        <v>116</v>
      </c>
      <c r="Q242" t="s">
        <v>23</v>
      </c>
      <c r="R242" s="66">
        <v>2</v>
      </c>
      <c r="S242" s="6">
        <f>DataTable[HLD_MaturityDate] - DataTable[SEC_Issue_Date]</f>
        <v>43408</v>
      </c>
      <c r="T242" s="66" t="str">
        <f>DataTable[HLD_Portfolio]&amp;DataTable[HLD_Date]</f>
        <v>SCBSFFPLUS43383</v>
      </c>
      <c r="W242" t="b">
        <f>DataTable[HLD_SecCode]="CB18O18A"</f>
        <v>0</v>
      </c>
    </row>
    <row r="243" spans="1:23" hidden="1" x14ac:dyDescent="0.2">
      <c r="A243" s="66">
        <v>43383</v>
      </c>
      <c r="B243" t="s">
        <v>139</v>
      </c>
      <c r="C243" t="s">
        <v>113</v>
      </c>
      <c r="D243" t="s">
        <v>114</v>
      </c>
      <c r="F243" t="s">
        <v>288</v>
      </c>
      <c r="G243" t="s">
        <v>26</v>
      </c>
      <c r="H243" t="s">
        <v>27</v>
      </c>
      <c r="I243" s="66">
        <v>43423</v>
      </c>
      <c r="J243" s="6">
        <v>-59743744.380000003</v>
      </c>
      <c r="L243">
        <v>0</v>
      </c>
      <c r="M243">
        <v>0</v>
      </c>
      <c r="N243">
        <v>0</v>
      </c>
      <c r="O243">
        <v>0</v>
      </c>
      <c r="P243" t="s">
        <v>116</v>
      </c>
      <c r="Q243" t="s">
        <v>23</v>
      </c>
      <c r="R243" s="66">
        <v>2</v>
      </c>
      <c r="S243" s="6">
        <f>DataTable[HLD_MaturityDate] - DataTable[SEC_Issue_Date]</f>
        <v>43421</v>
      </c>
      <c r="T243" s="66" t="str">
        <f>DataTable[HLD_Portfolio]&amp;DataTable[HLD_Date]</f>
        <v>SCBSFFPLUS43383</v>
      </c>
      <c r="W243" t="b">
        <f>DataTable[HLD_SecCode]="CB18O18A"</f>
        <v>0</v>
      </c>
    </row>
    <row r="244" spans="1:23" hidden="1" x14ac:dyDescent="0.2">
      <c r="A244" s="66">
        <v>43383</v>
      </c>
      <c r="B244" t="s">
        <v>139</v>
      </c>
      <c r="C244" t="s">
        <v>113</v>
      </c>
      <c r="D244" t="s">
        <v>114</v>
      </c>
      <c r="F244" t="s">
        <v>289</v>
      </c>
      <c r="G244" t="s">
        <v>26</v>
      </c>
      <c r="H244" t="s">
        <v>27</v>
      </c>
      <c r="I244" s="66">
        <v>43424</v>
      </c>
      <c r="J244" s="6">
        <v>-14301614.98</v>
      </c>
      <c r="L244">
        <v>0</v>
      </c>
      <c r="M244">
        <v>0</v>
      </c>
      <c r="N244">
        <v>0</v>
      </c>
      <c r="O244">
        <v>0</v>
      </c>
      <c r="P244" t="s">
        <v>116</v>
      </c>
      <c r="Q244" t="s">
        <v>23</v>
      </c>
      <c r="R244" s="66">
        <v>2</v>
      </c>
      <c r="S244" s="6">
        <f>DataTable[HLD_MaturityDate] - DataTable[SEC_Issue_Date]</f>
        <v>43422</v>
      </c>
      <c r="T244" s="66" t="str">
        <f>DataTable[HLD_Portfolio]&amp;DataTable[HLD_Date]</f>
        <v>SCBSFFPLUS43383</v>
      </c>
      <c r="W244" t="b">
        <f>DataTable[HLD_SecCode]="CB18O18A"</f>
        <v>0</v>
      </c>
    </row>
    <row r="245" spans="1:23" hidden="1" x14ac:dyDescent="0.2">
      <c r="A245" s="66">
        <v>43383</v>
      </c>
      <c r="B245" t="s">
        <v>139</v>
      </c>
      <c r="C245" t="s">
        <v>113</v>
      </c>
      <c r="D245" t="s">
        <v>114</v>
      </c>
      <c r="F245" t="s">
        <v>290</v>
      </c>
      <c r="G245" t="s">
        <v>26</v>
      </c>
      <c r="H245" t="s">
        <v>27</v>
      </c>
      <c r="I245" s="66">
        <v>43430</v>
      </c>
      <c r="J245" s="6">
        <v>-52483879.030000001</v>
      </c>
      <c r="L245">
        <v>0</v>
      </c>
      <c r="M245">
        <v>0</v>
      </c>
      <c r="N245">
        <v>0</v>
      </c>
      <c r="O245">
        <v>0</v>
      </c>
      <c r="P245" t="s">
        <v>116</v>
      </c>
      <c r="Q245" t="s">
        <v>23</v>
      </c>
      <c r="R245" s="66">
        <v>2</v>
      </c>
      <c r="S245" s="6">
        <f>DataTable[HLD_MaturityDate] - DataTable[SEC_Issue_Date]</f>
        <v>43428</v>
      </c>
      <c r="T245" s="66" t="str">
        <f>DataTable[HLD_Portfolio]&amp;DataTable[HLD_Date]</f>
        <v>SCBSFFPLUS43383</v>
      </c>
      <c r="W245" t="b">
        <f>DataTable[HLD_SecCode]="CB18O18A"</f>
        <v>0</v>
      </c>
    </row>
    <row r="246" spans="1:23" hidden="1" x14ac:dyDescent="0.2">
      <c r="A246" s="66">
        <v>43383</v>
      </c>
      <c r="B246" t="s">
        <v>139</v>
      </c>
      <c r="C246" t="s">
        <v>113</v>
      </c>
      <c r="D246" t="s">
        <v>114</v>
      </c>
      <c r="F246" t="s">
        <v>291</v>
      </c>
      <c r="G246" t="s">
        <v>26</v>
      </c>
      <c r="H246" t="s">
        <v>27</v>
      </c>
      <c r="I246" s="66">
        <v>43389</v>
      </c>
      <c r="J246" s="6">
        <v>575226.27</v>
      </c>
      <c r="L246">
        <v>0</v>
      </c>
      <c r="M246">
        <v>0</v>
      </c>
      <c r="N246">
        <v>0</v>
      </c>
      <c r="O246">
        <v>0</v>
      </c>
      <c r="P246" t="s">
        <v>116</v>
      </c>
      <c r="Q246" t="s">
        <v>23</v>
      </c>
      <c r="R246" s="66">
        <v>2</v>
      </c>
      <c r="S246" s="6">
        <f>DataTable[HLD_MaturityDate] - DataTable[SEC_Issue_Date]</f>
        <v>43387</v>
      </c>
      <c r="T246" s="66" t="str">
        <f>DataTable[HLD_Portfolio]&amp;DataTable[HLD_Date]</f>
        <v>SCBSFFPLUS43383</v>
      </c>
      <c r="W246" t="b">
        <f>DataTable[HLD_SecCode]="CB18O18A"</f>
        <v>0</v>
      </c>
    </row>
    <row r="247" spans="1:23" hidden="1" x14ac:dyDescent="0.2">
      <c r="A247" s="66">
        <v>43383</v>
      </c>
      <c r="B247" t="s">
        <v>139</v>
      </c>
      <c r="C247" t="s">
        <v>113</v>
      </c>
      <c r="D247" t="s">
        <v>114</v>
      </c>
      <c r="F247" t="s">
        <v>292</v>
      </c>
      <c r="G247" t="s">
        <v>26</v>
      </c>
      <c r="H247" t="s">
        <v>27</v>
      </c>
      <c r="I247" s="66">
        <v>43389</v>
      </c>
      <c r="J247" s="6">
        <v>5004807.09</v>
      </c>
      <c r="L247">
        <v>0</v>
      </c>
      <c r="M247">
        <v>0</v>
      </c>
      <c r="N247">
        <v>0</v>
      </c>
      <c r="O247">
        <v>0</v>
      </c>
      <c r="P247" t="s">
        <v>116</v>
      </c>
      <c r="Q247" t="s">
        <v>23</v>
      </c>
      <c r="R247" s="66">
        <v>2</v>
      </c>
      <c r="S247" s="6">
        <f>DataTable[HLD_MaturityDate] - DataTable[SEC_Issue_Date]</f>
        <v>43387</v>
      </c>
      <c r="T247" s="66" t="str">
        <f>DataTable[HLD_Portfolio]&amp;DataTable[HLD_Date]</f>
        <v>SCBSFFPLUS43383</v>
      </c>
      <c r="W247" t="b">
        <f>DataTable[HLD_SecCode]="CB18O18A"</f>
        <v>0</v>
      </c>
    </row>
    <row r="248" spans="1:23" hidden="1" x14ac:dyDescent="0.2">
      <c r="A248" s="66">
        <v>43383</v>
      </c>
      <c r="B248" t="s">
        <v>139</v>
      </c>
      <c r="C248" t="s">
        <v>113</v>
      </c>
      <c r="D248" t="s">
        <v>114</v>
      </c>
      <c r="F248" t="s">
        <v>293</v>
      </c>
      <c r="G248" t="s">
        <v>26</v>
      </c>
      <c r="H248" t="s">
        <v>27</v>
      </c>
      <c r="I248" s="66">
        <v>43398</v>
      </c>
      <c r="J248" s="6">
        <v>-68475117.379999995</v>
      </c>
      <c r="L248">
        <v>0</v>
      </c>
      <c r="M248">
        <v>0</v>
      </c>
      <c r="N248">
        <v>0</v>
      </c>
      <c r="O248">
        <v>0</v>
      </c>
      <c r="P248" t="s">
        <v>116</v>
      </c>
      <c r="Q248" t="s">
        <v>23</v>
      </c>
      <c r="R248" s="66">
        <v>2</v>
      </c>
      <c r="S248" s="6">
        <f>DataTable[HLD_MaturityDate] - DataTable[SEC_Issue_Date]</f>
        <v>43396</v>
      </c>
      <c r="T248" s="66" t="str">
        <f>DataTable[HLD_Portfolio]&amp;DataTable[HLD_Date]</f>
        <v>SCBSFFPLUS43383</v>
      </c>
      <c r="W248" t="b">
        <f>DataTable[HLD_SecCode]="CB18O18A"</f>
        <v>0</v>
      </c>
    </row>
    <row r="249" spans="1:23" hidden="1" x14ac:dyDescent="0.2">
      <c r="A249" s="66">
        <v>43383</v>
      </c>
      <c r="B249" t="s">
        <v>139</v>
      </c>
      <c r="C249" t="s">
        <v>113</v>
      </c>
      <c r="D249" t="s">
        <v>114</v>
      </c>
      <c r="F249" t="s">
        <v>294</v>
      </c>
      <c r="G249" t="s">
        <v>26</v>
      </c>
      <c r="H249" t="s">
        <v>27</v>
      </c>
      <c r="I249" s="66">
        <v>43473</v>
      </c>
      <c r="J249" s="6">
        <v>-85886195.579999998</v>
      </c>
      <c r="L249">
        <v>0</v>
      </c>
      <c r="M249">
        <v>0</v>
      </c>
      <c r="N249">
        <v>0</v>
      </c>
      <c r="O249">
        <v>0</v>
      </c>
      <c r="P249" t="s">
        <v>116</v>
      </c>
      <c r="Q249" t="s">
        <v>23</v>
      </c>
      <c r="R249" s="66">
        <v>2</v>
      </c>
      <c r="S249" s="6">
        <f>DataTable[HLD_MaturityDate] - DataTable[SEC_Issue_Date]</f>
        <v>43471</v>
      </c>
      <c r="T249" s="66" t="str">
        <f>DataTable[HLD_Portfolio]&amp;DataTable[HLD_Date]</f>
        <v>SCBSFFPLUS43383</v>
      </c>
      <c r="W249" t="b">
        <f>DataTable[HLD_SecCode]="CB18O18A"</f>
        <v>0</v>
      </c>
    </row>
    <row r="250" spans="1:23" hidden="1" x14ac:dyDescent="0.2">
      <c r="A250" s="66">
        <v>43383</v>
      </c>
      <c r="B250" t="s">
        <v>139</v>
      </c>
      <c r="C250" t="s">
        <v>113</v>
      </c>
      <c r="D250" t="s">
        <v>114</v>
      </c>
      <c r="F250" t="s">
        <v>295</v>
      </c>
      <c r="G250" t="s">
        <v>26</v>
      </c>
      <c r="H250" t="s">
        <v>27</v>
      </c>
      <c r="I250" s="66">
        <v>43474</v>
      </c>
      <c r="J250" s="6">
        <v>-96675082.25</v>
      </c>
      <c r="L250">
        <v>0</v>
      </c>
      <c r="M250">
        <v>0</v>
      </c>
      <c r="N250">
        <v>0</v>
      </c>
      <c r="O250">
        <v>0</v>
      </c>
      <c r="P250" t="s">
        <v>116</v>
      </c>
      <c r="Q250" t="s">
        <v>23</v>
      </c>
      <c r="R250" s="66">
        <v>2</v>
      </c>
      <c r="S250" s="6">
        <f>DataTable[HLD_MaturityDate] - DataTable[SEC_Issue_Date]</f>
        <v>43472</v>
      </c>
      <c r="T250" s="66" t="str">
        <f>DataTable[HLD_Portfolio]&amp;DataTable[HLD_Date]</f>
        <v>SCBSFFPLUS43383</v>
      </c>
      <c r="W250" t="b">
        <f>DataTable[HLD_SecCode]="CB18O18A"</f>
        <v>0</v>
      </c>
    </row>
    <row r="251" spans="1:23" hidden="1" x14ac:dyDescent="0.2">
      <c r="A251" s="66">
        <v>43383</v>
      </c>
      <c r="B251" t="s">
        <v>139</v>
      </c>
      <c r="C251" t="s">
        <v>113</v>
      </c>
      <c r="D251" t="s">
        <v>114</v>
      </c>
      <c r="F251" t="s">
        <v>296</v>
      </c>
      <c r="G251" t="s">
        <v>122</v>
      </c>
      <c r="H251" t="s">
        <v>123</v>
      </c>
      <c r="I251" s="66">
        <v>43481</v>
      </c>
      <c r="J251" s="6">
        <v>-29353443.629999999</v>
      </c>
      <c r="L251">
        <v>0</v>
      </c>
      <c r="M251">
        <v>0</v>
      </c>
      <c r="N251">
        <v>0</v>
      </c>
      <c r="O251">
        <v>0</v>
      </c>
      <c r="P251" t="s">
        <v>116</v>
      </c>
      <c r="Q251" t="s">
        <v>23</v>
      </c>
      <c r="R251" s="66">
        <v>2</v>
      </c>
      <c r="S251" s="6">
        <f>DataTable[HLD_MaturityDate] - DataTable[SEC_Issue_Date]</f>
        <v>43479</v>
      </c>
      <c r="T251" s="66" t="str">
        <f>DataTable[HLD_Portfolio]&amp;DataTable[HLD_Date]</f>
        <v>SCBSFFPLUS43383</v>
      </c>
      <c r="W251" t="b">
        <f>DataTable[HLD_SecCode]="CB18O18A"</f>
        <v>0</v>
      </c>
    </row>
    <row r="252" spans="1:23" hidden="1" x14ac:dyDescent="0.2">
      <c r="A252" s="66">
        <v>43383</v>
      </c>
      <c r="B252" t="s">
        <v>139</v>
      </c>
      <c r="C252" t="s">
        <v>113</v>
      </c>
      <c r="D252" t="s">
        <v>114</v>
      </c>
      <c r="F252" t="s">
        <v>297</v>
      </c>
      <c r="G252" t="s">
        <v>122</v>
      </c>
      <c r="H252" t="s">
        <v>123</v>
      </c>
      <c r="I252" s="66">
        <v>43504</v>
      </c>
      <c r="J252" s="6">
        <v>-76408600.159999996</v>
      </c>
      <c r="L252">
        <v>0</v>
      </c>
      <c r="M252">
        <v>0</v>
      </c>
      <c r="N252">
        <v>0</v>
      </c>
      <c r="O252">
        <v>0</v>
      </c>
      <c r="P252" t="s">
        <v>116</v>
      </c>
      <c r="Q252" t="s">
        <v>23</v>
      </c>
      <c r="R252" s="66">
        <v>2</v>
      </c>
      <c r="S252" s="6">
        <f>DataTable[HLD_MaturityDate] - DataTable[SEC_Issue_Date]</f>
        <v>43502</v>
      </c>
      <c r="T252" s="66" t="str">
        <f>DataTable[HLD_Portfolio]&amp;DataTable[HLD_Date]</f>
        <v>SCBSFFPLUS43383</v>
      </c>
      <c r="W252" t="b">
        <f>DataTable[HLD_SecCode]="CB18O18A"</f>
        <v>0</v>
      </c>
    </row>
    <row r="253" spans="1:23" hidden="1" x14ac:dyDescent="0.2">
      <c r="A253" s="66">
        <v>43383</v>
      </c>
      <c r="B253" t="s">
        <v>139</v>
      </c>
      <c r="C253" t="s">
        <v>113</v>
      </c>
      <c r="D253" t="s">
        <v>114</v>
      </c>
      <c r="F253" t="s">
        <v>298</v>
      </c>
      <c r="G253" t="s">
        <v>122</v>
      </c>
      <c r="H253" t="s">
        <v>123</v>
      </c>
      <c r="I253" s="66">
        <v>43531</v>
      </c>
      <c r="J253" s="6">
        <v>-174469032.06999999</v>
      </c>
      <c r="L253">
        <v>0</v>
      </c>
      <c r="M253">
        <v>0</v>
      </c>
      <c r="N253">
        <v>0</v>
      </c>
      <c r="O253">
        <v>0</v>
      </c>
      <c r="P253" t="s">
        <v>116</v>
      </c>
      <c r="Q253" t="s">
        <v>23</v>
      </c>
      <c r="R253" s="66">
        <v>2</v>
      </c>
      <c r="S253" s="6">
        <f>DataTable[HLD_MaturityDate] - DataTable[SEC_Issue_Date]</f>
        <v>43529</v>
      </c>
      <c r="T253" s="66" t="str">
        <f>DataTable[HLD_Portfolio]&amp;DataTable[HLD_Date]</f>
        <v>SCBSFFPLUS43383</v>
      </c>
      <c r="W253" t="b">
        <f>DataTable[HLD_SecCode]="CB18O18A"</f>
        <v>0</v>
      </c>
    </row>
    <row r="254" spans="1:23" hidden="1" x14ac:dyDescent="0.2">
      <c r="A254" s="66">
        <v>43383</v>
      </c>
      <c r="B254" t="s">
        <v>139</v>
      </c>
      <c r="C254" t="s">
        <v>113</v>
      </c>
      <c r="D254" t="s">
        <v>114</v>
      </c>
      <c r="F254" t="s">
        <v>299</v>
      </c>
      <c r="G254" t="s">
        <v>26</v>
      </c>
      <c r="H254" t="s">
        <v>27</v>
      </c>
      <c r="I254" s="66">
        <v>43564</v>
      </c>
      <c r="J254" s="6">
        <v>-201171242.90000001</v>
      </c>
      <c r="L254">
        <v>0</v>
      </c>
      <c r="M254">
        <v>0</v>
      </c>
      <c r="N254">
        <v>0</v>
      </c>
      <c r="O254">
        <v>0</v>
      </c>
      <c r="P254" t="s">
        <v>116</v>
      </c>
      <c r="Q254" t="s">
        <v>23</v>
      </c>
      <c r="R254" s="66">
        <v>2</v>
      </c>
      <c r="S254" s="6">
        <f>DataTable[HLD_MaturityDate] - DataTable[SEC_Issue_Date]</f>
        <v>43562</v>
      </c>
      <c r="T254" s="66" t="str">
        <f>DataTable[HLD_Portfolio]&amp;DataTable[HLD_Date]</f>
        <v>SCBSFFPLUS43383</v>
      </c>
      <c r="W254" t="b">
        <f>DataTable[HLD_SecCode]="CB18O18A"</f>
        <v>0</v>
      </c>
    </row>
    <row r="255" spans="1:23" hidden="1" x14ac:dyDescent="0.2">
      <c r="A255" s="66">
        <v>43383</v>
      </c>
      <c r="B255" t="s">
        <v>139</v>
      </c>
      <c r="C255" t="s">
        <v>113</v>
      </c>
      <c r="D255" t="s">
        <v>114</v>
      </c>
      <c r="F255" t="s">
        <v>300</v>
      </c>
      <c r="G255" t="s">
        <v>122</v>
      </c>
      <c r="H255" t="s">
        <v>123</v>
      </c>
      <c r="I255" s="66">
        <v>43581</v>
      </c>
      <c r="J255" s="6">
        <v>-104385759.22</v>
      </c>
      <c r="L255">
        <v>0</v>
      </c>
      <c r="M255">
        <v>0</v>
      </c>
      <c r="N255">
        <v>0</v>
      </c>
      <c r="O255">
        <v>0</v>
      </c>
      <c r="P255" t="s">
        <v>116</v>
      </c>
      <c r="Q255" t="s">
        <v>23</v>
      </c>
      <c r="R255" s="66">
        <v>2</v>
      </c>
      <c r="S255" s="6">
        <f>DataTable[HLD_MaturityDate] - DataTable[SEC_Issue_Date]</f>
        <v>43579</v>
      </c>
      <c r="T255" s="66" t="str">
        <f>DataTable[HLD_Portfolio]&amp;DataTable[HLD_Date]</f>
        <v>SCBSFFPLUS43383</v>
      </c>
      <c r="W255" t="b">
        <f>DataTable[HLD_SecCode]="CB18O18A"</f>
        <v>0</v>
      </c>
    </row>
    <row r="256" spans="1:23" hidden="1" x14ac:dyDescent="0.2">
      <c r="A256" s="66">
        <v>43383</v>
      </c>
      <c r="B256" t="s">
        <v>139</v>
      </c>
      <c r="C256" t="s">
        <v>113</v>
      </c>
      <c r="D256" t="s">
        <v>114</v>
      </c>
      <c r="F256" t="s">
        <v>301</v>
      </c>
      <c r="G256" t="s">
        <v>26</v>
      </c>
      <c r="H256" t="s">
        <v>27</v>
      </c>
      <c r="I256" s="66">
        <v>43593</v>
      </c>
      <c r="J256" s="6">
        <v>-119128012.52</v>
      </c>
      <c r="L256">
        <v>0</v>
      </c>
      <c r="M256">
        <v>0</v>
      </c>
      <c r="N256">
        <v>0</v>
      </c>
      <c r="O256">
        <v>0</v>
      </c>
      <c r="P256" t="s">
        <v>116</v>
      </c>
      <c r="Q256" t="s">
        <v>23</v>
      </c>
      <c r="R256" s="66">
        <v>2</v>
      </c>
      <c r="S256" s="6">
        <f>DataTable[HLD_MaturityDate] - DataTable[SEC_Issue_Date]</f>
        <v>43591</v>
      </c>
      <c r="T256" s="66" t="str">
        <f>DataTable[HLD_Portfolio]&amp;DataTable[HLD_Date]</f>
        <v>SCBSFFPLUS43383</v>
      </c>
      <c r="W256" t="b">
        <f>DataTable[HLD_SecCode]="CB18O18A"</f>
        <v>0</v>
      </c>
    </row>
    <row r="257" spans="1:23" hidden="1" x14ac:dyDescent="0.2">
      <c r="A257" s="66">
        <v>43383</v>
      </c>
      <c r="B257" t="s">
        <v>139</v>
      </c>
      <c r="C257" t="s">
        <v>113</v>
      </c>
      <c r="D257" t="s">
        <v>114</v>
      </c>
      <c r="F257" t="s">
        <v>302</v>
      </c>
      <c r="G257" t="s">
        <v>26</v>
      </c>
      <c r="H257" t="s">
        <v>27</v>
      </c>
      <c r="I257" s="66">
        <v>43598</v>
      </c>
      <c r="J257" s="6">
        <v>-104299648.29000001</v>
      </c>
      <c r="L257">
        <v>0</v>
      </c>
      <c r="M257">
        <v>0</v>
      </c>
      <c r="N257">
        <v>0</v>
      </c>
      <c r="O257">
        <v>0</v>
      </c>
      <c r="P257" t="s">
        <v>116</v>
      </c>
      <c r="Q257" t="s">
        <v>23</v>
      </c>
      <c r="R257" s="66">
        <v>2</v>
      </c>
      <c r="S257" s="6">
        <f>DataTable[HLD_MaturityDate] - DataTable[SEC_Issue_Date]</f>
        <v>43596</v>
      </c>
      <c r="T257" s="66" t="str">
        <f>DataTable[HLD_Portfolio]&amp;DataTable[HLD_Date]</f>
        <v>SCBSFFPLUS43383</v>
      </c>
      <c r="W257" t="b">
        <f>DataTable[HLD_SecCode]="CB18O18A"</f>
        <v>0</v>
      </c>
    </row>
    <row r="258" spans="1:23" hidden="1" x14ac:dyDescent="0.2">
      <c r="A258" s="66">
        <v>43383</v>
      </c>
      <c r="B258" t="s">
        <v>139</v>
      </c>
      <c r="C258" t="s">
        <v>113</v>
      </c>
      <c r="D258" t="s">
        <v>114</v>
      </c>
      <c r="F258" t="s">
        <v>303</v>
      </c>
      <c r="G258" t="s">
        <v>122</v>
      </c>
      <c r="H258" t="s">
        <v>123</v>
      </c>
      <c r="I258" s="66">
        <v>43641</v>
      </c>
      <c r="J258" s="6">
        <v>-8361110.8600000003</v>
      </c>
      <c r="L258">
        <v>0</v>
      </c>
      <c r="M258">
        <v>0</v>
      </c>
      <c r="N258">
        <v>0</v>
      </c>
      <c r="O258">
        <v>0</v>
      </c>
      <c r="P258" t="s">
        <v>116</v>
      </c>
      <c r="Q258" t="s">
        <v>23</v>
      </c>
      <c r="R258" s="66">
        <v>2</v>
      </c>
      <c r="S258" s="6">
        <f>DataTable[HLD_MaturityDate] - DataTable[SEC_Issue_Date]</f>
        <v>43639</v>
      </c>
      <c r="T258" s="66" t="str">
        <f>DataTable[HLD_Portfolio]&amp;DataTable[HLD_Date]</f>
        <v>SCBSFFPLUS43383</v>
      </c>
      <c r="W258" t="b">
        <f>DataTable[HLD_SecCode]="CB18O18A"</f>
        <v>0</v>
      </c>
    </row>
    <row r="259" spans="1:23" hidden="1" x14ac:dyDescent="0.2">
      <c r="A259" s="66">
        <v>43383</v>
      </c>
      <c r="B259" t="s">
        <v>139</v>
      </c>
      <c r="C259" t="s">
        <v>113</v>
      </c>
      <c r="D259" t="s">
        <v>114</v>
      </c>
      <c r="F259" t="s">
        <v>304</v>
      </c>
      <c r="G259" t="s">
        <v>26</v>
      </c>
      <c r="H259" t="s">
        <v>27</v>
      </c>
      <c r="I259" s="66">
        <v>43644</v>
      </c>
      <c r="J259" s="6">
        <v>-6253880.5599999996</v>
      </c>
      <c r="L259">
        <v>0</v>
      </c>
      <c r="M259">
        <v>0</v>
      </c>
      <c r="N259">
        <v>0</v>
      </c>
      <c r="O259">
        <v>0</v>
      </c>
      <c r="P259" t="s">
        <v>116</v>
      </c>
      <c r="Q259" t="s">
        <v>23</v>
      </c>
      <c r="R259" s="66">
        <v>2</v>
      </c>
      <c r="S259" s="6">
        <f>DataTable[HLD_MaturityDate] - DataTable[SEC_Issue_Date]</f>
        <v>43642</v>
      </c>
      <c r="T259" s="66" t="str">
        <f>DataTable[HLD_Portfolio]&amp;DataTable[HLD_Date]</f>
        <v>SCBSFFPLUS43383</v>
      </c>
      <c r="W259" t="b">
        <f>DataTable[HLD_SecCode]="CB18O18A"</f>
        <v>0</v>
      </c>
    </row>
    <row r="260" spans="1:23" hidden="1" x14ac:dyDescent="0.2">
      <c r="A260" s="66">
        <v>43383</v>
      </c>
      <c r="B260" t="s">
        <v>139</v>
      </c>
      <c r="C260" t="s">
        <v>113</v>
      </c>
      <c r="D260" t="s">
        <v>114</v>
      </c>
      <c r="F260" t="s">
        <v>305</v>
      </c>
      <c r="G260" t="s">
        <v>26</v>
      </c>
      <c r="H260" t="s">
        <v>27</v>
      </c>
      <c r="I260" s="66">
        <v>43739</v>
      </c>
      <c r="J260" s="6">
        <v>-53905494.899999999</v>
      </c>
      <c r="L260">
        <v>0</v>
      </c>
      <c r="M260">
        <v>0</v>
      </c>
      <c r="N260">
        <v>0</v>
      </c>
      <c r="O260">
        <v>0</v>
      </c>
      <c r="P260" t="s">
        <v>116</v>
      </c>
      <c r="Q260" t="s">
        <v>23</v>
      </c>
      <c r="R260" s="66">
        <v>2</v>
      </c>
      <c r="S260" s="6">
        <f>DataTable[HLD_MaturityDate] - DataTable[SEC_Issue_Date]</f>
        <v>43737</v>
      </c>
      <c r="T260" s="66" t="str">
        <f>DataTable[HLD_Portfolio]&amp;DataTable[HLD_Date]</f>
        <v>SCBSFFPLUS43383</v>
      </c>
      <c r="W260" t="b">
        <f>DataTable[HLD_SecCode]="CB18O18A"</f>
        <v>0</v>
      </c>
    </row>
    <row r="261" spans="1:23" hidden="1" x14ac:dyDescent="0.2">
      <c r="A261" s="66">
        <v>43383</v>
      </c>
      <c r="B261" t="s">
        <v>139</v>
      </c>
      <c r="C261" t="s">
        <v>113</v>
      </c>
      <c r="D261" t="s">
        <v>114</v>
      </c>
      <c r="F261" t="s">
        <v>306</v>
      </c>
      <c r="G261" t="s">
        <v>26</v>
      </c>
      <c r="H261" t="s">
        <v>27</v>
      </c>
      <c r="I261" s="66">
        <v>43740</v>
      </c>
      <c r="J261" s="6">
        <v>-45405426.340000004</v>
      </c>
      <c r="L261">
        <v>0</v>
      </c>
      <c r="M261">
        <v>0</v>
      </c>
      <c r="N261">
        <v>0</v>
      </c>
      <c r="O261">
        <v>0</v>
      </c>
      <c r="P261" t="s">
        <v>116</v>
      </c>
      <c r="Q261" t="s">
        <v>23</v>
      </c>
      <c r="R261" s="66">
        <v>2</v>
      </c>
      <c r="S261" s="6">
        <f>DataTable[HLD_MaturityDate] - DataTable[SEC_Issue_Date]</f>
        <v>43738</v>
      </c>
      <c r="T261" s="66" t="str">
        <f>DataTable[HLD_Portfolio]&amp;DataTable[HLD_Date]</f>
        <v>SCBSFFPLUS43383</v>
      </c>
      <c r="W261" t="b">
        <f>DataTable[HLD_SecCode]="CB18O18A"</f>
        <v>0</v>
      </c>
    </row>
    <row r="262" spans="1:23" hidden="1" x14ac:dyDescent="0.2">
      <c r="A262" s="66">
        <v>43383</v>
      </c>
      <c r="B262" t="s">
        <v>139</v>
      </c>
      <c r="C262" t="s">
        <v>129</v>
      </c>
      <c r="D262" t="s">
        <v>130</v>
      </c>
      <c r="E262" t="s">
        <v>590</v>
      </c>
      <c r="F262" t="s">
        <v>93</v>
      </c>
      <c r="I262" s="66"/>
      <c r="J262" s="6">
        <v>-179827561.80000001</v>
      </c>
      <c r="L262">
        <v>-179827561.80000001</v>
      </c>
      <c r="O262">
        <v>0</v>
      </c>
      <c r="P262" t="s">
        <v>42</v>
      </c>
      <c r="Q262" t="s">
        <v>23</v>
      </c>
      <c r="R262" s="66">
        <v>43230</v>
      </c>
      <c r="S262" s="6">
        <f>DataTable[HLD_MaturityDate] - DataTable[SEC_Issue_Date]</f>
        <v>-43230</v>
      </c>
      <c r="T262" s="66" t="str">
        <f>DataTable[HLD_Portfolio]&amp;DataTable[HLD_Date]</f>
        <v>SCBSFFPLUS43383</v>
      </c>
      <c r="W262" t="b">
        <f>DataTable[HLD_SecCode]="CB18O18A"</f>
        <v>0</v>
      </c>
    </row>
    <row r="263" spans="1:23" hidden="1" x14ac:dyDescent="0.2">
      <c r="A263" s="66">
        <v>43383</v>
      </c>
      <c r="B263" t="s">
        <v>139</v>
      </c>
      <c r="C263" t="s">
        <v>129</v>
      </c>
      <c r="D263" t="s">
        <v>130</v>
      </c>
      <c r="E263" t="s">
        <v>590</v>
      </c>
      <c r="F263" t="s">
        <v>94</v>
      </c>
      <c r="I263" s="66"/>
      <c r="J263" s="6">
        <v>-19980840.199999999</v>
      </c>
      <c r="L263">
        <v>-19980840.199999999</v>
      </c>
      <c r="O263">
        <v>0</v>
      </c>
      <c r="P263" t="s">
        <v>42</v>
      </c>
      <c r="Q263" t="s">
        <v>23</v>
      </c>
      <c r="R263" s="66">
        <v>43321</v>
      </c>
      <c r="S263" s="6">
        <f>DataTable[HLD_MaturityDate] - DataTable[SEC_Issue_Date]</f>
        <v>-43321</v>
      </c>
      <c r="T263" s="66" t="str">
        <f>DataTable[HLD_Portfolio]&amp;DataTable[HLD_Date]</f>
        <v>SCBSFFPLUS43383</v>
      </c>
      <c r="W263" t="b">
        <f>DataTable[HLD_SecCode]="CB18O18A"</f>
        <v>0</v>
      </c>
    </row>
    <row r="264" spans="1:23" hidden="1" x14ac:dyDescent="0.2">
      <c r="A264" s="66">
        <v>43383</v>
      </c>
      <c r="B264" t="s">
        <v>139</v>
      </c>
      <c r="C264" t="s">
        <v>129</v>
      </c>
      <c r="D264" t="s">
        <v>130</v>
      </c>
      <c r="E264" t="s">
        <v>590</v>
      </c>
      <c r="F264" t="s">
        <v>97</v>
      </c>
      <c r="I264" s="66"/>
      <c r="J264" s="6">
        <v>-199704710</v>
      </c>
      <c r="L264">
        <v>-199704710</v>
      </c>
      <c r="O264">
        <v>0</v>
      </c>
      <c r="P264" t="s">
        <v>42</v>
      </c>
      <c r="Q264" t="s">
        <v>23</v>
      </c>
      <c r="R264" s="66">
        <v>43244</v>
      </c>
      <c r="S264" s="6">
        <f>DataTable[HLD_MaturityDate] - DataTable[SEC_Issue_Date]</f>
        <v>-43244</v>
      </c>
      <c r="T264" s="66" t="str">
        <f>DataTable[HLD_Portfolio]&amp;DataTable[HLD_Date]</f>
        <v>SCBSFFPLUS43383</v>
      </c>
      <c r="W264" t="b">
        <f>DataTable[HLD_SecCode]="CB18O18A"</f>
        <v>0</v>
      </c>
    </row>
    <row r="265" spans="1:23" hidden="1" x14ac:dyDescent="0.2">
      <c r="A265" s="66">
        <v>43383</v>
      </c>
      <c r="B265" t="s">
        <v>139</v>
      </c>
      <c r="C265" t="s">
        <v>129</v>
      </c>
      <c r="D265" t="s">
        <v>130</v>
      </c>
      <c r="E265" t="s">
        <v>590</v>
      </c>
      <c r="F265" t="s">
        <v>104</v>
      </c>
      <c r="I265" s="66"/>
      <c r="J265" s="6">
        <v>-4998868.75</v>
      </c>
      <c r="L265">
        <v>-4998868.75</v>
      </c>
      <c r="O265">
        <v>0</v>
      </c>
      <c r="P265" t="s">
        <v>42</v>
      </c>
      <c r="Q265" t="s">
        <v>23</v>
      </c>
      <c r="R265" s="66">
        <v>43209</v>
      </c>
      <c r="S265" s="6">
        <f>DataTable[HLD_MaturityDate] - DataTable[SEC_Issue_Date]</f>
        <v>-43209</v>
      </c>
      <c r="T265" s="66" t="str">
        <f>DataTable[HLD_Portfolio]&amp;DataTable[HLD_Date]</f>
        <v>SCBSFFPLUS43383</v>
      </c>
      <c r="W265" t="b">
        <f>DataTable[HLD_SecCode]="CB18O18A"</f>
        <v>1</v>
      </c>
    </row>
    <row r="266" spans="1:23" hidden="1" x14ac:dyDescent="0.2">
      <c r="A266" s="66">
        <v>43383</v>
      </c>
      <c r="B266" t="s">
        <v>139</v>
      </c>
      <c r="C266" t="s">
        <v>129</v>
      </c>
      <c r="D266" t="s">
        <v>130</v>
      </c>
      <c r="E266" t="s">
        <v>590</v>
      </c>
      <c r="F266" t="s">
        <v>870</v>
      </c>
      <c r="I266" s="66"/>
      <c r="J266" s="6">
        <v>-4980696211.96</v>
      </c>
      <c r="L266">
        <v>-4980696211.96</v>
      </c>
      <c r="O266">
        <v>0</v>
      </c>
      <c r="P266" t="s">
        <v>42</v>
      </c>
      <c r="Q266" t="s">
        <v>23</v>
      </c>
      <c r="R266" s="66">
        <v>43384</v>
      </c>
      <c r="S266" s="6">
        <f>DataTable[HLD_MaturityDate] - DataTable[SEC_Issue_Date]</f>
        <v>-43384</v>
      </c>
      <c r="T266" s="66" t="str">
        <f>DataTable[HLD_Portfolio]&amp;DataTable[HLD_Date]</f>
        <v>SCBSFFPLUS43383</v>
      </c>
      <c r="W266" t="b">
        <f>DataTable[HLD_SecCode]="CB18O18A"</f>
        <v>0</v>
      </c>
    </row>
    <row r="267" spans="1:23" hidden="1" x14ac:dyDescent="0.2">
      <c r="A267" s="66">
        <v>43383</v>
      </c>
      <c r="B267" t="s">
        <v>139</v>
      </c>
      <c r="C267" t="s">
        <v>129</v>
      </c>
      <c r="D267" t="s">
        <v>131</v>
      </c>
      <c r="E267" t="s">
        <v>131</v>
      </c>
      <c r="F267" t="s">
        <v>131</v>
      </c>
      <c r="I267" s="66"/>
      <c r="J267" s="6">
        <v>-29041.200000000001</v>
      </c>
      <c r="O267">
        <v>0</v>
      </c>
      <c r="R267" s="66"/>
      <c r="S267" s="6">
        <f>DataTable[HLD_MaturityDate] - DataTable[SEC_Issue_Date]</f>
        <v>0</v>
      </c>
      <c r="T267" s="66" t="str">
        <f>DataTable[HLD_Portfolio]&amp;DataTable[HLD_Date]</f>
        <v>SCBSFFPLUS43383</v>
      </c>
      <c r="W267" t="b">
        <f>DataTable[HLD_SecCode]="CB18O18A"</f>
        <v>0</v>
      </c>
    </row>
    <row r="268" spans="1:23" hidden="1" x14ac:dyDescent="0.2">
      <c r="A268" s="66">
        <v>43383</v>
      </c>
      <c r="B268" t="s">
        <v>139</v>
      </c>
      <c r="C268" t="s">
        <v>129</v>
      </c>
      <c r="D268" t="s">
        <v>131</v>
      </c>
      <c r="E268" t="s">
        <v>131</v>
      </c>
      <c r="F268" t="s">
        <v>131</v>
      </c>
      <c r="I268" s="66"/>
      <c r="J268" s="6">
        <v>-255000</v>
      </c>
      <c r="O268">
        <v>0</v>
      </c>
      <c r="R268" s="66"/>
      <c r="S268" s="6">
        <f>DataTable[HLD_MaturityDate] - DataTable[SEC_Issue_Date]</f>
        <v>0</v>
      </c>
      <c r="T268" s="66" t="str">
        <f>DataTable[HLD_Portfolio]&amp;DataTable[HLD_Date]</f>
        <v>SCBSFFPLUS43383</v>
      </c>
      <c r="W268" t="b">
        <f>DataTable[HLD_SecCode]="CB18O18A"</f>
        <v>0</v>
      </c>
    </row>
    <row r="269" spans="1:23" hidden="1" x14ac:dyDescent="0.2">
      <c r="A269" s="66">
        <v>43383</v>
      </c>
      <c r="B269" t="s">
        <v>139</v>
      </c>
      <c r="C269" t="s">
        <v>129</v>
      </c>
      <c r="D269" t="s">
        <v>131</v>
      </c>
      <c r="E269" t="s">
        <v>131</v>
      </c>
      <c r="F269" t="s">
        <v>131</v>
      </c>
      <c r="I269" s="66"/>
      <c r="J269" s="6">
        <v>-10000</v>
      </c>
      <c r="O269">
        <v>0</v>
      </c>
      <c r="R269" s="66"/>
      <c r="S269" s="6">
        <f>DataTable[HLD_MaturityDate] - DataTable[SEC_Issue_Date]</f>
        <v>0</v>
      </c>
      <c r="T269" s="66" t="str">
        <f>DataTable[HLD_Portfolio]&amp;DataTable[HLD_Date]</f>
        <v>SCBSFFPLUS43383</v>
      </c>
      <c r="W269" t="b">
        <f>DataTable[HLD_SecCode]="CB18O18A"</f>
        <v>0</v>
      </c>
    </row>
    <row r="270" spans="1:23" hidden="1" x14ac:dyDescent="0.2">
      <c r="A270" s="66">
        <v>43383</v>
      </c>
      <c r="B270" t="s">
        <v>139</v>
      </c>
      <c r="C270" t="s">
        <v>129</v>
      </c>
      <c r="D270" t="s">
        <v>132</v>
      </c>
      <c r="I270" s="66"/>
      <c r="J270" s="6">
        <v>-2083810.55</v>
      </c>
      <c r="K270">
        <v>0</v>
      </c>
      <c r="O270">
        <v>0</v>
      </c>
      <c r="R270" s="66"/>
      <c r="S270" s="6">
        <f>DataTable[HLD_MaturityDate] - DataTable[SEC_Issue_Date]</f>
        <v>0</v>
      </c>
      <c r="T270" s="66" t="str">
        <f>DataTable[HLD_Portfolio]&amp;DataTable[HLD_Date]</f>
        <v>SCBSFFPLUS43383</v>
      </c>
      <c r="W270" t="b">
        <f>DataTable[HLD_SecCode]="CB18O18A"</f>
        <v>0</v>
      </c>
    </row>
    <row r="271" spans="1:23" hidden="1" x14ac:dyDescent="0.2">
      <c r="A271" s="66">
        <v>43383</v>
      </c>
      <c r="B271" t="s">
        <v>139</v>
      </c>
      <c r="C271" t="s">
        <v>129</v>
      </c>
      <c r="D271" t="s">
        <v>133</v>
      </c>
      <c r="E271" t="s">
        <v>133</v>
      </c>
      <c r="F271" t="s">
        <v>133</v>
      </c>
      <c r="I271" s="66"/>
      <c r="J271" s="6">
        <v>-4182.17</v>
      </c>
      <c r="O271">
        <v>0</v>
      </c>
      <c r="R271" s="66"/>
      <c r="S271" s="6">
        <f>DataTable[HLD_MaturityDate] - DataTable[SEC_Issue_Date]</f>
        <v>0</v>
      </c>
      <c r="T271" s="66" t="str">
        <f>DataTable[HLD_Portfolio]&amp;DataTable[HLD_Date]</f>
        <v>SCBSFFPLUS43383</v>
      </c>
      <c r="W271" t="b">
        <f>DataTable[HLD_SecCode]="CB18O18A"</f>
        <v>0</v>
      </c>
    </row>
    <row r="272" spans="1:23" hidden="1" x14ac:dyDescent="0.2">
      <c r="A272" s="66">
        <v>43383</v>
      </c>
      <c r="B272" t="s">
        <v>139</v>
      </c>
      <c r="C272" t="s">
        <v>129</v>
      </c>
      <c r="D272" t="s">
        <v>133</v>
      </c>
      <c r="E272" t="s">
        <v>133</v>
      </c>
      <c r="F272" t="s">
        <v>133</v>
      </c>
      <c r="I272" s="66"/>
      <c r="J272" s="6">
        <v>-1416.5</v>
      </c>
      <c r="O272">
        <v>0</v>
      </c>
      <c r="R272" s="66"/>
      <c r="S272" s="6">
        <f>DataTable[HLD_MaturityDate] - DataTable[SEC_Issue_Date]</f>
        <v>0</v>
      </c>
      <c r="T272" s="66" t="str">
        <f>DataTable[HLD_Portfolio]&amp;DataTable[HLD_Date]</f>
        <v>SCBSFFPLUS43383</v>
      </c>
      <c r="W272" t="b">
        <f>DataTable[HLD_SecCode]="CB18O18A"</f>
        <v>0</v>
      </c>
    </row>
    <row r="273" spans="1:23" hidden="1" x14ac:dyDescent="0.2">
      <c r="A273" s="66">
        <v>43383</v>
      </c>
      <c r="B273" t="s">
        <v>139</v>
      </c>
      <c r="C273" t="s">
        <v>129</v>
      </c>
      <c r="D273" t="s">
        <v>134</v>
      </c>
      <c r="E273" t="s">
        <v>134</v>
      </c>
      <c r="I273" s="66"/>
      <c r="J273" s="6">
        <v>-997484.31</v>
      </c>
      <c r="L273">
        <v>-997484.31</v>
      </c>
      <c r="O273">
        <v>0</v>
      </c>
      <c r="R273" s="66"/>
      <c r="S273" s="6">
        <f>DataTable[HLD_MaturityDate] - DataTable[SEC_Issue_Date]</f>
        <v>0</v>
      </c>
      <c r="T273" s="66" t="str">
        <f>DataTable[HLD_Portfolio]&amp;DataTable[HLD_Date]</f>
        <v>SCBSFFPLUS43383</v>
      </c>
      <c r="W273" t="b">
        <f>DataTable[HLD_SecCode]="CB18O18A"</f>
        <v>0</v>
      </c>
    </row>
    <row r="274" spans="1:23" hidden="1" x14ac:dyDescent="0.2">
      <c r="A274" s="66">
        <v>43383</v>
      </c>
      <c r="B274" t="s">
        <v>139</v>
      </c>
      <c r="C274" t="s">
        <v>129</v>
      </c>
      <c r="D274" t="s">
        <v>135</v>
      </c>
      <c r="E274" t="s">
        <v>135</v>
      </c>
      <c r="I274" s="66"/>
      <c r="J274" s="6">
        <v>-20901056.170000002</v>
      </c>
      <c r="L274">
        <v>-20901056.170000002</v>
      </c>
      <c r="O274">
        <v>0</v>
      </c>
      <c r="R274" s="66"/>
      <c r="S274" s="6">
        <f>DataTable[HLD_MaturityDate] - DataTable[SEC_Issue_Date]</f>
        <v>0</v>
      </c>
      <c r="T274" s="66" t="str">
        <f>DataTable[HLD_Portfolio]&amp;DataTable[HLD_Date]</f>
        <v>SCBSFFPLUS43383</v>
      </c>
      <c r="W274" t="b">
        <f>DataTable[HLD_SecCode]="CB18O18A"</f>
        <v>0</v>
      </c>
    </row>
    <row r="275" spans="1:23" hidden="1" x14ac:dyDescent="0.2">
      <c r="A275" s="66">
        <v>43383</v>
      </c>
      <c r="B275" t="s">
        <v>139</v>
      </c>
      <c r="C275" t="s">
        <v>137</v>
      </c>
      <c r="D275" t="s">
        <v>134</v>
      </c>
      <c r="E275" t="s">
        <v>134</v>
      </c>
      <c r="I275" s="66"/>
      <c r="J275" s="6">
        <v>-109850.71</v>
      </c>
      <c r="L275">
        <v>-109850.71</v>
      </c>
      <c r="O275">
        <v>0</v>
      </c>
      <c r="R275" s="66"/>
      <c r="S275" s="6">
        <f>DataTable[HLD_MaturityDate] - DataTable[SEC_Issue_Date]</f>
        <v>0</v>
      </c>
      <c r="T275" s="66" t="str">
        <f>DataTable[HLD_Portfolio]&amp;DataTable[HLD_Date]</f>
        <v>SCBSFFPLUS43383</v>
      </c>
      <c r="W275" t="b">
        <f>DataTable[HLD_SecCode]="CB18O18A"</f>
        <v>0</v>
      </c>
    </row>
    <row r="276" spans="1:23" hidden="1" x14ac:dyDescent="0.2">
      <c r="A276" s="66">
        <v>43383</v>
      </c>
      <c r="B276" t="s">
        <v>139</v>
      </c>
      <c r="C276" t="s">
        <v>137</v>
      </c>
      <c r="D276" t="s">
        <v>135</v>
      </c>
      <c r="E276" t="s">
        <v>135</v>
      </c>
      <c r="I276" s="66"/>
      <c r="J276" s="6">
        <v>-2300911.04</v>
      </c>
      <c r="L276">
        <v>-2300911.04</v>
      </c>
      <c r="O276">
        <v>0</v>
      </c>
      <c r="R276" s="66"/>
      <c r="S276" s="6">
        <f>DataTable[HLD_MaturityDate] - DataTable[SEC_Issue_Date]</f>
        <v>0</v>
      </c>
      <c r="T276" s="66" t="str">
        <f>DataTable[HLD_Portfolio]&amp;DataTable[HLD_Date]</f>
        <v>SCBSFFPLUS43383</v>
      </c>
      <c r="W276" t="b">
        <f>DataTable[HLD_SecCode]="CB18O18A"</f>
        <v>0</v>
      </c>
    </row>
    <row r="277" spans="1:23" hidden="1" x14ac:dyDescent="0.2">
      <c r="A277" s="66">
        <v>43383</v>
      </c>
      <c r="B277" t="s">
        <v>140</v>
      </c>
      <c r="C277" t="s">
        <v>18</v>
      </c>
      <c r="D277" t="s">
        <v>19</v>
      </c>
      <c r="F277" t="s">
        <v>20</v>
      </c>
      <c r="G277" t="s">
        <v>146</v>
      </c>
      <c r="I277" s="66"/>
      <c r="J277" s="6">
        <v>2720904.51</v>
      </c>
      <c r="K277">
        <v>6073.25</v>
      </c>
      <c r="L277">
        <v>2720904.51</v>
      </c>
      <c r="M277">
        <v>0</v>
      </c>
      <c r="N277">
        <v>0</v>
      </c>
      <c r="O277">
        <v>0</v>
      </c>
      <c r="P277" t="s">
        <v>22</v>
      </c>
      <c r="Q277" t="s">
        <v>23</v>
      </c>
      <c r="R277" s="66">
        <v>2</v>
      </c>
      <c r="S277" s="6">
        <f>DataTable[HLD_MaturityDate] - DataTable[SEC_Issue_Date]</f>
        <v>-2</v>
      </c>
      <c r="T277" s="66" t="str">
        <f>DataTable[HLD_Portfolio]&amp;DataTable[HLD_Date]</f>
        <v>SCBTMF43383</v>
      </c>
      <c r="W277" t="b">
        <f>DataTable[HLD_SecCode]="CB18O18A"</f>
        <v>0</v>
      </c>
    </row>
    <row r="278" spans="1:23" hidden="1" x14ac:dyDescent="0.2">
      <c r="A278" s="66">
        <v>43383</v>
      </c>
      <c r="B278" t="s">
        <v>140</v>
      </c>
      <c r="C278" t="s">
        <v>18</v>
      </c>
      <c r="D278" t="s">
        <v>38</v>
      </c>
      <c r="F278" t="s">
        <v>308</v>
      </c>
      <c r="G278" t="s">
        <v>58</v>
      </c>
      <c r="H278" t="s">
        <v>59</v>
      </c>
      <c r="I278" s="66">
        <v>43564</v>
      </c>
      <c r="J278" s="6">
        <v>60000000</v>
      </c>
      <c r="K278">
        <v>456164.38</v>
      </c>
      <c r="L278">
        <v>60000000</v>
      </c>
      <c r="M278">
        <v>0.49225600000000003</v>
      </c>
      <c r="N278">
        <v>60000000</v>
      </c>
      <c r="O278">
        <v>1.5</v>
      </c>
      <c r="P278" t="s">
        <v>42</v>
      </c>
      <c r="Q278" t="s">
        <v>23</v>
      </c>
      <c r="R278" s="66">
        <v>43199</v>
      </c>
      <c r="S278" s="6">
        <f>DataTable[HLD_MaturityDate] - DataTable[SEC_Issue_Date]</f>
        <v>365</v>
      </c>
      <c r="T278" s="66" t="str">
        <f>DataTable[HLD_Portfolio]&amp;DataTable[HLD_Date]</f>
        <v>SCBTMF43383</v>
      </c>
      <c r="W278" t="b">
        <f>DataTable[HLD_SecCode]="CB18O18A"</f>
        <v>0</v>
      </c>
    </row>
    <row r="279" spans="1:23" hidden="1" x14ac:dyDescent="0.2">
      <c r="A279" s="66">
        <v>43383</v>
      </c>
      <c r="B279" t="s">
        <v>140</v>
      </c>
      <c r="C279" t="s">
        <v>18</v>
      </c>
      <c r="D279" t="s">
        <v>38</v>
      </c>
      <c r="F279" t="s">
        <v>61</v>
      </c>
      <c r="G279" t="s">
        <v>58</v>
      </c>
      <c r="H279" t="s">
        <v>59</v>
      </c>
      <c r="I279" s="66">
        <v>43686</v>
      </c>
      <c r="J279" s="6">
        <v>20000000</v>
      </c>
      <c r="K279">
        <v>58684.93</v>
      </c>
      <c r="L279">
        <v>20000000</v>
      </c>
      <c r="M279">
        <v>0.81861799999999996</v>
      </c>
      <c r="N279">
        <v>20000000</v>
      </c>
      <c r="O279">
        <v>1.7</v>
      </c>
      <c r="P279" t="s">
        <v>42</v>
      </c>
      <c r="Q279" t="s">
        <v>23</v>
      </c>
      <c r="R279" s="66">
        <v>43321</v>
      </c>
      <c r="S279" s="6">
        <f>DataTable[HLD_MaturityDate] - DataTable[SEC_Issue_Date]</f>
        <v>365</v>
      </c>
      <c r="T279" s="66" t="str">
        <f>DataTable[HLD_Portfolio]&amp;DataTable[HLD_Date]</f>
        <v>SCBTMF43383</v>
      </c>
      <c r="W279" t="b">
        <f>DataTable[HLD_SecCode]="CB18O18A"</f>
        <v>0</v>
      </c>
    </row>
    <row r="280" spans="1:23" hidden="1" x14ac:dyDescent="0.2">
      <c r="A280" s="66">
        <v>43383</v>
      </c>
      <c r="B280" t="s">
        <v>140</v>
      </c>
      <c r="C280" t="s">
        <v>18</v>
      </c>
      <c r="D280" t="s">
        <v>38</v>
      </c>
      <c r="F280" t="s">
        <v>62</v>
      </c>
      <c r="G280" t="s">
        <v>58</v>
      </c>
      <c r="H280" t="s">
        <v>59</v>
      </c>
      <c r="I280" s="66">
        <v>43448</v>
      </c>
      <c r="J280" s="6">
        <v>50000000</v>
      </c>
      <c r="K280">
        <v>659726.03</v>
      </c>
      <c r="L280">
        <v>50000000</v>
      </c>
      <c r="M280">
        <v>0.17757600000000001</v>
      </c>
      <c r="N280">
        <v>50000000</v>
      </c>
      <c r="O280">
        <v>1.6</v>
      </c>
      <c r="P280" t="s">
        <v>42</v>
      </c>
      <c r="Q280" t="s">
        <v>23</v>
      </c>
      <c r="R280" s="66">
        <v>43083</v>
      </c>
      <c r="S280" s="6">
        <f>DataTable[HLD_MaturityDate] - DataTable[SEC_Issue_Date]</f>
        <v>365</v>
      </c>
      <c r="T280" s="66" t="str">
        <f>DataTable[HLD_Portfolio]&amp;DataTable[HLD_Date]</f>
        <v>SCBTMF43383</v>
      </c>
      <c r="W280" t="b">
        <f>DataTable[HLD_SecCode]="CB18O18A"</f>
        <v>0</v>
      </c>
    </row>
    <row r="281" spans="1:23" hidden="1" x14ac:dyDescent="0.2">
      <c r="A281" s="66">
        <v>43383</v>
      </c>
      <c r="B281" t="s">
        <v>140</v>
      </c>
      <c r="C281" t="s">
        <v>18</v>
      </c>
      <c r="D281" t="s">
        <v>38</v>
      </c>
      <c r="F281" t="s">
        <v>65</v>
      </c>
      <c r="G281" t="s">
        <v>58</v>
      </c>
      <c r="H281" t="s">
        <v>59</v>
      </c>
      <c r="I281" s="66">
        <v>43483</v>
      </c>
      <c r="J281" s="6">
        <v>50000000</v>
      </c>
      <c r="K281">
        <v>583013.69999999995</v>
      </c>
      <c r="L281">
        <v>50000000</v>
      </c>
      <c r="M281">
        <v>0.27277699999999999</v>
      </c>
      <c r="N281">
        <v>50000000</v>
      </c>
      <c r="O281">
        <v>1.6</v>
      </c>
      <c r="P281" t="s">
        <v>42</v>
      </c>
      <c r="Q281" t="s">
        <v>23</v>
      </c>
      <c r="R281" s="66">
        <v>43118</v>
      </c>
      <c r="S281" s="6">
        <f>DataTable[HLD_MaturityDate] - DataTable[SEC_Issue_Date]</f>
        <v>365</v>
      </c>
      <c r="T281" s="66" t="str">
        <f>DataTable[HLD_Portfolio]&amp;DataTable[HLD_Date]</f>
        <v>SCBTMF43383</v>
      </c>
      <c r="W281" t="b">
        <f>DataTable[HLD_SecCode]="CB18O18A"</f>
        <v>0</v>
      </c>
    </row>
    <row r="282" spans="1:23" hidden="1" x14ac:dyDescent="0.2">
      <c r="A282" s="66">
        <v>43383</v>
      </c>
      <c r="B282" t="s">
        <v>140</v>
      </c>
      <c r="C282" t="s">
        <v>18</v>
      </c>
      <c r="D282" t="s">
        <v>38</v>
      </c>
      <c r="F282" t="s">
        <v>177</v>
      </c>
      <c r="G282" t="s">
        <v>58</v>
      </c>
      <c r="H282" t="s">
        <v>59</v>
      </c>
      <c r="I282" s="66">
        <v>43672</v>
      </c>
      <c r="J282" s="6">
        <v>30000000</v>
      </c>
      <c r="K282">
        <v>107589.04</v>
      </c>
      <c r="L282">
        <v>30000000</v>
      </c>
      <c r="M282">
        <v>0.78130100000000002</v>
      </c>
      <c r="N282">
        <v>30000000</v>
      </c>
      <c r="O282">
        <v>1.7</v>
      </c>
      <c r="P282" t="s">
        <v>42</v>
      </c>
      <c r="Q282" t="s">
        <v>23</v>
      </c>
      <c r="R282" s="66">
        <v>43307</v>
      </c>
      <c r="S282" s="6">
        <f>DataTable[HLD_MaturityDate] - DataTable[SEC_Issue_Date]</f>
        <v>365</v>
      </c>
      <c r="T282" s="66" t="str">
        <f>DataTable[HLD_Portfolio]&amp;DataTable[HLD_Date]</f>
        <v>SCBTMF43383</v>
      </c>
      <c r="W282" t="b">
        <f>DataTable[HLD_SecCode]="CB18O18A"</f>
        <v>0</v>
      </c>
    </row>
    <row r="283" spans="1:23" hidden="1" x14ac:dyDescent="0.2">
      <c r="A283" s="66">
        <v>43383</v>
      </c>
      <c r="B283" t="s">
        <v>140</v>
      </c>
      <c r="C283" t="s">
        <v>18</v>
      </c>
      <c r="D283" t="s">
        <v>38</v>
      </c>
      <c r="F283" t="s">
        <v>309</v>
      </c>
      <c r="G283" t="s">
        <v>75</v>
      </c>
      <c r="H283" t="s">
        <v>59</v>
      </c>
      <c r="I283" s="66">
        <v>44196</v>
      </c>
      <c r="J283" s="6">
        <v>11275021.050000001</v>
      </c>
      <c r="K283">
        <v>46390.26</v>
      </c>
      <c r="L283">
        <v>11275021.050000001</v>
      </c>
      <c r="M283">
        <v>0</v>
      </c>
      <c r="N283">
        <v>11275021.050000001</v>
      </c>
      <c r="O283">
        <v>0</v>
      </c>
      <c r="P283" t="s">
        <v>42</v>
      </c>
      <c r="Q283" t="s">
        <v>23</v>
      </c>
      <c r="R283" s="66">
        <v>40212</v>
      </c>
      <c r="S283" s="6">
        <f>DataTable[HLD_MaturityDate] - DataTable[SEC_Issue_Date]</f>
        <v>3984</v>
      </c>
      <c r="T283" s="66" t="str">
        <f>DataTable[HLD_Portfolio]&amp;DataTable[HLD_Date]</f>
        <v>SCBTMF43383</v>
      </c>
      <c r="W283" t="b">
        <f>DataTable[HLD_SecCode]="CB18O18A"</f>
        <v>0</v>
      </c>
    </row>
    <row r="284" spans="1:23" x14ac:dyDescent="0.2">
      <c r="A284" s="66">
        <v>43383</v>
      </c>
      <c r="B284" t="s">
        <v>140</v>
      </c>
      <c r="C284" t="s">
        <v>18</v>
      </c>
      <c r="D284" t="s">
        <v>87</v>
      </c>
      <c r="F284" t="s">
        <v>88</v>
      </c>
      <c r="G284" t="s">
        <v>89</v>
      </c>
      <c r="I284" s="66">
        <v>43440</v>
      </c>
      <c r="J284" s="6">
        <v>149701417.5</v>
      </c>
      <c r="L284">
        <v>149691652.5</v>
      </c>
      <c r="M284">
        <v>0.153115</v>
      </c>
      <c r="N284">
        <v>150000000</v>
      </c>
      <c r="O284">
        <v>1.3426</v>
      </c>
      <c r="P284" t="s">
        <v>42</v>
      </c>
      <c r="Q284" t="s">
        <v>23</v>
      </c>
      <c r="R284" s="66">
        <v>43349</v>
      </c>
      <c r="S284" s="6">
        <f>DataTable[HLD_MaturityDate] - DataTable[SEC_Issue_Date]</f>
        <v>91</v>
      </c>
      <c r="T284" s="66" t="str">
        <f>DataTable[HLD_Portfolio]&amp;DataTable[HLD_Date]</f>
        <v>SCBTMF43383</v>
      </c>
      <c r="W284" t="b">
        <f>DataTable[HLD_SecCode]="CB18O18A"</f>
        <v>0</v>
      </c>
    </row>
    <row r="285" spans="1:23" x14ac:dyDescent="0.2">
      <c r="A285" s="66">
        <v>43383</v>
      </c>
      <c r="B285" t="s">
        <v>140</v>
      </c>
      <c r="C285" t="s">
        <v>18</v>
      </c>
      <c r="D285" t="s">
        <v>87</v>
      </c>
      <c r="F285" t="s">
        <v>90</v>
      </c>
      <c r="G285" t="s">
        <v>89</v>
      </c>
      <c r="I285" s="66">
        <v>43447</v>
      </c>
      <c r="J285" s="6">
        <v>119761764</v>
      </c>
      <c r="L285">
        <v>119759391.59999999</v>
      </c>
      <c r="M285">
        <v>0.17219100000000001</v>
      </c>
      <c r="N285">
        <v>120000000</v>
      </c>
      <c r="O285">
        <v>1.1639999999999999</v>
      </c>
      <c r="P285" t="s">
        <v>42</v>
      </c>
      <c r="Q285" t="s">
        <v>23</v>
      </c>
      <c r="R285" s="66">
        <v>43356</v>
      </c>
      <c r="S285" s="6">
        <f>DataTable[HLD_MaturityDate] - DataTable[SEC_Issue_Date]</f>
        <v>91</v>
      </c>
      <c r="T285" s="66" t="str">
        <f>DataTable[HLD_Portfolio]&amp;DataTable[HLD_Date]</f>
        <v>SCBTMF43383</v>
      </c>
      <c r="W285" t="b">
        <f>DataTable[HLD_SecCode]="CB18O18A"</f>
        <v>0</v>
      </c>
    </row>
    <row r="286" spans="1:23" x14ac:dyDescent="0.2">
      <c r="A286" s="66">
        <v>43383</v>
      </c>
      <c r="B286" t="s">
        <v>140</v>
      </c>
      <c r="C286" t="s">
        <v>18</v>
      </c>
      <c r="D286" t="s">
        <v>87</v>
      </c>
      <c r="F286" t="s">
        <v>91</v>
      </c>
      <c r="G286" t="s">
        <v>89</v>
      </c>
      <c r="I286" s="66">
        <v>43454</v>
      </c>
      <c r="J286" s="6">
        <v>200517384.93000001</v>
      </c>
      <c r="L286">
        <v>200470815.24000001</v>
      </c>
      <c r="M286">
        <v>0.19125700000000001</v>
      </c>
      <c r="N286">
        <v>201000000</v>
      </c>
      <c r="O286">
        <v>1.3764179999999999</v>
      </c>
      <c r="P286" t="s">
        <v>42</v>
      </c>
      <c r="Q286" t="s">
        <v>23</v>
      </c>
      <c r="R286" s="66">
        <v>43363</v>
      </c>
      <c r="S286" s="6">
        <f>DataTable[HLD_MaturityDate] - DataTable[SEC_Issue_Date]</f>
        <v>91</v>
      </c>
      <c r="T286" s="66" t="str">
        <f>DataTable[HLD_Portfolio]&amp;DataTable[HLD_Date]</f>
        <v>SCBTMF43383</v>
      </c>
      <c r="W286" t="b">
        <f>DataTable[HLD_SecCode]="CB18O18A"</f>
        <v>0</v>
      </c>
    </row>
    <row r="287" spans="1:23" x14ac:dyDescent="0.2">
      <c r="A287" s="66">
        <v>43383</v>
      </c>
      <c r="B287" t="s">
        <v>140</v>
      </c>
      <c r="C287" t="s">
        <v>18</v>
      </c>
      <c r="D287" t="s">
        <v>87</v>
      </c>
      <c r="F287" t="s">
        <v>208</v>
      </c>
      <c r="G287" t="s">
        <v>89</v>
      </c>
      <c r="I287" s="66">
        <v>43461</v>
      </c>
      <c r="J287" s="6">
        <v>99709722</v>
      </c>
      <c r="L287">
        <v>99685818</v>
      </c>
      <c r="M287">
        <v>0.210337</v>
      </c>
      <c r="N287">
        <v>100000000</v>
      </c>
      <c r="O287">
        <v>1.494</v>
      </c>
      <c r="P287" t="s">
        <v>42</v>
      </c>
      <c r="Q287" t="s">
        <v>23</v>
      </c>
      <c r="R287" s="66">
        <v>43370</v>
      </c>
      <c r="S287" s="6">
        <f>DataTable[HLD_MaturityDate] - DataTable[SEC_Issue_Date]</f>
        <v>91</v>
      </c>
      <c r="T287" s="66" t="str">
        <f>DataTable[HLD_Portfolio]&amp;DataTable[HLD_Date]</f>
        <v>SCBTMF43383</v>
      </c>
      <c r="W287" t="b">
        <f>DataTable[HLD_SecCode]="CB18O18A"</f>
        <v>0</v>
      </c>
    </row>
    <row r="288" spans="1:23" x14ac:dyDescent="0.2">
      <c r="A288" s="66">
        <v>43383</v>
      </c>
      <c r="B288" t="s">
        <v>140</v>
      </c>
      <c r="C288" t="s">
        <v>18</v>
      </c>
      <c r="D288" t="s">
        <v>87</v>
      </c>
      <c r="F288" t="s">
        <v>209</v>
      </c>
      <c r="G288" t="s">
        <v>89</v>
      </c>
      <c r="I288" s="66">
        <v>43405</v>
      </c>
      <c r="J288" s="6">
        <v>49967658</v>
      </c>
      <c r="L288">
        <v>49967658</v>
      </c>
      <c r="M288">
        <v>5.7493000000000002E-2</v>
      </c>
      <c r="N288">
        <v>50000000</v>
      </c>
      <c r="O288">
        <v>1.125</v>
      </c>
      <c r="P288" t="s">
        <v>42</v>
      </c>
      <c r="Q288" t="s">
        <v>23</v>
      </c>
      <c r="R288" s="66">
        <v>43223</v>
      </c>
      <c r="S288" s="6">
        <f>DataTable[HLD_MaturityDate] - DataTable[SEC_Issue_Date]</f>
        <v>182</v>
      </c>
      <c r="T288" s="66" t="str">
        <f>DataTable[HLD_Portfolio]&amp;DataTable[HLD_Date]</f>
        <v>SCBTMF43383</v>
      </c>
      <c r="W288" t="b">
        <f>DataTable[HLD_SecCode]="CB18O18A"</f>
        <v>0</v>
      </c>
    </row>
    <row r="289" spans="1:23" x14ac:dyDescent="0.2">
      <c r="A289" s="66">
        <v>43383</v>
      </c>
      <c r="B289" t="s">
        <v>140</v>
      </c>
      <c r="C289" t="s">
        <v>18</v>
      </c>
      <c r="D289" t="s">
        <v>87</v>
      </c>
      <c r="F289" t="s">
        <v>92</v>
      </c>
      <c r="G289" t="s">
        <v>89</v>
      </c>
      <c r="I289" s="66">
        <v>43405</v>
      </c>
      <c r="J289" s="6">
        <v>174870213</v>
      </c>
      <c r="L289">
        <v>174869399.25</v>
      </c>
      <c r="M289">
        <v>5.7493000000000002E-2</v>
      </c>
      <c r="N289">
        <v>175000000</v>
      </c>
      <c r="O289">
        <v>1.298095</v>
      </c>
      <c r="P289" t="s">
        <v>42</v>
      </c>
      <c r="Q289" t="s">
        <v>23</v>
      </c>
      <c r="R289" s="66">
        <v>43314</v>
      </c>
      <c r="S289" s="6">
        <f>DataTable[HLD_MaturityDate] - DataTable[SEC_Issue_Date]</f>
        <v>91</v>
      </c>
      <c r="T289" s="66" t="str">
        <f>DataTable[HLD_Portfolio]&amp;DataTable[HLD_Date]</f>
        <v>SCBTMF43383</v>
      </c>
      <c r="W289" t="b">
        <f>DataTable[HLD_SecCode]="CB18O18A"</f>
        <v>0</v>
      </c>
    </row>
    <row r="290" spans="1:23" x14ac:dyDescent="0.2">
      <c r="A290" s="66">
        <v>43383</v>
      </c>
      <c r="B290" t="s">
        <v>140</v>
      </c>
      <c r="C290" t="s">
        <v>18</v>
      </c>
      <c r="D290" t="s">
        <v>87</v>
      </c>
      <c r="F290" t="s">
        <v>93</v>
      </c>
      <c r="G290" t="s">
        <v>89</v>
      </c>
      <c r="I290" s="66">
        <v>43412</v>
      </c>
      <c r="J290" s="6">
        <v>19980610.600000001</v>
      </c>
      <c r="L290">
        <v>19980610.600000001</v>
      </c>
      <c r="M290">
        <v>7.6638999999999999E-2</v>
      </c>
      <c r="N290">
        <v>20000000</v>
      </c>
      <c r="O290">
        <v>1.2649999999999999</v>
      </c>
      <c r="P290" t="s">
        <v>42</v>
      </c>
      <c r="Q290" t="s">
        <v>23</v>
      </c>
      <c r="R290" s="66">
        <v>43230</v>
      </c>
      <c r="S290" s="6">
        <f>DataTable[HLD_MaturityDate] - DataTable[SEC_Issue_Date]</f>
        <v>182</v>
      </c>
      <c r="T290" s="66" t="str">
        <f>DataTable[HLD_Portfolio]&amp;DataTable[HLD_Date]</f>
        <v>SCBTMF43383</v>
      </c>
      <c r="W290" t="b">
        <f>DataTable[HLD_SecCode]="CB18O18A"</f>
        <v>0</v>
      </c>
    </row>
    <row r="291" spans="1:23" x14ac:dyDescent="0.2">
      <c r="A291" s="66">
        <v>43383</v>
      </c>
      <c r="B291" t="s">
        <v>140</v>
      </c>
      <c r="C291" t="s">
        <v>18</v>
      </c>
      <c r="D291" t="s">
        <v>87</v>
      </c>
      <c r="F291" t="s">
        <v>94</v>
      </c>
      <c r="G291" t="s">
        <v>89</v>
      </c>
      <c r="I291" s="66">
        <v>43412</v>
      </c>
      <c r="J291" s="6">
        <v>239769012</v>
      </c>
      <c r="L291">
        <v>239767699.19999999</v>
      </c>
      <c r="M291">
        <v>7.6638999999999999E-2</v>
      </c>
      <c r="N291">
        <v>240000000</v>
      </c>
      <c r="O291">
        <v>1.2629790000000001</v>
      </c>
      <c r="P291" t="s">
        <v>42</v>
      </c>
      <c r="Q291" t="s">
        <v>23</v>
      </c>
      <c r="R291" s="66">
        <v>43321</v>
      </c>
      <c r="S291" s="6">
        <f>DataTable[HLD_MaturityDate] - DataTable[SEC_Issue_Date]</f>
        <v>91</v>
      </c>
      <c r="T291" s="66" t="str">
        <f>DataTable[HLD_Portfolio]&amp;DataTable[HLD_Date]</f>
        <v>SCBTMF43383</v>
      </c>
      <c r="W291" t="b">
        <f>DataTable[HLD_SecCode]="CB18O18A"</f>
        <v>0</v>
      </c>
    </row>
    <row r="292" spans="1:23" x14ac:dyDescent="0.2">
      <c r="A292" s="66">
        <v>43383</v>
      </c>
      <c r="B292" t="s">
        <v>140</v>
      </c>
      <c r="C292" t="s">
        <v>18</v>
      </c>
      <c r="D292" t="s">
        <v>87</v>
      </c>
      <c r="F292" t="s">
        <v>96</v>
      </c>
      <c r="G292" t="s">
        <v>89</v>
      </c>
      <c r="I292" s="66">
        <v>43419</v>
      </c>
      <c r="J292" s="6">
        <v>159806536</v>
      </c>
      <c r="L292">
        <v>159806366.40000001</v>
      </c>
      <c r="M292">
        <v>9.5776E-2</v>
      </c>
      <c r="N292">
        <v>160000000</v>
      </c>
      <c r="O292">
        <v>1.2636099999999999</v>
      </c>
      <c r="P292" t="s">
        <v>42</v>
      </c>
      <c r="Q292" t="s">
        <v>23</v>
      </c>
      <c r="R292" s="66">
        <v>43328</v>
      </c>
      <c r="S292" s="6">
        <f>DataTable[HLD_MaturityDate] - DataTable[SEC_Issue_Date]</f>
        <v>91</v>
      </c>
      <c r="T292" s="66" t="str">
        <f>DataTable[HLD_Portfolio]&amp;DataTable[HLD_Date]</f>
        <v>SCBTMF43383</v>
      </c>
      <c r="W292" t="b">
        <f>DataTable[HLD_SecCode]="CB18O18A"</f>
        <v>0</v>
      </c>
    </row>
    <row r="293" spans="1:23" x14ac:dyDescent="0.2">
      <c r="A293" s="66">
        <v>43383</v>
      </c>
      <c r="B293" t="s">
        <v>140</v>
      </c>
      <c r="C293" t="s">
        <v>18</v>
      </c>
      <c r="D293" t="s">
        <v>87</v>
      </c>
      <c r="F293" t="s">
        <v>98</v>
      </c>
      <c r="G293" t="s">
        <v>89</v>
      </c>
      <c r="I293" s="66">
        <v>43426</v>
      </c>
      <c r="J293" s="6">
        <v>447353728.63999999</v>
      </c>
      <c r="L293">
        <v>447347447.68000001</v>
      </c>
      <c r="M293">
        <v>0.114899</v>
      </c>
      <c r="N293">
        <v>448000000</v>
      </c>
      <c r="O293">
        <v>1.267692</v>
      </c>
      <c r="P293" t="s">
        <v>42</v>
      </c>
      <c r="Q293" t="s">
        <v>23</v>
      </c>
      <c r="R293" s="66">
        <v>43335</v>
      </c>
      <c r="S293" s="6">
        <f>DataTable[HLD_MaturityDate] - DataTable[SEC_Issue_Date]</f>
        <v>91</v>
      </c>
      <c r="T293" s="66" t="str">
        <f>DataTable[HLD_Portfolio]&amp;DataTable[HLD_Date]</f>
        <v>SCBTMF43383</v>
      </c>
      <c r="W293" t="b">
        <f>DataTable[HLD_SecCode]="CB18O18A"</f>
        <v>0</v>
      </c>
    </row>
    <row r="294" spans="1:23" x14ac:dyDescent="0.2">
      <c r="A294" s="66">
        <v>43383</v>
      </c>
      <c r="B294" t="s">
        <v>140</v>
      </c>
      <c r="C294" t="s">
        <v>18</v>
      </c>
      <c r="D294" t="s">
        <v>87</v>
      </c>
      <c r="F294" t="s">
        <v>99</v>
      </c>
      <c r="G294" t="s">
        <v>89</v>
      </c>
      <c r="I294" s="66">
        <v>43433</v>
      </c>
      <c r="J294" s="6">
        <v>69897719.5</v>
      </c>
      <c r="L294">
        <v>69897719.5</v>
      </c>
      <c r="M294">
        <v>0.13400799999999999</v>
      </c>
      <c r="N294">
        <v>70000000</v>
      </c>
      <c r="O294">
        <v>1.0900000000000001</v>
      </c>
      <c r="P294" t="s">
        <v>42</v>
      </c>
      <c r="Q294" t="s">
        <v>23</v>
      </c>
      <c r="R294" s="66">
        <v>43251</v>
      </c>
      <c r="S294" s="6">
        <f>DataTable[HLD_MaturityDate] - DataTable[SEC_Issue_Date]</f>
        <v>182</v>
      </c>
      <c r="T294" s="66" t="str">
        <f>DataTable[HLD_Portfolio]&amp;DataTable[HLD_Date]</f>
        <v>SCBTMF43383</v>
      </c>
      <c r="W294" t="b">
        <f>DataTable[HLD_SecCode]="CB18O18A"</f>
        <v>0</v>
      </c>
    </row>
    <row r="295" spans="1:23" x14ac:dyDescent="0.2">
      <c r="A295" s="66">
        <v>43383</v>
      </c>
      <c r="B295" t="s">
        <v>140</v>
      </c>
      <c r="C295" t="s">
        <v>18</v>
      </c>
      <c r="D295" t="s">
        <v>87</v>
      </c>
      <c r="F295" t="s">
        <v>100</v>
      </c>
      <c r="G295" t="s">
        <v>89</v>
      </c>
      <c r="I295" s="66">
        <v>43433</v>
      </c>
      <c r="J295" s="6">
        <v>199681002</v>
      </c>
      <c r="L295">
        <v>199666790</v>
      </c>
      <c r="M295">
        <v>0.13401399999999999</v>
      </c>
      <c r="N295">
        <v>200000000</v>
      </c>
      <c r="O295">
        <v>1.2431099999999999</v>
      </c>
      <c r="P295" t="s">
        <v>42</v>
      </c>
      <c r="Q295" t="s">
        <v>23</v>
      </c>
      <c r="R295" s="66">
        <v>43342</v>
      </c>
      <c r="S295" s="6">
        <f>DataTable[HLD_MaturityDate] - DataTable[SEC_Issue_Date]</f>
        <v>91</v>
      </c>
      <c r="T295" s="66" t="str">
        <f>DataTable[HLD_Portfolio]&amp;DataTable[HLD_Date]</f>
        <v>SCBTMF43383</v>
      </c>
      <c r="W295" t="b">
        <f>DataTable[HLD_SecCode]="CB18O18A"</f>
        <v>0</v>
      </c>
    </row>
    <row r="296" spans="1:23" x14ac:dyDescent="0.2">
      <c r="A296" s="66">
        <v>43383</v>
      </c>
      <c r="B296" t="s">
        <v>140</v>
      </c>
      <c r="C296" t="s">
        <v>18</v>
      </c>
      <c r="D296" t="s">
        <v>87</v>
      </c>
      <c r="F296" t="s">
        <v>101</v>
      </c>
      <c r="G296" t="s">
        <v>89</v>
      </c>
      <c r="I296" s="66">
        <v>43384</v>
      </c>
      <c r="J296" s="6">
        <v>140000000</v>
      </c>
      <c r="L296">
        <v>140000000</v>
      </c>
      <c r="M296">
        <v>2.7399999999999998E-3</v>
      </c>
      <c r="N296">
        <v>140000000</v>
      </c>
      <c r="O296">
        <v>1.1421429999999999</v>
      </c>
      <c r="P296" t="s">
        <v>42</v>
      </c>
      <c r="Q296" t="s">
        <v>23</v>
      </c>
      <c r="R296" s="66">
        <v>43202</v>
      </c>
      <c r="S296" s="6">
        <f>DataTable[HLD_MaturityDate] - DataTable[SEC_Issue_Date]</f>
        <v>182</v>
      </c>
      <c r="T296" s="66" t="str">
        <f>DataTable[HLD_Portfolio]&amp;DataTable[HLD_Date]</f>
        <v>SCBTMF43383</v>
      </c>
      <c r="W296" t="b">
        <f>DataTable[HLD_SecCode]="CB18O18A"</f>
        <v>0</v>
      </c>
    </row>
    <row r="297" spans="1:23" x14ac:dyDescent="0.2">
      <c r="A297" s="66">
        <v>43383</v>
      </c>
      <c r="B297" t="s">
        <v>140</v>
      </c>
      <c r="C297" t="s">
        <v>18</v>
      </c>
      <c r="D297" t="s">
        <v>87</v>
      </c>
      <c r="F297" t="s">
        <v>102</v>
      </c>
      <c r="G297" t="s">
        <v>89</v>
      </c>
      <c r="I297" s="66">
        <v>43384</v>
      </c>
      <c r="J297" s="6">
        <v>98000000</v>
      </c>
      <c r="L297">
        <v>98000000</v>
      </c>
      <c r="M297">
        <v>2.7399999999999998E-3</v>
      </c>
      <c r="N297">
        <v>98000000</v>
      </c>
      <c r="O297">
        <v>1.2522960000000001</v>
      </c>
      <c r="P297" t="s">
        <v>42</v>
      </c>
      <c r="Q297" t="s">
        <v>23</v>
      </c>
      <c r="R297" s="66">
        <v>43293</v>
      </c>
      <c r="S297" s="6">
        <f>DataTable[HLD_MaturityDate] - DataTable[SEC_Issue_Date]</f>
        <v>91</v>
      </c>
      <c r="T297" s="66" t="str">
        <f>DataTable[HLD_Portfolio]&amp;DataTable[HLD_Date]</f>
        <v>SCBTMF43383</v>
      </c>
      <c r="W297" t="b">
        <f>DataTable[HLD_SecCode]="CB18O18A"</f>
        <v>0</v>
      </c>
    </row>
    <row r="298" spans="1:23" x14ac:dyDescent="0.2">
      <c r="A298" s="66">
        <v>43383</v>
      </c>
      <c r="B298" t="s">
        <v>140</v>
      </c>
      <c r="C298" t="s">
        <v>18</v>
      </c>
      <c r="D298" t="s">
        <v>87</v>
      </c>
      <c r="F298" t="s">
        <v>103</v>
      </c>
      <c r="G298" t="s">
        <v>89</v>
      </c>
      <c r="I298" s="66">
        <v>43389</v>
      </c>
      <c r="J298" s="6">
        <v>579911579</v>
      </c>
      <c r="L298">
        <v>579911579</v>
      </c>
      <c r="M298">
        <v>1.3696E-2</v>
      </c>
      <c r="N298">
        <v>580000000</v>
      </c>
      <c r="O298">
        <v>1.11304</v>
      </c>
      <c r="P298" t="s">
        <v>42</v>
      </c>
      <c r="Q298" t="s">
        <v>23</v>
      </c>
      <c r="R298" s="66">
        <v>43375</v>
      </c>
      <c r="S298" s="6">
        <f>DataTable[HLD_MaturityDate] - DataTable[SEC_Issue_Date]</f>
        <v>14</v>
      </c>
      <c r="T298" s="66" t="str">
        <f>DataTable[HLD_Portfolio]&amp;DataTable[HLD_Date]</f>
        <v>SCBTMF43383</v>
      </c>
      <c r="W298" t="b">
        <f>DataTable[HLD_SecCode]="CB18O18A"</f>
        <v>0</v>
      </c>
    </row>
    <row r="299" spans="1:23" x14ac:dyDescent="0.2">
      <c r="A299" s="66">
        <v>43383</v>
      </c>
      <c r="B299" t="s">
        <v>140</v>
      </c>
      <c r="C299" t="s">
        <v>18</v>
      </c>
      <c r="D299" t="s">
        <v>87</v>
      </c>
      <c r="F299" t="s">
        <v>104</v>
      </c>
      <c r="G299" t="s">
        <v>89</v>
      </c>
      <c r="I299" s="66">
        <v>43391</v>
      </c>
      <c r="J299" s="6">
        <v>271938944.16000003</v>
      </c>
      <c r="L299">
        <v>271938944.16000003</v>
      </c>
      <c r="M299">
        <v>1.9174E-2</v>
      </c>
      <c r="N299">
        <v>272000000</v>
      </c>
      <c r="O299">
        <v>1.1707350000000001</v>
      </c>
      <c r="P299" t="s">
        <v>42</v>
      </c>
      <c r="Q299" t="s">
        <v>23</v>
      </c>
      <c r="R299" s="66">
        <v>43209</v>
      </c>
      <c r="S299" s="6">
        <f>DataTable[HLD_MaturityDate] - DataTable[SEC_Issue_Date]</f>
        <v>182</v>
      </c>
      <c r="T299" s="66" t="str">
        <f>DataTable[HLD_Portfolio]&amp;DataTable[HLD_Date]</f>
        <v>SCBTMF43383</v>
      </c>
      <c r="W299" t="b">
        <f>DataTable[HLD_SecCode]="CB18O18A"</f>
        <v>1</v>
      </c>
    </row>
    <row r="300" spans="1:23" x14ac:dyDescent="0.2">
      <c r="A300" s="66">
        <v>43383</v>
      </c>
      <c r="B300" t="s">
        <v>140</v>
      </c>
      <c r="C300" t="s">
        <v>18</v>
      </c>
      <c r="D300" t="s">
        <v>87</v>
      </c>
      <c r="F300" t="s">
        <v>105</v>
      </c>
      <c r="G300" t="s">
        <v>89</v>
      </c>
      <c r="I300" s="66">
        <v>43391</v>
      </c>
      <c r="J300" s="6">
        <v>149961462</v>
      </c>
      <c r="L300">
        <v>149960506.5</v>
      </c>
      <c r="M300">
        <v>1.9174E-2</v>
      </c>
      <c r="N300">
        <v>150000000</v>
      </c>
      <c r="O300">
        <v>1.37321</v>
      </c>
      <c r="P300" t="s">
        <v>42</v>
      </c>
      <c r="Q300" t="s">
        <v>23</v>
      </c>
      <c r="R300" s="66">
        <v>43300</v>
      </c>
      <c r="S300" s="6">
        <f>DataTable[HLD_MaturityDate] - DataTable[SEC_Issue_Date]</f>
        <v>91</v>
      </c>
      <c r="T300" s="66" t="str">
        <f>DataTable[HLD_Portfolio]&amp;DataTable[HLD_Date]</f>
        <v>SCBTMF43383</v>
      </c>
      <c r="W300" t="b">
        <f>DataTable[HLD_SecCode]="CB18O18A"</f>
        <v>0</v>
      </c>
    </row>
    <row r="301" spans="1:23" x14ac:dyDescent="0.2">
      <c r="A301" s="66">
        <v>43383</v>
      </c>
      <c r="B301" t="s">
        <v>140</v>
      </c>
      <c r="C301" t="s">
        <v>18</v>
      </c>
      <c r="D301" t="s">
        <v>87</v>
      </c>
      <c r="F301" t="s">
        <v>106</v>
      </c>
      <c r="G301" t="s">
        <v>89</v>
      </c>
      <c r="I301" s="66">
        <v>43398</v>
      </c>
      <c r="J301" s="6">
        <v>164922359.25</v>
      </c>
      <c r="L301">
        <v>164922359.25</v>
      </c>
      <c r="M301">
        <v>3.8338999999999998E-2</v>
      </c>
      <c r="N301">
        <v>165000000</v>
      </c>
      <c r="O301">
        <v>1.227368</v>
      </c>
      <c r="P301" t="s">
        <v>42</v>
      </c>
      <c r="Q301" t="s">
        <v>23</v>
      </c>
      <c r="R301" s="66">
        <v>43216</v>
      </c>
      <c r="S301" s="6">
        <f>DataTable[HLD_MaturityDate] - DataTable[SEC_Issue_Date]</f>
        <v>182</v>
      </c>
      <c r="T301" s="66" t="str">
        <f>DataTable[HLD_Portfolio]&amp;DataTable[HLD_Date]</f>
        <v>SCBTMF43383</v>
      </c>
      <c r="W301" t="b">
        <f>DataTable[HLD_SecCode]="CB18O18A"</f>
        <v>0</v>
      </c>
    </row>
    <row r="302" spans="1:23" x14ac:dyDescent="0.2">
      <c r="A302" s="66">
        <v>43383</v>
      </c>
      <c r="B302" t="s">
        <v>140</v>
      </c>
      <c r="C302" t="s">
        <v>18</v>
      </c>
      <c r="D302" t="s">
        <v>87</v>
      </c>
      <c r="F302" t="s">
        <v>108</v>
      </c>
      <c r="G302" t="s">
        <v>89</v>
      </c>
      <c r="I302" s="66">
        <v>43468</v>
      </c>
      <c r="J302" s="6">
        <v>149494258.5</v>
      </c>
      <c r="L302">
        <v>149487184.5</v>
      </c>
      <c r="M302">
        <v>0.229353</v>
      </c>
      <c r="N302">
        <v>150000000</v>
      </c>
      <c r="O302">
        <v>1.4906330000000001</v>
      </c>
      <c r="P302" t="s">
        <v>42</v>
      </c>
      <c r="Q302" t="s">
        <v>23</v>
      </c>
      <c r="R302" s="66">
        <v>43377</v>
      </c>
      <c r="S302" s="6">
        <f>DataTable[HLD_MaturityDate] - DataTable[SEC_Issue_Date]</f>
        <v>91</v>
      </c>
      <c r="T302" s="66" t="str">
        <f>DataTable[HLD_Portfolio]&amp;DataTable[HLD_Date]</f>
        <v>SCBTMF43383</v>
      </c>
      <c r="W302" t="b">
        <f>DataTable[HLD_SecCode]="CB18O18A"</f>
        <v>0</v>
      </c>
    </row>
    <row r="303" spans="1:23" x14ac:dyDescent="0.2">
      <c r="A303" s="66">
        <v>43383</v>
      </c>
      <c r="B303" t="s">
        <v>140</v>
      </c>
      <c r="C303" t="s">
        <v>18</v>
      </c>
      <c r="D303" t="s">
        <v>87</v>
      </c>
      <c r="F303" t="s">
        <v>870</v>
      </c>
      <c r="G303" t="s">
        <v>89</v>
      </c>
      <c r="I303" s="66">
        <v>43475</v>
      </c>
      <c r="J303" s="6">
        <v>199227876.94</v>
      </c>
      <c r="L303">
        <v>199227876.94</v>
      </c>
      <c r="M303">
        <v>0.25205499999999997</v>
      </c>
      <c r="N303">
        <v>200000000</v>
      </c>
      <c r="O303">
        <v>1.5544899999999999</v>
      </c>
      <c r="P303" t="s">
        <v>42</v>
      </c>
      <c r="Q303" t="s">
        <v>23</v>
      </c>
      <c r="R303" s="66">
        <v>43384</v>
      </c>
      <c r="S303" s="6">
        <f>DataTable[HLD_MaturityDate] - DataTable[SEC_Issue_Date]</f>
        <v>91</v>
      </c>
      <c r="T303" s="66" t="str">
        <f>DataTable[HLD_Portfolio]&amp;DataTable[HLD_Date]</f>
        <v>SCBTMF43383</v>
      </c>
      <c r="W303" t="b">
        <f>DataTable[HLD_SecCode]="CB18O18A"</f>
        <v>0</v>
      </c>
    </row>
    <row r="304" spans="1:23" hidden="1" x14ac:dyDescent="0.2">
      <c r="A304" s="66">
        <v>43383</v>
      </c>
      <c r="B304" t="s">
        <v>140</v>
      </c>
      <c r="C304" t="s">
        <v>129</v>
      </c>
      <c r="D304" t="s">
        <v>130</v>
      </c>
      <c r="E304" t="s">
        <v>590</v>
      </c>
      <c r="F304" t="s">
        <v>870</v>
      </c>
      <c r="I304" s="66"/>
      <c r="J304" s="6">
        <v>-199227876.94</v>
      </c>
      <c r="L304">
        <v>-199227876.94</v>
      </c>
      <c r="O304">
        <v>0</v>
      </c>
      <c r="P304" t="s">
        <v>42</v>
      </c>
      <c r="Q304" t="s">
        <v>23</v>
      </c>
      <c r="R304" s="66">
        <v>43384</v>
      </c>
      <c r="S304" s="6">
        <f>DataTable[HLD_MaturityDate] - DataTable[SEC_Issue_Date]</f>
        <v>-43384</v>
      </c>
      <c r="T304" s="66" t="str">
        <f>DataTable[HLD_Portfolio]&amp;DataTable[HLD_Date]</f>
        <v>SCBTMF43383</v>
      </c>
      <c r="W304" t="b">
        <f>DataTable[HLD_SecCode]="CB18O18A"</f>
        <v>0</v>
      </c>
    </row>
    <row r="305" spans="1:23" hidden="1" x14ac:dyDescent="0.2">
      <c r="A305" s="66">
        <v>43383</v>
      </c>
      <c r="B305" t="s">
        <v>140</v>
      </c>
      <c r="C305" t="s">
        <v>129</v>
      </c>
      <c r="D305" t="s">
        <v>131</v>
      </c>
      <c r="E305" t="s">
        <v>131</v>
      </c>
      <c r="F305" t="s">
        <v>131</v>
      </c>
      <c r="I305" s="66"/>
      <c r="J305" s="6">
        <v>-22369.97</v>
      </c>
      <c r="O305">
        <v>0</v>
      </c>
      <c r="R305" s="66"/>
      <c r="S305" s="6">
        <f>DataTable[HLD_MaturityDate] - DataTable[SEC_Issue_Date]</f>
        <v>0</v>
      </c>
      <c r="T305" s="66" t="str">
        <f>DataTable[HLD_Portfolio]&amp;DataTable[HLD_Date]</f>
        <v>SCBTMF43383</v>
      </c>
      <c r="W305" t="b">
        <f>DataTable[HLD_SecCode]="CB18O18A"</f>
        <v>0</v>
      </c>
    </row>
    <row r="306" spans="1:23" hidden="1" x14ac:dyDescent="0.2">
      <c r="A306" s="66">
        <v>43383</v>
      </c>
      <c r="B306" t="s">
        <v>140</v>
      </c>
      <c r="C306" t="s">
        <v>129</v>
      </c>
      <c r="D306" t="s">
        <v>132</v>
      </c>
      <c r="I306" s="66"/>
      <c r="J306" s="6">
        <v>-70554.539999999994</v>
      </c>
      <c r="K306">
        <v>0</v>
      </c>
      <c r="O306">
        <v>0</v>
      </c>
      <c r="R306" s="66"/>
      <c r="S306" s="6">
        <f>DataTable[HLD_MaturityDate] - DataTable[SEC_Issue_Date]</f>
        <v>0</v>
      </c>
      <c r="T306" s="66" t="str">
        <f>DataTable[HLD_Portfolio]&amp;DataTable[HLD_Date]</f>
        <v>SCBTMF43383</v>
      </c>
      <c r="W306" t="b">
        <f>DataTable[HLD_SecCode]="CB18O18A"</f>
        <v>0</v>
      </c>
    </row>
    <row r="307" spans="1:23" hidden="1" x14ac:dyDescent="0.2">
      <c r="A307" s="66">
        <v>43383</v>
      </c>
      <c r="B307" t="s">
        <v>140</v>
      </c>
      <c r="C307" t="s">
        <v>129</v>
      </c>
      <c r="D307" t="s">
        <v>134</v>
      </c>
      <c r="E307" t="s">
        <v>134</v>
      </c>
      <c r="I307" s="66"/>
      <c r="J307" s="6">
        <v>-24989.65</v>
      </c>
      <c r="L307">
        <v>-24989.65</v>
      </c>
      <c r="O307">
        <v>0</v>
      </c>
      <c r="R307" s="66"/>
      <c r="S307" s="6">
        <f>DataTable[HLD_MaturityDate] - DataTable[SEC_Issue_Date]</f>
        <v>0</v>
      </c>
      <c r="T307" s="66" t="str">
        <f>DataTable[HLD_Portfolio]&amp;DataTable[HLD_Date]</f>
        <v>SCBTMF43383</v>
      </c>
      <c r="W307" t="b">
        <f>DataTable[HLD_SecCode]="CB18O18A"</f>
        <v>0</v>
      </c>
    </row>
    <row r="308" spans="1:23" hidden="1" x14ac:dyDescent="0.2">
      <c r="A308" s="66">
        <v>43383</v>
      </c>
      <c r="B308" t="s">
        <v>140</v>
      </c>
      <c r="C308" t="s">
        <v>129</v>
      </c>
      <c r="D308" t="s">
        <v>133</v>
      </c>
      <c r="E308" t="s">
        <v>133</v>
      </c>
      <c r="F308" t="s">
        <v>133</v>
      </c>
      <c r="I308" s="66"/>
      <c r="J308" s="6">
        <v>-4182.17</v>
      </c>
      <c r="O308">
        <v>0</v>
      </c>
      <c r="R308" s="66"/>
      <c r="S308" s="6">
        <f>DataTable[HLD_MaturityDate] - DataTable[SEC_Issue_Date]</f>
        <v>0</v>
      </c>
      <c r="T308" s="66" t="str">
        <f>DataTable[HLD_Portfolio]&amp;DataTable[HLD_Date]</f>
        <v>SCBTMF43383</v>
      </c>
      <c r="W308" t="b">
        <f>DataTable[HLD_SecCode]="CB18O18A"</f>
        <v>0</v>
      </c>
    </row>
    <row r="309" spans="1:23" hidden="1" x14ac:dyDescent="0.2">
      <c r="A309" s="66">
        <v>43383</v>
      </c>
      <c r="B309" t="s">
        <v>140</v>
      </c>
      <c r="C309" t="s">
        <v>129</v>
      </c>
      <c r="D309" t="s">
        <v>133</v>
      </c>
      <c r="E309" t="s">
        <v>133</v>
      </c>
      <c r="F309" t="s">
        <v>133</v>
      </c>
      <c r="I309" s="66"/>
      <c r="J309" s="6">
        <v>-1416.5</v>
      </c>
      <c r="O309">
        <v>0</v>
      </c>
      <c r="R309" s="66"/>
      <c r="S309" s="6">
        <f>DataTable[HLD_MaturityDate] - DataTable[SEC_Issue_Date]</f>
        <v>0</v>
      </c>
      <c r="T309" s="66" t="str">
        <f>DataTable[HLD_Portfolio]&amp;DataTable[HLD_Date]</f>
        <v>SCBTMF43383</v>
      </c>
      <c r="W309" t="b">
        <f>DataTable[HLD_SecCode]="CB18O18A"</f>
        <v>0</v>
      </c>
    </row>
    <row r="310" spans="1:23" hidden="1" x14ac:dyDescent="0.2">
      <c r="A310" s="66">
        <v>43383</v>
      </c>
      <c r="B310" t="s">
        <v>140</v>
      </c>
      <c r="C310" t="s">
        <v>129</v>
      </c>
      <c r="D310" t="s">
        <v>135</v>
      </c>
      <c r="E310" t="s">
        <v>135</v>
      </c>
      <c r="I310" s="66"/>
      <c r="J310" s="6">
        <v>-722406.34</v>
      </c>
      <c r="L310">
        <v>-722406.34</v>
      </c>
      <c r="O310">
        <v>0</v>
      </c>
      <c r="R310" s="66"/>
      <c r="S310" s="6">
        <f>DataTable[HLD_MaturityDate] - DataTable[SEC_Issue_Date]</f>
        <v>0</v>
      </c>
      <c r="T310" s="66" t="str">
        <f>DataTable[HLD_Portfolio]&amp;DataTable[HLD_Date]</f>
        <v>SCBTMF43383</v>
      </c>
      <c r="W310" t="b">
        <f>DataTable[HLD_SecCode]="CB18O18A"</f>
        <v>0</v>
      </c>
    </row>
    <row r="311" spans="1:23" hidden="1" x14ac:dyDescent="0.2">
      <c r="A311" s="66">
        <v>43383</v>
      </c>
      <c r="B311" t="s">
        <v>140</v>
      </c>
      <c r="C311" t="s">
        <v>129</v>
      </c>
      <c r="D311" t="s">
        <v>136</v>
      </c>
      <c r="E311" t="s">
        <v>136</v>
      </c>
      <c r="I311" s="66"/>
      <c r="J311" s="6">
        <v>0</v>
      </c>
      <c r="L311">
        <v>0</v>
      </c>
      <c r="O311">
        <v>0</v>
      </c>
      <c r="R311" s="66"/>
      <c r="S311" s="6">
        <f>DataTable[HLD_MaturityDate] - DataTable[SEC_Issue_Date]</f>
        <v>0</v>
      </c>
      <c r="T311" s="66" t="str">
        <f>DataTable[HLD_Portfolio]&amp;DataTable[HLD_Date]</f>
        <v>SCBTMF43383</v>
      </c>
      <c r="W311" t="b">
        <f>DataTable[HLD_SecCode]="CB18O18A"</f>
        <v>0</v>
      </c>
    </row>
    <row r="312" spans="1:23" hidden="1" x14ac:dyDescent="0.2">
      <c r="A312" s="66">
        <v>43383</v>
      </c>
      <c r="B312" t="s">
        <v>140</v>
      </c>
      <c r="C312" t="s">
        <v>137</v>
      </c>
      <c r="D312" t="s">
        <v>134</v>
      </c>
      <c r="E312" t="s">
        <v>134</v>
      </c>
      <c r="I312" s="66"/>
      <c r="J312" s="6">
        <v>-2719.2</v>
      </c>
      <c r="L312">
        <v>-2719.2</v>
      </c>
      <c r="O312">
        <v>0</v>
      </c>
      <c r="R312" s="66"/>
      <c r="S312" s="6">
        <f>DataTable[HLD_MaturityDate] - DataTable[SEC_Issue_Date]</f>
        <v>0</v>
      </c>
      <c r="T312" s="66" t="str">
        <f>DataTable[HLD_Portfolio]&amp;DataTable[HLD_Date]</f>
        <v>SCBTMF43383</v>
      </c>
      <c r="W312" t="b">
        <f>DataTable[HLD_SecCode]="CB18O18A"</f>
        <v>0</v>
      </c>
    </row>
    <row r="313" spans="1:23" hidden="1" x14ac:dyDescent="0.2">
      <c r="A313" s="66">
        <v>43383</v>
      </c>
      <c r="B313" t="s">
        <v>140</v>
      </c>
      <c r="C313" t="s">
        <v>137</v>
      </c>
      <c r="D313" t="s">
        <v>135</v>
      </c>
      <c r="E313" t="s">
        <v>135</v>
      </c>
      <c r="I313" s="66"/>
      <c r="J313" s="6">
        <v>-78607.3</v>
      </c>
      <c r="L313">
        <v>-78607.3</v>
      </c>
      <c r="O313">
        <v>0</v>
      </c>
      <c r="R313" s="66"/>
      <c r="S313" s="6">
        <f>DataTable[HLD_MaturityDate] - DataTable[SEC_Issue_Date]</f>
        <v>0</v>
      </c>
      <c r="T313" s="66" t="str">
        <f>DataTable[HLD_Portfolio]&amp;DataTable[HLD_Date]</f>
        <v>SCBTMF43383</v>
      </c>
      <c r="W313" t="b">
        <f>DataTable[HLD_SecCode]="CB18O18A"</f>
        <v>0</v>
      </c>
    </row>
    <row r="314" spans="1:23" hidden="1" x14ac:dyDescent="0.2">
      <c r="A314" s="66">
        <v>43383</v>
      </c>
      <c r="B314" t="s">
        <v>140</v>
      </c>
      <c r="C314" t="s">
        <v>137</v>
      </c>
      <c r="D314" t="s">
        <v>136</v>
      </c>
      <c r="E314" t="s">
        <v>136</v>
      </c>
      <c r="I314" s="66"/>
      <c r="J314" s="6">
        <v>0</v>
      </c>
      <c r="L314">
        <v>0</v>
      </c>
      <c r="O314">
        <v>0</v>
      </c>
      <c r="R314" s="66"/>
      <c r="S314" s="6">
        <f>DataTable[HLD_MaturityDate] - DataTable[SEC_Issue_Date]</f>
        <v>0</v>
      </c>
      <c r="T314" s="66" t="str">
        <f>DataTable[HLD_Portfolio]&amp;DataTable[HLD_Date]</f>
        <v>SCBTMF43383</v>
      </c>
      <c r="W314" t="b">
        <f>DataTable[HLD_SecCode]="CB18O18A"</f>
        <v>0</v>
      </c>
    </row>
    <row r="315" spans="1:23" hidden="1" x14ac:dyDescent="0.2">
      <c r="A315" s="66">
        <v>43383</v>
      </c>
      <c r="B315" t="s">
        <v>141</v>
      </c>
      <c r="C315" t="s">
        <v>18</v>
      </c>
      <c r="D315" t="s">
        <v>19</v>
      </c>
      <c r="F315" t="s">
        <v>20</v>
      </c>
      <c r="G315" t="s">
        <v>146</v>
      </c>
      <c r="I315" s="66"/>
      <c r="J315" s="6">
        <v>2607249.7200000002</v>
      </c>
      <c r="K315">
        <v>6103.27</v>
      </c>
      <c r="L315">
        <v>2607249.7200000002</v>
      </c>
      <c r="M315">
        <v>0</v>
      </c>
      <c r="N315">
        <v>0</v>
      </c>
      <c r="O315">
        <v>0</v>
      </c>
      <c r="P315" t="s">
        <v>22</v>
      </c>
      <c r="Q315" t="s">
        <v>23</v>
      </c>
      <c r="R315" s="66">
        <v>2</v>
      </c>
      <c r="S315" s="6">
        <f>DataTable[HLD_MaturityDate] - DataTable[SEC_Issue_Date]</f>
        <v>-2</v>
      </c>
      <c r="T315" s="66" t="str">
        <f>DataTable[HLD_Portfolio]&amp;DataTable[HLD_Date]</f>
        <v>SCBTMFPLUS43383</v>
      </c>
      <c r="W315" t="b">
        <f>DataTable[HLD_SecCode]="CB18O18A"</f>
        <v>0</v>
      </c>
    </row>
    <row r="316" spans="1:23" hidden="1" x14ac:dyDescent="0.2">
      <c r="A316" s="66">
        <v>43383</v>
      </c>
      <c r="B316" t="s">
        <v>141</v>
      </c>
      <c r="C316" t="s">
        <v>18</v>
      </c>
      <c r="D316" t="s">
        <v>38</v>
      </c>
      <c r="F316" t="s">
        <v>311</v>
      </c>
      <c r="G316" t="s">
        <v>58</v>
      </c>
      <c r="H316" t="s">
        <v>59</v>
      </c>
      <c r="I316" s="66">
        <v>43441</v>
      </c>
      <c r="J316" s="6">
        <v>150000000</v>
      </c>
      <c r="K316">
        <v>2018630.14</v>
      </c>
      <c r="L316">
        <v>150000000</v>
      </c>
      <c r="M316">
        <v>0.158501</v>
      </c>
      <c r="N316">
        <v>150000000</v>
      </c>
      <c r="O316">
        <v>1.6</v>
      </c>
      <c r="P316" t="s">
        <v>42</v>
      </c>
      <c r="Q316" t="s">
        <v>23</v>
      </c>
      <c r="R316" s="66">
        <v>43077</v>
      </c>
      <c r="S316" s="6">
        <f>DataTable[HLD_MaturityDate] - DataTable[SEC_Issue_Date]</f>
        <v>364</v>
      </c>
      <c r="T316" s="66" t="str">
        <f>DataTable[HLD_Portfolio]&amp;DataTable[HLD_Date]</f>
        <v>SCBTMFPLUS43383</v>
      </c>
      <c r="W316" t="b">
        <f>DataTable[HLD_SecCode]="CB18O18A"</f>
        <v>0</v>
      </c>
    </row>
    <row r="317" spans="1:23" hidden="1" x14ac:dyDescent="0.2">
      <c r="A317" s="66">
        <v>43383</v>
      </c>
      <c r="B317" t="s">
        <v>141</v>
      </c>
      <c r="C317" t="s">
        <v>18</v>
      </c>
      <c r="D317" t="s">
        <v>38</v>
      </c>
      <c r="F317" t="s">
        <v>308</v>
      </c>
      <c r="G317" t="s">
        <v>58</v>
      </c>
      <c r="H317" t="s">
        <v>59</v>
      </c>
      <c r="I317" s="66">
        <v>43564</v>
      </c>
      <c r="J317" s="6">
        <v>120000000</v>
      </c>
      <c r="K317">
        <v>912328.77</v>
      </c>
      <c r="L317">
        <v>120000000</v>
      </c>
      <c r="M317">
        <v>0.49225600000000003</v>
      </c>
      <c r="N317">
        <v>120000000</v>
      </c>
      <c r="O317">
        <v>1.5</v>
      </c>
      <c r="P317" t="s">
        <v>42</v>
      </c>
      <c r="Q317" t="s">
        <v>23</v>
      </c>
      <c r="R317" s="66">
        <v>43199</v>
      </c>
      <c r="S317" s="6">
        <f>DataTable[HLD_MaturityDate] - DataTable[SEC_Issue_Date]</f>
        <v>365</v>
      </c>
      <c r="T317" s="66" t="str">
        <f>DataTable[HLD_Portfolio]&amp;DataTable[HLD_Date]</f>
        <v>SCBTMFPLUS43383</v>
      </c>
      <c r="W317" t="b">
        <f>DataTable[HLD_SecCode]="CB18O18A"</f>
        <v>0</v>
      </c>
    </row>
    <row r="318" spans="1:23" hidden="1" x14ac:dyDescent="0.2">
      <c r="A318" s="66">
        <v>43383</v>
      </c>
      <c r="B318" t="s">
        <v>141</v>
      </c>
      <c r="C318" t="s">
        <v>18</v>
      </c>
      <c r="D318" t="s">
        <v>38</v>
      </c>
      <c r="F318" t="s">
        <v>61</v>
      </c>
      <c r="G318" t="s">
        <v>58</v>
      </c>
      <c r="H318" t="s">
        <v>59</v>
      </c>
      <c r="I318" s="66">
        <v>43686</v>
      </c>
      <c r="J318" s="6">
        <v>60000000</v>
      </c>
      <c r="K318">
        <v>176054.79</v>
      </c>
      <c r="L318">
        <v>60000000</v>
      </c>
      <c r="M318">
        <v>0.81861799999999996</v>
      </c>
      <c r="N318">
        <v>60000000</v>
      </c>
      <c r="O318">
        <v>1.7</v>
      </c>
      <c r="P318" t="s">
        <v>42</v>
      </c>
      <c r="Q318" t="s">
        <v>23</v>
      </c>
      <c r="R318" s="66">
        <v>43321</v>
      </c>
      <c r="S318" s="6">
        <f>DataTable[HLD_MaturityDate] - DataTable[SEC_Issue_Date]</f>
        <v>365</v>
      </c>
      <c r="T318" s="66" t="str">
        <f>DataTable[HLD_Portfolio]&amp;DataTable[HLD_Date]</f>
        <v>SCBTMFPLUS43383</v>
      </c>
      <c r="W318" t="b">
        <f>DataTable[HLD_SecCode]="CB18O18A"</f>
        <v>0</v>
      </c>
    </row>
    <row r="319" spans="1:23" hidden="1" x14ac:dyDescent="0.2">
      <c r="A319" s="66">
        <v>43383</v>
      </c>
      <c r="B319" t="s">
        <v>141</v>
      </c>
      <c r="C319" t="s">
        <v>18</v>
      </c>
      <c r="D319" t="s">
        <v>38</v>
      </c>
      <c r="F319" t="s">
        <v>65</v>
      </c>
      <c r="G319" t="s">
        <v>58</v>
      </c>
      <c r="H319" t="s">
        <v>59</v>
      </c>
      <c r="I319" s="66">
        <v>43483</v>
      </c>
      <c r="J319" s="6">
        <v>50000000</v>
      </c>
      <c r="K319">
        <v>583013.69999999995</v>
      </c>
      <c r="L319">
        <v>50000000</v>
      </c>
      <c r="M319">
        <v>0.27277699999999999</v>
      </c>
      <c r="N319">
        <v>50000000</v>
      </c>
      <c r="O319">
        <v>1.6</v>
      </c>
      <c r="P319" t="s">
        <v>42</v>
      </c>
      <c r="Q319" t="s">
        <v>23</v>
      </c>
      <c r="R319" s="66">
        <v>43118</v>
      </c>
      <c r="S319" s="6">
        <f>DataTable[HLD_MaturityDate] - DataTable[SEC_Issue_Date]</f>
        <v>365</v>
      </c>
      <c r="T319" s="66" t="str">
        <f>DataTable[HLD_Portfolio]&amp;DataTable[HLD_Date]</f>
        <v>SCBTMFPLUS43383</v>
      </c>
      <c r="W319" t="b">
        <f>DataTable[HLD_SecCode]="CB18O18A"</f>
        <v>0</v>
      </c>
    </row>
    <row r="320" spans="1:23" hidden="1" x14ac:dyDescent="0.2">
      <c r="A320" s="66">
        <v>43383</v>
      </c>
      <c r="B320" t="s">
        <v>141</v>
      </c>
      <c r="C320" t="s">
        <v>18</v>
      </c>
      <c r="D320" t="s">
        <v>38</v>
      </c>
      <c r="F320" t="s">
        <v>177</v>
      </c>
      <c r="G320" t="s">
        <v>58</v>
      </c>
      <c r="H320" t="s">
        <v>59</v>
      </c>
      <c r="I320" s="66">
        <v>43672</v>
      </c>
      <c r="J320" s="6">
        <v>200000000</v>
      </c>
      <c r="K320">
        <v>717260.27</v>
      </c>
      <c r="L320">
        <v>200000000</v>
      </c>
      <c r="M320">
        <v>0.78130100000000002</v>
      </c>
      <c r="N320">
        <v>200000000</v>
      </c>
      <c r="O320">
        <v>1.7</v>
      </c>
      <c r="P320" t="s">
        <v>42</v>
      </c>
      <c r="Q320" t="s">
        <v>23</v>
      </c>
      <c r="R320" s="66">
        <v>43307</v>
      </c>
      <c r="S320" s="6">
        <f>DataTable[HLD_MaturityDate] - DataTable[SEC_Issue_Date]</f>
        <v>365</v>
      </c>
      <c r="T320" s="66" t="str">
        <f>DataTable[HLD_Portfolio]&amp;DataTable[HLD_Date]</f>
        <v>SCBTMFPLUS43383</v>
      </c>
      <c r="W320" t="b">
        <f>DataTable[HLD_SecCode]="CB18O18A"</f>
        <v>0</v>
      </c>
    </row>
    <row r="321" spans="1:23" hidden="1" x14ac:dyDescent="0.2">
      <c r="A321" s="66">
        <v>43383</v>
      </c>
      <c r="B321" t="s">
        <v>141</v>
      </c>
      <c r="C321" t="s">
        <v>18</v>
      </c>
      <c r="D321" t="s">
        <v>38</v>
      </c>
      <c r="F321" t="s">
        <v>312</v>
      </c>
      <c r="G321" t="s">
        <v>73</v>
      </c>
      <c r="H321" t="s">
        <v>27</v>
      </c>
      <c r="I321" s="66">
        <v>55153</v>
      </c>
      <c r="J321" s="6">
        <v>2041</v>
      </c>
      <c r="K321">
        <v>2.14</v>
      </c>
      <c r="L321">
        <v>2041</v>
      </c>
      <c r="M321">
        <v>0</v>
      </c>
      <c r="N321">
        <v>2041</v>
      </c>
      <c r="O321">
        <v>0</v>
      </c>
      <c r="P321" t="s">
        <v>42</v>
      </c>
      <c r="Q321" t="s">
        <v>23</v>
      </c>
      <c r="R321" s="66">
        <v>41247</v>
      </c>
      <c r="S321" s="6">
        <f>DataTable[HLD_MaturityDate] - DataTable[SEC_Issue_Date]</f>
        <v>13906</v>
      </c>
      <c r="T321" s="66" t="str">
        <f>DataTable[HLD_Portfolio]&amp;DataTable[HLD_Date]</f>
        <v>SCBTMFPLUS43383</v>
      </c>
      <c r="W321" t="b">
        <f>DataTable[HLD_SecCode]="CB18O18A"</f>
        <v>0</v>
      </c>
    </row>
    <row r="322" spans="1:23" hidden="1" x14ac:dyDescent="0.2">
      <c r="A322" s="66">
        <v>43383</v>
      </c>
      <c r="B322" t="s">
        <v>141</v>
      </c>
      <c r="C322" t="s">
        <v>18</v>
      </c>
      <c r="D322" t="s">
        <v>38</v>
      </c>
      <c r="F322" t="s">
        <v>313</v>
      </c>
      <c r="G322" t="s">
        <v>75</v>
      </c>
      <c r="H322" t="s">
        <v>59</v>
      </c>
      <c r="I322" s="66">
        <v>44196</v>
      </c>
      <c r="J322" s="6">
        <v>21816728.559999999</v>
      </c>
      <c r="K322">
        <v>128508.5</v>
      </c>
      <c r="L322">
        <v>21816728.559999999</v>
      </c>
      <c r="M322">
        <v>0</v>
      </c>
      <c r="N322">
        <v>21816728.559999999</v>
      </c>
      <c r="O322">
        <v>0</v>
      </c>
      <c r="P322" t="s">
        <v>42</v>
      </c>
      <c r="Q322" t="s">
        <v>23</v>
      </c>
      <c r="R322" s="66">
        <v>41164</v>
      </c>
      <c r="S322" s="6">
        <f>DataTable[HLD_MaturityDate] - DataTable[SEC_Issue_Date]</f>
        <v>3032</v>
      </c>
      <c r="T322" s="66" t="str">
        <f>DataTable[HLD_Portfolio]&amp;DataTable[HLD_Date]</f>
        <v>SCBTMFPLUS43383</v>
      </c>
      <c r="W322" t="b">
        <f>DataTable[HLD_SecCode]="CB18O18A"</f>
        <v>0</v>
      </c>
    </row>
    <row r="323" spans="1:23" x14ac:dyDescent="0.2">
      <c r="A323" s="66">
        <v>43383</v>
      </c>
      <c r="B323" t="s">
        <v>141</v>
      </c>
      <c r="C323" t="s">
        <v>18</v>
      </c>
      <c r="D323" t="s">
        <v>83</v>
      </c>
      <c r="F323" t="s">
        <v>84</v>
      </c>
      <c r="G323" t="s">
        <v>85</v>
      </c>
      <c r="H323" t="s">
        <v>29</v>
      </c>
      <c r="I323" s="66">
        <v>43418</v>
      </c>
      <c r="J323" s="6">
        <v>67922809.799999997</v>
      </c>
      <c r="L323">
        <v>67922809.799999997</v>
      </c>
      <c r="M323">
        <v>9.3044000000000002E-2</v>
      </c>
      <c r="N323">
        <v>68000000</v>
      </c>
      <c r="O323">
        <v>1.22</v>
      </c>
      <c r="P323" t="s">
        <v>42</v>
      </c>
      <c r="Q323" t="s">
        <v>23</v>
      </c>
      <c r="R323" s="66">
        <v>43054</v>
      </c>
      <c r="S323" s="6">
        <f>DataTable[HLD_MaturityDate] - DataTable[SEC_Issue_Date]</f>
        <v>364</v>
      </c>
      <c r="T323" s="66" t="str">
        <f>DataTable[HLD_Portfolio]&amp;DataTable[HLD_Date]</f>
        <v>SCBTMFPLUS43383</v>
      </c>
      <c r="W323" t="b">
        <f>DataTable[HLD_SecCode]="CB18O18A"</f>
        <v>0</v>
      </c>
    </row>
    <row r="324" spans="1:23" x14ac:dyDescent="0.2">
      <c r="A324" s="66">
        <v>43383</v>
      </c>
      <c r="B324" t="s">
        <v>141</v>
      </c>
      <c r="C324" t="s">
        <v>18</v>
      </c>
      <c r="D324" t="s">
        <v>87</v>
      </c>
      <c r="F324" t="s">
        <v>314</v>
      </c>
      <c r="G324" t="s">
        <v>89</v>
      </c>
      <c r="I324" s="66">
        <v>43440</v>
      </c>
      <c r="J324" s="6">
        <v>49899708.5</v>
      </c>
      <c r="L324">
        <v>49899708.5</v>
      </c>
      <c r="M324">
        <v>0.15307200000000001</v>
      </c>
      <c r="N324">
        <v>50000000</v>
      </c>
      <c r="O324">
        <v>1.31</v>
      </c>
      <c r="P324" t="s">
        <v>42</v>
      </c>
      <c r="Q324" t="s">
        <v>23</v>
      </c>
      <c r="R324" s="66">
        <v>43076</v>
      </c>
      <c r="S324" s="6">
        <f>DataTable[HLD_MaturityDate] - DataTable[SEC_Issue_Date]</f>
        <v>364</v>
      </c>
      <c r="T324" s="66" t="str">
        <f>DataTable[HLD_Portfolio]&amp;DataTable[HLD_Date]</f>
        <v>SCBTMFPLUS43383</v>
      </c>
      <c r="W324" t="b">
        <f>DataTable[HLD_SecCode]="CB18O18A"</f>
        <v>0</v>
      </c>
    </row>
    <row r="325" spans="1:23" x14ac:dyDescent="0.2">
      <c r="A325" s="66">
        <v>43383</v>
      </c>
      <c r="B325" t="s">
        <v>141</v>
      </c>
      <c r="C325" t="s">
        <v>18</v>
      </c>
      <c r="D325" t="s">
        <v>87</v>
      </c>
      <c r="F325" t="s">
        <v>88</v>
      </c>
      <c r="G325" t="s">
        <v>89</v>
      </c>
      <c r="I325" s="66">
        <v>43440</v>
      </c>
      <c r="J325" s="6">
        <v>998009450</v>
      </c>
      <c r="L325">
        <v>997944340</v>
      </c>
      <c r="M325">
        <v>0.153115</v>
      </c>
      <c r="N325">
        <v>1000000000</v>
      </c>
      <c r="O325">
        <v>1.3426119999999999</v>
      </c>
      <c r="P325" t="s">
        <v>42</v>
      </c>
      <c r="Q325" t="s">
        <v>23</v>
      </c>
      <c r="R325" s="66">
        <v>43349</v>
      </c>
      <c r="S325" s="6">
        <f>DataTable[HLD_MaturityDate] - DataTable[SEC_Issue_Date]</f>
        <v>91</v>
      </c>
      <c r="T325" s="66" t="str">
        <f>DataTable[HLD_Portfolio]&amp;DataTable[HLD_Date]</f>
        <v>SCBTMFPLUS43383</v>
      </c>
      <c r="W325" t="b">
        <f>DataTable[HLD_SecCode]="CB18O18A"</f>
        <v>0</v>
      </c>
    </row>
    <row r="326" spans="1:23" x14ac:dyDescent="0.2">
      <c r="A326" s="66">
        <v>43383</v>
      </c>
      <c r="B326" t="s">
        <v>141</v>
      </c>
      <c r="C326" t="s">
        <v>18</v>
      </c>
      <c r="D326" t="s">
        <v>87</v>
      </c>
      <c r="F326" t="s">
        <v>90</v>
      </c>
      <c r="G326" t="s">
        <v>89</v>
      </c>
      <c r="I326" s="66">
        <v>43447</v>
      </c>
      <c r="J326" s="6">
        <v>958042281.60000002</v>
      </c>
      <c r="L326">
        <v>958026912</v>
      </c>
      <c r="M326">
        <v>0.17219100000000001</v>
      </c>
      <c r="N326">
        <v>960000000</v>
      </c>
      <c r="O326">
        <v>1.193222</v>
      </c>
      <c r="P326" t="s">
        <v>42</v>
      </c>
      <c r="Q326" t="s">
        <v>23</v>
      </c>
      <c r="R326" s="66">
        <v>43356</v>
      </c>
      <c r="S326" s="6">
        <f>DataTable[HLD_MaturityDate] - DataTable[SEC_Issue_Date]</f>
        <v>91</v>
      </c>
      <c r="T326" s="66" t="str">
        <f>DataTable[HLD_Portfolio]&amp;DataTable[HLD_Date]</f>
        <v>SCBTMFPLUS43383</v>
      </c>
      <c r="W326" t="b">
        <f>DataTable[HLD_SecCode]="CB18O18A"</f>
        <v>0</v>
      </c>
    </row>
    <row r="327" spans="1:23" x14ac:dyDescent="0.2">
      <c r="A327" s="66">
        <v>43383</v>
      </c>
      <c r="B327" t="s">
        <v>141</v>
      </c>
      <c r="C327" t="s">
        <v>18</v>
      </c>
      <c r="D327" t="s">
        <v>87</v>
      </c>
      <c r="F327" t="s">
        <v>91</v>
      </c>
      <c r="G327" t="s">
        <v>89</v>
      </c>
      <c r="I327" s="66">
        <v>43454</v>
      </c>
      <c r="J327" s="6">
        <v>598559358</v>
      </c>
      <c r="L327">
        <v>598419702</v>
      </c>
      <c r="M327">
        <v>0.19125700000000001</v>
      </c>
      <c r="N327">
        <v>600000000</v>
      </c>
      <c r="O327">
        <v>1.3769830000000001</v>
      </c>
      <c r="P327" t="s">
        <v>42</v>
      </c>
      <c r="Q327" t="s">
        <v>23</v>
      </c>
      <c r="R327" s="66">
        <v>43363</v>
      </c>
      <c r="S327" s="6">
        <f>DataTable[HLD_MaturityDate] - DataTable[SEC_Issue_Date]</f>
        <v>91</v>
      </c>
      <c r="T327" s="66" t="str">
        <f>DataTable[HLD_Portfolio]&amp;DataTable[HLD_Date]</f>
        <v>SCBTMFPLUS43383</v>
      </c>
      <c r="W327" t="b">
        <f>DataTable[HLD_SecCode]="CB18O18A"</f>
        <v>0</v>
      </c>
    </row>
    <row r="328" spans="1:23" x14ac:dyDescent="0.2">
      <c r="A328" s="66">
        <v>43383</v>
      </c>
      <c r="B328" t="s">
        <v>141</v>
      </c>
      <c r="C328" t="s">
        <v>18</v>
      </c>
      <c r="D328" t="s">
        <v>87</v>
      </c>
      <c r="F328" t="s">
        <v>208</v>
      </c>
      <c r="G328" t="s">
        <v>89</v>
      </c>
      <c r="I328" s="66">
        <v>43461</v>
      </c>
      <c r="J328" s="6">
        <v>847532637</v>
      </c>
      <c r="L328">
        <v>847405766</v>
      </c>
      <c r="M328">
        <v>0.210337</v>
      </c>
      <c r="N328">
        <v>850000000</v>
      </c>
      <c r="O328">
        <v>1.451176</v>
      </c>
      <c r="P328" t="s">
        <v>42</v>
      </c>
      <c r="Q328" t="s">
        <v>23</v>
      </c>
      <c r="R328" s="66">
        <v>43370</v>
      </c>
      <c r="S328" s="6">
        <f>DataTable[HLD_MaturityDate] - DataTable[SEC_Issue_Date]</f>
        <v>91</v>
      </c>
      <c r="T328" s="66" t="str">
        <f>DataTable[HLD_Portfolio]&amp;DataTable[HLD_Date]</f>
        <v>SCBTMFPLUS43383</v>
      </c>
      <c r="W328" t="b">
        <f>DataTable[HLD_SecCode]="CB18O18A"</f>
        <v>0</v>
      </c>
    </row>
    <row r="329" spans="1:23" x14ac:dyDescent="0.2">
      <c r="A329" s="66">
        <v>43383</v>
      </c>
      <c r="B329" t="s">
        <v>141</v>
      </c>
      <c r="C329" t="s">
        <v>18</v>
      </c>
      <c r="D329" t="s">
        <v>87</v>
      </c>
      <c r="F329" t="s">
        <v>209</v>
      </c>
      <c r="G329" t="s">
        <v>89</v>
      </c>
      <c r="I329" s="66">
        <v>43405</v>
      </c>
      <c r="J329" s="6">
        <v>201856812.30000001</v>
      </c>
      <c r="L329">
        <v>201856812.30000001</v>
      </c>
      <c r="M329">
        <v>5.7493000000000002E-2</v>
      </c>
      <c r="N329">
        <v>202000000</v>
      </c>
      <c r="O329">
        <v>1.2329209999999999</v>
      </c>
      <c r="P329" t="s">
        <v>42</v>
      </c>
      <c r="Q329" t="s">
        <v>23</v>
      </c>
      <c r="R329" s="66">
        <v>43223</v>
      </c>
      <c r="S329" s="6">
        <f>DataTable[HLD_MaturityDate] - DataTable[SEC_Issue_Date]</f>
        <v>182</v>
      </c>
      <c r="T329" s="66" t="str">
        <f>DataTable[HLD_Portfolio]&amp;DataTable[HLD_Date]</f>
        <v>SCBTMFPLUS43383</v>
      </c>
      <c r="W329" t="b">
        <f>DataTable[HLD_SecCode]="CB18O18A"</f>
        <v>0</v>
      </c>
    </row>
    <row r="330" spans="1:23" x14ac:dyDescent="0.2">
      <c r="A330" s="66">
        <v>43383</v>
      </c>
      <c r="B330" t="s">
        <v>141</v>
      </c>
      <c r="C330" t="s">
        <v>18</v>
      </c>
      <c r="D330" t="s">
        <v>87</v>
      </c>
      <c r="F330" t="s">
        <v>92</v>
      </c>
      <c r="G330" t="s">
        <v>89</v>
      </c>
      <c r="I330" s="66">
        <v>43405</v>
      </c>
      <c r="J330" s="6">
        <v>1339029009.2</v>
      </c>
      <c r="L330">
        <v>1339024399.5999999</v>
      </c>
      <c r="M330">
        <v>5.7493000000000002E-2</v>
      </c>
      <c r="N330">
        <v>1340000000</v>
      </c>
      <c r="O330">
        <v>1.266359</v>
      </c>
      <c r="P330" t="s">
        <v>42</v>
      </c>
      <c r="Q330" t="s">
        <v>23</v>
      </c>
      <c r="R330" s="66">
        <v>43314</v>
      </c>
      <c r="S330" s="6">
        <f>DataTable[HLD_MaturityDate] - DataTable[SEC_Issue_Date]</f>
        <v>91</v>
      </c>
      <c r="T330" s="66" t="str">
        <f>DataTable[HLD_Portfolio]&amp;DataTable[HLD_Date]</f>
        <v>SCBTMFPLUS43383</v>
      </c>
      <c r="W330" t="b">
        <f>DataTable[HLD_SecCode]="CB18O18A"</f>
        <v>0</v>
      </c>
    </row>
    <row r="331" spans="1:23" x14ac:dyDescent="0.2">
      <c r="A331" s="66">
        <v>43383</v>
      </c>
      <c r="B331" t="s">
        <v>141</v>
      </c>
      <c r="C331" t="s">
        <v>18</v>
      </c>
      <c r="D331" t="s">
        <v>87</v>
      </c>
      <c r="F331" t="s">
        <v>93</v>
      </c>
      <c r="G331" t="s">
        <v>89</v>
      </c>
      <c r="I331" s="66">
        <v>43412</v>
      </c>
      <c r="J331" s="6">
        <v>43958997.280000001</v>
      </c>
      <c r="L331">
        <v>43958997.280000001</v>
      </c>
      <c r="M331">
        <v>7.6638999999999999E-2</v>
      </c>
      <c r="N331">
        <v>44000000</v>
      </c>
      <c r="O331">
        <v>1.2159089999999999</v>
      </c>
      <c r="P331" t="s">
        <v>42</v>
      </c>
      <c r="Q331" t="s">
        <v>23</v>
      </c>
      <c r="R331" s="66">
        <v>43230</v>
      </c>
      <c r="S331" s="6">
        <f>DataTable[HLD_MaturityDate] - DataTable[SEC_Issue_Date]</f>
        <v>182</v>
      </c>
      <c r="T331" s="66" t="str">
        <f>DataTable[HLD_Portfolio]&amp;DataTable[HLD_Date]</f>
        <v>SCBTMFPLUS43383</v>
      </c>
      <c r="W331" t="b">
        <f>DataTable[HLD_SecCode]="CB18O18A"</f>
        <v>0</v>
      </c>
    </row>
    <row r="332" spans="1:23" x14ac:dyDescent="0.2">
      <c r="A332" s="66">
        <v>43383</v>
      </c>
      <c r="B332" t="s">
        <v>141</v>
      </c>
      <c r="C332" t="s">
        <v>18</v>
      </c>
      <c r="D332" t="s">
        <v>87</v>
      </c>
      <c r="F332" t="s">
        <v>94</v>
      </c>
      <c r="G332" t="s">
        <v>89</v>
      </c>
      <c r="I332" s="66">
        <v>43412</v>
      </c>
      <c r="J332" s="6">
        <v>671393748.48000002</v>
      </c>
      <c r="L332">
        <v>671393096.63999999</v>
      </c>
      <c r="M332">
        <v>7.6638999999999999E-2</v>
      </c>
      <c r="N332">
        <v>672000000</v>
      </c>
      <c r="O332">
        <v>1.1783650000000001</v>
      </c>
      <c r="P332" t="s">
        <v>42</v>
      </c>
      <c r="Q332" t="s">
        <v>23</v>
      </c>
      <c r="R332" s="66">
        <v>43321</v>
      </c>
      <c r="S332" s="6">
        <f>DataTable[HLD_MaturityDate] - DataTable[SEC_Issue_Date]</f>
        <v>91</v>
      </c>
      <c r="T332" s="66" t="str">
        <f>DataTable[HLD_Portfolio]&amp;DataTable[HLD_Date]</f>
        <v>SCBTMFPLUS43383</v>
      </c>
      <c r="W332" t="b">
        <f>DataTable[HLD_SecCode]="CB18O18A"</f>
        <v>0</v>
      </c>
    </row>
    <row r="333" spans="1:23" x14ac:dyDescent="0.2">
      <c r="A333" s="66">
        <v>43383</v>
      </c>
      <c r="B333" t="s">
        <v>141</v>
      </c>
      <c r="C333" t="s">
        <v>18</v>
      </c>
      <c r="D333" t="s">
        <v>87</v>
      </c>
      <c r="F333" t="s">
        <v>95</v>
      </c>
      <c r="G333" t="s">
        <v>89</v>
      </c>
      <c r="I333" s="66">
        <v>43419</v>
      </c>
      <c r="J333" s="6">
        <v>30965111.359999999</v>
      </c>
      <c r="L333">
        <v>30965111.359999999</v>
      </c>
      <c r="M333">
        <v>9.5774999999999999E-2</v>
      </c>
      <c r="N333">
        <v>31000000</v>
      </c>
      <c r="O333">
        <v>1.175</v>
      </c>
      <c r="P333" t="s">
        <v>42</v>
      </c>
      <c r="Q333" t="s">
        <v>23</v>
      </c>
      <c r="R333" s="66">
        <v>43237</v>
      </c>
      <c r="S333" s="6">
        <f>DataTable[HLD_MaturityDate] - DataTable[SEC_Issue_Date]</f>
        <v>182</v>
      </c>
      <c r="T333" s="66" t="str">
        <f>DataTable[HLD_Portfolio]&amp;DataTable[HLD_Date]</f>
        <v>SCBTMFPLUS43383</v>
      </c>
      <c r="W333" t="b">
        <f>DataTable[HLD_SecCode]="CB18O18A"</f>
        <v>0</v>
      </c>
    </row>
    <row r="334" spans="1:23" x14ac:dyDescent="0.2">
      <c r="A334" s="66">
        <v>43383</v>
      </c>
      <c r="B334" t="s">
        <v>141</v>
      </c>
      <c r="C334" t="s">
        <v>18</v>
      </c>
      <c r="D334" t="s">
        <v>87</v>
      </c>
      <c r="F334" t="s">
        <v>96</v>
      </c>
      <c r="G334" t="s">
        <v>89</v>
      </c>
      <c r="I334" s="66">
        <v>43419</v>
      </c>
      <c r="J334" s="6">
        <v>1002821795.96</v>
      </c>
      <c r="L334">
        <v>1002821053</v>
      </c>
      <c r="M334">
        <v>9.5776E-2</v>
      </c>
      <c r="N334">
        <v>1004000000</v>
      </c>
      <c r="O334">
        <v>1.22601</v>
      </c>
      <c r="P334" t="s">
        <v>42</v>
      </c>
      <c r="Q334" t="s">
        <v>23</v>
      </c>
      <c r="R334" s="66">
        <v>43328</v>
      </c>
      <c r="S334" s="6">
        <f>DataTable[HLD_MaturityDate] - DataTable[SEC_Issue_Date]</f>
        <v>91</v>
      </c>
      <c r="T334" s="66" t="str">
        <f>DataTable[HLD_Portfolio]&amp;DataTable[HLD_Date]</f>
        <v>SCBTMFPLUS43383</v>
      </c>
      <c r="W334" t="b">
        <f>DataTable[HLD_SecCode]="CB18O18A"</f>
        <v>0</v>
      </c>
    </row>
    <row r="335" spans="1:23" x14ac:dyDescent="0.2">
      <c r="A335" s="66">
        <v>43383</v>
      </c>
      <c r="B335" t="s">
        <v>141</v>
      </c>
      <c r="C335" t="s">
        <v>18</v>
      </c>
      <c r="D335" t="s">
        <v>87</v>
      </c>
      <c r="F335" t="s">
        <v>98</v>
      </c>
      <c r="G335" t="s">
        <v>89</v>
      </c>
      <c r="I335" s="66">
        <v>43426</v>
      </c>
      <c r="J335" s="6">
        <v>338514060.44999999</v>
      </c>
      <c r="L335">
        <v>338506148.19</v>
      </c>
      <c r="M335">
        <v>0.114899</v>
      </c>
      <c r="N335">
        <v>339000000</v>
      </c>
      <c r="O335">
        <v>1.267868</v>
      </c>
      <c r="P335" t="s">
        <v>42</v>
      </c>
      <c r="Q335" t="s">
        <v>23</v>
      </c>
      <c r="R335" s="66">
        <v>43335</v>
      </c>
      <c r="S335" s="6">
        <f>DataTable[HLD_MaturityDate] - DataTable[SEC_Issue_Date]</f>
        <v>91</v>
      </c>
      <c r="T335" s="66" t="str">
        <f>DataTable[HLD_Portfolio]&amp;DataTable[HLD_Date]</f>
        <v>SCBTMFPLUS43383</v>
      </c>
      <c r="W335" t="b">
        <f>DataTable[HLD_SecCode]="CB18O18A"</f>
        <v>0</v>
      </c>
    </row>
    <row r="336" spans="1:23" x14ac:dyDescent="0.2">
      <c r="A336" s="66">
        <v>43383</v>
      </c>
      <c r="B336" t="s">
        <v>141</v>
      </c>
      <c r="C336" t="s">
        <v>18</v>
      </c>
      <c r="D336" t="s">
        <v>87</v>
      </c>
      <c r="F336" t="s">
        <v>100</v>
      </c>
      <c r="G336" t="s">
        <v>89</v>
      </c>
      <c r="I336" s="66">
        <v>43433</v>
      </c>
      <c r="J336" s="6">
        <v>664937736.65999997</v>
      </c>
      <c r="L336">
        <v>664891549.55999994</v>
      </c>
      <c r="M336">
        <v>0.13401399999999999</v>
      </c>
      <c r="N336">
        <v>666000000</v>
      </c>
      <c r="O336">
        <v>1.241832</v>
      </c>
      <c r="P336" t="s">
        <v>42</v>
      </c>
      <c r="Q336" t="s">
        <v>23</v>
      </c>
      <c r="R336" s="66">
        <v>43342</v>
      </c>
      <c r="S336" s="6">
        <f>DataTable[HLD_MaturityDate] - DataTable[SEC_Issue_Date]</f>
        <v>91</v>
      </c>
      <c r="T336" s="66" t="str">
        <f>DataTable[HLD_Portfolio]&amp;DataTable[HLD_Date]</f>
        <v>SCBTMFPLUS43383</v>
      </c>
      <c r="W336" t="b">
        <f>DataTable[HLD_SecCode]="CB18O18A"</f>
        <v>0</v>
      </c>
    </row>
    <row r="337" spans="1:23" x14ac:dyDescent="0.2">
      <c r="A337" s="66">
        <v>43383</v>
      </c>
      <c r="B337" t="s">
        <v>141</v>
      </c>
      <c r="C337" t="s">
        <v>18</v>
      </c>
      <c r="D337" t="s">
        <v>87</v>
      </c>
      <c r="F337" t="s">
        <v>101</v>
      </c>
      <c r="G337" t="s">
        <v>89</v>
      </c>
      <c r="I337" s="66">
        <v>43384</v>
      </c>
      <c r="J337" s="6">
        <v>211800000</v>
      </c>
      <c r="L337">
        <v>211800000</v>
      </c>
      <c r="M337">
        <v>2.7399999999999998E-3</v>
      </c>
      <c r="N337">
        <v>211800000</v>
      </c>
      <c r="O337">
        <v>1.169896</v>
      </c>
      <c r="P337" t="s">
        <v>42</v>
      </c>
      <c r="Q337" t="s">
        <v>23</v>
      </c>
      <c r="R337" s="66">
        <v>43202</v>
      </c>
      <c r="S337" s="6">
        <f>DataTable[HLD_MaturityDate] - DataTable[SEC_Issue_Date]</f>
        <v>182</v>
      </c>
      <c r="T337" s="66" t="str">
        <f>DataTable[HLD_Portfolio]&amp;DataTable[HLD_Date]</f>
        <v>SCBTMFPLUS43383</v>
      </c>
      <c r="W337" t="b">
        <f>DataTable[HLD_SecCode]="CB18O18A"</f>
        <v>0</v>
      </c>
    </row>
    <row r="338" spans="1:23" x14ac:dyDescent="0.2">
      <c r="A338" s="66">
        <v>43383</v>
      </c>
      <c r="B338" t="s">
        <v>141</v>
      </c>
      <c r="C338" t="s">
        <v>18</v>
      </c>
      <c r="D338" t="s">
        <v>87</v>
      </c>
      <c r="F338" t="s">
        <v>102</v>
      </c>
      <c r="G338" t="s">
        <v>89</v>
      </c>
      <c r="I338" s="66">
        <v>43384</v>
      </c>
      <c r="J338" s="6">
        <v>663000000</v>
      </c>
      <c r="L338">
        <v>663000000</v>
      </c>
      <c r="M338">
        <v>2.7399999999999998E-3</v>
      </c>
      <c r="N338">
        <v>663000000</v>
      </c>
      <c r="O338">
        <v>1.299917</v>
      </c>
      <c r="P338" t="s">
        <v>42</v>
      </c>
      <c r="Q338" t="s">
        <v>23</v>
      </c>
      <c r="R338" s="66">
        <v>43293</v>
      </c>
      <c r="S338" s="6">
        <f>DataTable[HLD_MaturityDate] - DataTable[SEC_Issue_Date]</f>
        <v>91</v>
      </c>
      <c r="T338" s="66" t="str">
        <f>DataTable[HLD_Portfolio]&amp;DataTable[HLD_Date]</f>
        <v>SCBTMFPLUS43383</v>
      </c>
      <c r="W338" t="b">
        <f>DataTable[HLD_SecCode]="CB18O18A"</f>
        <v>0</v>
      </c>
    </row>
    <row r="339" spans="1:23" x14ac:dyDescent="0.2">
      <c r="A339" s="66">
        <v>43383</v>
      </c>
      <c r="B339" t="s">
        <v>141</v>
      </c>
      <c r="C339" t="s">
        <v>18</v>
      </c>
      <c r="D339" t="s">
        <v>87</v>
      </c>
      <c r="F339" t="s">
        <v>103</v>
      </c>
      <c r="G339" t="s">
        <v>89</v>
      </c>
      <c r="I339" s="66">
        <v>43389</v>
      </c>
      <c r="J339" s="6">
        <v>819875023.79999995</v>
      </c>
      <c r="L339">
        <v>819875023.79999995</v>
      </c>
      <c r="M339">
        <v>1.3696E-2</v>
      </c>
      <c r="N339">
        <v>820000000</v>
      </c>
      <c r="O339">
        <v>1.1127279999999999</v>
      </c>
      <c r="P339" t="s">
        <v>42</v>
      </c>
      <c r="Q339" t="s">
        <v>23</v>
      </c>
      <c r="R339" s="66">
        <v>43375</v>
      </c>
      <c r="S339" s="6">
        <f>DataTable[HLD_MaturityDate] - DataTable[SEC_Issue_Date]</f>
        <v>14</v>
      </c>
      <c r="T339" s="66" t="str">
        <f>DataTable[HLD_Portfolio]&amp;DataTable[HLD_Date]</f>
        <v>SCBTMFPLUS43383</v>
      </c>
      <c r="W339" t="b">
        <f>DataTable[HLD_SecCode]="CB18O18A"</f>
        <v>0</v>
      </c>
    </row>
    <row r="340" spans="1:23" x14ac:dyDescent="0.2">
      <c r="A340" s="66">
        <v>43383</v>
      </c>
      <c r="B340" t="s">
        <v>141</v>
      </c>
      <c r="C340" t="s">
        <v>18</v>
      </c>
      <c r="D340" t="s">
        <v>87</v>
      </c>
      <c r="F340" t="s">
        <v>104</v>
      </c>
      <c r="G340" t="s">
        <v>89</v>
      </c>
      <c r="I340" s="66">
        <v>43391</v>
      </c>
      <c r="J340" s="6">
        <v>204956171</v>
      </c>
      <c r="L340">
        <v>204956171</v>
      </c>
      <c r="M340">
        <v>1.9174E-2</v>
      </c>
      <c r="N340">
        <v>205000000</v>
      </c>
      <c r="O340">
        <v>1.115073</v>
      </c>
      <c r="P340" t="s">
        <v>42</v>
      </c>
      <c r="Q340" t="s">
        <v>23</v>
      </c>
      <c r="R340" s="66">
        <v>43209</v>
      </c>
      <c r="S340" s="6">
        <f>DataTable[HLD_MaturityDate] - DataTable[SEC_Issue_Date]</f>
        <v>182</v>
      </c>
      <c r="T340" s="66" t="str">
        <f>DataTable[HLD_Portfolio]&amp;DataTable[HLD_Date]</f>
        <v>SCBTMFPLUS43383</v>
      </c>
      <c r="W340" t="b">
        <f>DataTable[HLD_SecCode]="CB18O18A"</f>
        <v>1</v>
      </c>
    </row>
    <row r="341" spans="1:23" x14ac:dyDescent="0.2">
      <c r="A341" s="66">
        <v>43383</v>
      </c>
      <c r="B341" t="s">
        <v>141</v>
      </c>
      <c r="C341" t="s">
        <v>18</v>
      </c>
      <c r="D341" t="s">
        <v>87</v>
      </c>
      <c r="F341" t="s">
        <v>105</v>
      </c>
      <c r="G341" t="s">
        <v>89</v>
      </c>
      <c r="I341" s="66">
        <v>43391</v>
      </c>
      <c r="J341" s="6">
        <v>326916778.5</v>
      </c>
      <c r="L341">
        <v>326914836.12</v>
      </c>
      <c r="M341">
        <v>1.9174E-2</v>
      </c>
      <c r="N341">
        <v>327000000</v>
      </c>
      <c r="O341">
        <v>1.3583860000000001</v>
      </c>
      <c r="P341" t="s">
        <v>42</v>
      </c>
      <c r="Q341" t="s">
        <v>23</v>
      </c>
      <c r="R341" s="66">
        <v>43300</v>
      </c>
      <c r="S341" s="6">
        <f>DataTable[HLD_MaturityDate] - DataTable[SEC_Issue_Date]</f>
        <v>91</v>
      </c>
      <c r="T341" s="66" t="str">
        <f>DataTable[HLD_Portfolio]&amp;DataTable[HLD_Date]</f>
        <v>SCBTMFPLUS43383</v>
      </c>
      <c r="W341" t="b">
        <f>DataTable[HLD_SecCode]="CB18O18A"</f>
        <v>0</v>
      </c>
    </row>
    <row r="342" spans="1:23" x14ac:dyDescent="0.2">
      <c r="A342" s="66">
        <v>43383</v>
      </c>
      <c r="B342" t="s">
        <v>141</v>
      </c>
      <c r="C342" t="s">
        <v>18</v>
      </c>
      <c r="D342" t="s">
        <v>87</v>
      </c>
      <c r="F342" t="s">
        <v>355</v>
      </c>
      <c r="G342" t="s">
        <v>89</v>
      </c>
      <c r="I342" s="66">
        <v>43397</v>
      </c>
      <c r="J342" s="6">
        <v>569769155.70000005</v>
      </c>
      <c r="L342">
        <v>569769155.70000005</v>
      </c>
      <c r="M342">
        <v>3.5601000000000001E-2</v>
      </c>
      <c r="N342">
        <v>570000000</v>
      </c>
      <c r="O342">
        <v>1.1375390000000001</v>
      </c>
      <c r="P342" t="s">
        <v>42</v>
      </c>
      <c r="Q342" t="s">
        <v>23</v>
      </c>
      <c r="R342" s="66">
        <v>43382</v>
      </c>
      <c r="S342" s="6">
        <f>DataTable[HLD_MaturityDate] - DataTable[SEC_Issue_Date]</f>
        <v>15</v>
      </c>
      <c r="T342" s="66" t="str">
        <f>DataTable[HLD_Portfolio]&amp;DataTable[HLD_Date]</f>
        <v>SCBTMFPLUS43383</v>
      </c>
      <c r="W342" t="b">
        <f>DataTable[HLD_SecCode]="CB18O18A"</f>
        <v>0</v>
      </c>
    </row>
    <row r="343" spans="1:23" x14ac:dyDescent="0.2">
      <c r="A343" s="66">
        <v>43383</v>
      </c>
      <c r="B343" t="s">
        <v>141</v>
      </c>
      <c r="C343" t="s">
        <v>18</v>
      </c>
      <c r="D343" t="s">
        <v>87</v>
      </c>
      <c r="F343" t="s">
        <v>106</v>
      </c>
      <c r="G343" t="s">
        <v>89</v>
      </c>
      <c r="I343" s="66">
        <v>43398</v>
      </c>
      <c r="J343" s="6">
        <v>264876454.34999999</v>
      </c>
      <c r="L343">
        <v>264876454.34999999</v>
      </c>
      <c r="M343">
        <v>3.8338999999999998E-2</v>
      </c>
      <c r="N343">
        <v>265000000</v>
      </c>
      <c r="O343">
        <v>1.2160530000000001</v>
      </c>
      <c r="P343" t="s">
        <v>42</v>
      </c>
      <c r="Q343" t="s">
        <v>23</v>
      </c>
      <c r="R343" s="66">
        <v>43216</v>
      </c>
      <c r="S343" s="6">
        <f>DataTable[HLD_MaturityDate] - DataTable[SEC_Issue_Date]</f>
        <v>182</v>
      </c>
      <c r="T343" s="66" t="str">
        <f>DataTable[HLD_Portfolio]&amp;DataTable[HLD_Date]</f>
        <v>SCBTMFPLUS43383</v>
      </c>
      <c r="W343" t="b">
        <f>DataTable[HLD_SecCode]="CB18O18A"</f>
        <v>0</v>
      </c>
    </row>
    <row r="344" spans="1:23" x14ac:dyDescent="0.2">
      <c r="A344" s="66">
        <v>43383</v>
      </c>
      <c r="B344" t="s">
        <v>141</v>
      </c>
      <c r="C344" t="s">
        <v>18</v>
      </c>
      <c r="D344" t="s">
        <v>87</v>
      </c>
      <c r="F344" t="s">
        <v>107</v>
      </c>
      <c r="G344" t="s">
        <v>89</v>
      </c>
      <c r="I344" s="66">
        <v>43398</v>
      </c>
      <c r="J344" s="6">
        <v>4997719.8</v>
      </c>
      <c r="L344">
        <v>4997656.25</v>
      </c>
      <c r="M344">
        <v>3.8338999999999998E-2</v>
      </c>
      <c r="N344">
        <v>5000000</v>
      </c>
      <c r="O344">
        <v>1.222683</v>
      </c>
      <c r="P344" t="s">
        <v>42</v>
      </c>
      <c r="Q344" t="s">
        <v>23</v>
      </c>
      <c r="R344" s="66">
        <v>43307</v>
      </c>
      <c r="S344" s="6">
        <f>DataTable[HLD_MaturityDate] - DataTable[SEC_Issue_Date]</f>
        <v>91</v>
      </c>
      <c r="T344" s="66" t="str">
        <f>DataTable[HLD_Portfolio]&amp;DataTable[HLD_Date]</f>
        <v>SCBTMFPLUS43383</v>
      </c>
      <c r="W344" t="b">
        <f>DataTable[HLD_SecCode]="CB18O18A"</f>
        <v>0</v>
      </c>
    </row>
    <row r="345" spans="1:23" x14ac:dyDescent="0.2">
      <c r="A345" s="66">
        <v>43383</v>
      </c>
      <c r="B345" t="s">
        <v>141</v>
      </c>
      <c r="C345" t="s">
        <v>18</v>
      </c>
      <c r="D345" t="s">
        <v>87</v>
      </c>
      <c r="F345" t="s">
        <v>108</v>
      </c>
      <c r="G345" t="s">
        <v>89</v>
      </c>
      <c r="I345" s="66">
        <v>43468</v>
      </c>
      <c r="J345" s="6">
        <v>448482775.5</v>
      </c>
      <c r="L345">
        <v>448461517.5</v>
      </c>
      <c r="M345">
        <v>0.229353</v>
      </c>
      <c r="N345">
        <v>450000000</v>
      </c>
      <c r="O345">
        <v>1.490669</v>
      </c>
      <c r="P345" t="s">
        <v>42</v>
      </c>
      <c r="Q345" t="s">
        <v>23</v>
      </c>
      <c r="R345" s="66">
        <v>43377</v>
      </c>
      <c r="S345" s="6">
        <f>DataTable[HLD_MaturityDate] - DataTable[SEC_Issue_Date]</f>
        <v>91</v>
      </c>
      <c r="T345" s="66" t="str">
        <f>DataTable[HLD_Portfolio]&amp;DataTable[HLD_Date]</f>
        <v>SCBTMFPLUS43383</v>
      </c>
      <c r="W345" t="b">
        <f>DataTable[HLD_SecCode]="CB18O18A"</f>
        <v>0</v>
      </c>
    </row>
    <row r="346" spans="1:23" x14ac:dyDescent="0.2">
      <c r="A346" s="66">
        <v>43383</v>
      </c>
      <c r="B346" t="s">
        <v>141</v>
      </c>
      <c r="C346" t="s">
        <v>18</v>
      </c>
      <c r="D346" t="s">
        <v>87</v>
      </c>
      <c r="F346" t="s">
        <v>870</v>
      </c>
      <c r="G346" t="s">
        <v>89</v>
      </c>
      <c r="I346" s="66">
        <v>43475</v>
      </c>
      <c r="J346" s="6">
        <v>846718364.39999998</v>
      </c>
      <c r="L346">
        <v>846718364.39999998</v>
      </c>
      <c r="M346">
        <v>0.25205499999999997</v>
      </c>
      <c r="N346">
        <v>850000000</v>
      </c>
      <c r="O346">
        <v>1.554543</v>
      </c>
      <c r="P346" t="s">
        <v>42</v>
      </c>
      <c r="Q346" t="s">
        <v>23</v>
      </c>
      <c r="R346" s="66">
        <v>43384</v>
      </c>
      <c r="S346" s="6">
        <f>DataTable[HLD_MaturityDate] - DataTable[SEC_Issue_Date]</f>
        <v>91</v>
      </c>
      <c r="T346" s="66" t="str">
        <f>DataTable[HLD_Portfolio]&amp;DataTable[HLD_Date]</f>
        <v>SCBTMFPLUS43383</v>
      </c>
      <c r="W346" t="b">
        <f>DataTable[HLD_SecCode]="CB18O18A"</f>
        <v>0</v>
      </c>
    </row>
    <row r="347" spans="1:23" hidden="1" x14ac:dyDescent="0.2">
      <c r="A347" s="66">
        <v>43383</v>
      </c>
      <c r="B347" t="s">
        <v>141</v>
      </c>
      <c r="C347" t="s">
        <v>18</v>
      </c>
      <c r="D347" t="s">
        <v>112</v>
      </c>
      <c r="F347" t="s">
        <v>315</v>
      </c>
      <c r="G347" t="s">
        <v>58</v>
      </c>
      <c r="H347" t="s">
        <v>59</v>
      </c>
      <c r="I347" s="66">
        <v>43457</v>
      </c>
      <c r="J347" s="6">
        <v>100250067</v>
      </c>
      <c r="K347">
        <v>810685</v>
      </c>
      <c r="L347">
        <v>100245911</v>
      </c>
      <c r="M347">
        <v>0.198463</v>
      </c>
      <c r="N347">
        <v>100000000</v>
      </c>
      <c r="O347">
        <v>1.43</v>
      </c>
      <c r="P347" t="s">
        <v>42</v>
      </c>
      <c r="Q347" t="s">
        <v>23</v>
      </c>
      <c r="R347" s="66">
        <v>42178</v>
      </c>
      <c r="S347" s="6">
        <f>DataTable[HLD_MaturityDate] - DataTable[SEC_Issue_Date]</f>
        <v>1279</v>
      </c>
      <c r="T347" s="66" t="str">
        <f>DataTable[HLD_Portfolio]&amp;DataTable[HLD_Date]</f>
        <v>SCBTMFPLUS43383</v>
      </c>
      <c r="W347" t="b">
        <f>DataTable[HLD_SecCode]="CB18O18A"</f>
        <v>0</v>
      </c>
    </row>
    <row r="348" spans="1:23" hidden="1" x14ac:dyDescent="0.2">
      <c r="A348" s="66">
        <v>43383</v>
      </c>
      <c r="B348" t="s">
        <v>141</v>
      </c>
      <c r="C348" t="s">
        <v>18</v>
      </c>
      <c r="D348" t="s">
        <v>109</v>
      </c>
      <c r="F348" t="s">
        <v>316</v>
      </c>
      <c r="G348" t="s">
        <v>21</v>
      </c>
      <c r="H348" t="s">
        <v>317</v>
      </c>
      <c r="I348" s="66">
        <v>43525</v>
      </c>
      <c r="J348" s="6">
        <v>30003535.199999999</v>
      </c>
      <c r="K348">
        <v>61150.8</v>
      </c>
      <c r="L348">
        <v>30045864</v>
      </c>
      <c r="M348">
        <v>0.382766</v>
      </c>
      <c r="N348">
        <v>30000000</v>
      </c>
      <c r="O348">
        <v>1.48</v>
      </c>
      <c r="P348" t="s">
        <v>42</v>
      </c>
      <c r="Q348" t="s">
        <v>23</v>
      </c>
      <c r="R348" s="66">
        <v>42429</v>
      </c>
      <c r="S348" s="6">
        <f>DataTable[HLD_MaturityDate] - DataTable[SEC_Issue_Date]</f>
        <v>1096</v>
      </c>
      <c r="T348" s="66" t="str">
        <f>DataTable[HLD_Portfolio]&amp;DataTable[HLD_Date]</f>
        <v>SCBTMFPLUS43383</v>
      </c>
      <c r="W348" t="b">
        <f>DataTable[HLD_SecCode]="CB18O18A"</f>
        <v>0</v>
      </c>
    </row>
    <row r="349" spans="1:23" hidden="1" x14ac:dyDescent="0.2">
      <c r="A349" s="66">
        <v>43383</v>
      </c>
      <c r="B349" t="s">
        <v>141</v>
      </c>
      <c r="C349" t="s">
        <v>18</v>
      </c>
      <c r="D349" t="s">
        <v>109</v>
      </c>
      <c r="F349" t="s">
        <v>238</v>
      </c>
      <c r="G349" t="s">
        <v>71</v>
      </c>
      <c r="H349" t="s">
        <v>47</v>
      </c>
      <c r="I349" s="66">
        <v>43433</v>
      </c>
      <c r="J349" s="6">
        <v>4001832.24</v>
      </c>
      <c r="K349">
        <v>27369.88</v>
      </c>
      <c r="L349">
        <v>4001378.24</v>
      </c>
      <c r="M349">
        <v>0.133241</v>
      </c>
      <c r="N349">
        <v>4000000</v>
      </c>
      <c r="O349">
        <v>1.53</v>
      </c>
      <c r="P349" t="s">
        <v>42</v>
      </c>
      <c r="Q349" t="s">
        <v>23</v>
      </c>
      <c r="R349" s="66">
        <v>42884</v>
      </c>
      <c r="S349" s="6">
        <f>DataTable[HLD_MaturityDate] - DataTable[SEC_Issue_Date]</f>
        <v>549</v>
      </c>
      <c r="T349" s="66" t="str">
        <f>DataTable[HLD_Portfolio]&amp;DataTable[HLD_Date]</f>
        <v>SCBTMFPLUS43383</v>
      </c>
      <c r="W349" t="b">
        <f>DataTable[HLD_SecCode]="CB18O18A"</f>
        <v>0</v>
      </c>
    </row>
    <row r="350" spans="1:23" hidden="1" x14ac:dyDescent="0.2">
      <c r="A350" s="66">
        <v>43383</v>
      </c>
      <c r="B350" t="s">
        <v>141</v>
      </c>
      <c r="C350" t="s">
        <v>128</v>
      </c>
      <c r="D350" t="s">
        <v>310</v>
      </c>
      <c r="E350" t="s">
        <v>590</v>
      </c>
      <c r="F350" t="s">
        <v>107</v>
      </c>
      <c r="I350" s="66"/>
      <c r="J350" s="6">
        <v>1199457120</v>
      </c>
      <c r="L350">
        <v>1199457120</v>
      </c>
      <c r="O350">
        <v>0</v>
      </c>
      <c r="P350" t="s">
        <v>42</v>
      </c>
      <c r="Q350" t="s">
        <v>23</v>
      </c>
      <c r="R350" s="66">
        <v>43307</v>
      </c>
      <c r="S350" s="6">
        <f>DataTable[HLD_MaturityDate] - DataTable[SEC_Issue_Date]</f>
        <v>-43307</v>
      </c>
      <c r="T350" s="66" t="str">
        <f>DataTable[HLD_Portfolio]&amp;DataTable[HLD_Date]</f>
        <v>SCBTMFPLUS43383</v>
      </c>
      <c r="W350" t="b">
        <f>DataTable[HLD_SecCode]="CB18O18A"</f>
        <v>0</v>
      </c>
    </row>
    <row r="351" spans="1:23" hidden="1" x14ac:dyDescent="0.2">
      <c r="A351" s="66">
        <v>43383</v>
      </c>
      <c r="B351" t="s">
        <v>141</v>
      </c>
      <c r="C351" t="s">
        <v>129</v>
      </c>
      <c r="D351" t="s">
        <v>130</v>
      </c>
      <c r="E351" t="s">
        <v>590</v>
      </c>
      <c r="F351" t="s">
        <v>870</v>
      </c>
      <c r="I351" s="66"/>
      <c r="J351" s="6">
        <v>-846718364.39999998</v>
      </c>
      <c r="L351">
        <v>-846718364.39999998</v>
      </c>
      <c r="O351">
        <v>0</v>
      </c>
      <c r="P351" t="s">
        <v>42</v>
      </c>
      <c r="Q351" t="s">
        <v>23</v>
      </c>
      <c r="R351" s="66">
        <v>43384</v>
      </c>
      <c r="S351" s="6">
        <f>DataTable[HLD_MaturityDate] - DataTable[SEC_Issue_Date]</f>
        <v>-43384</v>
      </c>
      <c r="T351" s="66" t="str">
        <f>DataTable[HLD_Portfolio]&amp;DataTable[HLD_Date]</f>
        <v>SCBTMFPLUS43383</v>
      </c>
      <c r="W351" t="b">
        <f>DataTable[HLD_SecCode]="CB18O18A"</f>
        <v>0</v>
      </c>
    </row>
    <row r="352" spans="1:23" hidden="1" x14ac:dyDescent="0.2">
      <c r="A352" s="66">
        <v>43383</v>
      </c>
      <c r="B352" t="s">
        <v>141</v>
      </c>
      <c r="C352" t="s">
        <v>129</v>
      </c>
      <c r="D352" t="s">
        <v>131</v>
      </c>
      <c r="E352" t="s">
        <v>131</v>
      </c>
      <c r="F352" t="s">
        <v>131</v>
      </c>
      <c r="I352" s="66"/>
      <c r="J352" s="6">
        <v>-229000</v>
      </c>
      <c r="O352">
        <v>0</v>
      </c>
      <c r="R352" s="66"/>
      <c r="S352" s="6">
        <f>DataTable[HLD_MaturityDate] - DataTable[SEC_Issue_Date]</f>
        <v>0</v>
      </c>
      <c r="T352" s="66" t="str">
        <f>DataTable[HLD_Portfolio]&amp;DataTable[HLD_Date]</f>
        <v>SCBTMFPLUS43383</v>
      </c>
      <c r="W352" t="b">
        <f>DataTable[HLD_SecCode]="CB18O18A"</f>
        <v>0</v>
      </c>
    </row>
    <row r="353" spans="1:23" hidden="1" x14ac:dyDescent="0.2">
      <c r="A353" s="66">
        <v>43383</v>
      </c>
      <c r="B353" t="s">
        <v>141</v>
      </c>
      <c r="C353" t="s">
        <v>129</v>
      </c>
      <c r="D353" t="s">
        <v>131</v>
      </c>
      <c r="E353" t="s">
        <v>131</v>
      </c>
      <c r="F353" t="s">
        <v>131</v>
      </c>
      <c r="I353" s="66"/>
      <c r="J353" s="6">
        <v>-11000</v>
      </c>
      <c r="O353">
        <v>0</v>
      </c>
      <c r="R353" s="66"/>
      <c r="S353" s="6">
        <f>DataTable[HLD_MaturityDate] - DataTable[SEC_Issue_Date]</f>
        <v>0</v>
      </c>
      <c r="T353" s="66" t="str">
        <f>DataTable[HLD_Portfolio]&amp;DataTable[HLD_Date]</f>
        <v>SCBTMFPLUS43383</v>
      </c>
      <c r="W353" t="b">
        <f>DataTable[HLD_SecCode]="CB18O18A"</f>
        <v>0</v>
      </c>
    </row>
    <row r="354" spans="1:23" hidden="1" x14ac:dyDescent="0.2">
      <c r="A354" s="66">
        <v>43383</v>
      </c>
      <c r="B354" t="s">
        <v>141</v>
      </c>
      <c r="C354" t="s">
        <v>129</v>
      </c>
      <c r="D354" t="s">
        <v>131</v>
      </c>
      <c r="E354" t="s">
        <v>131</v>
      </c>
      <c r="F354" t="s">
        <v>131</v>
      </c>
      <c r="I354" s="66"/>
      <c r="J354" s="6">
        <v>-26301.200000000001</v>
      </c>
      <c r="O354">
        <v>0</v>
      </c>
      <c r="R354" s="66"/>
      <c r="S354" s="6">
        <f>DataTable[HLD_MaturityDate] - DataTable[SEC_Issue_Date]</f>
        <v>0</v>
      </c>
      <c r="T354" s="66" t="str">
        <f>DataTable[HLD_Portfolio]&amp;DataTable[HLD_Date]</f>
        <v>SCBTMFPLUS43383</v>
      </c>
      <c r="W354" t="b">
        <f>DataTable[HLD_SecCode]="CB18O18A"</f>
        <v>0</v>
      </c>
    </row>
    <row r="355" spans="1:23" hidden="1" x14ac:dyDescent="0.2">
      <c r="A355" s="66">
        <v>43383</v>
      </c>
      <c r="B355" t="s">
        <v>141</v>
      </c>
      <c r="C355" t="s">
        <v>129</v>
      </c>
      <c r="D355" t="s">
        <v>132</v>
      </c>
      <c r="I355" s="66"/>
      <c r="J355" s="6">
        <v>-61485.279999999999</v>
      </c>
      <c r="K355">
        <v>0</v>
      </c>
      <c r="O355">
        <v>0</v>
      </c>
      <c r="R355" s="66"/>
      <c r="S355" s="6">
        <f>DataTable[HLD_MaturityDate] - DataTable[SEC_Issue_Date]</f>
        <v>0</v>
      </c>
      <c r="T355" s="66" t="str">
        <f>DataTable[HLD_Portfolio]&amp;DataTable[HLD_Date]</f>
        <v>SCBTMFPLUS43383</v>
      </c>
      <c r="W355" t="b">
        <f>DataTable[HLD_SecCode]="CB18O18A"</f>
        <v>0</v>
      </c>
    </row>
    <row r="356" spans="1:23" hidden="1" x14ac:dyDescent="0.2">
      <c r="A356" s="66">
        <v>43383</v>
      </c>
      <c r="B356" t="s">
        <v>141</v>
      </c>
      <c r="C356" t="s">
        <v>129</v>
      </c>
      <c r="D356" t="s">
        <v>134</v>
      </c>
      <c r="E356" t="s">
        <v>134</v>
      </c>
      <c r="I356" s="66"/>
      <c r="J356" s="6">
        <v>-86593.3</v>
      </c>
      <c r="L356">
        <v>-86593.3</v>
      </c>
      <c r="O356">
        <v>0</v>
      </c>
      <c r="R356" s="66"/>
      <c r="S356" s="6">
        <f>DataTable[HLD_MaturityDate] - DataTable[SEC_Issue_Date]</f>
        <v>0</v>
      </c>
      <c r="T356" s="66" t="str">
        <f>DataTable[HLD_Portfolio]&amp;DataTable[HLD_Date]</f>
        <v>SCBTMFPLUS43383</v>
      </c>
      <c r="W356" t="b">
        <f>DataTable[HLD_SecCode]="CB18O18A"</f>
        <v>0</v>
      </c>
    </row>
    <row r="357" spans="1:23" hidden="1" x14ac:dyDescent="0.2">
      <c r="A357" s="66">
        <v>43383</v>
      </c>
      <c r="B357" t="s">
        <v>141</v>
      </c>
      <c r="C357" t="s">
        <v>129</v>
      </c>
      <c r="D357" t="s">
        <v>135</v>
      </c>
      <c r="E357" t="s">
        <v>135</v>
      </c>
      <c r="I357" s="66"/>
      <c r="J357" s="6">
        <v>-593644.73</v>
      </c>
      <c r="L357">
        <v>-593644.73</v>
      </c>
      <c r="O357">
        <v>0</v>
      </c>
      <c r="R357" s="66"/>
      <c r="S357" s="6">
        <f>DataTable[HLD_MaturityDate] - DataTable[SEC_Issue_Date]</f>
        <v>0</v>
      </c>
      <c r="T357" s="66" t="str">
        <f>DataTable[HLD_Portfolio]&amp;DataTable[HLD_Date]</f>
        <v>SCBTMFPLUS43383</v>
      </c>
      <c r="W357" t="b">
        <f>DataTable[HLD_SecCode]="CB18O18A"</f>
        <v>0</v>
      </c>
    </row>
    <row r="358" spans="1:23" hidden="1" x14ac:dyDescent="0.2">
      <c r="A358" s="66">
        <v>43383</v>
      </c>
      <c r="B358" t="s">
        <v>141</v>
      </c>
      <c r="C358" t="s">
        <v>137</v>
      </c>
      <c r="D358" t="s">
        <v>134</v>
      </c>
      <c r="E358" t="s">
        <v>134</v>
      </c>
      <c r="I358" s="66"/>
      <c r="J358" s="6">
        <v>-9725.7800000000007</v>
      </c>
      <c r="L358">
        <v>-9725.7800000000007</v>
      </c>
      <c r="O358">
        <v>0</v>
      </c>
      <c r="R358" s="66"/>
      <c r="S358" s="6">
        <f>DataTable[HLD_MaturityDate] - DataTable[SEC_Issue_Date]</f>
        <v>0</v>
      </c>
      <c r="T358" s="66" t="str">
        <f>DataTable[HLD_Portfolio]&amp;DataTable[HLD_Date]</f>
        <v>SCBTMFPLUS43383</v>
      </c>
      <c r="W358" t="b">
        <f>DataTable[HLD_SecCode]="CB18O18A"</f>
        <v>0</v>
      </c>
    </row>
    <row r="359" spans="1:23" hidden="1" x14ac:dyDescent="0.2">
      <c r="A359" s="66">
        <v>43383</v>
      </c>
      <c r="B359" t="s">
        <v>141</v>
      </c>
      <c r="C359" t="s">
        <v>137</v>
      </c>
      <c r="D359" t="s">
        <v>135</v>
      </c>
      <c r="E359" t="s">
        <v>135</v>
      </c>
      <c r="I359" s="66"/>
      <c r="J359" s="6">
        <v>-66683.600000000006</v>
      </c>
      <c r="L359">
        <v>-66683.600000000006</v>
      </c>
      <c r="O359">
        <v>0</v>
      </c>
      <c r="R359" s="66"/>
      <c r="S359" s="6">
        <f>DataTable[HLD_MaturityDate] - DataTable[SEC_Issue_Date]</f>
        <v>0</v>
      </c>
      <c r="T359" s="66" t="str">
        <f>DataTable[HLD_Portfolio]&amp;DataTable[HLD_Date]</f>
        <v>SCBTMFPLUS43383</v>
      </c>
      <c r="W359" t="b">
        <f>DataTable[HLD_SecCode]="CB18O18A"</f>
        <v>0</v>
      </c>
    </row>
    <row r="360" spans="1:23" hidden="1" x14ac:dyDescent="0.2">
      <c r="A360" s="66">
        <v>43383</v>
      </c>
      <c r="B360" t="s">
        <v>352</v>
      </c>
      <c r="C360" t="s">
        <v>18</v>
      </c>
      <c r="D360" t="s">
        <v>19</v>
      </c>
      <c r="F360" t="s">
        <v>142</v>
      </c>
      <c r="G360" t="s">
        <v>143</v>
      </c>
      <c r="I360" s="66"/>
      <c r="J360" s="6">
        <v>0</v>
      </c>
      <c r="L360">
        <v>0</v>
      </c>
      <c r="M360">
        <v>0</v>
      </c>
      <c r="N360">
        <v>0</v>
      </c>
      <c r="O360">
        <v>0</v>
      </c>
      <c r="P360" t="s">
        <v>22</v>
      </c>
      <c r="Q360" t="s">
        <v>144</v>
      </c>
      <c r="R360" s="66">
        <v>2</v>
      </c>
      <c r="S360" s="6">
        <f>DataTable[HLD_MaturityDate] - DataTable[SEC_Issue_Date]</f>
        <v>-2</v>
      </c>
      <c r="T360" s="66" t="str">
        <f>DataTable[HLD_Portfolio]&amp;DataTable[HLD_Date]</f>
        <v>SCBRF43383</v>
      </c>
      <c r="W360" t="b">
        <f>DataTable[HLD_SecCode]="CB18O18A"</f>
        <v>0</v>
      </c>
    </row>
    <row r="361" spans="1:23" hidden="1" x14ac:dyDescent="0.2">
      <c r="A361" s="66">
        <v>43383</v>
      </c>
      <c r="B361" t="s">
        <v>352</v>
      </c>
      <c r="C361" t="s">
        <v>18</v>
      </c>
      <c r="D361" t="s">
        <v>19</v>
      </c>
      <c r="F361" t="s">
        <v>25</v>
      </c>
      <c r="G361" t="s">
        <v>26</v>
      </c>
      <c r="H361" t="s">
        <v>27</v>
      </c>
      <c r="I361" s="66"/>
      <c r="J361" s="6">
        <v>0</v>
      </c>
      <c r="L361">
        <v>0</v>
      </c>
      <c r="M361">
        <v>0</v>
      </c>
      <c r="N361">
        <v>0</v>
      </c>
      <c r="O361">
        <v>0</v>
      </c>
      <c r="P361" t="s">
        <v>22</v>
      </c>
      <c r="Q361" t="s">
        <v>28</v>
      </c>
      <c r="R361" s="66">
        <v>2</v>
      </c>
      <c r="S361" s="6">
        <f>DataTable[HLD_MaturityDate] - DataTable[SEC_Issue_Date]</f>
        <v>-2</v>
      </c>
      <c r="T361" s="66" t="str">
        <f>DataTable[HLD_Portfolio]&amp;DataTable[HLD_Date]</f>
        <v>SCBRF43383</v>
      </c>
      <c r="W361" t="b">
        <f>DataTable[HLD_SecCode]="CB18O18A"</f>
        <v>0</v>
      </c>
    </row>
    <row r="362" spans="1:23" hidden="1" x14ac:dyDescent="0.2">
      <c r="A362" s="66">
        <v>43383</v>
      </c>
      <c r="B362" t="s">
        <v>352</v>
      </c>
      <c r="C362" t="s">
        <v>18</v>
      </c>
      <c r="D362" t="s">
        <v>19</v>
      </c>
      <c r="F362" t="s">
        <v>36</v>
      </c>
      <c r="G362" t="s">
        <v>26</v>
      </c>
      <c r="H362" t="s">
        <v>27</v>
      </c>
      <c r="I362" s="66"/>
      <c r="J362" s="6">
        <v>0</v>
      </c>
      <c r="L362">
        <v>0</v>
      </c>
      <c r="M362">
        <v>0</v>
      </c>
      <c r="N362">
        <v>0</v>
      </c>
      <c r="O362">
        <v>0</v>
      </c>
      <c r="P362" t="s">
        <v>22</v>
      </c>
      <c r="Q362" t="s">
        <v>37</v>
      </c>
      <c r="R362" s="66">
        <v>2</v>
      </c>
      <c r="S362" s="6">
        <f>DataTable[HLD_MaturityDate] - DataTable[SEC_Issue_Date]</f>
        <v>-2</v>
      </c>
      <c r="T362" s="66" t="str">
        <f>DataTable[HLD_Portfolio]&amp;DataTable[HLD_Date]</f>
        <v>SCBRF43383</v>
      </c>
      <c r="W362" t="b">
        <f>DataTable[HLD_SecCode]="CB18O18A"</f>
        <v>0</v>
      </c>
    </row>
    <row r="363" spans="1:23" hidden="1" x14ac:dyDescent="0.2">
      <c r="A363" s="66">
        <v>43383</v>
      </c>
      <c r="B363" t="s">
        <v>352</v>
      </c>
      <c r="C363" t="s">
        <v>18</v>
      </c>
      <c r="D363" t="s">
        <v>19</v>
      </c>
      <c r="F363" t="s">
        <v>20</v>
      </c>
      <c r="G363" t="s">
        <v>21</v>
      </c>
      <c r="I363" s="66"/>
      <c r="J363" s="6">
        <v>898271.84</v>
      </c>
      <c r="K363">
        <v>844.05</v>
      </c>
      <c r="L363">
        <v>898271.84</v>
      </c>
      <c r="M363">
        <v>0</v>
      </c>
      <c r="N363">
        <v>0</v>
      </c>
      <c r="O363">
        <v>0</v>
      </c>
      <c r="P363" t="s">
        <v>22</v>
      </c>
      <c r="Q363" t="s">
        <v>23</v>
      </c>
      <c r="R363" s="66">
        <v>2</v>
      </c>
      <c r="S363" s="6">
        <f>DataTable[HLD_MaturityDate] - DataTable[SEC_Issue_Date]</f>
        <v>-2</v>
      </c>
      <c r="T363" s="66" t="str">
        <f>DataTable[HLD_Portfolio]&amp;DataTable[HLD_Date]</f>
        <v>SCBRF43383</v>
      </c>
      <c r="W363" t="b">
        <f>DataTable[HLD_SecCode]="CB18O18A"</f>
        <v>0</v>
      </c>
    </row>
    <row r="364" spans="1:23" hidden="1" x14ac:dyDescent="0.2">
      <c r="A364" s="66">
        <v>43383</v>
      </c>
      <c r="B364" t="s">
        <v>352</v>
      </c>
      <c r="C364" t="s">
        <v>18</v>
      </c>
      <c r="D364" t="s">
        <v>38</v>
      </c>
      <c r="F364" t="s">
        <v>486</v>
      </c>
      <c r="G364" t="s">
        <v>71</v>
      </c>
      <c r="H364" t="s">
        <v>47</v>
      </c>
      <c r="I364" s="66">
        <v>44196</v>
      </c>
      <c r="J364" s="6">
        <v>195888.14</v>
      </c>
      <c r="K364">
        <v>434.71</v>
      </c>
      <c r="L364">
        <v>195888.14</v>
      </c>
      <c r="M364">
        <v>0</v>
      </c>
      <c r="N364">
        <v>195888.14</v>
      </c>
      <c r="O364">
        <v>0</v>
      </c>
      <c r="P364" t="s">
        <v>42</v>
      </c>
      <c r="Q364" t="s">
        <v>23</v>
      </c>
      <c r="R364" s="66">
        <v>38728</v>
      </c>
      <c r="S364" s="6">
        <f>DataTable[HLD_MaturityDate] - DataTable[SEC_Issue_Date]</f>
        <v>5468</v>
      </c>
      <c r="T364" s="66" t="str">
        <f>DataTable[HLD_Portfolio]&amp;DataTable[HLD_Date]</f>
        <v>SCBRF43383</v>
      </c>
      <c r="W364" t="b">
        <f>DataTable[HLD_SecCode]="CB18O18A"</f>
        <v>0</v>
      </c>
    </row>
    <row r="365" spans="1:23" hidden="1" x14ac:dyDescent="0.2">
      <c r="A365" s="66">
        <v>43383</v>
      </c>
      <c r="B365" t="s">
        <v>352</v>
      </c>
      <c r="C365" t="s">
        <v>18</v>
      </c>
      <c r="D365" t="s">
        <v>38</v>
      </c>
      <c r="F365" t="s">
        <v>487</v>
      </c>
      <c r="G365" t="s">
        <v>73</v>
      </c>
      <c r="H365" t="s">
        <v>27</v>
      </c>
      <c r="I365" s="66">
        <v>44196</v>
      </c>
      <c r="J365" s="6">
        <v>43832.959999999999</v>
      </c>
      <c r="K365">
        <v>45.93</v>
      </c>
      <c r="L365">
        <v>43832.959999999999</v>
      </c>
      <c r="M365">
        <v>0</v>
      </c>
      <c r="N365">
        <v>43832.959999999999</v>
      </c>
      <c r="O365">
        <v>0</v>
      </c>
      <c r="P365" t="s">
        <v>42</v>
      </c>
      <c r="Q365" t="s">
        <v>23</v>
      </c>
      <c r="R365" s="66">
        <v>39535</v>
      </c>
      <c r="S365" s="6">
        <f>DataTable[HLD_MaturityDate] - DataTable[SEC_Issue_Date]</f>
        <v>4661</v>
      </c>
      <c r="T365" s="66" t="str">
        <f>DataTable[HLD_Portfolio]&amp;DataTable[HLD_Date]</f>
        <v>SCBRF43383</v>
      </c>
      <c r="W365" t="b">
        <f>DataTable[HLD_SecCode]="CB18O18A"</f>
        <v>0</v>
      </c>
    </row>
    <row r="366" spans="1:23" hidden="1" x14ac:dyDescent="0.2">
      <c r="A366" s="66">
        <v>43383</v>
      </c>
      <c r="B366" t="s">
        <v>352</v>
      </c>
      <c r="C366" t="s">
        <v>18</v>
      </c>
      <c r="D366" t="s">
        <v>38</v>
      </c>
      <c r="F366" t="s">
        <v>488</v>
      </c>
      <c r="G366" t="s">
        <v>75</v>
      </c>
      <c r="H366" t="s">
        <v>59</v>
      </c>
      <c r="I366" s="66">
        <v>44196</v>
      </c>
      <c r="J366" s="6">
        <v>14034247.109999999</v>
      </c>
      <c r="K366">
        <v>24722.03</v>
      </c>
      <c r="L366">
        <v>14034247.109999999</v>
      </c>
      <c r="M366">
        <v>0</v>
      </c>
      <c r="N366">
        <v>14034247.109999999</v>
      </c>
      <c r="O366">
        <v>0</v>
      </c>
      <c r="P366" t="s">
        <v>42</v>
      </c>
      <c r="Q366" t="s">
        <v>23</v>
      </c>
      <c r="R366" s="66">
        <v>38596</v>
      </c>
      <c r="S366" s="6">
        <f>DataTable[HLD_MaturityDate] - DataTable[SEC_Issue_Date]</f>
        <v>5600</v>
      </c>
      <c r="T366" s="66" t="str">
        <f>DataTable[HLD_Portfolio]&amp;DataTable[HLD_Date]</f>
        <v>SCBRF43383</v>
      </c>
      <c r="W366" t="b">
        <f>DataTable[HLD_SecCode]="CB18O18A"</f>
        <v>0</v>
      </c>
    </row>
    <row r="367" spans="1:23" hidden="1" x14ac:dyDescent="0.2">
      <c r="A367" s="66">
        <v>43383</v>
      </c>
      <c r="B367" t="s">
        <v>352</v>
      </c>
      <c r="C367" t="s">
        <v>18</v>
      </c>
      <c r="D367" t="s">
        <v>77</v>
      </c>
      <c r="F367" t="s">
        <v>489</v>
      </c>
      <c r="G367" t="s">
        <v>490</v>
      </c>
      <c r="I367" s="66">
        <v>44196</v>
      </c>
      <c r="J367" s="6">
        <v>24185.75</v>
      </c>
      <c r="L367">
        <v>24185.75</v>
      </c>
      <c r="N367">
        <v>24185.75</v>
      </c>
      <c r="O367">
        <v>0</v>
      </c>
      <c r="P367" t="s">
        <v>42</v>
      </c>
      <c r="Q367" t="s">
        <v>23</v>
      </c>
      <c r="R367" s="66">
        <v>43024</v>
      </c>
      <c r="S367" s="6">
        <f>DataTable[HLD_MaturityDate] - DataTable[SEC_Issue_Date]</f>
        <v>1172</v>
      </c>
      <c r="T367" s="66" t="str">
        <f>DataTable[HLD_Portfolio]&amp;DataTable[HLD_Date]</f>
        <v>SCBRF43383</v>
      </c>
      <c r="W367" t="b">
        <f>DataTable[HLD_SecCode]="CB18O18A"</f>
        <v>0</v>
      </c>
    </row>
    <row r="368" spans="1:23" x14ac:dyDescent="0.2">
      <c r="A368" s="66">
        <v>43383</v>
      </c>
      <c r="B368" t="s">
        <v>352</v>
      </c>
      <c r="C368" t="s">
        <v>18</v>
      </c>
      <c r="D368" t="s">
        <v>87</v>
      </c>
      <c r="F368" t="s">
        <v>95</v>
      </c>
      <c r="G368" t="s">
        <v>89</v>
      </c>
      <c r="I368" s="66">
        <v>43419</v>
      </c>
      <c r="J368" s="6">
        <v>4994396.7</v>
      </c>
      <c r="L368">
        <v>4994396.7</v>
      </c>
      <c r="M368">
        <v>9.5774999999999999E-2</v>
      </c>
      <c r="N368">
        <v>5000000</v>
      </c>
      <c r="O368">
        <v>1.17</v>
      </c>
      <c r="P368" t="s">
        <v>42</v>
      </c>
      <c r="Q368" t="s">
        <v>23</v>
      </c>
      <c r="R368" s="66">
        <v>43237</v>
      </c>
      <c r="S368" s="6">
        <f>DataTable[HLD_MaturityDate] - DataTable[SEC_Issue_Date]</f>
        <v>182</v>
      </c>
      <c r="T368" s="66" t="str">
        <f>DataTable[HLD_Portfolio]&amp;DataTable[HLD_Date]</f>
        <v>SCBRF43383</v>
      </c>
      <c r="W368" t="b">
        <f>DataTable[HLD_SecCode]="CB18O18A"</f>
        <v>0</v>
      </c>
    </row>
    <row r="369" spans="1:23" x14ac:dyDescent="0.2">
      <c r="A369" s="66">
        <v>43383</v>
      </c>
      <c r="B369" t="s">
        <v>352</v>
      </c>
      <c r="C369" t="s">
        <v>18</v>
      </c>
      <c r="D369" t="s">
        <v>87</v>
      </c>
      <c r="F369" t="s">
        <v>101</v>
      </c>
      <c r="G369" t="s">
        <v>89</v>
      </c>
      <c r="I369" s="66">
        <v>43384</v>
      </c>
      <c r="J369" s="6">
        <v>20000000</v>
      </c>
      <c r="L369">
        <v>20000000</v>
      </c>
      <c r="M369">
        <v>2.7399999999999998E-3</v>
      </c>
      <c r="N369">
        <v>20000000</v>
      </c>
      <c r="O369">
        <v>1.1499999999999999</v>
      </c>
      <c r="P369" t="s">
        <v>42</v>
      </c>
      <c r="Q369" t="s">
        <v>23</v>
      </c>
      <c r="R369" s="66">
        <v>43202</v>
      </c>
      <c r="S369" s="6">
        <f>DataTable[HLD_MaturityDate] - DataTable[SEC_Issue_Date]</f>
        <v>182</v>
      </c>
      <c r="T369" s="66" t="str">
        <f>DataTable[HLD_Portfolio]&amp;DataTable[HLD_Date]</f>
        <v>SCBRF43383</v>
      </c>
      <c r="W369" t="b">
        <f>DataTable[HLD_SecCode]="CB18O18A"</f>
        <v>0</v>
      </c>
    </row>
    <row r="370" spans="1:23" x14ac:dyDescent="0.2">
      <c r="A370" s="66">
        <v>43383</v>
      </c>
      <c r="B370" t="s">
        <v>352</v>
      </c>
      <c r="C370" t="s">
        <v>18</v>
      </c>
      <c r="D370" t="s">
        <v>87</v>
      </c>
      <c r="F370" t="s">
        <v>107</v>
      </c>
      <c r="G370" t="s">
        <v>89</v>
      </c>
      <c r="I370" s="66">
        <v>43398</v>
      </c>
      <c r="J370" s="6">
        <v>9995667.5999999996</v>
      </c>
      <c r="L370">
        <v>9995667.5999999996</v>
      </c>
      <c r="M370">
        <v>3.8338999999999998E-2</v>
      </c>
      <c r="N370">
        <v>10000000</v>
      </c>
      <c r="O370">
        <v>1.1299999999999999</v>
      </c>
      <c r="P370" t="s">
        <v>42</v>
      </c>
      <c r="Q370" t="s">
        <v>23</v>
      </c>
      <c r="R370" s="66">
        <v>43307</v>
      </c>
      <c r="S370" s="6">
        <f>DataTable[HLD_MaturityDate] - DataTable[SEC_Issue_Date]</f>
        <v>91</v>
      </c>
      <c r="T370" s="66" t="str">
        <f>DataTable[HLD_Portfolio]&amp;DataTable[HLD_Date]</f>
        <v>SCBRF43383</v>
      </c>
      <c r="W370" t="b">
        <f>DataTable[HLD_SecCode]="CB18O18A"</f>
        <v>0</v>
      </c>
    </row>
    <row r="371" spans="1:23" x14ac:dyDescent="0.2">
      <c r="A371" s="66">
        <v>43383</v>
      </c>
      <c r="B371" t="s">
        <v>352</v>
      </c>
      <c r="C371" t="s">
        <v>18</v>
      </c>
      <c r="D371" t="s">
        <v>112</v>
      </c>
      <c r="F371" t="s">
        <v>491</v>
      </c>
      <c r="G371" t="s">
        <v>85</v>
      </c>
      <c r="H371" t="s">
        <v>29</v>
      </c>
      <c r="I371" s="66">
        <v>43392</v>
      </c>
      <c r="J371" s="6">
        <v>4001277.84</v>
      </c>
      <c r="K371">
        <v>57534.239999999998</v>
      </c>
      <c r="L371">
        <v>4001109.68</v>
      </c>
      <c r="M371">
        <v>2.1786E-2</v>
      </c>
      <c r="N371">
        <v>4000000</v>
      </c>
      <c r="O371">
        <v>1.53</v>
      </c>
      <c r="P371" t="s">
        <v>42</v>
      </c>
      <c r="Q371" t="s">
        <v>23</v>
      </c>
      <c r="R371" s="66">
        <v>42296</v>
      </c>
      <c r="S371" s="6">
        <f>DataTable[HLD_MaturityDate] - DataTable[SEC_Issue_Date]</f>
        <v>1096</v>
      </c>
      <c r="T371" s="66" t="str">
        <f>DataTable[HLD_Portfolio]&amp;DataTable[HLD_Date]</f>
        <v>SCBRF43383</v>
      </c>
      <c r="W371" t="b">
        <f>DataTable[HLD_SecCode]="CB18O18A"</f>
        <v>0</v>
      </c>
    </row>
    <row r="372" spans="1:23" hidden="1" x14ac:dyDescent="0.2">
      <c r="A372" s="66">
        <v>43383</v>
      </c>
      <c r="B372" t="s">
        <v>352</v>
      </c>
      <c r="C372" t="s">
        <v>18</v>
      </c>
      <c r="D372" t="s">
        <v>109</v>
      </c>
      <c r="F372" t="s">
        <v>492</v>
      </c>
      <c r="G372" t="s">
        <v>493</v>
      </c>
      <c r="I372" s="66">
        <v>43959</v>
      </c>
      <c r="J372" s="6">
        <v>9968818.0999999996</v>
      </c>
      <c r="K372">
        <v>104284.9</v>
      </c>
      <c r="L372">
        <v>10000000</v>
      </c>
      <c r="M372">
        <v>1.520721</v>
      </c>
      <c r="N372">
        <v>10000000</v>
      </c>
      <c r="O372">
        <v>2.44</v>
      </c>
      <c r="P372" t="s">
        <v>42</v>
      </c>
      <c r="Q372" t="s">
        <v>23</v>
      </c>
      <c r="R372" s="66">
        <v>42863</v>
      </c>
      <c r="S372" s="6">
        <f>DataTable[HLD_MaturityDate] - DataTable[SEC_Issue_Date]</f>
        <v>1096</v>
      </c>
      <c r="T372" s="66" t="str">
        <f>DataTable[HLD_Portfolio]&amp;DataTable[HLD_Date]</f>
        <v>SCBRF43383</v>
      </c>
      <c r="W372" t="b">
        <f>DataTable[HLD_SecCode]="CB18O18A"</f>
        <v>0</v>
      </c>
    </row>
    <row r="373" spans="1:23" hidden="1" x14ac:dyDescent="0.2">
      <c r="A373" s="66">
        <v>43383</v>
      </c>
      <c r="B373" t="s">
        <v>352</v>
      </c>
      <c r="C373" t="s">
        <v>18</v>
      </c>
      <c r="D373" t="s">
        <v>109</v>
      </c>
      <c r="F373" t="s">
        <v>494</v>
      </c>
      <c r="G373" t="s">
        <v>495</v>
      </c>
      <c r="H373" t="s">
        <v>47</v>
      </c>
      <c r="I373" s="66">
        <v>44109</v>
      </c>
      <c r="J373" s="6">
        <v>4969892.9000000004</v>
      </c>
      <c r="K373">
        <v>1873.95</v>
      </c>
      <c r="L373">
        <v>5000000</v>
      </c>
      <c r="M373">
        <v>1.9235519999999999</v>
      </c>
      <c r="N373">
        <v>5000000</v>
      </c>
      <c r="O373">
        <v>2.2799999999999998</v>
      </c>
      <c r="P373" t="s">
        <v>42</v>
      </c>
      <c r="Q373" t="s">
        <v>23</v>
      </c>
      <c r="R373" s="66">
        <v>43013</v>
      </c>
      <c r="S373" s="6">
        <f>DataTable[HLD_MaturityDate] - DataTable[SEC_Issue_Date]</f>
        <v>1096</v>
      </c>
      <c r="T373" s="66" t="str">
        <f>DataTable[HLD_Portfolio]&amp;DataTable[HLD_Date]</f>
        <v>SCBRF43383</v>
      </c>
      <c r="W373" t="b">
        <f>DataTable[HLD_SecCode]="CB18O18A"</f>
        <v>0</v>
      </c>
    </row>
    <row r="374" spans="1:23" hidden="1" x14ac:dyDescent="0.2">
      <c r="A374" s="66">
        <v>43383</v>
      </c>
      <c r="B374" t="s">
        <v>352</v>
      </c>
      <c r="C374" t="s">
        <v>18</v>
      </c>
      <c r="D374" t="s">
        <v>109</v>
      </c>
      <c r="F374" t="s">
        <v>496</v>
      </c>
      <c r="G374" t="s">
        <v>192</v>
      </c>
      <c r="H374" t="s">
        <v>51</v>
      </c>
      <c r="I374" s="66">
        <v>44287</v>
      </c>
      <c r="J374" s="6">
        <v>14928047.539999999</v>
      </c>
      <c r="K374">
        <v>20712.3</v>
      </c>
      <c r="L374">
        <v>14710105.619999999</v>
      </c>
      <c r="M374">
        <v>2.3176359999999998</v>
      </c>
      <c r="N374">
        <v>14000000</v>
      </c>
      <c r="O374">
        <v>3.25</v>
      </c>
      <c r="P374" t="s">
        <v>42</v>
      </c>
      <c r="Q374" t="s">
        <v>23</v>
      </c>
      <c r="R374" s="66">
        <v>40634</v>
      </c>
      <c r="S374" s="6">
        <f>DataTable[HLD_MaturityDate] - DataTable[SEC_Issue_Date]</f>
        <v>3653</v>
      </c>
      <c r="T374" s="66" t="str">
        <f>DataTable[HLD_Portfolio]&amp;DataTable[HLD_Date]</f>
        <v>SCBRF43383</v>
      </c>
      <c r="W374" t="b">
        <f>DataTable[HLD_SecCode]="CB18O18A"</f>
        <v>0</v>
      </c>
    </row>
    <row r="375" spans="1:23" hidden="1" x14ac:dyDescent="0.2">
      <c r="A375" s="66">
        <v>43383</v>
      </c>
      <c r="B375" t="s">
        <v>352</v>
      </c>
      <c r="C375" t="s">
        <v>18</v>
      </c>
      <c r="D375" t="s">
        <v>109</v>
      </c>
      <c r="F375" t="s">
        <v>497</v>
      </c>
      <c r="G375" t="s">
        <v>192</v>
      </c>
      <c r="H375" t="s">
        <v>51</v>
      </c>
      <c r="I375" s="66">
        <v>45477</v>
      </c>
      <c r="J375" s="6">
        <v>10648592.300000001</v>
      </c>
      <c r="K375">
        <v>130191.8</v>
      </c>
      <c r="L375">
        <v>11000035.5</v>
      </c>
      <c r="M375">
        <v>4.9570410000000003</v>
      </c>
      <c r="N375">
        <v>10000000</v>
      </c>
      <c r="O375">
        <v>2.89</v>
      </c>
      <c r="P375" t="s">
        <v>42</v>
      </c>
      <c r="Q375" t="s">
        <v>23</v>
      </c>
      <c r="R375" s="66">
        <v>41824</v>
      </c>
      <c r="S375" s="6">
        <f>DataTable[HLD_MaturityDate] - DataTable[SEC_Issue_Date]</f>
        <v>3653</v>
      </c>
      <c r="T375" s="66" t="str">
        <f>DataTable[HLD_Portfolio]&amp;DataTable[HLD_Date]</f>
        <v>SCBRF43383</v>
      </c>
      <c r="W375" t="b">
        <f>DataTable[HLD_SecCode]="CB18O18A"</f>
        <v>0</v>
      </c>
    </row>
    <row r="376" spans="1:23" hidden="1" x14ac:dyDescent="0.2">
      <c r="A376" s="66">
        <v>43383</v>
      </c>
      <c r="B376" t="s">
        <v>352</v>
      </c>
      <c r="C376" t="s">
        <v>18</v>
      </c>
      <c r="D376" t="s">
        <v>109</v>
      </c>
      <c r="F376" t="s">
        <v>498</v>
      </c>
      <c r="G376" t="s">
        <v>192</v>
      </c>
      <c r="H376" t="s">
        <v>51</v>
      </c>
      <c r="I376" s="66">
        <v>46498</v>
      </c>
      <c r="J376" s="6">
        <v>10419292.6</v>
      </c>
      <c r="K376">
        <v>197646.53</v>
      </c>
      <c r="L376">
        <v>10482872.1</v>
      </c>
      <c r="M376">
        <v>7.1726489999999998</v>
      </c>
      <c r="N376">
        <v>10000000</v>
      </c>
      <c r="O376">
        <v>3.51</v>
      </c>
      <c r="P376" t="s">
        <v>42</v>
      </c>
      <c r="Q376" t="s">
        <v>23</v>
      </c>
      <c r="R376" s="66">
        <v>42846</v>
      </c>
      <c r="S376" s="6">
        <f>DataTable[HLD_MaturityDate] - DataTable[SEC_Issue_Date]</f>
        <v>3652</v>
      </c>
      <c r="T376" s="66" t="str">
        <f>DataTable[HLD_Portfolio]&amp;DataTable[HLD_Date]</f>
        <v>SCBRF43383</v>
      </c>
      <c r="W376" t="b">
        <f>DataTable[HLD_SecCode]="CB18O18A"</f>
        <v>0</v>
      </c>
    </row>
    <row r="377" spans="1:23" hidden="1" x14ac:dyDescent="0.2">
      <c r="A377" s="66">
        <v>43383</v>
      </c>
      <c r="B377" t="s">
        <v>352</v>
      </c>
      <c r="C377" t="s">
        <v>18</v>
      </c>
      <c r="D377" t="s">
        <v>109</v>
      </c>
      <c r="F377" t="s">
        <v>499</v>
      </c>
      <c r="G377" t="s">
        <v>21</v>
      </c>
      <c r="H377" t="s">
        <v>317</v>
      </c>
      <c r="I377" s="66">
        <v>44138</v>
      </c>
      <c r="J377" s="6">
        <v>9886364</v>
      </c>
      <c r="K377">
        <v>81602.7</v>
      </c>
      <c r="L377">
        <v>10000000</v>
      </c>
      <c r="M377">
        <v>1.9931779999999999</v>
      </c>
      <c r="N377">
        <v>10000000</v>
      </c>
      <c r="O377">
        <v>1.85</v>
      </c>
      <c r="P377" t="s">
        <v>42</v>
      </c>
      <c r="Q377" t="s">
        <v>23</v>
      </c>
      <c r="R377" s="66">
        <v>43042</v>
      </c>
      <c r="S377" s="6">
        <f>DataTable[HLD_MaturityDate] - DataTable[SEC_Issue_Date]</f>
        <v>1096</v>
      </c>
      <c r="T377" s="66" t="str">
        <f>DataTable[HLD_Portfolio]&amp;DataTable[HLD_Date]</f>
        <v>SCBRF43383</v>
      </c>
      <c r="W377" t="b">
        <f>DataTable[HLD_SecCode]="CB18O18A"</f>
        <v>0</v>
      </c>
    </row>
    <row r="378" spans="1:23" hidden="1" x14ac:dyDescent="0.2">
      <c r="A378" s="66">
        <v>43383</v>
      </c>
      <c r="B378" t="s">
        <v>352</v>
      </c>
      <c r="C378" t="s">
        <v>18</v>
      </c>
      <c r="D378" t="s">
        <v>109</v>
      </c>
      <c r="F378" t="s">
        <v>500</v>
      </c>
      <c r="G378" t="s">
        <v>501</v>
      </c>
      <c r="H378" t="s">
        <v>47</v>
      </c>
      <c r="I378" s="66">
        <v>45021</v>
      </c>
      <c r="J378" s="6">
        <v>42822351.439999998</v>
      </c>
      <c r="K378">
        <v>17792.72</v>
      </c>
      <c r="L378">
        <v>44000000</v>
      </c>
      <c r="M378">
        <v>4.2007459999999996</v>
      </c>
      <c r="N378">
        <v>44000000</v>
      </c>
      <c r="O378">
        <v>2.46</v>
      </c>
      <c r="P378" t="s">
        <v>42</v>
      </c>
      <c r="Q378" t="s">
        <v>23</v>
      </c>
      <c r="R378" s="66">
        <v>43195</v>
      </c>
      <c r="S378" s="6">
        <f>DataTable[HLD_MaturityDate] - DataTable[SEC_Issue_Date]</f>
        <v>1826</v>
      </c>
      <c r="T378" s="66" t="str">
        <f>DataTable[HLD_Portfolio]&amp;DataTable[HLD_Date]</f>
        <v>SCBRF43383</v>
      </c>
      <c r="W378" t="b">
        <f>DataTable[HLD_SecCode]="CB18O18A"</f>
        <v>0</v>
      </c>
    </row>
    <row r="379" spans="1:23" hidden="1" x14ac:dyDescent="0.2">
      <c r="A379" s="66">
        <v>43383</v>
      </c>
      <c r="B379" t="s">
        <v>352</v>
      </c>
      <c r="C379" t="s">
        <v>18</v>
      </c>
      <c r="D379" t="s">
        <v>109</v>
      </c>
      <c r="F379" t="s">
        <v>502</v>
      </c>
      <c r="G379" t="s">
        <v>255</v>
      </c>
      <c r="H379" t="s">
        <v>51</v>
      </c>
      <c r="I379" s="66">
        <v>44446</v>
      </c>
      <c r="J379" s="6">
        <v>10552441.93</v>
      </c>
      <c r="K379">
        <v>26560.95</v>
      </c>
      <c r="L379">
        <v>10801813.4</v>
      </c>
      <c r="M379">
        <v>2.7651870000000001</v>
      </c>
      <c r="N379">
        <v>10600000</v>
      </c>
      <c r="O379">
        <v>2.0150000000000001</v>
      </c>
      <c r="P379" t="s">
        <v>42</v>
      </c>
      <c r="Q379" t="s">
        <v>23</v>
      </c>
      <c r="R379" s="66">
        <v>42620</v>
      </c>
      <c r="S379" s="6">
        <f>DataTable[HLD_MaturityDate] - DataTable[SEC_Issue_Date]</f>
        <v>1826</v>
      </c>
      <c r="T379" s="66" t="str">
        <f>DataTable[HLD_Portfolio]&amp;DataTable[HLD_Date]</f>
        <v>SCBRF43383</v>
      </c>
      <c r="W379" t="b">
        <f>DataTable[HLD_SecCode]="CB18O18A"</f>
        <v>0</v>
      </c>
    </row>
    <row r="380" spans="1:23" hidden="1" x14ac:dyDescent="0.2">
      <c r="A380" s="66">
        <v>43383</v>
      </c>
      <c r="B380" t="s">
        <v>352</v>
      </c>
      <c r="C380" t="s">
        <v>18</v>
      </c>
      <c r="D380" t="s">
        <v>109</v>
      </c>
      <c r="F380" t="s">
        <v>503</v>
      </c>
      <c r="G380" t="s">
        <v>255</v>
      </c>
      <c r="H380" t="s">
        <v>51</v>
      </c>
      <c r="I380" s="66">
        <v>45176</v>
      </c>
      <c r="J380" s="6">
        <v>1992990</v>
      </c>
      <c r="K380">
        <v>5719.46</v>
      </c>
      <c r="L380">
        <v>2030306.32</v>
      </c>
      <c r="M380">
        <v>4.5042559999999998</v>
      </c>
      <c r="N380">
        <v>2000000</v>
      </c>
      <c r="O380">
        <v>2.74</v>
      </c>
      <c r="P380" t="s">
        <v>42</v>
      </c>
      <c r="Q380" t="s">
        <v>23</v>
      </c>
      <c r="R380" s="66">
        <v>42620</v>
      </c>
      <c r="S380" s="6">
        <f>DataTable[HLD_MaturityDate] - DataTable[SEC_Issue_Date]</f>
        <v>2556</v>
      </c>
      <c r="T380" s="66" t="str">
        <f>DataTable[HLD_Portfolio]&amp;DataTable[HLD_Date]</f>
        <v>SCBRF43383</v>
      </c>
      <c r="W380" t="b">
        <f>DataTable[HLD_SecCode]="CB18O18A"</f>
        <v>0</v>
      </c>
    </row>
    <row r="381" spans="1:23" hidden="1" x14ac:dyDescent="0.2">
      <c r="A381" s="66">
        <v>43383</v>
      </c>
      <c r="B381" t="s">
        <v>352</v>
      </c>
      <c r="C381" t="s">
        <v>18</v>
      </c>
      <c r="D381" t="s">
        <v>109</v>
      </c>
      <c r="F381" t="s">
        <v>504</v>
      </c>
      <c r="G381" t="s">
        <v>257</v>
      </c>
      <c r="H381" t="s">
        <v>47</v>
      </c>
      <c r="I381" s="66">
        <v>44341</v>
      </c>
      <c r="J381" s="6">
        <v>14892074.4</v>
      </c>
      <c r="K381">
        <v>131383.5</v>
      </c>
      <c r="L381">
        <v>15000000</v>
      </c>
      <c r="M381">
        <v>2.5065400000000002</v>
      </c>
      <c r="N381">
        <v>15000000</v>
      </c>
      <c r="O381">
        <v>2.2999999999999998</v>
      </c>
      <c r="P381" t="s">
        <v>42</v>
      </c>
      <c r="Q381" t="s">
        <v>23</v>
      </c>
      <c r="R381" s="66">
        <v>42515</v>
      </c>
      <c r="S381" s="6">
        <f>DataTable[HLD_MaturityDate] - DataTable[SEC_Issue_Date]</f>
        <v>1826</v>
      </c>
      <c r="T381" s="66" t="str">
        <f>DataTable[HLD_Portfolio]&amp;DataTable[HLD_Date]</f>
        <v>SCBRF43383</v>
      </c>
      <c r="W381" t="b">
        <f>DataTable[HLD_SecCode]="CB18O18A"</f>
        <v>0</v>
      </c>
    </row>
    <row r="382" spans="1:23" hidden="1" x14ac:dyDescent="0.2">
      <c r="A382" s="66">
        <v>43383</v>
      </c>
      <c r="B382" t="s">
        <v>352</v>
      </c>
      <c r="C382" t="s">
        <v>18</v>
      </c>
      <c r="D382" t="s">
        <v>109</v>
      </c>
      <c r="F382" t="s">
        <v>505</v>
      </c>
      <c r="G382" t="s">
        <v>257</v>
      </c>
      <c r="H382" t="s">
        <v>47</v>
      </c>
      <c r="I382" s="66">
        <v>44763</v>
      </c>
      <c r="J382" s="6">
        <v>7011254.7400000002</v>
      </c>
      <c r="K382">
        <v>46391.8</v>
      </c>
      <c r="L382">
        <v>7000000</v>
      </c>
      <c r="M382">
        <v>3.5307789999999999</v>
      </c>
      <c r="N382">
        <v>7000000</v>
      </c>
      <c r="O382">
        <v>2.95</v>
      </c>
      <c r="P382" t="s">
        <v>42</v>
      </c>
      <c r="Q382" t="s">
        <v>23</v>
      </c>
      <c r="R382" s="66">
        <v>42937</v>
      </c>
      <c r="S382" s="6">
        <f>DataTable[HLD_MaturityDate] - DataTable[SEC_Issue_Date]</f>
        <v>1826</v>
      </c>
      <c r="T382" s="66" t="str">
        <f>DataTable[HLD_Portfolio]&amp;DataTable[HLD_Date]</f>
        <v>SCBRF43383</v>
      </c>
      <c r="W382" t="b">
        <f>DataTable[HLD_SecCode]="CB18O18A"</f>
        <v>0</v>
      </c>
    </row>
    <row r="383" spans="1:23" hidden="1" x14ac:dyDescent="0.2">
      <c r="A383" s="66">
        <v>43383</v>
      </c>
      <c r="B383" t="s">
        <v>352</v>
      </c>
      <c r="C383" t="s">
        <v>18</v>
      </c>
      <c r="D383" t="s">
        <v>109</v>
      </c>
      <c r="F383" t="s">
        <v>506</v>
      </c>
      <c r="G383" t="s">
        <v>257</v>
      </c>
      <c r="H383" t="s">
        <v>47</v>
      </c>
      <c r="I383" s="66">
        <v>45013</v>
      </c>
      <c r="J383" s="6">
        <v>10752167.689999999</v>
      </c>
      <c r="K383">
        <v>9872.83</v>
      </c>
      <c r="L383">
        <v>11000000</v>
      </c>
      <c r="M383">
        <v>4.1755339999999999</v>
      </c>
      <c r="N383">
        <v>11000000</v>
      </c>
      <c r="O383">
        <v>2.52</v>
      </c>
      <c r="P383" t="s">
        <v>42</v>
      </c>
      <c r="Q383" t="s">
        <v>23</v>
      </c>
      <c r="R383" s="66">
        <v>43187</v>
      </c>
      <c r="S383" s="6">
        <f>DataTable[HLD_MaturityDate] - DataTable[SEC_Issue_Date]</f>
        <v>1826</v>
      </c>
      <c r="T383" s="66" t="str">
        <f>DataTable[HLD_Portfolio]&amp;DataTable[HLD_Date]</f>
        <v>SCBRF43383</v>
      </c>
      <c r="W383" t="b">
        <f>DataTable[HLD_SecCode]="CB18O18A"</f>
        <v>0</v>
      </c>
    </row>
    <row r="384" spans="1:23" hidden="1" x14ac:dyDescent="0.2">
      <c r="A384" s="66">
        <v>43383</v>
      </c>
      <c r="B384" t="s">
        <v>352</v>
      </c>
      <c r="C384" t="s">
        <v>18</v>
      </c>
      <c r="D384" t="s">
        <v>109</v>
      </c>
      <c r="F384" t="s">
        <v>507</v>
      </c>
      <c r="G384" t="s">
        <v>508</v>
      </c>
      <c r="H384" t="s">
        <v>47</v>
      </c>
      <c r="I384" s="66">
        <v>43779</v>
      </c>
      <c r="J384" s="6">
        <v>25126353.75</v>
      </c>
      <c r="K384">
        <v>259479.5</v>
      </c>
      <c r="L384">
        <v>25181382.25</v>
      </c>
      <c r="M384">
        <v>1.0537030000000001</v>
      </c>
      <c r="N384">
        <v>25000000</v>
      </c>
      <c r="O384">
        <v>1.77</v>
      </c>
      <c r="P384" t="s">
        <v>42</v>
      </c>
      <c r="Q384" t="s">
        <v>23</v>
      </c>
      <c r="R384" s="66">
        <v>42684</v>
      </c>
      <c r="S384" s="6">
        <f>DataTable[HLD_MaturityDate] - DataTable[SEC_Issue_Date]</f>
        <v>1095</v>
      </c>
      <c r="T384" s="66" t="str">
        <f>DataTable[HLD_Portfolio]&amp;DataTable[HLD_Date]</f>
        <v>SCBRF43383</v>
      </c>
      <c r="W384" t="b">
        <f>DataTable[HLD_SecCode]="CB18O18A"</f>
        <v>0</v>
      </c>
    </row>
    <row r="385" spans="1:23" hidden="1" x14ac:dyDescent="0.2">
      <c r="A385" s="66">
        <v>43383</v>
      </c>
      <c r="B385" t="s">
        <v>352</v>
      </c>
      <c r="C385" t="s">
        <v>18</v>
      </c>
      <c r="D385" t="s">
        <v>109</v>
      </c>
      <c r="F385" t="s">
        <v>509</v>
      </c>
      <c r="G385" t="s">
        <v>194</v>
      </c>
      <c r="H385" t="s">
        <v>47</v>
      </c>
      <c r="I385" s="66">
        <v>44191</v>
      </c>
      <c r="J385" s="6">
        <v>20843289.600000001</v>
      </c>
      <c r="K385">
        <v>137898.18</v>
      </c>
      <c r="L385">
        <v>21000000</v>
      </c>
      <c r="M385">
        <v>2.1256740000000001</v>
      </c>
      <c r="N385">
        <v>21000000</v>
      </c>
      <c r="O385">
        <v>2.2400000000000002</v>
      </c>
      <c r="P385" t="s">
        <v>42</v>
      </c>
      <c r="Q385" t="s">
        <v>23</v>
      </c>
      <c r="R385" s="66">
        <v>43095</v>
      </c>
      <c r="S385" s="6">
        <f>DataTable[HLD_MaturityDate] - DataTable[SEC_Issue_Date]</f>
        <v>1096</v>
      </c>
      <c r="T385" s="66" t="str">
        <f>DataTable[HLD_Portfolio]&amp;DataTable[HLD_Date]</f>
        <v>SCBRF43383</v>
      </c>
      <c r="W385" t="b">
        <f>DataTable[HLD_SecCode]="CB18O18A"</f>
        <v>0</v>
      </c>
    </row>
    <row r="386" spans="1:23" hidden="1" x14ac:dyDescent="0.2">
      <c r="A386" s="66">
        <v>43383</v>
      </c>
      <c r="B386" t="s">
        <v>352</v>
      </c>
      <c r="C386" t="s">
        <v>18</v>
      </c>
      <c r="D386" t="s">
        <v>109</v>
      </c>
      <c r="F386" t="s">
        <v>510</v>
      </c>
      <c r="G386" t="s">
        <v>511</v>
      </c>
      <c r="H386" t="s">
        <v>123</v>
      </c>
      <c r="I386" s="66">
        <v>43997</v>
      </c>
      <c r="J386" s="6">
        <v>29852868.300000001</v>
      </c>
      <c r="K386">
        <v>216279.6</v>
      </c>
      <c r="L386">
        <v>30000000</v>
      </c>
      <c r="M386">
        <v>1.624603</v>
      </c>
      <c r="N386">
        <v>30000000</v>
      </c>
      <c r="O386">
        <v>2.23</v>
      </c>
      <c r="P386" t="s">
        <v>42</v>
      </c>
      <c r="Q386" t="s">
        <v>23</v>
      </c>
      <c r="R386" s="66">
        <v>43266</v>
      </c>
      <c r="S386" s="6">
        <f>DataTable[HLD_MaturityDate] - DataTable[SEC_Issue_Date]</f>
        <v>731</v>
      </c>
      <c r="T386" s="66" t="str">
        <f>DataTable[HLD_Portfolio]&amp;DataTable[HLD_Date]</f>
        <v>SCBRF43383</v>
      </c>
      <c r="W386" t="b">
        <f>DataTable[HLD_SecCode]="CB18O18A"</f>
        <v>0</v>
      </c>
    </row>
    <row r="387" spans="1:23" hidden="1" x14ac:dyDescent="0.2">
      <c r="A387" s="66">
        <v>43383</v>
      </c>
      <c r="B387" t="s">
        <v>352</v>
      </c>
      <c r="C387" t="s">
        <v>18</v>
      </c>
      <c r="D387" t="s">
        <v>109</v>
      </c>
      <c r="F387" t="s">
        <v>512</v>
      </c>
      <c r="G387" t="s">
        <v>513</v>
      </c>
      <c r="H387" t="s">
        <v>123</v>
      </c>
      <c r="I387" s="66">
        <v>44138</v>
      </c>
      <c r="J387" s="6">
        <v>10942658.43</v>
      </c>
      <c r="K387">
        <v>108686.05</v>
      </c>
      <c r="L387">
        <v>11039112.26</v>
      </c>
      <c r="M387">
        <v>1.983293</v>
      </c>
      <c r="N387">
        <v>11000000</v>
      </c>
      <c r="O387">
        <v>2.058182</v>
      </c>
      <c r="P387" t="s">
        <v>42</v>
      </c>
      <c r="Q387" t="s">
        <v>23</v>
      </c>
      <c r="R387" s="66">
        <v>43042</v>
      </c>
      <c r="S387" s="6">
        <f>DataTable[HLD_MaturityDate] - DataTable[SEC_Issue_Date]</f>
        <v>1096</v>
      </c>
      <c r="T387" s="66" t="str">
        <f>DataTable[HLD_Portfolio]&amp;DataTable[HLD_Date]</f>
        <v>SCBRF43383</v>
      </c>
      <c r="W387" t="b">
        <f>DataTable[HLD_SecCode]="CB18O18A"</f>
        <v>0</v>
      </c>
    </row>
    <row r="388" spans="1:23" hidden="1" x14ac:dyDescent="0.2">
      <c r="A388" s="66">
        <v>43383</v>
      </c>
      <c r="B388" t="s">
        <v>352</v>
      </c>
      <c r="C388" t="s">
        <v>18</v>
      </c>
      <c r="D388" t="s">
        <v>109</v>
      </c>
      <c r="F388" t="s">
        <v>514</v>
      </c>
      <c r="G388" t="s">
        <v>196</v>
      </c>
      <c r="H388" t="s">
        <v>51</v>
      </c>
      <c r="I388" s="66">
        <v>44410</v>
      </c>
      <c r="J388" s="6">
        <v>10611883.800000001</v>
      </c>
      <c r="K388">
        <v>93972.6</v>
      </c>
      <c r="L388">
        <v>10752783.5</v>
      </c>
      <c r="M388">
        <v>2.6107879999999999</v>
      </c>
      <c r="N388">
        <v>10000000</v>
      </c>
      <c r="O388">
        <v>2.12</v>
      </c>
      <c r="P388" t="s">
        <v>42</v>
      </c>
      <c r="Q388" t="s">
        <v>23</v>
      </c>
      <c r="R388" s="66">
        <v>41488</v>
      </c>
      <c r="S388" s="6">
        <f>DataTable[HLD_MaturityDate] - DataTable[SEC_Issue_Date]</f>
        <v>2922</v>
      </c>
      <c r="T388" s="66" t="str">
        <f>DataTable[HLD_Portfolio]&amp;DataTable[HLD_Date]</f>
        <v>SCBRF43383</v>
      </c>
      <c r="W388" t="b">
        <f>DataTable[HLD_SecCode]="CB18O18A"</f>
        <v>0</v>
      </c>
    </row>
    <row r="389" spans="1:23" hidden="1" x14ac:dyDescent="0.2">
      <c r="A389" s="66">
        <v>43383</v>
      </c>
      <c r="B389" t="s">
        <v>352</v>
      </c>
      <c r="C389" t="s">
        <v>18</v>
      </c>
      <c r="D389" t="s">
        <v>109</v>
      </c>
      <c r="F389" t="s">
        <v>515</v>
      </c>
      <c r="G389" t="s">
        <v>196</v>
      </c>
      <c r="H389" t="s">
        <v>51</v>
      </c>
      <c r="I389" s="66">
        <v>45681</v>
      </c>
      <c r="J389" s="6">
        <v>27537518.960000001</v>
      </c>
      <c r="K389">
        <v>184838.36</v>
      </c>
      <c r="L389">
        <v>28000000</v>
      </c>
      <c r="M389">
        <v>5.632987</v>
      </c>
      <c r="N389">
        <v>28000000</v>
      </c>
      <c r="O389">
        <v>3.05</v>
      </c>
      <c r="P389" t="s">
        <v>42</v>
      </c>
      <c r="Q389" t="s">
        <v>23</v>
      </c>
      <c r="R389" s="66">
        <v>43124</v>
      </c>
      <c r="S389" s="6">
        <f>DataTable[HLD_MaturityDate] - DataTable[SEC_Issue_Date]</f>
        <v>2557</v>
      </c>
      <c r="T389" s="66" t="str">
        <f>DataTable[HLD_Portfolio]&amp;DataTable[HLD_Date]</f>
        <v>SCBRF43383</v>
      </c>
      <c r="W389" t="b">
        <f>DataTable[HLD_SecCode]="CB18O18A"</f>
        <v>0</v>
      </c>
    </row>
    <row r="390" spans="1:23" hidden="1" x14ac:dyDescent="0.2">
      <c r="A390" s="66">
        <v>43383</v>
      </c>
      <c r="B390" t="s">
        <v>352</v>
      </c>
      <c r="C390" t="s">
        <v>18</v>
      </c>
      <c r="D390" t="s">
        <v>109</v>
      </c>
      <c r="F390" t="s">
        <v>261</v>
      </c>
      <c r="G390" t="s">
        <v>260</v>
      </c>
      <c r="H390" t="s">
        <v>29</v>
      </c>
      <c r="I390" s="66">
        <v>44165</v>
      </c>
      <c r="J390" s="6">
        <v>7936101.4400000004</v>
      </c>
      <c r="K390">
        <v>90459.199999999997</v>
      </c>
      <c r="L390">
        <v>8000000</v>
      </c>
      <c r="M390">
        <v>2.0267909999999998</v>
      </c>
      <c r="N390">
        <v>8000000</v>
      </c>
      <c r="O390">
        <v>3.08</v>
      </c>
      <c r="P390" t="s">
        <v>42</v>
      </c>
      <c r="Q390" t="s">
        <v>23</v>
      </c>
      <c r="R390" s="66">
        <v>43069</v>
      </c>
      <c r="S390" s="6">
        <f>DataTable[HLD_MaturityDate] - DataTable[SEC_Issue_Date]</f>
        <v>1096</v>
      </c>
      <c r="T390" s="66" t="str">
        <f>DataTable[HLD_Portfolio]&amp;DataTable[HLD_Date]</f>
        <v>SCBRF43383</v>
      </c>
      <c r="W390" t="b">
        <f>DataTable[HLD_SecCode]="CB18O18A"</f>
        <v>0</v>
      </c>
    </row>
    <row r="391" spans="1:23" hidden="1" x14ac:dyDescent="0.2">
      <c r="A391" s="66">
        <v>43383</v>
      </c>
      <c r="B391" t="s">
        <v>352</v>
      </c>
      <c r="C391" t="s">
        <v>18</v>
      </c>
      <c r="D391" t="s">
        <v>109</v>
      </c>
      <c r="F391" t="s">
        <v>211</v>
      </c>
      <c r="G391" t="s">
        <v>212</v>
      </c>
      <c r="H391" t="s">
        <v>29</v>
      </c>
      <c r="I391" s="66">
        <v>43792</v>
      </c>
      <c r="J391" s="6">
        <v>17080207.699999999</v>
      </c>
      <c r="K391">
        <v>219998.7</v>
      </c>
      <c r="L391">
        <v>17000000</v>
      </c>
      <c r="M391">
        <v>1.0776760000000001</v>
      </c>
      <c r="N391">
        <v>17000000</v>
      </c>
      <c r="O391">
        <v>3.35</v>
      </c>
      <c r="P391" t="s">
        <v>42</v>
      </c>
      <c r="Q391" t="s">
        <v>23</v>
      </c>
      <c r="R391" s="66">
        <v>42697</v>
      </c>
      <c r="S391" s="6">
        <f>DataTable[HLD_MaturityDate] - DataTable[SEC_Issue_Date]</f>
        <v>1095</v>
      </c>
      <c r="T391" s="66" t="str">
        <f>DataTable[HLD_Portfolio]&amp;DataTable[HLD_Date]</f>
        <v>SCBRF43383</v>
      </c>
      <c r="W391" t="b">
        <f>DataTable[HLD_SecCode]="CB18O18A"</f>
        <v>0</v>
      </c>
    </row>
    <row r="392" spans="1:23" hidden="1" x14ac:dyDescent="0.2">
      <c r="A392" s="66">
        <v>43383</v>
      </c>
      <c r="B392" t="s">
        <v>352</v>
      </c>
      <c r="C392" t="s">
        <v>18</v>
      </c>
      <c r="D392" t="s">
        <v>109</v>
      </c>
      <c r="F392" t="s">
        <v>516</v>
      </c>
      <c r="G392" t="s">
        <v>518</v>
      </c>
      <c r="H392" t="s">
        <v>517</v>
      </c>
      <c r="I392" s="66">
        <v>44468</v>
      </c>
      <c r="J392" s="6">
        <v>8930098.8900000006</v>
      </c>
      <c r="K392">
        <v>6539.22</v>
      </c>
      <c r="L392">
        <v>9000000</v>
      </c>
      <c r="M392">
        <v>2.8464499999999999</v>
      </c>
      <c r="N392">
        <v>9000000</v>
      </c>
      <c r="O392">
        <v>2.21</v>
      </c>
      <c r="P392" t="s">
        <v>42</v>
      </c>
      <c r="Q392" t="s">
        <v>23</v>
      </c>
      <c r="R392" s="66">
        <v>43007</v>
      </c>
      <c r="S392" s="6">
        <f>DataTable[HLD_MaturityDate] - DataTable[SEC_Issue_Date]</f>
        <v>1461</v>
      </c>
      <c r="T392" s="66" t="str">
        <f>DataTable[HLD_Portfolio]&amp;DataTable[HLD_Date]</f>
        <v>SCBRF43383</v>
      </c>
      <c r="W392" t="b">
        <f>DataTable[HLD_SecCode]="CB18O18A"</f>
        <v>0</v>
      </c>
    </row>
    <row r="393" spans="1:23" hidden="1" x14ac:dyDescent="0.2">
      <c r="A393" s="66">
        <v>43383</v>
      </c>
      <c r="B393" t="s">
        <v>352</v>
      </c>
      <c r="C393" t="s">
        <v>18</v>
      </c>
      <c r="D393" t="s">
        <v>109</v>
      </c>
      <c r="F393" t="s">
        <v>520</v>
      </c>
      <c r="G393" t="s">
        <v>522</v>
      </c>
      <c r="H393" t="s">
        <v>521</v>
      </c>
      <c r="I393" s="66">
        <v>44325</v>
      </c>
      <c r="J393" s="6">
        <v>4224066.92</v>
      </c>
      <c r="K393">
        <v>84252.04</v>
      </c>
      <c r="L393">
        <v>4256338.12</v>
      </c>
      <c r="M393">
        <v>2.3781780000000001</v>
      </c>
      <c r="N393">
        <v>4000000</v>
      </c>
      <c r="O393">
        <v>2.375</v>
      </c>
      <c r="P393" t="s">
        <v>42</v>
      </c>
      <c r="Q393" t="s">
        <v>23</v>
      </c>
      <c r="R393" s="66">
        <v>41768</v>
      </c>
      <c r="S393" s="6">
        <f>DataTable[HLD_MaturityDate] - DataTable[SEC_Issue_Date]</f>
        <v>2557</v>
      </c>
      <c r="T393" s="66" t="str">
        <f>DataTable[HLD_Portfolio]&amp;DataTable[HLD_Date]</f>
        <v>SCBRF43383</v>
      </c>
      <c r="W393" t="b">
        <f>DataTable[HLD_SecCode]="CB18O18A"</f>
        <v>0</v>
      </c>
    </row>
    <row r="394" spans="1:23" hidden="1" x14ac:dyDescent="0.2">
      <c r="A394" s="66">
        <v>43383</v>
      </c>
      <c r="B394" t="s">
        <v>352</v>
      </c>
      <c r="C394" t="s">
        <v>18</v>
      </c>
      <c r="D394" t="s">
        <v>109</v>
      </c>
      <c r="F394" t="s">
        <v>523</v>
      </c>
      <c r="G394" t="s">
        <v>524</v>
      </c>
      <c r="H394" t="s">
        <v>41</v>
      </c>
      <c r="I394" s="66">
        <v>43955</v>
      </c>
      <c r="J394" s="6">
        <v>7032068.54</v>
      </c>
      <c r="K394">
        <v>79780.820000000007</v>
      </c>
      <c r="L394">
        <v>7000000</v>
      </c>
      <c r="M394">
        <v>1.510397</v>
      </c>
      <c r="N394">
        <v>7000000</v>
      </c>
      <c r="O394">
        <v>2.6</v>
      </c>
      <c r="P394" t="s">
        <v>42</v>
      </c>
      <c r="Q394" t="s">
        <v>23</v>
      </c>
      <c r="R394" s="66">
        <v>42859</v>
      </c>
      <c r="S394" s="6">
        <f>DataTable[HLD_MaturityDate] - DataTable[SEC_Issue_Date]</f>
        <v>1096</v>
      </c>
      <c r="T394" s="66" t="str">
        <f>DataTable[HLD_Portfolio]&amp;DataTable[HLD_Date]</f>
        <v>SCBRF43383</v>
      </c>
      <c r="W394" t="b">
        <f>DataTable[HLD_SecCode]="CB18O18A"</f>
        <v>0</v>
      </c>
    </row>
    <row r="395" spans="1:23" hidden="1" x14ac:dyDescent="0.2">
      <c r="A395" s="66">
        <v>43383</v>
      </c>
      <c r="B395" t="s">
        <v>352</v>
      </c>
      <c r="C395" t="s">
        <v>18</v>
      </c>
      <c r="D395" t="s">
        <v>109</v>
      </c>
      <c r="F395" t="s">
        <v>225</v>
      </c>
      <c r="G395" t="s">
        <v>224</v>
      </c>
      <c r="H395" t="s">
        <v>123</v>
      </c>
      <c r="I395" s="66">
        <v>43920</v>
      </c>
      <c r="J395" s="6">
        <v>39674066.799999997</v>
      </c>
      <c r="K395">
        <v>21096</v>
      </c>
      <c r="L395">
        <v>40000000</v>
      </c>
      <c r="M395">
        <v>1.4360360000000001</v>
      </c>
      <c r="N395">
        <v>40000000</v>
      </c>
      <c r="O395">
        <v>1.75</v>
      </c>
      <c r="P395" t="s">
        <v>42</v>
      </c>
      <c r="Q395" t="s">
        <v>23</v>
      </c>
      <c r="R395" s="66">
        <v>43189</v>
      </c>
      <c r="S395" s="6">
        <f>DataTable[HLD_MaturityDate] - DataTable[SEC_Issue_Date]</f>
        <v>731</v>
      </c>
      <c r="T395" s="66" t="str">
        <f>DataTable[HLD_Portfolio]&amp;DataTable[HLD_Date]</f>
        <v>SCBRF43383</v>
      </c>
      <c r="W395" t="b">
        <f>DataTable[HLD_SecCode]="CB18O18A"</f>
        <v>0</v>
      </c>
    </row>
    <row r="396" spans="1:23" hidden="1" x14ac:dyDescent="0.2">
      <c r="A396" s="66">
        <v>43383</v>
      </c>
      <c r="B396" t="s">
        <v>352</v>
      </c>
      <c r="C396" t="s">
        <v>18</v>
      </c>
      <c r="D396" t="s">
        <v>109</v>
      </c>
      <c r="F396" t="s">
        <v>525</v>
      </c>
      <c r="G396" t="s">
        <v>526</v>
      </c>
      <c r="H396" t="s">
        <v>47</v>
      </c>
      <c r="I396" s="66">
        <v>43813</v>
      </c>
      <c r="J396" s="6">
        <v>2993799.33</v>
      </c>
      <c r="K396">
        <v>19366.02</v>
      </c>
      <c r="L396">
        <v>3000000</v>
      </c>
      <c r="M396">
        <v>1.1482889999999999</v>
      </c>
      <c r="N396">
        <v>3000000</v>
      </c>
      <c r="O396">
        <v>1.98</v>
      </c>
      <c r="P396" t="s">
        <v>42</v>
      </c>
      <c r="Q396" t="s">
        <v>23</v>
      </c>
      <c r="R396" s="66">
        <v>43083</v>
      </c>
      <c r="S396" s="6">
        <f>DataTable[HLD_MaturityDate] - DataTable[SEC_Issue_Date]</f>
        <v>730</v>
      </c>
      <c r="T396" s="66" t="str">
        <f>DataTable[HLD_Portfolio]&amp;DataTable[HLD_Date]</f>
        <v>SCBRF43383</v>
      </c>
      <c r="W396" t="b">
        <f>DataTable[HLD_SecCode]="CB18O18A"</f>
        <v>0</v>
      </c>
    </row>
    <row r="397" spans="1:23" hidden="1" x14ac:dyDescent="0.2">
      <c r="A397" s="66">
        <v>43383</v>
      </c>
      <c r="B397" t="s">
        <v>352</v>
      </c>
      <c r="C397" t="s">
        <v>18</v>
      </c>
      <c r="D397" t="s">
        <v>109</v>
      </c>
      <c r="F397" t="s">
        <v>527</v>
      </c>
      <c r="G397" t="s">
        <v>228</v>
      </c>
      <c r="H397" t="s">
        <v>47</v>
      </c>
      <c r="I397" s="66">
        <v>44155</v>
      </c>
      <c r="J397" s="6">
        <v>7013415.1500000004</v>
      </c>
      <c r="K397">
        <v>59743.53</v>
      </c>
      <c r="L397">
        <v>7000000</v>
      </c>
      <c r="M397">
        <v>2.0244230000000001</v>
      </c>
      <c r="N397">
        <v>7000000</v>
      </c>
      <c r="O397">
        <v>2.64</v>
      </c>
      <c r="P397" t="s">
        <v>42</v>
      </c>
      <c r="Q397" t="s">
        <v>23</v>
      </c>
      <c r="R397" s="66">
        <v>42901</v>
      </c>
      <c r="S397" s="6">
        <f>DataTable[HLD_MaturityDate] - DataTable[SEC_Issue_Date]</f>
        <v>1254</v>
      </c>
      <c r="T397" s="66" t="str">
        <f>DataTable[HLD_Portfolio]&amp;DataTable[HLD_Date]</f>
        <v>SCBRF43383</v>
      </c>
      <c r="W397" t="b">
        <f>DataTable[HLD_SecCode]="CB18O18A"</f>
        <v>0</v>
      </c>
    </row>
    <row r="398" spans="1:23" hidden="1" x14ac:dyDescent="0.2">
      <c r="A398" s="66">
        <v>43383</v>
      </c>
      <c r="B398" t="s">
        <v>352</v>
      </c>
      <c r="C398" t="s">
        <v>18</v>
      </c>
      <c r="D398" t="s">
        <v>109</v>
      </c>
      <c r="F398" t="s">
        <v>528</v>
      </c>
      <c r="G398" t="s">
        <v>230</v>
      </c>
      <c r="H398" t="s">
        <v>123</v>
      </c>
      <c r="I398" s="66">
        <v>44156</v>
      </c>
      <c r="J398" s="6">
        <v>4951176.1500000004</v>
      </c>
      <c r="K398">
        <v>43095.9</v>
      </c>
      <c r="L398">
        <v>5000000</v>
      </c>
      <c r="M398">
        <v>2.0310000000000001</v>
      </c>
      <c r="N398">
        <v>5000000</v>
      </c>
      <c r="O398">
        <v>2.2000000000000002</v>
      </c>
      <c r="P398" t="s">
        <v>42</v>
      </c>
      <c r="Q398" t="s">
        <v>23</v>
      </c>
      <c r="R398" s="66">
        <v>43060</v>
      </c>
      <c r="S398" s="6">
        <f>DataTable[HLD_MaturityDate] - DataTable[SEC_Issue_Date]</f>
        <v>1096</v>
      </c>
      <c r="T398" s="66" t="str">
        <f>DataTable[HLD_Portfolio]&amp;DataTable[HLD_Date]</f>
        <v>SCBRF43383</v>
      </c>
      <c r="W398" t="b">
        <f>DataTable[HLD_SecCode]="CB18O18A"</f>
        <v>0</v>
      </c>
    </row>
    <row r="399" spans="1:23" hidden="1" x14ac:dyDescent="0.2">
      <c r="A399" s="66">
        <v>43383</v>
      </c>
      <c r="B399" t="s">
        <v>352</v>
      </c>
      <c r="C399" t="s">
        <v>18</v>
      </c>
      <c r="D399" t="s">
        <v>109</v>
      </c>
      <c r="F399" t="s">
        <v>229</v>
      </c>
      <c r="G399" t="s">
        <v>230</v>
      </c>
      <c r="H399" t="s">
        <v>123</v>
      </c>
      <c r="I399" s="66">
        <v>44260</v>
      </c>
      <c r="J399" s="6">
        <v>10870155.67</v>
      </c>
      <c r="K399">
        <v>23434.51</v>
      </c>
      <c r="L399">
        <v>11000000</v>
      </c>
      <c r="M399">
        <v>2.3130760000000001</v>
      </c>
      <c r="N399">
        <v>11000000</v>
      </c>
      <c r="O399">
        <v>2.16</v>
      </c>
      <c r="P399" t="s">
        <v>42</v>
      </c>
      <c r="Q399" t="s">
        <v>23</v>
      </c>
      <c r="R399" s="66">
        <v>43164</v>
      </c>
      <c r="S399" s="6">
        <f>DataTable[HLD_MaturityDate] - DataTable[SEC_Issue_Date]</f>
        <v>1096</v>
      </c>
      <c r="T399" s="66" t="str">
        <f>DataTable[HLD_Portfolio]&amp;DataTable[HLD_Date]</f>
        <v>SCBRF43383</v>
      </c>
      <c r="W399" t="b">
        <f>DataTable[HLD_SecCode]="CB18O18A"</f>
        <v>0</v>
      </c>
    </row>
    <row r="400" spans="1:23" hidden="1" x14ac:dyDescent="0.2">
      <c r="A400" s="66">
        <v>43383</v>
      </c>
      <c r="B400" t="s">
        <v>352</v>
      </c>
      <c r="C400" t="s">
        <v>18</v>
      </c>
      <c r="D400" t="s">
        <v>109</v>
      </c>
      <c r="F400" t="s">
        <v>529</v>
      </c>
      <c r="G400" t="s">
        <v>82</v>
      </c>
      <c r="H400" t="s">
        <v>47</v>
      </c>
      <c r="I400" s="66">
        <v>43955</v>
      </c>
      <c r="J400" s="6">
        <v>4019829.6</v>
      </c>
      <c r="K400">
        <v>45413.68</v>
      </c>
      <c r="L400">
        <v>4039452.88</v>
      </c>
      <c r="M400">
        <v>1.5108060000000001</v>
      </c>
      <c r="N400">
        <v>4000000</v>
      </c>
      <c r="O400">
        <v>1.94</v>
      </c>
      <c r="P400" t="s">
        <v>42</v>
      </c>
      <c r="Q400" t="s">
        <v>23</v>
      </c>
      <c r="R400" s="66">
        <v>42859</v>
      </c>
      <c r="S400" s="6">
        <f>DataTable[HLD_MaturityDate] - DataTable[SEC_Issue_Date]</f>
        <v>1096</v>
      </c>
      <c r="T400" s="66" t="str">
        <f>DataTable[HLD_Portfolio]&amp;DataTable[HLD_Date]</f>
        <v>SCBRF43383</v>
      </c>
      <c r="W400" t="b">
        <f>DataTable[HLD_SecCode]="CB18O18A"</f>
        <v>0</v>
      </c>
    </row>
    <row r="401" spans="1:23" hidden="1" x14ac:dyDescent="0.2">
      <c r="A401" s="66">
        <v>43383</v>
      </c>
      <c r="B401" t="s">
        <v>352</v>
      </c>
      <c r="C401" t="s">
        <v>18</v>
      </c>
      <c r="D401" t="s">
        <v>109</v>
      </c>
      <c r="F401" t="s">
        <v>232</v>
      </c>
      <c r="G401" t="s">
        <v>82</v>
      </c>
      <c r="H401" t="s">
        <v>47</v>
      </c>
      <c r="I401" s="66">
        <v>44270</v>
      </c>
      <c r="J401" s="6">
        <v>8909321.3100000005</v>
      </c>
      <c r="K401">
        <v>13398.93</v>
      </c>
      <c r="L401">
        <v>9000000</v>
      </c>
      <c r="M401">
        <v>2.3435800000000002</v>
      </c>
      <c r="N401">
        <v>9000000</v>
      </c>
      <c r="O401">
        <v>2.09</v>
      </c>
      <c r="P401" t="s">
        <v>42</v>
      </c>
      <c r="Q401" t="s">
        <v>23</v>
      </c>
      <c r="R401" s="66">
        <v>43174</v>
      </c>
      <c r="S401" s="6">
        <f>DataTable[HLD_MaturityDate] - DataTable[SEC_Issue_Date]</f>
        <v>1096</v>
      </c>
      <c r="T401" s="66" t="str">
        <f>DataTable[HLD_Portfolio]&amp;DataTable[HLD_Date]</f>
        <v>SCBRF43383</v>
      </c>
      <c r="W401" t="b">
        <f>DataTable[HLD_SecCode]="CB18O18A"</f>
        <v>0</v>
      </c>
    </row>
    <row r="402" spans="1:23" hidden="1" x14ac:dyDescent="0.2">
      <c r="A402" s="66">
        <v>43383</v>
      </c>
      <c r="B402" t="s">
        <v>352</v>
      </c>
      <c r="C402" t="s">
        <v>18</v>
      </c>
      <c r="D402" t="s">
        <v>109</v>
      </c>
      <c r="F402" t="s">
        <v>530</v>
      </c>
      <c r="G402" t="s">
        <v>237</v>
      </c>
      <c r="H402" t="s">
        <v>123</v>
      </c>
      <c r="I402" s="66">
        <v>44471</v>
      </c>
      <c r="J402" s="6">
        <v>10486902.5</v>
      </c>
      <c r="K402">
        <v>11539.7</v>
      </c>
      <c r="L402">
        <v>10580380.199999999</v>
      </c>
      <c r="M402">
        <v>2.7712780000000001</v>
      </c>
      <c r="N402">
        <v>10000000</v>
      </c>
      <c r="O402">
        <v>2.64</v>
      </c>
      <c r="P402" t="s">
        <v>42</v>
      </c>
      <c r="Q402" t="s">
        <v>23</v>
      </c>
      <c r="R402" s="66">
        <v>41914</v>
      </c>
      <c r="S402" s="6">
        <f>DataTable[HLD_MaturityDate] - DataTable[SEC_Issue_Date]</f>
        <v>2557</v>
      </c>
      <c r="T402" s="66" t="str">
        <f>DataTable[HLD_Portfolio]&amp;DataTable[HLD_Date]</f>
        <v>SCBRF43383</v>
      </c>
      <c r="W402" t="b">
        <f>DataTable[HLD_SecCode]="CB18O18A"</f>
        <v>0</v>
      </c>
    </row>
    <row r="403" spans="1:23" hidden="1" x14ac:dyDescent="0.2">
      <c r="A403" s="66">
        <v>43383</v>
      </c>
      <c r="B403" t="s">
        <v>352</v>
      </c>
      <c r="C403" t="s">
        <v>18</v>
      </c>
      <c r="D403" t="s">
        <v>109</v>
      </c>
      <c r="F403" t="s">
        <v>531</v>
      </c>
      <c r="G403" t="s">
        <v>532</v>
      </c>
      <c r="H403" t="s">
        <v>47</v>
      </c>
      <c r="I403" s="66">
        <v>44057</v>
      </c>
      <c r="J403" s="6">
        <v>5073799.0999999996</v>
      </c>
      <c r="K403">
        <v>25583.55</v>
      </c>
      <c r="L403">
        <v>5071901.6500000004</v>
      </c>
      <c r="M403">
        <v>1.777371</v>
      </c>
      <c r="N403">
        <v>5000000</v>
      </c>
      <c r="O403">
        <v>2.41</v>
      </c>
      <c r="P403" t="s">
        <v>42</v>
      </c>
      <c r="Q403" t="s">
        <v>23</v>
      </c>
      <c r="R403" s="66">
        <v>42230</v>
      </c>
      <c r="S403" s="6">
        <f>DataTable[HLD_MaturityDate] - DataTable[SEC_Issue_Date]</f>
        <v>1827</v>
      </c>
      <c r="T403" s="66" t="str">
        <f>DataTable[HLD_Portfolio]&amp;DataTable[HLD_Date]</f>
        <v>SCBRF43383</v>
      </c>
      <c r="W403" t="b">
        <f>DataTable[HLD_SecCode]="CB18O18A"</f>
        <v>0</v>
      </c>
    </row>
    <row r="404" spans="1:23" hidden="1" x14ac:dyDescent="0.2">
      <c r="A404" s="66">
        <v>43383</v>
      </c>
      <c r="B404" t="s">
        <v>352</v>
      </c>
      <c r="C404" t="s">
        <v>18</v>
      </c>
      <c r="D404" t="s">
        <v>109</v>
      </c>
      <c r="F404" t="s">
        <v>533</v>
      </c>
      <c r="G404" t="s">
        <v>532</v>
      </c>
      <c r="H404" t="s">
        <v>47</v>
      </c>
      <c r="I404" s="66">
        <v>44269</v>
      </c>
      <c r="J404" s="6">
        <v>1982969.56</v>
      </c>
      <c r="K404">
        <v>3254.8</v>
      </c>
      <c r="L404">
        <v>2000000</v>
      </c>
      <c r="M404">
        <v>2.3377979999999998</v>
      </c>
      <c r="N404">
        <v>2000000</v>
      </c>
      <c r="O404">
        <v>2.2000000000000002</v>
      </c>
      <c r="P404" t="s">
        <v>42</v>
      </c>
      <c r="Q404" t="s">
        <v>23</v>
      </c>
      <c r="R404" s="66">
        <v>43173</v>
      </c>
      <c r="S404" s="6">
        <f>DataTable[HLD_MaturityDate] - DataTable[SEC_Issue_Date]</f>
        <v>1096</v>
      </c>
      <c r="T404" s="66" t="str">
        <f>DataTable[HLD_Portfolio]&amp;DataTable[HLD_Date]</f>
        <v>SCBRF43383</v>
      </c>
      <c r="W404" t="b">
        <f>DataTable[HLD_SecCode]="CB18O18A"</f>
        <v>0</v>
      </c>
    </row>
    <row r="405" spans="1:23" hidden="1" x14ac:dyDescent="0.2">
      <c r="A405" s="66">
        <v>43383</v>
      </c>
      <c r="B405" t="s">
        <v>352</v>
      </c>
      <c r="C405" t="s">
        <v>18</v>
      </c>
      <c r="D405" t="s">
        <v>109</v>
      </c>
      <c r="F405" t="s">
        <v>534</v>
      </c>
      <c r="G405" t="s">
        <v>71</v>
      </c>
      <c r="H405" t="s">
        <v>47</v>
      </c>
      <c r="I405" s="66">
        <v>43594</v>
      </c>
      <c r="J405" s="6">
        <v>4993833.7</v>
      </c>
      <c r="K405">
        <v>37157.550000000003</v>
      </c>
      <c r="L405">
        <v>5003925.75</v>
      </c>
      <c r="M405">
        <v>0.56955299999999998</v>
      </c>
      <c r="N405">
        <v>5000000</v>
      </c>
      <c r="O405">
        <v>1.6</v>
      </c>
      <c r="P405" t="s">
        <v>42</v>
      </c>
      <c r="Q405" t="s">
        <v>23</v>
      </c>
      <c r="R405" s="66">
        <v>43048</v>
      </c>
      <c r="S405" s="6">
        <f>DataTable[HLD_MaturityDate] - DataTable[SEC_Issue_Date]</f>
        <v>546</v>
      </c>
      <c r="T405" s="66" t="str">
        <f>DataTable[HLD_Portfolio]&amp;DataTable[HLD_Date]</f>
        <v>SCBRF43383</v>
      </c>
      <c r="W405" t="b">
        <f>DataTable[HLD_SecCode]="CB18O18A"</f>
        <v>0</v>
      </c>
    </row>
    <row r="406" spans="1:23" hidden="1" x14ac:dyDescent="0.2">
      <c r="A406" s="66">
        <v>43383</v>
      </c>
      <c r="B406" t="s">
        <v>352</v>
      </c>
      <c r="C406" t="s">
        <v>18</v>
      </c>
      <c r="D406" t="s">
        <v>109</v>
      </c>
      <c r="F406" t="s">
        <v>239</v>
      </c>
      <c r="G406" t="s">
        <v>71</v>
      </c>
      <c r="H406" t="s">
        <v>47</v>
      </c>
      <c r="I406" s="66">
        <v>43686</v>
      </c>
      <c r="J406" s="6">
        <v>9969044.1999999993</v>
      </c>
      <c r="K406">
        <v>28997.3</v>
      </c>
      <c r="L406">
        <v>10000000</v>
      </c>
      <c r="M406">
        <v>0.81894900000000004</v>
      </c>
      <c r="N406">
        <v>10000000</v>
      </c>
      <c r="O406">
        <v>1.68</v>
      </c>
      <c r="P406" t="s">
        <v>42</v>
      </c>
      <c r="Q406" t="s">
        <v>23</v>
      </c>
      <c r="R406" s="66">
        <v>43140</v>
      </c>
      <c r="S406" s="6">
        <f>DataTable[HLD_MaturityDate] - DataTable[SEC_Issue_Date]</f>
        <v>546</v>
      </c>
      <c r="T406" s="66" t="str">
        <f>DataTable[HLD_Portfolio]&amp;DataTable[HLD_Date]</f>
        <v>SCBRF43383</v>
      </c>
      <c r="W406" t="b">
        <f>DataTable[HLD_SecCode]="CB18O18A"</f>
        <v>0</v>
      </c>
    </row>
    <row r="407" spans="1:23" hidden="1" x14ac:dyDescent="0.2">
      <c r="A407" s="66">
        <v>43383</v>
      </c>
      <c r="B407" t="s">
        <v>352</v>
      </c>
      <c r="C407" t="s">
        <v>18</v>
      </c>
      <c r="D407" t="s">
        <v>109</v>
      </c>
      <c r="F407" t="s">
        <v>535</v>
      </c>
      <c r="G407" t="s">
        <v>242</v>
      </c>
      <c r="H407" t="s">
        <v>29</v>
      </c>
      <c r="I407" s="66">
        <v>43431</v>
      </c>
      <c r="J407" s="6">
        <v>12004192.199999999</v>
      </c>
      <c r="K407">
        <v>167158.32</v>
      </c>
      <c r="L407">
        <v>12000000</v>
      </c>
      <c r="M407">
        <v>0.12844700000000001</v>
      </c>
      <c r="N407">
        <v>12000000</v>
      </c>
      <c r="O407">
        <v>2.2799999999999998</v>
      </c>
      <c r="P407" t="s">
        <v>42</v>
      </c>
      <c r="Q407" t="s">
        <v>23</v>
      </c>
      <c r="R407" s="66">
        <v>43161</v>
      </c>
      <c r="S407" s="6">
        <f>DataTable[HLD_MaturityDate] - DataTable[SEC_Issue_Date]</f>
        <v>270</v>
      </c>
      <c r="T407" s="66" t="str">
        <f>DataTable[HLD_Portfolio]&amp;DataTable[HLD_Date]</f>
        <v>SCBRF43383</v>
      </c>
      <c r="W407" t="b">
        <f>DataTable[HLD_SecCode]="CB18O18A"</f>
        <v>0</v>
      </c>
    </row>
    <row r="408" spans="1:23" hidden="1" x14ac:dyDescent="0.2">
      <c r="A408" s="66">
        <v>43383</v>
      </c>
      <c r="B408" t="s">
        <v>352</v>
      </c>
      <c r="C408" t="s">
        <v>18</v>
      </c>
      <c r="D408" t="s">
        <v>109</v>
      </c>
      <c r="F408" t="s">
        <v>536</v>
      </c>
      <c r="G408" t="s">
        <v>242</v>
      </c>
      <c r="H408" t="s">
        <v>29</v>
      </c>
      <c r="I408" s="66">
        <v>43391</v>
      </c>
      <c r="J408" s="6">
        <v>8000166.8799999999</v>
      </c>
      <c r="K408">
        <v>62674</v>
      </c>
      <c r="L408">
        <v>8000000</v>
      </c>
      <c r="M408">
        <v>1.9172000000000002E-2</v>
      </c>
      <c r="N408">
        <v>8000000</v>
      </c>
      <c r="O408">
        <v>2.15</v>
      </c>
      <c r="P408" t="s">
        <v>42</v>
      </c>
      <c r="Q408" t="s">
        <v>23</v>
      </c>
      <c r="R408" s="66">
        <v>43251</v>
      </c>
      <c r="S408" s="6">
        <f>DataTable[HLD_MaturityDate] - DataTable[SEC_Issue_Date]</f>
        <v>140</v>
      </c>
      <c r="T408" s="66" t="str">
        <f>DataTable[HLD_Portfolio]&amp;DataTable[HLD_Date]</f>
        <v>SCBRF43383</v>
      </c>
      <c r="W408" t="b">
        <f>DataTable[HLD_SecCode]="CB18O18A"</f>
        <v>0</v>
      </c>
    </row>
    <row r="409" spans="1:23" hidden="1" x14ac:dyDescent="0.2">
      <c r="A409" s="66">
        <v>43383</v>
      </c>
      <c r="B409" t="s">
        <v>352</v>
      </c>
      <c r="C409" t="s">
        <v>18</v>
      </c>
      <c r="D409" t="s">
        <v>109</v>
      </c>
      <c r="F409" t="s">
        <v>537</v>
      </c>
      <c r="G409" t="s">
        <v>242</v>
      </c>
      <c r="H409" t="s">
        <v>29</v>
      </c>
      <c r="I409" s="66">
        <v>43494</v>
      </c>
      <c r="J409" s="6">
        <v>11001546.710000001</v>
      </c>
      <c r="K409">
        <v>94268.46</v>
      </c>
      <c r="L409">
        <v>11000000</v>
      </c>
      <c r="M409">
        <v>0.29935499999999998</v>
      </c>
      <c r="N409">
        <v>11000000</v>
      </c>
      <c r="O409">
        <v>2.2999999999999998</v>
      </c>
      <c r="P409" t="s">
        <v>42</v>
      </c>
      <c r="Q409" t="s">
        <v>23</v>
      </c>
      <c r="R409" s="66">
        <v>43248</v>
      </c>
      <c r="S409" s="6">
        <f>DataTable[HLD_MaturityDate] - DataTable[SEC_Issue_Date]</f>
        <v>246</v>
      </c>
      <c r="T409" s="66" t="str">
        <f>DataTable[HLD_Portfolio]&amp;DataTable[HLD_Date]</f>
        <v>SCBRF43383</v>
      </c>
      <c r="W409" t="b">
        <f>DataTable[HLD_SecCode]="CB18O18A"</f>
        <v>0</v>
      </c>
    </row>
    <row r="410" spans="1:23" hidden="1" x14ac:dyDescent="0.2">
      <c r="A410" s="66">
        <v>43383</v>
      </c>
      <c r="B410" t="s">
        <v>352</v>
      </c>
      <c r="C410" t="s">
        <v>18</v>
      </c>
      <c r="D410" t="s">
        <v>109</v>
      </c>
      <c r="F410" t="s">
        <v>538</v>
      </c>
      <c r="G410" t="s">
        <v>244</v>
      </c>
      <c r="H410" t="s">
        <v>29</v>
      </c>
      <c r="I410" s="66">
        <v>43454</v>
      </c>
      <c r="J410" s="6">
        <v>12006208.68</v>
      </c>
      <c r="K410">
        <v>148208.16</v>
      </c>
      <c r="L410">
        <v>12000000</v>
      </c>
      <c r="M410">
        <v>0.19100300000000001</v>
      </c>
      <c r="N410">
        <v>12000000</v>
      </c>
      <c r="O410">
        <v>2.2999999999999998</v>
      </c>
      <c r="P410" t="s">
        <v>42</v>
      </c>
      <c r="Q410" t="s">
        <v>23</v>
      </c>
      <c r="R410" s="66">
        <v>43188</v>
      </c>
      <c r="S410" s="6">
        <f>DataTable[HLD_MaturityDate] - DataTable[SEC_Issue_Date]</f>
        <v>266</v>
      </c>
      <c r="T410" s="66" t="str">
        <f>DataTable[HLD_Portfolio]&amp;DataTable[HLD_Date]</f>
        <v>SCBRF43383</v>
      </c>
      <c r="W410" t="b">
        <f>DataTable[HLD_SecCode]="CB18O18A"</f>
        <v>0</v>
      </c>
    </row>
    <row r="411" spans="1:23" hidden="1" x14ac:dyDescent="0.2">
      <c r="A411" s="66">
        <v>43383</v>
      </c>
      <c r="B411" t="s">
        <v>352</v>
      </c>
      <c r="C411" t="s">
        <v>18</v>
      </c>
      <c r="D411" t="s">
        <v>109</v>
      </c>
      <c r="F411" t="s">
        <v>245</v>
      </c>
      <c r="G411" t="s">
        <v>244</v>
      </c>
      <c r="H411" t="s">
        <v>29</v>
      </c>
      <c r="I411" s="66">
        <v>44410</v>
      </c>
      <c r="J411" s="6">
        <v>18975969.75</v>
      </c>
      <c r="K411">
        <v>134821.91</v>
      </c>
      <c r="L411">
        <v>19000000</v>
      </c>
      <c r="M411">
        <v>2.638757</v>
      </c>
      <c r="N411">
        <v>19000000</v>
      </c>
      <c r="O411">
        <v>3.7</v>
      </c>
      <c r="P411" t="s">
        <v>42</v>
      </c>
      <c r="Q411" t="s">
        <v>23</v>
      </c>
      <c r="R411" s="66">
        <v>43314</v>
      </c>
      <c r="S411" s="6">
        <f>DataTable[HLD_MaturityDate] - DataTable[SEC_Issue_Date]</f>
        <v>1096</v>
      </c>
      <c r="T411" s="66" t="str">
        <f>DataTable[HLD_Portfolio]&amp;DataTable[HLD_Date]</f>
        <v>SCBRF43383</v>
      </c>
      <c r="W411" t="b">
        <f>DataTable[HLD_SecCode]="CB18O18A"</f>
        <v>0</v>
      </c>
    </row>
    <row r="412" spans="1:23" hidden="1" x14ac:dyDescent="0.2">
      <c r="A412" s="66">
        <v>43383</v>
      </c>
      <c r="B412" t="s">
        <v>352</v>
      </c>
      <c r="C412" t="s">
        <v>18</v>
      </c>
      <c r="D412" t="s">
        <v>109</v>
      </c>
      <c r="F412" t="s">
        <v>539</v>
      </c>
      <c r="G412" t="s">
        <v>75</v>
      </c>
      <c r="H412" t="s">
        <v>59</v>
      </c>
      <c r="I412" s="66">
        <v>43539</v>
      </c>
      <c r="J412" s="6">
        <v>1599668.16</v>
      </c>
      <c r="K412">
        <v>2108.5</v>
      </c>
      <c r="L412">
        <v>1601698.91</v>
      </c>
      <c r="M412">
        <v>0.420628</v>
      </c>
      <c r="N412">
        <v>1600000</v>
      </c>
      <c r="O412">
        <v>1.615</v>
      </c>
      <c r="P412" t="s">
        <v>42</v>
      </c>
      <c r="Q412" t="s">
        <v>23</v>
      </c>
      <c r="R412" s="66">
        <v>42444</v>
      </c>
      <c r="S412" s="6">
        <f>DataTable[HLD_MaturityDate] - DataTable[SEC_Issue_Date]</f>
        <v>1095</v>
      </c>
      <c r="T412" s="66" t="str">
        <f>DataTable[HLD_Portfolio]&amp;DataTable[HLD_Date]</f>
        <v>SCBRF43383</v>
      </c>
      <c r="W412" t="b">
        <f>DataTable[HLD_SecCode]="CB18O18A"</f>
        <v>0</v>
      </c>
    </row>
    <row r="413" spans="1:23" hidden="1" x14ac:dyDescent="0.2">
      <c r="A413" s="66">
        <v>43383</v>
      </c>
      <c r="B413" t="s">
        <v>352</v>
      </c>
      <c r="C413" t="s">
        <v>18</v>
      </c>
      <c r="D413" t="s">
        <v>109</v>
      </c>
      <c r="F413" t="s">
        <v>246</v>
      </c>
      <c r="G413" t="s">
        <v>247</v>
      </c>
      <c r="H413" t="s">
        <v>123</v>
      </c>
      <c r="I413" s="66">
        <v>44313</v>
      </c>
      <c r="J413" s="6">
        <v>20820191.699999999</v>
      </c>
      <c r="K413">
        <v>104505.24</v>
      </c>
      <c r="L413">
        <v>21000000</v>
      </c>
      <c r="M413">
        <v>2.4463970000000002</v>
      </c>
      <c r="N413">
        <v>21000000</v>
      </c>
      <c r="O413">
        <v>2.39</v>
      </c>
      <c r="P413" t="s">
        <v>42</v>
      </c>
      <c r="Q413" t="s">
        <v>23</v>
      </c>
      <c r="R413" s="66">
        <v>43217</v>
      </c>
      <c r="S413" s="6">
        <f>DataTable[HLD_MaturityDate] - DataTable[SEC_Issue_Date]</f>
        <v>1096</v>
      </c>
      <c r="T413" s="66" t="str">
        <f>DataTable[HLD_Portfolio]&amp;DataTable[HLD_Date]</f>
        <v>SCBRF43383</v>
      </c>
      <c r="W413" t="b">
        <f>DataTable[HLD_SecCode]="CB18O18A"</f>
        <v>0</v>
      </c>
    </row>
    <row r="414" spans="1:23" hidden="1" x14ac:dyDescent="0.2">
      <c r="A414" s="66">
        <v>43383</v>
      </c>
      <c r="B414" t="s">
        <v>352</v>
      </c>
      <c r="C414" t="s">
        <v>18</v>
      </c>
      <c r="D414" t="s">
        <v>109</v>
      </c>
      <c r="F414" t="s">
        <v>248</v>
      </c>
      <c r="G414" t="s">
        <v>249</v>
      </c>
      <c r="H414" t="s">
        <v>47</v>
      </c>
      <c r="I414" s="66">
        <v>44285</v>
      </c>
      <c r="J414" s="6">
        <v>49622307.5</v>
      </c>
      <c r="K414">
        <v>34055</v>
      </c>
      <c r="L414">
        <v>50000000</v>
      </c>
      <c r="M414">
        <v>2.3912019999999998</v>
      </c>
      <c r="N414">
        <v>50000000</v>
      </c>
      <c r="O414">
        <v>2.2599999999999998</v>
      </c>
      <c r="P414" t="s">
        <v>42</v>
      </c>
      <c r="Q414" t="s">
        <v>23</v>
      </c>
      <c r="R414" s="66">
        <v>43189</v>
      </c>
      <c r="S414" s="6">
        <f>DataTable[HLD_MaturityDate] - DataTable[SEC_Issue_Date]</f>
        <v>1096</v>
      </c>
      <c r="T414" s="66" t="str">
        <f>DataTable[HLD_Portfolio]&amp;DataTable[HLD_Date]</f>
        <v>SCBRF43383</v>
      </c>
      <c r="W414" t="b">
        <f>DataTable[HLD_SecCode]="CB18O18A"</f>
        <v>0</v>
      </c>
    </row>
    <row r="415" spans="1:23" hidden="1" x14ac:dyDescent="0.2">
      <c r="A415" s="66">
        <v>43383</v>
      </c>
      <c r="B415" t="s">
        <v>352</v>
      </c>
      <c r="C415" t="s">
        <v>18</v>
      </c>
      <c r="D415" t="s">
        <v>109</v>
      </c>
      <c r="F415" t="s">
        <v>250</v>
      </c>
      <c r="G415" t="s">
        <v>251</v>
      </c>
      <c r="H415" t="s">
        <v>123</v>
      </c>
      <c r="I415" s="66">
        <v>44061</v>
      </c>
      <c r="J415" s="6">
        <v>20163747.600000001</v>
      </c>
      <c r="K415">
        <v>98531.6</v>
      </c>
      <c r="L415">
        <v>20000000</v>
      </c>
      <c r="M415">
        <v>1.7822849999999999</v>
      </c>
      <c r="N415">
        <v>20000000</v>
      </c>
      <c r="O415">
        <v>3.33</v>
      </c>
      <c r="P415" t="s">
        <v>42</v>
      </c>
      <c r="Q415" t="s">
        <v>23</v>
      </c>
      <c r="R415" s="66">
        <v>42965</v>
      </c>
      <c r="S415" s="6">
        <f>DataTable[HLD_MaturityDate] - DataTable[SEC_Issue_Date]</f>
        <v>1096</v>
      </c>
      <c r="T415" s="66" t="str">
        <f>DataTable[HLD_Portfolio]&amp;DataTable[HLD_Date]</f>
        <v>SCBRF43383</v>
      </c>
      <c r="W415" t="b">
        <f>DataTable[HLD_SecCode]="CB18O18A"</f>
        <v>0</v>
      </c>
    </row>
    <row r="416" spans="1:23" hidden="1" x14ac:dyDescent="0.2">
      <c r="A416" s="66">
        <v>43383</v>
      </c>
      <c r="B416" t="s">
        <v>352</v>
      </c>
      <c r="C416" t="s">
        <v>129</v>
      </c>
      <c r="D416" t="s">
        <v>131</v>
      </c>
      <c r="E416" t="s">
        <v>131</v>
      </c>
      <c r="F416" t="s">
        <v>131</v>
      </c>
      <c r="I416" s="66"/>
      <c r="J416" s="6">
        <v>-32137.14</v>
      </c>
      <c r="O416">
        <v>0</v>
      </c>
      <c r="R416" s="66"/>
      <c r="S416" s="6">
        <f>DataTable[HLD_MaturityDate] - DataTable[SEC_Issue_Date]</f>
        <v>0</v>
      </c>
      <c r="T416" s="66" t="str">
        <f>DataTable[HLD_Portfolio]&amp;DataTable[HLD_Date]</f>
        <v>SCBRF43383</v>
      </c>
      <c r="W416" t="b">
        <f>DataTable[HLD_SecCode]="CB18O18A"</f>
        <v>0</v>
      </c>
    </row>
    <row r="417" spans="1:23" hidden="1" x14ac:dyDescent="0.2">
      <c r="A417" s="66">
        <v>43383</v>
      </c>
      <c r="B417" t="s">
        <v>352</v>
      </c>
      <c r="C417" t="s">
        <v>129</v>
      </c>
      <c r="D417" t="s">
        <v>131</v>
      </c>
      <c r="E417" t="s">
        <v>131</v>
      </c>
      <c r="F417" t="s">
        <v>131</v>
      </c>
      <c r="I417" s="66"/>
      <c r="J417" s="6">
        <v>-850.58</v>
      </c>
      <c r="O417">
        <v>0</v>
      </c>
      <c r="R417" s="66"/>
      <c r="S417" s="6">
        <f>DataTable[HLD_MaturityDate] - DataTable[SEC_Issue_Date]</f>
        <v>0</v>
      </c>
      <c r="T417" s="66" t="str">
        <f>DataTable[HLD_Portfolio]&amp;DataTable[HLD_Date]</f>
        <v>SCBRF43383</v>
      </c>
      <c r="W417" t="b">
        <f>DataTable[HLD_SecCode]="CB18O18A"</f>
        <v>0</v>
      </c>
    </row>
    <row r="418" spans="1:23" hidden="1" x14ac:dyDescent="0.2">
      <c r="A418" s="66">
        <v>43383</v>
      </c>
      <c r="B418" t="s">
        <v>352</v>
      </c>
      <c r="C418" t="s">
        <v>129</v>
      </c>
      <c r="D418" t="s">
        <v>132</v>
      </c>
      <c r="I418" s="66"/>
      <c r="J418" s="6">
        <v>-7887.31</v>
      </c>
      <c r="K418">
        <v>0</v>
      </c>
      <c r="O418">
        <v>0</v>
      </c>
      <c r="R418" s="66"/>
      <c r="S418" s="6">
        <f>DataTable[HLD_MaturityDate] - DataTable[SEC_Issue_Date]</f>
        <v>0</v>
      </c>
      <c r="T418" s="66" t="str">
        <f>DataTable[HLD_Portfolio]&amp;DataTable[HLD_Date]</f>
        <v>SCBRF43383</v>
      </c>
      <c r="W418" t="b">
        <f>DataTable[HLD_SecCode]="CB18O18A"</f>
        <v>0</v>
      </c>
    </row>
    <row r="419" spans="1:23" hidden="1" x14ac:dyDescent="0.2">
      <c r="A419" s="66">
        <v>43383</v>
      </c>
      <c r="B419" t="s">
        <v>352</v>
      </c>
      <c r="C419" t="s">
        <v>129</v>
      </c>
      <c r="D419" t="s">
        <v>134</v>
      </c>
      <c r="E419" t="s">
        <v>134</v>
      </c>
      <c r="I419" s="66"/>
      <c r="J419" s="6">
        <v>-5052.79</v>
      </c>
      <c r="L419">
        <v>-5052.79</v>
      </c>
      <c r="O419">
        <v>0</v>
      </c>
      <c r="R419" s="66"/>
      <c r="S419" s="6">
        <f>DataTable[HLD_MaturityDate] - DataTable[SEC_Issue_Date]</f>
        <v>0</v>
      </c>
      <c r="T419" s="66" t="str">
        <f>DataTable[HLD_Portfolio]&amp;DataTable[HLD_Date]</f>
        <v>SCBRF43383</v>
      </c>
      <c r="W419" t="b">
        <f>DataTable[HLD_SecCode]="CB18O18A"</f>
        <v>0</v>
      </c>
    </row>
    <row r="420" spans="1:23" hidden="1" x14ac:dyDescent="0.2">
      <c r="A420" s="66">
        <v>43383</v>
      </c>
      <c r="B420" t="s">
        <v>352</v>
      </c>
      <c r="C420" t="s">
        <v>129</v>
      </c>
      <c r="D420" t="s">
        <v>135</v>
      </c>
      <c r="E420" t="s">
        <v>135</v>
      </c>
      <c r="I420" s="66"/>
      <c r="J420" s="6">
        <v>-74059.539999999994</v>
      </c>
      <c r="L420">
        <v>-74059.539999999994</v>
      </c>
      <c r="O420">
        <v>0</v>
      </c>
      <c r="R420" s="66"/>
      <c r="S420" s="6">
        <f>DataTable[HLD_MaturityDate] - DataTable[SEC_Issue_Date]</f>
        <v>0</v>
      </c>
      <c r="T420" s="66" t="str">
        <f>DataTable[HLD_Portfolio]&amp;DataTable[HLD_Date]</f>
        <v>SCBRF43383</v>
      </c>
      <c r="W420" t="b">
        <f>DataTable[HLD_SecCode]="CB18O18A"</f>
        <v>0</v>
      </c>
    </row>
    <row r="421" spans="1:23" hidden="1" x14ac:dyDescent="0.2">
      <c r="A421" s="66">
        <v>43383</v>
      </c>
      <c r="B421" t="s">
        <v>352</v>
      </c>
      <c r="C421" t="s">
        <v>129</v>
      </c>
      <c r="D421" t="s">
        <v>136</v>
      </c>
      <c r="E421" t="s">
        <v>136</v>
      </c>
      <c r="I421" s="66"/>
      <c r="J421" s="6">
        <v>0</v>
      </c>
      <c r="L421">
        <v>0</v>
      </c>
      <c r="O421">
        <v>0</v>
      </c>
      <c r="R421" s="66"/>
      <c r="S421" s="6">
        <f>DataTable[HLD_MaturityDate] - DataTable[SEC_Issue_Date]</f>
        <v>0</v>
      </c>
      <c r="T421" s="66" t="str">
        <f>DataTable[HLD_Portfolio]&amp;DataTable[HLD_Date]</f>
        <v>SCBRF43383</v>
      </c>
      <c r="W421" t="b">
        <f>DataTable[HLD_SecCode]="CB18O18A"</f>
        <v>0</v>
      </c>
    </row>
    <row r="422" spans="1:23" hidden="1" x14ac:dyDescent="0.2">
      <c r="A422" s="66">
        <v>43383</v>
      </c>
      <c r="B422" t="s">
        <v>352</v>
      </c>
      <c r="C422" t="s">
        <v>137</v>
      </c>
      <c r="D422" t="s">
        <v>134</v>
      </c>
      <c r="E422" t="s">
        <v>134</v>
      </c>
      <c r="I422" s="66"/>
      <c r="J422" s="6">
        <v>-564.33000000000004</v>
      </c>
      <c r="O422">
        <v>0</v>
      </c>
      <c r="R422" s="66"/>
      <c r="S422" s="6">
        <f>DataTable[HLD_MaturityDate] - DataTable[SEC_Issue_Date]</f>
        <v>0</v>
      </c>
      <c r="T422" s="66" t="str">
        <f>DataTable[HLD_Portfolio]&amp;DataTable[HLD_Date]</f>
        <v>SCBRF43383</v>
      </c>
      <c r="W422" t="b">
        <f>DataTable[HLD_SecCode]="CB18O18A"</f>
        <v>0</v>
      </c>
    </row>
    <row r="423" spans="1:23" hidden="1" x14ac:dyDescent="0.2">
      <c r="A423" s="66">
        <v>43383</v>
      </c>
      <c r="B423" t="s">
        <v>352</v>
      </c>
      <c r="C423" t="s">
        <v>137</v>
      </c>
      <c r="D423" t="s">
        <v>135</v>
      </c>
      <c r="E423" t="s">
        <v>135</v>
      </c>
      <c r="I423" s="66"/>
      <c r="J423" s="6">
        <v>-8271.43</v>
      </c>
      <c r="O423">
        <v>0</v>
      </c>
      <c r="R423" s="66"/>
      <c r="S423" s="6">
        <f>DataTable[HLD_MaturityDate] - DataTable[SEC_Issue_Date]</f>
        <v>0</v>
      </c>
      <c r="T423" s="66" t="str">
        <f>DataTable[HLD_Portfolio]&amp;DataTable[HLD_Date]</f>
        <v>SCBRF43383</v>
      </c>
      <c r="W423" t="b">
        <f>DataTable[HLD_SecCode]="CB18O18A"</f>
        <v>0</v>
      </c>
    </row>
    <row r="424" spans="1:23" hidden="1" x14ac:dyDescent="0.2">
      <c r="A424" s="66">
        <v>43383</v>
      </c>
      <c r="B424" t="s">
        <v>352</v>
      </c>
      <c r="C424" t="s">
        <v>137</v>
      </c>
      <c r="D424" t="s">
        <v>136</v>
      </c>
      <c r="E424" t="s">
        <v>136</v>
      </c>
      <c r="I424" s="66"/>
      <c r="J424" s="6">
        <v>0</v>
      </c>
      <c r="O424">
        <v>0</v>
      </c>
      <c r="R424" s="66"/>
      <c r="S424" s="6">
        <f>DataTable[HLD_MaturityDate] - DataTable[SEC_Issue_Date]</f>
        <v>0</v>
      </c>
      <c r="T424" s="66" t="str">
        <f>DataTable[HLD_Portfolio]&amp;DataTable[HLD_Date]</f>
        <v>SCBRF43383</v>
      </c>
      <c r="W424" t="b">
        <f>DataTable[HLD_SecCode]="CB18O18A"</f>
        <v>0</v>
      </c>
    </row>
    <row r="425" spans="1:23" hidden="1" x14ac:dyDescent="0.2">
      <c r="A425" s="66">
        <v>43383</v>
      </c>
      <c r="B425" t="s">
        <v>353</v>
      </c>
      <c r="C425" t="s">
        <v>18</v>
      </c>
      <c r="D425" t="s">
        <v>19</v>
      </c>
      <c r="F425" t="s">
        <v>20</v>
      </c>
      <c r="G425" t="s">
        <v>21</v>
      </c>
      <c r="I425" s="66"/>
      <c r="J425" s="6">
        <v>2877942.19</v>
      </c>
      <c r="K425">
        <v>2165.41</v>
      </c>
      <c r="L425">
        <v>2877942.19</v>
      </c>
      <c r="M425">
        <v>0</v>
      </c>
      <c r="N425">
        <v>0</v>
      </c>
      <c r="O425">
        <v>0</v>
      </c>
      <c r="P425" t="s">
        <v>22</v>
      </c>
      <c r="Q425" t="s">
        <v>23</v>
      </c>
      <c r="R425" s="66">
        <v>2</v>
      </c>
      <c r="S425" s="6">
        <f>DataTable[HLD_MaturityDate] - DataTable[SEC_Issue_Date]</f>
        <v>-2</v>
      </c>
      <c r="T425" s="66" t="str">
        <f>DataTable[HLD_Portfolio]&amp;DataTable[HLD_Date]</f>
        <v>SCBRM143383</v>
      </c>
      <c r="W425" t="b">
        <f>DataTable[HLD_SecCode]="CB18O18A"</f>
        <v>0</v>
      </c>
    </row>
    <row r="426" spans="1:23" hidden="1" x14ac:dyDescent="0.2">
      <c r="A426" s="66">
        <v>43383</v>
      </c>
      <c r="B426" t="s">
        <v>353</v>
      </c>
      <c r="C426" t="s">
        <v>18</v>
      </c>
      <c r="D426" t="s">
        <v>38</v>
      </c>
      <c r="F426" t="s">
        <v>154</v>
      </c>
      <c r="G426" t="s">
        <v>40</v>
      </c>
      <c r="H426" t="s">
        <v>41</v>
      </c>
      <c r="I426" s="66">
        <v>43602</v>
      </c>
      <c r="J426" s="6">
        <v>400000000</v>
      </c>
      <c r="K426">
        <v>2658082.19</v>
      </c>
      <c r="L426">
        <v>400000000</v>
      </c>
      <c r="M426">
        <v>0.59415600000000002</v>
      </c>
      <c r="N426">
        <v>400000000</v>
      </c>
      <c r="O426">
        <v>1.65</v>
      </c>
      <c r="P426" t="s">
        <v>42</v>
      </c>
      <c r="Q426" t="s">
        <v>23</v>
      </c>
      <c r="R426" s="66">
        <v>43237</v>
      </c>
      <c r="S426" s="6">
        <f>DataTable[HLD_MaturityDate] - DataTable[SEC_Issue_Date]</f>
        <v>365</v>
      </c>
      <c r="T426" s="66" t="str">
        <f>DataTable[HLD_Portfolio]&amp;DataTable[HLD_Date]</f>
        <v>SCBRM143383</v>
      </c>
      <c r="W426" t="b">
        <f>DataTable[HLD_SecCode]="CB18O18A"</f>
        <v>0</v>
      </c>
    </row>
    <row r="427" spans="1:23" hidden="1" x14ac:dyDescent="0.2">
      <c r="A427" s="66">
        <v>43383</v>
      </c>
      <c r="B427" t="s">
        <v>353</v>
      </c>
      <c r="C427" t="s">
        <v>18</v>
      </c>
      <c r="D427" t="s">
        <v>38</v>
      </c>
      <c r="F427" t="s">
        <v>177</v>
      </c>
      <c r="G427" t="s">
        <v>58</v>
      </c>
      <c r="H427" t="s">
        <v>59</v>
      </c>
      <c r="I427" s="66">
        <v>43672</v>
      </c>
      <c r="J427" s="6">
        <v>200000000</v>
      </c>
      <c r="K427">
        <v>717260.27</v>
      </c>
      <c r="L427">
        <v>200000000</v>
      </c>
      <c r="M427">
        <v>0.78130100000000002</v>
      </c>
      <c r="N427">
        <v>200000000</v>
      </c>
      <c r="O427">
        <v>1.7</v>
      </c>
      <c r="P427" t="s">
        <v>42</v>
      </c>
      <c r="Q427" t="s">
        <v>23</v>
      </c>
      <c r="R427" s="66">
        <v>43307</v>
      </c>
      <c r="S427" s="6">
        <f>DataTable[HLD_MaturityDate] - DataTable[SEC_Issue_Date]</f>
        <v>365</v>
      </c>
      <c r="T427" s="66" t="str">
        <f>DataTable[HLD_Portfolio]&amp;DataTable[HLD_Date]</f>
        <v>SCBRM143383</v>
      </c>
      <c r="W427" t="b">
        <f>DataTable[HLD_SecCode]="CB18O18A"</f>
        <v>0</v>
      </c>
    </row>
    <row r="428" spans="1:23" hidden="1" x14ac:dyDescent="0.2">
      <c r="A428" s="66">
        <v>43383</v>
      </c>
      <c r="B428" t="s">
        <v>353</v>
      </c>
      <c r="C428" t="s">
        <v>18</v>
      </c>
      <c r="D428" t="s">
        <v>38</v>
      </c>
      <c r="F428" t="s">
        <v>540</v>
      </c>
      <c r="G428" t="s">
        <v>58</v>
      </c>
      <c r="H428" t="s">
        <v>59</v>
      </c>
      <c r="I428" s="66">
        <v>43434</v>
      </c>
      <c r="J428" s="6">
        <v>202000000</v>
      </c>
      <c r="K428">
        <v>2780405.48</v>
      </c>
      <c r="L428">
        <v>202000000</v>
      </c>
      <c r="M428">
        <v>0.13941400000000001</v>
      </c>
      <c r="N428">
        <v>202000000</v>
      </c>
      <c r="O428">
        <v>1.6</v>
      </c>
      <c r="P428" t="s">
        <v>42</v>
      </c>
      <c r="Q428" t="s">
        <v>23</v>
      </c>
      <c r="R428" s="66">
        <v>43070</v>
      </c>
      <c r="S428" s="6">
        <f>DataTable[HLD_MaturityDate] - DataTable[SEC_Issue_Date]</f>
        <v>364</v>
      </c>
      <c r="T428" s="66" t="str">
        <f>DataTable[HLD_Portfolio]&amp;DataTable[HLD_Date]</f>
        <v>SCBRM143383</v>
      </c>
      <c r="W428" t="b">
        <f>DataTable[HLD_SecCode]="CB18O18A"</f>
        <v>0</v>
      </c>
    </row>
    <row r="429" spans="1:23" hidden="1" x14ac:dyDescent="0.2">
      <c r="A429" s="66">
        <v>43383</v>
      </c>
      <c r="B429" t="s">
        <v>353</v>
      </c>
      <c r="C429" t="s">
        <v>18</v>
      </c>
      <c r="D429" t="s">
        <v>38</v>
      </c>
      <c r="F429" t="s">
        <v>541</v>
      </c>
      <c r="G429" t="s">
        <v>73</v>
      </c>
      <c r="H429" t="s">
        <v>27</v>
      </c>
      <c r="I429" s="66">
        <v>44196</v>
      </c>
      <c r="J429" s="6">
        <v>102113.28</v>
      </c>
      <c r="K429">
        <v>107.01</v>
      </c>
      <c r="L429">
        <v>102113.28</v>
      </c>
      <c r="M429">
        <v>0</v>
      </c>
      <c r="N429">
        <v>102113.28</v>
      </c>
      <c r="O429">
        <v>0</v>
      </c>
      <c r="P429" t="s">
        <v>42</v>
      </c>
      <c r="Q429" t="s">
        <v>23</v>
      </c>
      <c r="R429" s="66">
        <v>40183</v>
      </c>
      <c r="S429" s="6">
        <f>DataTable[HLD_MaturityDate] - DataTable[SEC_Issue_Date]</f>
        <v>4013</v>
      </c>
      <c r="T429" s="66" t="str">
        <f>DataTable[HLD_Portfolio]&amp;DataTable[HLD_Date]</f>
        <v>SCBRM143383</v>
      </c>
      <c r="W429" t="b">
        <f>DataTable[HLD_SecCode]="CB18O18A"</f>
        <v>0</v>
      </c>
    </row>
    <row r="430" spans="1:23" hidden="1" x14ac:dyDescent="0.2">
      <c r="A430" s="66">
        <v>43383</v>
      </c>
      <c r="B430" t="s">
        <v>353</v>
      </c>
      <c r="C430" t="s">
        <v>18</v>
      </c>
      <c r="D430" t="s">
        <v>38</v>
      </c>
      <c r="F430" t="s">
        <v>542</v>
      </c>
      <c r="G430" t="s">
        <v>75</v>
      </c>
      <c r="H430" t="s">
        <v>59</v>
      </c>
      <c r="I430" s="66">
        <v>44196</v>
      </c>
      <c r="J430" s="6">
        <v>5310271.09</v>
      </c>
      <c r="K430">
        <v>68015.08</v>
      </c>
      <c r="L430">
        <v>5310271.09</v>
      </c>
      <c r="M430">
        <v>0</v>
      </c>
      <c r="N430">
        <v>5310271.09</v>
      </c>
      <c r="O430">
        <v>0</v>
      </c>
      <c r="P430" t="s">
        <v>42</v>
      </c>
      <c r="Q430" t="s">
        <v>23</v>
      </c>
      <c r="R430" s="66">
        <v>38594</v>
      </c>
      <c r="S430" s="6">
        <f>DataTable[HLD_MaturityDate] - DataTable[SEC_Issue_Date]</f>
        <v>5602</v>
      </c>
      <c r="T430" s="66" t="str">
        <f>DataTable[HLD_Portfolio]&amp;DataTable[HLD_Date]</f>
        <v>SCBRM143383</v>
      </c>
      <c r="W430" t="b">
        <f>DataTable[HLD_SecCode]="CB18O18A"</f>
        <v>0</v>
      </c>
    </row>
    <row r="431" spans="1:23" hidden="1" x14ac:dyDescent="0.2">
      <c r="A431" s="66">
        <v>43383</v>
      </c>
      <c r="B431" t="s">
        <v>353</v>
      </c>
      <c r="C431" t="s">
        <v>18</v>
      </c>
      <c r="D431" t="s">
        <v>77</v>
      </c>
      <c r="F431" t="s">
        <v>191</v>
      </c>
      <c r="G431" t="s">
        <v>192</v>
      </c>
      <c r="H431" t="s">
        <v>51</v>
      </c>
      <c r="I431" s="66">
        <v>43502</v>
      </c>
      <c r="J431" s="6">
        <v>99434358</v>
      </c>
      <c r="L431">
        <v>99453415</v>
      </c>
      <c r="M431">
        <v>0.32145899999999999</v>
      </c>
      <c r="N431">
        <v>100000000</v>
      </c>
      <c r="O431">
        <v>1.7</v>
      </c>
      <c r="P431" t="s">
        <v>42</v>
      </c>
      <c r="Q431" t="s">
        <v>23</v>
      </c>
      <c r="R431" s="66">
        <v>43318</v>
      </c>
      <c r="S431" s="6">
        <f>DataTable[HLD_MaturityDate] - DataTable[SEC_Issue_Date]</f>
        <v>184</v>
      </c>
      <c r="T431" s="66" t="str">
        <f>DataTable[HLD_Portfolio]&amp;DataTable[HLD_Date]</f>
        <v>SCBRM143383</v>
      </c>
      <c r="W431" t="b">
        <f>DataTable[HLD_SecCode]="CB18O18A"</f>
        <v>0</v>
      </c>
    </row>
    <row r="432" spans="1:23" hidden="1" x14ac:dyDescent="0.2">
      <c r="A432" s="66">
        <v>43383</v>
      </c>
      <c r="B432" t="s">
        <v>353</v>
      </c>
      <c r="C432" t="s">
        <v>18</v>
      </c>
      <c r="D432" t="s">
        <v>77</v>
      </c>
      <c r="F432" t="s">
        <v>206</v>
      </c>
      <c r="G432" t="s">
        <v>82</v>
      </c>
      <c r="H432" t="s">
        <v>47</v>
      </c>
      <c r="I432" s="66">
        <v>43496</v>
      </c>
      <c r="J432" s="6">
        <v>298481615.75</v>
      </c>
      <c r="L432">
        <v>298557110.29000002</v>
      </c>
      <c r="M432">
        <v>0.30529600000000001</v>
      </c>
      <c r="N432">
        <v>300000000</v>
      </c>
      <c r="O432">
        <v>1.575</v>
      </c>
      <c r="P432" t="s">
        <v>42</v>
      </c>
      <c r="Q432" t="s">
        <v>23</v>
      </c>
      <c r="R432" s="66">
        <v>43227</v>
      </c>
      <c r="S432" s="6">
        <f>DataTable[HLD_MaturityDate] - DataTable[SEC_Issue_Date]</f>
        <v>269</v>
      </c>
      <c r="T432" s="66" t="str">
        <f>DataTable[HLD_Portfolio]&amp;DataTable[HLD_Date]</f>
        <v>SCBRM143383</v>
      </c>
      <c r="W432" t="b">
        <f>DataTable[HLD_SecCode]="CB18O18A"</f>
        <v>0</v>
      </c>
    </row>
    <row r="433" spans="1:23" hidden="1" x14ac:dyDescent="0.2">
      <c r="A433" s="66">
        <v>43383</v>
      </c>
      <c r="B433" t="s">
        <v>353</v>
      </c>
      <c r="C433" t="s">
        <v>18</v>
      </c>
      <c r="D433" t="s">
        <v>77</v>
      </c>
      <c r="F433" t="s">
        <v>543</v>
      </c>
      <c r="G433" t="s">
        <v>244</v>
      </c>
      <c r="H433" t="s">
        <v>29</v>
      </c>
      <c r="I433" s="66">
        <v>43550</v>
      </c>
      <c r="J433" s="6">
        <v>57348555.020000003</v>
      </c>
      <c r="L433">
        <v>57399584.579999998</v>
      </c>
      <c r="M433">
        <v>0.44968599999999997</v>
      </c>
      <c r="N433">
        <v>58000000</v>
      </c>
      <c r="O433">
        <v>2.2999999999999998</v>
      </c>
      <c r="P433" t="s">
        <v>42</v>
      </c>
      <c r="Q433" t="s">
        <v>23</v>
      </c>
      <c r="R433" s="66">
        <v>43280</v>
      </c>
      <c r="S433" s="6">
        <f>DataTable[HLD_MaturityDate] - DataTable[SEC_Issue_Date]</f>
        <v>270</v>
      </c>
      <c r="T433" s="66" t="str">
        <f>DataTable[HLD_Portfolio]&amp;DataTable[HLD_Date]</f>
        <v>SCBRM143383</v>
      </c>
      <c r="W433" t="b">
        <f>DataTable[HLD_SecCode]="CB18O18A"</f>
        <v>0</v>
      </c>
    </row>
    <row r="434" spans="1:23" x14ac:dyDescent="0.2">
      <c r="A434" s="66">
        <v>43383</v>
      </c>
      <c r="B434" t="s">
        <v>353</v>
      </c>
      <c r="C434" t="s">
        <v>18</v>
      </c>
      <c r="D434" t="s">
        <v>83</v>
      </c>
      <c r="F434" t="s">
        <v>84</v>
      </c>
      <c r="G434" t="s">
        <v>85</v>
      </c>
      <c r="H434" t="s">
        <v>29</v>
      </c>
      <c r="I434" s="66">
        <v>43418</v>
      </c>
      <c r="J434" s="6">
        <v>39954594</v>
      </c>
      <c r="L434">
        <v>39954594</v>
      </c>
      <c r="M434">
        <v>9.3044000000000002E-2</v>
      </c>
      <c r="N434">
        <v>40000000</v>
      </c>
      <c r="O434">
        <v>1.22</v>
      </c>
      <c r="P434" t="s">
        <v>42</v>
      </c>
      <c r="Q434" t="s">
        <v>23</v>
      </c>
      <c r="R434" s="66">
        <v>43054</v>
      </c>
      <c r="S434" s="6">
        <f>DataTable[HLD_MaturityDate] - DataTable[SEC_Issue_Date]</f>
        <v>364</v>
      </c>
      <c r="T434" s="66" t="str">
        <f>DataTable[HLD_Portfolio]&amp;DataTable[HLD_Date]</f>
        <v>SCBRM143383</v>
      </c>
      <c r="W434" t="b">
        <f>DataTable[HLD_SecCode]="CB18O18A"</f>
        <v>0</v>
      </c>
    </row>
    <row r="435" spans="1:23" x14ac:dyDescent="0.2">
      <c r="A435" s="66">
        <v>43383</v>
      </c>
      <c r="B435" t="s">
        <v>353</v>
      </c>
      <c r="C435" t="s">
        <v>18</v>
      </c>
      <c r="D435" t="s">
        <v>87</v>
      </c>
      <c r="F435" t="s">
        <v>88</v>
      </c>
      <c r="G435" t="s">
        <v>89</v>
      </c>
      <c r="I435" s="66">
        <v>43440</v>
      </c>
      <c r="J435" s="6">
        <v>149701417.5</v>
      </c>
      <c r="L435">
        <v>149691652.5</v>
      </c>
      <c r="M435">
        <v>0.153115</v>
      </c>
      <c r="N435">
        <v>150000000</v>
      </c>
      <c r="O435">
        <v>1.3426</v>
      </c>
      <c r="P435" t="s">
        <v>42</v>
      </c>
      <c r="Q435" t="s">
        <v>23</v>
      </c>
      <c r="R435" s="66">
        <v>43349</v>
      </c>
      <c r="S435" s="6">
        <f>DataTable[HLD_MaturityDate] - DataTable[SEC_Issue_Date]</f>
        <v>91</v>
      </c>
      <c r="T435" s="66" t="str">
        <f>DataTable[HLD_Portfolio]&amp;DataTable[HLD_Date]</f>
        <v>SCBRM143383</v>
      </c>
      <c r="W435" t="b">
        <f>DataTable[HLD_SecCode]="CB18O18A"</f>
        <v>0</v>
      </c>
    </row>
    <row r="436" spans="1:23" x14ac:dyDescent="0.2">
      <c r="A436" s="66">
        <v>43383</v>
      </c>
      <c r="B436" t="s">
        <v>353</v>
      </c>
      <c r="C436" t="s">
        <v>18</v>
      </c>
      <c r="D436" t="s">
        <v>87</v>
      </c>
      <c r="F436" t="s">
        <v>90</v>
      </c>
      <c r="G436" t="s">
        <v>89</v>
      </c>
      <c r="I436" s="66">
        <v>43447</v>
      </c>
      <c r="J436" s="6">
        <v>149702205</v>
      </c>
      <c r="L436">
        <v>149699251.5</v>
      </c>
      <c r="M436">
        <v>0.17219100000000001</v>
      </c>
      <c r="N436">
        <v>150000000</v>
      </c>
      <c r="O436">
        <v>1.163953</v>
      </c>
      <c r="P436" t="s">
        <v>42</v>
      </c>
      <c r="Q436" t="s">
        <v>23</v>
      </c>
      <c r="R436" s="66">
        <v>43356</v>
      </c>
      <c r="S436" s="6">
        <f>DataTable[HLD_MaturityDate] - DataTable[SEC_Issue_Date]</f>
        <v>91</v>
      </c>
      <c r="T436" s="66" t="str">
        <f>DataTable[HLD_Portfolio]&amp;DataTable[HLD_Date]</f>
        <v>SCBRM143383</v>
      </c>
      <c r="W436" t="b">
        <f>DataTable[HLD_SecCode]="CB18O18A"</f>
        <v>0</v>
      </c>
    </row>
    <row r="437" spans="1:23" x14ac:dyDescent="0.2">
      <c r="A437" s="66">
        <v>43383</v>
      </c>
      <c r="B437" t="s">
        <v>353</v>
      </c>
      <c r="C437" t="s">
        <v>18</v>
      </c>
      <c r="D437" t="s">
        <v>87</v>
      </c>
      <c r="F437" t="s">
        <v>208</v>
      </c>
      <c r="G437" t="s">
        <v>89</v>
      </c>
      <c r="I437" s="66">
        <v>43461</v>
      </c>
      <c r="J437" s="6">
        <v>278190124.38</v>
      </c>
      <c r="L437">
        <v>278184270.95999998</v>
      </c>
      <c r="M437">
        <v>0.210337</v>
      </c>
      <c r="N437">
        <v>279000000</v>
      </c>
      <c r="O437">
        <v>1.39</v>
      </c>
      <c r="P437" t="s">
        <v>42</v>
      </c>
      <c r="Q437" t="s">
        <v>23</v>
      </c>
      <c r="R437" s="66">
        <v>43370</v>
      </c>
      <c r="S437" s="6">
        <f>DataTable[HLD_MaturityDate] - DataTable[SEC_Issue_Date]</f>
        <v>91</v>
      </c>
      <c r="T437" s="66" t="str">
        <f>DataTable[HLD_Portfolio]&amp;DataTable[HLD_Date]</f>
        <v>SCBRM143383</v>
      </c>
      <c r="W437" t="b">
        <f>DataTable[HLD_SecCode]="CB18O18A"</f>
        <v>0</v>
      </c>
    </row>
    <row r="438" spans="1:23" x14ac:dyDescent="0.2">
      <c r="A438" s="66">
        <v>43383</v>
      </c>
      <c r="B438" t="s">
        <v>353</v>
      </c>
      <c r="C438" t="s">
        <v>18</v>
      </c>
      <c r="D438" t="s">
        <v>87</v>
      </c>
      <c r="F438" t="s">
        <v>93</v>
      </c>
      <c r="G438" t="s">
        <v>89</v>
      </c>
      <c r="I438" s="66">
        <v>43412</v>
      </c>
      <c r="J438" s="6">
        <v>128883605.88</v>
      </c>
      <c r="L438">
        <v>128883605.88</v>
      </c>
      <c r="M438">
        <v>7.6638999999999999E-2</v>
      </c>
      <c r="N438">
        <v>129000000</v>
      </c>
      <c r="O438">
        <v>1.1772480000000001</v>
      </c>
      <c r="P438" t="s">
        <v>42</v>
      </c>
      <c r="Q438" t="s">
        <v>23</v>
      </c>
      <c r="R438" s="66">
        <v>43230</v>
      </c>
      <c r="S438" s="6">
        <f>DataTable[HLD_MaturityDate] - DataTable[SEC_Issue_Date]</f>
        <v>182</v>
      </c>
      <c r="T438" s="66" t="str">
        <f>DataTable[HLD_Portfolio]&amp;DataTable[HLD_Date]</f>
        <v>SCBRM143383</v>
      </c>
      <c r="W438" t="b">
        <f>DataTable[HLD_SecCode]="CB18O18A"</f>
        <v>0</v>
      </c>
    </row>
    <row r="439" spans="1:23" x14ac:dyDescent="0.2">
      <c r="A439" s="66">
        <v>43383</v>
      </c>
      <c r="B439" t="s">
        <v>353</v>
      </c>
      <c r="C439" t="s">
        <v>18</v>
      </c>
      <c r="D439" t="s">
        <v>87</v>
      </c>
      <c r="F439" t="s">
        <v>94</v>
      </c>
      <c r="G439" t="s">
        <v>89</v>
      </c>
      <c r="I439" s="66">
        <v>43412</v>
      </c>
      <c r="J439" s="6">
        <v>69931600.900000006</v>
      </c>
      <c r="L439">
        <v>69931142.400000006</v>
      </c>
      <c r="M439">
        <v>7.6638999999999999E-2</v>
      </c>
      <c r="N439">
        <v>70000000</v>
      </c>
      <c r="O439">
        <v>1.28356</v>
      </c>
      <c r="P439" t="s">
        <v>42</v>
      </c>
      <c r="Q439" t="s">
        <v>23</v>
      </c>
      <c r="R439" s="66">
        <v>43321</v>
      </c>
      <c r="S439" s="6">
        <f>DataTable[HLD_MaturityDate] - DataTable[SEC_Issue_Date]</f>
        <v>91</v>
      </c>
      <c r="T439" s="66" t="str">
        <f>DataTable[HLD_Portfolio]&amp;DataTable[HLD_Date]</f>
        <v>SCBRM143383</v>
      </c>
      <c r="W439" t="b">
        <f>DataTable[HLD_SecCode]="CB18O18A"</f>
        <v>0</v>
      </c>
    </row>
    <row r="440" spans="1:23" x14ac:dyDescent="0.2">
      <c r="A440" s="66">
        <v>43383</v>
      </c>
      <c r="B440" t="s">
        <v>353</v>
      </c>
      <c r="C440" t="s">
        <v>18</v>
      </c>
      <c r="D440" t="s">
        <v>87</v>
      </c>
      <c r="F440" t="s">
        <v>96</v>
      </c>
      <c r="G440" t="s">
        <v>89</v>
      </c>
      <c r="I440" s="66">
        <v>43419</v>
      </c>
      <c r="J440" s="6">
        <v>49942737</v>
      </c>
      <c r="L440">
        <v>49942737</v>
      </c>
      <c r="M440">
        <v>9.5776E-2</v>
      </c>
      <c r="N440">
        <v>50000000</v>
      </c>
      <c r="O440">
        <v>1.1957139999999999</v>
      </c>
      <c r="P440" t="s">
        <v>42</v>
      </c>
      <c r="Q440" t="s">
        <v>23</v>
      </c>
      <c r="R440" s="66">
        <v>43328</v>
      </c>
      <c r="S440" s="6">
        <f>DataTable[HLD_MaturityDate] - DataTable[SEC_Issue_Date]</f>
        <v>91</v>
      </c>
      <c r="T440" s="66" t="str">
        <f>DataTable[HLD_Portfolio]&amp;DataTable[HLD_Date]</f>
        <v>SCBRM143383</v>
      </c>
      <c r="W440" t="b">
        <f>DataTable[HLD_SecCode]="CB18O18A"</f>
        <v>0</v>
      </c>
    </row>
    <row r="441" spans="1:23" x14ac:dyDescent="0.2">
      <c r="A441" s="66">
        <v>43383</v>
      </c>
      <c r="B441" t="s">
        <v>353</v>
      </c>
      <c r="C441" t="s">
        <v>18</v>
      </c>
      <c r="D441" t="s">
        <v>87</v>
      </c>
      <c r="F441" t="s">
        <v>97</v>
      </c>
      <c r="G441" t="s">
        <v>89</v>
      </c>
      <c r="I441" s="66">
        <v>43426</v>
      </c>
      <c r="J441" s="6">
        <v>99858666</v>
      </c>
      <c r="L441">
        <v>99858666</v>
      </c>
      <c r="M441">
        <v>0.114899</v>
      </c>
      <c r="N441">
        <v>100000000</v>
      </c>
      <c r="O441">
        <v>1.23</v>
      </c>
      <c r="P441" t="s">
        <v>42</v>
      </c>
      <c r="Q441" t="s">
        <v>23</v>
      </c>
      <c r="R441" s="66">
        <v>43244</v>
      </c>
      <c r="S441" s="6">
        <f>DataTable[HLD_MaturityDate] - DataTable[SEC_Issue_Date]</f>
        <v>182</v>
      </c>
      <c r="T441" s="66" t="str">
        <f>DataTable[HLD_Portfolio]&amp;DataTable[HLD_Date]</f>
        <v>SCBRM143383</v>
      </c>
      <c r="W441" t="b">
        <f>DataTable[HLD_SecCode]="CB18O18A"</f>
        <v>0</v>
      </c>
    </row>
    <row r="442" spans="1:23" x14ac:dyDescent="0.2">
      <c r="A442" s="66">
        <v>43383</v>
      </c>
      <c r="B442" t="s">
        <v>353</v>
      </c>
      <c r="C442" t="s">
        <v>18</v>
      </c>
      <c r="D442" t="s">
        <v>87</v>
      </c>
      <c r="F442" t="s">
        <v>99</v>
      </c>
      <c r="G442" t="s">
        <v>89</v>
      </c>
      <c r="I442" s="66">
        <v>43433</v>
      </c>
      <c r="J442" s="6">
        <v>199707770</v>
      </c>
      <c r="L442">
        <v>199707770</v>
      </c>
      <c r="M442">
        <v>0.13400799999999999</v>
      </c>
      <c r="N442">
        <v>200000000</v>
      </c>
      <c r="O442">
        <v>1.0900000000000001</v>
      </c>
      <c r="P442" t="s">
        <v>42</v>
      </c>
      <c r="Q442" t="s">
        <v>23</v>
      </c>
      <c r="R442" s="66">
        <v>43251</v>
      </c>
      <c r="S442" s="6">
        <f>DataTable[HLD_MaturityDate] - DataTable[SEC_Issue_Date]</f>
        <v>182</v>
      </c>
      <c r="T442" s="66" t="str">
        <f>DataTable[HLD_Portfolio]&amp;DataTable[HLD_Date]</f>
        <v>SCBRM143383</v>
      </c>
      <c r="W442" t="b">
        <f>DataTable[HLD_SecCode]="CB18O18A"</f>
        <v>0</v>
      </c>
    </row>
    <row r="443" spans="1:23" x14ac:dyDescent="0.2">
      <c r="A443" s="66">
        <v>43383</v>
      </c>
      <c r="B443" t="s">
        <v>353</v>
      </c>
      <c r="C443" t="s">
        <v>18</v>
      </c>
      <c r="D443" t="s">
        <v>87</v>
      </c>
      <c r="F443" t="s">
        <v>101</v>
      </c>
      <c r="G443" t="s">
        <v>89</v>
      </c>
      <c r="I443" s="66">
        <v>43384</v>
      </c>
      <c r="J443" s="6">
        <v>2000000</v>
      </c>
      <c r="L443">
        <v>2000000</v>
      </c>
      <c r="M443">
        <v>2.7399999999999998E-3</v>
      </c>
      <c r="N443">
        <v>2000000</v>
      </c>
      <c r="O443">
        <v>1.1924999999999999</v>
      </c>
      <c r="P443" t="s">
        <v>42</v>
      </c>
      <c r="Q443" t="s">
        <v>23</v>
      </c>
      <c r="R443" s="66">
        <v>43202</v>
      </c>
      <c r="S443" s="6">
        <f>DataTable[HLD_MaturityDate] - DataTable[SEC_Issue_Date]</f>
        <v>182</v>
      </c>
      <c r="T443" s="66" t="str">
        <f>DataTable[HLD_Portfolio]&amp;DataTable[HLD_Date]</f>
        <v>SCBRM143383</v>
      </c>
      <c r="W443" t="b">
        <f>DataTable[HLD_SecCode]="CB18O18A"</f>
        <v>0</v>
      </c>
    </row>
    <row r="444" spans="1:23" x14ac:dyDescent="0.2">
      <c r="A444" s="66">
        <v>43383</v>
      </c>
      <c r="B444" t="s">
        <v>353</v>
      </c>
      <c r="C444" t="s">
        <v>18</v>
      </c>
      <c r="D444" t="s">
        <v>87</v>
      </c>
      <c r="F444" t="s">
        <v>102</v>
      </c>
      <c r="G444" t="s">
        <v>89</v>
      </c>
      <c r="I444" s="66">
        <v>43384</v>
      </c>
      <c r="J444" s="6">
        <v>232000000</v>
      </c>
      <c r="L444">
        <v>232000000</v>
      </c>
      <c r="M444">
        <v>2.7399999999999998E-3</v>
      </c>
      <c r="N444">
        <v>232000000</v>
      </c>
      <c r="O444">
        <v>1.1340520000000001</v>
      </c>
      <c r="P444" t="s">
        <v>42</v>
      </c>
      <c r="Q444" t="s">
        <v>23</v>
      </c>
      <c r="R444" s="66">
        <v>43293</v>
      </c>
      <c r="S444" s="6">
        <f>DataTable[HLD_MaturityDate] - DataTable[SEC_Issue_Date]</f>
        <v>91</v>
      </c>
      <c r="T444" s="66" t="str">
        <f>DataTable[HLD_Portfolio]&amp;DataTable[HLD_Date]</f>
        <v>SCBRM143383</v>
      </c>
      <c r="W444" t="b">
        <f>DataTable[HLD_SecCode]="CB18O18A"</f>
        <v>0</v>
      </c>
    </row>
    <row r="445" spans="1:23" x14ac:dyDescent="0.2">
      <c r="A445" s="66">
        <v>43383</v>
      </c>
      <c r="B445" t="s">
        <v>353</v>
      </c>
      <c r="C445" t="s">
        <v>18</v>
      </c>
      <c r="D445" t="s">
        <v>87</v>
      </c>
      <c r="F445" t="s">
        <v>104</v>
      </c>
      <c r="G445" t="s">
        <v>89</v>
      </c>
      <c r="I445" s="66">
        <v>43391</v>
      </c>
      <c r="J445" s="6">
        <v>136969203.77000001</v>
      </c>
      <c r="L445">
        <v>136969203.77000001</v>
      </c>
      <c r="M445">
        <v>1.9174E-2</v>
      </c>
      <c r="N445">
        <v>137000000</v>
      </c>
      <c r="O445">
        <v>1.172372</v>
      </c>
      <c r="P445" t="s">
        <v>42</v>
      </c>
      <c r="Q445" t="s">
        <v>23</v>
      </c>
      <c r="R445" s="66">
        <v>43209</v>
      </c>
      <c r="S445" s="6">
        <f>DataTable[HLD_MaturityDate] - DataTable[SEC_Issue_Date]</f>
        <v>182</v>
      </c>
      <c r="T445" s="66" t="str">
        <f>DataTable[HLD_Portfolio]&amp;DataTable[HLD_Date]</f>
        <v>SCBRM143383</v>
      </c>
      <c r="W445" t="b">
        <f>DataTable[HLD_SecCode]="CB18O18A"</f>
        <v>1</v>
      </c>
    </row>
    <row r="446" spans="1:23" x14ac:dyDescent="0.2">
      <c r="A446" s="66">
        <v>43383</v>
      </c>
      <c r="B446" t="s">
        <v>353</v>
      </c>
      <c r="C446" t="s">
        <v>18</v>
      </c>
      <c r="D446" t="s">
        <v>87</v>
      </c>
      <c r="F446" t="s">
        <v>105</v>
      </c>
      <c r="G446" t="s">
        <v>89</v>
      </c>
      <c r="I446" s="66">
        <v>43391</v>
      </c>
      <c r="J446" s="6">
        <v>142966137.59999999</v>
      </c>
      <c r="L446">
        <v>142965695.72999999</v>
      </c>
      <c r="M446">
        <v>1.9174E-2</v>
      </c>
      <c r="N446">
        <v>143000000</v>
      </c>
      <c r="O446">
        <v>1.2511760000000001</v>
      </c>
      <c r="P446" t="s">
        <v>42</v>
      </c>
      <c r="Q446" t="s">
        <v>23</v>
      </c>
      <c r="R446" s="66">
        <v>43300</v>
      </c>
      <c r="S446" s="6">
        <f>DataTable[HLD_MaturityDate] - DataTable[SEC_Issue_Date]</f>
        <v>91</v>
      </c>
      <c r="T446" s="66" t="str">
        <f>DataTable[HLD_Portfolio]&amp;DataTable[HLD_Date]</f>
        <v>SCBRM143383</v>
      </c>
      <c r="W446" t="b">
        <f>DataTable[HLD_SecCode]="CB18O18A"</f>
        <v>0</v>
      </c>
    </row>
    <row r="447" spans="1:23" x14ac:dyDescent="0.2">
      <c r="A447" s="66">
        <v>43383</v>
      </c>
      <c r="B447" t="s">
        <v>353</v>
      </c>
      <c r="C447" t="s">
        <v>18</v>
      </c>
      <c r="D447" t="s">
        <v>87</v>
      </c>
      <c r="F447" t="s">
        <v>355</v>
      </c>
      <c r="G447" t="s">
        <v>89</v>
      </c>
      <c r="I447" s="66">
        <v>43397</v>
      </c>
      <c r="J447" s="6">
        <v>319870364.80000001</v>
      </c>
      <c r="L447">
        <v>319870364.80000001</v>
      </c>
      <c r="M447">
        <v>3.5601000000000001E-2</v>
      </c>
      <c r="N447">
        <v>320000000</v>
      </c>
      <c r="O447">
        <v>1.137888</v>
      </c>
      <c r="P447" t="s">
        <v>42</v>
      </c>
      <c r="Q447" t="s">
        <v>23</v>
      </c>
      <c r="R447" s="66">
        <v>43382</v>
      </c>
      <c r="S447" s="6">
        <f>DataTable[HLD_MaturityDate] - DataTable[SEC_Issue_Date]</f>
        <v>15</v>
      </c>
      <c r="T447" s="66" t="str">
        <f>DataTable[HLD_Portfolio]&amp;DataTable[HLD_Date]</f>
        <v>SCBRM143383</v>
      </c>
      <c r="W447" t="b">
        <f>DataTable[HLD_SecCode]="CB18O18A"</f>
        <v>0</v>
      </c>
    </row>
    <row r="448" spans="1:23" x14ac:dyDescent="0.2">
      <c r="A448" s="66">
        <v>43383</v>
      </c>
      <c r="B448" t="s">
        <v>353</v>
      </c>
      <c r="C448" t="s">
        <v>18</v>
      </c>
      <c r="D448" t="s">
        <v>87</v>
      </c>
      <c r="F448" t="s">
        <v>107</v>
      </c>
      <c r="G448" t="s">
        <v>89</v>
      </c>
      <c r="I448" s="66">
        <v>43398</v>
      </c>
      <c r="J448" s="6">
        <v>157930773.88</v>
      </c>
      <c r="L448">
        <v>157930773.88</v>
      </c>
      <c r="M448">
        <v>3.8338999999999998E-2</v>
      </c>
      <c r="N448">
        <v>158000000</v>
      </c>
      <c r="O448">
        <v>1.1427849999999999</v>
      </c>
      <c r="P448" t="s">
        <v>42</v>
      </c>
      <c r="Q448" t="s">
        <v>23</v>
      </c>
      <c r="R448" s="66">
        <v>43307</v>
      </c>
      <c r="S448" s="6">
        <f>DataTable[HLD_MaturityDate] - DataTable[SEC_Issue_Date]</f>
        <v>91</v>
      </c>
      <c r="T448" s="66" t="str">
        <f>DataTable[HLD_Portfolio]&amp;DataTable[HLD_Date]</f>
        <v>SCBRM143383</v>
      </c>
      <c r="W448" t="b">
        <f>DataTable[HLD_SecCode]="CB18O18A"</f>
        <v>0</v>
      </c>
    </row>
    <row r="449" spans="1:23" x14ac:dyDescent="0.2">
      <c r="A449" s="66">
        <v>43383</v>
      </c>
      <c r="B449" t="s">
        <v>353</v>
      </c>
      <c r="C449" t="s">
        <v>18</v>
      </c>
      <c r="D449" t="s">
        <v>87</v>
      </c>
      <c r="F449" t="s">
        <v>108</v>
      </c>
      <c r="G449" t="s">
        <v>89</v>
      </c>
      <c r="I449" s="66">
        <v>43468</v>
      </c>
      <c r="J449" s="6">
        <v>89696555.099999994</v>
      </c>
      <c r="L449">
        <v>89692303.5</v>
      </c>
      <c r="M449">
        <v>0.229353</v>
      </c>
      <c r="N449">
        <v>90000000</v>
      </c>
      <c r="O449">
        <v>1.490667</v>
      </c>
      <c r="P449" t="s">
        <v>42</v>
      </c>
      <c r="Q449" t="s">
        <v>23</v>
      </c>
      <c r="R449" s="66">
        <v>43377</v>
      </c>
      <c r="S449" s="6">
        <f>DataTable[HLD_MaturityDate] - DataTable[SEC_Issue_Date]</f>
        <v>91</v>
      </c>
      <c r="T449" s="66" t="str">
        <f>DataTable[HLD_Portfolio]&amp;DataTable[HLD_Date]</f>
        <v>SCBRM143383</v>
      </c>
      <c r="W449" t="b">
        <f>DataTable[HLD_SecCode]="CB18O18A"</f>
        <v>0</v>
      </c>
    </row>
    <row r="450" spans="1:23" x14ac:dyDescent="0.2">
      <c r="A450" s="66">
        <v>43383</v>
      </c>
      <c r="B450" t="s">
        <v>353</v>
      </c>
      <c r="C450" t="s">
        <v>18</v>
      </c>
      <c r="D450" t="s">
        <v>87</v>
      </c>
      <c r="F450" t="s">
        <v>870</v>
      </c>
      <c r="G450" t="s">
        <v>89</v>
      </c>
      <c r="I450" s="66">
        <v>43475</v>
      </c>
      <c r="J450" s="6">
        <v>199227844.96000001</v>
      </c>
      <c r="L450">
        <v>199227844.96000001</v>
      </c>
      <c r="M450">
        <v>0.25205499999999997</v>
      </c>
      <c r="N450">
        <v>200000000</v>
      </c>
      <c r="O450">
        <v>1.554554</v>
      </c>
      <c r="P450" t="s">
        <v>42</v>
      </c>
      <c r="Q450" t="s">
        <v>23</v>
      </c>
      <c r="R450" s="66">
        <v>43384</v>
      </c>
      <c r="S450" s="6">
        <f>DataTable[HLD_MaturityDate] - DataTable[SEC_Issue_Date]</f>
        <v>91</v>
      </c>
      <c r="T450" s="66" t="str">
        <f>DataTable[HLD_Portfolio]&amp;DataTable[HLD_Date]</f>
        <v>SCBRM143383</v>
      </c>
      <c r="W450" t="b">
        <f>DataTable[HLD_SecCode]="CB18O18A"</f>
        <v>0</v>
      </c>
    </row>
    <row r="451" spans="1:23" x14ac:dyDescent="0.2">
      <c r="A451" s="66">
        <v>43383</v>
      </c>
      <c r="B451" t="s">
        <v>353</v>
      </c>
      <c r="C451" t="s">
        <v>18</v>
      </c>
      <c r="D451" t="s">
        <v>87</v>
      </c>
      <c r="F451" t="s">
        <v>544</v>
      </c>
      <c r="G451" t="s">
        <v>89</v>
      </c>
      <c r="I451" s="66">
        <v>43538</v>
      </c>
      <c r="J451" s="6">
        <v>49675138</v>
      </c>
      <c r="L451">
        <v>49678990.5</v>
      </c>
      <c r="M451">
        <v>0.41917700000000002</v>
      </c>
      <c r="N451">
        <v>50000000</v>
      </c>
      <c r="O451">
        <v>1.5315000000000001</v>
      </c>
      <c r="P451" t="s">
        <v>42</v>
      </c>
      <c r="Q451" t="s">
        <v>23</v>
      </c>
      <c r="R451" s="66">
        <v>43174</v>
      </c>
      <c r="S451" s="6">
        <f>DataTable[HLD_MaturityDate] - DataTable[SEC_Issue_Date]</f>
        <v>364</v>
      </c>
      <c r="T451" s="66" t="str">
        <f>DataTable[HLD_Portfolio]&amp;DataTable[HLD_Date]</f>
        <v>SCBRM143383</v>
      </c>
      <c r="W451" t="b">
        <f>DataTable[HLD_SecCode]="CB18O18A"</f>
        <v>0</v>
      </c>
    </row>
    <row r="452" spans="1:23" x14ac:dyDescent="0.2">
      <c r="A452" s="66">
        <v>43383</v>
      </c>
      <c r="B452" t="s">
        <v>353</v>
      </c>
      <c r="C452" t="s">
        <v>18</v>
      </c>
      <c r="D452" t="s">
        <v>112</v>
      </c>
      <c r="F452" t="s">
        <v>545</v>
      </c>
      <c r="G452" t="s">
        <v>89</v>
      </c>
      <c r="I452" s="66">
        <v>43516</v>
      </c>
      <c r="J452" s="6">
        <v>49980243</v>
      </c>
      <c r="K452">
        <v>113260.5</v>
      </c>
      <c r="L452">
        <v>50031578</v>
      </c>
      <c r="M452">
        <v>0.35863099999999998</v>
      </c>
      <c r="N452">
        <v>50000000</v>
      </c>
      <c r="O452">
        <v>1.3946000000000001</v>
      </c>
      <c r="P452" t="s">
        <v>42</v>
      </c>
      <c r="Q452" t="s">
        <v>23</v>
      </c>
      <c r="R452" s="66">
        <v>42786</v>
      </c>
      <c r="S452" s="6">
        <f>DataTable[HLD_MaturityDate] - DataTable[SEC_Issue_Date]</f>
        <v>730</v>
      </c>
      <c r="T452" s="66" t="str">
        <f>DataTable[HLD_Portfolio]&amp;DataTable[HLD_Date]</f>
        <v>SCBRM143383</v>
      </c>
      <c r="W452" t="b">
        <f>DataTable[HLD_SecCode]="CB18O18A"</f>
        <v>0</v>
      </c>
    </row>
    <row r="453" spans="1:23" x14ac:dyDescent="0.2">
      <c r="A453" s="66">
        <v>43383</v>
      </c>
      <c r="B453" t="s">
        <v>353</v>
      </c>
      <c r="C453" t="s">
        <v>18</v>
      </c>
      <c r="D453" t="s">
        <v>112</v>
      </c>
      <c r="F453" t="s">
        <v>546</v>
      </c>
      <c r="G453" t="s">
        <v>89</v>
      </c>
      <c r="I453" s="66">
        <v>43720</v>
      </c>
      <c r="J453" s="6">
        <v>199722984</v>
      </c>
      <c r="K453">
        <v>262192</v>
      </c>
      <c r="L453">
        <v>200339236</v>
      </c>
      <c r="M453">
        <v>0.90416099999999999</v>
      </c>
      <c r="N453">
        <v>200000000</v>
      </c>
      <c r="O453">
        <v>1.47</v>
      </c>
      <c r="P453" t="s">
        <v>42</v>
      </c>
      <c r="Q453" t="s">
        <v>23</v>
      </c>
      <c r="R453" s="66">
        <v>42625</v>
      </c>
      <c r="S453" s="6">
        <f>DataTable[HLD_MaturityDate] - DataTable[SEC_Issue_Date]</f>
        <v>1095</v>
      </c>
      <c r="T453" s="66" t="str">
        <f>DataTable[HLD_Portfolio]&amp;DataTable[HLD_Date]</f>
        <v>SCBRM143383</v>
      </c>
      <c r="W453" t="b">
        <f>DataTable[HLD_SecCode]="CB18O18A"</f>
        <v>0</v>
      </c>
    </row>
    <row r="454" spans="1:23" x14ac:dyDescent="0.2">
      <c r="A454" s="66">
        <v>43383</v>
      </c>
      <c r="B454" t="s">
        <v>353</v>
      </c>
      <c r="C454" t="s">
        <v>18</v>
      </c>
      <c r="D454" t="s">
        <v>112</v>
      </c>
      <c r="F454" t="s">
        <v>547</v>
      </c>
      <c r="G454" t="s">
        <v>89</v>
      </c>
      <c r="I454" s="66">
        <v>44099</v>
      </c>
      <c r="J454" s="6">
        <v>109008409.40000001</v>
      </c>
      <c r="K454">
        <v>75704.2</v>
      </c>
      <c r="L454">
        <v>110112205.5</v>
      </c>
      <c r="M454">
        <v>1.909146</v>
      </c>
      <c r="N454">
        <v>110000000</v>
      </c>
      <c r="O454">
        <v>1.52</v>
      </c>
      <c r="P454" t="s">
        <v>42</v>
      </c>
      <c r="Q454" t="s">
        <v>23</v>
      </c>
      <c r="R454" s="66">
        <v>43003</v>
      </c>
      <c r="S454" s="6">
        <f>DataTable[HLD_MaturityDate] - DataTable[SEC_Issue_Date]</f>
        <v>1096</v>
      </c>
      <c r="T454" s="66" t="str">
        <f>DataTable[HLD_Portfolio]&amp;DataTable[HLD_Date]</f>
        <v>SCBRM143383</v>
      </c>
      <c r="W454" t="b">
        <f>DataTable[HLD_SecCode]="CB18O18A"</f>
        <v>0</v>
      </c>
    </row>
    <row r="455" spans="1:23" x14ac:dyDescent="0.2">
      <c r="A455" s="66">
        <v>43383</v>
      </c>
      <c r="B455" t="s">
        <v>353</v>
      </c>
      <c r="C455" t="s">
        <v>18</v>
      </c>
      <c r="D455" t="s">
        <v>112</v>
      </c>
      <c r="F455" t="s">
        <v>548</v>
      </c>
      <c r="G455" t="s">
        <v>85</v>
      </c>
      <c r="H455" t="s">
        <v>29</v>
      </c>
      <c r="I455" s="66">
        <v>44008</v>
      </c>
      <c r="J455" s="6">
        <v>90877578.299999997</v>
      </c>
      <c r="K455">
        <v>672780.6</v>
      </c>
      <c r="L455">
        <v>91550555.099999994</v>
      </c>
      <c r="M455">
        <v>1.6547639999999999</v>
      </c>
      <c r="N455">
        <v>90000000</v>
      </c>
      <c r="O455">
        <v>1.5216670000000001</v>
      </c>
      <c r="P455" t="s">
        <v>42</v>
      </c>
      <c r="Q455" t="s">
        <v>23</v>
      </c>
      <c r="R455" s="66">
        <v>42181</v>
      </c>
      <c r="S455" s="6">
        <f>DataTable[HLD_MaturityDate] - DataTable[SEC_Issue_Date]</f>
        <v>1827</v>
      </c>
      <c r="T455" s="66" t="str">
        <f>DataTable[HLD_Portfolio]&amp;DataTable[HLD_Date]</f>
        <v>SCBRM143383</v>
      </c>
      <c r="W455" t="b">
        <f>DataTable[HLD_SecCode]="CB18O18A"</f>
        <v>0</v>
      </c>
    </row>
    <row r="456" spans="1:23" hidden="1" x14ac:dyDescent="0.2">
      <c r="A456" s="66">
        <v>43383</v>
      </c>
      <c r="B456" t="s">
        <v>353</v>
      </c>
      <c r="C456" t="s">
        <v>18</v>
      </c>
      <c r="D456" t="s">
        <v>109</v>
      </c>
      <c r="F456" t="s">
        <v>494</v>
      </c>
      <c r="G456" t="s">
        <v>495</v>
      </c>
      <c r="H456" t="s">
        <v>47</v>
      </c>
      <c r="I456" s="66">
        <v>44109</v>
      </c>
      <c r="J456" s="6">
        <v>19879571.600000001</v>
      </c>
      <c r="K456">
        <v>7495.8</v>
      </c>
      <c r="L456">
        <v>20000000</v>
      </c>
      <c r="M456">
        <v>1.9235519999999999</v>
      </c>
      <c r="N456">
        <v>20000000</v>
      </c>
      <c r="O456">
        <v>2.2799999999999998</v>
      </c>
      <c r="P456" t="s">
        <v>42</v>
      </c>
      <c r="Q456" t="s">
        <v>23</v>
      </c>
      <c r="R456" s="66">
        <v>43013</v>
      </c>
      <c r="S456" s="6">
        <f>DataTable[HLD_MaturityDate] - DataTable[SEC_Issue_Date]</f>
        <v>1096</v>
      </c>
      <c r="T456" s="66" t="str">
        <f>DataTable[HLD_Portfolio]&amp;DataTable[HLD_Date]</f>
        <v>SCBRM143383</v>
      </c>
      <c r="W456" t="b">
        <f>DataTable[HLD_SecCode]="CB18O18A"</f>
        <v>0</v>
      </c>
    </row>
    <row r="457" spans="1:23" hidden="1" x14ac:dyDescent="0.2">
      <c r="A457" s="66">
        <v>43383</v>
      </c>
      <c r="B457" t="s">
        <v>353</v>
      </c>
      <c r="C457" t="s">
        <v>18</v>
      </c>
      <c r="D457" t="s">
        <v>109</v>
      </c>
      <c r="F457" t="s">
        <v>549</v>
      </c>
      <c r="G457" t="s">
        <v>550</v>
      </c>
      <c r="H457" t="s">
        <v>27</v>
      </c>
      <c r="I457" s="66">
        <v>44297</v>
      </c>
      <c r="J457" s="6">
        <v>6303428.2199999997</v>
      </c>
      <c r="K457">
        <v>137174.79</v>
      </c>
      <c r="L457">
        <v>6372917.2800000003</v>
      </c>
      <c r="M457">
        <v>2.3636200000000001</v>
      </c>
      <c r="N457">
        <v>6000000</v>
      </c>
      <c r="O457">
        <v>2</v>
      </c>
      <c r="P457" t="s">
        <v>42</v>
      </c>
      <c r="Q457" t="s">
        <v>23</v>
      </c>
      <c r="R457" s="66">
        <v>41740</v>
      </c>
      <c r="S457" s="6">
        <f>DataTable[HLD_MaturityDate] - DataTable[SEC_Issue_Date]</f>
        <v>2557</v>
      </c>
      <c r="T457" s="66" t="str">
        <f>DataTable[HLD_Portfolio]&amp;DataTable[HLD_Date]</f>
        <v>SCBRM143383</v>
      </c>
      <c r="W457" t="b">
        <f>DataTable[HLD_SecCode]="CB18O18A"</f>
        <v>0</v>
      </c>
    </row>
    <row r="458" spans="1:23" hidden="1" x14ac:dyDescent="0.2">
      <c r="A458" s="66">
        <v>43383</v>
      </c>
      <c r="B458" t="s">
        <v>353</v>
      </c>
      <c r="C458" t="s">
        <v>18</v>
      </c>
      <c r="D458" t="s">
        <v>109</v>
      </c>
      <c r="F458" t="s">
        <v>551</v>
      </c>
      <c r="G458" t="s">
        <v>192</v>
      </c>
      <c r="H458" t="s">
        <v>51</v>
      </c>
      <c r="I458" s="66">
        <v>44016</v>
      </c>
      <c r="J458" s="6">
        <v>149867670.30000001</v>
      </c>
      <c r="K458">
        <v>1714733.75</v>
      </c>
      <c r="L458">
        <v>148150620.90000001</v>
      </c>
      <c r="M458">
        <v>1.6516580000000001</v>
      </c>
      <c r="N458">
        <v>145000000</v>
      </c>
      <c r="O458">
        <v>3.05</v>
      </c>
      <c r="P458" t="s">
        <v>42</v>
      </c>
      <c r="Q458" t="s">
        <v>23</v>
      </c>
      <c r="R458" s="66">
        <v>41824</v>
      </c>
      <c r="S458" s="6">
        <f>DataTable[HLD_MaturityDate] - DataTable[SEC_Issue_Date]</f>
        <v>2192</v>
      </c>
      <c r="T458" s="66" t="str">
        <f>DataTable[HLD_Portfolio]&amp;DataTable[HLD_Date]</f>
        <v>SCBRM143383</v>
      </c>
      <c r="W458" t="b">
        <f>DataTable[HLD_SecCode]="CB18O18A"</f>
        <v>0</v>
      </c>
    </row>
    <row r="459" spans="1:23" hidden="1" x14ac:dyDescent="0.2">
      <c r="A459" s="66">
        <v>43383</v>
      </c>
      <c r="B459" t="s">
        <v>353</v>
      </c>
      <c r="C459" t="s">
        <v>18</v>
      </c>
      <c r="D459" t="s">
        <v>109</v>
      </c>
      <c r="F459" t="s">
        <v>552</v>
      </c>
      <c r="G459" t="s">
        <v>21</v>
      </c>
      <c r="H459" t="s">
        <v>317</v>
      </c>
      <c r="I459" s="66">
        <v>43400</v>
      </c>
      <c r="J459" s="6">
        <v>117024433.11</v>
      </c>
      <c r="K459">
        <v>1038510.72</v>
      </c>
      <c r="L459">
        <v>117021463.65000001</v>
      </c>
      <c r="M459">
        <v>4.3550999999999999E-2</v>
      </c>
      <c r="N459">
        <v>117000000</v>
      </c>
      <c r="O459">
        <v>1.452564</v>
      </c>
      <c r="P459" t="s">
        <v>42</v>
      </c>
      <c r="Q459" t="s">
        <v>23</v>
      </c>
      <c r="R459" s="66">
        <v>42670</v>
      </c>
      <c r="S459" s="6">
        <f>DataTable[HLD_MaturityDate] - DataTable[SEC_Issue_Date]</f>
        <v>730</v>
      </c>
      <c r="T459" s="66" t="str">
        <f>DataTable[HLD_Portfolio]&amp;DataTable[HLD_Date]</f>
        <v>SCBRM143383</v>
      </c>
      <c r="W459" t="b">
        <f>DataTable[HLD_SecCode]="CB18O18A"</f>
        <v>0</v>
      </c>
    </row>
    <row r="460" spans="1:23" hidden="1" x14ac:dyDescent="0.2">
      <c r="A460" s="66">
        <v>43383</v>
      </c>
      <c r="B460" t="s">
        <v>353</v>
      </c>
      <c r="C460" t="s">
        <v>18</v>
      </c>
      <c r="D460" t="s">
        <v>109</v>
      </c>
      <c r="F460" t="s">
        <v>553</v>
      </c>
      <c r="G460" t="s">
        <v>501</v>
      </c>
      <c r="H460" t="s">
        <v>47</v>
      </c>
      <c r="I460" s="66">
        <v>43640</v>
      </c>
      <c r="J460" s="6">
        <v>10018410</v>
      </c>
      <c r="K460">
        <v>66295.899999999994</v>
      </c>
      <c r="L460">
        <v>10025985</v>
      </c>
      <c r="M460">
        <v>0.69052999999999998</v>
      </c>
      <c r="N460">
        <v>10000000</v>
      </c>
      <c r="O460">
        <v>1.84</v>
      </c>
      <c r="P460" t="s">
        <v>42</v>
      </c>
      <c r="Q460" t="s">
        <v>23</v>
      </c>
      <c r="R460" s="66">
        <v>42545</v>
      </c>
      <c r="S460" s="6">
        <f>DataTable[HLD_MaturityDate] - DataTable[SEC_Issue_Date]</f>
        <v>1095</v>
      </c>
      <c r="T460" s="66" t="str">
        <f>DataTable[HLD_Portfolio]&amp;DataTable[HLD_Date]</f>
        <v>SCBRM143383</v>
      </c>
      <c r="W460" t="b">
        <f>DataTable[HLD_SecCode]="CB18O18A"</f>
        <v>0</v>
      </c>
    </row>
    <row r="461" spans="1:23" hidden="1" x14ac:dyDescent="0.2">
      <c r="A461" s="66">
        <v>43383</v>
      </c>
      <c r="B461" t="s">
        <v>353</v>
      </c>
      <c r="C461" t="s">
        <v>18</v>
      </c>
      <c r="D461" t="s">
        <v>109</v>
      </c>
      <c r="F461" t="s">
        <v>554</v>
      </c>
      <c r="G461" t="s">
        <v>255</v>
      </c>
      <c r="H461" t="s">
        <v>51</v>
      </c>
      <c r="I461" s="66">
        <v>43548</v>
      </c>
      <c r="J461" s="6">
        <v>32077218.559999999</v>
      </c>
      <c r="K461">
        <v>38005.440000000002</v>
      </c>
      <c r="L461">
        <v>32095800.32</v>
      </c>
      <c r="M461">
        <v>0.44479999999999997</v>
      </c>
      <c r="N461">
        <v>32000000</v>
      </c>
      <c r="O461">
        <v>1.9</v>
      </c>
      <c r="P461" t="s">
        <v>42</v>
      </c>
      <c r="Q461" t="s">
        <v>23</v>
      </c>
      <c r="R461" s="66">
        <v>42818</v>
      </c>
      <c r="S461" s="6">
        <f>DataTable[HLD_MaturityDate] - DataTable[SEC_Issue_Date]</f>
        <v>730</v>
      </c>
      <c r="T461" s="66" t="str">
        <f>DataTable[HLD_Portfolio]&amp;DataTable[HLD_Date]</f>
        <v>SCBRM143383</v>
      </c>
      <c r="W461" t="b">
        <f>DataTable[HLD_SecCode]="CB18O18A"</f>
        <v>0</v>
      </c>
    </row>
    <row r="462" spans="1:23" hidden="1" x14ac:dyDescent="0.2">
      <c r="A462" s="66">
        <v>43383</v>
      </c>
      <c r="B462" t="s">
        <v>353</v>
      </c>
      <c r="C462" t="s">
        <v>18</v>
      </c>
      <c r="D462" t="s">
        <v>109</v>
      </c>
      <c r="F462" t="s">
        <v>555</v>
      </c>
      <c r="G462" t="s">
        <v>255</v>
      </c>
      <c r="H462" t="s">
        <v>51</v>
      </c>
      <c r="I462" s="66">
        <v>43715</v>
      </c>
      <c r="J462" s="6">
        <v>80041768</v>
      </c>
      <c r="K462">
        <v>174378.4</v>
      </c>
      <c r="L462">
        <v>80539184.799999997</v>
      </c>
      <c r="M462">
        <v>0.88680099999999995</v>
      </c>
      <c r="N462">
        <v>80000000</v>
      </c>
      <c r="O462">
        <v>1.595</v>
      </c>
      <c r="P462" t="s">
        <v>42</v>
      </c>
      <c r="Q462" t="s">
        <v>23</v>
      </c>
      <c r="R462" s="66">
        <v>42620</v>
      </c>
      <c r="S462" s="6">
        <f>DataTable[HLD_MaturityDate] - DataTable[SEC_Issue_Date]</f>
        <v>1095</v>
      </c>
      <c r="T462" s="66" t="str">
        <f>DataTable[HLD_Portfolio]&amp;DataTable[HLD_Date]</f>
        <v>SCBRM143383</v>
      </c>
      <c r="W462" t="b">
        <f>DataTable[HLD_SecCode]="CB18O18A"</f>
        <v>0</v>
      </c>
    </row>
    <row r="463" spans="1:23" hidden="1" x14ac:dyDescent="0.2">
      <c r="A463" s="66">
        <v>43383</v>
      </c>
      <c r="B463" t="s">
        <v>353</v>
      </c>
      <c r="C463" t="s">
        <v>18</v>
      </c>
      <c r="D463" t="s">
        <v>109</v>
      </c>
      <c r="F463" t="s">
        <v>254</v>
      </c>
      <c r="G463" t="s">
        <v>255</v>
      </c>
      <c r="H463" t="s">
        <v>51</v>
      </c>
      <c r="I463" s="66">
        <v>43990</v>
      </c>
      <c r="J463" s="6">
        <v>245698414.15000001</v>
      </c>
      <c r="K463">
        <v>2273800.9</v>
      </c>
      <c r="L463">
        <v>245323804.25</v>
      </c>
      <c r="M463">
        <v>1.5990059999999999</v>
      </c>
      <c r="N463">
        <v>245000000</v>
      </c>
      <c r="O463">
        <v>2.6245720000000001</v>
      </c>
      <c r="P463" t="s">
        <v>42</v>
      </c>
      <c r="Q463" t="s">
        <v>23</v>
      </c>
      <c r="R463" s="66">
        <v>42712</v>
      </c>
      <c r="S463" s="6">
        <f>DataTable[HLD_MaturityDate] - DataTable[SEC_Issue_Date]</f>
        <v>1278</v>
      </c>
      <c r="T463" s="66" t="str">
        <f>DataTable[HLD_Portfolio]&amp;DataTable[HLD_Date]</f>
        <v>SCBRM143383</v>
      </c>
      <c r="W463" t="b">
        <f>DataTable[HLD_SecCode]="CB18O18A"</f>
        <v>0</v>
      </c>
    </row>
    <row r="464" spans="1:23" hidden="1" x14ac:dyDescent="0.2">
      <c r="A464" s="66">
        <v>43383</v>
      </c>
      <c r="B464" t="s">
        <v>353</v>
      </c>
      <c r="C464" t="s">
        <v>18</v>
      </c>
      <c r="D464" t="s">
        <v>109</v>
      </c>
      <c r="F464" t="s">
        <v>502</v>
      </c>
      <c r="G464" t="s">
        <v>255</v>
      </c>
      <c r="H464" t="s">
        <v>51</v>
      </c>
      <c r="I464" s="66">
        <v>44446</v>
      </c>
      <c r="J464" s="6">
        <v>19910267.800000001</v>
      </c>
      <c r="K464">
        <v>50115</v>
      </c>
      <c r="L464">
        <v>20307153</v>
      </c>
      <c r="M464">
        <v>2.7651870000000001</v>
      </c>
      <c r="N464">
        <v>20000000</v>
      </c>
      <c r="O464">
        <v>2.145</v>
      </c>
      <c r="P464" t="s">
        <v>42</v>
      </c>
      <c r="Q464" t="s">
        <v>23</v>
      </c>
      <c r="R464" s="66">
        <v>42620</v>
      </c>
      <c r="S464" s="6">
        <f>DataTable[HLD_MaturityDate] - DataTable[SEC_Issue_Date]</f>
        <v>1826</v>
      </c>
      <c r="T464" s="66" t="str">
        <f>DataTable[HLD_Portfolio]&amp;DataTable[HLD_Date]</f>
        <v>SCBRM143383</v>
      </c>
      <c r="W464" t="b">
        <f>DataTable[HLD_SecCode]="CB18O18A"</f>
        <v>0</v>
      </c>
    </row>
    <row r="465" spans="1:23" hidden="1" x14ac:dyDescent="0.2">
      <c r="A465" s="66">
        <v>43383</v>
      </c>
      <c r="B465" t="s">
        <v>353</v>
      </c>
      <c r="C465" t="s">
        <v>18</v>
      </c>
      <c r="D465" t="s">
        <v>109</v>
      </c>
      <c r="F465" t="s">
        <v>507</v>
      </c>
      <c r="G465" t="s">
        <v>508</v>
      </c>
      <c r="H465" t="s">
        <v>47</v>
      </c>
      <c r="I465" s="66">
        <v>43779</v>
      </c>
      <c r="J465" s="6">
        <v>130657039.5</v>
      </c>
      <c r="K465">
        <v>1349293.4</v>
      </c>
      <c r="L465">
        <v>131033936.8</v>
      </c>
      <c r="M465">
        <v>1.0537030000000001</v>
      </c>
      <c r="N465">
        <v>130000000</v>
      </c>
      <c r="O465">
        <v>1.7050000000000001</v>
      </c>
      <c r="P465" t="s">
        <v>42</v>
      </c>
      <c r="Q465" t="s">
        <v>23</v>
      </c>
      <c r="R465" s="66">
        <v>42684</v>
      </c>
      <c r="S465" s="6">
        <f>DataTable[HLD_MaturityDate] - DataTable[SEC_Issue_Date]</f>
        <v>1095</v>
      </c>
      <c r="T465" s="66" t="str">
        <f>DataTable[HLD_Portfolio]&amp;DataTable[HLD_Date]</f>
        <v>SCBRM143383</v>
      </c>
      <c r="W465" t="b">
        <f>DataTable[HLD_SecCode]="CB18O18A"</f>
        <v>0</v>
      </c>
    </row>
    <row r="466" spans="1:23" hidden="1" x14ac:dyDescent="0.2">
      <c r="A466" s="66">
        <v>43383</v>
      </c>
      <c r="B466" t="s">
        <v>353</v>
      </c>
      <c r="C466" t="s">
        <v>18</v>
      </c>
      <c r="D466" t="s">
        <v>109</v>
      </c>
      <c r="F466" t="s">
        <v>509</v>
      </c>
      <c r="G466" t="s">
        <v>194</v>
      </c>
      <c r="H466" t="s">
        <v>47</v>
      </c>
      <c r="I466" s="66">
        <v>44191</v>
      </c>
      <c r="J466" s="6">
        <v>51611955.200000003</v>
      </c>
      <c r="K466">
        <v>341462.16</v>
      </c>
      <c r="L466">
        <v>52000000</v>
      </c>
      <c r="M466">
        <v>2.1256740000000001</v>
      </c>
      <c r="N466">
        <v>52000000</v>
      </c>
      <c r="O466">
        <v>2.2400000000000002</v>
      </c>
      <c r="P466" t="s">
        <v>42</v>
      </c>
      <c r="Q466" t="s">
        <v>23</v>
      </c>
      <c r="R466" s="66">
        <v>43095</v>
      </c>
      <c r="S466" s="6">
        <f>DataTable[HLD_MaturityDate] - DataTable[SEC_Issue_Date]</f>
        <v>1096</v>
      </c>
      <c r="T466" s="66" t="str">
        <f>DataTable[HLD_Portfolio]&amp;DataTable[HLD_Date]</f>
        <v>SCBRM143383</v>
      </c>
      <c r="W466" t="b">
        <f>DataTable[HLD_SecCode]="CB18O18A"</f>
        <v>0</v>
      </c>
    </row>
    <row r="467" spans="1:23" hidden="1" x14ac:dyDescent="0.2">
      <c r="A467" s="66">
        <v>43383</v>
      </c>
      <c r="B467" t="s">
        <v>353</v>
      </c>
      <c r="C467" t="s">
        <v>18</v>
      </c>
      <c r="D467" t="s">
        <v>109</v>
      </c>
      <c r="F467" t="s">
        <v>510</v>
      </c>
      <c r="G467" t="s">
        <v>511</v>
      </c>
      <c r="H467" t="s">
        <v>123</v>
      </c>
      <c r="I467" s="66">
        <v>43997</v>
      </c>
      <c r="J467" s="6">
        <v>376146140.57999998</v>
      </c>
      <c r="K467">
        <v>2725122.96</v>
      </c>
      <c r="L467">
        <v>378000000</v>
      </c>
      <c r="M467">
        <v>1.624603</v>
      </c>
      <c r="N467">
        <v>378000000</v>
      </c>
      <c r="O467">
        <v>2.23</v>
      </c>
      <c r="P467" t="s">
        <v>42</v>
      </c>
      <c r="Q467" t="s">
        <v>23</v>
      </c>
      <c r="R467" s="66">
        <v>43266</v>
      </c>
      <c r="S467" s="6">
        <f>DataTable[HLD_MaturityDate] - DataTable[SEC_Issue_Date]</f>
        <v>731</v>
      </c>
      <c r="T467" s="66" t="str">
        <f>DataTable[HLD_Portfolio]&amp;DataTable[HLD_Date]</f>
        <v>SCBRM143383</v>
      </c>
      <c r="W467" t="b">
        <f>DataTable[HLD_SecCode]="CB18O18A"</f>
        <v>0</v>
      </c>
    </row>
    <row r="468" spans="1:23" hidden="1" x14ac:dyDescent="0.2">
      <c r="A468" s="66">
        <v>43383</v>
      </c>
      <c r="B468" t="s">
        <v>353</v>
      </c>
      <c r="C468" t="s">
        <v>18</v>
      </c>
      <c r="D468" t="s">
        <v>109</v>
      </c>
      <c r="F468" t="s">
        <v>556</v>
      </c>
      <c r="G468" t="s">
        <v>111</v>
      </c>
      <c r="H468" t="s">
        <v>51</v>
      </c>
      <c r="I468" s="66">
        <v>43551</v>
      </c>
      <c r="J468" s="6">
        <v>42542495</v>
      </c>
      <c r="K468">
        <v>69436.37</v>
      </c>
      <c r="L468">
        <v>42474030.710000001</v>
      </c>
      <c r="M468">
        <v>0.45296399999999998</v>
      </c>
      <c r="N468">
        <v>42100000</v>
      </c>
      <c r="O468">
        <v>2.3730410000000002</v>
      </c>
      <c r="P468" t="s">
        <v>42</v>
      </c>
      <c r="Q468" t="s">
        <v>23</v>
      </c>
      <c r="R468" s="66">
        <v>41725</v>
      </c>
      <c r="S468" s="6">
        <f>DataTable[HLD_MaturityDate] - DataTable[SEC_Issue_Date]</f>
        <v>1826</v>
      </c>
      <c r="T468" s="66" t="str">
        <f>DataTable[HLD_Portfolio]&amp;DataTable[HLD_Date]</f>
        <v>SCBRM143383</v>
      </c>
      <c r="W468" t="b">
        <f>DataTable[HLD_SecCode]="CB18O18A"</f>
        <v>0</v>
      </c>
    </row>
    <row r="469" spans="1:23" hidden="1" x14ac:dyDescent="0.2">
      <c r="A469" s="66">
        <v>43383</v>
      </c>
      <c r="B469" t="s">
        <v>353</v>
      </c>
      <c r="C469" t="s">
        <v>18</v>
      </c>
      <c r="D469" t="s">
        <v>109</v>
      </c>
      <c r="F469" t="s">
        <v>557</v>
      </c>
      <c r="G469" t="s">
        <v>111</v>
      </c>
      <c r="H469" t="s">
        <v>51</v>
      </c>
      <c r="I469" s="66">
        <v>43699</v>
      </c>
      <c r="J469" s="6">
        <v>101755592</v>
      </c>
      <c r="K469">
        <v>582192</v>
      </c>
      <c r="L469">
        <v>101445989</v>
      </c>
      <c r="M469">
        <v>0.84761699999999995</v>
      </c>
      <c r="N469">
        <v>100000000</v>
      </c>
      <c r="O469">
        <v>2.5299999999999998</v>
      </c>
      <c r="P469" t="s">
        <v>42</v>
      </c>
      <c r="Q469" t="s">
        <v>23</v>
      </c>
      <c r="R469" s="66">
        <v>41873</v>
      </c>
      <c r="S469" s="6">
        <f>DataTable[HLD_MaturityDate] - DataTable[SEC_Issue_Date]</f>
        <v>1826</v>
      </c>
      <c r="T469" s="66" t="str">
        <f>DataTable[HLD_Portfolio]&amp;DataTable[HLD_Date]</f>
        <v>SCBRM143383</v>
      </c>
      <c r="W469" t="b">
        <f>DataTable[HLD_SecCode]="CB18O18A"</f>
        <v>0</v>
      </c>
    </row>
    <row r="470" spans="1:23" hidden="1" x14ac:dyDescent="0.2">
      <c r="A470" s="66">
        <v>43383</v>
      </c>
      <c r="B470" t="s">
        <v>353</v>
      </c>
      <c r="C470" t="s">
        <v>18</v>
      </c>
      <c r="D470" t="s">
        <v>109</v>
      </c>
      <c r="F470" t="s">
        <v>558</v>
      </c>
      <c r="G470" t="s">
        <v>111</v>
      </c>
      <c r="H470" t="s">
        <v>51</v>
      </c>
      <c r="I470" s="66">
        <v>44135</v>
      </c>
      <c r="J470" s="6">
        <v>5265994</v>
      </c>
      <c r="K470">
        <v>114575.35</v>
      </c>
      <c r="L470">
        <v>5196448.75</v>
      </c>
      <c r="M470">
        <v>1.914714</v>
      </c>
      <c r="N470">
        <v>5000000</v>
      </c>
      <c r="O470">
        <v>3.1</v>
      </c>
      <c r="P470" t="s">
        <v>42</v>
      </c>
      <c r="Q470" t="s">
        <v>23</v>
      </c>
      <c r="R470" s="66">
        <v>41578</v>
      </c>
      <c r="S470" s="6">
        <f>DataTable[HLD_MaturityDate] - DataTable[SEC_Issue_Date]</f>
        <v>2557</v>
      </c>
      <c r="T470" s="66" t="str">
        <f>DataTable[HLD_Portfolio]&amp;DataTable[HLD_Date]</f>
        <v>SCBRM143383</v>
      </c>
      <c r="W470" t="b">
        <f>DataTable[HLD_SecCode]="CB18O18A"</f>
        <v>0</v>
      </c>
    </row>
    <row r="471" spans="1:23" hidden="1" x14ac:dyDescent="0.2">
      <c r="A471" s="66">
        <v>43383</v>
      </c>
      <c r="B471" t="s">
        <v>353</v>
      </c>
      <c r="C471" t="s">
        <v>18</v>
      </c>
      <c r="D471" t="s">
        <v>109</v>
      </c>
      <c r="F471" t="s">
        <v>559</v>
      </c>
      <c r="G471" t="s">
        <v>196</v>
      </c>
      <c r="H471" t="s">
        <v>51</v>
      </c>
      <c r="I471" s="66">
        <v>43679</v>
      </c>
      <c r="J471" s="6">
        <v>23463818.690000001</v>
      </c>
      <c r="K471">
        <v>200257.55</v>
      </c>
      <c r="L471">
        <v>23419453.530000001</v>
      </c>
      <c r="M471">
        <v>0.79343799999999998</v>
      </c>
      <c r="N471">
        <v>23000000</v>
      </c>
      <c r="O471">
        <v>2.2349999999999999</v>
      </c>
      <c r="P471" t="s">
        <v>42</v>
      </c>
      <c r="Q471" t="s">
        <v>23</v>
      </c>
      <c r="R471" s="66">
        <v>41488</v>
      </c>
      <c r="S471" s="6">
        <f>DataTable[HLD_MaturityDate] - DataTable[SEC_Issue_Date]</f>
        <v>2191</v>
      </c>
      <c r="T471" s="66" t="str">
        <f>DataTable[HLD_Portfolio]&amp;DataTable[HLD_Date]</f>
        <v>SCBRM143383</v>
      </c>
      <c r="W471" t="b">
        <f>DataTable[HLD_SecCode]="CB18O18A"</f>
        <v>0</v>
      </c>
    </row>
    <row r="472" spans="1:23" hidden="1" x14ac:dyDescent="0.2">
      <c r="A472" s="66">
        <v>43383</v>
      </c>
      <c r="B472" t="s">
        <v>353</v>
      </c>
      <c r="C472" t="s">
        <v>18</v>
      </c>
      <c r="D472" t="s">
        <v>109</v>
      </c>
      <c r="F472" t="s">
        <v>560</v>
      </c>
      <c r="G472" t="s">
        <v>196</v>
      </c>
      <c r="H472" t="s">
        <v>51</v>
      </c>
      <c r="I472" s="66">
        <v>43933</v>
      </c>
      <c r="J472" s="6">
        <v>270212187.60000002</v>
      </c>
      <c r="K472">
        <v>3069565.98</v>
      </c>
      <c r="L472">
        <v>270000000</v>
      </c>
      <c r="M472">
        <v>1.469543</v>
      </c>
      <c r="N472">
        <v>270000000</v>
      </c>
      <c r="O472">
        <v>2.2799999999999998</v>
      </c>
      <c r="P472" t="s">
        <v>42</v>
      </c>
      <c r="Q472" t="s">
        <v>23</v>
      </c>
      <c r="R472" s="66">
        <v>42472</v>
      </c>
      <c r="S472" s="6">
        <f>DataTable[HLD_MaturityDate] - DataTable[SEC_Issue_Date]</f>
        <v>1461</v>
      </c>
      <c r="T472" s="66" t="str">
        <f>DataTable[HLD_Portfolio]&amp;DataTable[HLD_Date]</f>
        <v>SCBRM143383</v>
      </c>
      <c r="W472" t="b">
        <f>DataTable[HLD_SecCode]="CB18O18A"</f>
        <v>0</v>
      </c>
    </row>
    <row r="473" spans="1:23" hidden="1" x14ac:dyDescent="0.2">
      <c r="A473" s="66">
        <v>43383</v>
      </c>
      <c r="B473" t="s">
        <v>353</v>
      </c>
      <c r="C473" t="s">
        <v>18</v>
      </c>
      <c r="D473" t="s">
        <v>109</v>
      </c>
      <c r="F473" t="s">
        <v>561</v>
      </c>
      <c r="G473" t="s">
        <v>199</v>
      </c>
      <c r="H473" t="s">
        <v>51</v>
      </c>
      <c r="I473" s="66">
        <v>44027</v>
      </c>
      <c r="J473" s="6">
        <v>25035883.5</v>
      </c>
      <c r="K473">
        <v>151287.75</v>
      </c>
      <c r="L473">
        <v>25190822.5</v>
      </c>
      <c r="M473">
        <v>1.7055439999999999</v>
      </c>
      <c r="N473">
        <v>25000000</v>
      </c>
      <c r="O473">
        <v>2.06</v>
      </c>
      <c r="P473" t="s">
        <v>42</v>
      </c>
      <c r="Q473" t="s">
        <v>23</v>
      </c>
      <c r="R473" s="66">
        <v>42566</v>
      </c>
      <c r="S473" s="6">
        <f>DataTable[HLD_MaturityDate] - DataTable[SEC_Issue_Date]</f>
        <v>1461</v>
      </c>
      <c r="T473" s="66" t="str">
        <f>DataTable[HLD_Portfolio]&amp;DataTable[HLD_Date]</f>
        <v>SCBRM143383</v>
      </c>
      <c r="W473" t="b">
        <f>DataTable[HLD_SecCode]="CB18O18A"</f>
        <v>0</v>
      </c>
    </row>
    <row r="474" spans="1:23" hidden="1" x14ac:dyDescent="0.2">
      <c r="A474" s="66">
        <v>43383</v>
      </c>
      <c r="B474" t="s">
        <v>353</v>
      </c>
      <c r="C474" t="s">
        <v>18</v>
      </c>
      <c r="D474" t="s">
        <v>109</v>
      </c>
      <c r="F474" t="s">
        <v>261</v>
      </c>
      <c r="G474" t="s">
        <v>260</v>
      </c>
      <c r="H474" t="s">
        <v>29</v>
      </c>
      <c r="I474" s="66">
        <v>44165</v>
      </c>
      <c r="J474" s="6">
        <v>25792329.68</v>
      </c>
      <c r="K474">
        <v>293992.40000000002</v>
      </c>
      <c r="L474">
        <v>26000000</v>
      </c>
      <c r="M474">
        <v>2.0267909999999998</v>
      </c>
      <c r="N474">
        <v>26000000</v>
      </c>
      <c r="O474">
        <v>3.08</v>
      </c>
      <c r="P474" t="s">
        <v>42</v>
      </c>
      <c r="Q474" t="s">
        <v>23</v>
      </c>
      <c r="R474" s="66">
        <v>43069</v>
      </c>
      <c r="S474" s="6">
        <f>DataTable[HLD_MaturityDate] - DataTable[SEC_Issue_Date]</f>
        <v>1096</v>
      </c>
      <c r="T474" s="66" t="str">
        <f>DataTable[HLD_Portfolio]&amp;DataTable[HLD_Date]</f>
        <v>SCBRM143383</v>
      </c>
      <c r="W474" t="b">
        <f>DataTable[HLD_SecCode]="CB18O18A"</f>
        <v>0</v>
      </c>
    </row>
    <row r="475" spans="1:23" hidden="1" x14ac:dyDescent="0.2">
      <c r="A475" s="66">
        <v>43383</v>
      </c>
      <c r="B475" t="s">
        <v>353</v>
      </c>
      <c r="C475" t="s">
        <v>18</v>
      </c>
      <c r="D475" t="s">
        <v>109</v>
      </c>
      <c r="F475" t="s">
        <v>523</v>
      </c>
      <c r="G475" t="s">
        <v>524</v>
      </c>
      <c r="H475" t="s">
        <v>41</v>
      </c>
      <c r="I475" s="66">
        <v>43955</v>
      </c>
      <c r="J475" s="6">
        <v>58265710.759999998</v>
      </c>
      <c r="K475">
        <v>661041.07999999996</v>
      </c>
      <c r="L475">
        <v>58000000</v>
      </c>
      <c r="M475">
        <v>1.510397</v>
      </c>
      <c r="N475">
        <v>58000000</v>
      </c>
      <c r="O475">
        <v>2.6</v>
      </c>
      <c r="P475" t="s">
        <v>42</v>
      </c>
      <c r="Q475" t="s">
        <v>23</v>
      </c>
      <c r="R475" s="66">
        <v>42859</v>
      </c>
      <c r="S475" s="6">
        <f>DataTable[HLD_MaturityDate] - DataTable[SEC_Issue_Date]</f>
        <v>1096</v>
      </c>
      <c r="T475" s="66" t="str">
        <f>DataTable[HLD_Portfolio]&amp;DataTable[HLD_Date]</f>
        <v>SCBRM143383</v>
      </c>
      <c r="W475" t="b">
        <f>DataTable[HLD_SecCode]="CB18O18A"</f>
        <v>0</v>
      </c>
    </row>
    <row r="476" spans="1:23" hidden="1" x14ac:dyDescent="0.2">
      <c r="A476" s="66">
        <v>43383</v>
      </c>
      <c r="B476" t="s">
        <v>353</v>
      </c>
      <c r="C476" t="s">
        <v>18</v>
      </c>
      <c r="D476" t="s">
        <v>109</v>
      </c>
      <c r="F476" t="s">
        <v>562</v>
      </c>
      <c r="G476" t="s">
        <v>563</v>
      </c>
      <c r="H476" t="s">
        <v>317</v>
      </c>
      <c r="I476" s="66">
        <v>43729</v>
      </c>
      <c r="J476" s="6">
        <v>9998207.3000000007</v>
      </c>
      <c r="K476">
        <v>10082.200000000001</v>
      </c>
      <c r="L476">
        <v>10005359.1</v>
      </c>
      <c r="M476">
        <v>0.92787600000000003</v>
      </c>
      <c r="N476">
        <v>10000000</v>
      </c>
      <c r="O476">
        <v>1.79</v>
      </c>
      <c r="P476" t="s">
        <v>42</v>
      </c>
      <c r="Q476" t="s">
        <v>23</v>
      </c>
      <c r="R476" s="66">
        <v>42999</v>
      </c>
      <c r="S476" s="6">
        <f>DataTable[HLD_MaturityDate] - DataTable[SEC_Issue_Date]</f>
        <v>730</v>
      </c>
      <c r="T476" s="66" t="str">
        <f>DataTable[HLD_Portfolio]&amp;DataTable[HLD_Date]</f>
        <v>SCBRM143383</v>
      </c>
      <c r="W476" t="b">
        <f>DataTable[HLD_SecCode]="CB18O18A"</f>
        <v>0</v>
      </c>
    </row>
    <row r="477" spans="1:23" hidden="1" x14ac:dyDescent="0.2">
      <c r="A477" s="66">
        <v>43383</v>
      </c>
      <c r="B477" t="s">
        <v>353</v>
      </c>
      <c r="C477" t="s">
        <v>18</v>
      </c>
      <c r="D477" t="s">
        <v>109</v>
      </c>
      <c r="F477" t="s">
        <v>564</v>
      </c>
      <c r="G477" t="s">
        <v>563</v>
      </c>
      <c r="H477" t="s">
        <v>317</v>
      </c>
      <c r="I477" s="66">
        <v>43904</v>
      </c>
      <c r="J477" s="6">
        <v>162911666.47999999</v>
      </c>
      <c r="K477">
        <v>201383.8</v>
      </c>
      <c r="L477">
        <v>164000000</v>
      </c>
      <c r="M477">
        <v>1.394628</v>
      </c>
      <c r="N477">
        <v>164000000</v>
      </c>
      <c r="O477">
        <v>1.66</v>
      </c>
      <c r="P477" t="s">
        <v>42</v>
      </c>
      <c r="Q477" t="s">
        <v>23</v>
      </c>
      <c r="R477" s="66">
        <v>43173</v>
      </c>
      <c r="S477" s="6">
        <f>DataTable[HLD_MaturityDate] - DataTable[SEC_Issue_Date]</f>
        <v>731</v>
      </c>
      <c r="T477" s="66" t="str">
        <f>DataTable[HLD_Portfolio]&amp;DataTable[HLD_Date]</f>
        <v>SCBRM143383</v>
      </c>
      <c r="W477" t="b">
        <f>DataTable[HLD_SecCode]="CB18O18A"</f>
        <v>0</v>
      </c>
    </row>
    <row r="478" spans="1:23" hidden="1" x14ac:dyDescent="0.2">
      <c r="A478" s="66">
        <v>43383</v>
      </c>
      <c r="B478" t="s">
        <v>353</v>
      </c>
      <c r="C478" t="s">
        <v>18</v>
      </c>
      <c r="D478" t="s">
        <v>109</v>
      </c>
      <c r="F478" t="s">
        <v>565</v>
      </c>
      <c r="G478" t="s">
        <v>566</v>
      </c>
      <c r="H478" t="s">
        <v>47</v>
      </c>
      <c r="I478" s="66">
        <v>43903</v>
      </c>
      <c r="J478" s="6">
        <v>10154627.5</v>
      </c>
      <c r="K478">
        <v>26695.9</v>
      </c>
      <c r="L478">
        <v>10183410.800000001</v>
      </c>
      <c r="M478">
        <v>1.3775379999999999</v>
      </c>
      <c r="N478">
        <v>10000000</v>
      </c>
      <c r="O478">
        <v>2.17</v>
      </c>
      <c r="P478" t="s">
        <v>42</v>
      </c>
      <c r="Q478" t="s">
        <v>23</v>
      </c>
      <c r="R478" s="66">
        <v>42076</v>
      </c>
      <c r="S478" s="6">
        <f>DataTable[HLD_MaturityDate] - DataTable[SEC_Issue_Date]</f>
        <v>1827</v>
      </c>
      <c r="T478" s="66" t="str">
        <f>DataTable[HLD_Portfolio]&amp;DataTable[HLD_Date]</f>
        <v>SCBRM143383</v>
      </c>
      <c r="W478" t="b">
        <f>DataTable[HLD_SecCode]="CB18O18A"</f>
        <v>0</v>
      </c>
    </row>
    <row r="479" spans="1:23" hidden="1" x14ac:dyDescent="0.2">
      <c r="A479" s="66">
        <v>43383</v>
      </c>
      <c r="B479" t="s">
        <v>353</v>
      </c>
      <c r="C479" t="s">
        <v>18</v>
      </c>
      <c r="D479" t="s">
        <v>109</v>
      </c>
      <c r="F479" t="s">
        <v>567</v>
      </c>
      <c r="G479" t="s">
        <v>568</v>
      </c>
      <c r="H479" t="s">
        <v>51</v>
      </c>
      <c r="I479" s="66">
        <v>43583</v>
      </c>
      <c r="J479" s="6">
        <v>350256221</v>
      </c>
      <c r="K479">
        <v>3533754</v>
      </c>
      <c r="L479">
        <v>350000000</v>
      </c>
      <c r="M479">
        <v>0.53552599999999995</v>
      </c>
      <c r="N479">
        <v>350000000</v>
      </c>
      <c r="O479">
        <v>2.2000000000000002</v>
      </c>
      <c r="P479" t="s">
        <v>42</v>
      </c>
      <c r="Q479" t="s">
        <v>23</v>
      </c>
      <c r="R479" s="66">
        <v>42853</v>
      </c>
      <c r="S479" s="6">
        <f>DataTable[HLD_MaturityDate] - DataTable[SEC_Issue_Date]</f>
        <v>730</v>
      </c>
      <c r="T479" s="66" t="str">
        <f>DataTable[HLD_Portfolio]&amp;DataTable[HLD_Date]</f>
        <v>SCBRM143383</v>
      </c>
      <c r="W479" t="b">
        <f>DataTable[HLD_SecCode]="CB18O18A"</f>
        <v>0</v>
      </c>
    </row>
    <row r="480" spans="1:23" hidden="1" x14ac:dyDescent="0.2">
      <c r="A480" s="66">
        <v>43383</v>
      </c>
      <c r="B480" t="s">
        <v>353</v>
      </c>
      <c r="C480" t="s">
        <v>18</v>
      </c>
      <c r="D480" t="s">
        <v>109</v>
      </c>
      <c r="F480" t="s">
        <v>223</v>
      </c>
      <c r="G480" t="s">
        <v>224</v>
      </c>
      <c r="H480" t="s">
        <v>123</v>
      </c>
      <c r="I480" s="66">
        <v>43738</v>
      </c>
      <c r="J480" s="6">
        <v>299619620.01999998</v>
      </c>
      <c r="K480">
        <v>154211.32999999999</v>
      </c>
      <c r="L480">
        <v>301000000</v>
      </c>
      <c r="M480">
        <v>0.95111699999999999</v>
      </c>
      <c r="N480">
        <v>301000000</v>
      </c>
      <c r="O480">
        <v>1.7</v>
      </c>
      <c r="P480" t="s">
        <v>42</v>
      </c>
      <c r="Q480" t="s">
        <v>23</v>
      </c>
      <c r="R480" s="66">
        <v>43189</v>
      </c>
      <c r="S480" s="6">
        <f>DataTable[HLD_MaturityDate] - DataTable[SEC_Issue_Date]</f>
        <v>549</v>
      </c>
      <c r="T480" s="66" t="str">
        <f>DataTable[HLD_Portfolio]&amp;DataTable[HLD_Date]</f>
        <v>SCBRM143383</v>
      </c>
      <c r="W480" t="b">
        <f>DataTable[HLD_SecCode]="CB18O18A"</f>
        <v>0</v>
      </c>
    </row>
    <row r="481" spans="1:23" hidden="1" x14ac:dyDescent="0.2">
      <c r="A481" s="66">
        <v>43383</v>
      </c>
      <c r="B481" t="s">
        <v>353</v>
      </c>
      <c r="C481" t="s">
        <v>18</v>
      </c>
      <c r="D481" t="s">
        <v>109</v>
      </c>
      <c r="F481" t="s">
        <v>569</v>
      </c>
      <c r="G481" t="s">
        <v>570</v>
      </c>
      <c r="H481" t="s">
        <v>123</v>
      </c>
      <c r="I481" s="66">
        <v>44816</v>
      </c>
      <c r="J481" s="6">
        <v>49751557.5</v>
      </c>
      <c r="K481">
        <v>111233</v>
      </c>
      <c r="L481">
        <v>50720419</v>
      </c>
      <c r="M481">
        <v>3.6738249999999999</v>
      </c>
      <c r="N481">
        <v>50000000</v>
      </c>
      <c r="O481">
        <v>2.415</v>
      </c>
      <c r="P481" t="s">
        <v>42</v>
      </c>
      <c r="Q481" t="s">
        <v>23</v>
      </c>
      <c r="R481" s="66">
        <v>42990</v>
      </c>
      <c r="S481" s="6">
        <f>DataTable[HLD_MaturityDate] - DataTable[SEC_Issue_Date]</f>
        <v>1826</v>
      </c>
      <c r="T481" s="66" t="str">
        <f>DataTable[HLD_Portfolio]&amp;DataTable[HLD_Date]</f>
        <v>SCBRM143383</v>
      </c>
      <c r="W481" t="b">
        <f>DataTable[HLD_SecCode]="CB18O18A"</f>
        <v>0</v>
      </c>
    </row>
    <row r="482" spans="1:23" hidden="1" x14ac:dyDescent="0.2">
      <c r="A482" s="66">
        <v>43383</v>
      </c>
      <c r="B482" t="s">
        <v>353</v>
      </c>
      <c r="C482" t="s">
        <v>18</v>
      </c>
      <c r="D482" t="s">
        <v>109</v>
      </c>
      <c r="F482" t="s">
        <v>571</v>
      </c>
      <c r="G482" t="s">
        <v>572</v>
      </c>
      <c r="H482" t="s">
        <v>47</v>
      </c>
      <c r="I482" s="66">
        <v>43538</v>
      </c>
      <c r="J482" s="6">
        <v>75709857</v>
      </c>
      <c r="K482">
        <v>247108.58</v>
      </c>
      <c r="L482">
        <v>75797311.739999995</v>
      </c>
      <c r="M482">
        <v>0.41791600000000001</v>
      </c>
      <c r="N482">
        <v>74900000</v>
      </c>
      <c r="O482">
        <v>1.64</v>
      </c>
      <c r="P482" t="s">
        <v>42</v>
      </c>
      <c r="Q482" t="s">
        <v>23</v>
      </c>
      <c r="R482" s="66">
        <v>41712</v>
      </c>
      <c r="S482" s="6">
        <f>DataTable[HLD_MaturityDate] - DataTable[SEC_Issue_Date]</f>
        <v>1826</v>
      </c>
      <c r="T482" s="66" t="str">
        <f>DataTable[HLD_Portfolio]&amp;DataTable[HLD_Date]</f>
        <v>SCBRM143383</v>
      </c>
      <c r="W482" t="b">
        <f>DataTable[HLD_SecCode]="CB18O18A"</f>
        <v>0</v>
      </c>
    </row>
    <row r="483" spans="1:23" hidden="1" x14ac:dyDescent="0.2">
      <c r="A483" s="66">
        <v>43383</v>
      </c>
      <c r="B483" t="s">
        <v>353</v>
      </c>
      <c r="C483" t="s">
        <v>18</v>
      </c>
      <c r="D483" t="s">
        <v>109</v>
      </c>
      <c r="F483" t="s">
        <v>226</v>
      </c>
      <c r="G483" t="s">
        <v>80</v>
      </c>
      <c r="H483" t="s">
        <v>51</v>
      </c>
      <c r="I483" s="66">
        <v>43390</v>
      </c>
      <c r="J483" s="6">
        <v>95057951.379999995</v>
      </c>
      <c r="K483">
        <v>2087276.45</v>
      </c>
      <c r="L483">
        <v>95051924.450000003</v>
      </c>
      <c r="M483">
        <v>1.6322E-2</v>
      </c>
      <c r="N483">
        <v>95017000</v>
      </c>
      <c r="O483">
        <v>1.8831519999999999</v>
      </c>
      <c r="P483" t="s">
        <v>42</v>
      </c>
      <c r="Q483" t="s">
        <v>23</v>
      </c>
      <c r="R483" s="66">
        <v>41564</v>
      </c>
      <c r="S483" s="6">
        <f>DataTable[HLD_MaturityDate] - DataTable[SEC_Issue_Date]</f>
        <v>1826</v>
      </c>
      <c r="T483" s="66" t="str">
        <f>DataTable[HLD_Portfolio]&amp;DataTable[HLD_Date]</f>
        <v>SCBRM143383</v>
      </c>
      <c r="W483" t="b">
        <f>DataTable[HLD_SecCode]="CB18O18A"</f>
        <v>0</v>
      </c>
    </row>
    <row r="484" spans="1:23" hidden="1" x14ac:dyDescent="0.2">
      <c r="A484" s="66">
        <v>43383</v>
      </c>
      <c r="B484" t="s">
        <v>353</v>
      </c>
      <c r="C484" t="s">
        <v>18</v>
      </c>
      <c r="D484" t="s">
        <v>109</v>
      </c>
      <c r="F484" t="s">
        <v>573</v>
      </c>
      <c r="G484" t="s">
        <v>526</v>
      </c>
      <c r="H484" t="s">
        <v>47</v>
      </c>
      <c r="I484" s="66">
        <v>43610</v>
      </c>
      <c r="J484" s="6">
        <v>70088592.700000003</v>
      </c>
      <c r="K484">
        <v>586465.6</v>
      </c>
      <c r="L484">
        <v>70248208.099999994</v>
      </c>
      <c r="M484">
        <v>0.61180199999999996</v>
      </c>
      <c r="N484">
        <v>70000000</v>
      </c>
      <c r="O484">
        <v>1.61</v>
      </c>
      <c r="P484" t="s">
        <v>42</v>
      </c>
      <c r="Q484" t="s">
        <v>23</v>
      </c>
      <c r="R484" s="66">
        <v>42515</v>
      </c>
      <c r="S484" s="6">
        <f>DataTable[HLD_MaturityDate] - DataTable[SEC_Issue_Date]</f>
        <v>1095</v>
      </c>
      <c r="T484" s="66" t="str">
        <f>DataTable[HLD_Portfolio]&amp;DataTable[HLD_Date]</f>
        <v>SCBRM143383</v>
      </c>
      <c r="W484" t="b">
        <f>DataTable[HLD_SecCode]="CB18O18A"</f>
        <v>0</v>
      </c>
    </row>
    <row r="485" spans="1:23" hidden="1" x14ac:dyDescent="0.2">
      <c r="A485" s="66">
        <v>43383</v>
      </c>
      <c r="B485" t="s">
        <v>353</v>
      </c>
      <c r="C485" t="s">
        <v>18</v>
      </c>
      <c r="D485" t="s">
        <v>109</v>
      </c>
      <c r="F485" t="s">
        <v>525</v>
      </c>
      <c r="G485" t="s">
        <v>526</v>
      </c>
      <c r="H485" t="s">
        <v>47</v>
      </c>
      <c r="I485" s="66">
        <v>43813</v>
      </c>
      <c r="J485" s="6">
        <v>67859451.480000004</v>
      </c>
      <c r="K485">
        <v>438963.12</v>
      </c>
      <c r="L485">
        <v>68000000</v>
      </c>
      <c r="M485">
        <v>1.1482889999999999</v>
      </c>
      <c r="N485">
        <v>68000000</v>
      </c>
      <c r="O485">
        <v>1.98</v>
      </c>
      <c r="P485" t="s">
        <v>42</v>
      </c>
      <c r="Q485" t="s">
        <v>23</v>
      </c>
      <c r="R485" s="66">
        <v>43083</v>
      </c>
      <c r="S485" s="6">
        <f>DataTable[HLD_MaturityDate] - DataTable[SEC_Issue_Date]</f>
        <v>730</v>
      </c>
      <c r="T485" s="66" t="str">
        <f>DataTable[HLD_Portfolio]&amp;DataTable[HLD_Date]</f>
        <v>SCBRM143383</v>
      </c>
      <c r="W485" t="b">
        <f>DataTable[HLD_SecCode]="CB18O18A"</f>
        <v>0</v>
      </c>
    </row>
    <row r="486" spans="1:23" hidden="1" x14ac:dyDescent="0.2">
      <c r="A486" s="66">
        <v>43383</v>
      </c>
      <c r="B486" t="s">
        <v>353</v>
      </c>
      <c r="C486" t="s">
        <v>18</v>
      </c>
      <c r="D486" t="s">
        <v>109</v>
      </c>
      <c r="F486" t="s">
        <v>574</v>
      </c>
      <c r="G486" t="s">
        <v>575</v>
      </c>
      <c r="H486" t="s">
        <v>123</v>
      </c>
      <c r="I486" s="66">
        <v>43392</v>
      </c>
      <c r="J486" s="6">
        <v>10002576.1</v>
      </c>
      <c r="K486">
        <v>143835.6</v>
      </c>
      <c r="L486">
        <v>10002619.699999999</v>
      </c>
      <c r="M486">
        <v>2.1760000000000002E-2</v>
      </c>
      <c r="N486">
        <v>10000000</v>
      </c>
      <c r="O486">
        <v>1.6</v>
      </c>
      <c r="P486" t="s">
        <v>42</v>
      </c>
      <c r="Q486" t="s">
        <v>23</v>
      </c>
      <c r="R486" s="66">
        <v>42116</v>
      </c>
      <c r="S486" s="6">
        <f>DataTable[HLD_MaturityDate] - DataTable[SEC_Issue_Date]</f>
        <v>1276</v>
      </c>
      <c r="T486" s="66" t="str">
        <f>DataTable[HLD_Portfolio]&amp;DataTable[HLD_Date]</f>
        <v>SCBRM143383</v>
      </c>
      <c r="W486" t="b">
        <f>DataTable[HLD_SecCode]="CB18O18A"</f>
        <v>0</v>
      </c>
    </row>
    <row r="487" spans="1:23" hidden="1" x14ac:dyDescent="0.2">
      <c r="A487" s="66">
        <v>43383</v>
      </c>
      <c r="B487" t="s">
        <v>353</v>
      </c>
      <c r="C487" t="s">
        <v>18</v>
      </c>
      <c r="D487" t="s">
        <v>109</v>
      </c>
      <c r="F487" t="s">
        <v>576</v>
      </c>
      <c r="G487" t="s">
        <v>228</v>
      </c>
      <c r="H487" t="s">
        <v>47</v>
      </c>
      <c r="I487" s="66">
        <v>43545</v>
      </c>
      <c r="J487" s="6">
        <v>30011792.399999999</v>
      </c>
      <c r="K487">
        <v>40438.5</v>
      </c>
      <c r="L487">
        <v>30042439.5</v>
      </c>
      <c r="M487">
        <v>0.43763600000000002</v>
      </c>
      <c r="N487">
        <v>30000000</v>
      </c>
      <c r="O487">
        <v>1.73</v>
      </c>
      <c r="P487" t="s">
        <v>42</v>
      </c>
      <c r="Q487" t="s">
        <v>23</v>
      </c>
      <c r="R487" s="66">
        <v>42446</v>
      </c>
      <c r="S487" s="6">
        <f>DataTable[HLD_MaturityDate] - DataTable[SEC_Issue_Date]</f>
        <v>1099</v>
      </c>
      <c r="T487" s="66" t="str">
        <f>DataTable[HLD_Portfolio]&amp;DataTable[HLD_Date]</f>
        <v>SCBRM143383</v>
      </c>
      <c r="W487" t="b">
        <f>DataTable[HLD_SecCode]="CB18O18A"</f>
        <v>0</v>
      </c>
    </row>
    <row r="488" spans="1:23" hidden="1" x14ac:dyDescent="0.2">
      <c r="A488" s="66">
        <v>43383</v>
      </c>
      <c r="B488" t="s">
        <v>353</v>
      </c>
      <c r="C488" t="s">
        <v>18</v>
      </c>
      <c r="D488" t="s">
        <v>109</v>
      </c>
      <c r="F488" t="s">
        <v>577</v>
      </c>
      <c r="G488" t="s">
        <v>228</v>
      </c>
      <c r="H488" t="s">
        <v>47</v>
      </c>
      <c r="I488" s="66">
        <v>43798</v>
      </c>
      <c r="J488" s="6">
        <v>140718561.19999999</v>
      </c>
      <c r="K488">
        <v>696049.2</v>
      </c>
      <c r="L488">
        <v>140000000</v>
      </c>
      <c r="M488">
        <v>1.112225</v>
      </c>
      <c r="N488">
        <v>140000000</v>
      </c>
      <c r="O488">
        <v>2.63</v>
      </c>
      <c r="P488" t="s">
        <v>42</v>
      </c>
      <c r="Q488" t="s">
        <v>23</v>
      </c>
      <c r="R488" s="66">
        <v>42769</v>
      </c>
      <c r="S488" s="6">
        <f>DataTable[HLD_MaturityDate] - DataTable[SEC_Issue_Date]</f>
        <v>1029</v>
      </c>
      <c r="T488" s="66" t="str">
        <f>DataTable[HLD_Portfolio]&amp;DataTable[HLD_Date]</f>
        <v>SCBRM143383</v>
      </c>
      <c r="W488" t="b">
        <f>DataTable[HLD_SecCode]="CB18O18A"</f>
        <v>0</v>
      </c>
    </row>
    <row r="489" spans="1:23" hidden="1" x14ac:dyDescent="0.2">
      <c r="A489" s="66">
        <v>43383</v>
      </c>
      <c r="B489" t="s">
        <v>353</v>
      </c>
      <c r="C489" t="s">
        <v>18</v>
      </c>
      <c r="D489" t="s">
        <v>109</v>
      </c>
      <c r="F489" t="s">
        <v>578</v>
      </c>
      <c r="G489" t="s">
        <v>579</v>
      </c>
      <c r="H489" t="s">
        <v>59</v>
      </c>
      <c r="I489" s="66">
        <v>43600</v>
      </c>
      <c r="J489" s="6">
        <v>10192219.5</v>
      </c>
      <c r="K489">
        <v>208191.8</v>
      </c>
      <c r="L489">
        <v>10180430.199999999</v>
      </c>
      <c r="M489">
        <v>0.57843500000000003</v>
      </c>
      <c r="N489">
        <v>10000000</v>
      </c>
      <c r="O489">
        <v>2</v>
      </c>
      <c r="P489" t="s">
        <v>42</v>
      </c>
      <c r="Q489" t="s">
        <v>23</v>
      </c>
      <c r="R489" s="66">
        <v>41050</v>
      </c>
      <c r="S489" s="6">
        <f>DataTable[HLD_MaturityDate] - DataTable[SEC_Issue_Date]</f>
        <v>2550</v>
      </c>
      <c r="T489" s="66" t="str">
        <f>DataTable[HLD_Portfolio]&amp;DataTable[HLD_Date]</f>
        <v>SCBRM143383</v>
      </c>
      <c r="W489" t="b">
        <f>DataTable[HLD_SecCode]="CB18O18A"</f>
        <v>0</v>
      </c>
    </row>
    <row r="490" spans="1:23" hidden="1" x14ac:dyDescent="0.2">
      <c r="A490" s="66">
        <v>43383</v>
      </c>
      <c r="B490" t="s">
        <v>353</v>
      </c>
      <c r="C490" t="s">
        <v>18</v>
      </c>
      <c r="D490" t="s">
        <v>109</v>
      </c>
      <c r="F490" t="s">
        <v>580</v>
      </c>
      <c r="G490" t="s">
        <v>230</v>
      </c>
      <c r="H490" t="s">
        <v>123</v>
      </c>
      <c r="I490" s="66">
        <v>43580</v>
      </c>
      <c r="J490" s="6">
        <v>219277344.43000001</v>
      </c>
      <c r="K490">
        <v>1991070.21</v>
      </c>
      <c r="L490">
        <v>219427080.53999999</v>
      </c>
      <c r="M490">
        <v>0.53285300000000002</v>
      </c>
      <c r="N490">
        <v>219400000</v>
      </c>
      <c r="O490">
        <v>1.9375720000000001</v>
      </c>
      <c r="P490" t="s">
        <v>42</v>
      </c>
      <c r="Q490" t="s">
        <v>23</v>
      </c>
      <c r="R490" s="66">
        <v>42485</v>
      </c>
      <c r="S490" s="6">
        <f>DataTable[HLD_MaturityDate] - DataTable[SEC_Issue_Date]</f>
        <v>1095</v>
      </c>
      <c r="T490" s="66" t="str">
        <f>DataTable[HLD_Portfolio]&amp;DataTable[HLD_Date]</f>
        <v>SCBRM143383</v>
      </c>
      <c r="W490" t="b">
        <f>DataTable[HLD_SecCode]="CB18O18A"</f>
        <v>0</v>
      </c>
    </row>
    <row r="491" spans="1:23" hidden="1" x14ac:dyDescent="0.2">
      <c r="A491" s="66">
        <v>43383</v>
      </c>
      <c r="B491" t="s">
        <v>353</v>
      </c>
      <c r="C491" t="s">
        <v>18</v>
      </c>
      <c r="D491" t="s">
        <v>109</v>
      </c>
      <c r="F491" t="s">
        <v>581</v>
      </c>
      <c r="G491" t="s">
        <v>230</v>
      </c>
      <c r="H491" t="s">
        <v>123</v>
      </c>
      <c r="I491" s="66">
        <v>43685</v>
      </c>
      <c r="J491" s="6">
        <v>50910311.5</v>
      </c>
      <c r="K491">
        <v>384000</v>
      </c>
      <c r="L491">
        <v>50728916.5</v>
      </c>
      <c r="M491">
        <v>0.809558</v>
      </c>
      <c r="N491">
        <v>50000000</v>
      </c>
      <c r="O491">
        <v>2.5649999999999999</v>
      </c>
      <c r="P491" t="s">
        <v>42</v>
      </c>
      <c r="Q491" t="s">
        <v>23</v>
      </c>
      <c r="R491" s="66">
        <v>41859</v>
      </c>
      <c r="S491" s="6">
        <f>DataTable[HLD_MaturityDate] - DataTable[SEC_Issue_Date]</f>
        <v>1826</v>
      </c>
      <c r="T491" s="66" t="str">
        <f>DataTable[HLD_Portfolio]&amp;DataTable[HLD_Date]</f>
        <v>SCBRM143383</v>
      </c>
      <c r="W491" t="b">
        <f>DataTable[HLD_SecCode]="CB18O18A"</f>
        <v>0</v>
      </c>
    </row>
    <row r="492" spans="1:23" hidden="1" x14ac:dyDescent="0.2">
      <c r="A492" s="66">
        <v>43383</v>
      </c>
      <c r="B492" t="s">
        <v>353</v>
      </c>
      <c r="C492" t="s">
        <v>18</v>
      </c>
      <c r="D492" t="s">
        <v>109</v>
      </c>
      <c r="F492" t="s">
        <v>229</v>
      </c>
      <c r="G492" t="s">
        <v>230</v>
      </c>
      <c r="H492" t="s">
        <v>123</v>
      </c>
      <c r="I492" s="66">
        <v>44260</v>
      </c>
      <c r="J492" s="6">
        <v>42492426.710000001</v>
      </c>
      <c r="K492">
        <v>91607.63</v>
      </c>
      <c r="L492">
        <v>43000000</v>
      </c>
      <c r="M492">
        <v>2.3130760000000001</v>
      </c>
      <c r="N492">
        <v>43000000</v>
      </c>
      <c r="O492">
        <v>2.16</v>
      </c>
      <c r="P492" t="s">
        <v>42</v>
      </c>
      <c r="Q492" t="s">
        <v>23</v>
      </c>
      <c r="R492" s="66">
        <v>43164</v>
      </c>
      <c r="S492" s="6">
        <f>DataTable[HLD_MaturityDate] - DataTable[SEC_Issue_Date]</f>
        <v>1096</v>
      </c>
      <c r="T492" s="66" t="str">
        <f>DataTable[HLD_Portfolio]&amp;DataTable[HLD_Date]</f>
        <v>SCBRM143383</v>
      </c>
      <c r="W492" t="b">
        <f>DataTable[HLD_SecCode]="CB18O18A"</f>
        <v>0</v>
      </c>
    </row>
    <row r="493" spans="1:23" hidden="1" x14ac:dyDescent="0.2">
      <c r="A493" s="66">
        <v>43383</v>
      </c>
      <c r="B493" t="s">
        <v>353</v>
      </c>
      <c r="C493" t="s">
        <v>18</v>
      </c>
      <c r="D493" t="s">
        <v>109</v>
      </c>
      <c r="F493" t="s">
        <v>582</v>
      </c>
      <c r="G493" t="s">
        <v>583</v>
      </c>
      <c r="H493" t="s">
        <v>484</v>
      </c>
      <c r="I493" s="66">
        <v>43960</v>
      </c>
      <c r="J493" s="6">
        <v>10014358.1</v>
      </c>
      <c r="K493">
        <v>105739.7</v>
      </c>
      <c r="L493">
        <v>10000000</v>
      </c>
      <c r="M493">
        <v>1.5246869999999999</v>
      </c>
      <c r="N493">
        <v>10000000</v>
      </c>
      <c r="O493">
        <v>2.4900000000000002</v>
      </c>
      <c r="P493" t="s">
        <v>42</v>
      </c>
      <c r="Q493" t="s">
        <v>23</v>
      </c>
      <c r="R493" s="66">
        <v>42864</v>
      </c>
      <c r="S493" s="6">
        <f>DataTable[HLD_MaturityDate] - DataTable[SEC_Issue_Date]</f>
        <v>1096</v>
      </c>
      <c r="T493" s="66" t="str">
        <f>DataTable[HLD_Portfolio]&amp;DataTable[HLD_Date]</f>
        <v>SCBRM143383</v>
      </c>
      <c r="W493" t="b">
        <f>DataTable[HLD_SecCode]="CB18O18A"</f>
        <v>0</v>
      </c>
    </row>
    <row r="494" spans="1:23" hidden="1" x14ac:dyDescent="0.2">
      <c r="A494" s="66">
        <v>43383</v>
      </c>
      <c r="B494" t="s">
        <v>353</v>
      </c>
      <c r="C494" t="s">
        <v>18</v>
      </c>
      <c r="D494" t="s">
        <v>109</v>
      </c>
      <c r="F494" t="s">
        <v>235</v>
      </c>
      <c r="G494" t="s">
        <v>234</v>
      </c>
      <c r="H494" t="s">
        <v>203</v>
      </c>
      <c r="I494" s="66">
        <v>44277</v>
      </c>
      <c r="J494" s="6">
        <v>49352909.5</v>
      </c>
      <c r="K494">
        <v>54657.5</v>
      </c>
      <c r="L494">
        <v>50000000</v>
      </c>
      <c r="M494">
        <v>2.3606829999999999</v>
      </c>
      <c r="N494">
        <v>50000000</v>
      </c>
      <c r="O494">
        <v>2.1</v>
      </c>
      <c r="P494" t="s">
        <v>42</v>
      </c>
      <c r="Q494" t="s">
        <v>23</v>
      </c>
      <c r="R494" s="66">
        <v>43181</v>
      </c>
      <c r="S494" s="6">
        <f>DataTable[HLD_MaturityDate] - DataTable[SEC_Issue_Date]</f>
        <v>1096</v>
      </c>
      <c r="T494" s="66" t="str">
        <f>DataTable[HLD_Portfolio]&amp;DataTable[HLD_Date]</f>
        <v>SCBRM143383</v>
      </c>
      <c r="W494" t="b">
        <f>DataTable[HLD_SecCode]="CB18O18A"</f>
        <v>0</v>
      </c>
    </row>
    <row r="495" spans="1:23" hidden="1" x14ac:dyDescent="0.2">
      <c r="A495" s="66">
        <v>43383</v>
      </c>
      <c r="B495" t="s">
        <v>353</v>
      </c>
      <c r="C495" t="s">
        <v>18</v>
      </c>
      <c r="D495" t="s">
        <v>109</v>
      </c>
      <c r="F495" t="s">
        <v>584</v>
      </c>
      <c r="G495" t="s">
        <v>234</v>
      </c>
      <c r="H495" t="s">
        <v>203</v>
      </c>
      <c r="I495" s="66">
        <v>44639</v>
      </c>
      <c r="J495" s="6">
        <v>399461488</v>
      </c>
      <c r="K495">
        <v>771508</v>
      </c>
      <c r="L495">
        <v>400000000</v>
      </c>
      <c r="M495">
        <v>3.2221039999999999</v>
      </c>
      <c r="N495">
        <v>400000000</v>
      </c>
      <c r="O495">
        <v>3.2</v>
      </c>
      <c r="P495" t="s">
        <v>42</v>
      </c>
      <c r="Q495" t="s">
        <v>23</v>
      </c>
      <c r="R495" s="66">
        <v>43362</v>
      </c>
      <c r="S495" s="6">
        <f>DataTable[HLD_MaturityDate] - DataTable[SEC_Issue_Date]</f>
        <v>1277</v>
      </c>
      <c r="T495" s="66" t="str">
        <f>DataTable[HLD_Portfolio]&amp;DataTable[HLD_Date]</f>
        <v>SCBRM143383</v>
      </c>
      <c r="W495" t="b">
        <f>DataTable[HLD_SecCode]="CB18O18A"</f>
        <v>0</v>
      </c>
    </row>
    <row r="496" spans="1:23" hidden="1" x14ac:dyDescent="0.2">
      <c r="A496" s="66">
        <v>43383</v>
      </c>
      <c r="B496" t="s">
        <v>353</v>
      </c>
      <c r="C496" t="s">
        <v>18</v>
      </c>
      <c r="D496" t="s">
        <v>109</v>
      </c>
      <c r="F496" t="s">
        <v>238</v>
      </c>
      <c r="G496" t="s">
        <v>71</v>
      </c>
      <c r="H496" t="s">
        <v>47</v>
      </c>
      <c r="I496" s="66">
        <v>43433</v>
      </c>
      <c r="J496" s="6">
        <v>220100773.19999999</v>
      </c>
      <c r="K496">
        <v>1505343.4</v>
      </c>
      <c r="L496">
        <v>220000000</v>
      </c>
      <c r="M496">
        <v>0.133241</v>
      </c>
      <c r="N496">
        <v>220000000</v>
      </c>
      <c r="O496">
        <v>1.85</v>
      </c>
      <c r="P496" t="s">
        <v>42</v>
      </c>
      <c r="Q496" t="s">
        <v>23</v>
      </c>
      <c r="R496" s="66">
        <v>42884</v>
      </c>
      <c r="S496" s="6">
        <f>DataTable[HLD_MaturityDate] - DataTable[SEC_Issue_Date]</f>
        <v>549</v>
      </c>
      <c r="T496" s="66" t="str">
        <f>DataTable[HLD_Portfolio]&amp;DataTable[HLD_Date]</f>
        <v>SCBRM143383</v>
      </c>
      <c r="W496" t="b">
        <f>DataTable[HLD_SecCode]="CB18O18A"</f>
        <v>0</v>
      </c>
    </row>
    <row r="497" spans="1:23" hidden="1" x14ac:dyDescent="0.2">
      <c r="A497" s="66">
        <v>43383</v>
      </c>
      <c r="B497" t="s">
        <v>353</v>
      </c>
      <c r="C497" t="s">
        <v>18</v>
      </c>
      <c r="D497" t="s">
        <v>109</v>
      </c>
      <c r="F497" t="s">
        <v>534</v>
      </c>
      <c r="G497" t="s">
        <v>71</v>
      </c>
      <c r="H497" t="s">
        <v>47</v>
      </c>
      <c r="I497" s="66">
        <v>43594</v>
      </c>
      <c r="J497" s="6">
        <v>649198381</v>
      </c>
      <c r="K497">
        <v>4830481.5</v>
      </c>
      <c r="L497">
        <v>650000000</v>
      </c>
      <c r="M497">
        <v>0.56955299999999998</v>
      </c>
      <c r="N497">
        <v>650000000</v>
      </c>
      <c r="O497">
        <v>1.75</v>
      </c>
      <c r="P497" t="s">
        <v>42</v>
      </c>
      <c r="Q497" t="s">
        <v>23</v>
      </c>
      <c r="R497" s="66">
        <v>43048</v>
      </c>
      <c r="S497" s="6">
        <f>DataTable[HLD_MaturityDate] - DataTable[SEC_Issue_Date]</f>
        <v>546</v>
      </c>
      <c r="T497" s="66" t="str">
        <f>DataTable[HLD_Portfolio]&amp;DataTable[HLD_Date]</f>
        <v>SCBRM143383</v>
      </c>
      <c r="W497" t="b">
        <f>DataTable[HLD_SecCode]="CB18O18A"</f>
        <v>0</v>
      </c>
    </row>
    <row r="498" spans="1:23" hidden="1" x14ac:dyDescent="0.2">
      <c r="A498" s="66">
        <v>43383</v>
      </c>
      <c r="B498" t="s">
        <v>353</v>
      </c>
      <c r="C498" t="s">
        <v>18</v>
      </c>
      <c r="D498" t="s">
        <v>109</v>
      </c>
      <c r="F498" t="s">
        <v>535</v>
      </c>
      <c r="G498" t="s">
        <v>242</v>
      </c>
      <c r="H498" t="s">
        <v>29</v>
      </c>
      <c r="I498" s="66">
        <v>43431</v>
      </c>
      <c r="J498" s="6">
        <v>22007685.699999999</v>
      </c>
      <c r="K498">
        <v>306456.92</v>
      </c>
      <c r="L498">
        <v>22000000</v>
      </c>
      <c r="M498">
        <v>0.12844700000000001</v>
      </c>
      <c r="N498">
        <v>22000000</v>
      </c>
      <c r="O498">
        <v>2.2799999999999998</v>
      </c>
      <c r="P498" t="s">
        <v>42</v>
      </c>
      <c r="Q498" t="s">
        <v>23</v>
      </c>
      <c r="R498" s="66">
        <v>43161</v>
      </c>
      <c r="S498" s="6">
        <f>DataTable[HLD_MaturityDate] - DataTable[SEC_Issue_Date]</f>
        <v>270</v>
      </c>
      <c r="T498" s="66" t="str">
        <f>DataTable[HLD_Portfolio]&amp;DataTable[HLD_Date]</f>
        <v>SCBRM143383</v>
      </c>
      <c r="W498" t="b">
        <f>DataTable[HLD_SecCode]="CB18O18A"</f>
        <v>0</v>
      </c>
    </row>
    <row r="499" spans="1:23" hidden="1" x14ac:dyDescent="0.2">
      <c r="A499" s="66">
        <v>43383</v>
      </c>
      <c r="B499" t="s">
        <v>353</v>
      </c>
      <c r="C499" t="s">
        <v>18</v>
      </c>
      <c r="D499" t="s">
        <v>109</v>
      </c>
      <c r="F499" t="s">
        <v>585</v>
      </c>
      <c r="G499" t="s">
        <v>242</v>
      </c>
      <c r="H499" t="s">
        <v>29</v>
      </c>
      <c r="I499" s="66">
        <v>43494</v>
      </c>
      <c r="J499" s="6">
        <v>47006133.5</v>
      </c>
      <c r="K499">
        <v>473862.93</v>
      </c>
      <c r="L499">
        <v>47000000</v>
      </c>
      <c r="M499">
        <v>0.29935499999999998</v>
      </c>
      <c r="N499">
        <v>47000000</v>
      </c>
      <c r="O499">
        <v>2.2999999999999998</v>
      </c>
      <c r="P499" t="s">
        <v>42</v>
      </c>
      <c r="Q499" t="s">
        <v>23</v>
      </c>
      <c r="R499" s="66">
        <v>43224</v>
      </c>
      <c r="S499" s="6">
        <f>DataTable[HLD_MaturityDate] - DataTable[SEC_Issue_Date]</f>
        <v>270</v>
      </c>
      <c r="T499" s="66" t="str">
        <f>DataTable[HLD_Portfolio]&amp;DataTable[HLD_Date]</f>
        <v>SCBRM143383</v>
      </c>
      <c r="W499" t="b">
        <f>DataTable[HLD_SecCode]="CB18O18A"</f>
        <v>0</v>
      </c>
    </row>
    <row r="500" spans="1:23" hidden="1" x14ac:dyDescent="0.2">
      <c r="A500" s="66">
        <v>43383</v>
      </c>
      <c r="B500" t="s">
        <v>353</v>
      </c>
      <c r="C500" t="s">
        <v>18</v>
      </c>
      <c r="D500" t="s">
        <v>109</v>
      </c>
      <c r="F500" t="s">
        <v>537</v>
      </c>
      <c r="G500" t="s">
        <v>242</v>
      </c>
      <c r="H500" t="s">
        <v>29</v>
      </c>
      <c r="I500" s="66">
        <v>43494</v>
      </c>
      <c r="J500" s="6">
        <v>23003234.030000001</v>
      </c>
      <c r="K500">
        <v>197106.78</v>
      </c>
      <c r="L500">
        <v>23000000</v>
      </c>
      <c r="M500">
        <v>0.29935499999999998</v>
      </c>
      <c r="N500">
        <v>23000000</v>
      </c>
      <c r="O500">
        <v>2.2999999999999998</v>
      </c>
      <c r="P500" t="s">
        <v>42</v>
      </c>
      <c r="Q500" t="s">
        <v>23</v>
      </c>
      <c r="R500" s="66">
        <v>43248</v>
      </c>
      <c r="S500" s="6">
        <f>DataTable[HLD_MaturityDate] - DataTable[SEC_Issue_Date]</f>
        <v>246</v>
      </c>
      <c r="T500" s="66" t="str">
        <f>DataTable[HLD_Portfolio]&amp;DataTable[HLD_Date]</f>
        <v>SCBRM143383</v>
      </c>
      <c r="W500" t="b">
        <f>DataTable[HLD_SecCode]="CB18O18A"</f>
        <v>0</v>
      </c>
    </row>
    <row r="501" spans="1:23" hidden="1" x14ac:dyDescent="0.2">
      <c r="A501" s="66">
        <v>43383</v>
      </c>
      <c r="B501" t="s">
        <v>353</v>
      </c>
      <c r="C501" t="s">
        <v>18</v>
      </c>
      <c r="D501" t="s">
        <v>109</v>
      </c>
      <c r="F501" t="s">
        <v>241</v>
      </c>
      <c r="G501" t="s">
        <v>242</v>
      </c>
      <c r="H501" t="s">
        <v>29</v>
      </c>
      <c r="I501" s="66">
        <v>43518</v>
      </c>
      <c r="J501" s="6">
        <v>349928299</v>
      </c>
      <c r="K501">
        <v>6237864.5</v>
      </c>
      <c r="L501">
        <v>350000000</v>
      </c>
      <c r="M501">
        <v>0.36340499999999998</v>
      </c>
      <c r="N501">
        <v>350000000</v>
      </c>
      <c r="O501">
        <v>2.78</v>
      </c>
      <c r="P501" t="s">
        <v>42</v>
      </c>
      <c r="Q501" t="s">
        <v>23</v>
      </c>
      <c r="R501" s="66">
        <v>43150</v>
      </c>
      <c r="S501" s="6">
        <f>DataTable[HLD_MaturityDate] - DataTable[SEC_Issue_Date]</f>
        <v>368</v>
      </c>
      <c r="T501" s="66" t="str">
        <f>DataTable[HLD_Portfolio]&amp;DataTable[HLD_Date]</f>
        <v>SCBRM143383</v>
      </c>
      <c r="W501" t="b">
        <f>DataTable[HLD_SecCode]="CB18O18A"</f>
        <v>0</v>
      </c>
    </row>
    <row r="502" spans="1:23" hidden="1" x14ac:dyDescent="0.2">
      <c r="A502" s="66">
        <v>43383</v>
      </c>
      <c r="B502" t="s">
        <v>353</v>
      </c>
      <c r="C502" t="s">
        <v>18</v>
      </c>
      <c r="D502" t="s">
        <v>109</v>
      </c>
      <c r="F502" t="s">
        <v>245</v>
      </c>
      <c r="G502" t="s">
        <v>244</v>
      </c>
      <c r="H502" t="s">
        <v>29</v>
      </c>
      <c r="I502" s="66">
        <v>44410</v>
      </c>
      <c r="J502" s="6">
        <v>306611721.75</v>
      </c>
      <c r="K502">
        <v>2178438.23</v>
      </c>
      <c r="L502">
        <v>307000000</v>
      </c>
      <c r="M502">
        <v>2.638757</v>
      </c>
      <c r="N502">
        <v>307000000</v>
      </c>
      <c r="O502">
        <v>3.7</v>
      </c>
      <c r="P502" t="s">
        <v>42</v>
      </c>
      <c r="Q502" t="s">
        <v>23</v>
      </c>
      <c r="R502" s="66">
        <v>43314</v>
      </c>
      <c r="S502" s="6">
        <f>DataTable[HLD_MaturityDate] - DataTable[SEC_Issue_Date]</f>
        <v>1096</v>
      </c>
      <c r="T502" s="66" t="str">
        <f>DataTable[HLD_Portfolio]&amp;DataTable[HLD_Date]</f>
        <v>SCBRM143383</v>
      </c>
      <c r="W502" t="b">
        <f>DataTable[HLD_SecCode]="CB18O18A"</f>
        <v>0</v>
      </c>
    </row>
    <row r="503" spans="1:23" hidden="1" x14ac:dyDescent="0.2">
      <c r="A503" s="66">
        <v>43383</v>
      </c>
      <c r="B503" t="s">
        <v>353</v>
      </c>
      <c r="C503" t="s">
        <v>18</v>
      </c>
      <c r="D503" t="s">
        <v>109</v>
      </c>
      <c r="F503" t="s">
        <v>492</v>
      </c>
      <c r="G503" t="s">
        <v>493</v>
      </c>
      <c r="I503" s="66">
        <v>43959</v>
      </c>
      <c r="J503" s="6">
        <v>124610226.25</v>
      </c>
      <c r="K503">
        <v>1303561.25</v>
      </c>
      <c r="L503">
        <v>125000000</v>
      </c>
      <c r="M503">
        <v>1.520721</v>
      </c>
      <c r="N503">
        <v>125000000</v>
      </c>
      <c r="O503">
        <v>2.44</v>
      </c>
      <c r="P503" t="s">
        <v>42</v>
      </c>
      <c r="Q503" t="s">
        <v>23</v>
      </c>
      <c r="R503" s="66">
        <v>42863</v>
      </c>
      <c r="S503" s="6">
        <f>DataTable[HLD_MaturityDate] - DataTable[SEC_Issue_Date]</f>
        <v>1096</v>
      </c>
      <c r="T503" s="66" t="str">
        <f>DataTable[HLD_Portfolio]&amp;DataTable[HLD_Date]</f>
        <v>SCBRM143383</v>
      </c>
      <c r="W503" t="b">
        <f>DataTable[HLD_SecCode]="CB18O18A"</f>
        <v>0</v>
      </c>
    </row>
    <row r="504" spans="1:23" hidden="1" x14ac:dyDescent="0.2">
      <c r="A504" s="66">
        <v>43383</v>
      </c>
      <c r="B504" t="s">
        <v>353</v>
      </c>
      <c r="C504" t="s">
        <v>18</v>
      </c>
      <c r="D504" t="s">
        <v>109</v>
      </c>
      <c r="F504" t="s">
        <v>586</v>
      </c>
      <c r="G504" t="s">
        <v>587</v>
      </c>
      <c r="I504" s="66">
        <v>43437</v>
      </c>
      <c r="J504" s="6">
        <v>800796</v>
      </c>
      <c r="K504">
        <v>6154.52</v>
      </c>
      <c r="L504">
        <v>800250.56</v>
      </c>
      <c r="M504">
        <v>0.144173</v>
      </c>
      <c r="N504">
        <v>800000</v>
      </c>
      <c r="O504">
        <v>1.9151210000000001</v>
      </c>
      <c r="P504" t="s">
        <v>42</v>
      </c>
      <c r="Q504" t="s">
        <v>23</v>
      </c>
      <c r="R504" s="66">
        <v>42341</v>
      </c>
      <c r="S504" s="6">
        <f>DataTable[HLD_MaturityDate] - DataTable[SEC_Issue_Date]</f>
        <v>1096</v>
      </c>
      <c r="T504" s="66" t="str">
        <f>DataTable[HLD_Portfolio]&amp;DataTable[HLD_Date]</f>
        <v>SCBRM143383</v>
      </c>
      <c r="W504" t="b">
        <f>DataTable[HLD_SecCode]="CB18O18A"</f>
        <v>0</v>
      </c>
    </row>
    <row r="505" spans="1:23" hidden="1" x14ac:dyDescent="0.2">
      <c r="A505" s="66">
        <v>43383</v>
      </c>
      <c r="B505" t="s">
        <v>353</v>
      </c>
      <c r="C505" t="s">
        <v>18</v>
      </c>
      <c r="D505" t="s">
        <v>109</v>
      </c>
      <c r="F505" t="s">
        <v>588</v>
      </c>
      <c r="G505" t="s">
        <v>589</v>
      </c>
      <c r="I505" s="66">
        <v>43848</v>
      </c>
      <c r="J505" s="6">
        <v>34848410.100000001</v>
      </c>
      <c r="K505">
        <v>95794.65</v>
      </c>
      <c r="L505">
        <v>35027994.049999997</v>
      </c>
      <c r="M505">
        <v>1.2494000000000001</v>
      </c>
      <c r="N505">
        <v>35000000</v>
      </c>
      <c r="O505">
        <v>1.78</v>
      </c>
      <c r="P505" t="s">
        <v>42</v>
      </c>
      <c r="Q505" t="s">
        <v>23</v>
      </c>
      <c r="R505" s="66">
        <v>42965</v>
      </c>
      <c r="S505" s="6">
        <f>DataTable[HLD_MaturityDate] - DataTable[SEC_Issue_Date]</f>
        <v>883</v>
      </c>
      <c r="T505" s="66" t="str">
        <f>DataTable[HLD_Portfolio]&amp;DataTable[HLD_Date]</f>
        <v>SCBRM143383</v>
      </c>
      <c r="W505" t="b">
        <f>DataTable[HLD_SecCode]="CB18O18A"</f>
        <v>0</v>
      </c>
    </row>
    <row r="506" spans="1:23" hidden="1" x14ac:dyDescent="0.2">
      <c r="A506" s="66">
        <v>43383</v>
      </c>
      <c r="B506" t="s">
        <v>353</v>
      </c>
      <c r="C506" t="s">
        <v>128</v>
      </c>
      <c r="D506" t="s">
        <v>307</v>
      </c>
      <c r="E506" t="s">
        <v>590</v>
      </c>
      <c r="F506" t="s">
        <v>20</v>
      </c>
      <c r="I506" s="66"/>
      <c r="J506" s="6">
        <v>1485202.04</v>
      </c>
      <c r="L506">
        <v>1485202.04</v>
      </c>
      <c r="M506">
        <v>0</v>
      </c>
      <c r="O506">
        <v>0</v>
      </c>
      <c r="P506" t="s">
        <v>22</v>
      </c>
      <c r="Q506" t="s">
        <v>23</v>
      </c>
      <c r="R506" s="66">
        <v>2</v>
      </c>
      <c r="S506" s="6">
        <f>DataTable[HLD_MaturityDate] - DataTable[SEC_Issue_Date]</f>
        <v>-2</v>
      </c>
      <c r="T506" s="66" t="str">
        <f>DataTable[HLD_Portfolio]&amp;DataTable[HLD_Date]</f>
        <v>SCBRM143383</v>
      </c>
      <c r="W506" t="b">
        <f>DataTable[HLD_SecCode]="CB18O18A"</f>
        <v>0</v>
      </c>
    </row>
    <row r="507" spans="1:23" hidden="1" x14ac:dyDescent="0.2">
      <c r="A507" s="66">
        <v>43383</v>
      </c>
      <c r="B507" t="s">
        <v>353</v>
      </c>
      <c r="C507" t="s">
        <v>128</v>
      </c>
      <c r="D507" t="s">
        <v>307</v>
      </c>
      <c r="E507" t="s">
        <v>874</v>
      </c>
      <c r="F507" t="s">
        <v>20</v>
      </c>
      <c r="I507" s="66"/>
      <c r="J507" s="6">
        <v>63025.86</v>
      </c>
      <c r="L507">
        <v>63025.86</v>
      </c>
      <c r="M507">
        <v>0</v>
      </c>
      <c r="O507">
        <v>0</v>
      </c>
      <c r="P507" t="s">
        <v>22</v>
      </c>
      <c r="Q507" t="s">
        <v>23</v>
      </c>
      <c r="R507" s="66">
        <v>2</v>
      </c>
      <c r="S507" s="6">
        <f>DataTable[HLD_MaturityDate] - DataTable[SEC_Issue_Date]</f>
        <v>-2</v>
      </c>
      <c r="T507" s="66" t="str">
        <f>DataTable[HLD_Portfolio]&amp;DataTable[HLD_Date]</f>
        <v>SCBRM143383</v>
      </c>
      <c r="W507" t="b">
        <f>DataTable[HLD_SecCode]="CB18O18A"</f>
        <v>0</v>
      </c>
    </row>
    <row r="508" spans="1:23" hidden="1" x14ac:dyDescent="0.2">
      <c r="A508" s="66">
        <v>43383</v>
      </c>
      <c r="B508" t="s">
        <v>353</v>
      </c>
      <c r="C508" t="s">
        <v>129</v>
      </c>
      <c r="D508" t="s">
        <v>130</v>
      </c>
      <c r="E508" t="s">
        <v>590</v>
      </c>
      <c r="F508" t="s">
        <v>870</v>
      </c>
      <c r="I508" s="66"/>
      <c r="J508" s="6">
        <v>-199227844.96000001</v>
      </c>
      <c r="L508">
        <v>-199227844.96000001</v>
      </c>
      <c r="O508">
        <v>0</v>
      </c>
      <c r="P508" t="s">
        <v>42</v>
      </c>
      <c r="Q508" t="s">
        <v>23</v>
      </c>
      <c r="R508" s="66">
        <v>43384</v>
      </c>
      <c r="S508" s="6">
        <f>DataTable[HLD_MaturityDate] - DataTable[SEC_Issue_Date]</f>
        <v>-43384</v>
      </c>
      <c r="T508" s="66" t="str">
        <f>DataTable[HLD_Portfolio]&amp;DataTable[HLD_Date]</f>
        <v>SCBRM143383</v>
      </c>
      <c r="W508" t="b">
        <f>DataTable[HLD_SecCode]="CB18O18A"</f>
        <v>0</v>
      </c>
    </row>
    <row r="509" spans="1:23" hidden="1" x14ac:dyDescent="0.2">
      <c r="A509" s="66">
        <v>43383</v>
      </c>
      <c r="B509" t="s">
        <v>353</v>
      </c>
      <c r="C509" t="s">
        <v>129</v>
      </c>
      <c r="D509" t="s">
        <v>131</v>
      </c>
      <c r="E509" t="s">
        <v>131</v>
      </c>
      <c r="F509" t="s">
        <v>131</v>
      </c>
      <c r="I509" s="66"/>
      <c r="J509" s="6">
        <v>-63452.61</v>
      </c>
      <c r="O509">
        <v>0</v>
      </c>
      <c r="R509" s="66"/>
      <c r="S509" s="6">
        <f>DataTable[HLD_MaturityDate] - DataTable[SEC_Issue_Date]</f>
        <v>0</v>
      </c>
      <c r="T509" s="66" t="str">
        <f>DataTable[HLD_Portfolio]&amp;DataTable[HLD_Date]</f>
        <v>SCBRM143383</v>
      </c>
      <c r="W509" t="b">
        <f>DataTable[HLD_SecCode]="CB18O18A"</f>
        <v>0</v>
      </c>
    </row>
    <row r="510" spans="1:23" hidden="1" x14ac:dyDescent="0.2">
      <c r="A510" s="66">
        <v>43383</v>
      </c>
      <c r="B510" t="s">
        <v>353</v>
      </c>
      <c r="C510" t="s">
        <v>129</v>
      </c>
      <c r="D510" t="s">
        <v>591</v>
      </c>
      <c r="E510" t="s">
        <v>590</v>
      </c>
      <c r="F510" t="s">
        <v>20</v>
      </c>
      <c r="I510" s="66"/>
      <c r="J510" s="6">
        <v>-7810.97</v>
      </c>
      <c r="L510">
        <v>-7810.97</v>
      </c>
      <c r="M510">
        <v>0</v>
      </c>
      <c r="O510">
        <v>0</v>
      </c>
      <c r="P510" t="s">
        <v>22</v>
      </c>
      <c r="Q510" t="s">
        <v>23</v>
      </c>
      <c r="R510" s="66">
        <v>2</v>
      </c>
      <c r="S510" s="6">
        <f>DataTable[HLD_MaturityDate] - DataTable[SEC_Issue_Date]</f>
        <v>-2</v>
      </c>
      <c r="T510" s="66" t="str">
        <f>DataTable[HLD_Portfolio]&amp;DataTable[HLD_Date]</f>
        <v>SCBRM143383</v>
      </c>
      <c r="W510" t="b">
        <f>DataTable[HLD_SecCode]="CB18O18A"</f>
        <v>0</v>
      </c>
    </row>
    <row r="511" spans="1:23" hidden="1" x14ac:dyDescent="0.2">
      <c r="A511" s="66">
        <v>43383</v>
      </c>
      <c r="B511" t="s">
        <v>353</v>
      </c>
      <c r="C511" t="s">
        <v>129</v>
      </c>
      <c r="D511" t="s">
        <v>132</v>
      </c>
      <c r="I511" s="66"/>
      <c r="J511" s="6">
        <v>-158174.1</v>
      </c>
      <c r="K511">
        <v>0</v>
      </c>
      <c r="O511">
        <v>0</v>
      </c>
      <c r="R511" s="66"/>
      <c r="S511" s="6">
        <f>DataTable[HLD_MaturityDate] - DataTable[SEC_Issue_Date]</f>
        <v>0</v>
      </c>
      <c r="T511" s="66" t="str">
        <f>DataTable[HLD_Portfolio]&amp;DataTable[HLD_Date]</f>
        <v>SCBRM143383</v>
      </c>
      <c r="W511" t="b">
        <f>DataTable[HLD_SecCode]="CB18O18A"</f>
        <v>0</v>
      </c>
    </row>
    <row r="512" spans="1:23" hidden="1" x14ac:dyDescent="0.2">
      <c r="A512" s="66">
        <v>43383</v>
      </c>
      <c r="B512" t="s">
        <v>353</v>
      </c>
      <c r="C512" t="s">
        <v>129</v>
      </c>
      <c r="D512" t="s">
        <v>134</v>
      </c>
      <c r="E512" t="s">
        <v>134</v>
      </c>
      <c r="I512" s="66"/>
      <c r="J512" s="6">
        <v>-77684.17</v>
      </c>
      <c r="L512">
        <v>-77684.17</v>
      </c>
      <c r="O512">
        <v>0</v>
      </c>
      <c r="R512" s="66"/>
      <c r="S512" s="6">
        <f>DataTable[HLD_MaturityDate] - DataTable[SEC_Issue_Date]</f>
        <v>0</v>
      </c>
      <c r="T512" s="66" t="str">
        <f>DataTable[HLD_Portfolio]&amp;DataTable[HLD_Date]</f>
        <v>SCBRM143383</v>
      </c>
      <c r="W512" t="b">
        <f>DataTable[HLD_SecCode]="CB18O18A"</f>
        <v>0</v>
      </c>
    </row>
    <row r="513" spans="1:23" hidden="1" x14ac:dyDescent="0.2">
      <c r="A513" s="66">
        <v>43383</v>
      </c>
      <c r="B513" t="s">
        <v>353</v>
      </c>
      <c r="C513" t="s">
        <v>129</v>
      </c>
      <c r="D513" t="s">
        <v>135</v>
      </c>
      <c r="E513" t="s">
        <v>135</v>
      </c>
      <c r="I513" s="66"/>
      <c r="J513" s="6">
        <v>-1290851.95</v>
      </c>
      <c r="L513">
        <v>-1290851.95</v>
      </c>
      <c r="O513">
        <v>0</v>
      </c>
      <c r="R513" s="66"/>
      <c r="S513" s="6">
        <f>DataTable[HLD_MaturityDate] - DataTable[SEC_Issue_Date]</f>
        <v>0</v>
      </c>
      <c r="T513" s="66" t="str">
        <f>DataTable[HLD_Portfolio]&amp;DataTable[HLD_Date]</f>
        <v>SCBRM143383</v>
      </c>
      <c r="W513" t="b">
        <f>DataTable[HLD_SecCode]="CB18O18A"</f>
        <v>0</v>
      </c>
    </row>
    <row r="514" spans="1:23" hidden="1" x14ac:dyDescent="0.2">
      <c r="A514" s="66">
        <v>43383</v>
      </c>
      <c r="B514" t="s">
        <v>353</v>
      </c>
      <c r="C514" t="s">
        <v>129</v>
      </c>
      <c r="D514" t="s">
        <v>592</v>
      </c>
      <c r="E514" t="s">
        <v>592</v>
      </c>
      <c r="I514" s="66"/>
      <c r="J514" s="6">
        <v>-258947.22</v>
      </c>
      <c r="L514">
        <v>-258947.22</v>
      </c>
      <c r="O514">
        <v>0</v>
      </c>
      <c r="R514" s="66"/>
      <c r="S514" s="6">
        <f>DataTable[HLD_MaturityDate] - DataTable[SEC_Issue_Date]</f>
        <v>0</v>
      </c>
      <c r="T514" s="66" t="str">
        <f>DataTable[HLD_Portfolio]&amp;DataTable[HLD_Date]</f>
        <v>SCBRM143383</v>
      </c>
      <c r="W514" t="b">
        <f>DataTable[HLD_SecCode]="CB18O18A"</f>
        <v>0</v>
      </c>
    </row>
    <row r="515" spans="1:23" hidden="1" x14ac:dyDescent="0.2">
      <c r="A515" s="66">
        <v>43383</v>
      </c>
      <c r="B515" t="s">
        <v>353</v>
      </c>
      <c r="C515" t="s">
        <v>129</v>
      </c>
      <c r="D515" t="s">
        <v>136</v>
      </c>
      <c r="E515" t="s">
        <v>136</v>
      </c>
      <c r="I515" s="66"/>
      <c r="J515" s="6">
        <v>0</v>
      </c>
      <c r="L515">
        <v>0</v>
      </c>
      <c r="O515">
        <v>0</v>
      </c>
      <c r="R515" s="66"/>
      <c r="S515" s="6">
        <f>DataTable[HLD_MaturityDate] - DataTable[SEC_Issue_Date]</f>
        <v>0</v>
      </c>
      <c r="T515" s="66" t="str">
        <f>DataTable[HLD_Portfolio]&amp;DataTable[HLD_Date]</f>
        <v>SCBRM143383</v>
      </c>
      <c r="W515" t="b">
        <f>DataTable[HLD_SecCode]="CB18O18A"</f>
        <v>0</v>
      </c>
    </row>
    <row r="516" spans="1:23" hidden="1" x14ac:dyDescent="0.2">
      <c r="A516" s="66">
        <v>43383</v>
      </c>
      <c r="B516" t="s">
        <v>353</v>
      </c>
      <c r="C516" t="s">
        <v>137</v>
      </c>
      <c r="D516" t="s">
        <v>134</v>
      </c>
      <c r="E516" t="s">
        <v>134</v>
      </c>
      <c r="I516" s="66"/>
      <c r="J516" s="6">
        <v>-8607</v>
      </c>
      <c r="L516">
        <v>-8607</v>
      </c>
      <c r="O516">
        <v>0</v>
      </c>
      <c r="R516" s="66"/>
      <c r="S516" s="6">
        <f>DataTable[HLD_MaturityDate] - DataTable[SEC_Issue_Date]</f>
        <v>0</v>
      </c>
      <c r="T516" s="66" t="str">
        <f>DataTable[HLD_Portfolio]&amp;DataTable[HLD_Date]</f>
        <v>SCBRM143383</v>
      </c>
      <c r="W516" t="b">
        <f>DataTable[HLD_SecCode]="CB18O18A"</f>
        <v>0</v>
      </c>
    </row>
    <row r="517" spans="1:23" hidden="1" x14ac:dyDescent="0.2">
      <c r="A517" s="66">
        <v>43383</v>
      </c>
      <c r="B517" t="s">
        <v>353</v>
      </c>
      <c r="C517" t="s">
        <v>137</v>
      </c>
      <c r="D517" t="s">
        <v>135</v>
      </c>
      <c r="E517" t="s">
        <v>135</v>
      </c>
      <c r="I517" s="66"/>
      <c r="J517" s="6">
        <v>-143019.6</v>
      </c>
      <c r="L517">
        <v>-143019.6</v>
      </c>
      <c r="O517">
        <v>0</v>
      </c>
      <c r="R517" s="66"/>
      <c r="S517" s="6">
        <f>DataTable[HLD_MaturityDate] - DataTable[SEC_Issue_Date]</f>
        <v>0</v>
      </c>
      <c r="T517" s="66" t="str">
        <f>DataTable[HLD_Portfolio]&amp;DataTable[HLD_Date]</f>
        <v>SCBRM143383</v>
      </c>
      <c r="W517" t="b">
        <f>DataTable[HLD_SecCode]="CB18O18A"</f>
        <v>0</v>
      </c>
    </row>
    <row r="518" spans="1:23" hidden="1" x14ac:dyDescent="0.2">
      <c r="A518" s="66">
        <v>43383</v>
      </c>
      <c r="B518" t="s">
        <v>353</v>
      </c>
      <c r="C518" t="s">
        <v>137</v>
      </c>
      <c r="D518" t="s">
        <v>592</v>
      </c>
      <c r="E518" t="s">
        <v>592</v>
      </c>
      <c r="I518" s="66"/>
      <c r="J518" s="6">
        <v>-28689.99</v>
      </c>
      <c r="L518">
        <v>-28689.99</v>
      </c>
      <c r="O518">
        <v>0</v>
      </c>
      <c r="R518" s="66"/>
      <c r="S518" s="6">
        <f>DataTable[HLD_MaturityDate] - DataTable[SEC_Issue_Date]</f>
        <v>0</v>
      </c>
      <c r="T518" s="66" t="str">
        <f>DataTable[HLD_Portfolio]&amp;DataTable[HLD_Date]</f>
        <v>SCBRM143383</v>
      </c>
      <c r="W518" t="b">
        <f>DataTable[HLD_SecCode]="CB18O18A"</f>
        <v>0</v>
      </c>
    </row>
    <row r="519" spans="1:23" hidden="1" x14ac:dyDescent="0.2">
      <c r="A519" s="66">
        <v>43383</v>
      </c>
      <c r="B519" t="s">
        <v>353</v>
      </c>
      <c r="C519" t="s">
        <v>137</v>
      </c>
      <c r="D519" t="s">
        <v>136</v>
      </c>
      <c r="E519" t="s">
        <v>136</v>
      </c>
      <c r="I519" s="66"/>
      <c r="J519" s="6">
        <v>0</v>
      </c>
      <c r="L519">
        <v>0</v>
      </c>
      <c r="O519">
        <v>0</v>
      </c>
      <c r="R519" s="66"/>
      <c r="S519" s="6">
        <f>DataTable[HLD_MaturityDate] - DataTable[SEC_Issue_Date]</f>
        <v>0</v>
      </c>
      <c r="T519" s="66" t="str">
        <f>DataTable[HLD_Portfolio]&amp;DataTable[HLD_Date]</f>
        <v>SCBRM143383</v>
      </c>
      <c r="W519" t="b">
        <f>DataTable[HLD_SecCode]="CB18O18A"</f>
        <v>0</v>
      </c>
    </row>
    <row r="520" spans="1:23" hidden="1" x14ac:dyDescent="0.2">
      <c r="A520" s="66">
        <v>43383</v>
      </c>
      <c r="B520" t="s">
        <v>354</v>
      </c>
      <c r="C520" t="s">
        <v>18</v>
      </c>
      <c r="D520" t="s">
        <v>19</v>
      </c>
      <c r="F520" t="s">
        <v>20</v>
      </c>
      <c r="G520" t="s">
        <v>21</v>
      </c>
      <c r="I520" s="66"/>
      <c r="J520" s="6">
        <v>2576583.0299999998</v>
      </c>
      <c r="K520">
        <v>3192.77</v>
      </c>
      <c r="L520">
        <v>2576583.0299999998</v>
      </c>
      <c r="M520">
        <v>0</v>
      </c>
      <c r="N520">
        <v>0</v>
      </c>
      <c r="O520">
        <v>0</v>
      </c>
      <c r="P520" t="s">
        <v>22</v>
      </c>
      <c r="Q520" t="s">
        <v>23</v>
      </c>
      <c r="R520" s="66">
        <v>2</v>
      </c>
      <c r="S520" s="6">
        <f>DataTable[HLD_MaturityDate] - DataTable[SEC_Issue_Date]</f>
        <v>-2</v>
      </c>
      <c r="T520" s="66" t="str">
        <f>DataTable[HLD_Portfolio]&amp;DataTable[HLD_Date]</f>
        <v>SCBRM243383</v>
      </c>
      <c r="W520" t="b">
        <f>DataTable[HLD_SecCode]="CB18O18A"</f>
        <v>0</v>
      </c>
    </row>
    <row r="521" spans="1:23" hidden="1" x14ac:dyDescent="0.2">
      <c r="A521" s="66">
        <v>43383</v>
      </c>
      <c r="B521" t="s">
        <v>354</v>
      </c>
      <c r="C521" t="s">
        <v>18</v>
      </c>
      <c r="D521" t="s">
        <v>38</v>
      </c>
      <c r="F521" t="s">
        <v>593</v>
      </c>
      <c r="G521" t="s">
        <v>40</v>
      </c>
      <c r="H521" t="s">
        <v>41</v>
      </c>
      <c r="I521" s="66">
        <v>43651</v>
      </c>
      <c r="J521" s="6">
        <v>120000000</v>
      </c>
      <c r="K521">
        <v>531616.43999999994</v>
      </c>
      <c r="L521">
        <v>120000000</v>
      </c>
      <c r="M521">
        <v>0.72549600000000003</v>
      </c>
      <c r="N521">
        <v>120000000</v>
      </c>
      <c r="O521">
        <v>1.65</v>
      </c>
      <c r="P521" t="s">
        <v>42</v>
      </c>
      <c r="Q521" t="s">
        <v>23</v>
      </c>
      <c r="R521" s="66">
        <v>43286</v>
      </c>
      <c r="S521" s="6">
        <f>DataTable[HLD_MaturityDate] - DataTable[SEC_Issue_Date]</f>
        <v>365</v>
      </c>
      <c r="T521" s="66" t="str">
        <f>DataTable[HLD_Portfolio]&amp;DataTable[HLD_Date]</f>
        <v>SCBRM243383</v>
      </c>
      <c r="W521" t="b">
        <f>DataTable[HLD_SecCode]="CB18O18A"</f>
        <v>0</v>
      </c>
    </row>
    <row r="522" spans="1:23" hidden="1" x14ac:dyDescent="0.2">
      <c r="A522" s="66">
        <v>43383</v>
      </c>
      <c r="B522" t="s">
        <v>354</v>
      </c>
      <c r="C522" t="s">
        <v>18</v>
      </c>
      <c r="D522" t="s">
        <v>38</v>
      </c>
      <c r="F522" t="s">
        <v>594</v>
      </c>
      <c r="G522" t="s">
        <v>75</v>
      </c>
      <c r="H522" t="s">
        <v>59</v>
      </c>
      <c r="I522" s="66">
        <v>44196</v>
      </c>
      <c r="J522" s="6">
        <v>14128950.960000001</v>
      </c>
      <c r="K522">
        <v>67537.81</v>
      </c>
      <c r="L522">
        <v>14128950.960000001</v>
      </c>
      <c r="M522">
        <v>0</v>
      </c>
      <c r="N522">
        <v>14128950.960000001</v>
      </c>
      <c r="O522">
        <v>0</v>
      </c>
      <c r="P522" t="s">
        <v>42</v>
      </c>
      <c r="Q522" t="s">
        <v>23</v>
      </c>
      <c r="R522" s="66">
        <v>38611</v>
      </c>
      <c r="S522" s="6">
        <f>DataTable[HLD_MaturityDate] - DataTable[SEC_Issue_Date]</f>
        <v>5585</v>
      </c>
      <c r="T522" s="66" t="str">
        <f>DataTable[HLD_Portfolio]&amp;DataTable[HLD_Date]</f>
        <v>SCBRM243383</v>
      </c>
      <c r="W522" t="b">
        <f>DataTable[HLD_SecCode]="CB18O18A"</f>
        <v>0</v>
      </c>
    </row>
    <row r="523" spans="1:23" hidden="1" x14ac:dyDescent="0.2">
      <c r="A523" s="66">
        <v>43383</v>
      </c>
      <c r="B523" t="s">
        <v>354</v>
      </c>
      <c r="C523" t="s">
        <v>18</v>
      </c>
      <c r="D523" t="s">
        <v>77</v>
      </c>
      <c r="F523" t="s">
        <v>543</v>
      </c>
      <c r="G523" t="s">
        <v>244</v>
      </c>
      <c r="H523" t="s">
        <v>29</v>
      </c>
      <c r="I523" s="66">
        <v>43550</v>
      </c>
      <c r="J523" s="6">
        <v>38561959.409999996</v>
      </c>
      <c r="L523">
        <v>38596272.390000001</v>
      </c>
      <c r="M523">
        <v>0.44968599999999997</v>
      </c>
      <c r="N523">
        <v>39000000</v>
      </c>
      <c r="O523">
        <v>2.2999999999999998</v>
      </c>
      <c r="P523" t="s">
        <v>42</v>
      </c>
      <c r="Q523" t="s">
        <v>23</v>
      </c>
      <c r="R523" s="66">
        <v>43280</v>
      </c>
      <c r="S523" s="6">
        <f>DataTable[HLD_MaturityDate] - DataTable[SEC_Issue_Date]</f>
        <v>270</v>
      </c>
      <c r="T523" s="66" t="str">
        <f>DataTable[HLD_Portfolio]&amp;DataTable[HLD_Date]</f>
        <v>SCBRM243383</v>
      </c>
      <c r="W523" t="b">
        <f>DataTable[HLD_SecCode]="CB18O18A"</f>
        <v>0</v>
      </c>
    </row>
    <row r="524" spans="1:23" x14ac:dyDescent="0.2">
      <c r="A524" s="66">
        <v>43383</v>
      </c>
      <c r="B524" t="s">
        <v>354</v>
      </c>
      <c r="C524" t="s">
        <v>18</v>
      </c>
      <c r="D524" t="s">
        <v>87</v>
      </c>
      <c r="F524" t="s">
        <v>314</v>
      </c>
      <c r="G524" t="s">
        <v>89</v>
      </c>
      <c r="I524" s="66">
        <v>43440</v>
      </c>
      <c r="J524" s="6">
        <v>82834784.349999994</v>
      </c>
      <c r="L524">
        <v>82827582.439999998</v>
      </c>
      <c r="M524">
        <v>0.15307200000000001</v>
      </c>
      <c r="N524">
        <v>83000000</v>
      </c>
      <c r="O524">
        <v>1.356786</v>
      </c>
      <c r="P524" t="s">
        <v>42</v>
      </c>
      <c r="Q524" t="s">
        <v>23</v>
      </c>
      <c r="R524" s="66">
        <v>43076</v>
      </c>
      <c r="S524" s="6">
        <f>DataTable[HLD_MaturityDate] - DataTable[SEC_Issue_Date]</f>
        <v>364</v>
      </c>
      <c r="T524" s="66" t="str">
        <f>DataTable[HLD_Portfolio]&amp;DataTable[HLD_Date]</f>
        <v>SCBRM243383</v>
      </c>
      <c r="W524" t="b">
        <f>DataTable[HLD_SecCode]="CB18O18A"</f>
        <v>0</v>
      </c>
    </row>
    <row r="525" spans="1:23" x14ac:dyDescent="0.2">
      <c r="A525" s="66">
        <v>43383</v>
      </c>
      <c r="B525" t="s">
        <v>354</v>
      </c>
      <c r="C525" t="s">
        <v>18</v>
      </c>
      <c r="D525" t="s">
        <v>87</v>
      </c>
      <c r="F525" t="s">
        <v>207</v>
      </c>
      <c r="G525" t="s">
        <v>89</v>
      </c>
      <c r="I525" s="66">
        <v>43447</v>
      </c>
      <c r="J525" s="6">
        <v>9976237.4000000004</v>
      </c>
      <c r="L525">
        <v>9976237.4000000004</v>
      </c>
      <c r="M525">
        <v>0.17217499999999999</v>
      </c>
      <c r="N525">
        <v>10000000</v>
      </c>
      <c r="O525">
        <v>1.38</v>
      </c>
      <c r="P525" t="s">
        <v>42</v>
      </c>
      <c r="Q525" t="s">
        <v>23</v>
      </c>
      <c r="R525" s="66">
        <v>43265</v>
      </c>
      <c r="S525" s="6">
        <f>DataTable[HLD_MaturityDate] - DataTable[SEC_Issue_Date]</f>
        <v>182</v>
      </c>
      <c r="T525" s="66" t="str">
        <f>DataTable[HLD_Portfolio]&amp;DataTable[HLD_Date]</f>
        <v>SCBRM243383</v>
      </c>
      <c r="W525" t="b">
        <f>DataTable[HLD_SecCode]="CB18O18A"</f>
        <v>0</v>
      </c>
    </row>
    <row r="526" spans="1:23" x14ac:dyDescent="0.2">
      <c r="A526" s="66">
        <v>43383</v>
      </c>
      <c r="B526" t="s">
        <v>354</v>
      </c>
      <c r="C526" t="s">
        <v>18</v>
      </c>
      <c r="D526" t="s">
        <v>87</v>
      </c>
      <c r="F526" t="s">
        <v>595</v>
      </c>
      <c r="G526" t="s">
        <v>89</v>
      </c>
      <c r="I526" s="66">
        <v>43454</v>
      </c>
      <c r="J526" s="6">
        <v>119703855.59999999</v>
      </c>
      <c r="L526">
        <v>119703855.59999999</v>
      </c>
      <c r="M526">
        <v>0.19126000000000001</v>
      </c>
      <c r="N526">
        <v>120000000</v>
      </c>
      <c r="O526">
        <v>1.29</v>
      </c>
      <c r="P526" t="s">
        <v>42</v>
      </c>
      <c r="Q526" t="s">
        <v>23</v>
      </c>
      <c r="R526" s="66">
        <v>43272</v>
      </c>
      <c r="S526" s="6">
        <f>DataTable[HLD_MaturityDate] - DataTable[SEC_Issue_Date]</f>
        <v>182</v>
      </c>
      <c r="T526" s="66" t="str">
        <f>DataTable[HLD_Portfolio]&amp;DataTable[HLD_Date]</f>
        <v>SCBRM243383</v>
      </c>
      <c r="W526" t="b">
        <f>DataTable[HLD_SecCode]="CB18O18A"</f>
        <v>0</v>
      </c>
    </row>
    <row r="527" spans="1:23" x14ac:dyDescent="0.2">
      <c r="A527" s="66">
        <v>43383</v>
      </c>
      <c r="B527" t="s">
        <v>354</v>
      </c>
      <c r="C527" t="s">
        <v>18</v>
      </c>
      <c r="D527" t="s">
        <v>87</v>
      </c>
      <c r="F527" t="s">
        <v>596</v>
      </c>
      <c r="G527" t="s">
        <v>89</v>
      </c>
      <c r="I527" s="66">
        <v>43461</v>
      </c>
      <c r="J527" s="6">
        <v>3988388.88</v>
      </c>
      <c r="L527">
        <v>3987633.96</v>
      </c>
      <c r="M527">
        <v>0.210311</v>
      </c>
      <c r="N527">
        <v>4000000</v>
      </c>
      <c r="O527">
        <v>1.47</v>
      </c>
      <c r="P527" t="s">
        <v>42</v>
      </c>
      <c r="Q527" t="s">
        <v>23</v>
      </c>
      <c r="R527" s="66">
        <v>43279</v>
      </c>
      <c r="S527" s="6">
        <f>DataTable[HLD_MaturityDate] - DataTable[SEC_Issue_Date]</f>
        <v>182</v>
      </c>
      <c r="T527" s="66" t="str">
        <f>DataTable[HLD_Portfolio]&amp;DataTable[HLD_Date]</f>
        <v>SCBRM243383</v>
      </c>
      <c r="W527" t="b">
        <f>DataTable[HLD_SecCode]="CB18O18A"</f>
        <v>0</v>
      </c>
    </row>
    <row r="528" spans="1:23" x14ac:dyDescent="0.2">
      <c r="A528" s="66">
        <v>43383</v>
      </c>
      <c r="B528" t="s">
        <v>354</v>
      </c>
      <c r="C528" t="s">
        <v>18</v>
      </c>
      <c r="D528" t="s">
        <v>87</v>
      </c>
      <c r="F528" t="s">
        <v>208</v>
      </c>
      <c r="G528" t="s">
        <v>89</v>
      </c>
      <c r="I528" s="66">
        <v>43461</v>
      </c>
      <c r="J528" s="6">
        <v>460658915.63999999</v>
      </c>
      <c r="L528">
        <v>460659594.77999997</v>
      </c>
      <c r="M528">
        <v>0.210337</v>
      </c>
      <c r="N528">
        <v>462000000</v>
      </c>
      <c r="O528">
        <v>1.379297</v>
      </c>
      <c r="P528" t="s">
        <v>42</v>
      </c>
      <c r="Q528" t="s">
        <v>23</v>
      </c>
      <c r="R528" s="66">
        <v>43370</v>
      </c>
      <c r="S528" s="6">
        <f>DataTable[HLD_MaturityDate] - DataTable[SEC_Issue_Date]</f>
        <v>91</v>
      </c>
      <c r="T528" s="66" t="str">
        <f>DataTable[HLD_Portfolio]&amp;DataTable[HLD_Date]</f>
        <v>SCBRM243383</v>
      </c>
      <c r="W528" t="b">
        <f>DataTable[HLD_SecCode]="CB18O18A"</f>
        <v>0</v>
      </c>
    </row>
    <row r="529" spans="1:23" x14ac:dyDescent="0.2">
      <c r="A529" s="66">
        <v>43383</v>
      </c>
      <c r="B529" t="s">
        <v>354</v>
      </c>
      <c r="C529" t="s">
        <v>18</v>
      </c>
      <c r="D529" t="s">
        <v>87</v>
      </c>
      <c r="F529" t="s">
        <v>209</v>
      </c>
      <c r="G529" t="s">
        <v>89</v>
      </c>
      <c r="I529" s="66">
        <v>43405</v>
      </c>
      <c r="J529" s="6">
        <v>99933305</v>
      </c>
      <c r="L529">
        <v>99933305</v>
      </c>
      <c r="M529">
        <v>5.7493000000000002E-2</v>
      </c>
      <c r="N529">
        <v>100000000</v>
      </c>
      <c r="O529">
        <v>1.1599999999999999</v>
      </c>
      <c r="P529" t="s">
        <v>42</v>
      </c>
      <c r="Q529" t="s">
        <v>23</v>
      </c>
      <c r="R529" s="66">
        <v>43223</v>
      </c>
      <c r="S529" s="6">
        <f>DataTable[HLD_MaturityDate] - DataTable[SEC_Issue_Date]</f>
        <v>182</v>
      </c>
      <c r="T529" s="66" t="str">
        <f>DataTable[HLD_Portfolio]&amp;DataTable[HLD_Date]</f>
        <v>SCBRM243383</v>
      </c>
      <c r="W529" t="b">
        <f>DataTable[HLD_SecCode]="CB18O18A"</f>
        <v>0</v>
      </c>
    </row>
    <row r="530" spans="1:23" x14ac:dyDescent="0.2">
      <c r="A530" s="66">
        <v>43383</v>
      </c>
      <c r="B530" t="s">
        <v>354</v>
      </c>
      <c r="C530" t="s">
        <v>18</v>
      </c>
      <c r="D530" t="s">
        <v>87</v>
      </c>
      <c r="F530" t="s">
        <v>99</v>
      </c>
      <c r="G530" t="s">
        <v>89</v>
      </c>
      <c r="I530" s="66">
        <v>43433</v>
      </c>
      <c r="J530" s="6">
        <v>5989694.1600000001</v>
      </c>
      <c r="L530">
        <v>5989145.7000000002</v>
      </c>
      <c r="M530">
        <v>0.13400799999999999</v>
      </c>
      <c r="N530">
        <v>6000000</v>
      </c>
      <c r="O530">
        <v>1.35</v>
      </c>
      <c r="P530" t="s">
        <v>42</v>
      </c>
      <c r="Q530" t="s">
        <v>23</v>
      </c>
      <c r="R530" s="66">
        <v>43251</v>
      </c>
      <c r="S530" s="6">
        <f>DataTable[HLD_MaturityDate] - DataTable[SEC_Issue_Date]</f>
        <v>182</v>
      </c>
      <c r="T530" s="66" t="str">
        <f>DataTable[HLD_Portfolio]&amp;DataTable[HLD_Date]</f>
        <v>SCBRM243383</v>
      </c>
      <c r="W530" t="b">
        <f>DataTable[HLD_SecCode]="CB18O18A"</f>
        <v>0</v>
      </c>
    </row>
    <row r="531" spans="1:23" x14ac:dyDescent="0.2">
      <c r="A531" s="66">
        <v>43383</v>
      </c>
      <c r="B531" t="s">
        <v>354</v>
      </c>
      <c r="C531" t="s">
        <v>18</v>
      </c>
      <c r="D531" t="s">
        <v>87</v>
      </c>
      <c r="F531" t="s">
        <v>101</v>
      </c>
      <c r="G531" t="s">
        <v>89</v>
      </c>
      <c r="I531" s="66">
        <v>43384</v>
      </c>
      <c r="J531" s="6">
        <v>74000000</v>
      </c>
      <c r="L531">
        <v>74000000</v>
      </c>
      <c r="M531">
        <v>2.7399999999999998E-3</v>
      </c>
      <c r="N531">
        <v>74000000</v>
      </c>
      <c r="O531">
        <v>1.153378</v>
      </c>
      <c r="P531" t="s">
        <v>42</v>
      </c>
      <c r="Q531" t="s">
        <v>23</v>
      </c>
      <c r="R531" s="66">
        <v>43202</v>
      </c>
      <c r="S531" s="6">
        <f>DataTable[HLD_MaturityDate] - DataTable[SEC_Issue_Date]</f>
        <v>182</v>
      </c>
      <c r="T531" s="66" t="str">
        <f>DataTable[HLD_Portfolio]&amp;DataTable[HLD_Date]</f>
        <v>SCBRM243383</v>
      </c>
      <c r="W531" t="b">
        <f>DataTable[HLD_SecCode]="CB18O18A"</f>
        <v>0</v>
      </c>
    </row>
    <row r="532" spans="1:23" x14ac:dyDescent="0.2">
      <c r="A532" s="66">
        <v>43383</v>
      </c>
      <c r="B532" t="s">
        <v>354</v>
      </c>
      <c r="C532" t="s">
        <v>18</v>
      </c>
      <c r="D532" t="s">
        <v>87</v>
      </c>
      <c r="F532" t="s">
        <v>103</v>
      </c>
      <c r="G532" t="s">
        <v>89</v>
      </c>
      <c r="I532" s="66">
        <v>43389</v>
      </c>
      <c r="J532" s="6">
        <v>149977195.5</v>
      </c>
      <c r="L532">
        <v>149977195.5</v>
      </c>
      <c r="M532">
        <v>1.3696E-2</v>
      </c>
      <c r="N532">
        <v>150000000</v>
      </c>
      <c r="O532">
        <v>1.1100000000000001</v>
      </c>
      <c r="P532" t="s">
        <v>42</v>
      </c>
      <c r="Q532" t="s">
        <v>23</v>
      </c>
      <c r="R532" s="66">
        <v>43375</v>
      </c>
      <c r="S532" s="6">
        <f>DataTable[HLD_MaturityDate] - DataTable[SEC_Issue_Date]</f>
        <v>14</v>
      </c>
      <c r="T532" s="66" t="str">
        <f>DataTable[HLD_Portfolio]&amp;DataTable[HLD_Date]</f>
        <v>SCBRM243383</v>
      </c>
      <c r="W532" t="b">
        <f>DataTable[HLD_SecCode]="CB18O18A"</f>
        <v>0</v>
      </c>
    </row>
    <row r="533" spans="1:23" x14ac:dyDescent="0.2">
      <c r="A533" s="66">
        <v>43383</v>
      </c>
      <c r="B533" t="s">
        <v>354</v>
      </c>
      <c r="C533" t="s">
        <v>18</v>
      </c>
      <c r="D533" t="s">
        <v>87</v>
      </c>
      <c r="F533" t="s">
        <v>104</v>
      </c>
      <c r="G533" t="s">
        <v>89</v>
      </c>
      <c r="I533" s="66">
        <v>43391</v>
      </c>
      <c r="J533" s="6">
        <v>59986654.799999997</v>
      </c>
      <c r="L533">
        <v>59986654.799999997</v>
      </c>
      <c r="M533">
        <v>1.9174E-2</v>
      </c>
      <c r="N533">
        <v>60000000</v>
      </c>
      <c r="O533">
        <v>1.1599999999999999</v>
      </c>
      <c r="P533" t="s">
        <v>42</v>
      </c>
      <c r="Q533" t="s">
        <v>23</v>
      </c>
      <c r="R533" s="66">
        <v>43209</v>
      </c>
      <c r="S533" s="6">
        <f>DataTable[HLD_MaturityDate] - DataTable[SEC_Issue_Date]</f>
        <v>182</v>
      </c>
      <c r="T533" s="66" t="str">
        <f>DataTable[HLD_Portfolio]&amp;DataTable[HLD_Date]</f>
        <v>SCBRM243383</v>
      </c>
      <c r="W533" t="b">
        <f>DataTable[HLD_SecCode]="CB18O18A"</f>
        <v>1</v>
      </c>
    </row>
    <row r="534" spans="1:23" x14ac:dyDescent="0.2">
      <c r="A534" s="66">
        <v>43383</v>
      </c>
      <c r="B534" t="s">
        <v>354</v>
      </c>
      <c r="C534" t="s">
        <v>18</v>
      </c>
      <c r="D534" t="s">
        <v>87</v>
      </c>
      <c r="F534" t="s">
        <v>210</v>
      </c>
      <c r="G534" t="s">
        <v>89</v>
      </c>
      <c r="I534" s="66">
        <v>43468</v>
      </c>
      <c r="J534" s="6">
        <v>534278598.48000002</v>
      </c>
      <c r="L534">
        <v>534263879.92000002</v>
      </c>
      <c r="M534">
        <v>0.22930300000000001</v>
      </c>
      <c r="N534">
        <v>536000000</v>
      </c>
      <c r="O534">
        <v>1.4120109999999999</v>
      </c>
      <c r="P534" t="s">
        <v>42</v>
      </c>
      <c r="Q534" t="s">
        <v>23</v>
      </c>
      <c r="R534" s="66">
        <v>43286</v>
      </c>
      <c r="S534" s="6">
        <f>DataTable[HLD_MaturityDate] - DataTable[SEC_Issue_Date]</f>
        <v>182</v>
      </c>
      <c r="T534" s="66" t="str">
        <f>DataTable[HLD_Portfolio]&amp;DataTable[HLD_Date]</f>
        <v>SCBRM243383</v>
      </c>
      <c r="W534" t="b">
        <f>DataTable[HLD_SecCode]="CB18O18A"</f>
        <v>0</v>
      </c>
    </row>
    <row r="535" spans="1:23" x14ac:dyDescent="0.2">
      <c r="A535" s="66">
        <v>43383</v>
      </c>
      <c r="B535" t="s">
        <v>354</v>
      </c>
      <c r="C535" t="s">
        <v>18</v>
      </c>
      <c r="D535" t="s">
        <v>87</v>
      </c>
      <c r="F535" t="s">
        <v>597</v>
      </c>
      <c r="G535" t="s">
        <v>89</v>
      </c>
      <c r="I535" s="66">
        <v>43475</v>
      </c>
      <c r="J535" s="6">
        <v>36866088.859999999</v>
      </c>
      <c r="L535">
        <v>36869014.079999998</v>
      </c>
      <c r="M535">
        <v>0.24841299999999999</v>
      </c>
      <c r="N535">
        <v>37000000</v>
      </c>
      <c r="O535">
        <v>1.425</v>
      </c>
      <c r="P535" t="s">
        <v>42</v>
      </c>
      <c r="Q535" t="s">
        <v>23</v>
      </c>
      <c r="R535" s="66">
        <v>43293</v>
      </c>
      <c r="S535" s="6">
        <f>DataTable[HLD_MaturityDate] - DataTable[SEC_Issue_Date]</f>
        <v>182</v>
      </c>
      <c r="T535" s="66" t="str">
        <f>DataTable[HLD_Portfolio]&amp;DataTable[HLD_Date]</f>
        <v>SCBRM243383</v>
      </c>
      <c r="W535" t="b">
        <f>DataTable[HLD_SecCode]="CB18O18A"</f>
        <v>0</v>
      </c>
    </row>
    <row r="536" spans="1:23" x14ac:dyDescent="0.2">
      <c r="A536" s="66">
        <v>43383</v>
      </c>
      <c r="B536" t="s">
        <v>354</v>
      </c>
      <c r="C536" t="s">
        <v>18</v>
      </c>
      <c r="D536" t="s">
        <v>87</v>
      </c>
      <c r="F536" t="s">
        <v>598</v>
      </c>
      <c r="G536" t="s">
        <v>89</v>
      </c>
      <c r="I536" s="66">
        <v>43496</v>
      </c>
      <c r="J536" s="6">
        <v>86589494.849999994</v>
      </c>
      <c r="L536">
        <v>86606686.920000002</v>
      </c>
      <c r="M536">
        <v>0.30540099999999998</v>
      </c>
      <c r="N536">
        <v>87000000</v>
      </c>
      <c r="O536">
        <v>1.48</v>
      </c>
      <c r="P536" t="s">
        <v>42</v>
      </c>
      <c r="Q536" t="s">
        <v>23</v>
      </c>
      <c r="R536" s="66">
        <v>43314</v>
      </c>
      <c r="S536" s="6">
        <f>DataTable[HLD_MaturityDate] - DataTable[SEC_Issue_Date]</f>
        <v>182</v>
      </c>
      <c r="T536" s="66" t="str">
        <f>DataTable[HLD_Portfolio]&amp;DataTable[HLD_Date]</f>
        <v>SCBRM243383</v>
      </c>
      <c r="W536" t="b">
        <f>DataTable[HLD_SecCode]="CB18O18A"</f>
        <v>0</v>
      </c>
    </row>
    <row r="537" spans="1:23" x14ac:dyDescent="0.2">
      <c r="A537" s="66">
        <v>43383</v>
      </c>
      <c r="B537" t="s">
        <v>354</v>
      </c>
      <c r="C537" t="s">
        <v>18</v>
      </c>
      <c r="D537" t="s">
        <v>87</v>
      </c>
      <c r="F537" t="s">
        <v>599</v>
      </c>
      <c r="G537" t="s">
        <v>89</v>
      </c>
      <c r="I537" s="66">
        <v>43510</v>
      </c>
      <c r="J537" s="6">
        <v>68620986.450000003</v>
      </c>
      <c r="L537">
        <v>68646722.760000005</v>
      </c>
      <c r="M537">
        <v>0.34330899999999998</v>
      </c>
      <c r="N537">
        <v>69000000</v>
      </c>
      <c r="O537">
        <v>1.4907969999999999</v>
      </c>
      <c r="P537" t="s">
        <v>42</v>
      </c>
      <c r="Q537" t="s">
        <v>23</v>
      </c>
      <c r="R537" s="66">
        <v>43328</v>
      </c>
      <c r="S537" s="6">
        <f>DataTable[HLD_MaturityDate] - DataTable[SEC_Issue_Date]</f>
        <v>182</v>
      </c>
      <c r="T537" s="66" t="str">
        <f>DataTable[HLD_Portfolio]&amp;DataTable[HLD_Date]</f>
        <v>SCBRM243383</v>
      </c>
      <c r="W537" t="b">
        <f>DataTable[HLD_SecCode]="CB18O18A"</f>
        <v>0</v>
      </c>
    </row>
    <row r="538" spans="1:23" x14ac:dyDescent="0.2">
      <c r="A538" s="66">
        <v>43383</v>
      </c>
      <c r="B538" t="s">
        <v>354</v>
      </c>
      <c r="C538" t="s">
        <v>18</v>
      </c>
      <c r="D538" t="s">
        <v>87</v>
      </c>
      <c r="F538" t="s">
        <v>600</v>
      </c>
      <c r="G538" t="s">
        <v>89</v>
      </c>
      <c r="I538" s="66">
        <v>43524</v>
      </c>
      <c r="J538" s="6">
        <v>126225357.15000001</v>
      </c>
      <c r="L538">
        <v>126296373.01000001</v>
      </c>
      <c r="M538">
        <v>0.38122200000000001</v>
      </c>
      <c r="N538">
        <v>127000000</v>
      </c>
      <c r="O538">
        <v>1.4524999999999999</v>
      </c>
      <c r="P538" t="s">
        <v>42</v>
      </c>
      <c r="Q538" t="s">
        <v>23</v>
      </c>
      <c r="R538" s="66">
        <v>43342</v>
      </c>
      <c r="S538" s="6">
        <f>DataTable[HLD_MaturityDate] - DataTable[SEC_Issue_Date]</f>
        <v>182</v>
      </c>
      <c r="T538" s="66" t="str">
        <f>DataTable[HLD_Portfolio]&amp;DataTable[HLD_Date]</f>
        <v>SCBRM243383</v>
      </c>
      <c r="W538" t="b">
        <f>DataTable[HLD_SecCode]="CB18O18A"</f>
        <v>0</v>
      </c>
    </row>
    <row r="539" spans="1:23" x14ac:dyDescent="0.2">
      <c r="A539" s="66">
        <v>43383</v>
      </c>
      <c r="B539" t="s">
        <v>354</v>
      </c>
      <c r="C539" t="s">
        <v>18</v>
      </c>
      <c r="D539" t="s">
        <v>87</v>
      </c>
      <c r="F539" t="s">
        <v>601</v>
      </c>
      <c r="G539" t="s">
        <v>89</v>
      </c>
      <c r="I539" s="66">
        <v>43531</v>
      </c>
      <c r="J539" s="6">
        <v>17885186.100000001</v>
      </c>
      <c r="L539">
        <v>17887616.82</v>
      </c>
      <c r="M539">
        <v>0.400171</v>
      </c>
      <c r="N539">
        <v>18000000</v>
      </c>
      <c r="O539">
        <v>1.56</v>
      </c>
      <c r="P539" t="s">
        <v>42</v>
      </c>
      <c r="Q539" t="s">
        <v>23</v>
      </c>
      <c r="R539" s="66">
        <v>43349</v>
      </c>
      <c r="S539" s="6">
        <f>DataTable[HLD_MaturityDate] - DataTable[SEC_Issue_Date]</f>
        <v>182</v>
      </c>
      <c r="T539" s="66" t="str">
        <f>DataTable[HLD_Portfolio]&amp;DataTable[HLD_Date]</f>
        <v>SCBRM243383</v>
      </c>
      <c r="W539" t="b">
        <f>DataTable[HLD_SecCode]="CB18O18A"</f>
        <v>0</v>
      </c>
    </row>
    <row r="540" spans="1:23" x14ac:dyDescent="0.2">
      <c r="A540" s="66">
        <v>43383</v>
      </c>
      <c r="B540" t="s">
        <v>354</v>
      </c>
      <c r="C540" t="s">
        <v>18</v>
      </c>
      <c r="D540" t="s">
        <v>87</v>
      </c>
      <c r="F540" t="s">
        <v>544</v>
      </c>
      <c r="G540" t="s">
        <v>89</v>
      </c>
      <c r="I540" s="66">
        <v>43538</v>
      </c>
      <c r="J540" s="6">
        <v>251356198.28</v>
      </c>
      <c r="L540">
        <v>251424381.78</v>
      </c>
      <c r="M540">
        <v>0.41917700000000002</v>
      </c>
      <c r="N540">
        <v>253000000</v>
      </c>
      <c r="O540">
        <v>1.485306</v>
      </c>
      <c r="P540" t="s">
        <v>42</v>
      </c>
      <c r="Q540" t="s">
        <v>23</v>
      </c>
      <c r="R540" s="66">
        <v>43174</v>
      </c>
      <c r="S540" s="6">
        <f>DataTable[HLD_MaturityDate] - DataTable[SEC_Issue_Date]</f>
        <v>364</v>
      </c>
      <c r="T540" s="66" t="str">
        <f>DataTable[HLD_Portfolio]&amp;DataTable[HLD_Date]</f>
        <v>SCBRM243383</v>
      </c>
      <c r="W540" t="b">
        <f>DataTable[HLD_SecCode]="CB18O18A"</f>
        <v>0</v>
      </c>
    </row>
    <row r="541" spans="1:23" x14ac:dyDescent="0.2">
      <c r="A541" s="66">
        <v>43383</v>
      </c>
      <c r="B541" t="s">
        <v>354</v>
      </c>
      <c r="C541" t="s">
        <v>18</v>
      </c>
      <c r="D541" t="s">
        <v>87</v>
      </c>
      <c r="F541" t="s">
        <v>602</v>
      </c>
      <c r="G541" t="s">
        <v>89</v>
      </c>
      <c r="I541" s="66">
        <v>43545</v>
      </c>
      <c r="J541" s="6">
        <v>86371382.370000005</v>
      </c>
      <c r="L541">
        <v>86381947.650000006</v>
      </c>
      <c r="M541">
        <v>0.43790899999999999</v>
      </c>
      <c r="N541">
        <v>87000000</v>
      </c>
      <c r="O541">
        <v>1.622069</v>
      </c>
      <c r="P541" t="s">
        <v>42</v>
      </c>
      <c r="Q541" t="s">
        <v>23</v>
      </c>
      <c r="R541" s="66">
        <v>43363</v>
      </c>
      <c r="S541" s="6">
        <f>DataTable[HLD_MaturityDate] - DataTable[SEC_Issue_Date]</f>
        <v>182</v>
      </c>
      <c r="T541" s="66" t="str">
        <f>DataTable[HLD_Portfolio]&amp;DataTable[HLD_Date]</f>
        <v>SCBRM243383</v>
      </c>
      <c r="W541" t="b">
        <f>DataTable[HLD_SecCode]="CB18O18A"</f>
        <v>0</v>
      </c>
    </row>
    <row r="542" spans="1:23" x14ac:dyDescent="0.2">
      <c r="A542" s="66">
        <v>43383</v>
      </c>
      <c r="B542" t="s">
        <v>354</v>
      </c>
      <c r="C542" t="s">
        <v>18</v>
      </c>
      <c r="D542" t="s">
        <v>87</v>
      </c>
      <c r="F542" t="s">
        <v>603</v>
      </c>
      <c r="G542" t="s">
        <v>89</v>
      </c>
      <c r="I542" s="66">
        <v>43552</v>
      </c>
      <c r="J542" s="6">
        <v>259062354.27000001</v>
      </c>
      <c r="L542">
        <v>259127465.94</v>
      </c>
      <c r="M542">
        <v>0.45685700000000001</v>
      </c>
      <c r="N542">
        <v>261000000</v>
      </c>
      <c r="O542">
        <v>1.57</v>
      </c>
      <c r="P542" t="s">
        <v>42</v>
      </c>
      <c r="Q542" t="s">
        <v>23</v>
      </c>
      <c r="R542" s="66">
        <v>43370</v>
      </c>
      <c r="S542" s="6">
        <f>DataTable[HLD_MaturityDate] - DataTable[SEC_Issue_Date]</f>
        <v>182</v>
      </c>
      <c r="T542" s="66" t="str">
        <f>DataTable[HLD_Portfolio]&amp;DataTable[HLD_Date]</f>
        <v>SCBRM243383</v>
      </c>
      <c r="W542" t="b">
        <f>DataTable[HLD_SecCode]="CB18O18A"</f>
        <v>0</v>
      </c>
    </row>
    <row r="543" spans="1:23" x14ac:dyDescent="0.2">
      <c r="A543" s="66">
        <v>43383</v>
      </c>
      <c r="B543" t="s">
        <v>354</v>
      </c>
      <c r="C543" t="s">
        <v>18</v>
      </c>
      <c r="D543" t="s">
        <v>87</v>
      </c>
      <c r="F543" t="s">
        <v>604</v>
      </c>
      <c r="G543" t="s">
        <v>89</v>
      </c>
      <c r="I543" s="66">
        <v>43559</v>
      </c>
      <c r="J543" s="6">
        <v>192477319.22</v>
      </c>
      <c r="L543">
        <v>192525400.18000001</v>
      </c>
      <c r="M543">
        <v>0.47568899999999997</v>
      </c>
      <c r="N543">
        <v>194000000</v>
      </c>
      <c r="O543">
        <v>1.5974999999999999</v>
      </c>
      <c r="P543" t="s">
        <v>42</v>
      </c>
      <c r="Q543" t="s">
        <v>23</v>
      </c>
      <c r="R543" s="66">
        <v>43377</v>
      </c>
      <c r="S543" s="6">
        <f>DataTable[HLD_MaturityDate] - DataTable[SEC_Issue_Date]</f>
        <v>182</v>
      </c>
      <c r="T543" s="66" t="str">
        <f>DataTable[HLD_Portfolio]&amp;DataTable[HLD_Date]</f>
        <v>SCBRM243383</v>
      </c>
      <c r="W543" t="b">
        <f>DataTable[HLD_SecCode]="CB18O18A"</f>
        <v>0</v>
      </c>
    </row>
    <row r="544" spans="1:23" x14ac:dyDescent="0.2">
      <c r="A544" s="66">
        <v>43383</v>
      </c>
      <c r="B544" t="s">
        <v>354</v>
      </c>
      <c r="C544" t="s">
        <v>18</v>
      </c>
      <c r="D544" t="s">
        <v>87</v>
      </c>
      <c r="F544" t="s">
        <v>605</v>
      </c>
      <c r="G544" t="s">
        <v>89</v>
      </c>
      <c r="I544" s="66">
        <v>43622</v>
      </c>
      <c r="J544" s="6">
        <v>131524903.65000001</v>
      </c>
      <c r="L544">
        <v>131647960.56999999</v>
      </c>
      <c r="M544">
        <v>0.64482300000000004</v>
      </c>
      <c r="N544">
        <v>133000000</v>
      </c>
      <c r="O544">
        <v>1.5750379999999999</v>
      </c>
      <c r="P544" t="s">
        <v>42</v>
      </c>
      <c r="Q544" t="s">
        <v>23</v>
      </c>
      <c r="R544" s="66">
        <v>43258</v>
      </c>
      <c r="S544" s="6">
        <f>DataTable[HLD_MaturityDate] - DataTable[SEC_Issue_Date]</f>
        <v>364</v>
      </c>
      <c r="T544" s="66" t="str">
        <f>DataTable[HLD_Portfolio]&amp;DataTable[HLD_Date]</f>
        <v>SCBRM243383</v>
      </c>
      <c r="W544" t="b">
        <f>DataTable[HLD_SecCode]="CB18O18A"</f>
        <v>0</v>
      </c>
    </row>
    <row r="545" spans="1:23" x14ac:dyDescent="0.2">
      <c r="A545" s="66">
        <v>43383</v>
      </c>
      <c r="B545" t="s">
        <v>354</v>
      </c>
      <c r="C545" t="s">
        <v>18</v>
      </c>
      <c r="D545" t="s">
        <v>87</v>
      </c>
      <c r="F545" t="s">
        <v>606</v>
      </c>
      <c r="G545" t="s">
        <v>89</v>
      </c>
      <c r="I545" s="66">
        <v>43713</v>
      </c>
      <c r="J545" s="6">
        <v>614051068.79999995</v>
      </c>
      <c r="L545">
        <v>614401632</v>
      </c>
      <c r="M545">
        <v>0.88699899999999998</v>
      </c>
      <c r="N545">
        <v>624000000</v>
      </c>
      <c r="O545">
        <v>1.7331730000000001</v>
      </c>
      <c r="P545" t="s">
        <v>42</v>
      </c>
      <c r="Q545" t="s">
        <v>23</v>
      </c>
      <c r="R545" s="66">
        <v>43349</v>
      </c>
      <c r="S545" s="6">
        <f>DataTable[HLD_MaturityDate] - DataTable[SEC_Issue_Date]</f>
        <v>364</v>
      </c>
      <c r="T545" s="66" t="str">
        <f>DataTable[HLD_Portfolio]&amp;DataTable[HLD_Date]</f>
        <v>SCBRM243383</v>
      </c>
      <c r="W545" t="b">
        <f>DataTable[HLD_SecCode]="CB18O18A"</f>
        <v>0</v>
      </c>
    </row>
    <row r="546" spans="1:23" x14ac:dyDescent="0.2">
      <c r="A546" s="66">
        <v>43383</v>
      </c>
      <c r="B546" t="s">
        <v>354</v>
      </c>
      <c r="C546" t="s">
        <v>18</v>
      </c>
      <c r="D546" t="s">
        <v>112</v>
      </c>
      <c r="F546" t="s">
        <v>607</v>
      </c>
      <c r="G546" t="s">
        <v>89</v>
      </c>
      <c r="I546" s="66">
        <v>43545</v>
      </c>
      <c r="J546" s="6">
        <v>29974838.699999999</v>
      </c>
      <c r="K546">
        <v>24657.599999999999</v>
      </c>
      <c r="L546">
        <v>30014585.100000001</v>
      </c>
      <c r="M546">
        <v>0.43736700000000001</v>
      </c>
      <c r="N546">
        <v>30000000</v>
      </c>
      <c r="O546">
        <v>1.4025000000000001</v>
      </c>
      <c r="P546" t="s">
        <v>42</v>
      </c>
      <c r="Q546" t="s">
        <v>23</v>
      </c>
      <c r="R546" s="66">
        <v>42450</v>
      </c>
      <c r="S546" s="6">
        <f>DataTable[HLD_MaturityDate] - DataTable[SEC_Issue_Date]</f>
        <v>1095</v>
      </c>
      <c r="T546" s="66" t="str">
        <f>DataTable[HLD_Portfolio]&amp;DataTable[HLD_Date]</f>
        <v>SCBRM243383</v>
      </c>
      <c r="W546" t="b">
        <f>DataTable[HLD_SecCode]="CB18O18A"</f>
        <v>0</v>
      </c>
    </row>
    <row r="547" spans="1:23" x14ac:dyDescent="0.2">
      <c r="A547" s="66">
        <v>43383</v>
      </c>
      <c r="B547" t="s">
        <v>354</v>
      </c>
      <c r="C547" t="s">
        <v>18</v>
      </c>
      <c r="D547" t="s">
        <v>112</v>
      </c>
      <c r="F547" t="s">
        <v>546</v>
      </c>
      <c r="G547" t="s">
        <v>89</v>
      </c>
      <c r="I547" s="66">
        <v>43720</v>
      </c>
      <c r="J547" s="6">
        <v>239667580.80000001</v>
      </c>
      <c r="K547">
        <v>314630.40000000002</v>
      </c>
      <c r="L547">
        <v>239952633.59999999</v>
      </c>
      <c r="M547">
        <v>0.90416099999999999</v>
      </c>
      <c r="N547">
        <v>240000000</v>
      </c>
      <c r="O547">
        <v>1.67875</v>
      </c>
      <c r="P547" t="s">
        <v>42</v>
      </c>
      <c r="Q547" t="s">
        <v>23</v>
      </c>
      <c r="R547" s="66">
        <v>42625</v>
      </c>
      <c r="S547" s="6">
        <f>DataTable[HLD_MaturityDate] - DataTable[SEC_Issue_Date]</f>
        <v>1095</v>
      </c>
      <c r="T547" s="66" t="str">
        <f>DataTable[HLD_Portfolio]&amp;DataTable[HLD_Date]</f>
        <v>SCBRM243383</v>
      </c>
      <c r="W547" t="b">
        <f>DataTable[HLD_SecCode]="CB18O18A"</f>
        <v>0</v>
      </c>
    </row>
    <row r="548" spans="1:23" x14ac:dyDescent="0.2">
      <c r="A548" s="66">
        <v>43383</v>
      </c>
      <c r="B548" t="s">
        <v>354</v>
      </c>
      <c r="C548" t="s">
        <v>18</v>
      </c>
      <c r="D548" t="s">
        <v>112</v>
      </c>
      <c r="F548" t="s">
        <v>608</v>
      </c>
      <c r="G548" t="s">
        <v>89</v>
      </c>
      <c r="I548" s="66">
        <v>43917</v>
      </c>
      <c r="J548" s="6">
        <v>392015586.08999997</v>
      </c>
      <c r="K548">
        <v>266807.7</v>
      </c>
      <c r="L548">
        <v>393120599.91000003</v>
      </c>
      <c r="M548">
        <v>1.4304479999999999</v>
      </c>
      <c r="N548">
        <v>393000000</v>
      </c>
      <c r="O548">
        <v>1.7534510000000001</v>
      </c>
      <c r="P548" t="s">
        <v>42</v>
      </c>
      <c r="Q548" t="s">
        <v>23</v>
      </c>
      <c r="R548" s="66">
        <v>42821</v>
      </c>
      <c r="S548" s="6">
        <f>DataTable[HLD_MaturityDate] - DataTable[SEC_Issue_Date]</f>
        <v>1096</v>
      </c>
      <c r="T548" s="66" t="str">
        <f>DataTable[HLD_Portfolio]&amp;DataTable[HLD_Date]</f>
        <v>SCBRM243383</v>
      </c>
      <c r="W548" t="b">
        <f>DataTable[HLD_SecCode]="CB18O18A"</f>
        <v>0</v>
      </c>
    </row>
    <row r="549" spans="1:23" x14ac:dyDescent="0.2">
      <c r="A549" s="66">
        <v>43383</v>
      </c>
      <c r="B549" t="s">
        <v>354</v>
      </c>
      <c r="C549" t="s">
        <v>18</v>
      </c>
      <c r="D549" t="s">
        <v>112</v>
      </c>
      <c r="F549" t="s">
        <v>547</v>
      </c>
      <c r="G549" t="s">
        <v>89</v>
      </c>
      <c r="I549" s="66">
        <v>44099</v>
      </c>
      <c r="J549" s="6">
        <v>341394518.52999997</v>
      </c>
      <c r="K549">
        <v>237091.79</v>
      </c>
      <c r="L549">
        <v>344970538.76999998</v>
      </c>
      <c r="M549">
        <v>1.909146</v>
      </c>
      <c r="N549">
        <v>344500000</v>
      </c>
      <c r="O549">
        <v>1.50197</v>
      </c>
      <c r="P549" t="s">
        <v>42</v>
      </c>
      <c r="Q549" t="s">
        <v>23</v>
      </c>
      <c r="R549" s="66">
        <v>43003</v>
      </c>
      <c r="S549" s="6">
        <f>DataTable[HLD_MaturityDate] - DataTable[SEC_Issue_Date]</f>
        <v>1096</v>
      </c>
      <c r="T549" s="66" t="str">
        <f>DataTable[HLD_Portfolio]&amp;DataTable[HLD_Date]</f>
        <v>SCBRM243383</v>
      </c>
      <c r="W549" t="b">
        <f>DataTable[HLD_SecCode]="CB18O18A"</f>
        <v>0</v>
      </c>
    </row>
    <row r="550" spans="1:23" x14ac:dyDescent="0.2">
      <c r="A550" s="66">
        <v>43383</v>
      </c>
      <c r="B550" t="s">
        <v>354</v>
      </c>
      <c r="C550" t="s">
        <v>18</v>
      </c>
      <c r="D550" t="s">
        <v>112</v>
      </c>
      <c r="F550" t="s">
        <v>609</v>
      </c>
      <c r="G550" t="s">
        <v>85</v>
      </c>
      <c r="H550" t="s">
        <v>29</v>
      </c>
      <c r="I550" s="66">
        <v>44391</v>
      </c>
      <c r="J550" s="6">
        <v>82296000.359999999</v>
      </c>
      <c r="K550">
        <v>241088.72</v>
      </c>
      <c r="L550">
        <v>82430097.040000007</v>
      </c>
      <c r="M550">
        <v>2.6990980000000002</v>
      </c>
      <c r="N550">
        <v>76000000</v>
      </c>
      <c r="O550">
        <v>1.1913860000000001</v>
      </c>
      <c r="P550" t="s">
        <v>42</v>
      </c>
      <c r="Q550" t="s">
        <v>23</v>
      </c>
      <c r="R550" s="66">
        <v>40738</v>
      </c>
      <c r="S550" s="6">
        <f>DataTable[HLD_MaturityDate] - DataTable[SEC_Issue_Date]</f>
        <v>3653</v>
      </c>
      <c r="T550" s="66" t="str">
        <f>DataTable[HLD_Portfolio]&amp;DataTable[HLD_Date]</f>
        <v>SCBRM243383</v>
      </c>
      <c r="W550" t="b">
        <f>DataTable[HLD_SecCode]="CB18O18A"</f>
        <v>0</v>
      </c>
    </row>
    <row r="551" spans="1:23" x14ac:dyDescent="0.2">
      <c r="A551" s="66">
        <v>43383</v>
      </c>
      <c r="B551" t="s">
        <v>354</v>
      </c>
      <c r="C551" t="s">
        <v>18</v>
      </c>
      <c r="D551" t="s">
        <v>112</v>
      </c>
      <c r="F551" t="s">
        <v>610</v>
      </c>
      <c r="G551" t="s">
        <v>85</v>
      </c>
      <c r="H551" t="s">
        <v>29</v>
      </c>
      <c r="I551" s="66">
        <v>44729</v>
      </c>
      <c r="J551" s="6">
        <v>139850054.68000001</v>
      </c>
      <c r="K551">
        <v>846163.8</v>
      </c>
      <c r="L551">
        <v>140138304.74000001</v>
      </c>
      <c r="M551">
        <v>3.5141149999999999</v>
      </c>
      <c r="N551">
        <v>142000000</v>
      </c>
      <c r="O551">
        <v>2.246769</v>
      </c>
      <c r="P551" t="s">
        <v>42</v>
      </c>
      <c r="Q551" t="s">
        <v>23</v>
      </c>
      <c r="R551" s="66">
        <v>42566</v>
      </c>
      <c r="S551" s="6">
        <f>DataTable[HLD_MaturityDate] - DataTable[SEC_Issue_Date]</f>
        <v>2163</v>
      </c>
      <c r="T551" s="66" t="str">
        <f>DataTable[HLD_Portfolio]&amp;DataTable[HLD_Date]</f>
        <v>SCBRM243383</v>
      </c>
      <c r="W551" t="b">
        <f>DataTable[HLD_SecCode]="CB18O18A"</f>
        <v>0</v>
      </c>
    </row>
    <row r="552" spans="1:23" x14ac:dyDescent="0.2">
      <c r="A552" s="66">
        <v>43383</v>
      </c>
      <c r="B552" t="s">
        <v>354</v>
      </c>
      <c r="C552" t="s">
        <v>18</v>
      </c>
      <c r="D552" t="s">
        <v>112</v>
      </c>
      <c r="F552" t="s">
        <v>611</v>
      </c>
      <c r="G552" t="s">
        <v>85</v>
      </c>
      <c r="H552" t="s">
        <v>29</v>
      </c>
      <c r="I552" s="66">
        <v>44912</v>
      </c>
      <c r="J552" s="6">
        <v>110935204.87</v>
      </c>
      <c r="K552">
        <v>715068</v>
      </c>
      <c r="L552">
        <v>113311398.38</v>
      </c>
      <c r="M552">
        <v>3.961233</v>
      </c>
      <c r="N552">
        <v>112500000</v>
      </c>
      <c r="O552">
        <v>1.819229</v>
      </c>
      <c r="P552" t="s">
        <v>42</v>
      </c>
      <c r="Q552" t="s">
        <v>23</v>
      </c>
      <c r="R552" s="66">
        <v>42951</v>
      </c>
      <c r="S552" s="6">
        <f>DataTable[HLD_MaturityDate] - DataTable[SEC_Issue_Date]</f>
        <v>1961</v>
      </c>
      <c r="T552" s="66" t="str">
        <f>DataTable[HLD_Portfolio]&amp;DataTable[HLD_Date]</f>
        <v>SCBRM243383</v>
      </c>
      <c r="W552" t="b">
        <f>DataTable[HLD_SecCode]="CB18O18A"</f>
        <v>0</v>
      </c>
    </row>
    <row r="553" spans="1:23" x14ac:dyDescent="0.2">
      <c r="A553" s="66">
        <v>43383</v>
      </c>
      <c r="B553" t="s">
        <v>354</v>
      </c>
      <c r="C553" t="s">
        <v>18</v>
      </c>
      <c r="D553" t="s">
        <v>112</v>
      </c>
      <c r="F553" t="s">
        <v>612</v>
      </c>
      <c r="G553" t="s">
        <v>85</v>
      </c>
      <c r="H553" t="s">
        <v>29</v>
      </c>
      <c r="I553" s="66">
        <v>45277</v>
      </c>
      <c r="J553" s="6">
        <v>56882765.82</v>
      </c>
      <c r="K553">
        <v>206137.08</v>
      </c>
      <c r="L553">
        <v>57156199.950000003</v>
      </c>
      <c r="M553">
        <v>4.8279420000000002</v>
      </c>
      <c r="N553">
        <v>57000000</v>
      </c>
      <c r="O553">
        <v>2.3435640000000002</v>
      </c>
      <c r="P553" t="s">
        <v>42</v>
      </c>
      <c r="Q553" t="s">
        <v>23</v>
      </c>
      <c r="R553" s="66">
        <v>43329</v>
      </c>
      <c r="S553" s="6">
        <f>DataTable[HLD_MaturityDate] - DataTable[SEC_Issue_Date]</f>
        <v>1948</v>
      </c>
      <c r="T553" s="66" t="str">
        <f>DataTable[HLD_Portfolio]&amp;DataTable[HLD_Date]</f>
        <v>SCBRM243383</v>
      </c>
      <c r="W553" t="b">
        <f>DataTable[HLD_SecCode]="CB18O18A"</f>
        <v>0</v>
      </c>
    </row>
    <row r="554" spans="1:23" hidden="1" x14ac:dyDescent="0.2">
      <c r="A554" s="66">
        <v>43383</v>
      </c>
      <c r="B554" t="s">
        <v>354</v>
      </c>
      <c r="C554" t="s">
        <v>18</v>
      </c>
      <c r="D554" t="s">
        <v>112</v>
      </c>
      <c r="F554" t="s">
        <v>613</v>
      </c>
      <c r="G554" t="s">
        <v>614</v>
      </c>
      <c r="I554" s="66">
        <v>44661</v>
      </c>
      <c r="J554" s="6">
        <v>105570724</v>
      </c>
      <c r="K554">
        <v>10973</v>
      </c>
      <c r="L554">
        <v>103401306</v>
      </c>
      <c r="M554">
        <v>3.2646130000000002</v>
      </c>
      <c r="N554">
        <v>100000000</v>
      </c>
      <c r="O554">
        <v>2.9750000000000001</v>
      </c>
      <c r="P554" t="s">
        <v>42</v>
      </c>
      <c r="Q554" t="s">
        <v>23</v>
      </c>
      <c r="R554" s="66">
        <v>41009</v>
      </c>
      <c r="S554" s="6">
        <f>DataTable[HLD_MaturityDate] - DataTable[SEC_Issue_Date]</f>
        <v>3652</v>
      </c>
      <c r="T554" s="66" t="str">
        <f>DataTable[HLD_Portfolio]&amp;DataTable[HLD_Date]</f>
        <v>SCBRM243383</v>
      </c>
      <c r="W554" t="b">
        <f>DataTable[HLD_SecCode]="CB18O18A"</f>
        <v>0</v>
      </c>
    </row>
    <row r="555" spans="1:23" hidden="1" x14ac:dyDescent="0.2">
      <c r="A555" s="66">
        <v>43383</v>
      </c>
      <c r="B555" t="s">
        <v>354</v>
      </c>
      <c r="C555" t="s">
        <v>18</v>
      </c>
      <c r="D555" t="s">
        <v>109</v>
      </c>
      <c r="F555" t="s">
        <v>551</v>
      </c>
      <c r="G555" t="s">
        <v>192</v>
      </c>
      <c r="H555" t="s">
        <v>51</v>
      </c>
      <c r="I555" s="66">
        <v>44016</v>
      </c>
      <c r="J555" s="6">
        <v>10335701.4</v>
      </c>
      <c r="K555">
        <v>118257.5</v>
      </c>
      <c r="L555">
        <v>10363200.4</v>
      </c>
      <c r="M555">
        <v>1.6516580000000001</v>
      </c>
      <c r="N555">
        <v>10000000</v>
      </c>
      <c r="O555">
        <v>2.2000000000000002</v>
      </c>
      <c r="P555" t="s">
        <v>42</v>
      </c>
      <c r="Q555" t="s">
        <v>23</v>
      </c>
      <c r="R555" s="66">
        <v>41824</v>
      </c>
      <c r="S555" s="6">
        <f>DataTable[HLD_MaturityDate] - DataTable[SEC_Issue_Date]</f>
        <v>2192</v>
      </c>
      <c r="T555" s="66" t="str">
        <f>DataTable[HLD_Portfolio]&amp;DataTable[HLD_Date]</f>
        <v>SCBRM243383</v>
      </c>
      <c r="W555" t="b">
        <f>DataTable[HLD_SecCode]="CB18O18A"</f>
        <v>0</v>
      </c>
    </row>
    <row r="556" spans="1:23" hidden="1" x14ac:dyDescent="0.2">
      <c r="A556" s="66">
        <v>43383</v>
      </c>
      <c r="B556" t="s">
        <v>354</v>
      </c>
      <c r="C556" t="s">
        <v>18</v>
      </c>
      <c r="D556" t="s">
        <v>109</v>
      </c>
      <c r="F556" t="s">
        <v>498</v>
      </c>
      <c r="G556" t="s">
        <v>192</v>
      </c>
      <c r="H556" t="s">
        <v>51</v>
      </c>
      <c r="I556" s="66">
        <v>46498</v>
      </c>
      <c r="J556" s="6">
        <v>62515755.600000001</v>
      </c>
      <c r="K556">
        <v>1185879.2</v>
      </c>
      <c r="L556">
        <v>60000000</v>
      </c>
      <c r="M556">
        <v>7.1726489999999998</v>
      </c>
      <c r="N556">
        <v>60000000</v>
      </c>
      <c r="O556">
        <v>4.17</v>
      </c>
      <c r="P556" t="s">
        <v>42</v>
      </c>
      <c r="Q556" t="s">
        <v>23</v>
      </c>
      <c r="R556" s="66">
        <v>42846</v>
      </c>
      <c r="S556" s="6">
        <f>DataTable[HLD_MaturityDate] - DataTable[SEC_Issue_Date]</f>
        <v>3652</v>
      </c>
      <c r="T556" s="66" t="str">
        <f>DataTable[HLD_Portfolio]&amp;DataTable[HLD_Date]</f>
        <v>SCBRM243383</v>
      </c>
      <c r="W556" t="b">
        <f>DataTable[HLD_SecCode]="CB18O18A"</f>
        <v>0</v>
      </c>
    </row>
    <row r="557" spans="1:23" hidden="1" x14ac:dyDescent="0.2">
      <c r="A557" s="66">
        <v>43383</v>
      </c>
      <c r="B557" t="s">
        <v>354</v>
      </c>
      <c r="C557" t="s">
        <v>18</v>
      </c>
      <c r="D557" t="s">
        <v>109</v>
      </c>
      <c r="F557" t="s">
        <v>615</v>
      </c>
      <c r="G557" t="s">
        <v>501</v>
      </c>
      <c r="H557" t="s">
        <v>47</v>
      </c>
      <c r="I557" s="66">
        <v>44125</v>
      </c>
      <c r="J557" s="6">
        <v>25095569</v>
      </c>
      <c r="K557">
        <v>310452.01</v>
      </c>
      <c r="L557">
        <v>25000000</v>
      </c>
      <c r="M557">
        <v>1.9651860000000001</v>
      </c>
      <c r="N557">
        <v>25000000</v>
      </c>
      <c r="O557">
        <v>2.62</v>
      </c>
      <c r="P557" t="s">
        <v>42</v>
      </c>
      <c r="Q557" t="s">
        <v>23</v>
      </c>
      <c r="R557" s="66">
        <v>42664</v>
      </c>
      <c r="S557" s="6">
        <f>DataTable[HLD_MaturityDate] - DataTable[SEC_Issue_Date]</f>
        <v>1461</v>
      </c>
      <c r="T557" s="66" t="str">
        <f>DataTable[HLD_Portfolio]&amp;DataTable[HLD_Date]</f>
        <v>SCBRM243383</v>
      </c>
      <c r="W557" t="b">
        <f>DataTable[HLD_SecCode]="CB18O18A"</f>
        <v>0</v>
      </c>
    </row>
    <row r="558" spans="1:23" hidden="1" x14ac:dyDescent="0.2">
      <c r="A558" s="66">
        <v>43383</v>
      </c>
      <c r="B558" t="s">
        <v>354</v>
      </c>
      <c r="C558" t="s">
        <v>18</v>
      </c>
      <c r="D558" t="s">
        <v>109</v>
      </c>
      <c r="F558" t="s">
        <v>616</v>
      </c>
      <c r="G558" t="s">
        <v>501</v>
      </c>
      <c r="H558" t="s">
        <v>47</v>
      </c>
      <c r="I558" s="66">
        <v>44811</v>
      </c>
      <c r="J558" s="6">
        <v>15762303.199999999</v>
      </c>
      <c r="K558">
        <v>39495.839999999997</v>
      </c>
      <c r="L558">
        <v>16000000</v>
      </c>
      <c r="M558">
        <v>3.6665969999999999</v>
      </c>
      <c r="N558">
        <v>16000000</v>
      </c>
      <c r="O558">
        <v>2.65</v>
      </c>
      <c r="P558" t="s">
        <v>42</v>
      </c>
      <c r="Q558" t="s">
        <v>23</v>
      </c>
      <c r="R558" s="66">
        <v>42985</v>
      </c>
      <c r="S558" s="6">
        <f>DataTable[HLD_MaturityDate] - DataTable[SEC_Issue_Date]</f>
        <v>1826</v>
      </c>
      <c r="T558" s="66" t="str">
        <f>DataTable[HLD_Portfolio]&amp;DataTable[HLD_Date]</f>
        <v>SCBRM243383</v>
      </c>
      <c r="W558" t="b">
        <f>DataTable[HLD_SecCode]="CB18O18A"</f>
        <v>0</v>
      </c>
    </row>
    <row r="559" spans="1:23" hidden="1" x14ac:dyDescent="0.2">
      <c r="A559" s="66">
        <v>43383</v>
      </c>
      <c r="B559" t="s">
        <v>354</v>
      </c>
      <c r="C559" t="s">
        <v>18</v>
      </c>
      <c r="D559" t="s">
        <v>109</v>
      </c>
      <c r="F559" t="s">
        <v>617</v>
      </c>
      <c r="G559" t="s">
        <v>255</v>
      </c>
      <c r="H559" t="s">
        <v>51</v>
      </c>
      <c r="I559" s="66">
        <v>43914</v>
      </c>
      <c r="J559" s="6">
        <v>95665980.400000006</v>
      </c>
      <c r="K559">
        <v>132739.70000000001</v>
      </c>
      <c r="L559">
        <v>96350743.25</v>
      </c>
      <c r="M559">
        <v>1.4096340000000001</v>
      </c>
      <c r="N559">
        <v>95000000</v>
      </c>
      <c r="O559">
        <v>2.007895</v>
      </c>
      <c r="P559" t="s">
        <v>42</v>
      </c>
      <c r="Q559" t="s">
        <v>23</v>
      </c>
      <c r="R559" s="66">
        <v>42818</v>
      </c>
      <c r="S559" s="6">
        <f>DataTable[HLD_MaturityDate] - DataTable[SEC_Issue_Date]</f>
        <v>1096</v>
      </c>
      <c r="T559" s="66" t="str">
        <f>DataTable[HLD_Portfolio]&amp;DataTable[HLD_Date]</f>
        <v>SCBRM243383</v>
      </c>
      <c r="W559" t="b">
        <f>DataTable[HLD_SecCode]="CB18O18A"</f>
        <v>0</v>
      </c>
    </row>
    <row r="560" spans="1:23" hidden="1" x14ac:dyDescent="0.2">
      <c r="A560" s="66">
        <v>43383</v>
      </c>
      <c r="B560" t="s">
        <v>354</v>
      </c>
      <c r="C560" t="s">
        <v>18</v>
      </c>
      <c r="D560" t="s">
        <v>109</v>
      </c>
      <c r="F560" t="s">
        <v>618</v>
      </c>
      <c r="G560" t="s">
        <v>255</v>
      </c>
      <c r="H560" t="s">
        <v>51</v>
      </c>
      <c r="I560" s="66">
        <v>45375</v>
      </c>
      <c r="J560" s="6">
        <v>13366479.1</v>
      </c>
      <c r="K560">
        <v>23310.95</v>
      </c>
      <c r="L560">
        <v>13000000</v>
      </c>
      <c r="M560">
        <v>4.8863599999999998</v>
      </c>
      <c r="N560">
        <v>13000000</v>
      </c>
      <c r="O560">
        <v>3.85</v>
      </c>
      <c r="P560" t="s">
        <v>42</v>
      </c>
      <c r="Q560" t="s">
        <v>23</v>
      </c>
      <c r="R560" s="66">
        <v>42818</v>
      </c>
      <c r="S560" s="6">
        <f>DataTable[HLD_MaturityDate] - DataTable[SEC_Issue_Date]</f>
        <v>2557</v>
      </c>
      <c r="T560" s="66" t="str">
        <f>DataTable[HLD_Portfolio]&amp;DataTable[HLD_Date]</f>
        <v>SCBRM243383</v>
      </c>
      <c r="W560" t="b">
        <f>DataTable[HLD_SecCode]="CB18O18A"</f>
        <v>0</v>
      </c>
    </row>
    <row r="561" spans="1:23" hidden="1" x14ac:dyDescent="0.2">
      <c r="A561" s="66">
        <v>43383</v>
      </c>
      <c r="B561" t="s">
        <v>354</v>
      </c>
      <c r="C561" t="s">
        <v>18</v>
      </c>
      <c r="D561" t="s">
        <v>109</v>
      </c>
      <c r="F561" t="s">
        <v>619</v>
      </c>
      <c r="G561" t="s">
        <v>513</v>
      </c>
      <c r="H561" t="s">
        <v>123</v>
      </c>
      <c r="I561" s="66">
        <v>44402</v>
      </c>
      <c r="J561" s="6">
        <v>139670459.59999999</v>
      </c>
      <c r="K561">
        <v>777862.4</v>
      </c>
      <c r="L561">
        <v>140000000</v>
      </c>
      <c r="M561">
        <v>2.6599689999999998</v>
      </c>
      <c r="N561">
        <v>140000000</v>
      </c>
      <c r="O561">
        <v>2.6</v>
      </c>
      <c r="P561" t="s">
        <v>42</v>
      </c>
      <c r="Q561" t="s">
        <v>23</v>
      </c>
      <c r="R561" s="66">
        <v>43306</v>
      </c>
      <c r="S561" s="6">
        <f>DataTable[HLD_MaturityDate] - DataTable[SEC_Issue_Date]</f>
        <v>1096</v>
      </c>
      <c r="T561" s="66" t="str">
        <f>DataTable[HLD_Portfolio]&amp;DataTable[HLD_Date]</f>
        <v>SCBRM243383</v>
      </c>
      <c r="W561" t="b">
        <f>DataTable[HLD_SecCode]="CB18O18A"</f>
        <v>0</v>
      </c>
    </row>
    <row r="562" spans="1:23" hidden="1" x14ac:dyDescent="0.2">
      <c r="A562" s="66">
        <v>43383</v>
      </c>
      <c r="B562" t="s">
        <v>354</v>
      </c>
      <c r="C562" t="s">
        <v>18</v>
      </c>
      <c r="D562" t="s">
        <v>109</v>
      </c>
      <c r="F562" t="s">
        <v>620</v>
      </c>
      <c r="G562" t="s">
        <v>111</v>
      </c>
      <c r="H562" t="s">
        <v>51</v>
      </c>
      <c r="I562" s="66">
        <v>45003</v>
      </c>
      <c r="J562" s="6">
        <v>10231935.1</v>
      </c>
      <c r="K562">
        <v>21424.7</v>
      </c>
      <c r="L562">
        <v>10070929.6</v>
      </c>
      <c r="M562">
        <v>4.0893819999999996</v>
      </c>
      <c r="N562">
        <v>10000000</v>
      </c>
      <c r="O562">
        <v>3.23</v>
      </c>
      <c r="P562" t="s">
        <v>42</v>
      </c>
      <c r="Q562" t="s">
        <v>23</v>
      </c>
      <c r="R562" s="66">
        <v>42447</v>
      </c>
      <c r="S562" s="6">
        <f>DataTable[HLD_MaturityDate] - DataTable[SEC_Issue_Date]</f>
        <v>2556</v>
      </c>
      <c r="T562" s="66" t="str">
        <f>DataTable[HLD_Portfolio]&amp;DataTable[HLD_Date]</f>
        <v>SCBRM243383</v>
      </c>
      <c r="W562" t="b">
        <f>DataTable[HLD_SecCode]="CB18O18A"</f>
        <v>0</v>
      </c>
    </row>
    <row r="563" spans="1:23" hidden="1" x14ac:dyDescent="0.2">
      <c r="A563" s="66">
        <v>43383</v>
      </c>
      <c r="B563" t="s">
        <v>354</v>
      </c>
      <c r="C563" t="s">
        <v>18</v>
      </c>
      <c r="D563" t="s">
        <v>109</v>
      </c>
      <c r="F563" t="s">
        <v>560</v>
      </c>
      <c r="G563" t="s">
        <v>196</v>
      </c>
      <c r="H563" t="s">
        <v>51</v>
      </c>
      <c r="I563" s="66">
        <v>43933</v>
      </c>
      <c r="J563" s="6">
        <v>30023576.399999999</v>
      </c>
      <c r="K563">
        <v>341062.89</v>
      </c>
      <c r="L563">
        <v>30000000</v>
      </c>
      <c r="M563">
        <v>1.469543</v>
      </c>
      <c r="N563">
        <v>30000000</v>
      </c>
      <c r="O563">
        <v>2.2799999999999998</v>
      </c>
      <c r="P563" t="s">
        <v>42</v>
      </c>
      <c r="Q563" t="s">
        <v>23</v>
      </c>
      <c r="R563" s="66">
        <v>42472</v>
      </c>
      <c r="S563" s="6">
        <f>DataTable[HLD_MaturityDate] - DataTable[SEC_Issue_Date]</f>
        <v>1461</v>
      </c>
      <c r="T563" s="66" t="str">
        <f>DataTable[HLD_Portfolio]&amp;DataTable[HLD_Date]</f>
        <v>SCBRM243383</v>
      </c>
      <c r="W563" t="b">
        <f>DataTable[HLD_SecCode]="CB18O18A"</f>
        <v>0</v>
      </c>
    </row>
    <row r="564" spans="1:23" hidden="1" x14ac:dyDescent="0.2">
      <c r="A564" s="66">
        <v>43383</v>
      </c>
      <c r="B564" t="s">
        <v>354</v>
      </c>
      <c r="C564" t="s">
        <v>18</v>
      </c>
      <c r="D564" t="s">
        <v>109</v>
      </c>
      <c r="F564" t="s">
        <v>621</v>
      </c>
      <c r="G564" t="s">
        <v>196</v>
      </c>
      <c r="H564" t="s">
        <v>51</v>
      </c>
      <c r="I564" s="66">
        <v>45059</v>
      </c>
      <c r="J564" s="6">
        <v>33209608.640000001</v>
      </c>
      <c r="K564">
        <v>526886.72</v>
      </c>
      <c r="L564">
        <v>33751397.439999998</v>
      </c>
      <c r="M564">
        <v>4.1200219999999996</v>
      </c>
      <c r="N564">
        <v>32000000</v>
      </c>
      <c r="O564">
        <v>2.7</v>
      </c>
      <c r="P564" t="s">
        <v>42</v>
      </c>
      <c r="Q564" t="s">
        <v>23</v>
      </c>
      <c r="R564" s="66">
        <v>42137</v>
      </c>
      <c r="S564" s="6">
        <f>DataTable[HLD_MaturityDate] - DataTable[SEC_Issue_Date]</f>
        <v>2922</v>
      </c>
      <c r="T564" s="66" t="str">
        <f>DataTable[HLD_Portfolio]&amp;DataTable[HLD_Date]</f>
        <v>SCBRM243383</v>
      </c>
      <c r="W564" t="b">
        <f>DataTable[HLD_SecCode]="CB18O18A"</f>
        <v>0</v>
      </c>
    </row>
    <row r="565" spans="1:23" hidden="1" x14ac:dyDescent="0.2">
      <c r="A565" s="66">
        <v>43383</v>
      </c>
      <c r="B565" t="s">
        <v>354</v>
      </c>
      <c r="C565" t="s">
        <v>18</v>
      </c>
      <c r="D565" t="s">
        <v>109</v>
      </c>
      <c r="F565" t="s">
        <v>622</v>
      </c>
      <c r="G565" t="s">
        <v>196</v>
      </c>
      <c r="H565" t="s">
        <v>51</v>
      </c>
      <c r="I565" s="66">
        <v>45394</v>
      </c>
      <c r="J565" s="6">
        <v>32827961.100000001</v>
      </c>
      <c r="K565">
        <v>511743.96</v>
      </c>
      <c r="L565">
        <v>33000000</v>
      </c>
      <c r="M565">
        <v>5.0184759999999997</v>
      </c>
      <c r="N565">
        <v>33000000</v>
      </c>
      <c r="O565">
        <v>3.11</v>
      </c>
      <c r="P565" t="s">
        <v>42</v>
      </c>
      <c r="Q565" t="s">
        <v>23</v>
      </c>
      <c r="R565" s="66">
        <v>42472</v>
      </c>
      <c r="S565" s="6">
        <f>DataTable[HLD_MaturityDate] - DataTable[SEC_Issue_Date]</f>
        <v>2922</v>
      </c>
      <c r="T565" s="66" t="str">
        <f>DataTable[HLD_Portfolio]&amp;DataTable[HLD_Date]</f>
        <v>SCBRM243383</v>
      </c>
      <c r="W565" t="b">
        <f>DataTable[HLD_SecCode]="CB18O18A"</f>
        <v>0</v>
      </c>
    </row>
    <row r="566" spans="1:23" hidden="1" x14ac:dyDescent="0.2">
      <c r="A566" s="66">
        <v>43383</v>
      </c>
      <c r="B566" t="s">
        <v>354</v>
      </c>
      <c r="C566" t="s">
        <v>18</v>
      </c>
      <c r="D566" t="s">
        <v>109</v>
      </c>
      <c r="F566" t="s">
        <v>515</v>
      </c>
      <c r="G566" t="s">
        <v>196</v>
      </c>
      <c r="H566" t="s">
        <v>51</v>
      </c>
      <c r="I566" s="66">
        <v>45681</v>
      </c>
      <c r="J566" s="6">
        <v>41306278.439999998</v>
      </c>
      <c r="K566">
        <v>277257.53999999998</v>
      </c>
      <c r="L566">
        <v>42000000</v>
      </c>
      <c r="M566">
        <v>5.632987</v>
      </c>
      <c r="N566">
        <v>42000000</v>
      </c>
      <c r="O566">
        <v>3.05</v>
      </c>
      <c r="P566" t="s">
        <v>42</v>
      </c>
      <c r="Q566" t="s">
        <v>23</v>
      </c>
      <c r="R566" s="66">
        <v>43124</v>
      </c>
      <c r="S566" s="6">
        <f>DataTable[HLD_MaturityDate] - DataTable[SEC_Issue_Date]</f>
        <v>2557</v>
      </c>
      <c r="T566" s="66" t="str">
        <f>DataTable[HLD_Portfolio]&amp;DataTable[HLD_Date]</f>
        <v>SCBRM243383</v>
      </c>
      <c r="W566" t="b">
        <f>DataTable[HLD_SecCode]="CB18O18A"</f>
        <v>0</v>
      </c>
    </row>
    <row r="567" spans="1:23" hidden="1" x14ac:dyDescent="0.2">
      <c r="A567" s="66">
        <v>43383</v>
      </c>
      <c r="B567" t="s">
        <v>354</v>
      </c>
      <c r="C567" t="s">
        <v>18</v>
      </c>
      <c r="D567" t="s">
        <v>109</v>
      </c>
      <c r="F567" t="s">
        <v>561</v>
      </c>
      <c r="G567" t="s">
        <v>199</v>
      </c>
      <c r="H567" t="s">
        <v>51</v>
      </c>
      <c r="I567" s="66">
        <v>44027</v>
      </c>
      <c r="J567" s="6">
        <v>25035883.5</v>
      </c>
      <c r="K567">
        <v>151287.75</v>
      </c>
      <c r="L567">
        <v>25000000</v>
      </c>
      <c r="M567">
        <v>1.7055439999999999</v>
      </c>
      <c r="N567">
        <v>25000000</v>
      </c>
      <c r="O567">
        <v>2.5099999999999998</v>
      </c>
      <c r="P567" t="s">
        <v>42</v>
      </c>
      <c r="Q567" t="s">
        <v>23</v>
      </c>
      <c r="R567" s="66">
        <v>42566</v>
      </c>
      <c r="S567" s="6">
        <f>DataTable[HLD_MaturityDate] - DataTable[SEC_Issue_Date]</f>
        <v>1461</v>
      </c>
      <c r="T567" s="66" t="str">
        <f>DataTable[HLD_Portfolio]&amp;DataTable[HLD_Date]</f>
        <v>SCBRM243383</v>
      </c>
      <c r="W567" t="b">
        <f>DataTable[HLD_SecCode]="CB18O18A"</f>
        <v>0</v>
      </c>
    </row>
    <row r="568" spans="1:23" hidden="1" x14ac:dyDescent="0.2">
      <c r="A568" s="66">
        <v>43383</v>
      </c>
      <c r="B568" t="s">
        <v>354</v>
      </c>
      <c r="C568" t="s">
        <v>18</v>
      </c>
      <c r="D568" t="s">
        <v>109</v>
      </c>
      <c r="F568" t="s">
        <v>623</v>
      </c>
      <c r="G568" t="s">
        <v>199</v>
      </c>
      <c r="H568" t="s">
        <v>51</v>
      </c>
      <c r="I568" s="66">
        <v>44216</v>
      </c>
      <c r="J568" s="6">
        <v>60781333.200000003</v>
      </c>
      <c r="K568">
        <v>422959.2</v>
      </c>
      <c r="L568">
        <v>60000000</v>
      </c>
      <c r="M568">
        <v>2.1749839999999998</v>
      </c>
      <c r="N568">
        <v>60000000</v>
      </c>
      <c r="O568">
        <v>3.1</v>
      </c>
      <c r="P568" t="s">
        <v>42</v>
      </c>
      <c r="Q568" t="s">
        <v>23</v>
      </c>
      <c r="R568" s="66">
        <v>42389</v>
      </c>
      <c r="S568" s="6">
        <f>DataTable[HLD_MaturityDate] - DataTable[SEC_Issue_Date]</f>
        <v>1827</v>
      </c>
      <c r="T568" s="66" t="str">
        <f>DataTable[HLD_Portfolio]&amp;DataTable[HLD_Date]</f>
        <v>SCBRM243383</v>
      </c>
      <c r="W568" t="b">
        <f>DataTable[HLD_SecCode]="CB18O18A"</f>
        <v>0</v>
      </c>
    </row>
    <row r="569" spans="1:23" hidden="1" x14ac:dyDescent="0.2">
      <c r="A569" s="66">
        <v>43383</v>
      </c>
      <c r="B569" t="s">
        <v>354</v>
      </c>
      <c r="C569" t="s">
        <v>18</v>
      </c>
      <c r="D569" t="s">
        <v>109</v>
      </c>
      <c r="F569" t="s">
        <v>624</v>
      </c>
      <c r="G569" t="s">
        <v>199</v>
      </c>
      <c r="H569" t="s">
        <v>51</v>
      </c>
      <c r="I569" s="66">
        <v>44946</v>
      </c>
      <c r="J569" s="6">
        <v>40785618.399999999</v>
      </c>
      <c r="K569">
        <v>315627.2</v>
      </c>
      <c r="L569">
        <v>40000000</v>
      </c>
      <c r="M569">
        <v>3.926955</v>
      </c>
      <c r="N569">
        <v>40000000</v>
      </c>
      <c r="O569">
        <v>3.47</v>
      </c>
      <c r="P569" t="s">
        <v>42</v>
      </c>
      <c r="Q569" t="s">
        <v>23</v>
      </c>
      <c r="R569" s="66">
        <v>42389</v>
      </c>
      <c r="S569" s="6">
        <f>DataTable[HLD_MaturityDate] - DataTable[SEC_Issue_Date]</f>
        <v>2557</v>
      </c>
      <c r="T569" s="66" t="str">
        <f>DataTable[HLD_Portfolio]&amp;DataTable[HLD_Date]</f>
        <v>SCBRM243383</v>
      </c>
      <c r="W569" t="b">
        <f>DataTable[HLD_SecCode]="CB18O18A"</f>
        <v>0</v>
      </c>
    </row>
    <row r="570" spans="1:23" hidden="1" x14ac:dyDescent="0.2">
      <c r="A570" s="66">
        <v>43383</v>
      </c>
      <c r="B570" t="s">
        <v>354</v>
      </c>
      <c r="C570" t="s">
        <v>18</v>
      </c>
      <c r="D570" t="s">
        <v>109</v>
      </c>
      <c r="F570" t="s">
        <v>625</v>
      </c>
      <c r="G570" t="s">
        <v>568</v>
      </c>
      <c r="H570" t="s">
        <v>51</v>
      </c>
      <c r="I570" s="66">
        <v>43584</v>
      </c>
      <c r="J570" s="6">
        <v>33951068.899999999</v>
      </c>
      <c r="K570">
        <v>279731.59999999998</v>
      </c>
      <c r="L570">
        <v>34000000</v>
      </c>
      <c r="M570">
        <v>0.53919399999999995</v>
      </c>
      <c r="N570">
        <v>34000000</v>
      </c>
      <c r="O570">
        <v>1.82</v>
      </c>
      <c r="P570" t="s">
        <v>42</v>
      </c>
      <c r="Q570" t="s">
        <v>23</v>
      </c>
      <c r="R570" s="66">
        <v>42489</v>
      </c>
      <c r="S570" s="6">
        <f>DataTable[HLD_MaturityDate] - DataTable[SEC_Issue_Date]</f>
        <v>1095</v>
      </c>
      <c r="T570" s="66" t="str">
        <f>DataTable[HLD_Portfolio]&amp;DataTable[HLD_Date]</f>
        <v>SCBRM243383</v>
      </c>
      <c r="W570" t="b">
        <f>DataTable[HLD_SecCode]="CB18O18A"</f>
        <v>0</v>
      </c>
    </row>
    <row r="571" spans="1:23" hidden="1" x14ac:dyDescent="0.2">
      <c r="A571" s="66">
        <v>43383</v>
      </c>
      <c r="B571" t="s">
        <v>354</v>
      </c>
      <c r="C571" t="s">
        <v>18</v>
      </c>
      <c r="D571" t="s">
        <v>109</v>
      </c>
      <c r="F571" t="s">
        <v>626</v>
      </c>
      <c r="G571" t="s">
        <v>572</v>
      </c>
      <c r="H571" t="s">
        <v>47</v>
      </c>
      <c r="I571" s="66">
        <v>43973</v>
      </c>
      <c r="J571" s="6">
        <v>10098890.9</v>
      </c>
      <c r="K571">
        <v>118657.5</v>
      </c>
      <c r="L571">
        <v>10151883.800000001</v>
      </c>
      <c r="M571">
        <v>1.552044</v>
      </c>
      <c r="N571">
        <v>10000000</v>
      </c>
      <c r="O571">
        <v>2.08</v>
      </c>
      <c r="P571" t="s">
        <v>42</v>
      </c>
      <c r="Q571" t="s">
        <v>23</v>
      </c>
      <c r="R571" s="66">
        <v>42146</v>
      </c>
      <c r="S571" s="6">
        <f>DataTable[HLD_MaturityDate] - DataTable[SEC_Issue_Date]</f>
        <v>1827</v>
      </c>
      <c r="T571" s="66" t="str">
        <f>DataTable[HLD_Portfolio]&amp;DataTable[HLD_Date]</f>
        <v>SCBRM243383</v>
      </c>
      <c r="W571" t="b">
        <f>DataTable[HLD_SecCode]="CB18O18A"</f>
        <v>0</v>
      </c>
    </row>
    <row r="572" spans="1:23" hidden="1" x14ac:dyDescent="0.2">
      <c r="A572" s="66">
        <v>43383</v>
      </c>
      <c r="B572" t="s">
        <v>354</v>
      </c>
      <c r="C572" t="s">
        <v>18</v>
      </c>
      <c r="D572" t="s">
        <v>109</v>
      </c>
      <c r="F572" t="s">
        <v>627</v>
      </c>
      <c r="G572" t="s">
        <v>572</v>
      </c>
      <c r="H572" t="s">
        <v>47</v>
      </c>
      <c r="I572" s="66">
        <v>44270</v>
      </c>
      <c r="J572" s="6">
        <v>9911822.8000000007</v>
      </c>
      <c r="K572">
        <v>16169.9</v>
      </c>
      <c r="L572">
        <v>10000000</v>
      </c>
      <c r="M572">
        <v>2.337872</v>
      </c>
      <c r="N572">
        <v>10000000</v>
      </c>
      <c r="O572">
        <v>2.27</v>
      </c>
      <c r="P572" t="s">
        <v>42</v>
      </c>
      <c r="Q572" t="s">
        <v>23</v>
      </c>
      <c r="R572" s="66">
        <v>42444</v>
      </c>
      <c r="S572" s="6">
        <f>DataTable[HLD_MaturityDate] - DataTable[SEC_Issue_Date]</f>
        <v>1826</v>
      </c>
      <c r="T572" s="66" t="str">
        <f>DataTable[HLD_Portfolio]&amp;DataTable[HLD_Date]</f>
        <v>SCBRM243383</v>
      </c>
      <c r="W572" t="b">
        <f>DataTable[HLD_SecCode]="CB18O18A"</f>
        <v>0</v>
      </c>
    </row>
    <row r="573" spans="1:23" hidden="1" x14ac:dyDescent="0.2">
      <c r="A573" s="66">
        <v>43383</v>
      </c>
      <c r="B573" t="s">
        <v>354</v>
      </c>
      <c r="C573" t="s">
        <v>18</v>
      </c>
      <c r="D573" t="s">
        <v>109</v>
      </c>
      <c r="F573" t="s">
        <v>628</v>
      </c>
      <c r="G573" t="s">
        <v>228</v>
      </c>
      <c r="H573" t="s">
        <v>47</v>
      </c>
      <c r="I573" s="66">
        <v>44043</v>
      </c>
      <c r="J573" s="6">
        <v>50253924.5</v>
      </c>
      <c r="K573">
        <v>269383.5</v>
      </c>
      <c r="L573">
        <v>50000000</v>
      </c>
      <c r="M573">
        <v>1.7473160000000001</v>
      </c>
      <c r="N573">
        <v>50000000</v>
      </c>
      <c r="O573">
        <v>2.85</v>
      </c>
      <c r="P573" t="s">
        <v>42</v>
      </c>
      <c r="Q573" t="s">
        <v>23</v>
      </c>
      <c r="R573" s="66">
        <v>42769</v>
      </c>
      <c r="S573" s="6">
        <f>DataTable[HLD_MaturityDate] - DataTable[SEC_Issue_Date]</f>
        <v>1274</v>
      </c>
      <c r="T573" s="66" t="str">
        <f>DataTable[HLD_Portfolio]&amp;DataTable[HLD_Date]</f>
        <v>SCBRM243383</v>
      </c>
      <c r="W573" t="b">
        <f>DataTable[HLD_SecCode]="CB18O18A"</f>
        <v>0</v>
      </c>
    </row>
    <row r="574" spans="1:23" hidden="1" x14ac:dyDescent="0.2">
      <c r="A574" s="66">
        <v>43383</v>
      </c>
      <c r="B574" t="s">
        <v>354</v>
      </c>
      <c r="C574" t="s">
        <v>18</v>
      </c>
      <c r="D574" t="s">
        <v>109</v>
      </c>
      <c r="F574" t="s">
        <v>527</v>
      </c>
      <c r="G574" t="s">
        <v>228</v>
      </c>
      <c r="H574" t="s">
        <v>47</v>
      </c>
      <c r="I574" s="66">
        <v>44155</v>
      </c>
      <c r="J574" s="6">
        <v>7013415.1500000004</v>
      </c>
      <c r="K574">
        <v>59743.53</v>
      </c>
      <c r="L574">
        <v>7000000</v>
      </c>
      <c r="M574">
        <v>2.0244230000000001</v>
      </c>
      <c r="N574">
        <v>7000000</v>
      </c>
      <c r="O574">
        <v>2.64</v>
      </c>
      <c r="P574" t="s">
        <v>42</v>
      </c>
      <c r="Q574" t="s">
        <v>23</v>
      </c>
      <c r="R574" s="66">
        <v>42901</v>
      </c>
      <c r="S574" s="6">
        <f>DataTable[HLD_MaturityDate] - DataTable[SEC_Issue_Date]</f>
        <v>1254</v>
      </c>
      <c r="T574" s="66" t="str">
        <f>DataTable[HLD_Portfolio]&amp;DataTable[HLD_Date]</f>
        <v>SCBRM243383</v>
      </c>
      <c r="W574" t="b">
        <f>DataTable[HLD_SecCode]="CB18O18A"</f>
        <v>0</v>
      </c>
    </row>
    <row r="575" spans="1:23" hidden="1" x14ac:dyDescent="0.2">
      <c r="A575" s="66">
        <v>43383</v>
      </c>
      <c r="B575" t="s">
        <v>354</v>
      </c>
      <c r="C575" t="s">
        <v>18</v>
      </c>
      <c r="D575" t="s">
        <v>109</v>
      </c>
      <c r="F575" t="s">
        <v>629</v>
      </c>
      <c r="G575" t="s">
        <v>230</v>
      </c>
      <c r="H575" t="s">
        <v>123</v>
      </c>
      <c r="I575" s="66">
        <v>43962</v>
      </c>
      <c r="J575" s="6">
        <v>75007750.5</v>
      </c>
      <c r="K575">
        <v>845691.75</v>
      </c>
      <c r="L575">
        <v>75665513.25</v>
      </c>
      <c r="M575">
        <v>1.525074</v>
      </c>
      <c r="N575">
        <v>75000000</v>
      </c>
      <c r="O575">
        <v>2.11</v>
      </c>
      <c r="P575" t="s">
        <v>42</v>
      </c>
      <c r="Q575" t="s">
        <v>23</v>
      </c>
      <c r="R575" s="66">
        <v>42866</v>
      </c>
      <c r="S575" s="6">
        <f>DataTable[HLD_MaturityDate] - DataTable[SEC_Issue_Date]</f>
        <v>1096</v>
      </c>
      <c r="T575" s="66" t="str">
        <f>DataTable[HLD_Portfolio]&amp;DataTable[HLD_Date]</f>
        <v>SCBRM243383</v>
      </c>
      <c r="W575" t="b">
        <f>DataTable[HLD_SecCode]="CB18O18A"</f>
        <v>0</v>
      </c>
    </row>
    <row r="576" spans="1:23" hidden="1" x14ac:dyDescent="0.2">
      <c r="A576" s="66">
        <v>43383</v>
      </c>
      <c r="B576" t="s">
        <v>354</v>
      </c>
      <c r="C576" t="s">
        <v>18</v>
      </c>
      <c r="D576" t="s">
        <v>109</v>
      </c>
      <c r="F576" t="s">
        <v>630</v>
      </c>
      <c r="G576" t="s">
        <v>583</v>
      </c>
      <c r="H576" t="s">
        <v>484</v>
      </c>
      <c r="I576" s="66">
        <v>45421</v>
      </c>
      <c r="J576" s="6">
        <v>13277444.57</v>
      </c>
      <c r="K576">
        <v>201500</v>
      </c>
      <c r="L576">
        <v>13000000</v>
      </c>
      <c r="M576">
        <v>4.9498309999999996</v>
      </c>
      <c r="N576">
        <v>13000000</v>
      </c>
      <c r="O576">
        <v>3.65</v>
      </c>
      <c r="P576" t="s">
        <v>42</v>
      </c>
      <c r="Q576" t="s">
        <v>23</v>
      </c>
      <c r="R576" s="66">
        <v>42864</v>
      </c>
      <c r="S576" s="6">
        <f>DataTable[HLD_MaturityDate] - DataTable[SEC_Issue_Date]</f>
        <v>2557</v>
      </c>
      <c r="T576" s="66" t="str">
        <f>DataTable[HLD_Portfolio]&amp;DataTable[HLD_Date]</f>
        <v>SCBRM243383</v>
      </c>
      <c r="W576" t="b">
        <f>DataTable[HLD_SecCode]="CB18O18A"</f>
        <v>0</v>
      </c>
    </row>
    <row r="577" spans="1:23" hidden="1" x14ac:dyDescent="0.2">
      <c r="A577" s="66">
        <v>43383</v>
      </c>
      <c r="B577" t="s">
        <v>354</v>
      </c>
      <c r="C577" t="s">
        <v>18</v>
      </c>
      <c r="D577" t="s">
        <v>109</v>
      </c>
      <c r="F577" t="s">
        <v>631</v>
      </c>
      <c r="G577" t="s">
        <v>82</v>
      </c>
      <c r="H577" t="s">
        <v>47</v>
      </c>
      <c r="I577" s="66">
        <v>43878</v>
      </c>
      <c r="J577" s="6">
        <v>1005385.89</v>
      </c>
      <c r="K577">
        <v>3917.81</v>
      </c>
      <c r="L577">
        <v>1000000</v>
      </c>
      <c r="M577">
        <v>1.319903</v>
      </c>
      <c r="N577">
        <v>1000000</v>
      </c>
      <c r="O577">
        <v>2.6</v>
      </c>
      <c r="P577" t="s">
        <v>42</v>
      </c>
      <c r="Q577" t="s">
        <v>23</v>
      </c>
      <c r="R577" s="66">
        <v>42783</v>
      </c>
      <c r="S577" s="6">
        <f>DataTable[HLD_MaturityDate] - DataTable[SEC_Issue_Date]</f>
        <v>1095</v>
      </c>
      <c r="T577" s="66" t="str">
        <f>DataTable[HLD_Portfolio]&amp;DataTable[HLD_Date]</f>
        <v>SCBRM243383</v>
      </c>
      <c r="W577" t="b">
        <f>DataTable[HLD_SecCode]="CB18O18A"</f>
        <v>0</v>
      </c>
    </row>
    <row r="578" spans="1:23" hidden="1" x14ac:dyDescent="0.2">
      <c r="A578" s="66">
        <v>43383</v>
      </c>
      <c r="B578" t="s">
        <v>354</v>
      </c>
      <c r="C578" t="s">
        <v>18</v>
      </c>
      <c r="D578" t="s">
        <v>109</v>
      </c>
      <c r="F578" t="s">
        <v>584</v>
      </c>
      <c r="G578" t="s">
        <v>234</v>
      </c>
      <c r="H578" t="s">
        <v>203</v>
      </c>
      <c r="I578" s="66">
        <v>44639</v>
      </c>
      <c r="J578" s="6">
        <v>99865372</v>
      </c>
      <c r="K578">
        <v>192877</v>
      </c>
      <c r="L578">
        <v>100000000</v>
      </c>
      <c r="M578">
        <v>3.2221039999999999</v>
      </c>
      <c r="N578">
        <v>100000000</v>
      </c>
      <c r="O578">
        <v>3.2</v>
      </c>
      <c r="P578" t="s">
        <v>42</v>
      </c>
      <c r="Q578" t="s">
        <v>23</v>
      </c>
      <c r="R578" s="66">
        <v>43362</v>
      </c>
      <c r="S578" s="6">
        <f>DataTable[HLD_MaturityDate] - DataTable[SEC_Issue_Date]</f>
        <v>1277</v>
      </c>
      <c r="T578" s="66" t="str">
        <f>DataTable[HLD_Portfolio]&amp;DataTable[HLD_Date]</f>
        <v>SCBRM243383</v>
      </c>
      <c r="W578" t="b">
        <f>DataTable[HLD_SecCode]="CB18O18A"</f>
        <v>0</v>
      </c>
    </row>
    <row r="579" spans="1:23" hidden="1" x14ac:dyDescent="0.2">
      <c r="A579" s="66">
        <v>43383</v>
      </c>
      <c r="B579" t="s">
        <v>354</v>
      </c>
      <c r="C579" t="s">
        <v>18</v>
      </c>
      <c r="D579" t="s">
        <v>109</v>
      </c>
      <c r="F579" t="s">
        <v>632</v>
      </c>
      <c r="G579" t="s">
        <v>234</v>
      </c>
      <c r="H579" t="s">
        <v>203</v>
      </c>
      <c r="I579" s="66">
        <v>45007</v>
      </c>
      <c r="J579" s="6">
        <v>20585330.219999999</v>
      </c>
      <c r="K579">
        <v>30170.91</v>
      </c>
      <c r="L579">
        <v>21000000</v>
      </c>
      <c r="M579">
        <v>4.1363830000000004</v>
      </c>
      <c r="N579">
        <v>21000000</v>
      </c>
      <c r="O579">
        <v>2.76</v>
      </c>
      <c r="P579" t="s">
        <v>42</v>
      </c>
      <c r="Q579" t="s">
        <v>23</v>
      </c>
      <c r="R579" s="66">
        <v>43181</v>
      </c>
      <c r="S579" s="6">
        <f>DataTable[HLD_MaturityDate] - DataTable[SEC_Issue_Date]</f>
        <v>1826</v>
      </c>
      <c r="T579" s="66" t="str">
        <f>DataTable[HLD_Portfolio]&amp;DataTable[HLD_Date]</f>
        <v>SCBRM243383</v>
      </c>
      <c r="W579" t="b">
        <f>DataTable[HLD_SecCode]="CB18O18A"</f>
        <v>0</v>
      </c>
    </row>
    <row r="580" spans="1:23" hidden="1" x14ac:dyDescent="0.2">
      <c r="A580" s="66">
        <v>43383</v>
      </c>
      <c r="B580" t="s">
        <v>354</v>
      </c>
      <c r="C580" t="s">
        <v>18</v>
      </c>
      <c r="D580" t="s">
        <v>109</v>
      </c>
      <c r="F580" t="s">
        <v>535</v>
      </c>
      <c r="G580" t="s">
        <v>242</v>
      </c>
      <c r="H580" t="s">
        <v>29</v>
      </c>
      <c r="I580" s="66">
        <v>43431</v>
      </c>
      <c r="J580" s="6">
        <v>20006987</v>
      </c>
      <c r="K580">
        <v>278597.2</v>
      </c>
      <c r="L580">
        <v>20000000</v>
      </c>
      <c r="M580">
        <v>0.12844700000000001</v>
      </c>
      <c r="N580">
        <v>20000000</v>
      </c>
      <c r="O580">
        <v>2.2799999999999998</v>
      </c>
      <c r="P580" t="s">
        <v>42</v>
      </c>
      <c r="Q580" t="s">
        <v>23</v>
      </c>
      <c r="R580" s="66">
        <v>43161</v>
      </c>
      <c r="S580" s="6">
        <f>DataTable[HLD_MaturityDate] - DataTable[SEC_Issue_Date]</f>
        <v>270</v>
      </c>
      <c r="T580" s="66" t="str">
        <f>DataTable[HLD_Portfolio]&amp;DataTable[HLD_Date]</f>
        <v>SCBRM243383</v>
      </c>
      <c r="W580" t="b">
        <f>DataTable[HLD_SecCode]="CB18O18A"</f>
        <v>0</v>
      </c>
    </row>
    <row r="581" spans="1:23" hidden="1" x14ac:dyDescent="0.2">
      <c r="A581" s="66">
        <v>43383</v>
      </c>
      <c r="B581" t="s">
        <v>354</v>
      </c>
      <c r="C581" t="s">
        <v>18</v>
      </c>
      <c r="D581" t="s">
        <v>109</v>
      </c>
      <c r="F581" t="s">
        <v>585</v>
      </c>
      <c r="G581" t="s">
        <v>242</v>
      </c>
      <c r="H581" t="s">
        <v>29</v>
      </c>
      <c r="I581" s="66">
        <v>43494</v>
      </c>
      <c r="J581" s="6">
        <v>10001305</v>
      </c>
      <c r="K581">
        <v>100821.9</v>
      </c>
      <c r="L581">
        <v>10000000</v>
      </c>
      <c r="M581">
        <v>0.29935499999999998</v>
      </c>
      <c r="N581">
        <v>10000000</v>
      </c>
      <c r="O581">
        <v>2.2999999999999998</v>
      </c>
      <c r="P581" t="s">
        <v>42</v>
      </c>
      <c r="Q581" t="s">
        <v>23</v>
      </c>
      <c r="R581" s="66">
        <v>43224</v>
      </c>
      <c r="S581" s="6">
        <f>DataTable[HLD_MaturityDate] - DataTable[SEC_Issue_Date]</f>
        <v>270</v>
      </c>
      <c r="T581" s="66" t="str">
        <f>DataTable[HLD_Portfolio]&amp;DataTable[HLD_Date]</f>
        <v>SCBRM243383</v>
      </c>
      <c r="W581" t="b">
        <f>DataTable[HLD_SecCode]="CB18O18A"</f>
        <v>0</v>
      </c>
    </row>
    <row r="582" spans="1:23" hidden="1" x14ac:dyDescent="0.2">
      <c r="A582" s="66">
        <v>43383</v>
      </c>
      <c r="B582" t="s">
        <v>354</v>
      </c>
      <c r="C582" t="s">
        <v>18</v>
      </c>
      <c r="D582" t="s">
        <v>109</v>
      </c>
      <c r="F582" t="s">
        <v>243</v>
      </c>
      <c r="G582" t="s">
        <v>244</v>
      </c>
      <c r="H582" t="s">
        <v>29</v>
      </c>
      <c r="I582" s="66">
        <v>43494</v>
      </c>
      <c r="J582" s="6">
        <v>41996101.140000001</v>
      </c>
      <c r="K582">
        <v>359934.12</v>
      </c>
      <c r="L582">
        <v>42000000</v>
      </c>
      <c r="M582">
        <v>0.29928500000000002</v>
      </c>
      <c r="N582">
        <v>42000000</v>
      </c>
      <c r="O582">
        <v>2.2999999999999998</v>
      </c>
      <c r="P582" t="s">
        <v>42</v>
      </c>
      <c r="Q582" t="s">
        <v>23</v>
      </c>
      <c r="R582" s="66">
        <v>43248</v>
      </c>
      <c r="S582" s="6">
        <f>DataTable[HLD_MaturityDate] - DataTable[SEC_Issue_Date]</f>
        <v>246</v>
      </c>
      <c r="T582" s="66" t="str">
        <f>DataTable[HLD_Portfolio]&amp;DataTable[HLD_Date]</f>
        <v>SCBRM243383</v>
      </c>
      <c r="W582" t="b">
        <f>DataTable[HLD_SecCode]="CB18O18A"</f>
        <v>0</v>
      </c>
    </row>
    <row r="583" spans="1:23" hidden="1" x14ac:dyDescent="0.2">
      <c r="A583" s="66">
        <v>43383</v>
      </c>
      <c r="B583" t="s">
        <v>354</v>
      </c>
      <c r="C583" t="s">
        <v>18</v>
      </c>
      <c r="D583" t="s">
        <v>109</v>
      </c>
      <c r="F583" t="s">
        <v>248</v>
      </c>
      <c r="G583" t="s">
        <v>249</v>
      </c>
      <c r="H583" t="s">
        <v>47</v>
      </c>
      <c r="I583" s="66">
        <v>44285</v>
      </c>
      <c r="J583" s="6">
        <v>25803599.899999999</v>
      </c>
      <c r="K583">
        <v>17708.599999999999</v>
      </c>
      <c r="L583">
        <v>26000000</v>
      </c>
      <c r="M583">
        <v>2.3912019999999998</v>
      </c>
      <c r="N583">
        <v>26000000</v>
      </c>
      <c r="O583">
        <v>2.2599999999999998</v>
      </c>
      <c r="P583" t="s">
        <v>42</v>
      </c>
      <c r="Q583" t="s">
        <v>23</v>
      </c>
      <c r="R583" s="66">
        <v>43189</v>
      </c>
      <c r="S583" s="6">
        <f>DataTable[HLD_MaturityDate] - DataTable[SEC_Issue_Date]</f>
        <v>1096</v>
      </c>
      <c r="T583" s="66" t="str">
        <f>DataTable[HLD_Portfolio]&amp;DataTable[HLD_Date]</f>
        <v>SCBRM243383</v>
      </c>
      <c r="W583" t="b">
        <f>DataTable[HLD_SecCode]="CB18O18A"</f>
        <v>0</v>
      </c>
    </row>
    <row r="584" spans="1:23" hidden="1" x14ac:dyDescent="0.2">
      <c r="A584" s="66">
        <v>43383</v>
      </c>
      <c r="B584" t="s">
        <v>354</v>
      </c>
      <c r="C584" t="s">
        <v>18</v>
      </c>
      <c r="D584" t="s">
        <v>109</v>
      </c>
      <c r="F584" t="s">
        <v>250</v>
      </c>
      <c r="G584" t="s">
        <v>251</v>
      </c>
      <c r="H584" t="s">
        <v>123</v>
      </c>
      <c r="I584" s="66">
        <v>44061</v>
      </c>
      <c r="J584" s="6">
        <v>18147372.84</v>
      </c>
      <c r="K584">
        <v>88678.44</v>
      </c>
      <c r="L584">
        <v>18000000</v>
      </c>
      <c r="M584">
        <v>1.7822849999999999</v>
      </c>
      <c r="N584">
        <v>18000000</v>
      </c>
      <c r="O584">
        <v>3.33</v>
      </c>
      <c r="P584" t="s">
        <v>42</v>
      </c>
      <c r="Q584" t="s">
        <v>23</v>
      </c>
      <c r="R584" s="66">
        <v>42965</v>
      </c>
      <c r="S584" s="6">
        <f>DataTable[HLD_MaturityDate] - DataTable[SEC_Issue_Date]</f>
        <v>1096</v>
      </c>
      <c r="T584" s="66" t="str">
        <f>DataTable[HLD_Portfolio]&amp;DataTable[HLD_Date]</f>
        <v>SCBRM243383</v>
      </c>
      <c r="W584" t="b">
        <f>DataTable[HLD_SecCode]="CB18O18A"</f>
        <v>0</v>
      </c>
    </row>
    <row r="585" spans="1:23" hidden="1" x14ac:dyDescent="0.2">
      <c r="A585" s="66">
        <v>43383</v>
      </c>
      <c r="B585" t="s">
        <v>354</v>
      </c>
      <c r="C585" t="s">
        <v>113</v>
      </c>
      <c r="D585" t="s">
        <v>633</v>
      </c>
      <c r="F585" t="s">
        <v>634</v>
      </c>
      <c r="G585" t="s">
        <v>26</v>
      </c>
      <c r="H585" t="s">
        <v>27</v>
      </c>
      <c r="I585" s="66">
        <v>46373</v>
      </c>
      <c r="J585" s="6">
        <v>64727.24</v>
      </c>
      <c r="L585">
        <v>0</v>
      </c>
      <c r="M585">
        <v>8.1917810000000006</v>
      </c>
      <c r="N585">
        <v>0</v>
      </c>
      <c r="O585">
        <v>0</v>
      </c>
      <c r="P585" t="s">
        <v>635</v>
      </c>
      <c r="Q585" t="s">
        <v>23</v>
      </c>
      <c r="R585" s="66">
        <v>2</v>
      </c>
      <c r="S585" s="6">
        <f>DataTable[HLD_MaturityDate] - DataTable[SEC_Issue_Date]</f>
        <v>46371</v>
      </c>
      <c r="T585" s="66" t="str">
        <f>DataTable[HLD_Portfolio]&amp;DataTable[HLD_Date]</f>
        <v>SCBRM243383</v>
      </c>
      <c r="W585" t="b">
        <f>DataTable[HLD_SecCode]="CB18O18A"</f>
        <v>0</v>
      </c>
    </row>
    <row r="586" spans="1:23" hidden="1" x14ac:dyDescent="0.2">
      <c r="A586" s="66">
        <v>43383</v>
      </c>
      <c r="B586" t="s">
        <v>354</v>
      </c>
      <c r="C586" t="s">
        <v>128</v>
      </c>
      <c r="D586" t="s">
        <v>307</v>
      </c>
      <c r="E586" t="s">
        <v>590</v>
      </c>
      <c r="F586" t="s">
        <v>20</v>
      </c>
      <c r="I586" s="66"/>
      <c r="J586" s="6">
        <v>2902217.21</v>
      </c>
      <c r="L586">
        <v>2902217.21</v>
      </c>
      <c r="M586">
        <v>0</v>
      </c>
      <c r="O586">
        <v>0</v>
      </c>
      <c r="P586" t="s">
        <v>22</v>
      </c>
      <c r="Q586" t="s">
        <v>23</v>
      </c>
      <c r="R586" s="66">
        <v>2</v>
      </c>
      <c r="S586" s="6">
        <f>DataTable[HLD_MaturityDate] - DataTable[SEC_Issue_Date]</f>
        <v>-2</v>
      </c>
      <c r="T586" s="66" t="str">
        <f>DataTable[HLD_Portfolio]&amp;DataTable[HLD_Date]</f>
        <v>SCBRM243383</v>
      </c>
      <c r="W586" t="b">
        <f>DataTable[HLD_SecCode]="CB18O18A"</f>
        <v>0</v>
      </c>
    </row>
    <row r="587" spans="1:23" hidden="1" x14ac:dyDescent="0.2">
      <c r="A587" s="66">
        <v>43383</v>
      </c>
      <c r="B587" t="s">
        <v>354</v>
      </c>
      <c r="C587" t="s">
        <v>129</v>
      </c>
      <c r="D587" t="s">
        <v>130</v>
      </c>
      <c r="E587" t="s">
        <v>590</v>
      </c>
      <c r="F587" t="s">
        <v>602</v>
      </c>
      <c r="I587" s="66"/>
      <c r="J587" s="6">
        <v>-59566470.600000001</v>
      </c>
      <c r="L587">
        <v>-59566470.600000001</v>
      </c>
      <c r="O587">
        <v>0</v>
      </c>
      <c r="P587" t="s">
        <v>42</v>
      </c>
      <c r="Q587" t="s">
        <v>23</v>
      </c>
      <c r="R587" s="66">
        <v>43363</v>
      </c>
      <c r="S587" s="6">
        <f>DataTable[HLD_MaturityDate] - DataTable[SEC_Issue_Date]</f>
        <v>-43363</v>
      </c>
      <c r="T587" s="66" t="str">
        <f>DataTable[HLD_Portfolio]&amp;DataTable[HLD_Date]</f>
        <v>SCBRM243383</v>
      </c>
      <c r="W587" t="b">
        <f>DataTable[HLD_SecCode]="CB18O18A"</f>
        <v>0</v>
      </c>
    </row>
    <row r="588" spans="1:23" hidden="1" x14ac:dyDescent="0.2">
      <c r="A588" s="66">
        <v>43383</v>
      </c>
      <c r="B588" t="s">
        <v>354</v>
      </c>
      <c r="C588" t="s">
        <v>129</v>
      </c>
      <c r="D588" t="s">
        <v>130</v>
      </c>
      <c r="E588" t="s">
        <v>590</v>
      </c>
      <c r="F588" t="s">
        <v>609</v>
      </c>
      <c r="I588" s="66"/>
      <c r="J588" s="6">
        <v>-18471580.109999999</v>
      </c>
      <c r="L588">
        <v>-18471580.109999999</v>
      </c>
      <c r="O588">
        <v>0</v>
      </c>
      <c r="P588" t="s">
        <v>42</v>
      </c>
      <c r="Q588" t="s">
        <v>23</v>
      </c>
      <c r="R588" s="66">
        <v>40738</v>
      </c>
      <c r="S588" s="6">
        <f>DataTable[HLD_MaturityDate] - DataTable[SEC_Issue_Date]</f>
        <v>-40738</v>
      </c>
      <c r="T588" s="66" t="str">
        <f>DataTable[HLD_Portfolio]&amp;DataTable[HLD_Date]</f>
        <v>SCBRM243383</v>
      </c>
      <c r="W588" t="b">
        <f>DataTable[HLD_SecCode]="CB18O18A"</f>
        <v>0</v>
      </c>
    </row>
    <row r="589" spans="1:23" hidden="1" x14ac:dyDescent="0.2">
      <c r="A589" s="66">
        <v>43383</v>
      </c>
      <c r="B589" t="s">
        <v>354</v>
      </c>
      <c r="C589" t="s">
        <v>129</v>
      </c>
      <c r="D589" t="s">
        <v>131</v>
      </c>
      <c r="E589" t="s">
        <v>131</v>
      </c>
      <c r="F589" t="s">
        <v>131</v>
      </c>
      <c r="I589" s="66"/>
      <c r="J589" s="6">
        <v>-58164.41</v>
      </c>
      <c r="O589">
        <v>0</v>
      </c>
      <c r="R589" s="66"/>
      <c r="S589" s="6">
        <f>DataTable[HLD_MaturityDate] - DataTable[SEC_Issue_Date]</f>
        <v>0</v>
      </c>
      <c r="T589" s="66" t="str">
        <f>DataTable[HLD_Portfolio]&amp;DataTable[HLD_Date]</f>
        <v>SCBRM243383</v>
      </c>
      <c r="W589" t="b">
        <f>DataTable[HLD_SecCode]="CB18O18A"</f>
        <v>0</v>
      </c>
    </row>
    <row r="590" spans="1:23" hidden="1" x14ac:dyDescent="0.2">
      <c r="A590" s="66">
        <v>43383</v>
      </c>
      <c r="B590" t="s">
        <v>354</v>
      </c>
      <c r="C590" t="s">
        <v>129</v>
      </c>
      <c r="D590" t="s">
        <v>591</v>
      </c>
      <c r="E590" t="s">
        <v>590</v>
      </c>
      <c r="F590" t="s">
        <v>20</v>
      </c>
      <c r="I590" s="66"/>
      <c r="J590" s="6">
        <v>-1046.07</v>
      </c>
      <c r="L590">
        <v>-1046.07</v>
      </c>
      <c r="M590">
        <v>0</v>
      </c>
      <c r="O590">
        <v>0</v>
      </c>
      <c r="P590" t="s">
        <v>22</v>
      </c>
      <c r="Q590" t="s">
        <v>23</v>
      </c>
      <c r="R590" s="66">
        <v>2</v>
      </c>
      <c r="S590" s="6">
        <f>DataTable[HLD_MaturityDate] - DataTable[SEC_Issue_Date]</f>
        <v>-2</v>
      </c>
      <c r="T590" s="66" t="str">
        <f>DataTable[HLD_Portfolio]&amp;DataTable[HLD_Date]</f>
        <v>SCBRM243383</v>
      </c>
      <c r="W590" t="b">
        <f>DataTable[HLD_SecCode]="CB18O18A"</f>
        <v>0</v>
      </c>
    </row>
    <row r="591" spans="1:23" hidden="1" x14ac:dyDescent="0.2">
      <c r="A591" s="66">
        <v>43383</v>
      </c>
      <c r="B591" t="s">
        <v>354</v>
      </c>
      <c r="C591" t="s">
        <v>129</v>
      </c>
      <c r="D591" t="s">
        <v>132</v>
      </c>
      <c r="I591" s="66"/>
      <c r="J591" s="6">
        <v>-111743.89</v>
      </c>
      <c r="K591">
        <v>0</v>
      </c>
      <c r="O591">
        <v>0</v>
      </c>
      <c r="R591" s="66"/>
      <c r="S591" s="6">
        <f>DataTable[HLD_MaturityDate] - DataTable[SEC_Issue_Date]</f>
        <v>0</v>
      </c>
      <c r="T591" s="66" t="str">
        <f>DataTable[HLD_Portfolio]&amp;DataTable[HLD_Date]</f>
        <v>SCBRM243383</v>
      </c>
      <c r="W591" t="b">
        <f>DataTable[HLD_SecCode]="CB18O18A"</f>
        <v>0</v>
      </c>
    </row>
    <row r="592" spans="1:23" hidden="1" x14ac:dyDescent="0.2">
      <c r="A592" s="66">
        <v>43383</v>
      </c>
      <c r="B592" t="s">
        <v>354</v>
      </c>
      <c r="C592" t="s">
        <v>129</v>
      </c>
      <c r="D592" t="s">
        <v>134</v>
      </c>
      <c r="E592" t="s">
        <v>134</v>
      </c>
      <c r="I592" s="66"/>
      <c r="J592" s="6">
        <v>-48769.25</v>
      </c>
      <c r="L592">
        <v>-48769.25</v>
      </c>
      <c r="O592">
        <v>0</v>
      </c>
      <c r="R592" s="66"/>
      <c r="S592" s="6">
        <f>DataTable[HLD_MaturityDate] - DataTable[SEC_Issue_Date]</f>
        <v>0</v>
      </c>
      <c r="T592" s="66" t="str">
        <f>DataTable[HLD_Portfolio]&amp;DataTable[HLD_Date]</f>
        <v>SCBRM243383</v>
      </c>
      <c r="W592" t="b">
        <f>DataTable[HLD_SecCode]="CB18O18A"</f>
        <v>0</v>
      </c>
    </row>
    <row r="593" spans="1:23" hidden="1" x14ac:dyDescent="0.2">
      <c r="A593" s="66">
        <v>43383</v>
      </c>
      <c r="B593" t="s">
        <v>354</v>
      </c>
      <c r="C593" t="s">
        <v>129</v>
      </c>
      <c r="D593" t="s">
        <v>135</v>
      </c>
      <c r="E593" t="s">
        <v>135</v>
      </c>
      <c r="I593" s="66"/>
      <c r="J593" s="6">
        <v>-924177.47</v>
      </c>
      <c r="L593">
        <v>-924177.47</v>
      </c>
      <c r="O593">
        <v>0</v>
      </c>
      <c r="R593" s="66"/>
      <c r="S593" s="6">
        <f>DataTable[HLD_MaturityDate] - DataTable[SEC_Issue_Date]</f>
        <v>0</v>
      </c>
      <c r="T593" s="66" t="str">
        <f>DataTable[HLD_Portfolio]&amp;DataTable[HLD_Date]</f>
        <v>SCBRM243383</v>
      </c>
      <c r="W593" t="b">
        <f>DataTable[HLD_SecCode]="CB18O18A"</f>
        <v>0</v>
      </c>
    </row>
    <row r="594" spans="1:23" hidden="1" x14ac:dyDescent="0.2">
      <c r="A594" s="66">
        <v>43383</v>
      </c>
      <c r="B594" t="s">
        <v>354</v>
      </c>
      <c r="C594" t="s">
        <v>129</v>
      </c>
      <c r="D594" t="s">
        <v>592</v>
      </c>
      <c r="E594" t="s">
        <v>592</v>
      </c>
      <c r="I594" s="66"/>
      <c r="J594" s="6">
        <v>-162564.19</v>
      </c>
      <c r="L594">
        <v>-162564.19</v>
      </c>
      <c r="O594">
        <v>0</v>
      </c>
      <c r="R594" s="66"/>
      <c r="S594" s="6">
        <f>DataTable[HLD_MaturityDate] - DataTable[SEC_Issue_Date]</f>
        <v>0</v>
      </c>
      <c r="T594" s="66" t="str">
        <f>DataTable[HLD_Portfolio]&amp;DataTable[HLD_Date]</f>
        <v>SCBRM243383</v>
      </c>
      <c r="W594" t="b">
        <f>DataTable[HLD_SecCode]="CB18O18A"</f>
        <v>0</v>
      </c>
    </row>
    <row r="595" spans="1:23" hidden="1" x14ac:dyDescent="0.2">
      <c r="A595" s="66">
        <v>43383</v>
      </c>
      <c r="B595" t="s">
        <v>354</v>
      </c>
      <c r="C595" t="s">
        <v>129</v>
      </c>
      <c r="D595" t="s">
        <v>136</v>
      </c>
      <c r="E595" t="s">
        <v>136</v>
      </c>
      <c r="I595" s="66"/>
      <c r="J595" s="6">
        <v>0</v>
      </c>
      <c r="L595">
        <v>0</v>
      </c>
      <c r="O595">
        <v>0</v>
      </c>
      <c r="R595" s="66"/>
      <c r="S595" s="6">
        <f>DataTable[HLD_MaturityDate] - DataTable[SEC_Issue_Date]</f>
        <v>0</v>
      </c>
      <c r="T595" s="66" t="str">
        <f>DataTable[HLD_Portfolio]&amp;DataTable[HLD_Date]</f>
        <v>SCBRM243383</v>
      </c>
      <c r="W595" t="b">
        <f>DataTable[HLD_SecCode]="CB18O18A"</f>
        <v>0</v>
      </c>
    </row>
    <row r="596" spans="1:23" hidden="1" x14ac:dyDescent="0.2">
      <c r="A596" s="66">
        <v>43383</v>
      </c>
      <c r="B596" t="s">
        <v>354</v>
      </c>
      <c r="C596" t="s">
        <v>137</v>
      </c>
      <c r="D596" t="s">
        <v>134</v>
      </c>
      <c r="E596" t="s">
        <v>134</v>
      </c>
      <c r="I596" s="66"/>
      <c r="J596" s="6">
        <v>-5412.9</v>
      </c>
      <c r="L596">
        <v>-5412.9</v>
      </c>
      <c r="O596">
        <v>0</v>
      </c>
      <c r="R596" s="66"/>
      <c r="S596" s="6">
        <f>DataTable[HLD_MaturityDate] - DataTable[SEC_Issue_Date]</f>
        <v>0</v>
      </c>
      <c r="T596" s="66" t="str">
        <f>DataTable[HLD_Portfolio]&amp;DataTable[HLD_Date]</f>
        <v>SCBRM243383</v>
      </c>
      <c r="W596" t="b">
        <f>DataTable[HLD_SecCode]="CB18O18A"</f>
        <v>0</v>
      </c>
    </row>
    <row r="597" spans="1:23" hidden="1" x14ac:dyDescent="0.2">
      <c r="A597" s="66">
        <v>43383</v>
      </c>
      <c r="B597" t="s">
        <v>354</v>
      </c>
      <c r="C597" t="s">
        <v>137</v>
      </c>
      <c r="D597" t="s">
        <v>135</v>
      </c>
      <c r="E597" t="s">
        <v>135</v>
      </c>
      <c r="I597" s="66"/>
      <c r="J597" s="6">
        <v>-102574.54</v>
      </c>
      <c r="L597">
        <v>-102574.54</v>
      </c>
      <c r="O597">
        <v>0</v>
      </c>
      <c r="R597" s="66"/>
      <c r="S597" s="6">
        <f>DataTable[HLD_MaturityDate] - DataTable[SEC_Issue_Date]</f>
        <v>0</v>
      </c>
      <c r="T597" s="66" t="str">
        <f>DataTable[HLD_Portfolio]&amp;DataTable[HLD_Date]</f>
        <v>SCBRM243383</v>
      </c>
      <c r="W597" t="b">
        <f>DataTable[HLD_SecCode]="CB18O18A"</f>
        <v>0</v>
      </c>
    </row>
    <row r="598" spans="1:23" hidden="1" x14ac:dyDescent="0.2">
      <c r="A598" s="66">
        <v>43383</v>
      </c>
      <c r="B598" t="s">
        <v>354</v>
      </c>
      <c r="C598" t="s">
        <v>137</v>
      </c>
      <c r="D598" t="s">
        <v>592</v>
      </c>
      <c r="E598" t="s">
        <v>592</v>
      </c>
      <c r="I598" s="66"/>
      <c r="J598" s="6">
        <v>-18043.009999999998</v>
      </c>
      <c r="L598">
        <v>-18043.009999999998</v>
      </c>
      <c r="O598">
        <v>0</v>
      </c>
      <c r="R598" s="66"/>
      <c r="S598" s="6">
        <f>DataTable[HLD_MaturityDate] - DataTable[SEC_Issue_Date]</f>
        <v>0</v>
      </c>
      <c r="T598" s="66" t="str">
        <f>DataTable[HLD_Portfolio]&amp;DataTable[HLD_Date]</f>
        <v>SCBRM243383</v>
      </c>
      <c r="W598" t="b">
        <f>DataTable[HLD_SecCode]="CB18O18A"</f>
        <v>0</v>
      </c>
    </row>
    <row r="599" spans="1:23" hidden="1" x14ac:dyDescent="0.2">
      <c r="A599" s="66">
        <v>43383</v>
      </c>
      <c r="B599" t="s">
        <v>354</v>
      </c>
      <c r="C599" t="s">
        <v>137</v>
      </c>
      <c r="D599" t="s">
        <v>136</v>
      </c>
      <c r="E599" t="s">
        <v>136</v>
      </c>
      <c r="I599" s="66"/>
      <c r="J599" s="6">
        <v>0</v>
      </c>
      <c r="L599">
        <v>0</v>
      </c>
      <c r="O599">
        <v>0</v>
      </c>
      <c r="R599" s="66"/>
      <c r="S599" s="6">
        <f>DataTable[HLD_MaturityDate] - DataTable[SEC_Issue_Date]</f>
        <v>0</v>
      </c>
      <c r="T599" s="66" t="str">
        <f>DataTable[HLD_Portfolio]&amp;DataTable[HLD_Date]</f>
        <v>SCBRM243383</v>
      </c>
      <c r="W599" t="b">
        <f>DataTable[HLD_SecCode]="CB18O18A"</f>
        <v>0</v>
      </c>
    </row>
    <row r="600" spans="1:23" hidden="1" x14ac:dyDescent="0.2">
      <c r="A600" s="66">
        <v>43383</v>
      </c>
      <c r="B600" t="s">
        <v>350</v>
      </c>
      <c r="C600" t="s">
        <v>18</v>
      </c>
      <c r="D600" t="s">
        <v>19</v>
      </c>
      <c r="F600" t="s">
        <v>20</v>
      </c>
      <c r="G600" t="s">
        <v>146</v>
      </c>
      <c r="I600" s="66"/>
      <c r="J600" s="6">
        <v>3876174.24</v>
      </c>
      <c r="K600">
        <v>16887.490000000002</v>
      </c>
      <c r="L600">
        <v>3876174.24</v>
      </c>
      <c r="M600">
        <v>0</v>
      </c>
      <c r="N600">
        <v>0</v>
      </c>
      <c r="O600">
        <v>0</v>
      </c>
      <c r="P600" t="s">
        <v>22</v>
      </c>
      <c r="Q600" t="s">
        <v>23</v>
      </c>
      <c r="R600" s="66">
        <v>2</v>
      </c>
      <c r="S600" s="6">
        <f>DataTable[HLD_MaturityDate] - DataTable[SEC_Issue_Date]</f>
        <v>-2</v>
      </c>
      <c r="T600" s="66" t="str">
        <f>DataTable[HLD_Portfolio]&amp;DataTable[HLD_Date]</f>
        <v>SCBFPFUND43383</v>
      </c>
      <c r="W600" t="b">
        <f>DataTable[HLD_SecCode]="CB18O18A"</f>
        <v>0</v>
      </c>
    </row>
    <row r="601" spans="1:23" hidden="1" x14ac:dyDescent="0.2">
      <c r="A601" s="66">
        <v>43383</v>
      </c>
      <c r="B601" t="s">
        <v>350</v>
      </c>
      <c r="C601" t="s">
        <v>18</v>
      </c>
      <c r="D601" t="s">
        <v>19</v>
      </c>
      <c r="F601" t="s">
        <v>142</v>
      </c>
      <c r="G601" t="s">
        <v>143</v>
      </c>
      <c r="I601" s="66"/>
      <c r="J601" s="6">
        <v>0</v>
      </c>
      <c r="L601">
        <v>0</v>
      </c>
      <c r="M601">
        <v>0</v>
      </c>
      <c r="N601">
        <v>0</v>
      </c>
      <c r="O601">
        <v>0</v>
      </c>
      <c r="P601" t="s">
        <v>22</v>
      </c>
      <c r="Q601" t="s">
        <v>144</v>
      </c>
      <c r="R601" s="66">
        <v>2</v>
      </c>
      <c r="S601" s="6">
        <f>DataTable[HLD_MaturityDate] - DataTable[SEC_Issue_Date]</f>
        <v>-2</v>
      </c>
      <c r="T601" s="66" t="str">
        <f>DataTable[HLD_Portfolio]&amp;DataTable[HLD_Date]</f>
        <v>SCBFPFUND43383</v>
      </c>
      <c r="W601" t="b">
        <f>DataTable[HLD_SecCode]="CB18O18A"</f>
        <v>0</v>
      </c>
    </row>
    <row r="602" spans="1:23" hidden="1" x14ac:dyDescent="0.2">
      <c r="A602" s="66">
        <v>43383</v>
      </c>
      <c r="B602" t="s">
        <v>350</v>
      </c>
      <c r="C602" t="s">
        <v>18</v>
      </c>
      <c r="D602" t="s">
        <v>19</v>
      </c>
      <c r="F602" t="s">
        <v>25</v>
      </c>
      <c r="G602" t="s">
        <v>26</v>
      </c>
      <c r="H602" t="s">
        <v>27</v>
      </c>
      <c r="I602" s="66"/>
      <c r="J602" s="6">
        <v>0</v>
      </c>
      <c r="L602">
        <v>0</v>
      </c>
      <c r="M602">
        <v>0</v>
      </c>
      <c r="N602">
        <v>0</v>
      </c>
      <c r="O602">
        <v>0</v>
      </c>
      <c r="P602" t="s">
        <v>22</v>
      </c>
      <c r="Q602" t="s">
        <v>28</v>
      </c>
      <c r="R602" s="66">
        <v>2</v>
      </c>
      <c r="S602" s="6">
        <f>DataTable[HLD_MaturityDate] - DataTable[SEC_Issue_Date]</f>
        <v>-2</v>
      </c>
      <c r="T602" s="66" t="str">
        <f>DataTable[HLD_Portfolio]&amp;DataTable[HLD_Date]</f>
        <v>SCBFPFUND43383</v>
      </c>
      <c r="W602" t="b">
        <f>DataTable[HLD_SecCode]="CB18O18A"</f>
        <v>0</v>
      </c>
    </row>
    <row r="603" spans="1:23" hidden="1" x14ac:dyDescent="0.2">
      <c r="A603" s="66">
        <v>43383</v>
      </c>
      <c r="B603" t="s">
        <v>350</v>
      </c>
      <c r="C603" t="s">
        <v>18</v>
      </c>
      <c r="D603" t="s">
        <v>19</v>
      </c>
      <c r="F603" t="s">
        <v>30</v>
      </c>
      <c r="G603" t="s">
        <v>26</v>
      </c>
      <c r="H603" t="s">
        <v>27</v>
      </c>
      <c r="I603" s="66"/>
      <c r="J603" s="6">
        <v>0</v>
      </c>
      <c r="L603">
        <v>0</v>
      </c>
      <c r="M603">
        <v>0</v>
      </c>
      <c r="N603">
        <v>0</v>
      </c>
      <c r="O603">
        <v>0</v>
      </c>
      <c r="P603" t="s">
        <v>22</v>
      </c>
      <c r="Q603" t="s">
        <v>31</v>
      </c>
      <c r="R603" s="66">
        <v>2</v>
      </c>
      <c r="S603" s="6">
        <f>DataTable[HLD_MaturityDate] - DataTable[SEC_Issue_Date]</f>
        <v>-2</v>
      </c>
      <c r="T603" s="66" t="str">
        <f>DataTable[HLD_Portfolio]&amp;DataTable[HLD_Date]</f>
        <v>SCBFPFUND43383</v>
      </c>
      <c r="W603" t="b">
        <f>DataTable[HLD_SecCode]="CB18O18A"</f>
        <v>0</v>
      </c>
    </row>
    <row r="604" spans="1:23" hidden="1" x14ac:dyDescent="0.2">
      <c r="A604" s="66">
        <v>43383</v>
      </c>
      <c r="B604" t="s">
        <v>350</v>
      </c>
      <c r="C604" t="s">
        <v>18</v>
      </c>
      <c r="D604" t="s">
        <v>19</v>
      </c>
      <c r="F604" t="s">
        <v>145</v>
      </c>
      <c r="G604" t="s">
        <v>146</v>
      </c>
      <c r="H604" t="s">
        <v>27</v>
      </c>
      <c r="I604" s="66"/>
      <c r="J604" s="6">
        <v>0</v>
      </c>
      <c r="L604">
        <v>0</v>
      </c>
      <c r="M604">
        <v>0</v>
      </c>
      <c r="N604">
        <v>0</v>
      </c>
      <c r="O604">
        <v>0</v>
      </c>
      <c r="P604" t="s">
        <v>22</v>
      </c>
      <c r="Q604" t="s">
        <v>147</v>
      </c>
      <c r="R604" s="66">
        <v>2</v>
      </c>
      <c r="S604" s="6">
        <f>DataTable[HLD_MaturityDate] - DataTable[SEC_Issue_Date]</f>
        <v>-2</v>
      </c>
      <c r="T604" s="66" t="str">
        <f>DataTable[HLD_Portfolio]&amp;DataTable[HLD_Date]</f>
        <v>SCBFPFUND43383</v>
      </c>
      <c r="W604" t="b">
        <f>DataTable[HLD_SecCode]="CB18O18A"</f>
        <v>0</v>
      </c>
    </row>
    <row r="605" spans="1:23" hidden="1" x14ac:dyDescent="0.2">
      <c r="A605" s="66">
        <v>43383</v>
      </c>
      <c r="B605" t="s">
        <v>350</v>
      </c>
      <c r="C605" t="s">
        <v>18</v>
      </c>
      <c r="D605" t="s">
        <v>19</v>
      </c>
      <c r="F605" t="s">
        <v>32</v>
      </c>
      <c r="G605" t="s">
        <v>26</v>
      </c>
      <c r="H605" t="s">
        <v>27</v>
      </c>
      <c r="I605" s="66"/>
      <c r="J605" s="6">
        <v>0</v>
      </c>
      <c r="L605">
        <v>0</v>
      </c>
      <c r="M605">
        <v>0</v>
      </c>
      <c r="N605">
        <v>0</v>
      </c>
      <c r="O605">
        <v>0</v>
      </c>
      <c r="P605" t="s">
        <v>22</v>
      </c>
      <c r="Q605" t="s">
        <v>33</v>
      </c>
      <c r="R605" s="66">
        <v>2</v>
      </c>
      <c r="S605" s="6">
        <f>DataTable[HLD_MaturityDate] - DataTable[SEC_Issue_Date]</f>
        <v>-2</v>
      </c>
      <c r="T605" s="66" t="str">
        <f>DataTable[HLD_Portfolio]&amp;DataTable[HLD_Date]</f>
        <v>SCBFPFUND43383</v>
      </c>
      <c r="W605" t="b">
        <f>DataTable[HLD_SecCode]="CB18O18A"</f>
        <v>0</v>
      </c>
    </row>
    <row r="606" spans="1:23" hidden="1" x14ac:dyDescent="0.2">
      <c r="A606" s="66">
        <v>43383</v>
      </c>
      <c r="B606" t="s">
        <v>350</v>
      </c>
      <c r="C606" t="s">
        <v>18</v>
      </c>
      <c r="D606" t="s">
        <v>19</v>
      </c>
      <c r="F606" t="s">
        <v>148</v>
      </c>
      <c r="G606" t="s">
        <v>26</v>
      </c>
      <c r="H606" t="s">
        <v>27</v>
      </c>
      <c r="I606" s="66"/>
      <c r="J606" s="6">
        <v>0</v>
      </c>
      <c r="L606">
        <v>0</v>
      </c>
      <c r="M606">
        <v>0</v>
      </c>
      <c r="N606">
        <v>0</v>
      </c>
      <c r="O606">
        <v>0</v>
      </c>
      <c r="P606" t="s">
        <v>22</v>
      </c>
      <c r="Q606" t="s">
        <v>149</v>
      </c>
      <c r="R606" s="66">
        <v>2</v>
      </c>
      <c r="S606" s="6">
        <f>DataTable[HLD_MaturityDate] - DataTable[SEC_Issue_Date]</f>
        <v>-2</v>
      </c>
      <c r="T606" s="66" t="str">
        <f>DataTable[HLD_Portfolio]&amp;DataTable[HLD_Date]</f>
        <v>SCBFPFUND43383</v>
      </c>
      <c r="W606" t="b">
        <f>DataTable[HLD_SecCode]="CB18O18A"</f>
        <v>0</v>
      </c>
    </row>
    <row r="607" spans="1:23" hidden="1" x14ac:dyDescent="0.2">
      <c r="A607" s="66">
        <v>43383</v>
      </c>
      <c r="B607" t="s">
        <v>350</v>
      </c>
      <c r="C607" t="s">
        <v>18</v>
      </c>
      <c r="D607" t="s">
        <v>19</v>
      </c>
      <c r="F607" t="s">
        <v>36</v>
      </c>
      <c r="G607" t="s">
        <v>26</v>
      </c>
      <c r="H607" t="s">
        <v>27</v>
      </c>
      <c r="I607" s="66"/>
      <c r="J607" s="6">
        <v>0</v>
      </c>
      <c r="L607">
        <v>0</v>
      </c>
      <c r="M607">
        <v>0</v>
      </c>
      <c r="N607">
        <v>0</v>
      </c>
      <c r="O607">
        <v>0</v>
      </c>
      <c r="P607" t="s">
        <v>22</v>
      </c>
      <c r="Q607" t="s">
        <v>37</v>
      </c>
      <c r="R607" s="66">
        <v>2</v>
      </c>
      <c r="S607" s="6">
        <f>DataTable[HLD_MaturityDate] - DataTable[SEC_Issue_Date]</f>
        <v>-2</v>
      </c>
      <c r="T607" s="66" t="str">
        <f>DataTable[HLD_Portfolio]&amp;DataTable[HLD_Date]</f>
        <v>SCBFPFUND43383</v>
      </c>
      <c r="W607" t="b">
        <f>DataTable[HLD_SecCode]="CB18O18A"</f>
        <v>0</v>
      </c>
    </row>
    <row r="608" spans="1:23" hidden="1" x14ac:dyDescent="0.2">
      <c r="A608" s="66">
        <v>43383</v>
      </c>
      <c r="B608" t="s">
        <v>350</v>
      </c>
      <c r="C608" t="s">
        <v>18</v>
      </c>
      <c r="D608" t="s">
        <v>38</v>
      </c>
      <c r="F608" t="s">
        <v>152</v>
      </c>
      <c r="G608" t="s">
        <v>153</v>
      </c>
      <c r="H608" t="s">
        <v>47</v>
      </c>
      <c r="I608" s="66">
        <v>43481</v>
      </c>
      <c r="J608" s="6">
        <v>658359702</v>
      </c>
      <c r="K608">
        <v>12262861.109999999</v>
      </c>
      <c r="L608">
        <v>658485835.23000002</v>
      </c>
      <c r="N608">
        <v>20000000</v>
      </c>
      <c r="O608">
        <v>2.6850000000000001</v>
      </c>
      <c r="P608" t="s">
        <v>42</v>
      </c>
      <c r="Q608" t="s">
        <v>37</v>
      </c>
      <c r="R608" s="66">
        <v>43116</v>
      </c>
      <c r="S608" s="6">
        <f>DataTable[HLD_MaturityDate] - DataTable[SEC_Issue_Date]</f>
        <v>365</v>
      </c>
      <c r="T608" s="66" t="str">
        <f>DataTable[HLD_Portfolio]&amp;DataTable[HLD_Date]</f>
        <v>SCBFPFUND43383</v>
      </c>
      <c r="W608" t="b">
        <f>DataTable[HLD_SecCode]="CB18O18A"</f>
        <v>0</v>
      </c>
    </row>
    <row r="609" spans="1:23" hidden="1" x14ac:dyDescent="0.2">
      <c r="A609" s="66">
        <v>43383</v>
      </c>
      <c r="B609" t="s">
        <v>350</v>
      </c>
      <c r="C609" t="s">
        <v>18</v>
      </c>
      <c r="D609" t="s">
        <v>38</v>
      </c>
      <c r="F609" t="s">
        <v>154</v>
      </c>
      <c r="G609" t="s">
        <v>40</v>
      </c>
      <c r="H609" t="s">
        <v>41</v>
      </c>
      <c r="I609" s="66">
        <v>43602</v>
      </c>
      <c r="J609" s="6">
        <v>1500000000</v>
      </c>
      <c r="K609">
        <v>9967808.2200000007</v>
      </c>
      <c r="L609">
        <v>1500000000</v>
      </c>
      <c r="M609">
        <v>0.59415600000000002</v>
      </c>
      <c r="N609">
        <v>1500000000</v>
      </c>
      <c r="O609">
        <v>1.65</v>
      </c>
      <c r="P609" t="s">
        <v>42</v>
      </c>
      <c r="Q609" t="s">
        <v>23</v>
      </c>
      <c r="R609" s="66">
        <v>43237</v>
      </c>
      <c r="S609" s="6">
        <f>DataTable[HLD_MaturityDate] - DataTable[SEC_Issue_Date]</f>
        <v>365</v>
      </c>
      <c r="T609" s="66" t="str">
        <f>DataTable[HLD_Portfolio]&amp;DataTable[HLD_Date]</f>
        <v>SCBFPFUND43383</v>
      </c>
      <c r="W609" t="b">
        <f>DataTable[HLD_SecCode]="CB18O18A"</f>
        <v>0</v>
      </c>
    </row>
    <row r="610" spans="1:23" hidden="1" x14ac:dyDescent="0.2">
      <c r="A610" s="66">
        <v>43383</v>
      </c>
      <c r="B610" t="s">
        <v>350</v>
      </c>
      <c r="C610" t="s">
        <v>18</v>
      </c>
      <c r="D610" t="s">
        <v>38</v>
      </c>
      <c r="F610" t="s">
        <v>636</v>
      </c>
      <c r="G610" t="s">
        <v>40</v>
      </c>
      <c r="H610" t="s">
        <v>41</v>
      </c>
      <c r="I610" s="66">
        <v>43581</v>
      </c>
      <c r="J610" s="6">
        <v>400000000</v>
      </c>
      <c r="K610">
        <v>2745205.48</v>
      </c>
      <c r="L610">
        <v>400000000</v>
      </c>
      <c r="M610">
        <v>0.53811699999999996</v>
      </c>
      <c r="N610">
        <v>400000000</v>
      </c>
      <c r="O610">
        <v>1.5</v>
      </c>
      <c r="P610" t="s">
        <v>42</v>
      </c>
      <c r="Q610" t="s">
        <v>23</v>
      </c>
      <c r="R610" s="66">
        <v>43217</v>
      </c>
      <c r="S610" s="6">
        <f>DataTable[HLD_MaturityDate] - DataTable[SEC_Issue_Date]</f>
        <v>364</v>
      </c>
      <c r="T610" s="66" t="str">
        <f>DataTable[HLD_Portfolio]&amp;DataTable[HLD_Date]</f>
        <v>SCBFPFUND43383</v>
      </c>
      <c r="W610" t="b">
        <f>DataTable[HLD_SecCode]="CB18O18A"</f>
        <v>0</v>
      </c>
    </row>
    <row r="611" spans="1:23" hidden="1" x14ac:dyDescent="0.2">
      <c r="A611" s="66">
        <v>43383</v>
      </c>
      <c r="B611" t="s">
        <v>350</v>
      </c>
      <c r="C611" t="s">
        <v>18</v>
      </c>
      <c r="D611" t="s">
        <v>38</v>
      </c>
      <c r="F611" t="s">
        <v>157</v>
      </c>
      <c r="G611" t="s">
        <v>156</v>
      </c>
      <c r="H611" t="s">
        <v>47</v>
      </c>
      <c r="I611" s="66">
        <v>43441</v>
      </c>
      <c r="J611" s="6">
        <v>1135467000</v>
      </c>
      <c r="L611">
        <v>1135484978.51</v>
      </c>
      <c r="N611">
        <v>30000000</v>
      </c>
      <c r="O611">
        <v>-0.01</v>
      </c>
      <c r="P611" t="s">
        <v>42</v>
      </c>
      <c r="Q611" t="s">
        <v>31</v>
      </c>
      <c r="R611" s="66">
        <v>43076</v>
      </c>
      <c r="S611" s="6">
        <f>DataTable[HLD_MaturityDate] - DataTable[SEC_Issue_Date]</f>
        <v>365</v>
      </c>
      <c r="T611" s="66" t="str">
        <f>DataTable[HLD_Portfolio]&amp;DataTable[HLD_Date]</f>
        <v>SCBFPFUND43383</v>
      </c>
      <c r="W611" t="b">
        <f>DataTable[HLD_SecCode]="CB18O18A"</f>
        <v>0</v>
      </c>
    </row>
    <row r="612" spans="1:23" hidden="1" x14ac:dyDescent="0.2">
      <c r="A612" s="66">
        <v>43383</v>
      </c>
      <c r="B612" t="s">
        <v>350</v>
      </c>
      <c r="C612" t="s">
        <v>18</v>
      </c>
      <c r="D612" t="s">
        <v>38</v>
      </c>
      <c r="F612" t="s">
        <v>637</v>
      </c>
      <c r="G612" t="s">
        <v>156</v>
      </c>
      <c r="H612" t="s">
        <v>47</v>
      </c>
      <c r="I612" s="66">
        <v>43434</v>
      </c>
      <c r="J612" s="6">
        <v>1135467000</v>
      </c>
      <c r="L612">
        <v>1135482770.5899999</v>
      </c>
      <c r="N612">
        <v>30000000</v>
      </c>
      <c r="O612">
        <v>-0.01</v>
      </c>
      <c r="P612" t="s">
        <v>42</v>
      </c>
      <c r="Q612" t="s">
        <v>31</v>
      </c>
      <c r="R612" s="66">
        <v>43070</v>
      </c>
      <c r="S612" s="6">
        <f>DataTable[HLD_MaturityDate] - DataTable[SEC_Issue_Date]</f>
        <v>364</v>
      </c>
      <c r="T612" s="66" t="str">
        <f>DataTable[HLD_Portfolio]&amp;DataTable[HLD_Date]</f>
        <v>SCBFPFUND43383</v>
      </c>
      <c r="W612" t="b">
        <f>DataTable[HLD_SecCode]="CB18O18A"</f>
        <v>0</v>
      </c>
    </row>
    <row r="613" spans="1:23" hidden="1" x14ac:dyDescent="0.2">
      <c r="A613" s="66">
        <v>43383</v>
      </c>
      <c r="B613" t="s">
        <v>350</v>
      </c>
      <c r="C613" t="s">
        <v>18</v>
      </c>
      <c r="D613" t="s">
        <v>38</v>
      </c>
      <c r="F613" t="s">
        <v>638</v>
      </c>
      <c r="G613" t="s">
        <v>46</v>
      </c>
      <c r="H613" t="s">
        <v>47</v>
      </c>
      <c r="I613" s="66">
        <v>43504</v>
      </c>
      <c r="J613" s="6">
        <v>1892445000</v>
      </c>
      <c r="K613">
        <v>901539.77</v>
      </c>
      <c r="L613">
        <v>1950000000</v>
      </c>
      <c r="M613">
        <v>0.336032</v>
      </c>
      <c r="N613">
        <v>50000000</v>
      </c>
      <c r="O613">
        <v>7.0000000000000007E-2</v>
      </c>
      <c r="P613" t="s">
        <v>42</v>
      </c>
      <c r="Q613" t="s">
        <v>31</v>
      </c>
      <c r="R613" s="66">
        <v>43139</v>
      </c>
      <c r="S613" s="6">
        <f>DataTable[HLD_MaturityDate] - DataTable[SEC_Issue_Date]</f>
        <v>365</v>
      </c>
      <c r="T613" s="66" t="str">
        <f>DataTable[HLD_Portfolio]&amp;DataTable[HLD_Date]</f>
        <v>SCBFPFUND43383</v>
      </c>
      <c r="W613" t="b">
        <f>DataTable[HLD_SecCode]="CB18O18A"</f>
        <v>0</v>
      </c>
    </row>
    <row r="614" spans="1:23" hidden="1" x14ac:dyDescent="0.2">
      <c r="A614" s="66">
        <v>43383</v>
      </c>
      <c r="B614" t="s">
        <v>350</v>
      </c>
      <c r="C614" t="s">
        <v>18</v>
      </c>
      <c r="D614" t="s">
        <v>38</v>
      </c>
      <c r="F614" t="s">
        <v>639</v>
      </c>
      <c r="G614" t="s">
        <v>46</v>
      </c>
      <c r="H614" t="s">
        <v>47</v>
      </c>
      <c r="I614" s="66">
        <v>43549</v>
      </c>
      <c r="J614" s="6">
        <v>567733500</v>
      </c>
      <c r="K614">
        <v>128055.45</v>
      </c>
      <c r="L614">
        <v>575550000</v>
      </c>
      <c r="M614">
        <v>0.46102599999999999</v>
      </c>
      <c r="N614">
        <v>15000000</v>
      </c>
      <c r="O614">
        <v>0.04</v>
      </c>
      <c r="P614" t="s">
        <v>42</v>
      </c>
      <c r="Q614" t="s">
        <v>31</v>
      </c>
      <c r="R614" s="66">
        <v>43181</v>
      </c>
      <c r="S614" s="6">
        <f>DataTable[HLD_MaturityDate] - DataTable[SEC_Issue_Date]</f>
        <v>368</v>
      </c>
      <c r="T614" s="66" t="str">
        <f>DataTable[HLD_Portfolio]&amp;DataTable[HLD_Date]</f>
        <v>SCBFPFUND43383</v>
      </c>
      <c r="W614" t="b">
        <f>DataTable[HLD_SecCode]="CB18O18A"</f>
        <v>0</v>
      </c>
    </row>
    <row r="615" spans="1:23" hidden="1" x14ac:dyDescent="0.2">
      <c r="A615" s="66">
        <v>43383</v>
      </c>
      <c r="B615" t="s">
        <v>350</v>
      </c>
      <c r="C615" t="s">
        <v>18</v>
      </c>
      <c r="D615" t="s">
        <v>38</v>
      </c>
      <c r="F615" t="s">
        <v>640</v>
      </c>
      <c r="G615" t="s">
        <v>50</v>
      </c>
      <c r="H615" t="s">
        <v>51</v>
      </c>
      <c r="I615" s="66">
        <v>43410</v>
      </c>
      <c r="J615" s="6">
        <v>988350000</v>
      </c>
      <c r="K615">
        <v>22270820</v>
      </c>
      <c r="L615">
        <v>994800000</v>
      </c>
      <c r="M615">
        <v>7.4865000000000001E-2</v>
      </c>
      <c r="N615">
        <v>30000000</v>
      </c>
      <c r="O615">
        <v>2.4</v>
      </c>
      <c r="P615" t="s">
        <v>42</v>
      </c>
      <c r="Q615" t="s">
        <v>37</v>
      </c>
      <c r="R615" s="66">
        <v>43046</v>
      </c>
      <c r="S615" s="6">
        <f>DataTable[HLD_MaturityDate] - DataTable[SEC_Issue_Date]</f>
        <v>364</v>
      </c>
      <c r="T615" s="66" t="str">
        <f>DataTable[HLD_Portfolio]&amp;DataTable[HLD_Date]</f>
        <v>SCBFPFUND43383</v>
      </c>
      <c r="W615" t="b">
        <f>DataTable[HLD_SecCode]="CB18O18A"</f>
        <v>0</v>
      </c>
    </row>
    <row r="616" spans="1:23" hidden="1" x14ac:dyDescent="0.2">
      <c r="A616" s="66">
        <v>43383</v>
      </c>
      <c r="B616" t="s">
        <v>350</v>
      </c>
      <c r="C616" t="s">
        <v>18</v>
      </c>
      <c r="D616" t="s">
        <v>38</v>
      </c>
      <c r="F616" t="s">
        <v>641</v>
      </c>
      <c r="G616" t="s">
        <v>54</v>
      </c>
      <c r="H616" t="s">
        <v>47</v>
      </c>
      <c r="I616" s="66">
        <v>43587</v>
      </c>
      <c r="J616" s="6">
        <v>1135467000</v>
      </c>
      <c r="K616">
        <v>355464.25</v>
      </c>
      <c r="L616">
        <v>1146000000</v>
      </c>
      <c r="M616">
        <v>0.566442</v>
      </c>
      <c r="N616">
        <v>30000000</v>
      </c>
      <c r="O616">
        <v>7.0000000000000007E-2</v>
      </c>
      <c r="P616" t="s">
        <v>42</v>
      </c>
      <c r="Q616" t="s">
        <v>31</v>
      </c>
      <c r="R616" s="66">
        <v>43223</v>
      </c>
      <c r="S616" s="6">
        <f>DataTable[HLD_MaturityDate] - DataTable[SEC_Issue_Date]</f>
        <v>364</v>
      </c>
      <c r="T616" s="66" t="str">
        <f>DataTable[HLD_Portfolio]&amp;DataTable[HLD_Date]</f>
        <v>SCBFPFUND43383</v>
      </c>
      <c r="W616" t="b">
        <f>DataTable[HLD_SecCode]="CB18O18A"</f>
        <v>0</v>
      </c>
    </row>
    <row r="617" spans="1:23" hidden="1" x14ac:dyDescent="0.2">
      <c r="A617" s="66">
        <v>43383</v>
      </c>
      <c r="B617" t="s">
        <v>350</v>
      </c>
      <c r="C617" t="s">
        <v>18</v>
      </c>
      <c r="D617" t="s">
        <v>38</v>
      </c>
      <c r="F617" t="s">
        <v>173</v>
      </c>
      <c r="G617" t="s">
        <v>54</v>
      </c>
      <c r="H617" t="s">
        <v>47</v>
      </c>
      <c r="I617" s="66">
        <v>43452</v>
      </c>
      <c r="J617" s="6">
        <v>329450000</v>
      </c>
      <c r="K617">
        <v>7264372.5</v>
      </c>
      <c r="L617">
        <v>327400000</v>
      </c>
      <c r="M617">
        <v>0.19070100000000001</v>
      </c>
      <c r="N617">
        <v>10000000</v>
      </c>
      <c r="O617">
        <v>2.7</v>
      </c>
      <c r="P617" t="s">
        <v>42</v>
      </c>
      <c r="Q617" t="s">
        <v>37</v>
      </c>
      <c r="R617" s="66">
        <v>43090</v>
      </c>
      <c r="S617" s="6">
        <f>DataTable[HLD_MaturityDate] - DataTable[SEC_Issue_Date]</f>
        <v>362</v>
      </c>
      <c r="T617" s="66" t="str">
        <f>DataTable[HLD_Portfolio]&amp;DataTable[HLD_Date]</f>
        <v>SCBFPFUND43383</v>
      </c>
      <c r="W617" t="b">
        <f>DataTable[HLD_SecCode]="CB18O18A"</f>
        <v>0</v>
      </c>
    </row>
    <row r="618" spans="1:23" hidden="1" x14ac:dyDescent="0.2">
      <c r="A618" s="66">
        <v>43383</v>
      </c>
      <c r="B618" t="s">
        <v>350</v>
      </c>
      <c r="C618" t="s">
        <v>18</v>
      </c>
      <c r="D618" t="s">
        <v>38</v>
      </c>
      <c r="F618" t="s">
        <v>642</v>
      </c>
      <c r="G618" t="s">
        <v>54</v>
      </c>
      <c r="H618" t="s">
        <v>47</v>
      </c>
      <c r="I618" s="66">
        <v>43728</v>
      </c>
      <c r="J618" s="6">
        <v>658900000</v>
      </c>
      <c r="K618">
        <v>1268382.5</v>
      </c>
      <c r="L618">
        <v>651600000</v>
      </c>
      <c r="M618">
        <v>0.92900700000000003</v>
      </c>
      <c r="N618">
        <v>20000000</v>
      </c>
      <c r="O618">
        <v>3.3</v>
      </c>
      <c r="P618" t="s">
        <v>42</v>
      </c>
      <c r="Q618" t="s">
        <v>37</v>
      </c>
      <c r="R618" s="66">
        <v>43363</v>
      </c>
      <c r="S618" s="6">
        <f>DataTable[HLD_MaturityDate] - DataTable[SEC_Issue_Date]</f>
        <v>365</v>
      </c>
      <c r="T618" s="66" t="str">
        <f>DataTable[HLD_Portfolio]&amp;DataTable[HLD_Date]</f>
        <v>SCBFPFUND43383</v>
      </c>
      <c r="W618" t="b">
        <f>DataTable[HLD_SecCode]="CB18O18A"</f>
        <v>0</v>
      </c>
    </row>
    <row r="619" spans="1:23" hidden="1" x14ac:dyDescent="0.2">
      <c r="A619" s="66">
        <v>43383</v>
      </c>
      <c r="B619" t="s">
        <v>350</v>
      </c>
      <c r="C619" t="s">
        <v>18</v>
      </c>
      <c r="D619" t="s">
        <v>38</v>
      </c>
      <c r="F619" t="s">
        <v>643</v>
      </c>
      <c r="G619" t="s">
        <v>58</v>
      </c>
      <c r="H619" t="s">
        <v>59</v>
      </c>
      <c r="I619" s="66">
        <v>43685</v>
      </c>
      <c r="J619" s="6">
        <v>230000000</v>
      </c>
      <c r="K619">
        <v>685589.04</v>
      </c>
      <c r="L619">
        <v>230000000</v>
      </c>
      <c r="M619">
        <v>0.81595399999999996</v>
      </c>
      <c r="N619">
        <v>230000000</v>
      </c>
      <c r="O619">
        <v>1.7</v>
      </c>
      <c r="P619" t="s">
        <v>42</v>
      </c>
      <c r="Q619" t="s">
        <v>23</v>
      </c>
      <c r="R619" s="66">
        <v>43320</v>
      </c>
      <c r="S619" s="6">
        <f>DataTable[HLD_MaturityDate] - DataTable[SEC_Issue_Date]</f>
        <v>365</v>
      </c>
      <c r="T619" s="66" t="str">
        <f>DataTable[HLD_Portfolio]&amp;DataTable[HLD_Date]</f>
        <v>SCBFPFUND43383</v>
      </c>
      <c r="W619" t="b">
        <f>DataTable[HLD_SecCode]="CB18O18A"</f>
        <v>0</v>
      </c>
    </row>
    <row r="620" spans="1:23" hidden="1" x14ac:dyDescent="0.2">
      <c r="A620" s="66">
        <v>43383</v>
      </c>
      <c r="B620" t="s">
        <v>350</v>
      </c>
      <c r="C620" t="s">
        <v>18</v>
      </c>
      <c r="D620" t="s">
        <v>38</v>
      </c>
      <c r="F620" t="s">
        <v>308</v>
      </c>
      <c r="G620" t="s">
        <v>58</v>
      </c>
      <c r="H620" t="s">
        <v>59</v>
      </c>
      <c r="I620" s="66">
        <v>43564</v>
      </c>
      <c r="J620" s="6">
        <v>1000000000</v>
      </c>
      <c r="K620">
        <v>7602739.7300000004</v>
      </c>
      <c r="L620">
        <v>1000000000</v>
      </c>
      <c r="M620">
        <v>0.49225600000000003</v>
      </c>
      <c r="N620">
        <v>1000000000</v>
      </c>
      <c r="O620">
        <v>1.5</v>
      </c>
      <c r="P620" t="s">
        <v>42</v>
      </c>
      <c r="Q620" t="s">
        <v>23</v>
      </c>
      <c r="R620" s="66">
        <v>43199</v>
      </c>
      <c r="S620" s="6">
        <f>DataTable[HLD_MaturityDate] - DataTable[SEC_Issue_Date]</f>
        <v>365</v>
      </c>
      <c r="T620" s="66" t="str">
        <f>DataTable[HLD_Portfolio]&amp;DataTable[HLD_Date]</f>
        <v>SCBFPFUND43383</v>
      </c>
      <c r="W620" t="b">
        <f>DataTable[HLD_SecCode]="CB18O18A"</f>
        <v>0</v>
      </c>
    </row>
    <row r="621" spans="1:23" hidden="1" x14ac:dyDescent="0.2">
      <c r="A621" s="66">
        <v>43383</v>
      </c>
      <c r="B621" t="s">
        <v>350</v>
      </c>
      <c r="C621" t="s">
        <v>18</v>
      </c>
      <c r="D621" t="s">
        <v>38</v>
      </c>
      <c r="F621" t="s">
        <v>644</v>
      </c>
      <c r="G621" t="s">
        <v>58</v>
      </c>
      <c r="H621" t="s">
        <v>59</v>
      </c>
      <c r="I621" s="66">
        <v>43567</v>
      </c>
      <c r="J621" s="6">
        <v>1000000000</v>
      </c>
      <c r="K621">
        <v>7479452.0499999998</v>
      </c>
      <c r="L621">
        <v>1000000000</v>
      </c>
      <c r="M621">
        <v>0.50035399999999997</v>
      </c>
      <c r="N621">
        <v>1000000000</v>
      </c>
      <c r="O621">
        <v>1.5</v>
      </c>
      <c r="P621" t="s">
        <v>42</v>
      </c>
      <c r="Q621" t="s">
        <v>23</v>
      </c>
      <c r="R621" s="66">
        <v>43202</v>
      </c>
      <c r="S621" s="6">
        <f>DataTable[HLD_MaturityDate] - DataTable[SEC_Issue_Date]</f>
        <v>365</v>
      </c>
      <c r="T621" s="66" t="str">
        <f>DataTable[HLD_Portfolio]&amp;DataTable[HLD_Date]</f>
        <v>SCBFPFUND43383</v>
      </c>
      <c r="W621" t="b">
        <f>DataTable[HLD_SecCode]="CB18O18A"</f>
        <v>0</v>
      </c>
    </row>
    <row r="622" spans="1:23" hidden="1" x14ac:dyDescent="0.2">
      <c r="A622" s="66">
        <v>43383</v>
      </c>
      <c r="B622" t="s">
        <v>350</v>
      </c>
      <c r="C622" t="s">
        <v>18</v>
      </c>
      <c r="D622" t="s">
        <v>38</v>
      </c>
      <c r="F622" t="s">
        <v>645</v>
      </c>
      <c r="G622" t="s">
        <v>58</v>
      </c>
      <c r="H622" t="s">
        <v>59</v>
      </c>
      <c r="I622" s="66">
        <v>43574</v>
      </c>
      <c r="J622" s="6">
        <v>1000000000</v>
      </c>
      <c r="K622">
        <v>7191780.8200000003</v>
      </c>
      <c r="L622">
        <v>1000000000</v>
      </c>
      <c r="M622">
        <v>0.51924099999999995</v>
      </c>
      <c r="N622">
        <v>1000000000</v>
      </c>
      <c r="O622">
        <v>1.5</v>
      </c>
      <c r="P622" t="s">
        <v>42</v>
      </c>
      <c r="Q622" t="s">
        <v>23</v>
      </c>
      <c r="R622" s="66">
        <v>43209</v>
      </c>
      <c r="S622" s="6">
        <f>DataTable[HLD_MaturityDate] - DataTable[SEC_Issue_Date]</f>
        <v>365</v>
      </c>
      <c r="T622" s="66" t="str">
        <f>DataTable[HLD_Portfolio]&amp;DataTable[HLD_Date]</f>
        <v>SCBFPFUND43383</v>
      </c>
      <c r="W622" t="b">
        <f>DataTable[HLD_SecCode]="CB18O18A"</f>
        <v>0</v>
      </c>
    </row>
    <row r="623" spans="1:23" hidden="1" x14ac:dyDescent="0.2">
      <c r="A623" s="66">
        <v>43383</v>
      </c>
      <c r="B623" t="s">
        <v>350</v>
      </c>
      <c r="C623" t="s">
        <v>18</v>
      </c>
      <c r="D623" t="s">
        <v>38</v>
      </c>
      <c r="F623" t="s">
        <v>646</v>
      </c>
      <c r="G623" t="s">
        <v>58</v>
      </c>
      <c r="H623" t="s">
        <v>59</v>
      </c>
      <c r="I623" s="66">
        <v>43488</v>
      </c>
      <c r="J623" s="6">
        <v>280000000</v>
      </c>
      <c r="K623">
        <v>3203506.85</v>
      </c>
      <c r="L623">
        <v>280000000</v>
      </c>
      <c r="M623">
        <v>0.28635300000000002</v>
      </c>
      <c r="N623">
        <v>280000000</v>
      </c>
      <c r="O623">
        <v>1.6</v>
      </c>
      <c r="P623" t="s">
        <v>42</v>
      </c>
      <c r="Q623" t="s">
        <v>23</v>
      </c>
      <c r="R623" s="66">
        <v>43123</v>
      </c>
      <c r="S623" s="6">
        <f>DataTable[HLD_MaturityDate] - DataTable[SEC_Issue_Date]</f>
        <v>365</v>
      </c>
      <c r="T623" s="66" t="str">
        <f>DataTable[HLD_Portfolio]&amp;DataTable[HLD_Date]</f>
        <v>SCBFPFUND43383</v>
      </c>
      <c r="W623" t="b">
        <f>DataTable[HLD_SecCode]="CB18O18A"</f>
        <v>0</v>
      </c>
    </row>
    <row r="624" spans="1:23" hidden="1" x14ac:dyDescent="0.2">
      <c r="A624" s="66">
        <v>43383</v>
      </c>
      <c r="B624" t="s">
        <v>350</v>
      </c>
      <c r="C624" t="s">
        <v>18</v>
      </c>
      <c r="D624" t="s">
        <v>38</v>
      </c>
      <c r="F624" t="s">
        <v>540</v>
      </c>
      <c r="G624" t="s">
        <v>58</v>
      </c>
      <c r="H624" t="s">
        <v>59</v>
      </c>
      <c r="I624" s="66">
        <v>43434</v>
      </c>
      <c r="J624" s="6">
        <v>90000000</v>
      </c>
      <c r="K624">
        <v>1238794.52</v>
      </c>
      <c r="L624">
        <v>90000000</v>
      </c>
      <c r="M624">
        <v>0.13941400000000001</v>
      </c>
      <c r="N624">
        <v>90000000</v>
      </c>
      <c r="O624">
        <v>1.6</v>
      </c>
      <c r="P624" t="s">
        <v>42</v>
      </c>
      <c r="Q624" t="s">
        <v>23</v>
      </c>
      <c r="R624" s="66">
        <v>43070</v>
      </c>
      <c r="S624" s="6">
        <f>DataTable[HLD_MaturityDate] - DataTable[SEC_Issue_Date]</f>
        <v>364</v>
      </c>
      <c r="T624" s="66" t="str">
        <f>DataTable[HLD_Portfolio]&amp;DataTable[HLD_Date]</f>
        <v>SCBFPFUND43383</v>
      </c>
      <c r="W624" t="b">
        <f>DataTable[HLD_SecCode]="CB18O18A"</f>
        <v>0</v>
      </c>
    </row>
    <row r="625" spans="1:23" hidden="1" x14ac:dyDescent="0.2">
      <c r="A625" s="66">
        <v>43383</v>
      </c>
      <c r="B625" t="s">
        <v>350</v>
      </c>
      <c r="C625" t="s">
        <v>18</v>
      </c>
      <c r="D625" t="s">
        <v>38</v>
      </c>
      <c r="F625" t="s">
        <v>647</v>
      </c>
      <c r="G625" t="s">
        <v>179</v>
      </c>
      <c r="H625" t="s">
        <v>51</v>
      </c>
      <c r="I625" s="66">
        <v>43740</v>
      </c>
      <c r="J625" s="6">
        <v>329450000</v>
      </c>
      <c r="K625">
        <v>497835.56</v>
      </c>
      <c r="L625">
        <v>324100000</v>
      </c>
      <c r="M625">
        <v>0.95936600000000005</v>
      </c>
      <c r="N625">
        <v>10000000</v>
      </c>
      <c r="O625">
        <v>3.4</v>
      </c>
      <c r="P625" t="s">
        <v>42</v>
      </c>
      <c r="Q625" t="s">
        <v>37</v>
      </c>
      <c r="R625" s="66">
        <v>43368</v>
      </c>
      <c r="S625" s="6">
        <f>DataTable[HLD_MaturityDate] - DataTable[SEC_Issue_Date]</f>
        <v>372</v>
      </c>
      <c r="T625" s="66" t="str">
        <f>DataTable[HLD_Portfolio]&amp;DataTable[HLD_Date]</f>
        <v>SCBFPFUND43383</v>
      </c>
      <c r="W625" t="b">
        <f>DataTable[HLD_SecCode]="CB18O18A"</f>
        <v>0</v>
      </c>
    </row>
    <row r="626" spans="1:23" hidden="1" x14ac:dyDescent="0.2">
      <c r="A626" s="66">
        <v>43383</v>
      </c>
      <c r="B626" t="s">
        <v>350</v>
      </c>
      <c r="C626" t="s">
        <v>18</v>
      </c>
      <c r="D626" t="s">
        <v>38</v>
      </c>
      <c r="F626" t="s">
        <v>648</v>
      </c>
      <c r="G626" t="s">
        <v>50</v>
      </c>
      <c r="H626" t="s">
        <v>51</v>
      </c>
      <c r="I626" s="66">
        <v>43397</v>
      </c>
      <c r="J626" s="6">
        <v>1153075000</v>
      </c>
      <c r="K626">
        <v>16335229.17</v>
      </c>
      <c r="L626">
        <v>1100750000</v>
      </c>
      <c r="M626">
        <v>3.8843999999999997E-2</v>
      </c>
      <c r="N626">
        <v>35000000</v>
      </c>
      <c r="O626">
        <v>3</v>
      </c>
      <c r="P626" t="s">
        <v>42</v>
      </c>
      <c r="Q626" t="s">
        <v>37</v>
      </c>
      <c r="R626" s="66">
        <v>43214</v>
      </c>
      <c r="S626" s="6">
        <f>DataTable[HLD_MaturityDate] - DataTable[SEC_Issue_Date]</f>
        <v>183</v>
      </c>
      <c r="T626" s="66" t="str">
        <f>DataTable[HLD_Portfolio]&amp;DataTable[HLD_Date]</f>
        <v>SCBFPFUND43383</v>
      </c>
      <c r="W626" t="b">
        <f>DataTable[HLD_SecCode]="CB18O18A"</f>
        <v>0</v>
      </c>
    </row>
    <row r="627" spans="1:23" hidden="1" x14ac:dyDescent="0.2">
      <c r="A627" s="66">
        <v>43383</v>
      </c>
      <c r="B627" t="s">
        <v>350</v>
      </c>
      <c r="C627" t="s">
        <v>18</v>
      </c>
      <c r="D627" t="s">
        <v>38</v>
      </c>
      <c r="F627" t="s">
        <v>649</v>
      </c>
      <c r="G627" t="s">
        <v>75</v>
      </c>
      <c r="H627" t="s">
        <v>59</v>
      </c>
      <c r="I627" s="66">
        <v>44196</v>
      </c>
      <c r="J627" s="6">
        <v>132640424.20999999</v>
      </c>
      <c r="K627">
        <v>189382.87</v>
      </c>
      <c r="L627">
        <v>132640424.20999999</v>
      </c>
      <c r="M627">
        <v>0</v>
      </c>
      <c r="N627">
        <v>132640424.20999999</v>
      </c>
      <c r="O627">
        <v>0</v>
      </c>
      <c r="P627" t="s">
        <v>42</v>
      </c>
      <c r="Q627" t="s">
        <v>23</v>
      </c>
      <c r="R627" s="66">
        <v>40536</v>
      </c>
      <c r="S627" s="6">
        <f>DataTable[HLD_MaturityDate] - DataTable[SEC_Issue_Date]</f>
        <v>3660</v>
      </c>
      <c r="T627" s="66" t="str">
        <f>DataTable[HLD_Portfolio]&amp;DataTable[HLD_Date]</f>
        <v>SCBFPFUND43383</v>
      </c>
      <c r="W627" t="b">
        <f>DataTable[HLD_SecCode]="CB18O18A"</f>
        <v>0</v>
      </c>
    </row>
    <row r="628" spans="1:23" hidden="1" x14ac:dyDescent="0.2">
      <c r="A628" s="66">
        <v>43383</v>
      </c>
      <c r="B628" t="s">
        <v>350</v>
      </c>
      <c r="C628" t="s">
        <v>18</v>
      </c>
      <c r="D628" t="s">
        <v>77</v>
      </c>
      <c r="F628" t="s">
        <v>543</v>
      </c>
      <c r="G628" t="s">
        <v>244</v>
      </c>
      <c r="H628" t="s">
        <v>29</v>
      </c>
      <c r="I628" s="66">
        <v>43550</v>
      </c>
      <c r="J628" s="6">
        <v>988768190</v>
      </c>
      <c r="L628">
        <v>989728190</v>
      </c>
      <c r="M628">
        <v>0.44968599999999997</v>
      </c>
      <c r="N628">
        <v>1000000000</v>
      </c>
      <c r="O628">
        <v>2.282</v>
      </c>
      <c r="P628" t="s">
        <v>42</v>
      </c>
      <c r="Q628" t="s">
        <v>23</v>
      </c>
      <c r="R628" s="66">
        <v>43280</v>
      </c>
      <c r="S628" s="6">
        <f>DataTable[HLD_MaturityDate] - DataTable[SEC_Issue_Date]</f>
        <v>270</v>
      </c>
      <c r="T628" s="66" t="str">
        <f>DataTable[HLD_Portfolio]&amp;DataTable[HLD_Date]</f>
        <v>SCBFPFUND43383</v>
      </c>
      <c r="W628" t="b">
        <f>DataTable[HLD_SecCode]="CB18O18A"</f>
        <v>0</v>
      </c>
    </row>
    <row r="629" spans="1:23" x14ac:dyDescent="0.2">
      <c r="A629" s="66">
        <v>43383</v>
      </c>
      <c r="B629" t="s">
        <v>350</v>
      </c>
      <c r="C629" t="s">
        <v>18</v>
      </c>
      <c r="D629" t="s">
        <v>87</v>
      </c>
      <c r="F629" t="s">
        <v>208</v>
      </c>
      <c r="G629" t="s">
        <v>89</v>
      </c>
      <c r="I629" s="66">
        <v>43461</v>
      </c>
      <c r="J629" s="6">
        <v>1219449900.0599999</v>
      </c>
      <c r="L629">
        <v>1219452101.46</v>
      </c>
      <c r="M629">
        <v>0.210337</v>
      </c>
      <c r="N629">
        <v>1223000000</v>
      </c>
      <c r="O629">
        <v>1.379141</v>
      </c>
      <c r="P629" t="s">
        <v>42</v>
      </c>
      <c r="Q629" t="s">
        <v>23</v>
      </c>
      <c r="R629" s="66">
        <v>43370</v>
      </c>
      <c r="S629" s="6">
        <f>DataTable[HLD_MaturityDate] - DataTable[SEC_Issue_Date]</f>
        <v>91</v>
      </c>
      <c r="T629" s="66" t="str">
        <f>DataTable[HLD_Portfolio]&amp;DataTable[HLD_Date]</f>
        <v>SCBFPFUND43383</v>
      </c>
      <c r="W629" t="b">
        <f>DataTable[HLD_SecCode]="CB18O18A"</f>
        <v>0</v>
      </c>
    </row>
    <row r="630" spans="1:23" x14ac:dyDescent="0.2">
      <c r="A630" s="66">
        <v>43383</v>
      </c>
      <c r="B630" t="s">
        <v>350</v>
      </c>
      <c r="C630" t="s">
        <v>18</v>
      </c>
      <c r="D630" t="s">
        <v>87</v>
      </c>
      <c r="F630" t="s">
        <v>97</v>
      </c>
      <c r="G630" t="s">
        <v>89</v>
      </c>
      <c r="I630" s="66">
        <v>43426</v>
      </c>
      <c r="J630" s="6">
        <v>70899652.859999999</v>
      </c>
      <c r="L630">
        <v>70899652.859999999</v>
      </c>
      <c r="M630">
        <v>0.114899</v>
      </c>
      <c r="N630">
        <v>71000000</v>
      </c>
      <c r="O630">
        <v>1.23</v>
      </c>
      <c r="P630" t="s">
        <v>42</v>
      </c>
      <c r="Q630" t="s">
        <v>23</v>
      </c>
      <c r="R630" s="66">
        <v>43244</v>
      </c>
      <c r="S630" s="6">
        <f>DataTable[HLD_MaturityDate] - DataTable[SEC_Issue_Date]</f>
        <v>182</v>
      </c>
      <c r="T630" s="66" t="str">
        <f>DataTable[HLD_Portfolio]&amp;DataTable[HLD_Date]</f>
        <v>SCBFPFUND43383</v>
      </c>
      <c r="W630" t="b">
        <f>DataTable[HLD_SecCode]="CB18O18A"</f>
        <v>0</v>
      </c>
    </row>
    <row r="631" spans="1:23" x14ac:dyDescent="0.2">
      <c r="A631" s="66">
        <v>43383</v>
      </c>
      <c r="B631" t="s">
        <v>350</v>
      </c>
      <c r="C631" t="s">
        <v>18</v>
      </c>
      <c r="D631" t="s">
        <v>87</v>
      </c>
      <c r="F631" t="s">
        <v>104</v>
      </c>
      <c r="G631" t="s">
        <v>89</v>
      </c>
      <c r="I631" s="66">
        <v>43391</v>
      </c>
      <c r="J631" s="6">
        <v>38991325.619999997</v>
      </c>
      <c r="L631">
        <v>38991325.619999997</v>
      </c>
      <c r="M631">
        <v>1.9174E-2</v>
      </c>
      <c r="N631">
        <v>39000000</v>
      </c>
      <c r="O631">
        <v>1.1599999999999999</v>
      </c>
      <c r="P631" t="s">
        <v>42</v>
      </c>
      <c r="Q631" t="s">
        <v>23</v>
      </c>
      <c r="R631" s="66">
        <v>43209</v>
      </c>
      <c r="S631" s="6">
        <f>DataTable[HLD_MaturityDate] - DataTable[SEC_Issue_Date]</f>
        <v>182</v>
      </c>
      <c r="T631" s="66" t="str">
        <f>DataTable[HLD_Portfolio]&amp;DataTable[HLD_Date]</f>
        <v>SCBFPFUND43383</v>
      </c>
      <c r="W631" t="b">
        <f>DataTable[HLD_SecCode]="CB18O18A"</f>
        <v>1</v>
      </c>
    </row>
    <row r="632" spans="1:23" x14ac:dyDescent="0.2">
      <c r="A632" s="66">
        <v>43383</v>
      </c>
      <c r="B632" t="s">
        <v>350</v>
      </c>
      <c r="C632" t="s">
        <v>18</v>
      </c>
      <c r="D632" t="s">
        <v>87</v>
      </c>
      <c r="F632" t="s">
        <v>210</v>
      </c>
      <c r="G632" t="s">
        <v>89</v>
      </c>
      <c r="I632" s="66">
        <v>43468</v>
      </c>
      <c r="J632" s="6">
        <v>32894018.190000001</v>
      </c>
      <c r="L632">
        <v>32891754.719999999</v>
      </c>
      <c r="M632">
        <v>0.22930300000000001</v>
      </c>
      <c r="N632">
        <v>33000000</v>
      </c>
      <c r="O632">
        <v>1.43</v>
      </c>
      <c r="P632" t="s">
        <v>42</v>
      </c>
      <c r="Q632" t="s">
        <v>23</v>
      </c>
      <c r="R632" s="66">
        <v>43286</v>
      </c>
      <c r="S632" s="6">
        <f>DataTable[HLD_MaturityDate] - DataTable[SEC_Issue_Date]</f>
        <v>182</v>
      </c>
      <c r="T632" s="66" t="str">
        <f>DataTable[HLD_Portfolio]&amp;DataTable[HLD_Date]</f>
        <v>SCBFPFUND43383</v>
      </c>
      <c r="W632" t="b">
        <f>DataTable[HLD_SecCode]="CB18O18A"</f>
        <v>0</v>
      </c>
    </row>
    <row r="633" spans="1:23" x14ac:dyDescent="0.2">
      <c r="A633" s="66">
        <v>43383</v>
      </c>
      <c r="B633" t="s">
        <v>350</v>
      </c>
      <c r="C633" t="s">
        <v>18</v>
      </c>
      <c r="D633" t="s">
        <v>87</v>
      </c>
      <c r="F633" t="s">
        <v>599</v>
      </c>
      <c r="G633" t="s">
        <v>89</v>
      </c>
      <c r="I633" s="66">
        <v>43510</v>
      </c>
      <c r="J633" s="6">
        <v>118346338.95</v>
      </c>
      <c r="L633">
        <v>118395822.72</v>
      </c>
      <c r="M633">
        <v>0.34330899999999998</v>
      </c>
      <c r="N633">
        <v>119000000</v>
      </c>
      <c r="O633">
        <v>1.4782569999999999</v>
      </c>
      <c r="P633" t="s">
        <v>42</v>
      </c>
      <c r="Q633" t="s">
        <v>23</v>
      </c>
      <c r="R633" s="66">
        <v>43328</v>
      </c>
      <c r="S633" s="6">
        <f>DataTable[HLD_MaturityDate] - DataTable[SEC_Issue_Date]</f>
        <v>182</v>
      </c>
      <c r="T633" s="66" t="str">
        <f>DataTable[HLD_Portfolio]&amp;DataTable[HLD_Date]</f>
        <v>SCBFPFUND43383</v>
      </c>
      <c r="W633" t="b">
        <f>DataTable[HLD_SecCode]="CB18O18A"</f>
        <v>0</v>
      </c>
    </row>
    <row r="634" spans="1:23" x14ac:dyDescent="0.2">
      <c r="A634" s="66">
        <v>43383</v>
      </c>
      <c r="B634" t="s">
        <v>350</v>
      </c>
      <c r="C634" t="s">
        <v>18</v>
      </c>
      <c r="D634" t="s">
        <v>87</v>
      </c>
      <c r="F634" t="s">
        <v>600</v>
      </c>
      <c r="G634" t="s">
        <v>89</v>
      </c>
      <c r="I634" s="66">
        <v>43524</v>
      </c>
      <c r="J634" s="6">
        <v>689766912.29999995</v>
      </c>
      <c r="L634">
        <v>690107111.10000002</v>
      </c>
      <c r="M634">
        <v>0.38122200000000001</v>
      </c>
      <c r="N634">
        <v>694000000</v>
      </c>
      <c r="O634">
        <v>1.4706859999999999</v>
      </c>
      <c r="P634" t="s">
        <v>42</v>
      </c>
      <c r="Q634" t="s">
        <v>23</v>
      </c>
      <c r="R634" s="66">
        <v>43342</v>
      </c>
      <c r="S634" s="6">
        <f>DataTable[HLD_MaturityDate] - DataTable[SEC_Issue_Date]</f>
        <v>182</v>
      </c>
      <c r="T634" s="66" t="str">
        <f>DataTable[HLD_Portfolio]&amp;DataTable[HLD_Date]</f>
        <v>SCBFPFUND43383</v>
      </c>
      <c r="W634" t="b">
        <f>DataTable[HLD_SecCode]="CB18O18A"</f>
        <v>0</v>
      </c>
    </row>
    <row r="635" spans="1:23" x14ac:dyDescent="0.2">
      <c r="A635" s="66">
        <v>43383</v>
      </c>
      <c r="B635" t="s">
        <v>350</v>
      </c>
      <c r="C635" t="s">
        <v>18</v>
      </c>
      <c r="D635" t="s">
        <v>87</v>
      </c>
      <c r="F635" t="s">
        <v>601</v>
      </c>
      <c r="G635" t="s">
        <v>89</v>
      </c>
      <c r="I635" s="66">
        <v>43531</v>
      </c>
      <c r="J635" s="6">
        <v>46700208.149999999</v>
      </c>
      <c r="L635">
        <v>46706555.030000001</v>
      </c>
      <c r="M635">
        <v>0.400171</v>
      </c>
      <c r="N635">
        <v>47000000</v>
      </c>
      <c r="O635">
        <v>1.56</v>
      </c>
      <c r="P635" t="s">
        <v>42</v>
      </c>
      <c r="Q635" t="s">
        <v>23</v>
      </c>
      <c r="R635" s="66">
        <v>43349</v>
      </c>
      <c r="S635" s="6">
        <f>DataTable[HLD_MaturityDate] - DataTable[SEC_Issue_Date]</f>
        <v>182</v>
      </c>
      <c r="T635" s="66" t="str">
        <f>DataTable[HLD_Portfolio]&amp;DataTable[HLD_Date]</f>
        <v>SCBFPFUND43383</v>
      </c>
      <c r="W635" t="b">
        <f>DataTable[HLD_SecCode]="CB18O18A"</f>
        <v>0</v>
      </c>
    </row>
    <row r="636" spans="1:23" x14ac:dyDescent="0.2">
      <c r="A636" s="66">
        <v>43383</v>
      </c>
      <c r="B636" t="s">
        <v>350</v>
      </c>
      <c r="C636" t="s">
        <v>18</v>
      </c>
      <c r="D636" t="s">
        <v>87</v>
      </c>
      <c r="F636" t="s">
        <v>602</v>
      </c>
      <c r="G636" t="s">
        <v>89</v>
      </c>
      <c r="I636" s="66">
        <v>43545</v>
      </c>
      <c r="J636" s="6">
        <v>88356931.390000001</v>
      </c>
      <c r="L636">
        <v>88384277.530000001</v>
      </c>
      <c r="M636">
        <v>0.43790899999999999</v>
      </c>
      <c r="N636">
        <v>89000000</v>
      </c>
      <c r="O636">
        <v>1.5793440000000001</v>
      </c>
      <c r="P636" t="s">
        <v>42</v>
      </c>
      <c r="Q636" t="s">
        <v>23</v>
      </c>
      <c r="R636" s="66">
        <v>43363</v>
      </c>
      <c r="S636" s="6">
        <f>DataTable[HLD_MaturityDate] - DataTable[SEC_Issue_Date]</f>
        <v>182</v>
      </c>
      <c r="T636" s="66" t="str">
        <f>DataTable[HLD_Portfolio]&amp;DataTable[HLD_Date]</f>
        <v>SCBFPFUND43383</v>
      </c>
      <c r="W636" t="b">
        <f>DataTable[HLD_SecCode]="CB18O18A"</f>
        <v>0</v>
      </c>
    </row>
    <row r="637" spans="1:23" x14ac:dyDescent="0.2">
      <c r="A637" s="66">
        <v>43383</v>
      </c>
      <c r="B637" t="s">
        <v>350</v>
      </c>
      <c r="C637" t="s">
        <v>18</v>
      </c>
      <c r="D637" t="s">
        <v>87</v>
      </c>
      <c r="F637" t="s">
        <v>603</v>
      </c>
      <c r="G637" t="s">
        <v>89</v>
      </c>
      <c r="I637" s="66">
        <v>43552</v>
      </c>
      <c r="J637" s="6">
        <v>137968073.72999999</v>
      </c>
      <c r="L637">
        <v>138002750.06</v>
      </c>
      <c r="M637">
        <v>0.45685700000000001</v>
      </c>
      <c r="N637">
        <v>139000000</v>
      </c>
      <c r="O637">
        <v>1.57</v>
      </c>
      <c r="P637" t="s">
        <v>42</v>
      </c>
      <c r="Q637" t="s">
        <v>23</v>
      </c>
      <c r="R637" s="66">
        <v>43370</v>
      </c>
      <c r="S637" s="6">
        <f>DataTable[HLD_MaturityDate] - DataTable[SEC_Issue_Date]</f>
        <v>182</v>
      </c>
      <c r="T637" s="66" t="str">
        <f>DataTable[HLD_Portfolio]&amp;DataTable[HLD_Date]</f>
        <v>SCBFPFUND43383</v>
      </c>
      <c r="W637" t="b">
        <f>DataTable[HLD_SecCode]="CB18O18A"</f>
        <v>0</v>
      </c>
    </row>
    <row r="638" spans="1:23" x14ac:dyDescent="0.2">
      <c r="A638" s="66">
        <v>43383</v>
      </c>
      <c r="B638" t="s">
        <v>350</v>
      </c>
      <c r="C638" t="s">
        <v>18</v>
      </c>
      <c r="D638" t="s">
        <v>87</v>
      </c>
      <c r="F638" t="s">
        <v>604</v>
      </c>
      <c r="G638" t="s">
        <v>89</v>
      </c>
      <c r="I638" s="66">
        <v>43559</v>
      </c>
      <c r="J638" s="6">
        <v>963378747.23000002</v>
      </c>
      <c r="L638">
        <v>963619399.87</v>
      </c>
      <c r="M638">
        <v>0.47568899999999997</v>
      </c>
      <c r="N638">
        <v>971000000</v>
      </c>
      <c r="O638">
        <v>1.5974999999999999</v>
      </c>
      <c r="P638" t="s">
        <v>42</v>
      </c>
      <c r="Q638" t="s">
        <v>23</v>
      </c>
      <c r="R638" s="66">
        <v>43377</v>
      </c>
      <c r="S638" s="6">
        <f>DataTable[HLD_MaturityDate] - DataTable[SEC_Issue_Date]</f>
        <v>182</v>
      </c>
      <c r="T638" s="66" t="str">
        <f>DataTable[HLD_Portfolio]&amp;DataTable[HLD_Date]</f>
        <v>SCBFPFUND43383</v>
      </c>
      <c r="W638" t="b">
        <f>DataTable[HLD_SecCode]="CB18O18A"</f>
        <v>0</v>
      </c>
    </row>
    <row r="639" spans="1:23" x14ac:dyDescent="0.2">
      <c r="A639" s="66">
        <v>43383</v>
      </c>
      <c r="B639" t="s">
        <v>350</v>
      </c>
      <c r="C639" t="s">
        <v>18</v>
      </c>
      <c r="D639" t="s">
        <v>87</v>
      </c>
      <c r="F639" t="s">
        <v>606</v>
      </c>
      <c r="G639" t="s">
        <v>89</v>
      </c>
      <c r="I639" s="66">
        <v>43713</v>
      </c>
      <c r="J639" s="6">
        <v>612082956.39999998</v>
      </c>
      <c r="L639">
        <v>612421200</v>
      </c>
      <c r="M639">
        <v>0.88699899999999998</v>
      </c>
      <c r="N639">
        <v>622000000</v>
      </c>
      <c r="O639">
        <v>1.735233</v>
      </c>
      <c r="P639" t="s">
        <v>42</v>
      </c>
      <c r="Q639" t="s">
        <v>23</v>
      </c>
      <c r="R639" s="66">
        <v>43349</v>
      </c>
      <c r="S639" s="6">
        <f>DataTable[HLD_MaturityDate] - DataTable[SEC_Issue_Date]</f>
        <v>364</v>
      </c>
      <c r="T639" s="66" t="str">
        <f>DataTable[HLD_Portfolio]&amp;DataTable[HLD_Date]</f>
        <v>SCBFPFUND43383</v>
      </c>
      <c r="W639" t="b">
        <f>DataTable[HLD_SecCode]="CB18O18A"</f>
        <v>0</v>
      </c>
    </row>
    <row r="640" spans="1:23" x14ac:dyDescent="0.2">
      <c r="A640" s="66">
        <v>43383</v>
      </c>
      <c r="B640" t="s">
        <v>350</v>
      </c>
      <c r="C640" t="s">
        <v>18</v>
      </c>
      <c r="D640" t="s">
        <v>112</v>
      </c>
      <c r="F640" t="s">
        <v>607</v>
      </c>
      <c r="G640" t="s">
        <v>89</v>
      </c>
      <c r="I640" s="66">
        <v>43545</v>
      </c>
      <c r="J640" s="6">
        <v>743375999.75999999</v>
      </c>
      <c r="K640">
        <v>611508.47999999998</v>
      </c>
      <c r="L640">
        <v>744359768.63999999</v>
      </c>
      <c r="M640">
        <v>0.43736700000000001</v>
      </c>
      <c r="N640">
        <v>744000000</v>
      </c>
      <c r="O640">
        <v>1.403095</v>
      </c>
      <c r="P640" t="s">
        <v>42</v>
      </c>
      <c r="Q640" t="s">
        <v>23</v>
      </c>
      <c r="R640" s="66">
        <v>42450</v>
      </c>
      <c r="S640" s="6">
        <f>DataTable[HLD_MaturityDate] - DataTable[SEC_Issue_Date]</f>
        <v>1095</v>
      </c>
      <c r="T640" s="66" t="str">
        <f>DataTable[HLD_Portfolio]&amp;DataTable[HLD_Date]</f>
        <v>SCBFPFUND43383</v>
      </c>
      <c r="W640" t="b">
        <f>DataTable[HLD_SecCode]="CB18O18A"</f>
        <v>0</v>
      </c>
    </row>
    <row r="641" spans="1:23" x14ac:dyDescent="0.2">
      <c r="A641" s="66">
        <v>43383</v>
      </c>
      <c r="B641" t="s">
        <v>350</v>
      </c>
      <c r="C641" t="s">
        <v>18</v>
      </c>
      <c r="D641" t="s">
        <v>112</v>
      </c>
      <c r="F641" t="s">
        <v>650</v>
      </c>
      <c r="G641" t="s">
        <v>89</v>
      </c>
      <c r="I641" s="66">
        <v>43887</v>
      </c>
      <c r="J641" s="6">
        <v>196433443.80000001</v>
      </c>
      <c r="K641">
        <v>334376.46000000002</v>
      </c>
      <c r="L641">
        <v>197588637.18000001</v>
      </c>
      <c r="M641">
        <v>1.355065</v>
      </c>
      <c r="N641">
        <v>198000000</v>
      </c>
      <c r="O641">
        <v>1.4884820000000001</v>
      </c>
      <c r="P641" t="s">
        <v>42</v>
      </c>
      <c r="Q641" t="s">
        <v>23</v>
      </c>
      <c r="R641" s="66">
        <v>43157</v>
      </c>
      <c r="S641" s="6">
        <f>DataTable[HLD_MaturityDate] - DataTable[SEC_Issue_Date]</f>
        <v>730</v>
      </c>
      <c r="T641" s="66" t="str">
        <f>DataTable[HLD_Portfolio]&amp;DataTable[HLD_Date]</f>
        <v>SCBFPFUND43383</v>
      </c>
      <c r="W641" t="b">
        <f>DataTable[HLD_SecCode]="CB18O18A"</f>
        <v>0</v>
      </c>
    </row>
    <row r="642" spans="1:23" x14ac:dyDescent="0.2">
      <c r="A642" s="66">
        <v>43383</v>
      </c>
      <c r="B642" t="s">
        <v>350</v>
      </c>
      <c r="C642" t="s">
        <v>18</v>
      </c>
      <c r="D642" t="s">
        <v>112</v>
      </c>
      <c r="F642" t="s">
        <v>608</v>
      </c>
      <c r="G642" t="s">
        <v>89</v>
      </c>
      <c r="I642" s="66">
        <v>43917</v>
      </c>
      <c r="J642" s="6">
        <v>895750626.74000001</v>
      </c>
      <c r="K642">
        <v>609652.19999999995</v>
      </c>
      <c r="L642">
        <v>898699568.94000006</v>
      </c>
      <c r="M642">
        <v>1.4304479999999999</v>
      </c>
      <c r="N642">
        <v>898000000</v>
      </c>
      <c r="O642">
        <v>1.7205189999999999</v>
      </c>
      <c r="P642" t="s">
        <v>42</v>
      </c>
      <c r="Q642" t="s">
        <v>23</v>
      </c>
      <c r="R642" s="66">
        <v>42821</v>
      </c>
      <c r="S642" s="6">
        <f>DataTable[HLD_MaturityDate] - DataTable[SEC_Issue_Date]</f>
        <v>1096</v>
      </c>
      <c r="T642" s="66" t="str">
        <f>DataTable[HLD_Portfolio]&amp;DataTable[HLD_Date]</f>
        <v>SCBFPFUND43383</v>
      </c>
      <c r="W642" t="b">
        <f>DataTable[HLD_SecCode]="CB18O18A"</f>
        <v>0</v>
      </c>
    </row>
    <row r="643" spans="1:23" x14ac:dyDescent="0.2">
      <c r="A643" s="66">
        <v>43383</v>
      </c>
      <c r="B643" t="s">
        <v>350</v>
      </c>
      <c r="C643" t="s">
        <v>18</v>
      </c>
      <c r="D643" t="s">
        <v>112</v>
      </c>
      <c r="F643" t="s">
        <v>609</v>
      </c>
      <c r="G643" t="s">
        <v>85</v>
      </c>
      <c r="H643" t="s">
        <v>29</v>
      </c>
      <c r="I643" s="66">
        <v>44391</v>
      </c>
      <c r="J643" s="6">
        <v>721172845.25999999</v>
      </c>
      <c r="K643">
        <v>2112698.52</v>
      </c>
      <c r="L643">
        <v>721941336</v>
      </c>
      <c r="M643">
        <v>2.6990980000000002</v>
      </c>
      <c r="N643">
        <v>666000000</v>
      </c>
      <c r="O643">
        <v>1.2076089999999999</v>
      </c>
      <c r="P643" t="s">
        <v>42</v>
      </c>
      <c r="Q643" t="s">
        <v>23</v>
      </c>
      <c r="R643" s="66">
        <v>40738</v>
      </c>
      <c r="S643" s="6">
        <f>DataTable[HLD_MaturityDate] - DataTable[SEC_Issue_Date]</f>
        <v>3653</v>
      </c>
      <c r="T643" s="66" t="str">
        <f>DataTable[HLD_Portfolio]&amp;DataTable[HLD_Date]</f>
        <v>SCBFPFUND43383</v>
      </c>
      <c r="W643" t="b">
        <f>DataTable[HLD_SecCode]="CB18O18A"</f>
        <v>0</v>
      </c>
    </row>
    <row r="644" spans="1:23" x14ac:dyDescent="0.2">
      <c r="A644" s="66">
        <v>43383</v>
      </c>
      <c r="B644" t="s">
        <v>350</v>
      </c>
      <c r="C644" t="s">
        <v>18</v>
      </c>
      <c r="D644" t="s">
        <v>112</v>
      </c>
      <c r="F644" t="s">
        <v>651</v>
      </c>
      <c r="G644" t="s">
        <v>85</v>
      </c>
      <c r="H644" t="s">
        <v>29</v>
      </c>
      <c r="I644" s="66">
        <v>43477</v>
      </c>
      <c r="J644" s="6">
        <v>785588355.25999999</v>
      </c>
      <c r="K644">
        <v>10910648.66</v>
      </c>
      <c r="L644">
        <v>786109553.01999998</v>
      </c>
      <c r="M644">
        <v>0.25268499999999999</v>
      </c>
      <c r="N644">
        <v>778000000</v>
      </c>
      <c r="O644">
        <v>1.4112880000000001</v>
      </c>
      <c r="P644" t="s">
        <v>42</v>
      </c>
      <c r="Q644" t="s">
        <v>23</v>
      </c>
      <c r="R644" s="66">
        <v>39094</v>
      </c>
      <c r="S644" s="6">
        <f>DataTable[HLD_MaturityDate] - DataTable[SEC_Issue_Date]</f>
        <v>4383</v>
      </c>
      <c r="T644" s="66" t="str">
        <f>DataTable[HLD_Portfolio]&amp;DataTable[HLD_Date]</f>
        <v>SCBFPFUND43383</v>
      </c>
      <c r="W644" t="b">
        <f>DataTable[HLD_SecCode]="CB18O18A"</f>
        <v>0</v>
      </c>
    </row>
    <row r="645" spans="1:23" x14ac:dyDescent="0.2">
      <c r="A645" s="66">
        <v>43383</v>
      </c>
      <c r="B645" t="s">
        <v>350</v>
      </c>
      <c r="C645" t="s">
        <v>18</v>
      </c>
      <c r="D645" t="s">
        <v>112</v>
      </c>
      <c r="F645" t="s">
        <v>652</v>
      </c>
      <c r="G645" t="s">
        <v>85</v>
      </c>
      <c r="H645" t="s">
        <v>29</v>
      </c>
      <c r="I645" s="66">
        <v>43532</v>
      </c>
      <c r="J645" s="6">
        <v>160505841.61000001</v>
      </c>
      <c r="K645">
        <v>496760.61</v>
      </c>
      <c r="L645">
        <v>160540759.36000001</v>
      </c>
      <c r="M645">
        <v>0.40238099999999999</v>
      </c>
      <c r="N645">
        <v>159260000</v>
      </c>
      <c r="O645">
        <v>1.486116</v>
      </c>
      <c r="P645" t="s">
        <v>42</v>
      </c>
      <c r="Q645" t="s">
        <v>23</v>
      </c>
      <c r="R645" s="66">
        <v>40851</v>
      </c>
      <c r="S645" s="6">
        <f>DataTable[HLD_MaturityDate] - DataTable[SEC_Issue_Date]</f>
        <v>2681</v>
      </c>
      <c r="T645" s="66" t="str">
        <f>DataTable[HLD_Portfolio]&amp;DataTable[HLD_Date]</f>
        <v>SCBFPFUND43383</v>
      </c>
      <c r="W645" t="b">
        <f>DataTable[HLD_SecCode]="CB18O18A"</f>
        <v>0</v>
      </c>
    </row>
    <row r="646" spans="1:23" x14ac:dyDescent="0.2">
      <c r="A646" s="66">
        <v>43383</v>
      </c>
      <c r="B646" t="s">
        <v>350</v>
      </c>
      <c r="C646" t="s">
        <v>18</v>
      </c>
      <c r="D646" t="s">
        <v>112</v>
      </c>
      <c r="F646" t="s">
        <v>548</v>
      </c>
      <c r="G646" t="s">
        <v>85</v>
      </c>
      <c r="H646" t="s">
        <v>29</v>
      </c>
      <c r="I646" s="66">
        <v>44008</v>
      </c>
      <c r="J646" s="6">
        <v>3545235304.5700002</v>
      </c>
      <c r="K646">
        <v>26245918.739999998</v>
      </c>
      <c r="L646">
        <v>3560964865.4499998</v>
      </c>
      <c r="M646">
        <v>1.6547639999999999</v>
      </c>
      <c r="N646">
        <v>3511000000</v>
      </c>
      <c r="O646">
        <v>1.6983729999999999</v>
      </c>
      <c r="P646" t="s">
        <v>42</v>
      </c>
      <c r="Q646" t="s">
        <v>23</v>
      </c>
      <c r="R646" s="66">
        <v>42181</v>
      </c>
      <c r="S646" s="6">
        <f>DataTable[HLD_MaturityDate] - DataTable[SEC_Issue_Date]</f>
        <v>1827</v>
      </c>
      <c r="T646" s="66" t="str">
        <f>DataTable[HLD_Portfolio]&amp;DataTable[HLD_Date]</f>
        <v>SCBFPFUND43383</v>
      </c>
      <c r="W646" t="b">
        <f>DataTable[HLD_SecCode]="CB18O18A"</f>
        <v>0</v>
      </c>
    </row>
    <row r="647" spans="1:23" x14ac:dyDescent="0.2">
      <c r="A647" s="66">
        <v>43383</v>
      </c>
      <c r="B647" t="s">
        <v>350</v>
      </c>
      <c r="C647" t="s">
        <v>18</v>
      </c>
      <c r="D647" t="s">
        <v>112</v>
      </c>
      <c r="F647" t="s">
        <v>653</v>
      </c>
      <c r="G647" t="s">
        <v>85</v>
      </c>
      <c r="H647" t="s">
        <v>29</v>
      </c>
      <c r="I647" s="66">
        <v>44547</v>
      </c>
      <c r="J647" s="6">
        <v>609911081.77999997</v>
      </c>
      <c r="K647">
        <v>6762800</v>
      </c>
      <c r="L647">
        <v>618736390.02999997</v>
      </c>
      <c r="M647">
        <v>2.974431</v>
      </c>
      <c r="N647">
        <v>583000000</v>
      </c>
      <c r="O647">
        <v>1.662968</v>
      </c>
      <c r="P647" t="s">
        <v>42</v>
      </c>
      <c r="Q647" t="s">
        <v>23</v>
      </c>
      <c r="R647" s="66">
        <v>40501</v>
      </c>
      <c r="S647" s="6">
        <f>DataTable[HLD_MaturityDate] - DataTable[SEC_Issue_Date]</f>
        <v>4046</v>
      </c>
      <c r="T647" s="66" t="str">
        <f>DataTable[HLD_Portfolio]&amp;DataTable[HLD_Date]</f>
        <v>SCBFPFUND43383</v>
      </c>
      <c r="W647" t="b">
        <f>DataTable[HLD_SecCode]="CB18O18A"</f>
        <v>0</v>
      </c>
    </row>
    <row r="648" spans="1:23" x14ac:dyDescent="0.2">
      <c r="A648" s="66">
        <v>43383</v>
      </c>
      <c r="B648" t="s">
        <v>350</v>
      </c>
      <c r="C648" t="s">
        <v>18</v>
      </c>
      <c r="D648" t="s">
        <v>112</v>
      </c>
      <c r="F648" t="s">
        <v>610</v>
      </c>
      <c r="G648" t="s">
        <v>85</v>
      </c>
      <c r="H648" t="s">
        <v>29</v>
      </c>
      <c r="I648" s="66">
        <v>44729</v>
      </c>
      <c r="J648" s="6">
        <v>1669336920.3</v>
      </c>
      <c r="K648">
        <v>10100335.5</v>
      </c>
      <c r="L648">
        <v>1688424281.4000001</v>
      </c>
      <c r="M648">
        <v>3.5141149999999999</v>
      </c>
      <c r="N648">
        <v>1695000000</v>
      </c>
      <c r="O648">
        <v>1.9837039999999999</v>
      </c>
      <c r="P648" t="s">
        <v>42</v>
      </c>
      <c r="Q648" t="s">
        <v>23</v>
      </c>
      <c r="R648" s="66">
        <v>42566</v>
      </c>
      <c r="S648" s="6">
        <f>DataTable[HLD_MaturityDate] - DataTable[SEC_Issue_Date]</f>
        <v>2163</v>
      </c>
      <c r="T648" s="66" t="str">
        <f>DataTable[HLD_Portfolio]&amp;DataTable[HLD_Date]</f>
        <v>SCBFPFUND43383</v>
      </c>
      <c r="W648" t="b">
        <f>DataTable[HLD_SecCode]="CB18O18A"</f>
        <v>0</v>
      </c>
    </row>
    <row r="649" spans="1:23" x14ac:dyDescent="0.2">
      <c r="A649" s="66">
        <v>43383</v>
      </c>
      <c r="B649" t="s">
        <v>350</v>
      </c>
      <c r="C649" t="s">
        <v>18</v>
      </c>
      <c r="D649" t="s">
        <v>112</v>
      </c>
      <c r="F649" t="s">
        <v>611</v>
      </c>
      <c r="G649" t="s">
        <v>85</v>
      </c>
      <c r="H649" t="s">
        <v>29</v>
      </c>
      <c r="I649" s="66">
        <v>44912</v>
      </c>
      <c r="J649" s="6">
        <v>233703498.27000001</v>
      </c>
      <c r="K649">
        <v>1506409.92</v>
      </c>
      <c r="L649">
        <v>238211269.08000001</v>
      </c>
      <c r="M649">
        <v>3.961233</v>
      </c>
      <c r="N649">
        <v>237000000</v>
      </c>
      <c r="O649">
        <v>1.8714660000000001</v>
      </c>
      <c r="P649" t="s">
        <v>42</v>
      </c>
      <c r="Q649" t="s">
        <v>23</v>
      </c>
      <c r="R649" s="66">
        <v>42951</v>
      </c>
      <c r="S649" s="6">
        <f>DataTable[HLD_MaturityDate] - DataTable[SEC_Issue_Date]</f>
        <v>1961</v>
      </c>
      <c r="T649" s="66" t="str">
        <f>DataTable[HLD_Portfolio]&amp;DataTable[HLD_Date]</f>
        <v>SCBFPFUND43383</v>
      </c>
      <c r="W649" t="b">
        <f>DataTable[HLD_SecCode]="CB18O18A"</f>
        <v>0</v>
      </c>
    </row>
    <row r="650" spans="1:23" x14ac:dyDescent="0.2">
      <c r="A650" s="66">
        <v>43383</v>
      </c>
      <c r="B650" t="s">
        <v>350</v>
      </c>
      <c r="C650" t="s">
        <v>18</v>
      </c>
      <c r="D650" t="s">
        <v>112</v>
      </c>
      <c r="F650" t="s">
        <v>612</v>
      </c>
      <c r="G650" t="s">
        <v>85</v>
      </c>
      <c r="H650" t="s">
        <v>29</v>
      </c>
      <c r="I650" s="66">
        <v>45277</v>
      </c>
      <c r="J650" s="6">
        <v>205576311.56</v>
      </c>
      <c r="K650">
        <v>744986.64</v>
      </c>
      <c r="L650">
        <v>206599159.24000001</v>
      </c>
      <c r="M650">
        <v>4.8279420000000002</v>
      </c>
      <c r="N650">
        <v>206000000</v>
      </c>
      <c r="O650">
        <v>2.3401049999999999</v>
      </c>
      <c r="P650" t="s">
        <v>42</v>
      </c>
      <c r="Q650" t="s">
        <v>23</v>
      </c>
      <c r="R650" s="66">
        <v>43329</v>
      </c>
      <c r="S650" s="6">
        <f>DataTable[HLD_MaturityDate] - DataTable[SEC_Issue_Date]</f>
        <v>1948</v>
      </c>
      <c r="T650" s="66" t="str">
        <f>DataTable[HLD_Portfolio]&amp;DataTable[HLD_Date]</f>
        <v>SCBFPFUND43383</v>
      </c>
      <c r="W650" t="b">
        <f>DataTable[HLD_SecCode]="CB18O18A"</f>
        <v>0</v>
      </c>
    </row>
    <row r="651" spans="1:23" hidden="1" x14ac:dyDescent="0.2">
      <c r="A651" s="66">
        <v>43383</v>
      </c>
      <c r="B651" t="s">
        <v>350</v>
      </c>
      <c r="C651" t="s">
        <v>18</v>
      </c>
      <c r="D651" t="s">
        <v>112</v>
      </c>
      <c r="F651" t="s">
        <v>654</v>
      </c>
      <c r="G651" t="s">
        <v>655</v>
      </c>
      <c r="I651" s="66">
        <v>44831</v>
      </c>
      <c r="J651" s="6">
        <v>97301264</v>
      </c>
      <c r="K651">
        <v>70192</v>
      </c>
      <c r="L651">
        <v>100000000</v>
      </c>
      <c r="M651">
        <v>3.782435</v>
      </c>
      <c r="N651">
        <v>100000000</v>
      </c>
      <c r="O651">
        <v>1.83</v>
      </c>
      <c r="P651" t="s">
        <v>42</v>
      </c>
      <c r="Q651" t="s">
        <v>23</v>
      </c>
      <c r="R651" s="66">
        <v>43005</v>
      </c>
      <c r="S651" s="6">
        <f>DataTable[HLD_MaturityDate] - DataTable[SEC_Issue_Date]</f>
        <v>1826</v>
      </c>
      <c r="T651" s="66" t="str">
        <f>DataTable[HLD_Portfolio]&amp;DataTable[HLD_Date]</f>
        <v>SCBFPFUND43383</v>
      </c>
      <c r="W651" t="b">
        <f>DataTable[HLD_SecCode]="CB18O18A"</f>
        <v>0</v>
      </c>
    </row>
    <row r="652" spans="1:23" hidden="1" x14ac:dyDescent="0.2">
      <c r="A652" s="66">
        <v>43383</v>
      </c>
      <c r="B652" t="s">
        <v>350</v>
      </c>
      <c r="C652" t="s">
        <v>18</v>
      </c>
      <c r="D652" t="s">
        <v>109</v>
      </c>
      <c r="F652" t="s">
        <v>656</v>
      </c>
      <c r="G652" t="s">
        <v>657</v>
      </c>
      <c r="H652" t="s">
        <v>123</v>
      </c>
      <c r="I652" s="66">
        <v>44399</v>
      </c>
      <c r="J652" s="6">
        <v>148570570.5</v>
      </c>
      <c r="K652">
        <v>788917.5</v>
      </c>
      <c r="L652">
        <v>150000000</v>
      </c>
      <c r="M652">
        <v>2.6589749999999999</v>
      </c>
      <c r="N652">
        <v>150000000</v>
      </c>
      <c r="O652">
        <v>2.37</v>
      </c>
      <c r="P652" t="s">
        <v>42</v>
      </c>
      <c r="Q652" t="s">
        <v>23</v>
      </c>
      <c r="R652" s="66">
        <v>42573</v>
      </c>
      <c r="S652" s="6">
        <f>DataTable[HLD_MaturityDate] - DataTable[SEC_Issue_Date]</f>
        <v>1826</v>
      </c>
      <c r="T652" s="66" t="str">
        <f>DataTable[HLD_Portfolio]&amp;DataTable[HLD_Date]</f>
        <v>SCBFPFUND43383</v>
      </c>
      <c r="W652" t="b">
        <f>DataTable[HLD_SecCode]="CB18O18A"</f>
        <v>0</v>
      </c>
    </row>
    <row r="653" spans="1:23" hidden="1" x14ac:dyDescent="0.2">
      <c r="A653" s="66">
        <v>43383</v>
      </c>
      <c r="B653" t="s">
        <v>350</v>
      </c>
      <c r="C653" t="s">
        <v>18</v>
      </c>
      <c r="D653" t="s">
        <v>109</v>
      </c>
      <c r="F653" t="s">
        <v>658</v>
      </c>
      <c r="G653" t="s">
        <v>659</v>
      </c>
      <c r="I653" s="66">
        <v>43692</v>
      </c>
      <c r="J653" s="6">
        <v>1498848435</v>
      </c>
      <c r="K653">
        <v>4684935</v>
      </c>
      <c r="L653">
        <v>1499896770</v>
      </c>
      <c r="M653">
        <v>0.83431299999999997</v>
      </c>
      <c r="N653">
        <v>1500000000</v>
      </c>
      <c r="O653">
        <v>1.9971460000000001</v>
      </c>
      <c r="P653" t="s">
        <v>42</v>
      </c>
      <c r="Q653" t="s">
        <v>23</v>
      </c>
      <c r="R653" s="66">
        <v>42597</v>
      </c>
      <c r="S653" s="6">
        <f>DataTable[HLD_MaturityDate] - DataTable[SEC_Issue_Date]</f>
        <v>1095</v>
      </c>
      <c r="T653" s="66" t="str">
        <f>DataTable[HLD_Portfolio]&amp;DataTable[HLD_Date]</f>
        <v>SCBFPFUND43383</v>
      </c>
      <c r="W653" t="b">
        <f>DataTable[HLD_SecCode]="CB18O18A"</f>
        <v>0</v>
      </c>
    </row>
    <row r="654" spans="1:23" hidden="1" x14ac:dyDescent="0.2">
      <c r="A654" s="66">
        <v>43383</v>
      </c>
      <c r="B654" t="s">
        <v>350</v>
      </c>
      <c r="C654" t="s">
        <v>18</v>
      </c>
      <c r="D654" t="s">
        <v>109</v>
      </c>
      <c r="F654" t="s">
        <v>660</v>
      </c>
      <c r="G654" t="s">
        <v>589</v>
      </c>
      <c r="I654" s="66">
        <v>43889</v>
      </c>
      <c r="J654" s="6">
        <v>599158590</v>
      </c>
      <c r="K654">
        <v>2638356</v>
      </c>
      <c r="L654">
        <v>599994036</v>
      </c>
      <c r="M654">
        <v>1.3499570000000001</v>
      </c>
      <c r="N654">
        <v>600000000</v>
      </c>
      <c r="O654">
        <v>2.1338140000000001</v>
      </c>
      <c r="P654" t="s">
        <v>42</v>
      </c>
      <c r="Q654" t="s">
        <v>23</v>
      </c>
      <c r="R654" s="66">
        <v>42397</v>
      </c>
      <c r="S654" s="6">
        <f>DataTable[HLD_MaturityDate] - DataTable[SEC_Issue_Date]</f>
        <v>1492</v>
      </c>
      <c r="T654" s="66" t="str">
        <f>DataTable[HLD_Portfolio]&amp;DataTable[HLD_Date]</f>
        <v>SCBFPFUND43383</v>
      </c>
      <c r="W654" t="b">
        <f>DataTable[HLD_SecCode]="CB18O18A"</f>
        <v>0</v>
      </c>
    </row>
    <row r="655" spans="1:23" hidden="1" x14ac:dyDescent="0.2">
      <c r="A655" s="66">
        <v>43383</v>
      </c>
      <c r="B655" t="s">
        <v>350</v>
      </c>
      <c r="C655" t="s">
        <v>18</v>
      </c>
      <c r="D655" t="s">
        <v>109</v>
      </c>
      <c r="F655" t="s">
        <v>661</v>
      </c>
      <c r="G655" t="s">
        <v>589</v>
      </c>
      <c r="I655" s="66">
        <v>44162</v>
      </c>
      <c r="J655" s="6">
        <v>247641255</v>
      </c>
      <c r="K655">
        <v>1876712.5</v>
      </c>
      <c r="L655">
        <v>250000000</v>
      </c>
      <c r="M655">
        <v>2.054233</v>
      </c>
      <c r="N655">
        <v>250000000</v>
      </c>
      <c r="O655">
        <v>2</v>
      </c>
      <c r="P655" t="s">
        <v>42</v>
      </c>
      <c r="Q655" t="s">
        <v>23</v>
      </c>
      <c r="R655" s="66">
        <v>42517</v>
      </c>
      <c r="S655" s="6">
        <f>DataTable[HLD_MaturityDate] - DataTable[SEC_Issue_Date]</f>
        <v>1645</v>
      </c>
      <c r="T655" s="66" t="str">
        <f>DataTable[HLD_Portfolio]&amp;DataTable[HLD_Date]</f>
        <v>SCBFPFUND43383</v>
      </c>
      <c r="W655" t="b">
        <f>DataTable[HLD_SecCode]="CB18O18A"</f>
        <v>0</v>
      </c>
    </row>
    <row r="656" spans="1:23" hidden="1" x14ac:dyDescent="0.2">
      <c r="A656" s="66">
        <v>43383</v>
      </c>
      <c r="B656" t="s">
        <v>350</v>
      </c>
      <c r="C656" t="s">
        <v>18</v>
      </c>
      <c r="D656" t="s">
        <v>109</v>
      </c>
      <c r="F656" t="s">
        <v>662</v>
      </c>
      <c r="G656" t="s">
        <v>663</v>
      </c>
      <c r="H656" t="s">
        <v>51</v>
      </c>
      <c r="I656" s="66">
        <v>44728</v>
      </c>
      <c r="J656" s="6">
        <v>10356022.199999999</v>
      </c>
      <c r="K656">
        <v>123090.4</v>
      </c>
      <c r="L656">
        <v>10568781.699999999</v>
      </c>
      <c r="M656">
        <v>3.3849580000000001</v>
      </c>
      <c r="N656">
        <v>10000000</v>
      </c>
      <c r="O656">
        <v>2.2200000000000002</v>
      </c>
      <c r="P656" t="s">
        <v>42</v>
      </c>
      <c r="Q656" t="s">
        <v>23</v>
      </c>
      <c r="R656" s="66">
        <v>42171</v>
      </c>
      <c r="S656" s="6">
        <f>DataTable[HLD_MaturityDate] - DataTable[SEC_Issue_Date]</f>
        <v>2557</v>
      </c>
      <c r="T656" s="66" t="str">
        <f>DataTable[HLD_Portfolio]&amp;DataTable[HLD_Date]</f>
        <v>SCBFPFUND43383</v>
      </c>
      <c r="W656" t="b">
        <f>DataTable[HLD_SecCode]="CB18O18A"</f>
        <v>0</v>
      </c>
    </row>
    <row r="657" spans="1:23" hidden="1" x14ac:dyDescent="0.2">
      <c r="A657" s="66">
        <v>43383</v>
      </c>
      <c r="B657" t="s">
        <v>350</v>
      </c>
      <c r="C657" t="s">
        <v>18</v>
      </c>
      <c r="D657" t="s">
        <v>109</v>
      </c>
      <c r="F657" t="s">
        <v>664</v>
      </c>
      <c r="G657" t="s">
        <v>665</v>
      </c>
      <c r="H657" t="s">
        <v>123</v>
      </c>
      <c r="I657" s="66">
        <v>43942</v>
      </c>
      <c r="J657" s="6">
        <v>120528062.40000001</v>
      </c>
      <c r="K657">
        <v>1524295.48</v>
      </c>
      <c r="L657">
        <v>119929287.59999999</v>
      </c>
      <c r="M657">
        <v>1.4899279999999999</v>
      </c>
      <c r="N657">
        <v>120000000</v>
      </c>
      <c r="O657">
        <v>2.72</v>
      </c>
      <c r="P657" t="s">
        <v>42</v>
      </c>
      <c r="Q657" t="s">
        <v>23</v>
      </c>
      <c r="R657" s="66">
        <v>42846</v>
      </c>
      <c r="S657" s="6">
        <f>DataTable[HLD_MaturityDate] - DataTable[SEC_Issue_Date]</f>
        <v>1096</v>
      </c>
      <c r="T657" s="66" t="str">
        <f>DataTable[HLD_Portfolio]&amp;DataTable[HLD_Date]</f>
        <v>SCBFPFUND43383</v>
      </c>
      <c r="W657" t="b">
        <f>DataTable[HLD_SecCode]="CB18O18A"</f>
        <v>0</v>
      </c>
    </row>
    <row r="658" spans="1:23" hidden="1" x14ac:dyDescent="0.2">
      <c r="A658" s="66">
        <v>43383</v>
      </c>
      <c r="B658" t="s">
        <v>350</v>
      </c>
      <c r="C658" t="s">
        <v>18</v>
      </c>
      <c r="D658" t="s">
        <v>109</v>
      </c>
      <c r="F658" t="s">
        <v>666</v>
      </c>
      <c r="G658" t="s">
        <v>665</v>
      </c>
      <c r="H658" t="s">
        <v>123</v>
      </c>
      <c r="I658" s="66">
        <v>44307</v>
      </c>
      <c r="J658" s="6">
        <v>70544149.900000006</v>
      </c>
      <c r="K658">
        <v>995342.31</v>
      </c>
      <c r="L658">
        <v>70000000</v>
      </c>
      <c r="M658">
        <v>2.4224559999999999</v>
      </c>
      <c r="N658">
        <v>70000000</v>
      </c>
      <c r="O658">
        <v>3</v>
      </c>
      <c r="P658" t="s">
        <v>42</v>
      </c>
      <c r="Q658" t="s">
        <v>23</v>
      </c>
      <c r="R658" s="66">
        <v>42846</v>
      </c>
      <c r="S658" s="6">
        <f>DataTable[HLD_MaturityDate] - DataTable[SEC_Issue_Date]</f>
        <v>1461</v>
      </c>
      <c r="T658" s="66" t="str">
        <f>DataTable[HLD_Portfolio]&amp;DataTable[HLD_Date]</f>
        <v>SCBFPFUND43383</v>
      </c>
      <c r="W658" t="b">
        <f>DataTable[HLD_SecCode]="CB18O18A"</f>
        <v>0</v>
      </c>
    </row>
    <row r="659" spans="1:23" hidden="1" x14ac:dyDescent="0.2">
      <c r="A659" s="66">
        <v>43383</v>
      </c>
      <c r="B659" t="s">
        <v>350</v>
      </c>
      <c r="C659" t="s">
        <v>18</v>
      </c>
      <c r="D659" t="s">
        <v>109</v>
      </c>
      <c r="F659" t="s">
        <v>667</v>
      </c>
      <c r="G659" t="s">
        <v>665</v>
      </c>
      <c r="H659" t="s">
        <v>123</v>
      </c>
      <c r="I659" s="66">
        <v>44672</v>
      </c>
      <c r="J659" s="6">
        <v>50455648.5</v>
      </c>
      <c r="K659">
        <v>770205.53</v>
      </c>
      <c r="L659">
        <v>50000000</v>
      </c>
      <c r="M659">
        <v>3.3154560000000002</v>
      </c>
      <c r="N659">
        <v>50000000</v>
      </c>
      <c r="O659">
        <v>3.25</v>
      </c>
      <c r="P659" t="s">
        <v>42</v>
      </c>
      <c r="Q659" t="s">
        <v>23</v>
      </c>
      <c r="R659" s="66">
        <v>42846</v>
      </c>
      <c r="S659" s="6">
        <f>DataTable[HLD_MaturityDate] - DataTable[SEC_Issue_Date]</f>
        <v>1826</v>
      </c>
      <c r="T659" s="66" t="str">
        <f>DataTable[HLD_Portfolio]&amp;DataTable[HLD_Date]</f>
        <v>SCBFPFUND43383</v>
      </c>
      <c r="W659" t="b">
        <f>DataTable[HLD_SecCode]="CB18O18A"</f>
        <v>0</v>
      </c>
    </row>
    <row r="660" spans="1:23" hidden="1" x14ac:dyDescent="0.2">
      <c r="A660" s="66">
        <v>43383</v>
      </c>
      <c r="B660" t="s">
        <v>350</v>
      </c>
      <c r="C660" t="s">
        <v>18</v>
      </c>
      <c r="D660" t="s">
        <v>109</v>
      </c>
      <c r="F660" t="s">
        <v>668</v>
      </c>
      <c r="G660" t="s">
        <v>669</v>
      </c>
      <c r="H660" t="s">
        <v>47</v>
      </c>
      <c r="I660" s="66">
        <v>44375</v>
      </c>
      <c r="J660" s="6">
        <v>966256411.10000002</v>
      </c>
      <c r="K660">
        <v>6976026.5999999996</v>
      </c>
      <c r="L660">
        <v>969948347.5</v>
      </c>
      <c r="M660">
        <v>2.5881409999999998</v>
      </c>
      <c r="N660">
        <v>970000000</v>
      </c>
      <c r="O660">
        <v>2.5</v>
      </c>
      <c r="P660" t="s">
        <v>42</v>
      </c>
      <c r="Q660" t="s">
        <v>23</v>
      </c>
      <c r="R660" s="66">
        <v>43279</v>
      </c>
      <c r="S660" s="6">
        <f>DataTable[HLD_MaturityDate] - DataTable[SEC_Issue_Date]</f>
        <v>1096</v>
      </c>
      <c r="T660" s="66" t="str">
        <f>DataTable[HLD_Portfolio]&amp;DataTable[HLD_Date]</f>
        <v>SCBFPFUND43383</v>
      </c>
      <c r="W660" t="b">
        <f>DataTable[HLD_SecCode]="CB18O18A"</f>
        <v>0</v>
      </c>
    </row>
    <row r="661" spans="1:23" hidden="1" x14ac:dyDescent="0.2">
      <c r="A661" s="66">
        <v>43383</v>
      </c>
      <c r="B661" t="s">
        <v>350</v>
      </c>
      <c r="C661" t="s">
        <v>18</v>
      </c>
      <c r="D661" t="s">
        <v>109</v>
      </c>
      <c r="F661" t="s">
        <v>535</v>
      </c>
      <c r="G661" t="s">
        <v>242</v>
      </c>
      <c r="H661" t="s">
        <v>29</v>
      </c>
      <c r="I661" s="66">
        <v>43431</v>
      </c>
      <c r="J661" s="6">
        <v>359125416.64999998</v>
      </c>
      <c r="K661">
        <v>5000819.74</v>
      </c>
      <c r="L661">
        <v>359000000</v>
      </c>
      <c r="M661">
        <v>0.12844700000000001</v>
      </c>
      <c r="N661">
        <v>359000000</v>
      </c>
      <c r="O661">
        <v>2.2799999999999998</v>
      </c>
      <c r="P661" t="s">
        <v>42</v>
      </c>
      <c r="Q661" t="s">
        <v>23</v>
      </c>
      <c r="R661" s="66">
        <v>43161</v>
      </c>
      <c r="S661" s="6">
        <f>DataTable[HLD_MaturityDate] - DataTable[SEC_Issue_Date]</f>
        <v>270</v>
      </c>
      <c r="T661" s="66" t="str">
        <f>DataTable[HLD_Portfolio]&amp;DataTable[HLD_Date]</f>
        <v>SCBFPFUND43383</v>
      </c>
      <c r="W661" t="b">
        <f>DataTable[HLD_SecCode]="CB18O18A"</f>
        <v>0</v>
      </c>
    </row>
    <row r="662" spans="1:23" hidden="1" x14ac:dyDescent="0.2">
      <c r="A662" s="66">
        <v>43383</v>
      </c>
      <c r="B662" t="s">
        <v>350</v>
      </c>
      <c r="C662" t="s">
        <v>18</v>
      </c>
      <c r="D662" t="s">
        <v>109</v>
      </c>
      <c r="F662" t="s">
        <v>536</v>
      </c>
      <c r="G662" t="s">
        <v>242</v>
      </c>
      <c r="H662" t="s">
        <v>29</v>
      </c>
      <c r="I662" s="66">
        <v>43391</v>
      </c>
      <c r="J662" s="6">
        <v>653013621.58000004</v>
      </c>
      <c r="K662">
        <v>5115765.25</v>
      </c>
      <c r="L662">
        <v>653000000</v>
      </c>
      <c r="M662">
        <v>1.9172000000000002E-2</v>
      </c>
      <c r="N662">
        <v>653000000</v>
      </c>
      <c r="O662">
        <v>2.15</v>
      </c>
      <c r="P662" t="s">
        <v>42</v>
      </c>
      <c r="Q662" t="s">
        <v>23</v>
      </c>
      <c r="R662" s="66">
        <v>43251</v>
      </c>
      <c r="S662" s="6">
        <f>DataTable[HLD_MaturityDate] - DataTable[SEC_Issue_Date]</f>
        <v>140</v>
      </c>
      <c r="T662" s="66" t="str">
        <f>DataTable[HLD_Portfolio]&amp;DataTable[HLD_Date]</f>
        <v>SCBFPFUND43383</v>
      </c>
      <c r="W662" t="b">
        <f>DataTable[HLD_SecCode]="CB18O18A"</f>
        <v>0</v>
      </c>
    </row>
    <row r="663" spans="1:23" hidden="1" x14ac:dyDescent="0.2">
      <c r="A663" s="66">
        <v>43383</v>
      </c>
      <c r="B663" t="s">
        <v>350</v>
      </c>
      <c r="C663" t="s">
        <v>18</v>
      </c>
      <c r="D663" t="s">
        <v>109</v>
      </c>
      <c r="F663" t="s">
        <v>585</v>
      </c>
      <c r="G663" t="s">
        <v>242</v>
      </c>
      <c r="H663" t="s">
        <v>29</v>
      </c>
      <c r="I663" s="66">
        <v>43494</v>
      </c>
      <c r="J663" s="6">
        <v>341044500.5</v>
      </c>
      <c r="K663">
        <v>3438026.79</v>
      </c>
      <c r="L663">
        <v>341000000</v>
      </c>
      <c r="M663">
        <v>0.29935499999999998</v>
      </c>
      <c r="N663">
        <v>341000000</v>
      </c>
      <c r="O663">
        <v>2.2999999999999998</v>
      </c>
      <c r="P663" t="s">
        <v>42</v>
      </c>
      <c r="Q663" t="s">
        <v>23</v>
      </c>
      <c r="R663" s="66">
        <v>43224</v>
      </c>
      <c r="S663" s="6">
        <f>DataTable[HLD_MaturityDate] - DataTable[SEC_Issue_Date]</f>
        <v>270</v>
      </c>
      <c r="T663" s="66" t="str">
        <f>DataTable[HLD_Portfolio]&amp;DataTable[HLD_Date]</f>
        <v>SCBFPFUND43383</v>
      </c>
      <c r="W663" t="b">
        <f>DataTable[HLD_SecCode]="CB18O18A"</f>
        <v>0</v>
      </c>
    </row>
    <row r="664" spans="1:23" hidden="1" x14ac:dyDescent="0.2">
      <c r="A664" s="66">
        <v>43383</v>
      </c>
      <c r="B664" t="s">
        <v>350</v>
      </c>
      <c r="C664" t="s">
        <v>18</v>
      </c>
      <c r="D664" t="s">
        <v>109</v>
      </c>
      <c r="F664" t="s">
        <v>537</v>
      </c>
      <c r="G664" t="s">
        <v>242</v>
      </c>
      <c r="H664" t="s">
        <v>29</v>
      </c>
      <c r="I664" s="66">
        <v>43494</v>
      </c>
      <c r="J664" s="6">
        <v>1418199384.98</v>
      </c>
      <c r="K664">
        <v>12152061.48</v>
      </c>
      <c r="L664">
        <v>1417958636.9400001</v>
      </c>
      <c r="M664">
        <v>0.29935499999999998</v>
      </c>
      <c r="N664">
        <v>1418000000</v>
      </c>
      <c r="O664">
        <v>2.2901199999999999</v>
      </c>
      <c r="P664" t="s">
        <v>42</v>
      </c>
      <c r="Q664" t="s">
        <v>23</v>
      </c>
      <c r="R664" s="66">
        <v>43248</v>
      </c>
      <c r="S664" s="6">
        <f>DataTable[HLD_MaturityDate] - DataTable[SEC_Issue_Date]</f>
        <v>246</v>
      </c>
      <c r="T664" s="66" t="str">
        <f>DataTable[HLD_Portfolio]&amp;DataTable[HLD_Date]</f>
        <v>SCBFPFUND43383</v>
      </c>
      <c r="W664" t="b">
        <f>DataTable[HLD_SecCode]="CB18O18A"</f>
        <v>0</v>
      </c>
    </row>
    <row r="665" spans="1:23" hidden="1" x14ac:dyDescent="0.2">
      <c r="A665" s="66">
        <v>43383</v>
      </c>
      <c r="B665" t="s">
        <v>350</v>
      </c>
      <c r="C665" t="s">
        <v>18</v>
      </c>
      <c r="D665" t="s">
        <v>109</v>
      </c>
      <c r="F665" t="s">
        <v>670</v>
      </c>
      <c r="G665" t="s">
        <v>242</v>
      </c>
      <c r="H665" t="s">
        <v>29</v>
      </c>
      <c r="I665" s="66">
        <v>44875</v>
      </c>
      <c r="J665" s="6">
        <v>20199448.600000001</v>
      </c>
      <c r="K665">
        <v>346816.4</v>
      </c>
      <c r="L665">
        <v>20266286</v>
      </c>
      <c r="M665">
        <v>3.6681819999999998</v>
      </c>
      <c r="N665">
        <v>20000000</v>
      </c>
      <c r="O665">
        <v>3.75</v>
      </c>
      <c r="P665" t="s">
        <v>42</v>
      </c>
      <c r="Q665" t="s">
        <v>23</v>
      </c>
      <c r="R665" s="66">
        <v>42318</v>
      </c>
      <c r="S665" s="6">
        <f>DataTable[HLD_MaturityDate] - DataTable[SEC_Issue_Date]</f>
        <v>2557</v>
      </c>
      <c r="T665" s="66" t="str">
        <f>DataTable[HLD_Portfolio]&amp;DataTable[HLD_Date]</f>
        <v>SCBFPFUND43383</v>
      </c>
      <c r="W665" t="b">
        <f>DataTable[HLD_SecCode]="CB18O18A"</f>
        <v>0</v>
      </c>
    </row>
    <row r="666" spans="1:23" hidden="1" x14ac:dyDescent="0.2">
      <c r="A666" s="66">
        <v>43383</v>
      </c>
      <c r="B666" t="s">
        <v>350</v>
      </c>
      <c r="C666" t="s">
        <v>18</v>
      </c>
      <c r="D666" t="s">
        <v>109</v>
      </c>
      <c r="F666" t="s">
        <v>538</v>
      </c>
      <c r="G666" t="s">
        <v>244</v>
      </c>
      <c r="H666" t="s">
        <v>29</v>
      </c>
      <c r="I666" s="66">
        <v>43454</v>
      </c>
      <c r="J666" s="6">
        <v>119061569.41</v>
      </c>
      <c r="K666">
        <v>1469730.92</v>
      </c>
      <c r="L666">
        <v>119000000</v>
      </c>
      <c r="M666">
        <v>0.19100300000000001</v>
      </c>
      <c r="N666">
        <v>119000000</v>
      </c>
      <c r="O666">
        <v>2.2999999999999998</v>
      </c>
      <c r="P666" t="s">
        <v>42</v>
      </c>
      <c r="Q666" t="s">
        <v>23</v>
      </c>
      <c r="R666" s="66">
        <v>43188</v>
      </c>
      <c r="S666" s="6">
        <f>DataTable[HLD_MaturityDate] - DataTable[SEC_Issue_Date]</f>
        <v>266</v>
      </c>
      <c r="T666" s="66" t="str">
        <f>DataTable[HLD_Portfolio]&amp;DataTable[HLD_Date]</f>
        <v>SCBFPFUND43383</v>
      </c>
      <c r="W666" t="b">
        <f>DataTable[HLD_SecCode]="CB18O18A"</f>
        <v>0</v>
      </c>
    </row>
    <row r="667" spans="1:23" hidden="1" x14ac:dyDescent="0.2">
      <c r="A667" s="66">
        <v>43383</v>
      </c>
      <c r="B667" t="s">
        <v>350</v>
      </c>
      <c r="C667" t="s">
        <v>18</v>
      </c>
      <c r="D667" t="s">
        <v>109</v>
      </c>
      <c r="F667" t="s">
        <v>243</v>
      </c>
      <c r="G667" t="s">
        <v>244</v>
      </c>
      <c r="H667" t="s">
        <v>29</v>
      </c>
      <c r="I667" s="66">
        <v>43494</v>
      </c>
      <c r="J667" s="6">
        <v>423960640.07999998</v>
      </c>
      <c r="K667">
        <v>3633620.64</v>
      </c>
      <c r="L667">
        <v>424000000</v>
      </c>
      <c r="M667">
        <v>0.29928500000000002</v>
      </c>
      <c r="N667">
        <v>424000000</v>
      </c>
      <c r="O667">
        <v>2.2999999999999998</v>
      </c>
      <c r="P667" t="s">
        <v>42</v>
      </c>
      <c r="Q667" t="s">
        <v>23</v>
      </c>
      <c r="R667" s="66">
        <v>43248</v>
      </c>
      <c r="S667" s="6">
        <f>DataTable[HLD_MaturityDate] - DataTable[SEC_Issue_Date]</f>
        <v>246</v>
      </c>
      <c r="T667" s="66" t="str">
        <f>DataTable[HLD_Portfolio]&amp;DataTable[HLD_Date]</f>
        <v>SCBFPFUND43383</v>
      </c>
      <c r="W667" t="b">
        <f>DataTable[HLD_SecCode]="CB18O18A"</f>
        <v>0</v>
      </c>
    </row>
    <row r="668" spans="1:23" hidden="1" x14ac:dyDescent="0.2">
      <c r="A668" s="66">
        <v>43383</v>
      </c>
      <c r="B668" t="s">
        <v>350</v>
      </c>
      <c r="C668" t="s">
        <v>18</v>
      </c>
      <c r="D668" t="s">
        <v>109</v>
      </c>
      <c r="F668" t="s">
        <v>245</v>
      </c>
      <c r="G668" t="s">
        <v>244</v>
      </c>
      <c r="H668" t="s">
        <v>29</v>
      </c>
      <c r="I668" s="66">
        <v>44410</v>
      </c>
      <c r="J668" s="6">
        <v>717091909.5</v>
      </c>
      <c r="K668">
        <v>5094849.0199999996</v>
      </c>
      <c r="L668">
        <v>718000000</v>
      </c>
      <c r="M668">
        <v>2.638757</v>
      </c>
      <c r="N668">
        <v>718000000</v>
      </c>
      <c r="O668">
        <v>3.7</v>
      </c>
      <c r="P668" t="s">
        <v>42</v>
      </c>
      <c r="Q668" t="s">
        <v>23</v>
      </c>
      <c r="R668" s="66">
        <v>43314</v>
      </c>
      <c r="S668" s="6">
        <f>DataTable[HLD_MaturityDate] - DataTable[SEC_Issue_Date]</f>
        <v>1096</v>
      </c>
      <c r="T668" s="66" t="str">
        <f>DataTable[HLD_Portfolio]&amp;DataTable[HLD_Date]</f>
        <v>SCBFPFUND43383</v>
      </c>
      <c r="W668" t="b">
        <f>DataTable[HLD_SecCode]="CB18O18A"</f>
        <v>0</v>
      </c>
    </row>
    <row r="669" spans="1:23" hidden="1" x14ac:dyDescent="0.2">
      <c r="A669" s="66">
        <v>43383</v>
      </c>
      <c r="B669" t="s">
        <v>350</v>
      </c>
      <c r="C669" t="s">
        <v>18</v>
      </c>
      <c r="D669" t="s">
        <v>109</v>
      </c>
      <c r="F669" t="s">
        <v>671</v>
      </c>
      <c r="G669" t="s">
        <v>75</v>
      </c>
      <c r="H669" t="s">
        <v>59</v>
      </c>
      <c r="I669" s="66">
        <v>44270</v>
      </c>
      <c r="J669" s="6">
        <v>119273492.40000001</v>
      </c>
      <c r="K669">
        <v>184635.6</v>
      </c>
      <c r="L669">
        <v>120000000</v>
      </c>
      <c r="M669">
        <v>2.343226</v>
      </c>
      <c r="N669">
        <v>120000000</v>
      </c>
      <c r="O669">
        <v>2.16</v>
      </c>
      <c r="P669" t="s">
        <v>42</v>
      </c>
      <c r="Q669" t="s">
        <v>23</v>
      </c>
      <c r="R669" s="66">
        <v>42444</v>
      </c>
      <c r="S669" s="6">
        <f>DataTable[HLD_MaturityDate] - DataTable[SEC_Issue_Date]</f>
        <v>1826</v>
      </c>
      <c r="T669" s="66" t="str">
        <f>DataTable[HLD_Portfolio]&amp;DataTable[HLD_Date]</f>
        <v>SCBFPFUND43383</v>
      </c>
      <c r="W669" t="b">
        <f>DataTable[HLD_SecCode]="CB18O18A"</f>
        <v>0</v>
      </c>
    </row>
    <row r="670" spans="1:23" hidden="1" x14ac:dyDescent="0.2">
      <c r="A670" s="66">
        <v>43383</v>
      </c>
      <c r="B670" t="s">
        <v>350</v>
      </c>
      <c r="C670" t="s">
        <v>18</v>
      </c>
      <c r="D670" t="s">
        <v>109</v>
      </c>
      <c r="F670" t="s">
        <v>246</v>
      </c>
      <c r="G670" t="s">
        <v>247</v>
      </c>
      <c r="H670" t="s">
        <v>123</v>
      </c>
      <c r="I670" s="66">
        <v>44313</v>
      </c>
      <c r="J670" s="6">
        <v>144749904.19999999</v>
      </c>
      <c r="K670">
        <v>726560.24</v>
      </c>
      <c r="L670">
        <v>146000000</v>
      </c>
      <c r="M670">
        <v>2.4463970000000002</v>
      </c>
      <c r="N670">
        <v>146000000</v>
      </c>
      <c r="O670">
        <v>2.39</v>
      </c>
      <c r="P670" t="s">
        <v>42</v>
      </c>
      <c r="Q670" t="s">
        <v>23</v>
      </c>
      <c r="R670" s="66">
        <v>43217</v>
      </c>
      <c r="S670" s="6">
        <f>DataTable[HLD_MaturityDate] - DataTable[SEC_Issue_Date]</f>
        <v>1096</v>
      </c>
      <c r="T670" s="66" t="str">
        <f>DataTable[HLD_Portfolio]&amp;DataTable[HLD_Date]</f>
        <v>SCBFPFUND43383</v>
      </c>
      <c r="W670" t="b">
        <f>DataTable[HLD_SecCode]="CB18O18A"</f>
        <v>0</v>
      </c>
    </row>
    <row r="671" spans="1:23" hidden="1" x14ac:dyDescent="0.2">
      <c r="A671" s="66">
        <v>43383</v>
      </c>
      <c r="B671" t="s">
        <v>350</v>
      </c>
      <c r="C671" t="s">
        <v>18</v>
      </c>
      <c r="D671" t="s">
        <v>109</v>
      </c>
      <c r="F671" t="s">
        <v>248</v>
      </c>
      <c r="G671" t="s">
        <v>249</v>
      </c>
      <c r="H671" t="s">
        <v>47</v>
      </c>
      <c r="I671" s="66">
        <v>44285</v>
      </c>
      <c r="J671" s="6">
        <v>597452582.29999995</v>
      </c>
      <c r="K671">
        <v>410022.2</v>
      </c>
      <c r="L671">
        <v>602000000</v>
      </c>
      <c r="M671">
        <v>2.3912019999999998</v>
      </c>
      <c r="N671">
        <v>602000000</v>
      </c>
      <c r="O671">
        <v>2.2599999999999998</v>
      </c>
      <c r="P671" t="s">
        <v>42</v>
      </c>
      <c r="Q671" t="s">
        <v>23</v>
      </c>
      <c r="R671" s="66">
        <v>43189</v>
      </c>
      <c r="S671" s="6">
        <f>DataTable[HLD_MaturityDate] - DataTable[SEC_Issue_Date]</f>
        <v>1096</v>
      </c>
      <c r="T671" s="66" t="str">
        <f>DataTable[HLD_Portfolio]&amp;DataTable[HLD_Date]</f>
        <v>SCBFPFUND43383</v>
      </c>
      <c r="W671" t="b">
        <f>DataTable[HLD_SecCode]="CB18O18A"</f>
        <v>0</v>
      </c>
    </row>
    <row r="672" spans="1:23" hidden="1" x14ac:dyDescent="0.2">
      <c r="A672" s="66">
        <v>43383</v>
      </c>
      <c r="B672" t="s">
        <v>350</v>
      </c>
      <c r="C672" t="s">
        <v>18</v>
      </c>
      <c r="D672" t="s">
        <v>109</v>
      </c>
      <c r="F672" t="s">
        <v>250</v>
      </c>
      <c r="G672" t="s">
        <v>251</v>
      </c>
      <c r="H672" t="s">
        <v>123</v>
      </c>
      <c r="I672" s="66">
        <v>44061</v>
      </c>
      <c r="J672" s="6">
        <v>59483055.420000002</v>
      </c>
      <c r="K672">
        <v>290668.21999999997</v>
      </c>
      <c r="L672">
        <v>59000000</v>
      </c>
      <c r="M672">
        <v>1.7822849999999999</v>
      </c>
      <c r="N672">
        <v>59000000</v>
      </c>
      <c r="O672">
        <v>3.33</v>
      </c>
      <c r="P672" t="s">
        <v>42</v>
      </c>
      <c r="Q672" t="s">
        <v>23</v>
      </c>
      <c r="R672" s="66">
        <v>42965</v>
      </c>
      <c r="S672" s="6">
        <f>DataTable[HLD_MaturityDate] - DataTable[SEC_Issue_Date]</f>
        <v>1096</v>
      </c>
      <c r="T672" s="66" t="str">
        <f>DataTable[HLD_Portfolio]&amp;DataTable[HLD_Date]</f>
        <v>SCBFPFUND43383</v>
      </c>
      <c r="W672" t="b">
        <f>DataTable[HLD_SecCode]="CB18O18A"</f>
        <v>0</v>
      </c>
    </row>
    <row r="673" spans="1:23" hidden="1" x14ac:dyDescent="0.2">
      <c r="A673" s="66">
        <v>43383</v>
      </c>
      <c r="B673" t="s">
        <v>350</v>
      </c>
      <c r="C673" t="s">
        <v>18</v>
      </c>
      <c r="D673" t="s">
        <v>109</v>
      </c>
      <c r="F673" t="s">
        <v>494</v>
      </c>
      <c r="G673" t="s">
        <v>495</v>
      </c>
      <c r="H673" t="s">
        <v>47</v>
      </c>
      <c r="I673" s="66">
        <v>44109</v>
      </c>
      <c r="J673" s="6">
        <v>51189896.869999997</v>
      </c>
      <c r="K673">
        <v>19301.689999999999</v>
      </c>
      <c r="L673">
        <v>51539676.119999997</v>
      </c>
      <c r="M673">
        <v>1.9235519999999999</v>
      </c>
      <c r="N673">
        <v>51500000</v>
      </c>
      <c r="O673">
        <v>2.2415530000000001</v>
      </c>
      <c r="P673" t="s">
        <v>42</v>
      </c>
      <c r="Q673" t="s">
        <v>23</v>
      </c>
      <c r="R673" s="66">
        <v>43013</v>
      </c>
      <c r="S673" s="6">
        <f>DataTable[HLD_MaturityDate] - DataTable[SEC_Issue_Date]</f>
        <v>1096</v>
      </c>
      <c r="T673" s="66" t="str">
        <f>DataTable[HLD_Portfolio]&amp;DataTable[HLD_Date]</f>
        <v>SCBFPFUND43383</v>
      </c>
      <c r="W673" t="b">
        <f>DataTable[HLD_SecCode]="CB18O18A"</f>
        <v>0</v>
      </c>
    </row>
    <row r="674" spans="1:23" hidden="1" x14ac:dyDescent="0.2">
      <c r="A674" s="66">
        <v>43383</v>
      </c>
      <c r="B674" t="s">
        <v>350</v>
      </c>
      <c r="C674" t="s">
        <v>18</v>
      </c>
      <c r="D674" t="s">
        <v>109</v>
      </c>
      <c r="F674" t="s">
        <v>672</v>
      </c>
      <c r="G674" t="s">
        <v>673</v>
      </c>
      <c r="H674" t="s">
        <v>203</v>
      </c>
      <c r="I674" s="66">
        <v>43674</v>
      </c>
      <c r="J674" s="6">
        <v>134815209.30000001</v>
      </c>
      <c r="K674">
        <v>552020.4</v>
      </c>
      <c r="L674">
        <v>135000000</v>
      </c>
      <c r="M674">
        <v>0.78525199999999995</v>
      </c>
      <c r="N674">
        <v>135000000</v>
      </c>
      <c r="O674">
        <v>1.99</v>
      </c>
      <c r="P674" t="s">
        <v>42</v>
      </c>
      <c r="Q674" t="s">
        <v>23</v>
      </c>
      <c r="R674" s="66">
        <v>42579</v>
      </c>
      <c r="S674" s="6">
        <f>DataTable[HLD_MaturityDate] - DataTable[SEC_Issue_Date]</f>
        <v>1095</v>
      </c>
      <c r="T674" s="66" t="str">
        <f>DataTable[HLD_Portfolio]&amp;DataTable[HLD_Date]</f>
        <v>SCBFPFUND43383</v>
      </c>
      <c r="W674" t="b">
        <f>DataTable[HLD_SecCode]="CB18O18A"</f>
        <v>0</v>
      </c>
    </row>
    <row r="675" spans="1:23" hidden="1" x14ac:dyDescent="0.2">
      <c r="A675" s="66">
        <v>43383</v>
      </c>
      <c r="B675" t="s">
        <v>350</v>
      </c>
      <c r="C675" t="s">
        <v>18</v>
      </c>
      <c r="D675" t="s">
        <v>109</v>
      </c>
      <c r="F675" t="s">
        <v>551</v>
      </c>
      <c r="G675" t="s">
        <v>192</v>
      </c>
      <c r="H675" t="s">
        <v>51</v>
      </c>
      <c r="I675" s="66">
        <v>44016</v>
      </c>
      <c r="J675" s="6">
        <v>49611366.719999999</v>
      </c>
      <c r="K675">
        <v>567636</v>
      </c>
      <c r="L675">
        <v>48124094.399999999</v>
      </c>
      <c r="M675">
        <v>1.6516580000000001</v>
      </c>
      <c r="N675">
        <v>48000000</v>
      </c>
      <c r="O675">
        <v>4.1895449999999999</v>
      </c>
      <c r="P675" t="s">
        <v>42</v>
      </c>
      <c r="Q675" t="s">
        <v>23</v>
      </c>
      <c r="R675" s="66">
        <v>41824</v>
      </c>
      <c r="S675" s="6">
        <f>DataTable[HLD_MaturityDate] - DataTable[SEC_Issue_Date]</f>
        <v>2192</v>
      </c>
      <c r="T675" s="66" t="str">
        <f>DataTable[HLD_Portfolio]&amp;DataTable[HLD_Date]</f>
        <v>SCBFPFUND43383</v>
      </c>
      <c r="W675" t="b">
        <f>DataTable[HLD_SecCode]="CB18O18A"</f>
        <v>0</v>
      </c>
    </row>
    <row r="676" spans="1:23" hidden="1" x14ac:dyDescent="0.2">
      <c r="A676" s="66">
        <v>43383</v>
      </c>
      <c r="B676" t="s">
        <v>350</v>
      </c>
      <c r="C676" t="s">
        <v>18</v>
      </c>
      <c r="D676" t="s">
        <v>109</v>
      </c>
      <c r="F676" t="s">
        <v>674</v>
      </c>
      <c r="G676" t="s">
        <v>21</v>
      </c>
      <c r="H676" t="s">
        <v>317</v>
      </c>
      <c r="I676" s="66">
        <v>43640</v>
      </c>
      <c r="J676" s="6">
        <v>49969980.5</v>
      </c>
      <c r="K676">
        <v>292657.5</v>
      </c>
      <c r="L676">
        <v>50000000</v>
      </c>
      <c r="M676">
        <v>0.69083600000000001</v>
      </c>
      <c r="N676">
        <v>50000000</v>
      </c>
      <c r="O676">
        <v>1.96</v>
      </c>
      <c r="P676" t="s">
        <v>42</v>
      </c>
      <c r="Q676" t="s">
        <v>23</v>
      </c>
      <c r="R676" s="66">
        <v>42545</v>
      </c>
      <c r="S676" s="6">
        <f>DataTable[HLD_MaturityDate] - DataTable[SEC_Issue_Date]</f>
        <v>1095</v>
      </c>
      <c r="T676" s="66" t="str">
        <f>DataTable[HLD_Portfolio]&amp;DataTable[HLD_Date]</f>
        <v>SCBFPFUND43383</v>
      </c>
      <c r="W676" t="b">
        <f>DataTable[HLD_SecCode]="CB18O18A"</f>
        <v>0</v>
      </c>
    </row>
    <row r="677" spans="1:23" hidden="1" x14ac:dyDescent="0.2">
      <c r="A677" s="66">
        <v>43383</v>
      </c>
      <c r="B677" t="s">
        <v>350</v>
      </c>
      <c r="C677" t="s">
        <v>18</v>
      </c>
      <c r="D677" t="s">
        <v>109</v>
      </c>
      <c r="F677" t="s">
        <v>499</v>
      </c>
      <c r="G677" t="s">
        <v>21</v>
      </c>
      <c r="H677" t="s">
        <v>317</v>
      </c>
      <c r="I677" s="66">
        <v>44138</v>
      </c>
      <c r="J677" s="6">
        <v>505193200.39999998</v>
      </c>
      <c r="K677">
        <v>4169897.97</v>
      </c>
      <c r="L677">
        <v>511000000</v>
      </c>
      <c r="M677">
        <v>1.9931779999999999</v>
      </c>
      <c r="N677">
        <v>511000000</v>
      </c>
      <c r="O677">
        <v>1.85</v>
      </c>
      <c r="P677" t="s">
        <v>42</v>
      </c>
      <c r="Q677" t="s">
        <v>23</v>
      </c>
      <c r="R677" s="66">
        <v>43042</v>
      </c>
      <c r="S677" s="6">
        <f>DataTable[HLD_MaturityDate] - DataTable[SEC_Issue_Date]</f>
        <v>1096</v>
      </c>
      <c r="T677" s="66" t="str">
        <f>DataTable[HLD_Portfolio]&amp;DataTable[HLD_Date]</f>
        <v>SCBFPFUND43383</v>
      </c>
      <c r="W677" t="b">
        <f>DataTable[HLD_SecCode]="CB18O18A"</f>
        <v>0</v>
      </c>
    </row>
    <row r="678" spans="1:23" hidden="1" x14ac:dyDescent="0.2">
      <c r="A678" s="66">
        <v>43383</v>
      </c>
      <c r="B678" t="s">
        <v>350</v>
      </c>
      <c r="C678" t="s">
        <v>18</v>
      </c>
      <c r="D678" t="s">
        <v>109</v>
      </c>
      <c r="F678" t="s">
        <v>675</v>
      </c>
      <c r="G678" t="s">
        <v>21</v>
      </c>
      <c r="H678" t="s">
        <v>317</v>
      </c>
      <c r="I678" s="66">
        <v>44222</v>
      </c>
      <c r="J678" s="6">
        <v>586647015.14999998</v>
      </c>
      <c r="K678">
        <v>2397445.4</v>
      </c>
      <c r="L678">
        <v>595000000</v>
      </c>
      <c r="M678">
        <v>2.2177069999999999</v>
      </c>
      <c r="N678">
        <v>595000000</v>
      </c>
      <c r="O678">
        <v>1.91</v>
      </c>
      <c r="P678" t="s">
        <v>42</v>
      </c>
      <c r="Q678" t="s">
        <v>23</v>
      </c>
      <c r="R678" s="66">
        <v>43126</v>
      </c>
      <c r="S678" s="6">
        <f>DataTable[HLD_MaturityDate] - DataTable[SEC_Issue_Date]</f>
        <v>1096</v>
      </c>
      <c r="T678" s="66" t="str">
        <f>DataTable[HLD_Portfolio]&amp;DataTable[HLD_Date]</f>
        <v>SCBFPFUND43383</v>
      </c>
      <c r="W678" t="b">
        <f>DataTable[HLD_SecCode]="CB18O18A"</f>
        <v>0</v>
      </c>
    </row>
    <row r="679" spans="1:23" hidden="1" x14ac:dyDescent="0.2">
      <c r="A679" s="66">
        <v>43383</v>
      </c>
      <c r="B679" t="s">
        <v>350</v>
      </c>
      <c r="C679" t="s">
        <v>18</v>
      </c>
      <c r="D679" t="s">
        <v>109</v>
      </c>
      <c r="F679" t="s">
        <v>676</v>
      </c>
      <c r="G679" t="s">
        <v>21</v>
      </c>
      <c r="H679" t="s">
        <v>317</v>
      </c>
      <c r="I679" s="66">
        <v>44389</v>
      </c>
      <c r="J679" s="6">
        <v>988883230</v>
      </c>
      <c r="K679">
        <v>5534790</v>
      </c>
      <c r="L679">
        <v>1000000000</v>
      </c>
      <c r="M679">
        <v>2.6382789999999998</v>
      </c>
      <c r="N679">
        <v>1000000000</v>
      </c>
      <c r="O679">
        <v>2.2200000000000002</v>
      </c>
      <c r="P679" t="s">
        <v>42</v>
      </c>
      <c r="Q679" t="s">
        <v>23</v>
      </c>
      <c r="R679" s="66">
        <v>43293</v>
      </c>
      <c r="S679" s="6">
        <f>DataTable[HLD_MaturityDate] - DataTable[SEC_Issue_Date]</f>
        <v>1096</v>
      </c>
      <c r="T679" s="66" t="str">
        <f>DataTable[HLD_Portfolio]&amp;DataTable[HLD_Date]</f>
        <v>SCBFPFUND43383</v>
      </c>
      <c r="W679" t="b">
        <f>DataTable[HLD_SecCode]="CB18O18A"</f>
        <v>0</v>
      </c>
    </row>
    <row r="680" spans="1:23" hidden="1" x14ac:dyDescent="0.2">
      <c r="A680" s="66">
        <v>43383</v>
      </c>
      <c r="B680" t="s">
        <v>350</v>
      </c>
      <c r="C680" t="s">
        <v>18</v>
      </c>
      <c r="D680" t="s">
        <v>109</v>
      </c>
      <c r="F680" t="s">
        <v>677</v>
      </c>
      <c r="G680" t="s">
        <v>678</v>
      </c>
      <c r="H680" t="s">
        <v>123</v>
      </c>
      <c r="I680" s="66">
        <v>44223</v>
      </c>
      <c r="J680" s="6">
        <v>12108924.6</v>
      </c>
      <c r="K680">
        <v>71710.679999999993</v>
      </c>
      <c r="L680">
        <v>12115546.08</v>
      </c>
      <c r="M680">
        <v>2.1995619999999998</v>
      </c>
      <c r="N680">
        <v>12000000</v>
      </c>
      <c r="O680">
        <v>2.4300000000000002</v>
      </c>
      <c r="P680" t="s">
        <v>42</v>
      </c>
      <c r="Q680" t="s">
        <v>23</v>
      </c>
      <c r="R680" s="66">
        <v>42396</v>
      </c>
      <c r="S680" s="6">
        <f>DataTable[HLD_MaturityDate] - DataTable[SEC_Issue_Date]</f>
        <v>1827</v>
      </c>
      <c r="T680" s="66" t="str">
        <f>DataTable[HLD_Portfolio]&amp;DataTable[HLD_Date]</f>
        <v>SCBFPFUND43383</v>
      </c>
      <c r="W680" t="b">
        <f>DataTable[HLD_SecCode]="CB18O18A"</f>
        <v>0</v>
      </c>
    </row>
    <row r="681" spans="1:23" hidden="1" x14ac:dyDescent="0.2">
      <c r="A681" s="66">
        <v>43383</v>
      </c>
      <c r="B681" t="s">
        <v>350</v>
      </c>
      <c r="C681" t="s">
        <v>18</v>
      </c>
      <c r="D681" t="s">
        <v>109</v>
      </c>
      <c r="F681" t="s">
        <v>679</v>
      </c>
      <c r="G681" t="s">
        <v>678</v>
      </c>
      <c r="H681" t="s">
        <v>123</v>
      </c>
      <c r="I681" s="66">
        <v>44917</v>
      </c>
      <c r="J681" s="6">
        <v>230697010.44</v>
      </c>
      <c r="K681">
        <v>1807504.92</v>
      </c>
      <c r="L681">
        <v>234000000</v>
      </c>
      <c r="M681">
        <v>3.9191639999999999</v>
      </c>
      <c r="N681">
        <v>234000000</v>
      </c>
      <c r="O681">
        <v>2.54</v>
      </c>
      <c r="P681" t="s">
        <v>42</v>
      </c>
      <c r="Q681" t="s">
        <v>23</v>
      </c>
      <c r="R681" s="66">
        <v>43091</v>
      </c>
      <c r="S681" s="6">
        <f>DataTable[HLD_MaturityDate] - DataTable[SEC_Issue_Date]</f>
        <v>1826</v>
      </c>
      <c r="T681" s="66" t="str">
        <f>DataTable[HLD_Portfolio]&amp;DataTable[HLD_Date]</f>
        <v>SCBFPFUND43383</v>
      </c>
      <c r="W681" t="b">
        <f>DataTable[HLD_SecCode]="CB18O18A"</f>
        <v>0</v>
      </c>
    </row>
    <row r="682" spans="1:23" hidden="1" x14ac:dyDescent="0.2">
      <c r="A682" s="66">
        <v>43383</v>
      </c>
      <c r="B682" t="s">
        <v>350</v>
      </c>
      <c r="C682" t="s">
        <v>18</v>
      </c>
      <c r="D682" t="s">
        <v>109</v>
      </c>
      <c r="F682" t="s">
        <v>680</v>
      </c>
      <c r="G682" t="s">
        <v>501</v>
      </c>
      <c r="H682" t="s">
        <v>47</v>
      </c>
      <c r="I682" s="66">
        <v>44371</v>
      </c>
      <c r="J682" s="6">
        <v>208856455.5</v>
      </c>
      <c r="K682">
        <v>1580350.8</v>
      </c>
      <c r="L682">
        <v>209986093.80000001</v>
      </c>
      <c r="M682">
        <v>2.5754860000000002</v>
      </c>
      <c r="N682">
        <v>210000000</v>
      </c>
      <c r="O682">
        <v>2.5204879999999998</v>
      </c>
      <c r="P682" t="s">
        <v>42</v>
      </c>
      <c r="Q682" t="s">
        <v>23</v>
      </c>
      <c r="R682" s="66">
        <v>42545</v>
      </c>
      <c r="S682" s="6">
        <f>DataTable[HLD_MaturityDate] - DataTable[SEC_Issue_Date]</f>
        <v>1826</v>
      </c>
      <c r="T682" s="66" t="str">
        <f>DataTable[HLD_Portfolio]&amp;DataTable[HLD_Date]</f>
        <v>SCBFPFUND43383</v>
      </c>
      <c r="W682" t="b">
        <f>DataTable[HLD_SecCode]="CB18O18A"</f>
        <v>0</v>
      </c>
    </row>
    <row r="683" spans="1:23" hidden="1" x14ac:dyDescent="0.2">
      <c r="A683" s="66">
        <v>43383</v>
      </c>
      <c r="B683" t="s">
        <v>350</v>
      </c>
      <c r="C683" t="s">
        <v>18</v>
      </c>
      <c r="D683" t="s">
        <v>109</v>
      </c>
      <c r="F683" t="s">
        <v>616</v>
      </c>
      <c r="G683" t="s">
        <v>501</v>
      </c>
      <c r="H683" t="s">
        <v>47</v>
      </c>
      <c r="I683" s="66">
        <v>44811</v>
      </c>
      <c r="J683" s="6">
        <v>142845872.75</v>
      </c>
      <c r="K683">
        <v>357931.05</v>
      </c>
      <c r="L683">
        <v>145000000</v>
      </c>
      <c r="M683">
        <v>3.6665969999999999</v>
      </c>
      <c r="N683">
        <v>145000000</v>
      </c>
      <c r="O683">
        <v>2.65</v>
      </c>
      <c r="P683" t="s">
        <v>42</v>
      </c>
      <c r="Q683" t="s">
        <v>23</v>
      </c>
      <c r="R683" s="66">
        <v>42985</v>
      </c>
      <c r="S683" s="6">
        <f>DataTable[HLD_MaturityDate] - DataTable[SEC_Issue_Date]</f>
        <v>1826</v>
      </c>
      <c r="T683" s="66" t="str">
        <f>DataTable[HLD_Portfolio]&amp;DataTable[HLD_Date]</f>
        <v>SCBFPFUND43383</v>
      </c>
      <c r="W683" t="b">
        <f>DataTable[HLD_SecCode]="CB18O18A"</f>
        <v>0</v>
      </c>
    </row>
    <row r="684" spans="1:23" hidden="1" x14ac:dyDescent="0.2">
      <c r="A684" s="66">
        <v>43383</v>
      </c>
      <c r="B684" t="s">
        <v>350</v>
      </c>
      <c r="C684" t="s">
        <v>18</v>
      </c>
      <c r="D684" t="s">
        <v>109</v>
      </c>
      <c r="F684" t="s">
        <v>500</v>
      </c>
      <c r="G684" t="s">
        <v>501</v>
      </c>
      <c r="H684" t="s">
        <v>47</v>
      </c>
      <c r="I684" s="66">
        <v>45021</v>
      </c>
      <c r="J684" s="6">
        <v>224817345.06</v>
      </c>
      <c r="K684">
        <v>93411.78</v>
      </c>
      <c r="L684">
        <v>231000000</v>
      </c>
      <c r="M684">
        <v>4.2007459999999996</v>
      </c>
      <c r="N684">
        <v>231000000</v>
      </c>
      <c r="O684">
        <v>2.46</v>
      </c>
      <c r="P684" t="s">
        <v>42</v>
      </c>
      <c r="Q684" t="s">
        <v>23</v>
      </c>
      <c r="R684" s="66">
        <v>43195</v>
      </c>
      <c r="S684" s="6">
        <f>DataTable[HLD_MaturityDate] - DataTable[SEC_Issue_Date]</f>
        <v>1826</v>
      </c>
      <c r="T684" s="66" t="str">
        <f>DataTable[HLD_Portfolio]&amp;DataTable[HLD_Date]</f>
        <v>SCBFPFUND43383</v>
      </c>
      <c r="W684" t="b">
        <f>DataTable[HLD_SecCode]="CB18O18A"</f>
        <v>0</v>
      </c>
    </row>
    <row r="685" spans="1:23" hidden="1" x14ac:dyDescent="0.2">
      <c r="A685" s="66">
        <v>43383</v>
      </c>
      <c r="B685" t="s">
        <v>350</v>
      </c>
      <c r="C685" t="s">
        <v>18</v>
      </c>
      <c r="D685" t="s">
        <v>109</v>
      </c>
      <c r="F685" t="s">
        <v>555</v>
      </c>
      <c r="G685" t="s">
        <v>255</v>
      </c>
      <c r="H685" t="s">
        <v>51</v>
      </c>
      <c r="I685" s="66">
        <v>43715</v>
      </c>
      <c r="J685" s="6">
        <v>811423423.10000002</v>
      </c>
      <c r="K685">
        <v>1767761.03</v>
      </c>
      <c r="L685">
        <v>815555273.46000004</v>
      </c>
      <c r="M685">
        <v>0.88680099999999995</v>
      </c>
      <c r="N685">
        <v>811000000</v>
      </c>
      <c r="O685">
        <v>1.7201850000000001</v>
      </c>
      <c r="P685" t="s">
        <v>42</v>
      </c>
      <c r="Q685" t="s">
        <v>23</v>
      </c>
      <c r="R685" s="66">
        <v>42620</v>
      </c>
      <c r="S685" s="6">
        <f>DataTable[HLD_MaturityDate] - DataTable[SEC_Issue_Date]</f>
        <v>1095</v>
      </c>
      <c r="T685" s="66" t="str">
        <f>DataTable[HLD_Portfolio]&amp;DataTable[HLD_Date]</f>
        <v>SCBFPFUND43383</v>
      </c>
      <c r="W685" t="b">
        <f>DataTable[HLD_SecCode]="CB18O18A"</f>
        <v>0</v>
      </c>
    </row>
    <row r="686" spans="1:23" hidden="1" x14ac:dyDescent="0.2">
      <c r="A686" s="66">
        <v>43383</v>
      </c>
      <c r="B686" t="s">
        <v>350</v>
      </c>
      <c r="C686" t="s">
        <v>18</v>
      </c>
      <c r="D686" t="s">
        <v>109</v>
      </c>
      <c r="F686" t="s">
        <v>254</v>
      </c>
      <c r="G686" t="s">
        <v>255</v>
      </c>
      <c r="H686" t="s">
        <v>51</v>
      </c>
      <c r="I686" s="66">
        <v>43990</v>
      </c>
      <c r="J686" s="6">
        <v>490393977.63</v>
      </c>
      <c r="K686">
        <v>4538320.9800000004</v>
      </c>
      <c r="L686">
        <v>494747534.85000002</v>
      </c>
      <c r="M686">
        <v>1.5990059999999999</v>
      </c>
      <c r="N686">
        <v>489000000</v>
      </c>
      <c r="O686">
        <v>1.9830779999999999</v>
      </c>
      <c r="P686" t="s">
        <v>42</v>
      </c>
      <c r="Q686" t="s">
        <v>23</v>
      </c>
      <c r="R686" s="66">
        <v>42712</v>
      </c>
      <c r="S686" s="6">
        <f>DataTable[HLD_MaturityDate] - DataTable[SEC_Issue_Date]</f>
        <v>1278</v>
      </c>
      <c r="T686" s="66" t="str">
        <f>DataTable[HLD_Portfolio]&amp;DataTable[HLD_Date]</f>
        <v>SCBFPFUND43383</v>
      </c>
      <c r="W686" t="b">
        <f>DataTable[HLD_SecCode]="CB18O18A"</f>
        <v>0</v>
      </c>
    </row>
    <row r="687" spans="1:23" hidden="1" x14ac:dyDescent="0.2">
      <c r="A687" s="66">
        <v>43383</v>
      </c>
      <c r="B687" t="s">
        <v>350</v>
      </c>
      <c r="C687" t="s">
        <v>18</v>
      </c>
      <c r="D687" t="s">
        <v>109</v>
      </c>
      <c r="F687" t="s">
        <v>502</v>
      </c>
      <c r="G687" t="s">
        <v>255</v>
      </c>
      <c r="H687" t="s">
        <v>51</v>
      </c>
      <c r="I687" s="66">
        <v>44446</v>
      </c>
      <c r="J687" s="6">
        <v>139371874.59999999</v>
      </c>
      <c r="K687">
        <v>350805</v>
      </c>
      <c r="L687">
        <v>142413152</v>
      </c>
      <c r="M687">
        <v>2.7651870000000001</v>
      </c>
      <c r="N687">
        <v>140000000</v>
      </c>
      <c r="O687">
        <v>2.0785710000000002</v>
      </c>
      <c r="P687" t="s">
        <v>42</v>
      </c>
      <c r="Q687" t="s">
        <v>23</v>
      </c>
      <c r="R687" s="66">
        <v>42620</v>
      </c>
      <c r="S687" s="6">
        <f>DataTable[HLD_MaturityDate] - DataTable[SEC_Issue_Date]</f>
        <v>1826</v>
      </c>
      <c r="T687" s="66" t="str">
        <f>DataTable[HLD_Portfolio]&amp;DataTable[HLD_Date]</f>
        <v>SCBFPFUND43383</v>
      </c>
      <c r="W687" t="b">
        <f>DataTable[HLD_SecCode]="CB18O18A"</f>
        <v>0</v>
      </c>
    </row>
    <row r="688" spans="1:23" hidden="1" x14ac:dyDescent="0.2">
      <c r="A688" s="66">
        <v>43383</v>
      </c>
      <c r="B688" t="s">
        <v>350</v>
      </c>
      <c r="C688" t="s">
        <v>18</v>
      </c>
      <c r="D688" t="s">
        <v>109</v>
      </c>
      <c r="F688" t="s">
        <v>681</v>
      </c>
      <c r="G688" t="s">
        <v>255</v>
      </c>
      <c r="H688" t="s">
        <v>51</v>
      </c>
      <c r="I688" s="66">
        <v>44644</v>
      </c>
      <c r="J688" s="6">
        <v>46017205.799999997</v>
      </c>
      <c r="K688">
        <v>69237.22</v>
      </c>
      <c r="L688">
        <v>47264428.270000003</v>
      </c>
      <c r="M688">
        <v>3.2379530000000001</v>
      </c>
      <c r="N688">
        <v>45600000</v>
      </c>
      <c r="O688">
        <v>2.16</v>
      </c>
      <c r="P688" t="s">
        <v>42</v>
      </c>
      <c r="Q688" t="s">
        <v>23</v>
      </c>
      <c r="R688" s="66">
        <v>42818</v>
      </c>
      <c r="S688" s="6">
        <f>DataTable[HLD_MaturityDate] - DataTable[SEC_Issue_Date]</f>
        <v>1826</v>
      </c>
      <c r="T688" s="66" t="str">
        <f>DataTable[HLD_Portfolio]&amp;DataTable[HLD_Date]</f>
        <v>SCBFPFUND43383</v>
      </c>
      <c r="W688" t="b">
        <f>DataTable[HLD_SecCode]="CB18O18A"</f>
        <v>0</v>
      </c>
    </row>
    <row r="689" spans="1:23" hidden="1" x14ac:dyDescent="0.2">
      <c r="A689" s="66">
        <v>43383</v>
      </c>
      <c r="B689" t="s">
        <v>350</v>
      </c>
      <c r="C689" t="s">
        <v>18</v>
      </c>
      <c r="D689" t="s">
        <v>109</v>
      </c>
      <c r="F689" t="s">
        <v>256</v>
      </c>
      <c r="G689" t="s">
        <v>257</v>
      </c>
      <c r="H689" t="s">
        <v>47</v>
      </c>
      <c r="I689" s="66">
        <v>43783</v>
      </c>
      <c r="J689" s="6">
        <v>50798130</v>
      </c>
      <c r="K689">
        <v>723287.5</v>
      </c>
      <c r="L689">
        <v>50000000</v>
      </c>
      <c r="M689">
        <v>1.05698</v>
      </c>
      <c r="N689">
        <v>50000000</v>
      </c>
      <c r="O689">
        <v>3.52</v>
      </c>
      <c r="P689" t="s">
        <v>42</v>
      </c>
      <c r="Q689" t="s">
        <v>23</v>
      </c>
      <c r="R689" s="66">
        <v>41957</v>
      </c>
      <c r="S689" s="6">
        <f>DataTable[HLD_MaturityDate] - DataTable[SEC_Issue_Date]</f>
        <v>1826</v>
      </c>
      <c r="T689" s="66" t="str">
        <f>DataTable[HLD_Portfolio]&amp;DataTable[HLD_Date]</f>
        <v>SCBFPFUND43383</v>
      </c>
      <c r="W689" t="b">
        <f>DataTable[HLD_SecCode]="CB18O18A"</f>
        <v>0</v>
      </c>
    </row>
    <row r="690" spans="1:23" hidden="1" x14ac:dyDescent="0.2">
      <c r="A690" s="66">
        <v>43383</v>
      </c>
      <c r="B690" t="s">
        <v>350</v>
      </c>
      <c r="C690" t="s">
        <v>18</v>
      </c>
      <c r="D690" t="s">
        <v>109</v>
      </c>
      <c r="F690" t="s">
        <v>682</v>
      </c>
      <c r="G690" t="s">
        <v>257</v>
      </c>
      <c r="H690" t="s">
        <v>47</v>
      </c>
      <c r="I690" s="66">
        <v>44033</v>
      </c>
      <c r="J690" s="6">
        <v>59807114.399999999</v>
      </c>
      <c r="K690">
        <v>323506.8</v>
      </c>
      <c r="L690">
        <v>60410710.200000003</v>
      </c>
      <c r="M690">
        <v>1.7218830000000001</v>
      </c>
      <c r="N690">
        <v>60000000</v>
      </c>
      <c r="O690">
        <v>2</v>
      </c>
      <c r="P690" t="s">
        <v>42</v>
      </c>
      <c r="Q690" t="s">
        <v>23</v>
      </c>
      <c r="R690" s="66">
        <v>42937</v>
      </c>
      <c r="S690" s="6">
        <f>DataTable[HLD_MaturityDate] - DataTable[SEC_Issue_Date]</f>
        <v>1096</v>
      </c>
      <c r="T690" s="66" t="str">
        <f>DataTable[HLD_Portfolio]&amp;DataTable[HLD_Date]</f>
        <v>SCBFPFUND43383</v>
      </c>
      <c r="W690" t="b">
        <f>DataTable[HLD_SecCode]="CB18O18A"</f>
        <v>0</v>
      </c>
    </row>
    <row r="691" spans="1:23" hidden="1" x14ac:dyDescent="0.2">
      <c r="A691" s="66">
        <v>43383</v>
      </c>
      <c r="B691" t="s">
        <v>350</v>
      </c>
      <c r="C691" t="s">
        <v>18</v>
      </c>
      <c r="D691" t="s">
        <v>109</v>
      </c>
      <c r="F691" t="s">
        <v>504</v>
      </c>
      <c r="G691" t="s">
        <v>257</v>
      </c>
      <c r="H691" t="s">
        <v>47</v>
      </c>
      <c r="I691" s="66">
        <v>44341</v>
      </c>
      <c r="J691" s="6">
        <v>555970777.60000002</v>
      </c>
      <c r="K691">
        <v>4904984</v>
      </c>
      <c r="L691">
        <v>560177671.20000005</v>
      </c>
      <c r="M691">
        <v>2.5065400000000002</v>
      </c>
      <c r="N691">
        <v>560000000</v>
      </c>
      <c r="O691">
        <v>2.2832590000000001</v>
      </c>
      <c r="P691" t="s">
        <v>42</v>
      </c>
      <c r="Q691" t="s">
        <v>23</v>
      </c>
      <c r="R691" s="66">
        <v>42515</v>
      </c>
      <c r="S691" s="6">
        <f>DataTable[HLD_MaturityDate] - DataTable[SEC_Issue_Date]</f>
        <v>1826</v>
      </c>
      <c r="T691" s="66" t="str">
        <f>DataTable[HLD_Portfolio]&amp;DataTable[HLD_Date]</f>
        <v>SCBFPFUND43383</v>
      </c>
      <c r="W691" t="b">
        <f>DataTable[HLD_SecCode]="CB18O18A"</f>
        <v>0</v>
      </c>
    </row>
    <row r="692" spans="1:23" hidden="1" x14ac:dyDescent="0.2">
      <c r="A692" s="66">
        <v>43383</v>
      </c>
      <c r="B692" t="s">
        <v>350</v>
      </c>
      <c r="C692" t="s">
        <v>18</v>
      </c>
      <c r="D692" t="s">
        <v>109</v>
      </c>
      <c r="F692" t="s">
        <v>505</v>
      </c>
      <c r="G692" t="s">
        <v>257</v>
      </c>
      <c r="H692" t="s">
        <v>47</v>
      </c>
      <c r="I692" s="66">
        <v>44763</v>
      </c>
      <c r="J692" s="6">
        <v>98157566.359999999</v>
      </c>
      <c r="K692">
        <v>649485.19999999995</v>
      </c>
      <c r="L692">
        <v>98000000</v>
      </c>
      <c r="M692">
        <v>3.5307789999999999</v>
      </c>
      <c r="N692">
        <v>98000000</v>
      </c>
      <c r="O692">
        <v>2.95</v>
      </c>
      <c r="P692" t="s">
        <v>42</v>
      </c>
      <c r="Q692" t="s">
        <v>23</v>
      </c>
      <c r="R692" s="66">
        <v>42937</v>
      </c>
      <c r="S692" s="6">
        <f>DataTable[HLD_MaturityDate] - DataTable[SEC_Issue_Date]</f>
        <v>1826</v>
      </c>
      <c r="T692" s="66" t="str">
        <f>DataTable[HLD_Portfolio]&amp;DataTable[HLD_Date]</f>
        <v>SCBFPFUND43383</v>
      </c>
      <c r="W692" t="b">
        <f>DataTable[HLD_SecCode]="CB18O18A"</f>
        <v>0</v>
      </c>
    </row>
    <row r="693" spans="1:23" hidden="1" x14ac:dyDescent="0.2">
      <c r="A693" s="66">
        <v>43383</v>
      </c>
      <c r="B693" t="s">
        <v>350</v>
      </c>
      <c r="C693" t="s">
        <v>18</v>
      </c>
      <c r="D693" t="s">
        <v>109</v>
      </c>
      <c r="F693" t="s">
        <v>506</v>
      </c>
      <c r="G693" t="s">
        <v>257</v>
      </c>
      <c r="H693" t="s">
        <v>47</v>
      </c>
      <c r="I693" s="66">
        <v>45013</v>
      </c>
      <c r="J693" s="6">
        <v>45941080.130000003</v>
      </c>
      <c r="K693">
        <v>42183.91</v>
      </c>
      <c r="L693">
        <v>47000000</v>
      </c>
      <c r="M693">
        <v>4.1755339999999999</v>
      </c>
      <c r="N693">
        <v>47000000</v>
      </c>
      <c r="O693">
        <v>2.52</v>
      </c>
      <c r="P693" t="s">
        <v>42</v>
      </c>
      <c r="Q693" t="s">
        <v>23</v>
      </c>
      <c r="R693" s="66">
        <v>43187</v>
      </c>
      <c r="S693" s="6">
        <f>DataTable[HLD_MaturityDate] - DataTable[SEC_Issue_Date]</f>
        <v>1826</v>
      </c>
      <c r="T693" s="66" t="str">
        <f>DataTable[HLD_Portfolio]&amp;DataTable[HLD_Date]</f>
        <v>SCBFPFUND43383</v>
      </c>
      <c r="W693" t="b">
        <f>DataTable[HLD_SecCode]="CB18O18A"</f>
        <v>0</v>
      </c>
    </row>
    <row r="694" spans="1:23" hidden="1" x14ac:dyDescent="0.2">
      <c r="A694" s="66">
        <v>43383</v>
      </c>
      <c r="B694" t="s">
        <v>350</v>
      </c>
      <c r="C694" t="s">
        <v>18</v>
      </c>
      <c r="D694" t="s">
        <v>109</v>
      </c>
      <c r="F694" t="s">
        <v>509</v>
      </c>
      <c r="G694" t="s">
        <v>194</v>
      </c>
      <c r="H694" t="s">
        <v>47</v>
      </c>
      <c r="I694" s="66">
        <v>44191</v>
      </c>
      <c r="J694" s="6">
        <v>85358233.599999994</v>
      </c>
      <c r="K694">
        <v>564725.88</v>
      </c>
      <c r="L694">
        <v>86000000</v>
      </c>
      <c r="M694">
        <v>2.1256740000000001</v>
      </c>
      <c r="N694">
        <v>86000000</v>
      </c>
      <c r="O694">
        <v>2.2400000000000002</v>
      </c>
      <c r="P694" t="s">
        <v>42</v>
      </c>
      <c r="Q694" t="s">
        <v>23</v>
      </c>
      <c r="R694" s="66">
        <v>43095</v>
      </c>
      <c r="S694" s="6">
        <f>DataTable[HLD_MaturityDate] - DataTable[SEC_Issue_Date]</f>
        <v>1096</v>
      </c>
      <c r="T694" s="66" t="str">
        <f>DataTable[HLD_Portfolio]&amp;DataTable[HLD_Date]</f>
        <v>SCBFPFUND43383</v>
      </c>
      <c r="W694" t="b">
        <f>DataTable[HLD_SecCode]="CB18O18A"</f>
        <v>0</v>
      </c>
    </row>
    <row r="695" spans="1:23" hidden="1" x14ac:dyDescent="0.2">
      <c r="A695" s="66">
        <v>43383</v>
      </c>
      <c r="B695" t="s">
        <v>350</v>
      </c>
      <c r="C695" t="s">
        <v>18</v>
      </c>
      <c r="D695" t="s">
        <v>109</v>
      </c>
      <c r="F695" t="s">
        <v>510</v>
      </c>
      <c r="G695" t="s">
        <v>511</v>
      </c>
      <c r="H695" t="s">
        <v>123</v>
      </c>
      <c r="I695" s="66">
        <v>43997</v>
      </c>
      <c r="J695" s="6">
        <v>574170166.97000003</v>
      </c>
      <c r="K695">
        <v>4159777.64</v>
      </c>
      <c r="L695">
        <v>577000000</v>
      </c>
      <c r="M695">
        <v>1.624603</v>
      </c>
      <c r="N695">
        <v>577000000</v>
      </c>
      <c r="O695">
        <v>2.23</v>
      </c>
      <c r="P695" t="s">
        <v>42</v>
      </c>
      <c r="Q695" t="s">
        <v>23</v>
      </c>
      <c r="R695" s="66">
        <v>43266</v>
      </c>
      <c r="S695" s="6">
        <f>DataTable[HLD_MaturityDate] - DataTable[SEC_Issue_Date]</f>
        <v>731</v>
      </c>
      <c r="T695" s="66" t="str">
        <f>DataTable[HLD_Portfolio]&amp;DataTable[HLD_Date]</f>
        <v>SCBFPFUND43383</v>
      </c>
      <c r="W695" t="b">
        <f>DataTable[HLD_SecCode]="CB18O18A"</f>
        <v>0</v>
      </c>
    </row>
    <row r="696" spans="1:23" hidden="1" x14ac:dyDescent="0.2">
      <c r="A696" s="66">
        <v>43383</v>
      </c>
      <c r="B696" t="s">
        <v>350</v>
      </c>
      <c r="C696" t="s">
        <v>18</v>
      </c>
      <c r="D696" t="s">
        <v>109</v>
      </c>
      <c r="F696" t="s">
        <v>683</v>
      </c>
      <c r="G696" t="s">
        <v>684</v>
      </c>
      <c r="H696" t="s">
        <v>47</v>
      </c>
      <c r="I696" s="66">
        <v>44365</v>
      </c>
      <c r="J696" s="6">
        <v>59262407.399999999</v>
      </c>
      <c r="K696">
        <v>483945</v>
      </c>
      <c r="L696">
        <v>60000000</v>
      </c>
      <c r="M696">
        <v>2.5535399999999999</v>
      </c>
      <c r="N696">
        <v>60000000</v>
      </c>
      <c r="O696">
        <v>2.56</v>
      </c>
      <c r="P696" t="s">
        <v>42</v>
      </c>
      <c r="Q696" t="s">
        <v>23</v>
      </c>
      <c r="R696" s="66">
        <v>43269</v>
      </c>
      <c r="S696" s="6">
        <f>DataTable[HLD_MaturityDate] - DataTable[SEC_Issue_Date]</f>
        <v>1096</v>
      </c>
      <c r="T696" s="66" t="str">
        <f>DataTable[HLD_Portfolio]&amp;DataTable[HLD_Date]</f>
        <v>SCBFPFUND43383</v>
      </c>
      <c r="W696" t="b">
        <f>DataTable[HLD_SecCode]="CB18O18A"</f>
        <v>0</v>
      </c>
    </row>
    <row r="697" spans="1:23" hidden="1" x14ac:dyDescent="0.2">
      <c r="A697" s="66">
        <v>43383</v>
      </c>
      <c r="B697" t="s">
        <v>350</v>
      </c>
      <c r="C697" t="s">
        <v>18</v>
      </c>
      <c r="D697" t="s">
        <v>109</v>
      </c>
      <c r="F697" t="s">
        <v>557</v>
      </c>
      <c r="G697" t="s">
        <v>111</v>
      </c>
      <c r="H697" t="s">
        <v>51</v>
      </c>
      <c r="I697" s="66">
        <v>43699</v>
      </c>
      <c r="J697" s="6">
        <v>523023742.88</v>
      </c>
      <c r="K697">
        <v>2992466.88</v>
      </c>
      <c r="L697">
        <v>517372477.36000001</v>
      </c>
      <c r="M697">
        <v>0.84761699999999995</v>
      </c>
      <c r="N697">
        <v>514000000</v>
      </c>
      <c r="O697">
        <v>3.4506480000000002</v>
      </c>
      <c r="P697" t="s">
        <v>42</v>
      </c>
      <c r="Q697" t="s">
        <v>23</v>
      </c>
      <c r="R697" s="66">
        <v>41873</v>
      </c>
      <c r="S697" s="6">
        <f>DataTable[HLD_MaturityDate] - DataTable[SEC_Issue_Date]</f>
        <v>1826</v>
      </c>
      <c r="T697" s="66" t="str">
        <f>DataTable[HLD_Portfolio]&amp;DataTable[HLD_Date]</f>
        <v>SCBFPFUND43383</v>
      </c>
      <c r="W697" t="b">
        <f>DataTable[HLD_SecCode]="CB18O18A"</f>
        <v>0</v>
      </c>
    </row>
    <row r="698" spans="1:23" hidden="1" x14ac:dyDescent="0.2">
      <c r="A698" s="66">
        <v>43383</v>
      </c>
      <c r="B698" t="s">
        <v>350</v>
      </c>
      <c r="C698" t="s">
        <v>18</v>
      </c>
      <c r="D698" t="s">
        <v>109</v>
      </c>
      <c r="F698" t="s">
        <v>685</v>
      </c>
      <c r="G698" t="s">
        <v>111</v>
      </c>
      <c r="H698" t="s">
        <v>51</v>
      </c>
      <c r="I698" s="66">
        <v>44135</v>
      </c>
      <c r="J698" s="6">
        <v>26329737.25</v>
      </c>
      <c r="K698">
        <v>572876.75</v>
      </c>
      <c r="L698">
        <v>26453561.25</v>
      </c>
      <c r="M698">
        <v>1.914709</v>
      </c>
      <c r="N698">
        <v>25000000</v>
      </c>
      <c r="O698">
        <v>2.1800000000000002</v>
      </c>
      <c r="P698" t="s">
        <v>42</v>
      </c>
      <c r="Q698" t="s">
        <v>23</v>
      </c>
      <c r="R698" s="66">
        <v>41578</v>
      </c>
      <c r="S698" s="6">
        <f>DataTable[HLD_MaturityDate] - DataTable[SEC_Issue_Date]</f>
        <v>2557</v>
      </c>
      <c r="T698" s="66" t="str">
        <f>DataTable[HLD_Portfolio]&amp;DataTable[HLD_Date]</f>
        <v>SCBFPFUND43383</v>
      </c>
      <c r="W698" t="b">
        <f>DataTable[HLD_SecCode]="CB18O18A"</f>
        <v>0</v>
      </c>
    </row>
    <row r="699" spans="1:23" hidden="1" x14ac:dyDescent="0.2">
      <c r="A699" s="66">
        <v>43383</v>
      </c>
      <c r="B699" t="s">
        <v>350</v>
      </c>
      <c r="C699" t="s">
        <v>18</v>
      </c>
      <c r="D699" t="s">
        <v>109</v>
      </c>
      <c r="F699" t="s">
        <v>686</v>
      </c>
      <c r="G699" t="s">
        <v>196</v>
      </c>
      <c r="H699" t="s">
        <v>51</v>
      </c>
      <c r="I699" s="66">
        <v>43680</v>
      </c>
      <c r="J699" s="6">
        <v>244308237.40000001</v>
      </c>
      <c r="K699">
        <v>2256204.34</v>
      </c>
      <c r="L699">
        <v>243008580.34999999</v>
      </c>
      <c r="M699">
        <v>0.79490000000000005</v>
      </c>
      <c r="N699">
        <v>238700000</v>
      </c>
      <c r="O699">
        <v>2.7152810000000001</v>
      </c>
      <c r="P699" t="s">
        <v>42</v>
      </c>
      <c r="Q699" t="s">
        <v>23</v>
      </c>
      <c r="R699" s="66">
        <v>41124</v>
      </c>
      <c r="S699" s="6">
        <f>DataTable[HLD_MaturityDate] - DataTable[SEC_Issue_Date]</f>
        <v>2556</v>
      </c>
      <c r="T699" s="66" t="str">
        <f>DataTable[HLD_Portfolio]&amp;DataTable[HLD_Date]</f>
        <v>SCBFPFUND43383</v>
      </c>
      <c r="W699" t="b">
        <f>DataTable[HLD_SecCode]="CB18O18A"</f>
        <v>0</v>
      </c>
    </row>
    <row r="700" spans="1:23" hidden="1" x14ac:dyDescent="0.2">
      <c r="A700" s="66">
        <v>43383</v>
      </c>
      <c r="B700" t="s">
        <v>350</v>
      </c>
      <c r="C700" t="s">
        <v>18</v>
      </c>
      <c r="D700" t="s">
        <v>109</v>
      </c>
      <c r="F700" t="s">
        <v>560</v>
      </c>
      <c r="G700" t="s">
        <v>196</v>
      </c>
      <c r="H700" t="s">
        <v>51</v>
      </c>
      <c r="I700" s="66">
        <v>43933</v>
      </c>
      <c r="J700" s="6">
        <v>160125740.80000001</v>
      </c>
      <c r="K700">
        <v>1819002.06</v>
      </c>
      <c r="L700">
        <v>160089358.40000001</v>
      </c>
      <c r="M700">
        <v>1.469543</v>
      </c>
      <c r="N700">
        <v>160000000</v>
      </c>
      <c r="O700">
        <v>2.242022</v>
      </c>
      <c r="P700" t="s">
        <v>42</v>
      </c>
      <c r="Q700" t="s">
        <v>23</v>
      </c>
      <c r="R700" s="66">
        <v>42472</v>
      </c>
      <c r="S700" s="6">
        <f>DataTable[HLD_MaturityDate] - DataTable[SEC_Issue_Date]</f>
        <v>1461</v>
      </c>
      <c r="T700" s="66" t="str">
        <f>DataTable[HLD_Portfolio]&amp;DataTable[HLD_Date]</f>
        <v>SCBFPFUND43383</v>
      </c>
      <c r="W700" t="b">
        <f>DataTable[HLD_SecCode]="CB18O18A"</f>
        <v>0</v>
      </c>
    </row>
    <row r="701" spans="1:23" hidden="1" x14ac:dyDescent="0.2">
      <c r="A701" s="66">
        <v>43383</v>
      </c>
      <c r="B701" t="s">
        <v>350</v>
      </c>
      <c r="C701" t="s">
        <v>18</v>
      </c>
      <c r="D701" t="s">
        <v>109</v>
      </c>
      <c r="F701" t="s">
        <v>687</v>
      </c>
      <c r="G701" t="s">
        <v>196</v>
      </c>
      <c r="H701" t="s">
        <v>51</v>
      </c>
      <c r="I701" s="66">
        <v>43964</v>
      </c>
      <c r="J701" s="6">
        <v>281906139.07999998</v>
      </c>
      <c r="K701">
        <v>3691764.94</v>
      </c>
      <c r="L701">
        <v>283211760.51999998</v>
      </c>
      <c r="M701">
        <v>1.5264690000000001</v>
      </c>
      <c r="N701">
        <v>278000000</v>
      </c>
      <c r="O701">
        <v>1.9973019999999999</v>
      </c>
      <c r="P701" t="s">
        <v>42</v>
      </c>
      <c r="Q701" t="s">
        <v>23</v>
      </c>
      <c r="R701" s="66">
        <v>42137</v>
      </c>
      <c r="S701" s="6">
        <f>DataTable[HLD_MaturityDate] - DataTable[SEC_Issue_Date]</f>
        <v>1827</v>
      </c>
      <c r="T701" s="66" t="str">
        <f>DataTable[HLD_Portfolio]&amp;DataTable[HLD_Date]</f>
        <v>SCBFPFUND43383</v>
      </c>
      <c r="W701" t="b">
        <f>DataTable[HLD_SecCode]="CB18O18A"</f>
        <v>0</v>
      </c>
    </row>
    <row r="702" spans="1:23" hidden="1" x14ac:dyDescent="0.2">
      <c r="A702" s="66">
        <v>43383</v>
      </c>
      <c r="B702" t="s">
        <v>350</v>
      </c>
      <c r="C702" t="s">
        <v>18</v>
      </c>
      <c r="D702" t="s">
        <v>109</v>
      </c>
      <c r="F702" t="s">
        <v>514</v>
      </c>
      <c r="G702" t="s">
        <v>196</v>
      </c>
      <c r="H702" t="s">
        <v>51</v>
      </c>
      <c r="I702" s="66">
        <v>44410</v>
      </c>
      <c r="J702" s="6">
        <v>31835651.399999999</v>
      </c>
      <c r="K702">
        <v>281917.8</v>
      </c>
      <c r="L702">
        <v>31518999</v>
      </c>
      <c r="M702">
        <v>2.6107879999999999</v>
      </c>
      <c r="N702">
        <v>30000000</v>
      </c>
      <c r="O702">
        <v>3</v>
      </c>
      <c r="P702" t="s">
        <v>42</v>
      </c>
      <c r="Q702" t="s">
        <v>23</v>
      </c>
      <c r="R702" s="66">
        <v>41488</v>
      </c>
      <c r="S702" s="6">
        <f>DataTable[HLD_MaturityDate] - DataTable[SEC_Issue_Date]</f>
        <v>2922</v>
      </c>
      <c r="T702" s="66" t="str">
        <f>DataTable[HLD_Portfolio]&amp;DataTable[HLD_Date]</f>
        <v>SCBFPFUND43383</v>
      </c>
      <c r="W702" t="b">
        <f>DataTable[HLD_SecCode]="CB18O18A"</f>
        <v>0</v>
      </c>
    </row>
    <row r="703" spans="1:23" hidden="1" x14ac:dyDescent="0.2">
      <c r="A703" s="66">
        <v>43383</v>
      </c>
      <c r="B703" t="s">
        <v>350</v>
      </c>
      <c r="C703" t="s">
        <v>18</v>
      </c>
      <c r="D703" t="s">
        <v>109</v>
      </c>
      <c r="F703" t="s">
        <v>688</v>
      </c>
      <c r="G703" t="s">
        <v>196</v>
      </c>
      <c r="H703" t="s">
        <v>51</v>
      </c>
      <c r="I703" s="66">
        <v>44776</v>
      </c>
      <c r="J703" s="6">
        <v>64967578.200000003</v>
      </c>
      <c r="K703">
        <v>567123</v>
      </c>
      <c r="L703">
        <v>64505019.600000001</v>
      </c>
      <c r="M703">
        <v>3.4538160000000002</v>
      </c>
      <c r="N703">
        <v>60000000</v>
      </c>
      <c r="O703">
        <v>3.14</v>
      </c>
      <c r="P703" t="s">
        <v>42</v>
      </c>
      <c r="Q703" t="s">
        <v>23</v>
      </c>
      <c r="R703" s="66">
        <v>41124</v>
      </c>
      <c r="S703" s="6">
        <f>DataTable[HLD_MaturityDate] - DataTable[SEC_Issue_Date]</f>
        <v>3652</v>
      </c>
      <c r="T703" s="66" t="str">
        <f>DataTable[HLD_Portfolio]&amp;DataTable[HLD_Date]</f>
        <v>SCBFPFUND43383</v>
      </c>
      <c r="W703" t="b">
        <f>DataTable[HLD_SecCode]="CB18O18A"</f>
        <v>0</v>
      </c>
    </row>
    <row r="704" spans="1:23" hidden="1" x14ac:dyDescent="0.2">
      <c r="A704" s="66">
        <v>43383</v>
      </c>
      <c r="B704" t="s">
        <v>350</v>
      </c>
      <c r="C704" t="s">
        <v>18</v>
      </c>
      <c r="D704" t="s">
        <v>109</v>
      </c>
      <c r="F704" t="s">
        <v>622</v>
      </c>
      <c r="G704" t="s">
        <v>196</v>
      </c>
      <c r="H704" t="s">
        <v>51</v>
      </c>
      <c r="I704" s="66">
        <v>45394</v>
      </c>
      <c r="J704" s="6">
        <v>61676775.399999999</v>
      </c>
      <c r="K704">
        <v>961458.35</v>
      </c>
      <c r="L704">
        <v>62000000</v>
      </c>
      <c r="M704">
        <v>5.0184759999999997</v>
      </c>
      <c r="N704">
        <v>62000000</v>
      </c>
      <c r="O704">
        <v>3.11</v>
      </c>
      <c r="P704" t="s">
        <v>42</v>
      </c>
      <c r="Q704" t="s">
        <v>23</v>
      </c>
      <c r="R704" s="66">
        <v>42472</v>
      </c>
      <c r="S704" s="6">
        <f>DataTable[HLD_MaturityDate] - DataTable[SEC_Issue_Date]</f>
        <v>2922</v>
      </c>
      <c r="T704" s="66" t="str">
        <f>DataTable[HLD_Portfolio]&amp;DataTable[HLD_Date]</f>
        <v>SCBFPFUND43383</v>
      </c>
      <c r="W704" t="b">
        <f>DataTable[HLD_SecCode]="CB18O18A"</f>
        <v>0</v>
      </c>
    </row>
    <row r="705" spans="1:23" hidden="1" x14ac:dyDescent="0.2">
      <c r="A705" s="66">
        <v>43383</v>
      </c>
      <c r="B705" t="s">
        <v>350</v>
      </c>
      <c r="C705" t="s">
        <v>18</v>
      </c>
      <c r="D705" t="s">
        <v>109</v>
      </c>
      <c r="F705" t="s">
        <v>515</v>
      </c>
      <c r="G705" t="s">
        <v>196</v>
      </c>
      <c r="H705" t="s">
        <v>51</v>
      </c>
      <c r="I705" s="66">
        <v>45681</v>
      </c>
      <c r="J705" s="6">
        <v>374706954.42000002</v>
      </c>
      <c r="K705">
        <v>2515121.9700000002</v>
      </c>
      <c r="L705">
        <v>381000000</v>
      </c>
      <c r="M705">
        <v>5.632987</v>
      </c>
      <c r="N705">
        <v>381000000</v>
      </c>
      <c r="O705">
        <v>3.05</v>
      </c>
      <c r="P705" t="s">
        <v>42</v>
      </c>
      <c r="Q705" t="s">
        <v>23</v>
      </c>
      <c r="R705" s="66">
        <v>43124</v>
      </c>
      <c r="S705" s="6">
        <f>DataTable[HLD_MaturityDate] - DataTable[SEC_Issue_Date]</f>
        <v>2557</v>
      </c>
      <c r="T705" s="66" t="str">
        <f>DataTable[HLD_Portfolio]&amp;DataTable[HLD_Date]</f>
        <v>SCBFPFUND43383</v>
      </c>
      <c r="W705" t="b">
        <f>DataTable[HLD_SecCode]="CB18O18A"</f>
        <v>0</v>
      </c>
    </row>
    <row r="706" spans="1:23" hidden="1" x14ac:dyDescent="0.2">
      <c r="A706" s="66">
        <v>43383</v>
      </c>
      <c r="B706" t="s">
        <v>350</v>
      </c>
      <c r="C706" t="s">
        <v>18</v>
      </c>
      <c r="D706" t="s">
        <v>109</v>
      </c>
      <c r="F706" t="s">
        <v>623</v>
      </c>
      <c r="G706" t="s">
        <v>199</v>
      </c>
      <c r="H706" t="s">
        <v>51</v>
      </c>
      <c r="I706" s="66">
        <v>44216</v>
      </c>
      <c r="J706" s="6">
        <v>675685820.74000001</v>
      </c>
      <c r="K706">
        <v>4701896.4400000004</v>
      </c>
      <c r="L706">
        <v>667135554.40999997</v>
      </c>
      <c r="M706">
        <v>2.1749839999999998</v>
      </c>
      <c r="N706">
        <v>667000000</v>
      </c>
      <c r="O706">
        <v>3.0835080000000001</v>
      </c>
      <c r="P706" t="s">
        <v>42</v>
      </c>
      <c r="Q706" t="s">
        <v>23</v>
      </c>
      <c r="R706" s="66">
        <v>42389</v>
      </c>
      <c r="S706" s="6">
        <f>DataTable[HLD_MaturityDate] - DataTable[SEC_Issue_Date]</f>
        <v>1827</v>
      </c>
      <c r="T706" s="66" t="str">
        <f>DataTable[HLD_Portfolio]&amp;DataTable[HLD_Date]</f>
        <v>SCBFPFUND43383</v>
      </c>
      <c r="W706" t="b">
        <f>DataTable[HLD_SecCode]="CB18O18A"</f>
        <v>0</v>
      </c>
    </row>
    <row r="707" spans="1:23" hidden="1" x14ac:dyDescent="0.2">
      <c r="A707" s="66">
        <v>43383</v>
      </c>
      <c r="B707" t="s">
        <v>350</v>
      </c>
      <c r="C707" t="s">
        <v>18</v>
      </c>
      <c r="D707" t="s">
        <v>109</v>
      </c>
      <c r="F707" t="s">
        <v>689</v>
      </c>
      <c r="G707" t="s">
        <v>199</v>
      </c>
      <c r="H707" t="s">
        <v>51</v>
      </c>
      <c r="I707" s="66">
        <v>45122</v>
      </c>
      <c r="J707" s="6">
        <v>20005804.800000001</v>
      </c>
      <c r="K707">
        <v>148997.20000000001</v>
      </c>
      <c r="L707">
        <v>20000000</v>
      </c>
      <c r="M707">
        <v>4.3670499999999999</v>
      </c>
      <c r="N707">
        <v>20000000</v>
      </c>
      <c r="O707">
        <v>3.09</v>
      </c>
      <c r="P707" t="s">
        <v>42</v>
      </c>
      <c r="Q707" t="s">
        <v>23</v>
      </c>
      <c r="R707" s="66">
        <v>42566</v>
      </c>
      <c r="S707" s="6">
        <f>DataTable[HLD_MaturityDate] - DataTable[SEC_Issue_Date]</f>
        <v>2556</v>
      </c>
      <c r="T707" s="66" t="str">
        <f>DataTable[HLD_Portfolio]&amp;DataTable[HLD_Date]</f>
        <v>SCBFPFUND43383</v>
      </c>
      <c r="W707" t="b">
        <f>DataTable[HLD_SecCode]="CB18O18A"</f>
        <v>0</v>
      </c>
    </row>
    <row r="708" spans="1:23" hidden="1" x14ac:dyDescent="0.2">
      <c r="A708" s="66">
        <v>43383</v>
      </c>
      <c r="B708" t="s">
        <v>350</v>
      </c>
      <c r="C708" t="s">
        <v>18</v>
      </c>
      <c r="D708" t="s">
        <v>109</v>
      </c>
      <c r="F708" t="s">
        <v>690</v>
      </c>
      <c r="G708" t="s">
        <v>202</v>
      </c>
      <c r="H708" t="s">
        <v>203</v>
      </c>
      <c r="I708" s="66">
        <v>43776</v>
      </c>
      <c r="J708" s="6">
        <v>304720554</v>
      </c>
      <c r="K708">
        <v>4697097</v>
      </c>
      <c r="L708">
        <v>300560871</v>
      </c>
      <c r="M708">
        <v>1.036573</v>
      </c>
      <c r="N708">
        <v>300000000</v>
      </c>
      <c r="O708">
        <v>3.4449999999999998</v>
      </c>
      <c r="P708" t="s">
        <v>42</v>
      </c>
      <c r="Q708" t="s">
        <v>23</v>
      </c>
      <c r="R708" s="66">
        <v>41950</v>
      </c>
      <c r="S708" s="6">
        <f>DataTable[HLD_MaturityDate] - DataTable[SEC_Issue_Date]</f>
        <v>1826</v>
      </c>
      <c r="T708" s="66" t="str">
        <f>DataTable[HLD_Portfolio]&amp;DataTable[HLD_Date]</f>
        <v>SCBFPFUND43383</v>
      </c>
      <c r="W708" t="b">
        <f>DataTable[HLD_SecCode]="CB18O18A"</f>
        <v>0</v>
      </c>
    </row>
    <row r="709" spans="1:23" hidden="1" x14ac:dyDescent="0.2">
      <c r="A709" s="66">
        <v>43383</v>
      </c>
      <c r="B709" t="s">
        <v>350</v>
      </c>
      <c r="C709" t="s">
        <v>18</v>
      </c>
      <c r="D709" t="s">
        <v>109</v>
      </c>
      <c r="F709" t="s">
        <v>691</v>
      </c>
      <c r="G709" t="s">
        <v>202</v>
      </c>
      <c r="H709" t="s">
        <v>203</v>
      </c>
      <c r="I709" s="66">
        <v>44181</v>
      </c>
      <c r="J709" s="6">
        <v>50066046</v>
      </c>
      <c r="K709">
        <v>450370</v>
      </c>
      <c r="L709">
        <v>50000000</v>
      </c>
      <c r="M709">
        <v>2.0839669999999999</v>
      </c>
      <c r="N709">
        <v>50000000</v>
      </c>
      <c r="O709">
        <v>2.81</v>
      </c>
      <c r="P709" t="s">
        <v>42</v>
      </c>
      <c r="Q709" t="s">
        <v>23</v>
      </c>
      <c r="R709" s="66">
        <v>42354</v>
      </c>
      <c r="S709" s="6">
        <f>DataTable[HLD_MaturityDate] - DataTable[SEC_Issue_Date]</f>
        <v>1827</v>
      </c>
      <c r="T709" s="66" t="str">
        <f>DataTable[HLD_Portfolio]&amp;DataTable[HLD_Date]</f>
        <v>SCBFPFUND43383</v>
      </c>
      <c r="W709" t="b">
        <f>DataTable[HLD_SecCode]="CB18O18A"</f>
        <v>0</v>
      </c>
    </row>
    <row r="710" spans="1:23" hidden="1" x14ac:dyDescent="0.2">
      <c r="A710" s="66">
        <v>43383</v>
      </c>
      <c r="B710" t="s">
        <v>350</v>
      </c>
      <c r="C710" t="s">
        <v>18</v>
      </c>
      <c r="D710" t="s">
        <v>109</v>
      </c>
      <c r="F710" t="s">
        <v>692</v>
      </c>
      <c r="G710" t="s">
        <v>694</v>
      </c>
      <c r="H710" t="s">
        <v>693</v>
      </c>
      <c r="I710" s="66">
        <v>44041</v>
      </c>
      <c r="J710" s="6">
        <v>60578176.200000003</v>
      </c>
      <c r="K710">
        <v>355200</v>
      </c>
      <c r="L710">
        <v>60086825.399999999</v>
      </c>
      <c r="M710">
        <v>1.7383439999999999</v>
      </c>
      <c r="N710">
        <v>60000000</v>
      </c>
      <c r="O710">
        <v>2.8287499999999999</v>
      </c>
      <c r="P710" t="s">
        <v>42</v>
      </c>
      <c r="Q710" t="s">
        <v>23</v>
      </c>
      <c r="R710" s="66">
        <v>42214</v>
      </c>
      <c r="S710" s="6">
        <f>DataTable[HLD_MaturityDate] - DataTable[SEC_Issue_Date]</f>
        <v>1827</v>
      </c>
      <c r="T710" s="66" t="str">
        <f>DataTable[HLD_Portfolio]&amp;DataTable[HLD_Date]</f>
        <v>SCBFPFUND43383</v>
      </c>
      <c r="W710" t="b">
        <f>DataTable[HLD_SecCode]="CB18O18A"</f>
        <v>0</v>
      </c>
    </row>
    <row r="711" spans="1:23" hidden="1" x14ac:dyDescent="0.2">
      <c r="A711" s="66">
        <v>43383</v>
      </c>
      <c r="B711" t="s">
        <v>350</v>
      </c>
      <c r="C711" t="s">
        <v>18</v>
      </c>
      <c r="D711" t="s">
        <v>109</v>
      </c>
      <c r="F711" t="s">
        <v>695</v>
      </c>
      <c r="G711" t="s">
        <v>696</v>
      </c>
      <c r="H711" t="s">
        <v>41</v>
      </c>
      <c r="I711" s="66">
        <v>43746</v>
      </c>
      <c r="J711" s="6">
        <v>15408152.25</v>
      </c>
      <c r="K711">
        <v>5880.75</v>
      </c>
      <c r="L711">
        <v>15255912.75</v>
      </c>
      <c r="M711">
        <v>0.96928199999999998</v>
      </c>
      <c r="N711">
        <v>15000000</v>
      </c>
      <c r="O711">
        <v>3.0150000000000001</v>
      </c>
      <c r="P711" t="s">
        <v>42</v>
      </c>
      <c r="Q711" t="s">
        <v>23</v>
      </c>
      <c r="R711" s="66">
        <v>40276</v>
      </c>
      <c r="S711" s="6">
        <f>DataTable[HLD_MaturityDate] - DataTable[SEC_Issue_Date]</f>
        <v>3470</v>
      </c>
      <c r="T711" s="66" t="str">
        <f>DataTable[HLD_Portfolio]&amp;DataTable[HLD_Date]</f>
        <v>SCBFPFUND43383</v>
      </c>
      <c r="W711" t="b">
        <f>DataTable[HLD_SecCode]="CB18O18A"</f>
        <v>0</v>
      </c>
    </row>
    <row r="712" spans="1:23" hidden="1" x14ac:dyDescent="0.2">
      <c r="A712" s="66">
        <v>43383</v>
      </c>
      <c r="B712" t="s">
        <v>350</v>
      </c>
      <c r="C712" t="s">
        <v>18</v>
      </c>
      <c r="D712" t="s">
        <v>109</v>
      </c>
      <c r="F712" t="s">
        <v>516</v>
      </c>
      <c r="G712" t="s">
        <v>518</v>
      </c>
      <c r="H712" t="s">
        <v>517</v>
      </c>
      <c r="I712" s="66">
        <v>44468</v>
      </c>
      <c r="J712" s="6">
        <v>135935949.77000001</v>
      </c>
      <c r="K712">
        <v>99541.46</v>
      </c>
      <c r="L712">
        <v>137000000</v>
      </c>
      <c r="M712">
        <v>2.8464499999999999</v>
      </c>
      <c r="N712">
        <v>137000000</v>
      </c>
      <c r="O712">
        <v>2.21</v>
      </c>
      <c r="P712" t="s">
        <v>42</v>
      </c>
      <c r="Q712" t="s">
        <v>23</v>
      </c>
      <c r="R712" s="66">
        <v>43007</v>
      </c>
      <c r="S712" s="6">
        <f>DataTable[HLD_MaturityDate] - DataTable[SEC_Issue_Date]</f>
        <v>1461</v>
      </c>
      <c r="T712" s="66" t="str">
        <f>DataTable[HLD_Portfolio]&amp;DataTable[HLD_Date]</f>
        <v>SCBFPFUND43383</v>
      </c>
      <c r="W712" t="b">
        <f>DataTable[HLD_SecCode]="CB18O18A"</f>
        <v>0</v>
      </c>
    </row>
    <row r="713" spans="1:23" hidden="1" x14ac:dyDescent="0.2">
      <c r="A713" s="66">
        <v>43383</v>
      </c>
      <c r="B713" t="s">
        <v>350</v>
      </c>
      <c r="C713" t="s">
        <v>18</v>
      </c>
      <c r="D713" t="s">
        <v>109</v>
      </c>
      <c r="F713" t="s">
        <v>697</v>
      </c>
      <c r="G713" t="s">
        <v>698</v>
      </c>
      <c r="H713" t="s">
        <v>51</v>
      </c>
      <c r="I713" s="66">
        <v>43682</v>
      </c>
      <c r="J713" s="6">
        <v>299268956.48000002</v>
      </c>
      <c r="K713">
        <v>1152582.21</v>
      </c>
      <c r="L713">
        <v>299259301.76999998</v>
      </c>
      <c r="M713">
        <v>0.80737499999999995</v>
      </c>
      <c r="N713">
        <v>299000000</v>
      </c>
      <c r="O713">
        <v>1.9808030000000001</v>
      </c>
      <c r="P713" t="s">
        <v>42</v>
      </c>
      <c r="Q713" t="s">
        <v>23</v>
      </c>
      <c r="R713" s="66">
        <v>42587</v>
      </c>
      <c r="S713" s="6">
        <f>DataTable[HLD_MaturityDate] - DataTable[SEC_Issue_Date]</f>
        <v>1095</v>
      </c>
      <c r="T713" s="66" t="str">
        <f>DataTable[HLD_Portfolio]&amp;DataTable[HLD_Date]</f>
        <v>SCBFPFUND43383</v>
      </c>
      <c r="W713" t="b">
        <f>DataTable[HLD_SecCode]="CB18O18A"</f>
        <v>0</v>
      </c>
    </row>
    <row r="714" spans="1:23" hidden="1" x14ac:dyDescent="0.2">
      <c r="A714" s="66">
        <v>43383</v>
      </c>
      <c r="B714" t="s">
        <v>350</v>
      </c>
      <c r="C714" t="s">
        <v>18</v>
      </c>
      <c r="D714" t="s">
        <v>109</v>
      </c>
      <c r="F714" t="s">
        <v>699</v>
      </c>
      <c r="G714" t="s">
        <v>698</v>
      </c>
      <c r="H714" t="s">
        <v>51</v>
      </c>
      <c r="I714" s="66">
        <v>43825</v>
      </c>
      <c r="J714" s="6">
        <v>69064712.719999999</v>
      </c>
      <c r="K714">
        <v>691718.44</v>
      </c>
      <c r="L714">
        <v>68653626.879999995</v>
      </c>
      <c r="M714">
        <v>1.170501</v>
      </c>
      <c r="N714">
        <v>68000000</v>
      </c>
      <c r="O714">
        <v>2.65</v>
      </c>
      <c r="P714" t="s">
        <v>42</v>
      </c>
      <c r="Q714" t="s">
        <v>23</v>
      </c>
      <c r="R714" s="66">
        <v>41999</v>
      </c>
      <c r="S714" s="6">
        <f>DataTable[HLD_MaturityDate] - DataTable[SEC_Issue_Date]</f>
        <v>1826</v>
      </c>
      <c r="T714" s="66" t="str">
        <f>DataTable[HLD_Portfolio]&amp;DataTable[HLD_Date]</f>
        <v>SCBFPFUND43383</v>
      </c>
      <c r="W714" t="b">
        <f>DataTable[HLD_SecCode]="CB18O18A"</f>
        <v>0</v>
      </c>
    </row>
    <row r="715" spans="1:23" hidden="1" x14ac:dyDescent="0.2">
      <c r="A715" s="66">
        <v>43383</v>
      </c>
      <c r="B715" t="s">
        <v>350</v>
      </c>
      <c r="C715" t="s">
        <v>18</v>
      </c>
      <c r="D715" t="s">
        <v>109</v>
      </c>
      <c r="F715" t="s">
        <v>700</v>
      </c>
      <c r="G715" t="s">
        <v>524</v>
      </c>
      <c r="H715" t="s">
        <v>41</v>
      </c>
      <c r="I715" s="66">
        <v>44355</v>
      </c>
      <c r="J715" s="6">
        <v>146229832.68000001</v>
      </c>
      <c r="K715">
        <v>1170822.08</v>
      </c>
      <c r="L715">
        <v>148000000</v>
      </c>
      <c r="M715">
        <v>2.5386139999999999</v>
      </c>
      <c r="N715">
        <v>148000000</v>
      </c>
      <c r="O715">
        <v>2.31</v>
      </c>
      <c r="P715" t="s">
        <v>42</v>
      </c>
      <c r="Q715" t="s">
        <v>23</v>
      </c>
      <c r="R715" s="66">
        <v>43259</v>
      </c>
      <c r="S715" s="6">
        <f>DataTable[HLD_MaturityDate] - DataTable[SEC_Issue_Date]</f>
        <v>1096</v>
      </c>
      <c r="T715" s="66" t="str">
        <f>DataTable[HLD_Portfolio]&amp;DataTable[HLD_Date]</f>
        <v>SCBFPFUND43383</v>
      </c>
      <c r="W715" t="b">
        <f>DataTable[HLD_SecCode]="CB18O18A"</f>
        <v>0</v>
      </c>
    </row>
    <row r="716" spans="1:23" hidden="1" x14ac:dyDescent="0.2">
      <c r="A716" s="66">
        <v>43383</v>
      </c>
      <c r="B716" t="s">
        <v>350</v>
      </c>
      <c r="C716" t="s">
        <v>18</v>
      </c>
      <c r="D716" t="s">
        <v>109</v>
      </c>
      <c r="F716" t="s">
        <v>701</v>
      </c>
      <c r="G716" t="s">
        <v>566</v>
      </c>
      <c r="H716" t="s">
        <v>47</v>
      </c>
      <c r="I716" s="66">
        <v>44319</v>
      </c>
      <c r="J716" s="6">
        <v>1088367082</v>
      </c>
      <c r="K716">
        <v>10431916</v>
      </c>
      <c r="L716">
        <v>1100000000</v>
      </c>
      <c r="M716">
        <v>2.45221</v>
      </c>
      <c r="N716">
        <v>1100000000</v>
      </c>
      <c r="O716">
        <v>2.15</v>
      </c>
      <c r="P716" t="s">
        <v>42</v>
      </c>
      <c r="Q716" t="s">
        <v>23</v>
      </c>
      <c r="R716" s="66">
        <v>43223</v>
      </c>
      <c r="S716" s="6">
        <f>DataTable[HLD_MaturityDate] - DataTable[SEC_Issue_Date]</f>
        <v>1096</v>
      </c>
      <c r="T716" s="66" t="str">
        <f>DataTable[HLD_Portfolio]&amp;DataTable[HLD_Date]</f>
        <v>SCBFPFUND43383</v>
      </c>
      <c r="W716" t="b">
        <f>DataTable[HLD_SecCode]="CB18O18A"</f>
        <v>0</v>
      </c>
    </row>
    <row r="717" spans="1:23" hidden="1" x14ac:dyDescent="0.2">
      <c r="A717" s="66">
        <v>43383</v>
      </c>
      <c r="B717" t="s">
        <v>350</v>
      </c>
      <c r="C717" t="s">
        <v>18</v>
      </c>
      <c r="D717" t="s">
        <v>109</v>
      </c>
      <c r="F717" t="s">
        <v>702</v>
      </c>
      <c r="G717" t="s">
        <v>568</v>
      </c>
      <c r="H717" t="s">
        <v>51</v>
      </c>
      <c r="I717" s="66">
        <v>43766</v>
      </c>
      <c r="J717" s="6">
        <v>28970680.129999999</v>
      </c>
      <c r="K717">
        <v>294115.68</v>
      </c>
      <c r="L717">
        <v>29145736.309999999</v>
      </c>
      <c r="M717">
        <v>1.0182469999999999</v>
      </c>
      <c r="N717">
        <v>29000000</v>
      </c>
      <c r="O717">
        <v>1.74</v>
      </c>
      <c r="P717" t="s">
        <v>42</v>
      </c>
      <c r="Q717" t="s">
        <v>23</v>
      </c>
      <c r="R717" s="66">
        <v>42671</v>
      </c>
      <c r="S717" s="6">
        <f>DataTable[HLD_MaturityDate] - DataTable[SEC_Issue_Date]</f>
        <v>1095</v>
      </c>
      <c r="T717" s="66" t="str">
        <f>DataTable[HLD_Portfolio]&amp;DataTable[HLD_Date]</f>
        <v>SCBFPFUND43383</v>
      </c>
      <c r="W717" t="b">
        <f>DataTable[HLD_SecCode]="CB18O18A"</f>
        <v>0</v>
      </c>
    </row>
    <row r="718" spans="1:23" hidden="1" x14ac:dyDescent="0.2">
      <c r="A718" s="66">
        <v>43383</v>
      </c>
      <c r="B718" t="s">
        <v>350</v>
      </c>
      <c r="C718" t="s">
        <v>18</v>
      </c>
      <c r="D718" t="s">
        <v>109</v>
      </c>
      <c r="F718" t="s">
        <v>703</v>
      </c>
      <c r="G718" t="s">
        <v>568</v>
      </c>
      <c r="H718" t="s">
        <v>51</v>
      </c>
      <c r="I718" s="66">
        <v>43923</v>
      </c>
      <c r="J718" s="6">
        <v>20209917.800000001</v>
      </c>
      <c r="K718">
        <v>16323.2</v>
      </c>
      <c r="L718">
        <v>20124032.600000001</v>
      </c>
      <c r="M718">
        <v>1.431343</v>
      </c>
      <c r="N718">
        <v>20000000</v>
      </c>
      <c r="O718">
        <v>2.88</v>
      </c>
      <c r="P718" t="s">
        <v>42</v>
      </c>
      <c r="Q718" t="s">
        <v>23</v>
      </c>
      <c r="R718" s="66">
        <v>42096</v>
      </c>
      <c r="S718" s="6">
        <f>DataTable[HLD_MaturityDate] - DataTable[SEC_Issue_Date]</f>
        <v>1827</v>
      </c>
      <c r="T718" s="66" t="str">
        <f>DataTable[HLD_Portfolio]&amp;DataTable[HLD_Date]</f>
        <v>SCBFPFUND43383</v>
      </c>
      <c r="W718" t="b">
        <f>DataTable[HLD_SecCode]="CB18O18A"</f>
        <v>0</v>
      </c>
    </row>
    <row r="719" spans="1:23" hidden="1" x14ac:dyDescent="0.2">
      <c r="A719" s="66">
        <v>43383</v>
      </c>
      <c r="B719" t="s">
        <v>350</v>
      </c>
      <c r="C719" t="s">
        <v>18</v>
      </c>
      <c r="D719" t="s">
        <v>109</v>
      </c>
      <c r="F719" t="s">
        <v>704</v>
      </c>
      <c r="G719" t="s">
        <v>568</v>
      </c>
      <c r="H719" t="s">
        <v>51</v>
      </c>
      <c r="I719" s="66">
        <v>43949</v>
      </c>
      <c r="J719" s="6">
        <v>129902942</v>
      </c>
      <c r="K719">
        <v>1466257</v>
      </c>
      <c r="L719">
        <v>130000000</v>
      </c>
      <c r="M719">
        <v>1.4912700000000001</v>
      </c>
      <c r="N719">
        <v>130000000</v>
      </c>
      <c r="O719">
        <v>2.48</v>
      </c>
      <c r="P719" t="s">
        <v>42</v>
      </c>
      <c r="Q719" t="s">
        <v>23</v>
      </c>
      <c r="R719" s="66">
        <v>42853</v>
      </c>
      <c r="S719" s="6">
        <f>DataTable[HLD_MaturityDate] - DataTable[SEC_Issue_Date]</f>
        <v>1096</v>
      </c>
      <c r="T719" s="66" t="str">
        <f>DataTable[HLD_Portfolio]&amp;DataTable[HLD_Date]</f>
        <v>SCBFPFUND43383</v>
      </c>
      <c r="W719" t="b">
        <f>DataTable[HLD_SecCode]="CB18O18A"</f>
        <v>0</v>
      </c>
    </row>
    <row r="720" spans="1:23" hidden="1" x14ac:dyDescent="0.2">
      <c r="A720" s="66">
        <v>43383</v>
      </c>
      <c r="B720" t="s">
        <v>350</v>
      </c>
      <c r="C720" t="s">
        <v>18</v>
      </c>
      <c r="D720" t="s">
        <v>109</v>
      </c>
      <c r="F720" t="s">
        <v>705</v>
      </c>
      <c r="G720" t="s">
        <v>568</v>
      </c>
      <c r="H720" t="s">
        <v>51</v>
      </c>
      <c r="I720" s="66">
        <v>44112</v>
      </c>
      <c r="J720" s="6">
        <v>126916178.68000001</v>
      </c>
      <c r="K720">
        <v>31087.38</v>
      </c>
      <c r="L720">
        <v>127705518.44</v>
      </c>
      <c r="M720">
        <v>1.9196599999999999</v>
      </c>
      <c r="N720">
        <v>126500000</v>
      </c>
      <c r="O720">
        <v>2.4982609999999998</v>
      </c>
      <c r="P720" t="s">
        <v>42</v>
      </c>
      <c r="Q720" t="s">
        <v>23</v>
      </c>
      <c r="R720" s="66">
        <v>42285</v>
      </c>
      <c r="S720" s="6">
        <f>DataTable[HLD_MaturityDate] - DataTable[SEC_Issue_Date]</f>
        <v>1827</v>
      </c>
      <c r="T720" s="66" t="str">
        <f>DataTable[HLD_Portfolio]&amp;DataTable[HLD_Date]</f>
        <v>SCBFPFUND43383</v>
      </c>
      <c r="W720" t="b">
        <f>DataTable[HLD_SecCode]="CB18O18A"</f>
        <v>0</v>
      </c>
    </row>
    <row r="721" spans="1:23" hidden="1" x14ac:dyDescent="0.2">
      <c r="A721" s="66">
        <v>43383</v>
      </c>
      <c r="B721" t="s">
        <v>350</v>
      </c>
      <c r="C721" t="s">
        <v>18</v>
      </c>
      <c r="D721" t="s">
        <v>109</v>
      </c>
      <c r="F721" t="s">
        <v>706</v>
      </c>
      <c r="G721" t="s">
        <v>568</v>
      </c>
      <c r="H721" t="s">
        <v>51</v>
      </c>
      <c r="I721" s="66">
        <v>44109</v>
      </c>
      <c r="J721" s="6">
        <v>143109948.19999999</v>
      </c>
      <c r="K721">
        <v>50770.3</v>
      </c>
      <c r="L721">
        <v>145172067.15000001</v>
      </c>
      <c r="M721">
        <v>1.923513</v>
      </c>
      <c r="N721">
        <v>145000000</v>
      </c>
      <c r="O721">
        <v>2.0699999999999998</v>
      </c>
      <c r="P721" t="s">
        <v>42</v>
      </c>
      <c r="Q721" t="s">
        <v>23</v>
      </c>
      <c r="R721" s="66">
        <v>43013</v>
      </c>
      <c r="S721" s="6">
        <f>DataTable[HLD_MaturityDate] - DataTable[SEC_Issue_Date]</f>
        <v>1096</v>
      </c>
      <c r="T721" s="66" t="str">
        <f>DataTable[HLD_Portfolio]&amp;DataTable[HLD_Date]</f>
        <v>SCBFPFUND43383</v>
      </c>
      <c r="W721" t="b">
        <f>DataTable[HLD_SecCode]="CB18O18A"</f>
        <v>0</v>
      </c>
    </row>
    <row r="722" spans="1:23" hidden="1" x14ac:dyDescent="0.2">
      <c r="A722" s="66">
        <v>43383</v>
      </c>
      <c r="B722" t="s">
        <v>350</v>
      </c>
      <c r="C722" t="s">
        <v>18</v>
      </c>
      <c r="D722" t="s">
        <v>109</v>
      </c>
      <c r="F722" t="s">
        <v>707</v>
      </c>
      <c r="G722" t="s">
        <v>708</v>
      </c>
      <c r="H722" t="s">
        <v>47</v>
      </c>
      <c r="I722" s="66">
        <v>46079</v>
      </c>
      <c r="J722" s="6">
        <v>382446576.80000001</v>
      </c>
      <c r="K722">
        <v>1709688.4</v>
      </c>
      <c r="L722">
        <v>380000000</v>
      </c>
      <c r="M722">
        <v>6.4160709999999996</v>
      </c>
      <c r="N722">
        <v>380000000</v>
      </c>
      <c r="O722">
        <v>3.57</v>
      </c>
      <c r="P722" t="s">
        <v>42</v>
      </c>
      <c r="Q722" t="s">
        <v>23</v>
      </c>
      <c r="R722" s="66">
        <v>42426</v>
      </c>
      <c r="S722" s="6">
        <f>DataTable[HLD_MaturityDate] - DataTable[SEC_Issue_Date]</f>
        <v>3653</v>
      </c>
      <c r="T722" s="66" t="str">
        <f>DataTable[HLD_Portfolio]&amp;DataTable[HLD_Date]</f>
        <v>SCBFPFUND43383</v>
      </c>
      <c r="W722" t="b">
        <f>DataTable[HLD_SecCode]="CB18O18A"</f>
        <v>0</v>
      </c>
    </row>
    <row r="723" spans="1:23" hidden="1" x14ac:dyDescent="0.2">
      <c r="A723" s="66">
        <v>43383</v>
      </c>
      <c r="B723" t="s">
        <v>350</v>
      </c>
      <c r="C723" t="s">
        <v>18</v>
      </c>
      <c r="D723" t="s">
        <v>109</v>
      </c>
      <c r="F723" t="s">
        <v>626</v>
      </c>
      <c r="G723" t="s">
        <v>572</v>
      </c>
      <c r="H723" t="s">
        <v>47</v>
      </c>
      <c r="I723" s="66">
        <v>43973</v>
      </c>
      <c r="J723" s="6">
        <v>207027263.44999999</v>
      </c>
      <c r="K723">
        <v>2432478.75</v>
      </c>
      <c r="L723">
        <v>205073047.65000001</v>
      </c>
      <c r="M723">
        <v>1.552044</v>
      </c>
      <c r="N723">
        <v>205000000</v>
      </c>
      <c r="O723">
        <v>3.017925</v>
      </c>
      <c r="P723" t="s">
        <v>42</v>
      </c>
      <c r="Q723" t="s">
        <v>23</v>
      </c>
      <c r="R723" s="66">
        <v>42146</v>
      </c>
      <c r="S723" s="6">
        <f>DataTable[HLD_MaturityDate] - DataTable[SEC_Issue_Date]</f>
        <v>1827</v>
      </c>
      <c r="T723" s="66" t="str">
        <f>DataTable[HLD_Portfolio]&amp;DataTable[HLD_Date]</f>
        <v>SCBFPFUND43383</v>
      </c>
      <c r="W723" t="b">
        <f>DataTable[HLD_SecCode]="CB18O18A"</f>
        <v>0</v>
      </c>
    </row>
    <row r="724" spans="1:23" hidden="1" x14ac:dyDescent="0.2">
      <c r="A724" s="66">
        <v>43383</v>
      </c>
      <c r="B724" t="s">
        <v>350</v>
      </c>
      <c r="C724" t="s">
        <v>18</v>
      </c>
      <c r="D724" t="s">
        <v>109</v>
      </c>
      <c r="F724" t="s">
        <v>627</v>
      </c>
      <c r="G724" t="s">
        <v>572</v>
      </c>
      <c r="H724" t="s">
        <v>47</v>
      </c>
      <c r="I724" s="66">
        <v>44270</v>
      </c>
      <c r="J724" s="6">
        <v>193280544.59999999</v>
      </c>
      <c r="K724">
        <v>315313.05</v>
      </c>
      <c r="L724">
        <v>194363038.34999999</v>
      </c>
      <c r="M724">
        <v>2.337872</v>
      </c>
      <c r="N724">
        <v>195000000</v>
      </c>
      <c r="O724">
        <v>2.413122</v>
      </c>
      <c r="P724" t="s">
        <v>42</v>
      </c>
      <c r="Q724" t="s">
        <v>23</v>
      </c>
      <c r="R724" s="66">
        <v>42444</v>
      </c>
      <c r="S724" s="6">
        <f>DataTable[HLD_MaturityDate] - DataTable[SEC_Issue_Date]</f>
        <v>1826</v>
      </c>
      <c r="T724" s="66" t="str">
        <f>DataTable[HLD_Portfolio]&amp;DataTable[HLD_Date]</f>
        <v>SCBFPFUND43383</v>
      </c>
      <c r="W724" t="b">
        <f>DataTable[HLD_SecCode]="CB18O18A"</f>
        <v>0</v>
      </c>
    </row>
    <row r="725" spans="1:23" hidden="1" x14ac:dyDescent="0.2">
      <c r="A725" s="66">
        <v>43383</v>
      </c>
      <c r="B725" t="s">
        <v>350</v>
      </c>
      <c r="C725" t="s">
        <v>18</v>
      </c>
      <c r="D725" t="s">
        <v>109</v>
      </c>
      <c r="F725" t="s">
        <v>709</v>
      </c>
      <c r="G725" t="s">
        <v>80</v>
      </c>
      <c r="H725" t="s">
        <v>51</v>
      </c>
      <c r="I725" s="66">
        <v>43734</v>
      </c>
      <c r="J725" s="6">
        <v>104166207.2</v>
      </c>
      <c r="K725">
        <v>163859.57999999999</v>
      </c>
      <c r="L725">
        <v>103701603.40000001</v>
      </c>
      <c r="M725">
        <v>0.93515700000000002</v>
      </c>
      <c r="N725">
        <v>102500000</v>
      </c>
      <c r="O725">
        <v>2.6543899999999998</v>
      </c>
      <c r="P725" t="s">
        <v>42</v>
      </c>
      <c r="Q725" t="s">
        <v>23</v>
      </c>
      <c r="R725" s="66">
        <v>41908</v>
      </c>
      <c r="S725" s="6">
        <f>DataTable[HLD_MaturityDate] - DataTable[SEC_Issue_Date]</f>
        <v>1826</v>
      </c>
      <c r="T725" s="66" t="str">
        <f>DataTable[HLD_Portfolio]&amp;DataTable[HLD_Date]</f>
        <v>SCBFPFUND43383</v>
      </c>
      <c r="W725" t="b">
        <f>DataTable[HLD_SecCode]="CB18O18A"</f>
        <v>0</v>
      </c>
    </row>
    <row r="726" spans="1:23" hidden="1" x14ac:dyDescent="0.2">
      <c r="A726" s="66">
        <v>43383</v>
      </c>
      <c r="B726" t="s">
        <v>350</v>
      </c>
      <c r="C726" t="s">
        <v>18</v>
      </c>
      <c r="D726" t="s">
        <v>109</v>
      </c>
      <c r="F726" t="s">
        <v>710</v>
      </c>
      <c r="G726" t="s">
        <v>80</v>
      </c>
      <c r="H726" t="s">
        <v>51</v>
      </c>
      <c r="I726" s="66">
        <v>43769</v>
      </c>
      <c r="J726" s="6">
        <v>493420497.60000002</v>
      </c>
      <c r="K726">
        <v>10567891.199999999</v>
      </c>
      <c r="L726">
        <v>489102230.39999998</v>
      </c>
      <c r="M726">
        <v>1.0089459999999999</v>
      </c>
      <c r="N726">
        <v>480000000</v>
      </c>
      <c r="O726">
        <v>3.0383330000000002</v>
      </c>
      <c r="P726" t="s">
        <v>42</v>
      </c>
      <c r="Q726" t="s">
        <v>23</v>
      </c>
      <c r="R726" s="66">
        <v>41046</v>
      </c>
      <c r="S726" s="6">
        <f>DataTable[HLD_MaturityDate] - DataTable[SEC_Issue_Date]</f>
        <v>2723</v>
      </c>
      <c r="T726" s="66" t="str">
        <f>DataTable[HLD_Portfolio]&amp;DataTable[HLD_Date]</f>
        <v>SCBFPFUND43383</v>
      </c>
      <c r="W726" t="b">
        <f>DataTable[HLD_SecCode]="CB18O18A"</f>
        <v>0</v>
      </c>
    </row>
    <row r="727" spans="1:23" hidden="1" x14ac:dyDescent="0.2">
      <c r="A727" s="66">
        <v>43383</v>
      </c>
      <c r="B727" t="s">
        <v>350</v>
      </c>
      <c r="C727" t="s">
        <v>18</v>
      </c>
      <c r="D727" t="s">
        <v>109</v>
      </c>
      <c r="F727" t="s">
        <v>711</v>
      </c>
      <c r="G727" t="s">
        <v>80</v>
      </c>
      <c r="H727" t="s">
        <v>51</v>
      </c>
      <c r="I727" s="66">
        <v>44085</v>
      </c>
      <c r="J727" s="6">
        <v>201847914</v>
      </c>
      <c r="K727">
        <v>484932</v>
      </c>
      <c r="L727">
        <v>200132086</v>
      </c>
      <c r="M727">
        <v>1.8480300000000001</v>
      </c>
      <c r="N727">
        <v>200000000</v>
      </c>
      <c r="O727">
        <v>2.92</v>
      </c>
      <c r="P727" t="s">
        <v>42</v>
      </c>
      <c r="Q727" t="s">
        <v>23</v>
      </c>
      <c r="R727" s="66">
        <v>42258</v>
      </c>
      <c r="S727" s="6">
        <f>DataTable[HLD_MaturityDate] - DataTable[SEC_Issue_Date]</f>
        <v>1827</v>
      </c>
      <c r="T727" s="66" t="str">
        <f>DataTable[HLD_Portfolio]&amp;DataTable[HLD_Date]</f>
        <v>SCBFPFUND43383</v>
      </c>
      <c r="W727" t="b">
        <f>DataTable[HLD_SecCode]="CB18O18A"</f>
        <v>0</v>
      </c>
    </row>
    <row r="728" spans="1:23" hidden="1" x14ac:dyDescent="0.2">
      <c r="A728" s="66">
        <v>43383</v>
      </c>
      <c r="B728" t="s">
        <v>350</v>
      </c>
      <c r="C728" t="s">
        <v>18</v>
      </c>
      <c r="D728" t="s">
        <v>109</v>
      </c>
      <c r="F728" t="s">
        <v>712</v>
      </c>
      <c r="G728" t="s">
        <v>80</v>
      </c>
      <c r="H728" t="s">
        <v>51</v>
      </c>
      <c r="I728" s="66">
        <v>44135</v>
      </c>
      <c r="J728" s="6">
        <v>21101874.600000001</v>
      </c>
      <c r="K728">
        <v>476274</v>
      </c>
      <c r="L728">
        <v>20844357</v>
      </c>
      <c r="M728">
        <v>1.909608</v>
      </c>
      <c r="N728">
        <v>20000000</v>
      </c>
      <c r="O728">
        <v>3.15</v>
      </c>
      <c r="P728" t="s">
        <v>42</v>
      </c>
      <c r="Q728" t="s">
        <v>23</v>
      </c>
      <c r="R728" s="66">
        <v>40998</v>
      </c>
      <c r="S728" s="6">
        <f>DataTable[HLD_MaturityDate] - DataTable[SEC_Issue_Date]</f>
        <v>3137</v>
      </c>
      <c r="T728" s="66" t="str">
        <f>DataTable[HLD_Portfolio]&amp;DataTable[HLD_Date]</f>
        <v>SCBFPFUND43383</v>
      </c>
      <c r="W728" t="b">
        <f>DataTable[HLD_SecCode]="CB18O18A"</f>
        <v>0</v>
      </c>
    </row>
    <row r="729" spans="1:23" hidden="1" x14ac:dyDescent="0.2">
      <c r="A729" s="66">
        <v>43383</v>
      </c>
      <c r="B729" t="s">
        <v>350</v>
      </c>
      <c r="C729" t="s">
        <v>18</v>
      </c>
      <c r="D729" t="s">
        <v>109</v>
      </c>
      <c r="F729" t="s">
        <v>713</v>
      </c>
      <c r="G729" t="s">
        <v>80</v>
      </c>
      <c r="H729" t="s">
        <v>51</v>
      </c>
      <c r="I729" s="66">
        <v>44121</v>
      </c>
      <c r="J729" s="6">
        <v>20976632.800000001</v>
      </c>
      <c r="K729">
        <v>486871.14</v>
      </c>
      <c r="L729">
        <v>20671850.600000001</v>
      </c>
      <c r="M729">
        <v>1.92187</v>
      </c>
      <c r="N729">
        <v>20000000</v>
      </c>
      <c r="O729">
        <v>3.2850000000000001</v>
      </c>
      <c r="P729" t="s">
        <v>42</v>
      </c>
      <c r="Q729" t="s">
        <v>23</v>
      </c>
      <c r="R729" s="66">
        <v>41564</v>
      </c>
      <c r="S729" s="6">
        <f>DataTable[HLD_MaturityDate] - DataTable[SEC_Issue_Date]</f>
        <v>2557</v>
      </c>
      <c r="T729" s="66" t="str">
        <f>DataTable[HLD_Portfolio]&amp;DataTable[HLD_Date]</f>
        <v>SCBFPFUND43383</v>
      </c>
      <c r="W729" t="b">
        <f>DataTable[HLD_SecCode]="CB18O18A"</f>
        <v>0</v>
      </c>
    </row>
    <row r="730" spans="1:23" hidden="1" x14ac:dyDescent="0.2">
      <c r="A730" s="66">
        <v>43383</v>
      </c>
      <c r="B730" t="s">
        <v>350</v>
      </c>
      <c r="C730" t="s">
        <v>18</v>
      </c>
      <c r="D730" t="s">
        <v>109</v>
      </c>
      <c r="F730" t="s">
        <v>525</v>
      </c>
      <c r="G730" t="s">
        <v>526</v>
      </c>
      <c r="H730" t="s">
        <v>47</v>
      </c>
      <c r="I730" s="66">
        <v>43813</v>
      </c>
      <c r="J730" s="6">
        <v>22952461.530000001</v>
      </c>
      <c r="K730">
        <v>148472.82</v>
      </c>
      <c r="L730">
        <v>23000000</v>
      </c>
      <c r="M730">
        <v>1.1482889999999999</v>
      </c>
      <c r="N730">
        <v>23000000</v>
      </c>
      <c r="O730">
        <v>1.98</v>
      </c>
      <c r="P730" t="s">
        <v>42</v>
      </c>
      <c r="Q730" t="s">
        <v>23</v>
      </c>
      <c r="R730" s="66">
        <v>43083</v>
      </c>
      <c r="S730" s="6">
        <f>DataTable[HLD_MaturityDate] - DataTable[SEC_Issue_Date]</f>
        <v>730</v>
      </c>
      <c r="T730" s="66" t="str">
        <f>DataTable[HLD_Portfolio]&amp;DataTable[HLD_Date]</f>
        <v>SCBFPFUND43383</v>
      </c>
      <c r="W730" t="b">
        <f>DataTable[HLD_SecCode]="CB18O18A"</f>
        <v>0</v>
      </c>
    </row>
    <row r="731" spans="1:23" hidden="1" x14ac:dyDescent="0.2">
      <c r="A731" s="66">
        <v>43383</v>
      </c>
      <c r="B731" t="s">
        <v>350</v>
      </c>
      <c r="C731" t="s">
        <v>18</v>
      </c>
      <c r="D731" t="s">
        <v>109</v>
      </c>
      <c r="F731" t="s">
        <v>577</v>
      </c>
      <c r="G731" t="s">
        <v>228</v>
      </c>
      <c r="H731" t="s">
        <v>47</v>
      </c>
      <c r="I731" s="66">
        <v>43798</v>
      </c>
      <c r="J731" s="6">
        <v>100513258</v>
      </c>
      <c r="K731">
        <v>497178</v>
      </c>
      <c r="L731">
        <v>100981722</v>
      </c>
      <c r="M731">
        <v>1.112225</v>
      </c>
      <c r="N731">
        <v>100000000</v>
      </c>
      <c r="O731">
        <v>1.75</v>
      </c>
      <c r="P731" t="s">
        <v>42</v>
      </c>
      <c r="Q731" t="s">
        <v>23</v>
      </c>
      <c r="R731" s="66">
        <v>42769</v>
      </c>
      <c r="S731" s="6">
        <f>DataTable[HLD_MaturityDate] - DataTable[SEC_Issue_Date]</f>
        <v>1029</v>
      </c>
      <c r="T731" s="66" t="str">
        <f>DataTable[HLD_Portfolio]&amp;DataTable[HLD_Date]</f>
        <v>SCBFPFUND43383</v>
      </c>
      <c r="W731" t="b">
        <f>DataTable[HLD_SecCode]="CB18O18A"</f>
        <v>0</v>
      </c>
    </row>
    <row r="732" spans="1:23" hidden="1" x14ac:dyDescent="0.2">
      <c r="A732" s="66">
        <v>43383</v>
      </c>
      <c r="B732" t="s">
        <v>350</v>
      </c>
      <c r="C732" t="s">
        <v>18</v>
      </c>
      <c r="D732" t="s">
        <v>109</v>
      </c>
      <c r="F732" t="s">
        <v>527</v>
      </c>
      <c r="G732" t="s">
        <v>228</v>
      </c>
      <c r="H732" t="s">
        <v>47</v>
      </c>
      <c r="I732" s="66">
        <v>44155</v>
      </c>
      <c r="J732" s="6">
        <v>85162898.25</v>
      </c>
      <c r="K732">
        <v>725457.15</v>
      </c>
      <c r="L732">
        <v>85112460.950000003</v>
      </c>
      <c r="M732">
        <v>2.0244230000000001</v>
      </c>
      <c r="N732">
        <v>85000000</v>
      </c>
      <c r="O732">
        <v>2.5729410000000001</v>
      </c>
      <c r="P732" t="s">
        <v>42</v>
      </c>
      <c r="Q732" t="s">
        <v>23</v>
      </c>
      <c r="R732" s="66">
        <v>42901</v>
      </c>
      <c r="S732" s="6">
        <f>DataTable[HLD_MaturityDate] - DataTable[SEC_Issue_Date]</f>
        <v>1254</v>
      </c>
      <c r="T732" s="66" t="str">
        <f>DataTable[HLD_Portfolio]&amp;DataTable[HLD_Date]</f>
        <v>SCBFPFUND43383</v>
      </c>
      <c r="W732" t="b">
        <f>DataTable[HLD_SecCode]="CB18O18A"</f>
        <v>0</v>
      </c>
    </row>
    <row r="733" spans="1:23" hidden="1" x14ac:dyDescent="0.2">
      <c r="A733" s="66">
        <v>43383</v>
      </c>
      <c r="B733" t="s">
        <v>350</v>
      </c>
      <c r="C733" t="s">
        <v>18</v>
      </c>
      <c r="D733" t="s">
        <v>109</v>
      </c>
      <c r="F733" t="s">
        <v>714</v>
      </c>
      <c r="G733" t="s">
        <v>228</v>
      </c>
      <c r="H733" t="s">
        <v>47</v>
      </c>
      <c r="I733" s="66">
        <v>44274</v>
      </c>
      <c r="J733" s="6">
        <v>99287112</v>
      </c>
      <c r="K733">
        <v>136822</v>
      </c>
      <c r="L733">
        <v>100000000</v>
      </c>
      <c r="M733">
        <v>2.3496039999999998</v>
      </c>
      <c r="N733">
        <v>100000000</v>
      </c>
      <c r="O733">
        <v>2.27</v>
      </c>
      <c r="P733" t="s">
        <v>42</v>
      </c>
      <c r="Q733" t="s">
        <v>23</v>
      </c>
      <c r="R733" s="66">
        <v>42997</v>
      </c>
      <c r="S733" s="6">
        <f>DataTable[HLD_MaturityDate] - DataTable[SEC_Issue_Date]</f>
        <v>1277</v>
      </c>
      <c r="T733" s="66" t="str">
        <f>DataTable[HLD_Portfolio]&amp;DataTable[HLD_Date]</f>
        <v>SCBFPFUND43383</v>
      </c>
      <c r="W733" t="b">
        <f>DataTable[HLD_SecCode]="CB18O18A"</f>
        <v>0</v>
      </c>
    </row>
    <row r="734" spans="1:23" hidden="1" x14ac:dyDescent="0.2">
      <c r="A734" s="66">
        <v>43383</v>
      </c>
      <c r="B734" t="s">
        <v>350</v>
      </c>
      <c r="C734" t="s">
        <v>18</v>
      </c>
      <c r="D734" t="s">
        <v>109</v>
      </c>
      <c r="F734" t="s">
        <v>715</v>
      </c>
      <c r="G734" t="s">
        <v>716</v>
      </c>
      <c r="H734" t="s">
        <v>47</v>
      </c>
      <c r="I734" s="66">
        <v>44347</v>
      </c>
      <c r="J734" s="6">
        <v>1111578249.5999999</v>
      </c>
      <c r="K734">
        <v>9672196.8000000007</v>
      </c>
      <c r="L734">
        <v>1119477867.2</v>
      </c>
      <c r="M734">
        <v>2.5165310000000001</v>
      </c>
      <c r="N734">
        <v>1120000000</v>
      </c>
      <c r="O734">
        <v>2.3865180000000001</v>
      </c>
      <c r="P734" t="s">
        <v>42</v>
      </c>
      <c r="Q734" t="s">
        <v>23</v>
      </c>
      <c r="R734" s="66">
        <v>43251</v>
      </c>
      <c r="S734" s="6">
        <f>DataTable[HLD_MaturityDate] - DataTable[SEC_Issue_Date]</f>
        <v>1096</v>
      </c>
      <c r="T734" s="66" t="str">
        <f>DataTable[HLD_Portfolio]&amp;DataTable[HLD_Date]</f>
        <v>SCBFPFUND43383</v>
      </c>
      <c r="W734" t="b">
        <f>DataTable[HLD_SecCode]="CB18O18A"</f>
        <v>0</v>
      </c>
    </row>
    <row r="735" spans="1:23" hidden="1" x14ac:dyDescent="0.2">
      <c r="A735" s="66">
        <v>43383</v>
      </c>
      <c r="B735" t="s">
        <v>350</v>
      </c>
      <c r="C735" t="s">
        <v>18</v>
      </c>
      <c r="D735" t="s">
        <v>109</v>
      </c>
      <c r="F735" t="s">
        <v>717</v>
      </c>
      <c r="G735" t="s">
        <v>579</v>
      </c>
      <c r="H735" t="s">
        <v>59</v>
      </c>
      <c r="I735" s="66">
        <v>43605</v>
      </c>
      <c r="J735" s="6">
        <v>30731496.899999999</v>
      </c>
      <c r="K735">
        <v>698301.3</v>
      </c>
      <c r="L735">
        <v>30651145.199999999</v>
      </c>
      <c r="M735">
        <v>0.59018000000000004</v>
      </c>
      <c r="N735">
        <v>30000000</v>
      </c>
      <c r="O735">
        <v>2.25</v>
      </c>
      <c r="P735" t="s">
        <v>42</v>
      </c>
      <c r="Q735" t="s">
        <v>23</v>
      </c>
      <c r="R735" s="66">
        <v>38127</v>
      </c>
      <c r="S735" s="6">
        <f>DataTable[HLD_MaturityDate] - DataTable[SEC_Issue_Date]</f>
        <v>5478</v>
      </c>
      <c r="T735" s="66" t="str">
        <f>DataTable[HLD_Portfolio]&amp;DataTable[HLD_Date]</f>
        <v>SCBFPFUND43383</v>
      </c>
      <c r="W735" t="b">
        <f>DataTable[HLD_SecCode]="CB18O18A"</f>
        <v>0</v>
      </c>
    </row>
    <row r="736" spans="1:23" hidden="1" x14ac:dyDescent="0.2">
      <c r="A736" s="66">
        <v>43383</v>
      </c>
      <c r="B736" t="s">
        <v>350</v>
      </c>
      <c r="C736" t="s">
        <v>18</v>
      </c>
      <c r="D736" t="s">
        <v>109</v>
      </c>
      <c r="F736" t="s">
        <v>718</v>
      </c>
      <c r="G736" t="s">
        <v>579</v>
      </c>
      <c r="H736" t="s">
        <v>59</v>
      </c>
      <c r="I736" s="66">
        <v>44150</v>
      </c>
      <c r="J736" s="6">
        <v>235603566</v>
      </c>
      <c r="K736">
        <v>4362842.25</v>
      </c>
      <c r="L736">
        <v>234673092</v>
      </c>
      <c r="M736">
        <v>1.9623809999999999</v>
      </c>
      <c r="N736">
        <v>225000000</v>
      </c>
      <c r="O736">
        <v>2.6177779999999999</v>
      </c>
      <c r="P736" t="s">
        <v>42</v>
      </c>
      <c r="Q736" t="s">
        <v>23</v>
      </c>
      <c r="R736" s="66">
        <v>41605</v>
      </c>
      <c r="S736" s="6">
        <f>DataTable[HLD_MaturityDate] - DataTable[SEC_Issue_Date]</f>
        <v>2545</v>
      </c>
      <c r="T736" s="66" t="str">
        <f>DataTable[HLD_Portfolio]&amp;DataTable[HLD_Date]</f>
        <v>SCBFPFUND43383</v>
      </c>
      <c r="W736" t="b">
        <f>DataTable[HLD_SecCode]="CB18O18A"</f>
        <v>0</v>
      </c>
    </row>
    <row r="737" spans="1:23" hidden="1" x14ac:dyDescent="0.2">
      <c r="A737" s="66">
        <v>43383</v>
      </c>
      <c r="B737" t="s">
        <v>350</v>
      </c>
      <c r="C737" t="s">
        <v>18</v>
      </c>
      <c r="D737" t="s">
        <v>109</v>
      </c>
      <c r="F737" t="s">
        <v>719</v>
      </c>
      <c r="G737" t="s">
        <v>579</v>
      </c>
      <c r="H737" t="s">
        <v>59</v>
      </c>
      <c r="I737" s="66">
        <v>44515</v>
      </c>
      <c r="J737" s="6">
        <v>20906620.800000001</v>
      </c>
      <c r="K737">
        <v>326575.40000000002</v>
      </c>
      <c r="L737">
        <v>20811921</v>
      </c>
      <c r="M737">
        <v>2.867181</v>
      </c>
      <c r="N737">
        <v>20000000</v>
      </c>
      <c r="O737">
        <v>2.62</v>
      </c>
      <c r="P737" t="s">
        <v>42</v>
      </c>
      <c r="Q737" t="s">
        <v>23</v>
      </c>
      <c r="R737" s="66">
        <v>41988</v>
      </c>
      <c r="S737" s="6">
        <f>DataTable[HLD_MaturityDate] - DataTable[SEC_Issue_Date]</f>
        <v>2527</v>
      </c>
      <c r="T737" s="66" t="str">
        <f>DataTable[HLD_Portfolio]&amp;DataTable[HLD_Date]</f>
        <v>SCBFPFUND43383</v>
      </c>
      <c r="W737" t="b">
        <f>DataTable[HLD_SecCode]="CB18O18A"</f>
        <v>0</v>
      </c>
    </row>
    <row r="738" spans="1:23" hidden="1" x14ac:dyDescent="0.2">
      <c r="A738" s="66">
        <v>43383</v>
      </c>
      <c r="B738" t="s">
        <v>350</v>
      </c>
      <c r="C738" t="s">
        <v>18</v>
      </c>
      <c r="D738" t="s">
        <v>109</v>
      </c>
      <c r="F738" t="s">
        <v>720</v>
      </c>
      <c r="G738" t="s">
        <v>230</v>
      </c>
      <c r="H738" t="s">
        <v>123</v>
      </c>
      <c r="I738" s="66">
        <v>43642</v>
      </c>
      <c r="J738" s="6">
        <v>412718259</v>
      </c>
      <c r="K738">
        <v>3689889.3</v>
      </c>
      <c r="L738">
        <v>411310364.10000002</v>
      </c>
      <c r="M738">
        <v>0.69337000000000004</v>
      </c>
      <c r="N738">
        <v>410000000</v>
      </c>
      <c r="O738">
        <v>2.6021339999999999</v>
      </c>
      <c r="P738" t="s">
        <v>42</v>
      </c>
      <c r="Q738" t="s">
        <v>23</v>
      </c>
      <c r="R738" s="66">
        <v>42181</v>
      </c>
      <c r="S738" s="6">
        <f>DataTable[HLD_MaturityDate] - DataTable[SEC_Issue_Date]</f>
        <v>1461</v>
      </c>
      <c r="T738" s="66" t="str">
        <f>DataTable[HLD_Portfolio]&amp;DataTable[HLD_Date]</f>
        <v>SCBFPFUND43383</v>
      </c>
      <c r="W738" t="b">
        <f>DataTable[HLD_SecCode]="CB18O18A"</f>
        <v>0</v>
      </c>
    </row>
    <row r="739" spans="1:23" hidden="1" x14ac:dyDescent="0.2">
      <c r="A739" s="66">
        <v>43383</v>
      </c>
      <c r="B739" t="s">
        <v>350</v>
      </c>
      <c r="C739" t="s">
        <v>18</v>
      </c>
      <c r="D739" t="s">
        <v>109</v>
      </c>
      <c r="F739" t="s">
        <v>528</v>
      </c>
      <c r="G739" t="s">
        <v>230</v>
      </c>
      <c r="H739" t="s">
        <v>123</v>
      </c>
      <c r="I739" s="66">
        <v>44156</v>
      </c>
      <c r="J739" s="6">
        <v>11882822.76</v>
      </c>
      <c r="K739">
        <v>103430.16</v>
      </c>
      <c r="L739">
        <v>12000000</v>
      </c>
      <c r="M739">
        <v>2.0310000000000001</v>
      </c>
      <c r="N739">
        <v>12000000</v>
      </c>
      <c r="O739">
        <v>2.2000000000000002</v>
      </c>
      <c r="P739" t="s">
        <v>42</v>
      </c>
      <c r="Q739" t="s">
        <v>23</v>
      </c>
      <c r="R739" s="66">
        <v>43060</v>
      </c>
      <c r="S739" s="6">
        <f>DataTable[HLD_MaturityDate] - DataTable[SEC_Issue_Date]</f>
        <v>1096</v>
      </c>
      <c r="T739" s="66" t="str">
        <f>DataTable[HLD_Portfolio]&amp;DataTable[HLD_Date]</f>
        <v>SCBFPFUND43383</v>
      </c>
      <c r="W739" t="b">
        <f>DataTable[HLD_SecCode]="CB18O18A"</f>
        <v>0</v>
      </c>
    </row>
    <row r="740" spans="1:23" hidden="1" x14ac:dyDescent="0.2">
      <c r="A740" s="66">
        <v>43383</v>
      </c>
      <c r="B740" t="s">
        <v>350</v>
      </c>
      <c r="C740" t="s">
        <v>18</v>
      </c>
      <c r="D740" t="s">
        <v>109</v>
      </c>
      <c r="F740" t="s">
        <v>229</v>
      </c>
      <c r="G740" t="s">
        <v>230</v>
      </c>
      <c r="H740" t="s">
        <v>123</v>
      </c>
      <c r="I740" s="66">
        <v>44260</v>
      </c>
      <c r="J740" s="6">
        <v>7905567.7599999998</v>
      </c>
      <c r="K740">
        <v>17043.28</v>
      </c>
      <c r="L740">
        <v>8000000</v>
      </c>
      <c r="M740">
        <v>2.3130760000000001</v>
      </c>
      <c r="N740">
        <v>8000000</v>
      </c>
      <c r="O740">
        <v>2.16</v>
      </c>
      <c r="P740" t="s">
        <v>42</v>
      </c>
      <c r="Q740" t="s">
        <v>23</v>
      </c>
      <c r="R740" s="66">
        <v>43164</v>
      </c>
      <c r="S740" s="6">
        <f>DataTable[HLD_MaturityDate] - DataTable[SEC_Issue_Date]</f>
        <v>1096</v>
      </c>
      <c r="T740" s="66" t="str">
        <f>DataTable[HLD_Portfolio]&amp;DataTable[HLD_Date]</f>
        <v>SCBFPFUND43383</v>
      </c>
      <c r="W740" t="b">
        <f>DataTable[HLD_SecCode]="CB18O18A"</f>
        <v>0</v>
      </c>
    </row>
    <row r="741" spans="1:23" hidden="1" x14ac:dyDescent="0.2">
      <c r="A741" s="66">
        <v>43383</v>
      </c>
      <c r="B741" t="s">
        <v>350</v>
      </c>
      <c r="C741" t="s">
        <v>18</v>
      </c>
      <c r="D741" t="s">
        <v>109</v>
      </c>
      <c r="F741" t="s">
        <v>721</v>
      </c>
      <c r="G741" t="s">
        <v>722</v>
      </c>
      <c r="H741" t="s">
        <v>517</v>
      </c>
      <c r="I741" s="66">
        <v>45534</v>
      </c>
      <c r="J741" s="6">
        <v>45510981.299999997</v>
      </c>
      <c r="K741">
        <v>153788.85</v>
      </c>
      <c r="L741">
        <v>45768468.600000001</v>
      </c>
      <c r="M741">
        <v>5.3528599999999997</v>
      </c>
      <c r="N741">
        <v>45000000</v>
      </c>
      <c r="O741">
        <v>2.6549999999999998</v>
      </c>
      <c r="P741" t="s">
        <v>42</v>
      </c>
      <c r="Q741" t="s">
        <v>23</v>
      </c>
      <c r="R741" s="66">
        <v>42977</v>
      </c>
      <c r="S741" s="6">
        <f>DataTable[HLD_MaturityDate] - DataTable[SEC_Issue_Date]</f>
        <v>2557</v>
      </c>
      <c r="T741" s="66" t="str">
        <f>DataTable[HLD_Portfolio]&amp;DataTable[HLD_Date]</f>
        <v>SCBFPFUND43383</v>
      </c>
      <c r="W741" t="b">
        <f>DataTable[HLD_SecCode]="CB18O18A"</f>
        <v>0</v>
      </c>
    </row>
    <row r="742" spans="1:23" hidden="1" x14ac:dyDescent="0.2">
      <c r="A742" s="66">
        <v>43383</v>
      </c>
      <c r="B742" t="s">
        <v>350</v>
      </c>
      <c r="C742" t="s">
        <v>18</v>
      </c>
      <c r="D742" t="s">
        <v>109</v>
      </c>
      <c r="F742" t="s">
        <v>582</v>
      </c>
      <c r="G742" t="s">
        <v>583</v>
      </c>
      <c r="H742" t="s">
        <v>484</v>
      </c>
      <c r="I742" s="66">
        <v>43960</v>
      </c>
      <c r="J742" s="6">
        <v>25035895.25</v>
      </c>
      <c r="K742">
        <v>264349.25</v>
      </c>
      <c r="L742">
        <v>25275429.5</v>
      </c>
      <c r="M742">
        <v>1.5246869999999999</v>
      </c>
      <c r="N742">
        <v>25000000</v>
      </c>
      <c r="O742">
        <v>1.7725</v>
      </c>
      <c r="P742" t="s">
        <v>42</v>
      </c>
      <c r="Q742" t="s">
        <v>23</v>
      </c>
      <c r="R742" s="66">
        <v>42864</v>
      </c>
      <c r="S742" s="6">
        <f>DataTable[HLD_MaturityDate] - DataTable[SEC_Issue_Date]</f>
        <v>1096</v>
      </c>
      <c r="T742" s="66" t="str">
        <f>DataTable[HLD_Portfolio]&amp;DataTable[HLD_Date]</f>
        <v>SCBFPFUND43383</v>
      </c>
      <c r="W742" t="b">
        <f>DataTable[HLD_SecCode]="CB18O18A"</f>
        <v>0</v>
      </c>
    </row>
    <row r="743" spans="1:23" hidden="1" x14ac:dyDescent="0.2">
      <c r="A743" s="66">
        <v>43383</v>
      </c>
      <c r="B743" t="s">
        <v>350</v>
      </c>
      <c r="C743" t="s">
        <v>18</v>
      </c>
      <c r="D743" t="s">
        <v>109</v>
      </c>
      <c r="F743" t="s">
        <v>723</v>
      </c>
      <c r="G743" t="s">
        <v>583</v>
      </c>
      <c r="H743" t="s">
        <v>484</v>
      </c>
      <c r="I743" s="66">
        <v>45411</v>
      </c>
      <c r="J743" s="6">
        <v>95779677</v>
      </c>
      <c r="K743">
        <v>1112055</v>
      </c>
      <c r="L743">
        <v>100000000</v>
      </c>
      <c r="M743">
        <v>5.0692959999999996</v>
      </c>
      <c r="N743">
        <v>100000000</v>
      </c>
      <c r="O743">
        <v>2.46</v>
      </c>
      <c r="P743" t="s">
        <v>42</v>
      </c>
      <c r="Q743" t="s">
        <v>23</v>
      </c>
      <c r="R743" s="66">
        <v>42489</v>
      </c>
      <c r="S743" s="6">
        <f>DataTable[HLD_MaturityDate] - DataTable[SEC_Issue_Date]</f>
        <v>2922</v>
      </c>
      <c r="T743" s="66" t="str">
        <f>DataTable[HLD_Portfolio]&amp;DataTable[HLD_Date]</f>
        <v>SCBFPFUND43383</v>
      </c>
      <c r="W743" t="b">
        <f>DataTable[HLD_SecCode]="CB18O18A"</f>
        <v>0</v>
      </c>
    </row>
    <row r="744" spans="1:23" hidden="1" x14ac:dyDescent="0.2">
      <c r="A744" s="66">
        <v>43383</v>
      </c>
      <c r="B744" t="s">
        <v>350</v>
      </c>
      <c r="C744" t="s">
        <v>18</v>
      </c>
      <c r="D744" t="s">
        <v>109</v>
      </c>
      <c r="F744" t="s">
        <v>724</v>
      </c>
      <c r="G744" t="s">
        <v>205</v>
      </c>
      <c r="H744" t="s">
        <v>29</v>
      </c>
      <c r="I744" s="66">
        <v>43948</v>
      </c>
      <c r="J744" s="6">
        <v>10035419.9</v>
      </c>
      <c r="K744">
        <v>70794.5</v>
      </c>
      <c r="L744">
        <v>10017244.1</v>
      </c>
      <c r="M744">
        <v>1.488556</v>
      </c>
      <c r="N744">
        <v>10000000</v>
      </c>
      <c r="O744">
        <v>3.28</v>
      </c>
      <c r="P744" t="s">
        <v>42</v>
      </c>
      <c r="Q744" t="s">
        <v>23</v>
      </c>
      <c r="R744" s="66">
        <v>42852</v>
      </c>
      <c r="S744" s="6">
        <f>DataTable[HLD_MaturityDate] - DataTable[SEC_Issue_Date]</f>
        <v>1096</v>
      </c>
      <c r="T744" s="66" t="str">
        <f>DataTable[HLD_Portfolio]&amp;DataTable[HLD_Date]</f>
        <v>SCBFPFUND43383</v>
      </c>
      <c r="W744" t="b">
        <f>DataTable[HLD_SecCode]="CB18O18A"</f>
        <v>0</v>
      </c>
    </row>
    <row r="745" spans="1:23" hidden="1" x14ac:dyDescent="0.2">
      <c r="A745" s="66">
        <v>43383</v>
      </c>
      <c r="B745" t="s">
        <v>350</v>
      </c>
      <c r="C745" t="s">
        <v>18</v>
      </c>
      <c r="D745" t="s">
        <v>109</v>
      </c>
      <c r="F745" t="s">
        <v>725</v>
      </c>
      <c r="G745" t="s">
        <v>82</v>
      </c>
      <c r="H745" t="s">
        <v>47</v>
      </c>
      <c r="I745" s="66">
        <v>43819</v>
      </c>
      <c r="J745" s="6">
        <v>387602646.19999999</v>
      </c>
      <c r="K745">
        <v>3242015.7</v>
      </c>
      <c r="L745">
        <v>385003884.64999998</v>
      </c>
      <c r="M745">
        <v>1.1594450000000001</v>
      </c>
      <c r="N745">
        <v>385000000</v>
      </c>
      <c r="O745">
        <v>2.7140740000000001</v>
      </c>
      <c r="P745" t="s">
        <v>42</v>
      </c>
      <c r="Q745" t="s">
        <v>23</v>
      </c>
      <c r="R745" s="66">
        <v>42366</v>
      </c>
      <c r="S745" s="6">
        <f>DataTable[HLD_MaturityDate] - DataTable[SEC_Issue_Date]</f>
        <v>1453</v>
      </c>
      <c r="T745" s="66" t="str">
        <f>DataTable[HLD_Portfolio]&amp;DataTable[HLD_Date]</f>
        <v>SCBFPFUND43383</v>
      </c>
      <c r="W745" t="b">
        <f>DataTable[HLD_SecCode]="CB18O18A"</f>
        <v>0</v>
      </c>
    </row>
    <row r="746" spans="1:23" hidden="1" x14ac:dyDescent="0.2">
      <c r="A746" s="66">
        <v>43383</v>
      </c>
      <c r="B746" t="s">
        <v>350</v>
      </c>
      <c r="C746" t="s">
        <v>18</v>
      </c>
      <c r="D746" t="s">
        <v>109</v>
      </c>
      <c r="F746" t="s">
        <v>235</v>
      </c>
      <c r="G746" t="s">
        <v>234</v>
      </c>
      <c r="H746" t="s">
        <v>203</v>
      </c>
      <c r="I746" s="66">
        <v>44277</v>
      </c>
      <c r="J746" s="6">
        <v>470826756.63</v>
      </c>
      <c r="K746">
        <v>521432.55</v>
      </c>
      <c r="L746">
        <v>477000000</v>
      </c>
      <c r="M746">
        <v>2.3606829999999999</v>
      </c>
      <c r="N746">
        <v>477000000</v>
      </c>
      <c r="O746">
        <v>2.1</v>
      </c>
      <c r="P746" t="s">
        <v>42</v>
      </c>
      <c r="Q746" t="s">
        <v>23</v>
      </c>
      <c r="R746" s="66">
        <v>43181</v>
      </c>
      <c r="S746" s="6">
        <f>DataTable[HLD_MaturityDate] - DataTable[SEC_Issue_Date]</f>
        <v>1096</v>
      </c>
      <c r="T746" s="66" t="str">
        <f>DataTable[HLD_Portfolio]&amp;DataTable[HLD_Date]</f>
        <v>SCBFPFUND43383</v>
      </c>
      <c r="W746" t="b">
        <f>DataTable[HLD_SecCode]="CB18O18A"</f>
        <v>0</v>
      </c>
    </row>
    <row r="747" spans="1:23" hidden="1" x14ac:dyDescent="0.2">
      <c r="A747" s="66">
        <v>43383</v>
      </c>
      <c r="B747" t="s">
        <v>350</v>
      </c>
      <c r="C747" t="s">
        <v>18</v>
      </c>
      <c r="D747" t="s">
        <v>109</v>
      </c>
      <c r="F747" t="s">
        <v>584</v>
      </c>
      <c r="G747" t="s">
        <v>234</v>
      </c>
      <c r="H747" t="s">
        <v>203</v>
      </c>
      <c r="I747" s="66">
        <v>44639</v>
      </c>
      <c r="J747" s="6">
        <v>479353785.60000002</v>
      </c>
      <c r="K747">
        <v>925809.6</v>
      </c>
      <c r="L747">
        <v>480000000</v>
      </c>
      <c r="M747">
        <v>3.2221039999999999</v>
      </c>
      <c r="N747">
        <v>480000000</v>
      </c>
      <c r="O747">
        <v>3.2</v>
      </c>
      <c r="P747" t="s">
        <v>42</v>
      </c>
      <c r="Q747" t="s">
        <v>23</v>
      </c>
      <c r="R747" s="66">
        <v>43362</v>
      </c>
      <c r="S747" s="6">
        <f>DataTable[HLD_MaturityDate] - DataTable[SEC_Issue_Date]</f>
        <v>1277</v>
      </c>
      <c r="T747" s="66" t="str">
        <f>DataTable[HLD_Portfolio]&amp;DataTable[HLD_Date]</f>
        <v>SCBFPFUND43383</v>
      </c>
      <c r="W747" t="b">
        <f>DataTable[HLD_SecCode]="CB18O18A"</f>
        <v>0</v>
      </c>
    </row>
    <row r="748" spans="1:23" hidden="1" x14ac:dyDescent="0.2">
      <c r="A748" s="66">
        <v>43383</v>
      </c>
      <c r="B748" t="s">
        <v>350</v>
      </c>
      <c r="C748" t="s">
        <v>18</v>
      </c>
      <c r="D748" t="s">
        <v>109</v>
      </c>
      <c r="F748" t="s">
        <v>236</v>
      </c>
      <c r="G748" t="s">
        <v>237</v>
      </c>
      <c r="H748" t="s">
        <v>123</v>
      </c>
      <c r="I748" s="66">
        <v>43740</v>
      </c>
      <c r="J748" s="6">
        <v>45936266.399999999</v>
      </c>
      <c r="K748">
        <v>47490.3</v>
      </c>
      <c r="L748">
        <v>45000000</v>
      </c>
      <c r="M748">
        <v>0.95351699999999995</v>
      </c>
      <c r="N748">
        <v>45000000</v>
      </c>
      <c r="O748">
        <v>4.28</v>
      </c>
      <c r="P748" t="s">
        <v>42</v>
      </c>
      <c r="Q748" t="s">
        <v>23</v>
      </c>
      <c r="R748" s="66">
        <v>41914</v>
      </c>
      <c r="S748" s="6">
        <f>DataTable[HLD_MaturityDate] - DataTable[SEC_Issue_Date]</f>
        <v>1826</v>
      </c>
      <c r="T748" s="66" t="str">
        <f>DataTable[HLD_Portfolio]&amp;DataTable[HLD_Date]</f>
        <v>SCBFPFUND43383</v>
      </c>
      <c r="W748" t="b">
        <f>DataTable[HLD_SecCode]="CB18O18A"</f>
        <v>0</v>
      </c>
    </row>
    <row r="749" spans="1:23" hidden="1" x14ac:dyDescent="0.2">
      <c r="A749" s="66">
        <v>43383</v>
      </c>
      <c r="B749" t="s">
        <v>350</v>
      </c>
      <c r="C749" t="s">
        <v>18</v>
      </c>
      <c r="D749" t="s">
        <v>109</v>
      </c>
      <c r="F749" t="s">
        <v>240</v>
      </c>
      <c r="G749" t="s">
        <v>71</v>
      </c>
      <c r="H749" t="s">
        <v>47</v>
      </c>
      <c r="I749" s="66">
        <v>43972</v>
      </c>
      <c r="J749" s="6">
        <v>772629056.42999995</v>
      </c>
      <c r="K749">
        <v>5327236.32</v>
      </c>
      <c r="L749">
        <v>777000000</v>
      </c>
      <c r="M749">
        <v>1.5698570000000001</v>
      </c>
      <c r="N749">
        <v>777000000</v>
      </c>
      <c r="O749">
        <v>1.75</v>
      </c>
      <c r="P749" t="s">
        <v>42</v>
      </c>
      <c r="Q749" t="s">
        <v>23</v>
      </c>
      <c r="R749" s="66">
        <v>43241</v>
      </c>
      <c r="S749" s="6">
        <f>DataTable[HLD_MaturityDate] - DataTable[SEC_Issue_Date]</f>
        <v>731</v>
      </c>
      <c r="T749" s="66" t="str">
        <f>DataTable[HLD_Portfolio]&amp;DataTable[HLD_Date]</f>
        <v>SCBFPFUND43383</v>
      </c>
      <c r="W749" t="b">
        <f>DataTable[HLD_SecCode]="CB18O18A"</f>
        <v>0</v>
      </c>
    </row>
    <row r="750" spans="1:23" hidden="1" x14ac:dyDescent="0.2">
      <c r="A750" s="66">
        <v>43383</v>
      </c>
      <c r="B750" t="s">
        <v>350</v>
      </c>
      <c r="C750" t="s">
        <v>18</v>
      </c>
      <c r="D750" t="s">
        <v>262</v>
      </c>
      <c r="F750" t="s">
        <v>726</v>
      </c>
      <c r="G750" t="s">
        <v>46</v>
      </c>
      <c r="H750" t="s">
        <v>47</v>
      </c>
      <c r="I750" s="66">
        <v>43444</v>
      </c>
      <c r="J750" s="6">
        <v>65856093.659999996</v>
      </c>
      <c r="K750">
        <v>636707.88</v>
      </c>
      <c r="L750">
        <v>65963642.619999997</v>
      </c>
      <c r="M750">
        <v>0.16245299999999999</v>
      </c>
      <c r="N750">
        <v>2000000</v>
      </c>
      <c r="O750">
        <v>2.1696460000000002</v>
      </c>
      <c r="P750" t="s">
        <v>42</v>
      </c>
      <c r="Q750" t="s">
        <v>37</v>
      </c>
      <c r="R750" s="66">
        <v>41618</v>
      </c>
      <c r="S750" s="6">
        <f>DataTable[HLD_MaturityDate] - DataTable[SEC_Issue_Date]</f>
        <v>1826</v>
      </c>
      <c r="T750" s="66" t="str">
        <f>DataTable[HLD_Portfolio]&amp;DataTable[HLD_Date]</f>
        <v>SCBFPFUND43383</v>
      </c>
      <c r="W750" t="b">
        <f>DataTable[HLD_SecCode]="CB18O18A"</f>
        <v>0</v>
      </c>
    </row>
    <row r="751" spans="1:23" hidden="1" x14ac:dyDescent="0.2">
      <c r="A751" s="66">
        <v>43383</v>
      </c>
      <c r="B751" t="s">
        <v>350</v>
      </c>
      <c r="C751" t="s">
        <v>113</v>
      </c>
      <c r="D751" t="s">
        <v>114</v>
      </c>
      <c r="F751" t="s">
        <v>727</v>
      </c>
      <c r="G751" t="s">
        <v>286</v>
      </c>
      <c r="H751" t="s">
        <v>43</v>
      </c>
      <c r="I751" s="66">
        <v>43441</v>
      </c>
      <c r="J751" s="6">
        <v>50302437.920000002</v>
      </c>
      <c r="L751">
        <v>0</v>
      </c>
      <c r="M751">
        <v>0</v>
      </c>
      <c r="N751">
        <v>0</v>
      </c>
      <c r="O751">
        <v>0</v>
      </c>
      <c r="P751" t="s">
        <v>116</v>
      </c>
      <c r="Q751" t="s">
        <v>23</v>
      </c>
      <c r="R751" s="66">
        <v>2</v>
      </c>
      <c r="S751" s="6">
        <f>DataTable[HLD_MaturityDate] - DataTable[SEC_Issue_Date]</f>
        <v>43439</v>
      </c>
      <c r="T751" s="66" t="str">
        <f>DataTable[HLD_Portfolio]&amp;DataTable[HLD_Date]</f>
        <v>SCBFPFUND43383</v>
      </c>
      <c r="W751" t="b">
        <f>DataTable[HLD_SecCode]="CB18O18A"</f>
        <v>0</v>
      </c>
    </row>
    <row r="752" spans="1:23" hidden="1" x14ac:dyDescent="0.2">
      <c r="A752" s="66">
        <v>43383</v>
      </c>
      <c r="B752" t="s">
        <v>350</v>
      </c>
      <c r="C752" t="s">
        <v>113</v>
      </c>
      <c r="D752" t="s">
        <v>114</v>
      </c>
      <c r="F752" t="s">
        <v>728</v>
      </c>
      <c r="G752" t="s">
        <v>729</v>
      </c>
      <c r="H752" t="s">
        <v>51</v>
      </c>
      <c r="I752" s="66">
        <v>43434</v>
      </c>
      <c r="J752" s="6">
        <v>51002550</v>
      </c>
      <c r="L752">
        <v>0</v>
      </c>
      <c r="M752">
        <v>0</v>
      </c>
      <c r="N752">
        <v>0</v>
      </c>
      <c r="O752">
        <v>0</v>
      </c>
      <c r="P752" t="s">
        <v>116</v>
      </c>
      <c r="Q752" t="s">
        <v>23</v>
      </c>
      <c r="R752" s="66">
        <v>2</v>
      </c>
      <c r="S752" s="6">
        <f>DataTable[HLD_MaturityDate] - DataTable[SEC_Issue_Date]</f>
        <v>43432</v>
      </c>
      <c r="T752" s="66" t="str">
        <f>DataTable[HLD_Portfolio]&amp;DataTable[HLD_Date]</f>
        <v>SCBFPFUND43383</v>
      </c>
      <c r="W752" t="b">
        <f>DataTable[HLD_SecCode]="CB18O18A"</f>
        <v>0</v>
      </c>
    </row>
    <row r="753" spans="1:23" hidden="1" x14ac:dyDescent="0.2">
      <c r="A753" s="66">
        <v>43383</v>
      </c>
      <c r="B753" t="s">
        <v>350</v>
      </c>
      <c r="C753" t="s">
        <v>113</v>
      </c>
      <c r="D753" t="s">
        <v>114</v>
      </c>
      <c r="F753" t="s">
        <v>730</v>
      </c>
      <c r="G753" t="s">
        <v>73</v>
      </c>
      <c r="H753" t="s">
        <v>27</v>
      </c>
      <c r="I753" s="66">
        <v>43504</v>
      </c>
      <c r="J753" s="6">
        <v>80754622.700000003</v>
      </c>
      <c r="L753">
        <v>0</v>
      </c>
      <c r="M753">
        <v>0</v>
      </c>
      <c r="N753">
        <v>0</v>
      </c>
      <c r="O753">
        <v>0</v>
      </c>
      <c r="P753" t="s">
        <v>116</v>
      </c>
      <c r="Q753" t="s">
        <v>23</v>
      </c>
      <c r="R753" s="66">
        <v>2</v>
      </c>
      <c r="S753" s="6">
        <f>DataTable[HLD_MaturityDate] - DataTable[SEC_Issue_Date]</f>
        <v>43502</v>
      </c>
      <c r="T753" s="66" t="str">
        <f>DataTable[HLD_Portfolio]&amp;DataTable[HLD_Date]</f>
        <v>SCBFPFUND43383</v>
      </c>
      <c r="W753" t="b">
        <f>DataTable[HLD_SecCode]="CB18O18A"</f>
        <v>0</v>
      </c>
    </row>
    <row r="754" spans="1:23" hidden="1" x14ac:dyDescent="0.2">
      <c r="A754" s="66">
        <v>43383</v>
      </c>
      <c r="B754" t="s">
        <v>350</v>
      </c>
      <c r="C754" t="s">
        <v>113</v>
      </c>
      <c r="D754" t="s">
        <v>114</v>
      </c>
      <c r="F754" t="s">
        <v>731</v>
      </c>
      <c r="G754" t="s">
        <v>729</v>
      </c>
      <c r="H754" t="s">
        <v>51</v>
      </c>
      <c r="I754" s="66">
        <v>43549</v>
      </c>
      <c r="J754" s="6">
        <v>12536588.970000001</v>
      </c>
      <c r="L754">
        <v>0</v>
      </c>
      <c r="M754">
        <v>0</v>
      </c>
      <c r="N754">
        <v>0</v>
      </c>
      <c r="O754">
        <v>0</v>
      </c>
      <c r="P754" t="s">
        <v>116</v>
      </c>
      <c r="Q754" t="s">
        <v>23</v>
      </c>
      <c r="R754" s="66">
        <v>2</v>
      </c>
      <c r="S754" s="6">
        <f>DataTable[HLD_MaturityDate] - DataTable[SEC_Issue_Date]</f>
        <v>43547</v>
      </c>
      <c r="T754" s="66" t="str">
        <f>DataTable[HLD_Portfolio]&amp;DataTable[HLD_Date]</f>
        <v>SCBFPFUND43383</v>
      </c>
      <c r="W754" t="b">
        <f>DataTable[HLD_SecCode]="CB18O18A"</f>
        <v>0</v>
      </c>
    </row>
    <row r="755" spans="1:23" hidden="1" x14ac:dyDescent="0.2">
      <c r="A755" s="66">
        <v>43383</v>
      </c>
      <c r="B755" t="s">
        <v>350</v>
      </c>
      <c r="C755" t="s">
        <v>113</v>
      </c>
      <c r="D755" t="s">
        <v>114</v>
      </c>
      <c r="F755" t="s">
        <v>732</v>
      </c>
      <c r="G755" t="s">
        <v>286</v>
      </c>
      <c r="H755" t="s">
        <v>43</v>
      </c>
      <c r="I755" s="66">
        <v>43587</v>
      </c>
      <c r="J755" s="6">
        <v>19306284.109999999</v>
      </c>
      <c r="L755">
        <v>0</v>
      </c>
      <c r="M755">
        <v>0</v>
      </c>
      <c r="N755">
        <v>0</v>
      </c>
      <c r="O755">
        <v>0</v>
      </c>
      <c r="P755" t="s">
        <v>116</v>
      </c>
      <c r="Q755" t="s">
        <v>23</v>
      </c>
      <c r="R755" s="66">
        <v>2</v>
      </c>
      <c r="S755" s="6">
        <f>DataTable[HLD_MaturityDate] - DataTable[SEC_Issue_Date]</f>
        <v>43585</v>
      </c>
      <c r="T755" s="66" t="str">
        <f>DataTable[HLD_Portfolio]&amp;DataTable[HLD_Date]</f>
        <v>SCBFPFUND43383</v>
      </c>
      <c r="W755" t="b">
        <f>DataTable[HLD_SecCode]="CB18O18A"</f>
        <v>0</v>
      </c>
    </row>
    <row r="756" spans="1:23" hidden="1" x14ac:dyDescent="0.2">
      <c r="A756" s="66">
        <v>43383</v>
      </c>
      <c r="B756" t="s">
        <v>350</v>
      </c>
      <c r="C756" t="s">
        <v>113</v>
      </c>
      <c r="D756" t="s">
        <v>114</v>
      </c>
      <c r="F756" t="s">
        <v>733</v>
      </c>
      <c r="G756" t="s">
        <v>286</v>
      </c>
      <c r="H756" t="s">
        <v>43</v>
      </c>
      <c r="I756" s="66">
        <v>43452</v>
      </c>
      <c r="J756" s="6">
        <v>-4241662.6100000003</v>
      </c>
      <c r="L756">
        <v>0</v>
      </c>
      <c r="M756">
        <v>0</v>
      </c>
      <c r="N756">
        <v>0</v>
      </c>
      <c r="O756">
        <v>0</v>
      </c>
      <c r="P756" t="s">
        <v>116</v>
      </c>
      <c r="Q756" t="s">
        <v>23</v>
      </c>
      <c r="R756" s="66">
        <v>2</v>
      </c>
      <c r="S756" s="6">
        <f>DataTable[HLD_MaturityDate] - DataTable[SEC_Issue_Date]</f>
        <v>43450</v>
      </c>
      <c r="T756" s="66" t="str">
        <f>DataTable[HLD_Portfolio]&amp;DataTable[HLD_Date]</f>
        <v>SCBFPFUND43383</v>
      </c>
      <c r="W756" t="b">
        <f>DataTable[HLD_SecCode]="CB18O18A"</f>
        <v>0</v>
      </c>
    </row>
    <row r="757" spans="1:23" hidden="1" x14ac:dyDescent="0.2">
      <c r="A757" s="66">
        <v>43383</v>
      </c>
      <c r="B757" t="s">
        <v>350</v>
      </c>
      <c r="C757" t="s">
        <v>113</v>
      </c>
      <c r="D757" t="s">
        <v>114</v>
      </c>
      <c r="F757" t="s">
        <v>734</v>
      </c>
      <c r="G757" t="s">
        <v>286</v>
      </c>
      <c r="H757" t="s">
        <v>43</v>
      </c>
      <c r="I757" s="66">
        <v>43410</v>
      </c>
      <c r="J757" s="6">
        <v>3739597.6</v>
      </c>
      <c r="L757">
        <v>0</v>
      </c>
      <c r="M757">
        <v>0</v>
      </c>
      <c r="N757">
        <v>0</v>
      </c>
      <c r="O757">
        <v>0</v>
      </c>
      <c r="P757" t="s">
        <v>116</v>
      </c>
      <c r="Q757" t="s">
        <v>23</v>
      </c>
      <c r="R757" s="66">
        <v>2</v>
      </c>
      <c r="S757" s="6">
        <f>DataTable[HLD_MaturityDate] - DataTable[SEC_Issue_Date]</f>
        <v>43408</v>
      </c>
      <c r="T757" s="66" t="str">
        <f>DataTable[HLD_Portfolio]&amp;DataTable[HLD_Date]</f>
        <v>SCBFPFUND43383</v>
      </c>
      <c r="W757" t="b">
        <f>DataTable[HLD_SecCode]="CB18O18A"</f>
        <v>0</v>
      </c>
    </row>
    <row r="758" spans="1:23" hidden="1" x14ac:dyDescent="0.2">
      <c r="A758" s="66">
        <v>43383</v>
      </c>
      <c r="B758" t="s">
        <v>350</v>
      </c>
      <c r="C758" t="s">
        <v>113</v>
      </c>
      <c r="D758" t="s">
        <v>114</v>
      </c>
      <c r="F758" t="s">
        <v>735</v>
      </c>
      <c r="G758" t="s">
        <v>26</v>
      </c>
      <c r="H758" t="s">
        <v>27</v>
      </c>
      <c r="I758" s="66">
        <v>43397</v>
      </c>
      <c r="J758" s="6">
        <v>-60190583.590000004</v>
      </c>
      <c r="L758">
        <v>0</v>
      </c>
      <c r="M758">
        <v>0</v>
      </c>
      <c r="N758">
        <v>0</v>
      </c>
      <c r="O758">
        <v>0</v>
      </c>
      <c r="P758" t="s">
        <v>116</v>
      </c>
      <c r="Q758" t="s">
        <v>23</v>
      </c>
      <c r="R758" s="66">
        <v>2</v>
      </c>
      <c r="S758" s="6">
        <f>DataTable[HLD_MaturityDate] - DataTable[SEC_Issue_Date]</f>
        <v>43395</v>
      </c>
      <c r="T758" s="66" t="str">
        <f>DataTable[HLD_Portfolio]&amp;DataTable[HLD_Date]</f>
        <v>SCBFPFUND43383</v>
      </c>
      <c r="W758" t="b">
        <f>DataTable[HLD_SecCode]="CB18O18A"</f>
        <v>0</v>
      </c>
    </row>
    <row r="759" spans="1:23" hidden="1" x14ac:dyDescent="0.2">
      <c r="A759" s="66">
        <v>43383</v>
      </c>
      <c r="B759" t="s">
        <v>350</v>
      </c>
      <c r="C759" t="s">
        <v>113</v>
      </c>
      <c r="D759" t="s">
        <v>114</v>
      </c>
      <c r="F759" t="s">
        <v>736</v>
      </c>
      <c r="G759" t="s">
        <v>729</v>
      </c>
      <c r="H759" t="s">
        <v>51</v>
      </c>
      <c r="I759" s="66">
        <v>43481</v>
      </c>
      <c r="J759" s="6">
        <v>-18431580.140000001</v>
      </c>
      <c r="L759">
        <v>0</v>
      </c>
      <c r="M759">
        <v>0</v>
      </c>
      <c r="N759">
        <v>0</v>
      </c>
      <c r="O759">
        <v>0</v>
      </c>
      <c r="P759" t="s">
        <v>116</v>
      </c>
      <c r="Q759" t="s">
        <v>23</v>
      </c>
      <c r="R759" s="66">
        <v>2</v>
      </c>
      <c r="S759" s="6">
        <f>DataTable[HLD_MaturityDate] - DataTable[SEC_Issue_Date]</f>
        <v>43479</v>
      </c>
      <c r="T759" s="66" t="str">
        <f>DataTable[HLD_Portfolio]&amp;DataTable[HLD_Date]</f>
        <v>SCBFPFUND43383</v>
      </c>
      <c r="W759" t="b">
        <f>DataTable[HLD_SecCode]="CB18O18A"</f>
        <v>0</v>
      </c>
    </row>
    <row r="760" spans="1:23" hidden="1" x14ac:dyDescent="0.2">
      <c r="A760" s="66">
        <v>43383</v>
      </c>
      <c r="B760" t="s">
        <v>350</v>
      </c>
      <c r="C760" t="s">
        <v>113</v>
      </c>
      <c r="D760" t="s">
        <v>114</v>
      </c>
      <c r="F760" t="s">
        <v>737</v>
      </c>
      <c r="G760" t="s">
        <v>146</v>
      </c>
      <c r="H760" t="s">
        <v>27</v>
      </c>
      <c r="I760" s="66">
        <v>43728</v>
      </c>
      <c r="J760" s="6">
        <v>-7032871.96</v>
      </c>
      <c r="L760">
        <v>0</v>
      </c>
      <c r="M760">
        <v>0</v>
      </c>
      <c r="N760">
        <v>0</v>
      </c>
      <c r="O760">
        <v>0</v>
      </c>
      <c r="P760" t="s">
        <v>116</v>
      </c>
      <c r="Q760" t="s">
        <v>23</v>
      </c>
      <c r="R760" s="66">
        <v>2</v>
      </c>
      <c r="S760" s="6">
        <f>DataTable[HLD_MaturityDate] - DataTable[SEC_Issue_Date]</f>
        <v>43726</v>
      </c>
      <c r="T760" s="66" t="str">
        <f>DataTable[HLD_Portfolio]&amp;DataTable[HLD_Date]</f>
        <v>SCBFPFUND43383</v>
      </c>
      <c r="W760" t="b">
        <f>DataTable[HLD_SecCode]="CB18O18A"</f>
        <v>0</v>
      </c>
    </row>
    <row r="761" spans="1:23" hidden="1" x14ac:dyDescent="0.2">
      <c r="A761" s="66">
        <v>43383</v>
      </c>
      <c r="B761" t="s">
        <v>350</v>
      </c>
      <c r="C761" t="s">
        <v>113</v>
      </c>
      <c r="D761" t="s">
        <v>114</v>
      </c>
      <c r="F761" t="s">
        <v>738</v>
      </c>
      <c r="G761" t="s">
        <v>286</v>
      </c>
      <c r="H761" t="s">
        <v>43</v>
      </c>
      <c r="I761" s="66">
        <v>43740</v>
      </c>
      <c r="J761" s="6">
        <v>-5114484.84</v>
      </c>
      <c r="L761">
        <v>0</v>
      </c>
      <c r="M761">
        <v>0</v>
      </c>
      <c r="N761">
        <v>0</v>
      </c>
      <c r="O761">
        <v>0</v>
      </c>
      <c r="P761" t="s">
        <v>116</v>
      </c>
      <c r="Q761" t="s">
        <v>23</v>
      </c>
      <c r="R761" s="66">
        <v>2</v>
      </c>
      <c r="S761" s="6">
        <f>DataTable[HLD_MaturityDate] - DataTable[SEC_Issue_Date]</f>
        <v>43738</v>
      </c>
      <c r="T761" s="66" t="str">
        <f>DataTable[HLD_Portfolio]&amp;DataTable[HLD_Date]</f>
        <v>SCBFPFUND43383</v>
      </c>
      <c r="W761" t="b">
        <f>DataTable[HLD_SecCode]="CB18O18A"</f>
        <v>0</v>
      </c>
    </row>
    <row r="762" spans="1:23" hidden="1" x14ac:dyDescent="0.2">
      <c r="A762" s="66">
        <v>43383</v>
      </c>
      <c r="B762" t="s">
        <v>350</v>
      </c>
      <c r="C762" t="s">
        <v>113</v>
      </c>
      <c r="D762" t="s">
        <v>633</v>
      </c>
      <c r="F762" t="s">
        <v>739</v>
      </c>
      <c r="G762" t="s">
        <v>26</v>
      </c>
      <c r="H762" t="s">
        <v>27</v>
      </c>
      <c r="I762" s="66">
        <v>46003</v>
      </c>
      <c r="J762" s="6">
        <v>-16284305.02</v>
      </c>
      <c r="L762">
        <v>0</v>
      </c>
      <c r="M762">
        <v>0</v>
      </c>
      <c r="N762">
        <v>0</v>
      </c>
      <c r="O762">
        <v>0</v>
      </c>
      <c r="P762" t="s">
        <v>635</v>
      </c>
      <c r="Q762" t="s">
        <v>23</v>
      </c>
      <c r="R762" s="66">
        <v>2</v>
      </c>
      <c r="S762" s="6">
        <f>DataTable[HLD_MaturityDate] - DataTable[SEC_Issue_Date]</f>
        <v>46001</v>
      </c>
      <c r="T762" s="66" t="str">
        <f>DataTable[HLD_Portfolio]&amp;DataTable[HLD_Date]</f>
        <v>SCBFPFUND43383</v>
      </c>
      <c r="W762" t="b">
        <f>DataTable[HLD_SecCode]="CB18O18A"</f>
        <v>0</v>
      </c>
    </row>
    <row r="763" spans="1:23" hidden="1" x14ac:dyDescent="0.2">
      <c r="A763" s="66">
        <v>43383</v>
      </c>
      <c r="B763" t="s">
        <v>350</v>
      </c>
      <c r="C763" t="s">
        <v>113</v>
      </c>
      <c r="D763" t="s">
        <v>633</v>
      </c>
      <c r="F763" t="s">
        <v>740</v>
      </c>
      <c r="G763" t="s">
        <v>26</v>
      </c>
      <c r="H763" t="s">
        <v>27</v>
      </c>
      <c r="I763" s="66">
        <v>43629</v>
      </c>
      <c r="J763" s="6">
        <v>-3916628.28</v>
      </c>
      <c r="L763">
        <v>0</v>
      </c>
      <c r="M763">
        <v>0</v>
      </c>
      <c r="N763">
        <v>0</v>
      </c>
      <c r="O763">
        <v>0</v>
      </c>
      <c r="P763" t="s">
        <v>635</v>
      </c>
      <c r="Q763" t="s">
        <v>23</v>
      </c>
      <c r="R763" s="66">
        <v>2</v>
      </c>
      <c r="S763" s="6">
        <f>DataTable[HLD_MaturityDate] - DataTable[SEC_Issue_Date]</f>
        <v>43627</v>
      </c>
      <c r="T763" s="66" t="str">
        <f>DataTable[HLD_Portfolio]&amp;DataTable[HLD_Date]</f>
        <v>SCBFPFUND43383</v>
      </c>
      <c r="W763" t="b">
        <f>DataTable[HLD_SecCode]="CB18O18A"</f>
        <v>0</v>
      </c>
    </row>
    <row r="764" spans="1:23" hidden="1" x14ac:dyDescent="0.2">
      <c r="A764" s="66">
        <v>43383</v>
      </c>
      <c r="B764" t="s">
        <v>350</v>
      </c>
      <c r="C764" t="s">
        <v>113</v>
      </c>
      <c r="D764" t="s">
        <v>633</v>
      </c>
      <c r="F764" t="s">
        <v>741</v>
      </c>
      <c r="G764" t="s">
        <v>26</v>
      </c>
      <c r="H764" t="s">
        <v>27</v>
      </c>
      <c r="I764" s="66">
        <v>45093</v>
      </c>
      <c r="J764" s="6">
        <v>-6472813.7999999998</v>
      </c>
      <c r="L764">
        <v>0</v>
      </c>
      <c r="M764">
        <v>0</v>
      </c>
      <c r="N764">
        <v>0</v>
      </c>
      <c r="O764">
        <v>0</v>
      </c>
      <c r="P764" t="s">
        <v>635</v>
      </c>
      <c r="Q764" t="s">
        <v>23</v>
      </c>
      <c r="R764" s="66">
        <v>2</v>
      </c>
      <c r="S764" s="6">
        <f>DataTable[HLD_MaturityDate] - DataTable[SEC_Issue_Date]</f>
        <v>45091</v>
      </c>
      <c r="T764" s="66" t="str">
        <f>DataTable[HLD_Portfolio]&amp;DataTable[HLD_Date]</f>
        <v>SCBFPFUND43383</v>
      </c>
      <c r="W764" t="b">
        <f>DataTable[HLD_SecCode]="CB18O18A"</f>
        <v>0</v>
      </c>
    </row>
    <row r="765" spans="1:23" hidden="1" x14ac:dyDescent="0.2">
      <c r="A765" s="66">
        <v>43383</v>
      </c>
      <c r="B765" t="s">
        <v>350</v>
      </c>
      <c r="C765" t="s">
        <v>113</v>
      </c>
      <c r="D765" t="s">
        <v>633</v>
      </c>
      <c r="F765" t="s">
        <v>742</v>
      </c>
      <c r="G765" t="s">
        <v>26</v>
      </c>
      <c r="H765" t="s">
        <v>27</v>
      </c>
      <c r="I765" s="66">
        <v>43444</v>
      </c>
      <c r="J765" s="6">
        <v>6609176.7400000002</v>
      </c>
      <c r="L765">
        <v>0</v>
      </c>
      <c r="M765">
        <v>0</v>
      </c>
      <c r="N765">
        <v>0</v>
      </c>
      <c r="O765">
        <v>0</v>
      </c>
      <c r="P765" t="s">
        <v>635</v>
      </c>
      <c r="Q765" t="s">
        <v>23</v>
      </c>
      <c r="R765" s="66">
        <v>2</v>
      </c>
      <c r="S765" s="6">
        <f>DataTable[HLD_MaturityDate] - DataTable[SEC_Issue_Date]</f>
        <v>43442</v>
      </c>
      <c r="T765" s="66" t="str">
        <f>DataTable[HLD_Portfolio]&amp;DataTable[HLD_Date]</f>
        <v>SCBFPFUND43383</v>
      </c>
      <c r="W765" t="b">
        <f>DataTable[HLD_SecCode]="CB18O18A"</f>
        <v>0</v>
      </c>
    </row>
    <row r="766" spans="1:23" hidden="1" x14ac:dyDescent="0.2">
      <c r="A766" s="66">
        <v>43383</v>
      </c>
      <c r="B766" t="s">
        <v>350</v>
      </c>
      <c r="C766" t="s">
        <v>113</v>
      </c>
      <c r="D766" t="s">
        <v>633</v>
      </c>
      <c r="F766" t="s">
        <v>743</v>
      </c>
      <c r="G766" t="s">
        <v>26</v>
      </c>
      <c r="H766" t="s">
        <v>27</v>
      </c>
      <c r="I766" s="66">
        <v>46373</v>
      </c>
      <c r="J766" s="6">
        <v>635625.96</v>
      </c>
      <c r="L766">
        <v>0</v>
      </c>
      <c r="M766">
        <v>0</v>
      </c>
      <c r="N766">
        <v>0</v>
      </c>
      <c r="O766">
        <v>0</v>
      </c>
      <c r="P766" t="s">
        <v>635</v>
      </c>
      <c r="Q766" t="s">
        <v>23</v>
      </c>
      <c r="R766" s="66">
        <v>2</v>
      </c>
      <c r="S766" s="6">
        <f>DataTable[HLD_MaturityDate] - DataTable[SEC_Issue_Date]</f>
        <v>46371</v>
      </c>
      <c r="T766" s="66" t="str">
        <f>DataTable[HLD_Portfolio]&amp;DataTable[HLD_Date]</f>
        <v>SCBFPFUND43383</v>
      </c>
      <c r="W766" t="b">
        <f>DataTable[HLD_SecCode]="CB18O18A"</f>
        <v>0</v>
      </c>
    </row>
    <row r="767" spans="1:23" hidden="1" x14ac:dyDescent="0.2">
      <c r="A767" s="66">
        <v>43383</v>
      </c>
      <c r="B767" t="s">
        <v>350</v>
      </c>
      <c r="C767" t="s">
        <v>113</v>
      </c>
      <c r="D767" t="s">
        <v>633</v>
      </c>
      <c r="F767" t="s">
        <v>744</v>
      </c>
      <c r="G767" t="s">
        <v>26</v>
      </c>
      <c r="H767" t="s">
        <v>27</v>
      </c>
      <c r="I767" s="66">
        <v>44402</v>
      </c>
      <c r="J767" s="6">
        <v>-81216.460000000006</v>
      </c>
      <c r="L767">
        <v>0</v>
      </c>
      <c r="M767">
        <v>0</v>
      </c>
      <c r="N767">
        <v>0</v>
      </c>
      <c r="O767">
        <v>0</v>
      </c>
      <c r="P767" t="s">
        <v>635</v>
      </c>
      <c r="Q767" t="s">
        <v>23</v>
      </c>
      <c r="R767" s="66">
        <v>2</v>
      </c>
      <c r="S767" s="6">
        <f>DataTable[HLD_MaturityDate] - DataTable[SEC_Issue_Date]</f>
        <v>44400</v>
      </c>
      <c r="T767" s="66" t="str">
        <f>DataTable[HLD_Portfolio]&amp;DataTable[HLD_Date]</f>
        <v>SCBFPFUND43383</v>
      </c>
      <c r="W767" t="b">
        <f>DataTable[HLD_SecCode]="CB18O18A"</f>
        <v>0</v>
      </c>
    </row>
    <row r="768" spans="1:23" hidden="1" x14ac:dyDescent="0.2">
      <c r="A768" s="66">
        <v>43383</v>
      </c>
      <c r="B768" t="s">
        <v>350</v>
      </c>
      <c r="C768" t="s">
        <v>113</v>
      </c>
      <c r="D768" t="s">
        <v>633</v>
      </c>
      <c r="F768" t="s">
        <v>745</v>
      </c>
      <c r="G768" t="s">
        <v>26</v>
      </c>
      <c r="H768" t="s">
        <v>27</v>
      </c>
      <c r="I768" s="66">
        <v>44424</v>
      </c>
      <c r="J768" s="6">
        <v>190578.15</v>
      </c>
      <c r="L768">
        <v>0</v>
      </c>
      <c r="M768">
        <v>0</v>
      </c>
      <c r="N768">
        <v>0</v>
      </c>
      <c r="O768">
        <v>0</v>
      </c>
      <c r="P768" t="s">
        <v>635</v>
      </c>
      <c r="Q768" t="s">
        <v>23</v>
      </c>
      <c r="R768" s="66">
        <v>2</v>
      </c>
      <c r="S768" s="6">
        <f>DataTable[HLD_MaturityDate] - DataTable[SEC_Issue_Date]</f>
        <v>44422</v>
      </c>
      <c r="T768" s="66" t="str">
        <f>DataTable[HLD_Portfolio]&amp;DataTable[HLD_Date]</f>
        <v>SCBFPFUND43383</v>
      </c>
      <c r="W768" t="b">
        <f>DataTable[HLD_SecCode]="CB18O18A"</f>
        <v>0</v>
      </c>
    </row>
    <row r="769" spans="1:23" hidden="1" x14ac:dyDescent="0.2">
      <c r="A769" s="66">
        <v>43383</v>
      </c>
      <c r="B769" t="s">
        <v>350</v>
      </c>
      <c r="C769" t="s">
        <v>113</v>
      </c>
      <c r="D769" t="s">
        <v>633</v>
      </c>
      <c r="F769" t="s">
        <v>746</v>
      </c>
      <c r="G769" t="s">
        <v>286</v>
      </c>
      <c r="H769" t="s">
        <v>43</v>
      </c>
      <c r="I769" s="66">
        <v>45162</v>
      </c>
      <c r="J769" s="6">
        <v>405010.47</v>
      </c>
      <c r="L769">
        <v>0</v>
      </c>
      <c r="M769">
        <v>0</v>
      </c>
      <c r="N769">
        <v>0</v>
      </c>
      <c r="O769">
        <v>0</v>
      </c>
      <c r="P769" t="s">
        <v>635</v>
      </c>
      <c r="Q769" t="s">
        <v>23</v>
      </c>
      <c r="R769" s="66">
        <v>2</v>
      </c>
      <c r="S769" s="6">
        <f>DataTable[HLD_MaturityDate] - DataTable[SEC_Issue_Date]</f>
        <v>45160</v>
      </c>
      <c r="T769" s="66" t="str">
        <f>DataTable[HLD_Portfolio]&amp;DataTable[HLD_Date]</f>
        <v>SCBFPFUND43383</v>
      </c>
      <c r="W769" t="b">
        <f>DataTable[HLD_SecCode]="CB18O18A"</f>
        <v>0</v>
      </c>
    </row>
    <row r="770" spans="1:23" hidden="1" x14ac:dyDescent="0.2">
      <c r="A770" s="66">
        <v>43383</v>
      </c>
      <c r="B770" t="s">
        <v>350</v>
      </c>
      <c r="C770" t="s">
        <v>113</v>
      </c>
      <c r="D770" t="s">
        <v>633</v>
      </c>
      <c r="F770" t="s">
        <v>747</v>
      </c>
      <c r="G770" t="s">
        <v>286</v>
      </c>
      <c r="H770" t="s">
        <v>43</v>
      </c>
      <c r="I770" s="66">
        <v>44432</v>
      </c>
      <c r="J770" s="6">
        <v>42982.95</v>
      </c>
      <c r="L770">
        <v>0</v>
      </c>
      <c r="M770">
        <v>0</v>
      </c>
      <c r="N770">
        <v>0</v>
      </c>
      <c r="O770">
        <v>0</v>
      </c>
      <c r="P770" t="s">
        <v>635</v>
      </c>
      <c r="Q770" t="s">
        <v>23</v>
      </c>
      <c r="R770" s="66">
        <v>2</v>
      </c>
      <c r="S770" s="6">
        <f>DataTable[HLD_MaturityDate] - DataTable[SEC_Issue_Date]</f>
        <v>44430</v>
      </c>
      <c r="T770" s="66" t="str">
        <f>DataTable[HLD_Portfolio]&amp;DataTable[HLD_Date]</f>
        <v>SCBFPFUND43383</v>
      </c>
      <c r="W770" t="b">
        <f>DataTable[HLD_SecCode]="CB18O18A"</f>
        <v>0</v>
      </c>
    </row>
    <row r="771" spans="1:23" hidden="1" x14ac:dyDescent="0.2">
      <c r="A771" s="66">
        <v>43383</v>
      </c>
      <c r="B771" t="s">
        <v>350</v>
      </c>
      <c r="C771" t="s">
        <v>128</v>
      </c>
      <c r="D771" t="s">
        <v>310</v>
      </c>
      <c r="E771" t="s">
        <v>590</v>
      </c>
      <c r="F771" t="s">
        <v>602</v>
      </c>
      <c r="I771" s="66"/>
      <c r="J771" s="6">
        <v>297832353</v>
      </c>
      <c r="L771">
        <v>297832353</v>
      </c>
      <c r="O771">
        <v>0</v>
      </c>
      <c r="P771" t="s">
        <v>42</v>
      </c>
      <c r="Q771" t="s">
        <v>23</v>
      </c>
      <c r="R771" s="66">
        <v>43363</v>
      </c>
      <c r="S771" s="6">
        <f>DataTable[HLD_MaturityDate] - DataTable[SEC_Issue_Date]</f>
        <v>-43363</v>
      </c>
      <c r="T771" s="66" t="str">
        <f>DataTable[HLD_Portfolio]&amp;DataTable[HLD_Date]</f>
        <v>SCBFPFUND43383</v>
      </c>
      <c r="W771" t="b">
        <f>DataTable[HLD_SecCode]="CB18O18A"</f>
        <v>0</v>
      </c>
    </row>
    <row r="772" spans="1:23" hidden="1" x14ac:dyDescent="0.2">
      <c r="A772" s="66">
        <v>43383</v>
      </c>
      <c r="B772" t="s">
        <v>350</v>
      </c>
      <c r="C772" t="s">
        <v>129</v>
      </c>
      <c r="D772" t="s">
        <v>130</v>
      </c>
      <c r="E772" t="s">
        <v>590</v>
      </c>
      <c r="F772" t="s">
        <v>609</v>
      </c>
      <c r="I772" s="66"/>
      <c r="J772" s="6">
        <v>-166245100.86000001</v>
      </c>
      <c r="L772">
        <v>-166245100.86000001</v>
      </c>
      <c r="O772">
        <v>0</v>
      </c>
      <c r="P772" t="s">
        <v>42</v>
      </c>
      <c r="Q772" t="s">
        <v>23</v>
      </c>
      <c r="R772" s="66">
        <v>40738</v>
      </c>
      <c r="S772" s="6">
        <f>DataTable[HLD_MaturityDate] - DataTable[SEC_Issue_Date]</f>
        <v>-40738</v>
      </c>
      <c r="T772" s="66" t="str">
        <f>DataTable[HLD_Portfolio]&amp;DataTable[HLD_Date]</f>
        <v>SCBFPFUND43383</v>
      </c>
      <c r="W772" t="b">
        <f>DataTable[HLD_SecCode]="CB18O18A"</f>
        <v>0</v>
      </c>
    </row>
    <row r="773" spans="1:23" hidden="1" x14ac:dyDescent="0.2">
      <c r="A773" s="66">
        <v>43383</v>
      </c>
      <c r="B773" t="s">
        <v>350</v>
      </c>
      <c r="C773" t="s">
        <v>129</v>
      </c>
      <c r="D773" t="s">
        <v>131</v>
      </c>
      <c r="E773" t="s">
        <v>131</v>
      </c>
      <c r="F773" t="s">
        <v>131</v>
      </c>
      <c r="I773" s="66"/>
      <c r="J773" s="6">
        <v>-141370.23999999999</v>
      </c>
      <c r="O773">
        <v>0</v>
      </c>
      <c r="R773" s="66"/>
      <c r="S773" s="6">
        <f>DataTable[HLD_MaturityDate] - DataTable[SEC_Issue_Date]</f>
        <v>0</v>
      </c>
      <c r="T773" s="66" t="str">
        <f>DataTable[HLD_Portfolio]&amp;DataTable[HLD_Date]</f>
        <v>SCBFPFUND43383</v>
      </c>
      <c r="W773" t="b">
        <f>DataTable[HLD_SecCode]="CB18O18A"</f>
        <v>0</v>
      </c>
    </row>
    <row r="774" spans="1:23" hidden="1" x14ac:dyDescent="0.2">
      <c r="A774" s="66">
        <v>43383</v>
      </c>
      <c r="B774" t="s">
        <v>350</v>
      </c>
      <c r="C774" t="s">
        <v>129</v>
      </c>
      <c r="D774" t="s">
        <v>132</v>
      </c>
      <c r="I774" s="66"/>
      <c r="J774" s="6">
        <v>-663314.23</v>
      </c>
      <c r="K774">
        <v>0</v>
      </c>
      <c r="O774">
        <v>0</v>
      </c>
      <c r="R774" s="66"/>
      <c r="S774" s="6">
        <f>DataTable[HLD_MaturityDate] - DataTable[SEC_Issue_Date]</f>
        <v>0</v>
      </c>
      <c r="T774" s="66" t="str">
        <f>DataTable[HLD_Portfolio]&amp;DataTable[HLD_Date]</f>
        <v>SCBFPFUND43383</v>
      </c>
      <c r="W774" t="b">
        <f>DataTable[HLD_SecCode]="CB18O18A"</f>
        <v>0</v>
      </c>
    </row>
    <row r="775" spans="1:23" hidden="1" x14ac:dyDescent="0.2">
      <c r="A775" s="66">
        <v>43383</v>
      </c>
      <c r="B775" t="s">
        <v>350</v>
      </c>
      <c r="C775" t="s">
        <v>129</v>
      </c>
      <c r="D775" t="s">
        <v>133</v>
      </c>
      <c r="E775" t="s">
        <v>133</v>
      </c>
      <c r="F775" t="s">
        <v>133</v>
      </c>
      <c r="I775" s="66"/>
      <c r="J775" s="6">
        <v>-4182.17</v>
      </c>
      <c r="O775">
        <v>0</v>
      </c>
      <c r="R775" s="66"/>
      <c r="S775" s="6">
        <f>DataTable[HLD_MaturityDate] - DataTable[SEC_Issue_Date]</f>
        <v>0</v>
      </c>
      <c r="T775" s="66" t="str">
        <f>DataTable[HLD_Portfolio]&amp;DataTable[HLD_Date]</f>
        <v>SCBFPFUND43383</v>
      </c>
      <c r="W775" t="b">
        <f>DataTable[HLD_SecCode]="CB18O18A"</f>
        <v>0</v>
      </c>
    </row>
    <row r="776" spans="1:23" hidden="1" x14ac:dyDescent="0.2">
      <c r="A776" s="66">
        <v>43383</v>
      </c>
      <c r="B776" t="s">
        <v>350</v>
      </c>
      <c r="C776" t="s">
        <v>129</v>
      </c>
      <c r="D776" t="s">
        <v>133</v>
      </c>
      <c r="E776" t="s">
        <v>133</v>
      </c>
      <c r="F776" t="s">
        <v>133</v>
      </c>
      <c r="I776" s="66"/>
      <c r="J776" s="6">
        <v>-1416.5</v>
      </c>
      <c r="O776">
        <v>0</v>
      </c>
      <c r="R776" s="66"/>
      <c r="S776" s="6">
        <f>DataTable[HLD_MaturityDate] - DataTable[SEC_Issue_Date]</f>
        <v>0</v>
      </c>
      <c r="T776" s="66" t="str">
        <f>DataTable[HLD_Portfolio]&amp;DataTable[HLD_Date]</f>
        <v>SCBFPFUND43383</v>
      </c>
      <c r="W776" t="b">
        <f>DataTable[HLD_SecCode]="CB18O18A"</f>
        <v>0</v>
      </c>
    </row>
    <row r="777" spans="1:23" hidden="1" x14ac:dyDescent="0.2">
      <c r="A777" s="66">
        <v>43383</v>
      </c>
      <c r="B777" t="s">
        <v>350</v>
      </c>
      <c r="C777" t="s">
        <v>129</v>
      </c>
      <c r="D777" t="s">
        <v>134</v>
      </c>
      <c r="E777" t="s">
        <v>134</v>
      </c>
      <c r="I777" s="66"/>
      <c r="J777" s="6">
        <v>-456877.87</v>
      </c>
      <c r="L777">
        <v>-456877.87</v>
      </c>
      <c r="O777">
        <v>0</v>
      </c>
      <c r="R777" s="66"/>
      <c r="S777" s="6">
        <f>DataTable[HLD_MaturityDate] - DataTable[SEC_Issue_Date]</f>
        <v>0</v>
      </c>
      <c r="T777" s="66" t="str">
        <f>DataTable[HLD_Portfolio]&amp;DataTable[HLD_Date]</f>
        <v>SCBFPFUND43383</v>
      </c>
      <c r="W777" t="b">
        <f>DataTable[HLD_SecCode]="CB18O18A"</f>
        <v>0</v>
      </c>
    </row>
    <row r="778" spans="1:23" hidden="1" x14ac:dyDescent="0.2">
      <c r="A778" s="66">
        <v>43383</v>
      </c>
      <c r="B778" t="s">
        <v>350</v>
      </c>
      <c r="C778" t="s">
        <v>129</v>
      </c>
      <c r="D778" t="s">
        <v>135</v>
      </c>
      <c r="E778" t="s">
        <v>135</v>
      </c>
      <c r="I778" s="66"/>
      <c r="J778" s="6">
        <v>-6211056.2000000002</v>
      </c>
      <c r="L778">
        <v>-6211056.2000000002</v>
      </c>
      <c r="O778">
        <v>0</v>
      </c>
      <c r="R778" s="66"/>
      <c r="S778" s="6">
        <f>DataTable[HLD_MaturityDate] - DataTable[SEC_Issue_Date]</f>
        <v>0</v>
      </c>
      <c r="T778" s="66" t="str">
        <f>DataTable[HLD_Portfolio]&amp;DataTable[HLD_Date]</f>
        <v>SCBFPFUND43383</v>
      </c>
      <c r="W778" t="b">
        <f>DataTable[HLD_SecCode]="CB18O18A"</f>
        <v>0</v>
      </c>
    </row>
    <row r="779" spans="1:23" hidden="1" x14ac:dyDescent="0.2">
      <c r="A779" s="66">
        <v>43383</v>
      </c>
      <c r="B779" t="s">
        <v>350</v>
      </c>
      <c r="C779" t="s">
        <v>129</v>
      </c>
      <c r="D779" t="s">
        <v>136</v>
      </c>
      <c r="E779" t="s">
        <v>136</v>
      </c>
      <c r="I779" s="66"/>
      <c r="J779" s="6">
        <v>0</v>
      </c>
      <c r="L779">
        <v>0</v>
      </c>
      <c r="O779">
        <v>0</v>
      </c>
      <c r="R779" s="66"/>
      <c r="S779" s="6">
        <f>DataTable[HLD_MaturityDate] - DataTable[SEC_Issue_Date]</f>
        <v>0</v>
      </c>
      <c r="T779" s="66" t="str">
        <f>DataTable[HLD_Portfolio]&amp;DataTable[HLD_Date]</f>
        <v>SCBFPFUND43383</v>
      </c>
      <c r="W779" t="b">
        <f>DataTable[HLD_SecCode]="CB18O18A"</f>
        <v>0</v>
      </c>
    </row>
    <row r="780" spans="1:23" hidden="1" x14ac:dyDescent="0.2">
      <c r="A780" s="66">
        <v>43383</v>
      </c>
      <c r="B780" t="s">
        <v>350</v>
      </c>
      <c r="C780" t="s">
        <v>137</v>
      </c>
      <c r="D780" t="s">
        <v>134</v>
      </c>
      <c r="E780" t="s">
        <v>134</v>
      </c>
      <c r="I780" s="66"/>
      <c r="J780" s="6">
        <v>-50304.55</v>
      </c>
      <c r="L780">
        <v>-50304.55</v>
      </c>
      <c r="O780">
        <v>0</v>
      </c>
      <c r="R780" s="66"/>
      <c r="S780" s="6">
        <f>DataTable[HLD_MaturityDate] - DataTable[SEC_Issue_Date]</f>
        <v>0</v>
      </c>
      <c r="T780" s="66" t="str">
        <f>DataTable[HLD_Portfolio]&amp;DataTable[HLD_Date]</f>
        <v>SCBFPFUND43383</v>
      </c>
      <c r="W780" t="b">
        <f>DataTable[HLD_SecCode]="CB18O18A"</f>
        <v>0</v>
      </c>
    </row>
    <row r="781" spans="1:23" hidden="1" x14ac:dyDescent="0.2">
      <c r="A781" s="66">
        <v>43383</v>
      </c>
      <c r="B781" t="s">
        <v>350</v>
      </c>
      <c r="C781" t="s">
        <v>137</v>
      </c>
      <c r="D781" t="s">
        <v>135</v>
      </c>
      <c r="E781" t="s">
        <v>135</v>
      </c>
      <c r="I781" s="66"/>
      <c r="J781" s="6">
        <v>-683782.78</v>
      </c>
      <c r="L781">
        <v>-683782.78</v>
      </c>
      <c r="O781">
        <v>0</v>
      </c>
      <c r="R781" s="66"/>
      <c r="S781" s="6">
        <f>DataTable[HLD_MaturityDate] - DataTable[SEC_Issue_Date]</f>
        <v>0</v>
      </c>
      <c r="T781" s="66" t="str">
        <f>DataTable[HLD_Portfolio]&amp;DataTable[HLD_Date]</f>
        <v>SCBFPFUND43383</v>
      </c>
      <c r="W781" t="b">
        <f>DataTable[HLD_SecCode]="CB18O18A"</f>
        <v>0</v>
      </c>
    </row>
    <row r="782" spans="1:23" hidden="1" x14ac:dyDescent="0.2">
      <c r="A782" s="66">
        <v>43383</v>
      </c>
      <c r="B782" t="s">
        <v>350</v>
      </c>
      <c r="C782" t="s">
        <v>137</v>
      </c>
      <c r="D782" t="s">
        <v>136</v>
      </c>
      <c r="E782" t="s">
        <v>136</v>
      </c>
      <c r="I782" s="66"/>
      <c r="J782" s="6">
        <v>0</v>
      </c>
      <c r="L782">
        <v>0</v>
      </c>
      <c r="O782">
        <v>0</v>
      </c>
      <c r="R782" s="66"/>
      <c r="S782" s="6">
        <f>DataTable[HLD_MaturityDate] - DataTable[SEC_Issue_Date]</f>
        <v>0</v>
      </c>
      <c r="T782" s="66" t="str">
        <f>DataTable[HLD_Portfolio]&amp;DataTable[HLD_Date]</f>
        <v>SCBFPFUND43383</v>
      </c>
      <c r="W782" t="b">
        <f>DataTable[HLD_SecCode]="CB18O18A"</f>
        <v>0</v>
      </c>
    </row>
    <row r="783" spans="1:23" hidden="1" x14ac:dyDescent="0.2">
      <c r="A783" s="66">
        <v>43383</v>
      </c>
      <c r="B783" t="s">
        <v>351</v>
      </c>
      <c r="C783" t="s">
        <v>748</v>
      </c>
      <c r="D783" t="s">
        <v>749</v>
      </c>
      <c r="E783" t="s">
        <v>749</v>
      </c>
      <c r="F783" t="s">
        <v>750</v>
      </c>
      <c r="G783" t="s">
        <v>751</v>
      </c>
      <c r="I783" s="66"/>
      <c r="J783" s="6">
        <v>47638320</v>
      </c>
      <c r="L783">
        <v>41788000</v>
      </c>
      <c r="M783">
        <v>0</v>
      </c>
      <c r="N783">
        <v>4178800</v>
      </c>
      <c r="O783">
        <v>0</v>
      </c>
      <c r="P783" t="s">
        <v>752</v>
      </c>
      <c r="Q783" t="s">
        <v>23</v>
      </c>
      <c r="R783" s="66">
        <v>2</v>
      </c>
      <c r="S783" s="6">
        <f>DataTable[HLD_MaturityDate] - DataTable[SEC_Issue_Date]</f>
        <v>-2</v>
      </c>
      <c r="T783" s="66" t="str">
        <f>DataTable[HLD_Portfolio]&amp;DataTable[HLD_Date]</f>
        <v>SCBPLUS43383</v>
      </c>
      <c r="W783" t="b">
        <f>DataTable[HLD_SecCode]="CB18O18A"</f>
        <v>0</v>
      </c>
    </row>
    <row r="784" spans="1:23" hidden="1" x14ac:dyDescent="0.2">
      <c r="A784" s="66">
        <v>43383</v>
      </c>
      <c r="B784" t="s">
        <v>351</v>
      </c>
      <c r="C784" t="s">
        <v>748</v>
      </c>
      <c r="D784" t="s">
        <v>749</v>
      </c>
      <c r="E784" t="s">
        <v>749</v>
      </c>
      <c r="F784" t="s">
        <v>753</v>
      </c>
      <c r="G784" t="s">
        <v>754</v>
      </c>
      <c r="I784" s="66"/>
      <c r="J784" s="6">
        <v>57016080</v>
      </c>
      <c r="L784">
        <v>43224549.200000003</v>
      </c>
      <c r="M784">
        <v>0</v>
      </c>
      <c r="N784">
        <v>4319400</v>
      </c>
      <c r="O784">
        <v>0</v>
      </c>
      <c r="P784" t="s">
        <v>752</v>
      </c>
      <c r="Q784" t="s">
        <v>23</v>
      </c>
      <c r="R784" s="66">
        <v>2</v>
      </c>
      <c r="S784" s="6">
        <f>DataTable[HLD_MaturityDate] - DataTable[SEC_Issue_Date]</f>
        <v>-2</v>
      </c>
      <c r="T784" s="66" t="str">
        <f>DataTable[HLD_Portfolio]&amp;DataTable[HLD_Date]</f>
        <v>SCBPLUS43383</v>
      </c>
      <c r="W784" t="b">
        <f>DataTable[HLD_SecCode]="CB18O18A"</f>
        <v>0</v>
      </c>
    </row>
    <row r="785" spans="1:23" hidden="1" x14ac:dyDescent="0.2">
      <c r="A785" s="66">
        <v>43383</v>
      </c>
      <c r="B785" t="s">
        <v>351</v>
      </c>
      <c r="C785" t="s">
        <v>748</v>
      </c>
      <c r="D785" t="s">
        <v>749</v>
      </c>
      <c r="E785" t="s">
        <v>749</v>
      </c>
      <c r="F785" t="s">
        <v>755</v>
      </c>
      <c r="G785" t="s">
        <v>751</v>
      </c>
      <c r="I785" s="66"/>
      <c r="J785" s="6">
        <v>539451880</v>
      </c>
      <c r="L785">
        <v>537468633.83000004</v>
      </c>
      <c r="M785">
        <v>0</v>
      </c>
      <c r="N785">
        <v>44582800</v>
      </c>
      <c r="O785">
        <v>0</v>
      </c>
      <c r="P785" t="s">
        <v>752</v>
      </c>
      <c r="Q785" t="s">
        <v>23</v>
      </c>
      <c r="R785" s="66">
        <v>2</v>
      </c>
      <c r="S785" s="6">
        <f>DataTable[HLD_MaturityDate] - DataTable[SEC_Issue_Date]</f>
        <v>-2</v>
      </c>
      <c r="T785" s="66" t="str">
        <f>DataTable[HLD_Portfolio]&amp;DataTable[HLD_Date]</f>
        <v>SCBPLUS43383</v>
      </c>
      <c r="W785" t="b">
        <f>DataTable[HLD_SecCode]="CB18O18A"</f>
        <v>0</v>
      </c>
    </row>
    <row r="786" spans="1:23" hidden="1" x14ac:dyDescent="0.2">
      <c r="A786" s="66">
        <v>43383</v>
      </c>
      <c r="B786" t="s">
        <v>351</v>
      </c>
      <c r="C786" t="s">
        <v>748</v>
      </c>
      <c r="D786" t="s">
        <v>749</v>
      </c>
      <c r="E786" t="s">
        <v>749</v>
      </c>
      <c r="F786" t="s">
        <v>756</v>
      </c>
      <c r="G786" t="s">
        <v>757</v>
      </c>
      <c r="I786" s="66"/>
      <c r="J786" s="6">
        <v>271090800</v>
      </c>
      <c r="L786">
        <v>225886295.06999999</v>
      </c>
      <c r="M786">
        <v>0</v>
      </c>
      <c r="N786">
        <v>10040400</v>
      </c>
      <c r="O786">
        <v>0</v>
      </c>
      <c r="P786" t="s">
        <v>752</v>
      </c>
      <c r="Q786" t="s">
        <v>23</v>
      </c>
      <c r="R786" s="66">
        <v>2</v>
      </c>
      <c r="S786" s="6">
        <f>DataTable[HLD_MaturityDate] - DataTable[SEC_Issue_Date]</f>
        <v>-2</v>
      </c>
      <c r="T786" s="66" t="str">
        <f>DataTable[HLD_Portfolio]&amp;DataTable[HLD_Date]</f>
        <v>SCBPLUS43383</v>
      </c>
      <c r="W786" t="b">
        <f>DataTable[HLD_SecCode]="CB18O18A"</f>
        <v>0</v>
      </c>
    </row>
    <row r="787" spans="1:23" hidden="1" x14ac:dyDescent="0.2">
      <c r="A787" s="66">
        <v>43383</v>
      </c>
      <c r="B787" t="s">
        <v>351</v>
      </c>
      <c r="C787" t="s">
        <v>748</v>
      </c>
      <c r="D787" t="s">
        <v>749</v>
      </c>
      <c r="E787" t="s">
        <v>749</v>
      </c>
      <c r="F787" t="s">
        <v>758</v>
      </c>
      <c r="G787" t="s">
        <v>759</v>
      </c>
      <c r="I787" s="66"/>
      <c r="J787" s="6">
        <v>523860000</v>
      </c>
      <c r="L787">
        <v>507269024.86000001</v>
      </c>
      <c r="M787">
        <v>0</v>
      </c>
      <c r="N787">
        <v>34924000</v>
      </c>
      <c r="O787">
        <v>0</v>
      </c>
      <c r="P787" t="s">
        <v>752</v>
      </c>
      <c r="Q787" t="s">
        <v>23</v>
      </c>
      <c r="R787" s="66">
        <v>2</v>
      </c>
      <c r="S787" s="6">
        <f>DataTable[HLD_MaturityDate] - DataTable[SEC_Issue_Date]</f>
        <v>-2</v>
      </c>
      <c r="T787" s="66" t="str">
        <f>DataTable[HLD_Portfolio]&amp;DataTable[HLD_Date]</f>
        <v>SCBPLUS43383</v>
      </c>
      <c r="W787" t="b">
        <f>DataTable[HLD_SecCode]="CB18O18A"</f>
        <v>0</v>
      </c>
    </row>
    <row r="788" spans="1:23" hidden="1" x14ac:dyDescent="0.2">
      <c r="A788" s="66">
        <v>43383</v>
      </c>
      <c r="B788" t="s">
        <v>351</v>
      </c>
      <c r="C788" t="s">
        <v>748</v>
      </c>
      <c r="D788" t="s">
        <v>749</v>
      </c>
      <c r="E788" t="s">
        <v>749</v>
      </c>
      <c r="F788" t="s">
        <v>760</v>
      </c>
      <c r="G788" t="s">
        <v>761</v>
      </c>
      <c r="I788" s="66"/>
      <c r="J788" s="6">
        <v>134483160</v>
      </c>
      <c r="L788">
        <v>131762374.98</v>
      </c>
      <c r="M788">
        <v>0</v>
      </c>
      <c r="N788">
        <v>12115600</v>
      </c>
      <c r="O788">
        <v>0</v>
      </c>
      <c r="P788" t="s">
        <v>752</v>
      </c>
      <c r="Q788" t="s">
        <v>23</v>
      </c>
      <c r="R788" s="66">
        <v>2</v>
      </c>
      <c r="S788" s="6">
        <f>DataTable[HLD_MaturityDate] - DataTable[SEC_Issue_Date]</f>
        <v>-2</v>
      </c>
      <c r="T788" s="66" t="str">
        <f>DataTable[HLD_Portfolio]&amp;DataTable[HLD_Date]</f>
        <v>SCBPLUS43383</v>
      </c>
      <c r="W788" t="b">
        <f>DataTable[HLD_SecCode]="CB18O18A"</f>
        <v>0</v>
      </c>
    </row>
    <row r="789" spans="1:23" hidden="1" x14ac:dyDescent="0.2">
      <c r="A789" s="66">
        <v>43383</v>
      </c>
      <c r="B789" t="s">
        <v>351</v>
      </c>
      <c r="C789" t="s">
        <v>748</v>
      </c>
      <c r="D789" t="s">
        <v>749</v>
      </c>
      <c r="E789" t="s">
        <v>749</v>
      </c>
      <c r="F789" t="s">
        <v>762</v>
      </c>
      <c r="G789" t="s">
        <v>763</v>
      </c>
      <c r="I789" s="66"/>
      <c r="J789" s="6">
        <v>312340240</v>
      </c>
      <c r="L789">
        <v>292567638.68000001</v>
      </c>
      <c r="M789">
        <v>0</v>
      </c>
      <c r="N789">
        <v>20548700</v>
      </c>
      <c r="O789">
        <v>0</v>
      </c>
      <c r="P789" t="s">
        <v>752</v>
      </c>
      <c r="Q789" t="s">
        <v>23</v>
      </c>
      <c r="R789" s="66">
        <v>2</v>
      </c>
      <c r="S789" s="6">
        <f>DataTable[HLD_MaturityDate] - DataTable[SEC_Issue_Date]</f>
        <v>-2</v>
      </c>
      <c r="T789" s="66" t="str">
        <f>DataTable[HLD_Portfolio]&amp;DataTable[HLD_Date]</f>
        <v>SCBPLUS43383</v>
      </c>
      <c r="W789" t="b">
        <f>DataTable[HLD_SecCode]="CB18O18A"</f>
        <v>0</v>
      </c>
    </row>
    <row r="790" spans="1:23" hidden="1" x14ac:dyDescent="0.2">
      <c r="A790" s="66">
        <v>43383</v>
      </c>
      <c r="B790" t="s">
        <v>351</v>
      </c>
      <c r="C790" t="s">
        <v>748</v>
      </c>
      <c r="D790" t="s">
        <v>749</v>
      </c>
      <c r="E790" t="s">
        <v>749</v>
      </c>
      <c r="F790" t="s">
        <v>764</v>
      </c>
      <c r="G790" t="s">
        <v>765</v>
      </c>
      <c r="I790" s="66"/>
      <c r="J790" s="6">
        <v>69633837</v>
      </c>
      <c r="L790">
        <v>78733562.590000004</v>
      </c>
      <c r="M790">
        <v>0</v>
      </c>
      <c r="N790">
        <v>10316124</v>
      </c>
      <c r="O790">
        <v>0</v>
      </c>
      <c r="P790" t="s">
        <v>752</v>
      </c>
      <c r="Q790" t="s">
        <v>23</v>
      </c>
      <c r="R790" s="66">
        <v>2</v>
      </c>
      <c r="S790" s="6">
        <f>DataTable[HLD_MaturityDate] - DataTable[SEC_Issue_Date]</f>
        <v>-2</v>
      </c>
      <c r="T790" s="66" t="str">
        <f>DataTable[HLD_Portfolio]&amp;DataTable[HLD_Date]</f>
        <v>SCBPLUS43383</v>
      </c>
      <c r="W790" t="b">
        <f>DataTable[HLD_SecCode]="CB18O18A"</f>
        <v>0</v>
      </c>
    </row>
    <row r="791" spans="1:23" hidden="1" x14ac:dyDescent="0.2">
      <c r="A791" s="66">
        <v>43383</v>
      </c>
      <c r="B791" t="s">
        <v>351</v>
      </c>
      <c r="C791" t="s">
        <v>748</v>
      </c>
      <c r="D791" t="s">
        <v>749</v>
      </c>
      <c r="E791" t="s">
        <v>749</v>
      </c>
      <c r="F791" t="s">
        <v>766</v>
      </c>
      <c r="G791" t="s">
        <v>767</v>
      </c>
      <c r="I791" s="66"/>
      <c r="J791" s="6">
        <v>112799960</v>
      </c>
      <c r="L791">
        <v>82992841.569999993</v>
      </c>
      <c r="M791">
        <v>0</v>
      </c>
      <c r="N791">
        <v>5755100</v>
      </c>
      <c r="O791">
        <v>0</v>
      </c>
      <c r="P791" t="s">
        <v>752</v>
      </c>
      <c r="Q791" t="s">
        <v>23</v>
      </c>
      <c r="R791" s="66">
        <v>2</v>
      </c>
      <c r="S791" s="6">
        <f>DataTable[HLD_MaturityDate] - DataTable[SEC_Issue_Date]</f>
        <v>-2</v>
      </c>
      <c r="T791" s="66" t="str">
        <f>DataTable[HLD_Portfolio]&amp;DataTable[HLD_Date]</f>
        <v>SCBPLUS43383</v>
      </c>
      <c r="W791" t="b">
        <f>DataTable[HLD_SecCode]="CB18O18A"</f>
        <v>0</v>
      </c>
    </row>
    <row r="792" spans="1:23" hidden="1" x14ac:dyDescent="0.2">
      <c r="A792" s="66">
        <v>43383</v>
      </c>
      <c r="B792" t="s">
        <v>351</v>
      </c>
      <c r="C792" t="s">
        <v>748</v>
      </c>
      <c r="D792" t="s">
        <v>749</v>
      </c>
      <c r="E792" t="s">
        <v>749</v>
      </c>
      <c r="F792" t="s">
        <v>768</v>
      </c>
      <c r="G792" t="s">
        <v>751</v>
      </c>
      <c r="I792" s="66"/>
      <c r="J792" s="6">
        <v>868282480</v>
      </c>
      <c r="L792">
        <v>923593848.39999998</v>
      </c>
      <c r="M792">
        <v>0</v>
      </c>
      <c r="N792">
        <v>83488700</v>
      </c>
      <c r="O792">
        <v>0</v>
      </c>
      <c r="P792" t="s">
        <v>752</v>
      </c>
      <c r="Q792" t="s">
        <v>23</v>
      </c>
      <c r="R792" s="66">
        <v>2</v>
      </c>
      <c r="S792" s="6">
        <f>DataTable[HLD_MaturityDate] - DataTable[SEC_Issue_Date]</f>
        <v>-2</v>
      </c>
      <c r="T792" s="66" t="str">
        <f>DataTable[HLD_Portfolio]&amp;DataTable[HLD_Date]</f>
        <v>SCBPLUS43383</v>
      </c>
      <c r="W792" t="b">
        <f>DataTable[HLD_SecCode]="CB18O18A"</f>
        <v>0</v>
      </c>
    </row>
    <row r="793" spans="1:23" hidden="1" x14ac:dyDescent="0.2">
      <c r="A793" s="66">
        <v>43383</v>
      </c>
      <c r="B793" t="s">
        <v>351</v>
      </c>
      <c r="C793" t="s">
        <v>748</v>
      </c>
      <c r="D793" t="s">
        <v>749</v>
      </c>
      <c r="E793" t="s">
        <v>749</v>
      </c>
      <c r="F793" t="s">
        <v>891</v>
      </c>
      <c r="G793" t="s">
        <v>770</v>
      </c>
      <c r="I793" s="66"/>
      <c r="J793" s="6">
        <v>64304896</v>
      </c>
      <c r="L793">
        <v>63200453.380000003</v>
      </c>
      <c r="M793">
        <v>0</v>
      </c>
      <c r="N793">
        <v>4019056</v>
      </c>
      <c r="O793">
        <v>0</v>
      </c>
      <c r="P793" t="s">
        <v>752</v>
      </c>
      <c r="Q793" t="s">
        <v>23</v>
      </c>
      <c r="R793" s="66">
        <v>2</v>
      </c>
      <c r="S793" s="6">
        <f>DataTable[HLD_MaturityDate] - DataTable[SEC_Issue_Date]</f>
        <v>-2</v>
      </c>
      <c r="T793" s="66" t="str">
        <f>DataTable[HLD_Portfolio]&amp;DataTable[HLD_Date]</f>
        <v>SCBPLUS43383</v>
      </c>
      <c r="W793" t="b">
        <f>DataTable[HLD_SecCode]="CB18O18A"</f>
        <v>0</v>
      </c>
    </row>
    <row r="794" spans="1:23" hidden="1" x14ac:dyDescent="0.2">
      <c r="A794" s="66">
        <v>43383</v>
      </c>
      <c r="B794" t="s">
        <v>351</v>
      </c>
      <c r="C794" t="s">
        <v>748</v>
      </c>
      <c r="D794" t="s">
        <v>749</v>
      </c>
      <c r="E794" t="s">
        <v>749</v>
      </c>
      <c r="F794" t="s">
        <v>769</v>
      </c>
      <c r="G794" t="s">
        <v>770</v>
      </c>
      <c r="I794" s="66"/>
      <c r="J794" s="6">
        <v>146566710</v>
      </c>
      <c r="L794">
        <v>125769011.56999999</v>
      </c>
      <c r="M794">
        <v>0</v>
      </c>
      <c r="N794">
        <v>10698300</v>
      </c>
      <c r="O794">
        <v>0</v>
      </c>
      <c r="P794" t="s">
        <v>752</v>
      </c>
      <c r="Q794" t="s">
        <v>23</v>
      </c>
      <c r="R794" s="66">
        <v>2</v>
      </c>
      <c r="S794" s="6">
        <f>DataTable[HLD_MaturityDate] - DataTable[SEC_Issue_Date]</f>
        <v>-2</v>
      </c>
      <c r="T794" s="66" t="str">
        <f>DataTable[HLD_Portfolio]&amp;DataTable[HLD_Date]</f>
        <v>SCBPLUS43383</v>
      </c>
      <c r="W794" t="b">
        <f>DataTable[HLD_SecCode]="CB18O18A"</f>
        <v>0</v>
      </c>
    </row>
    <row r="795" spans="1:23" hidden="1" x14ac:dyDescent="0.2">
      <c r="A795" s="66">
        <v>43383</v>
      </c>
      <c r="B795" t="s">
        <v>351</v>
      </c>
      <c r="C795" t="s">
        <v>748</v>
      </c>
      <c r="D795" t="s">
        <v>749</v>
      </c>
      <c r="E795" t="s">
        <v>749</v>
      </c>
      <c r="F795" t="s">
        <v>771</v>
      </c>
      <c r="G795" t="s">
        <v>772</v>
      </c>
      <c r="I795" s="66"/>
      <c r="J795" s="6">
        <v>29868020</v>
      </c>
      <c r="L795">
        <v>32450126.739999998</v>
      </c>
      <c r="M795">
        <v>0</v>
      </c>
      <c r="N795">
        <v>3282200</v>
      </c>
      <c r="O795">
        <v>0</v>
      </c>
      <c r="P795" t="s">
        <v>752</v>
      </c>
      <c r="Q795" t="s">
        <v>23</v>
      </c>
      <c r="R795" s="66">
        <v>2</v>
      </c>
      <c r="S795" s="6">
        <f>DataTable[HLD_MaturityDate] - DataTable[SEC_Issue_Date]</f>
        <v>-2</v>
      </c>
      <c r="T795" s="66" t="str">
        <f>DataTable[HLD_Portfolio]&amp;DataTable[HLD_Date]</f>
        <v>SCBPLUS43383</v>
      </c>
      <c r="W795" t="b">
        <f>DataTable[HLD_SecCode]="CB18O18A"</f>
        <v>0</v>
      </c>
    </row>
    <row r="796" spans="1:23" hidden="1" x14ac:dyDescent="0.2">
      <c r="A796" s="66">
        <v>43383</v>
      </c>
      <c r="B796" t="s">
        <v>351</v>
      </c>
      <c r="C796" t="s">
        <v>748</v>
      </c>
      <c r="D796" t="s">
        <v>749</v>
      </c>
      <c r="E796" t="s">
        <v>749</v>
      </c>
      <c r="F796" t="s">
        <v>773</v>
      </c>
      <c r="G796" t="s">
        <v>774</v>
      </c>
      <c r="I796" s="66"/>
      <c r="J796" s="6">
        <v>156415200</v>
      </c>
      <c r="L796">
        <v>151124972.58000001</v>
      </c>
      <c r="M796">
        <v>0</v>
      </c>
      <c r="N796">
        <v>6517300</v>
      </c>
      <c r="O796">
        <v>0</v>
      </c>
      <c r="P796" t="s">
        <v>752</v>
      </c>
      <c r="Q796" t="s">
        <v>23</v>
      </c>
      <c r="R796" s="66">
        <v>2</v>
      </c>
      <c r="S796" s="6">
        <f>DataTable[HLD_MaturityDate] - DataTable[SEC_Issue_Date]</f>
        <v>-2</v>
      </c>
      <c r="T796" s="66" t="str">
        <f>DataTable[HLD_Portfolio]&amp;DataTable[HLD_Date]</f>
        <v>SCBPLUS43383</v>
      </c>
      <c r="W796" t="b">
        <f>DataTable[HLD_SecCode]="CB18O18A"</f>
        <v>0</v>
      </c>
    </row>
    <row r="797" spans="1:23" hidden="1" x14ac:dyDescent="0.2">
      <c r="A797" s="66">
        <v>43383</v>
      </c>
      <c r="B797" t="s">
        <v>351</v>
      </c>
      <c r="C797" t="s">
        <v>748</v>
      </c>
      <c r="D797" t="s">
        <v>749</v>
      </c>
      <c r="E797" t="s">
        <v>749</v>
      </c>
      <c r="F797" t="s">
        <v>775</v>
      </c>
      <c r="G797" t="s">
        <v>761</v>
      </c>
      <c r="I797" s="66"/>
      <c r="J797" s="6">
        <v>323320000</v>
      </c>
      <c r="L797">
        <v>272606356</v>
      </c>
      <c r="M797">
        <v>0</v>
      </c>
      <c r="N797">
        <v>16166000</v>
      </c>
      <c r="O797">
        <v>0</v>
      </c>
      <c r="P797" t="s">
        <v>752</v>
      </c>
      <c r="Q797" t="s">
        <v>23</v>
      </c>
      <c r="R797" s="66">
        <v>2</v>
      </c>
      <c r="S797" s="6">
        <f>DataTable[HLD_MaturityDate] - DataTable[SEC_Issue_Date]</f>
        <v>-2</v>
      </c>
      <c r="T797" s="66" t="str">
        <f>DataTable[HLD_Portfolio]&amp;DataTable[HLD_Date]</f>
        <v>SCBPLUS43383</v>
      </c>
      <c r="W797" t="b">
        <f>DataTable[HLD_SecCode]="CB18O18A"</f>
        <v>0</v>
      </c>
    </row>
    <row r="798" spans="1:23" hidden="1" x14ac:dyDescent="0.2">
      <c r="A798" s="66">
        <v>43383</v>
      </c>
      <c r="B798" t="s">
        <v>351</v>
      </c>
      <c r="C798" t="s">
        <v>748</v>
      </c>
      <c r="D798" t="s">
        <v>749</v>
      </c>
      <c r="E798" t="s">
        <v>749</v>
      </c>
      <c r="F798" t="s">
        <v>669</v>
      </c>
      <c r="G798" t="s">
        <v>776</v>
      </c>
      <c r="I798" s="66"/>
      <c r="J798" s="6">
        <v>328203582.69999999</v>
      </c>
      <c r="L798">
        <v>280619096.83999997</v>
      </c>
      <c r="M798">
        <v>0</v>
      </c>
      <c r="N798">
        <v>27580133</v>
      </c>
      <c r="O798">
        <v>0</v>
      </c>
      <c r="P798" t="s">
        <v>752</v>
      </c>
      <c r="Q798" t="s">
        <v>23</v>
      </c>
      <c r="R798" s="66">
        <v>2</v>
      </c>
      <c r="S798" s="6">
        <f>DataTable[HLD_MaturityDate] - DataTable[SEC_Issue_Date]</f>
        <v>-2</v>
      </c>
      <c r="T798" s="66" t="str">
        <f>DataTable[HLD_Portfolio]&amp;DataTable[HLD_Date]</f>
        <v>SCBPLUS43383</v>
      </c>
      <c r="W798" t="b">
        <f>DataTable[HLD_SecCode]="CB18O18A"</f>
        <v>0</v>
      </c>
    </row>
    <row r="799" spans="1:23" hidden="1" x14ac:dyDescent="0.2">
      <c r="A799" s="66">
        <v>43383</v>
      </c>
      <c r="B799" t="s">
        <v>351</v>
      </c>
      <c r="C799" t="s">
        <v>748</v>
      </c>
      <c r="D799" t="s">
        <v>749</v>
      </c>
      <c r="E799" t="s">
        <v>749</v>
      </c>
      <c r="F799" t="s">
        <v>249</v>
      </c>
      <c r="G799" t="s">
        <v>777</v>
      </c>
      <c r="I799" s="66"/>
      <c r="J799" s="6">
        <v>369112194</v>
      </c>
      <c r="L799">
        <v>352375211.10000002</v>
      </c>
      <c r="M799">
        <v>0</v>
      </c>
      <c r="N799">
        <v>33555654</v>
      </c>
      <c r="O799">
        <v>0</v>
      </c>
      <c r="P799" t="s">
        <v>752</v>
      </c>
      <c r="Q799" t="s">
        <v>23</v>
      </c>
      <c r="R799" s="66">
        <v>2</v>
      </c>
      <c r="S799" s="6">
        <f>DataTable[HLD_MaturityDate] - DataTable[SEC_Issue_Date]</f>
        <v>-2</v>
      </c>
      <c r="T799" s="66" t="str">
        <f>DataTable[HLD_Portfolio]&amp;DataTable[HLD_Date]</f>
        <v>SCBPLUS43383</v>
      </c>
      <c r="W799" t="b">
        <f>DataTable[HLD_SecCode]="CB18O18A"</f>
        <v>0</v>
      </c>
    </row>
    <row r="800" spans="1:23" hidden="1" x14ac:dyDescent="0.2">
      <c r="A800" s="66">
        <v>43383</v>
      </c>
      <c r="B800" t="s">
        <v>351</v>
      </c>
      <c r="C800" t="s">
        <v>18</v>
      </c>
      <c r="D800" t="s">
        <v>19</v>
      </c>
      <c r="F800" t="s">
        <v>20</v>
      </c>
      <c r="G800" t="s">
        <v>146</v>
      </c>
      <c r="I800" s="66"/>
      <c r="J800" s="6">
        <v>3307744.37</v>
      </c>
      <c r="K800">
        <v>10407.870000000001</v>
      </c>
      <c r="L800">
        <v>3307744.37</v>
      </c>
      <c r="M800">
        <v>0</v>
      </c>
      <c r="N800">
        <v>0</v>
      </c>
      <c r="O800">
        <v>0</v>
      </c>
      <c r="P800" t="s">
        <v>22</v>
      </c>
      <c r="Q800" t="s">
        <v>23</v>
      </c>
      <c r="R800" s="66">
        <v>2</v>
      </c>
      <c r="S800" s="6">
        <f>DataTable[HLD_MaturityDate] - DataTable[SEC_Issue_Date]</f>
        <v>-2</v>
      </c>
      <c r="T800" s="66" t="str">
        <f>DataTable[HLD_Portfolio]&amp;DataTable[HLD_Date]</f>
        <v>SCBPLUS43383</v>
      </c>
      <c r="W800" t="b">
        <f>DataTable[HLD_SecCode]="CB18O18A"</f>
        <v>0</v>
      </c>
    </row>
    <row r="801" spans="1:23" hidden="1" x14ac:dyDescent="0.2">
      <c r="A801" s="66">
        <v>43383</v>
      </c>
      <c r="B801" t="s">
        <v>351</v>
      </c>
      <c r="C801" t="s">
        <v>18</v>
      </c>
      <c r="D801" t="s">
        <v>19</v>
      </c>
      <c r="F801" t="s">
        <v>142</v>
      </c>
      <c r="G801" t="s">
        <v>143</v>
      </c>
      <c r="I801" s="66"/>
      <c r="J801" s="6">
        <v>0</v>
      </c>
      <c r="L801">
        <v>0</v>
      </c>
      <c r="M801">
        <v>0</v>
      </c>
      <c r="N801">
        <v>0</v>
      </c>
      <c r="O801">
        <v>0</v>
      </c>
      <c r="P801" t="s">
        <v>22</v>
      </c>
      <c r="Q801" t="s">
        <v>144</v>
      </c>
      <c r="R801" s="66">
        <v>2</v>
      </c>
      <c r="S801" s="6">
        <f>DataTable[HLD_MaturityDate] - DataTable[SEC_Issue_Date]</f>
        <v>-2</v>
      </c>
      <c r="T801" s="66" t="str">
        <f>DataTable[HLD_Portfolio]&amp;DataTable[HLD_Date]</f>
        <v>SCBPLUS43383</v>
      </c>
      <c r="W801" t="b">
        <f>DataTable[HLD_SecCode]="CB18O18A"</f>
        <v>0</v>
      </c>
    </row>
    <row r="802" spans="1:23" hidden="1" x14ac:dyDescent="0.2">
      <c r="A802" s="66">
        <v>43383</v>
      </c>
      <c r="B802" t="s">
        <v>351</v>
      </c>
      <c r="C802" t="s">
        <v>18</v>
      </c>
      <c r="D802" t="s">
        <v>19</v>
      </c>
      <c r="F802" t="s">
        <v>25</v>
      </c>
      <c r="G802" t="s">
        <v>26</v>
      </c>
      <c r="H802" t="s">
        <v>27</v>
      </c>
      <c r="I802" s="66"/>
      <c r="J802" s="6">
        <v>0</v>
      </c>
      <c r="L802">
        <v>0</v>
      </c>
      <c r="M802">
        <v>0</v>
      </c>
      <c r="N802">
        <v>0</v>
      </c>
      <c r="O802">
        <v>0</v>
      </c>
      <c r="P802" t="s">
        <v>22</v>
      </c>
      <c r="Q802" t="s">
        <v>28</v>
      </c>
      <c r="R802" s="66">
        <v>2</v>
      </c>
      <c r="S802" s="6">
        <f>DataTable[HLD_MaturityDate] - DataTable[SEC_Issue_Date]</f>
        <v>-2</v>
      </c>
      <c r="T802" s="66" t="str">
        <f>DataTable[HLD_Portfolio]&amp;DataTable[HLD_Date]</f>
        <v>SCBPLUS43383</v>
      </c>
      <c r="W802" t="b">
        <f>DataTable[HLD_SecCode]="CB18O18A"</f>
        <v>0</v>
      </c>
    </row>
    <row r="803" spans="1:23" hidden="1" x14ac:dyDescent="0.2">
      <c r="A803" s="66">
        <v>43383</v>
      </c>
      <c r="B803" t="s">
        <v>351</v>
      </c>
      <c r="C803" t="s">
        <v>18</v>
      </c>
      <c r="D803" t="s">
        <v>19</v>
      </c>
      <c r="F803" t="s">
        <v>30</v>
      </c>
      <c r="G803" t="s">
        <v>26</v>
      </c>
      <c r="H803" t="s">
        <v>27</v>
      </c>
      <c r="I803" s="66"/>
      <c r="J803" s="6">
        <v>0</v>
      </c>
      <c r="L803">
        <v>0</v>
      </c>
      <c r="M803">
        <v>0</v>
      </c>
      <c r="N803">
        <v>0</v>
      </c>
      <c r="O803">
        <v>0</v>
      </c>
      <c r="P803" t="s">
        <v>22</v>
      </c>
      <c r="Q803" t="s">
        <v>31</v>
      </c>
      <c r="R803" s="66">
        <v>2</v>
      </c>
      <c r="S803" s="6">
        <f>DataTable[HLD_MaturityDate] - DataTable[SEC_Issue_Date]</f>
        <v>-2</v>
      </c>
      <c r="T803" s="66" t="str">
        <f>DataTable[HLD_Portfolio]&amp;DataTable[HLD_Date]</f>
        <v>SCBPLUS43383</v>
      </c>
      <c r="W803" t="b">
        <f>DataTable[HLD_SecCode]="CB18O18A"</f>
        <v>0</v>
      </c>
    </row>
    <row r="804" spans="1:23" hidden="1" x14ac:dyDescent="0.2">
      <c r="A804" s="66">
        <v>43383</v>
      </c>
      <c r="B804" t="s">
        <v>351</v>
      </c>
      <c r="C804" t="s">
        <v>18</v>
      </c>
      <c r="D804" t="s">
        <v>19</v>
      </c>
      <c r="F804" t="s">
        <v>32</v>
      </c>
      <c r="G804" t="s">
        <v>26</v>
      </c>
      <c r="H804" t="s">
        <v>27</v>
      </c>
      <c r="I804" s="66"/>
      <c r="J804" s="6">
        <v>0</v>
      </c>
      <c r="L804">
        <v>0</v>
      </c>
      <c r="M804">
        <v>0</v>
      </c>
      <c r="N804">
        <v>0</v>
      </c>
      <c r="O804">
        <v>0</v>
      </c>
      <c r="P804" t="s">
        <v>22</v>
      </c>
      <c r="Q804" t="s">
        <v>33</v>
      </c>
      <c r="R804" s="66">
        <v>2</v>
      </c>
      <c r="S804" s="6">
        <f>DataTable[HLD_MaturityDate] - DataTable[SEC_Issue_Date]</f>
        <v>-2</v>
      </c>
      <c r="T804" s="66" t="str">
        <f>DataTable[HLD_Portfolio]&amp;DataTable[HLD_Date]</f>
        <v>SCBPLUS43383</v>
      </c>
      <c r="W804" t="b">
        <f>DataTable[HLD_SecCode]="CB18O18A"</f>
        <v>0</v>
      </c>
    </row>
    <row r="805" spans="1:23" hidden="1" x14ac:dyDescent="0.2">
      <c r="A805" s="66">
        <v>43383</v>
      </c>
      <c r="B805" t="s">
        <v>351</v>
      </c>
      <c r="C805" t="s">
        <v>18</v>
      </c>
      <c r="D805" t="s">
        <v>19</v>
      </c>
      <c r="F805" t="s">
        <v>148</v>
      </c>
      <c r="G805" t="s">
        <v>26</v>
      </c>
      <c r="H805" t="s">
        <v>27</v>
      </c>
      <c r="I805" s="66"/>
      <c r="J805" s="6">
        <v>0</v>
      </c>
      <c r="L805">
        <v>0</v>
      </c>
      <c r="M805">
        <v>0</v>
      </c>
      <c r="N805">
        <v>0</v>
      </c>
      <c r="O805">
        <v>0</v>
      </c>
      <c r="P805" t="s">
        <v>22</v>
      </c>
      <c r="Q805" t="s">
        <v>149</v>
      </c>
      <c r="R805" s="66">
        <v>2</v>
      </c>
      <c r="S805" s="6">
        <f>DataTable[HLD_MaturityDate] - DataTable[SEC_Issue_Date]</f>
        <v>-2</v>
      </c>
      <c r="T805" s="66" t="str">
        <f>DataTable[HLD_Portfolio]&amp;DataTable[HLD_Date]</f>
        <v>SCBPLUS43383</v>
      </c>
      <c r="W805" t="b">
        <f>DataTable[HLD_SecCode]="CB18O18A"</f>
        <v>0</v>
      </c>
    </row>
    <row r="806" spans="1:23" hidden="1" x14ac:dyDescent="0.2">
      <c r="A806" s="66">
        <v>43383</v>
      </c>
      <c r="B806" t="s">
        <v>351</v>
      </c>
      <c r="C806" t="s">
        <v>18</v>
      </c>
      <c r="D806" t="s">
        <v>19</v>
      </c>
      <c r="F806" t="s">
        <v>36</v>
      </c>
      <c r="G806" t="s">
        <v>26</v>
      </c>
      <c r="H806" t="s">
        <v>27</v>
      </c>
      <c r="I806" s="66"/>
      <c r="J806" s="6">
        <v>0</v>
      </c>
      <c r="L806">
        <v>0</v>
      </c>
      <c r="M806">
        <v>0</v>
      </c>
      <c r="N806">
        <v>0</v>
      </c>
      <c r="O806">
        <v>0</v>
      </c>
      <c r="P806" t="s">
        <v>22</v>
      </c>
      <c r="Q806" t="s">
        <v>37</v>
      </c>
      <c r="R806" s="66">
        <v>2</v>
      </c>
      <c r="S806" s="6">
        <f>DataTable[HLD_MaturityDate] - DataTable[SEC_Issue_Date]</f>
        <v>-2</v>
      </c>
      <c r="T806" s="66" t="str">
        <f>DataTable[HLD_Portfolio]&amp;DataTable[HLD_Date]</f>
        <v>SCBPLUS43383</v>
      </c>
      <c r="W806" t="b">
        <f>DataTable[HLD_SecCode]="CB18O18A"</f>
        <v>0</v>
      </c>
    </row>
    <row r="807" spans="1:23" hidden="1" x14ac:dyDescent="0.2">
      <c r="A807" s="66">
        <v>43383</v>
      </c>
      <c r="B807" t="s">
        <v>351</v>
      </c>
      <c r="C807" t="s">
        <v>18</v>
      </c>
      <c r="D807" t="s">
        <v>38</v>
      </c>
      <c r="F807" t="s">
        <v>778</v>
      </c>
      <c r="G807" t="s">
        <v>779</v>
      </c>
      <c r="H807" t="s">
        <v>123</v>
      </c>
      <c r="I807" s="66">
        <v>43384</v>
      </c>
      <c r="J807" s="6">
        <v>342628000</v>
      </c>
      <c r="L807">
        <v>342628000</v>
      </c>
      <c r="M807">
        <v>0</v>
      </c>
      <c r="N807">
        <v>10400000</v>
      </c>
      <c r="O807">
        <v>2.7</v>
      </c>
      <c r="P807" t="s">
        <v>42</v>
      </c>
      <c r="Q807" t="s">
        <v>37</v>
      </c>
      <c r="R807" s="66">
        <v>43207</v>
      </c>
      <c r="S807" s="6">
        <f>DataTable[HLD_MaturityDate] - DataTable[SEC_Issue_Date]</f>
        <v>177</v>
      </c>
      <c r="T807" s="66" t="str">
        <f>DataTable[HLD_Portfolio]&amp;DataTable[HLD_Date]</f>
        <v>SCBPLUS43383</v>
      </c>
      <c r="W807" t="b">
        <f>DataTable[HLD_SecCode]="CB18O18A"</f>
        <v>0</v>
      </c>
    </row>
    <row r="808" spans="1:23" hidden="1" x14ac:dyDescent="0.2">
      <c r="A808" s="66">
        <v>43383</v>
      </c>
      <c r="B808" t="s">
        <v>351</v>
      </c>
      <c r="C808" t="s">
        <v>18</v>
      </c>
      <c r="D808" t="s">
        <v>38</v>
      </c>
      <c r="F808" t="s">
        <v>780</v>
      </c>
      <c r="G808" t="s">
        <v>781</v>
      </c>
      <c r="H808" t="s">
        <v>485</v>
      </c>
      <c r="I808" s="66">
        <v>43614</v>
      </c>
      <c r="J808" s="6">
        <v>560065000</v>
      </c>
      <c r="K808">
        <v>7078599.3099999996</v>
      </c>
      <c r="L808">
        <v>544867000</v>
      </c>
      <c r="M808">
        <v>0.628718</v>
      </c>
      <c r="N808">
        <v>17000000</v>
      </c>
      <c r="O808">
        <v>3.25</v>
      </c>
      <c r="P808" t="s">
        <v>42</v>
      </c>
      <c r="Q808" t="s">
        <v>37</v>
      </c>
      <c r="R808" s="66">
        <v>43244</v>
      </c>
      <c r="S808" s="6">
        <f>DataTable[HLD_MaturityDate] - DataTable[SEC_Issue_Date]</f>
        <v>370</v>
      </c>
      <c r="T808" s="66" t="str">
        <f>DataTable[HLD_Portfolio]&amp;DataTable[HLD_Date]</f>
        <v>SCBPLUS43383</v>
      </c>
      <c r="W808" t="b">
        <f>DataTable[HLD_SecCode]="CB18O18A"</f>
        <v>0</v>
      </c>
    </row>
    <row r="809" spans="1:23" hidden="1" x14ac:dyDescent="0.2">
      <c r="A809" s="66">
        <v>43383</v>
      </c>
      <c r="B809" t="s">
        <v>351</v>
      </c>
      <c r="C809" t="s">
        <v>18</v>
      </c>
      <c r="D809" t="s">
        <v>38</v>
      </c>
      <c r="F809" t="s">
        <v>782</v>
      </c>
      <c r="G809" t="s">
        <v>179</v>
      </c>
      <c r="H809" t="s">
        <v>51</v>
      </c>
      <c r="I809" s="66">
        <v>43648</v>
      </c>
      <c r="J809" s="6">
        <v>1031493328</v>
      </c>
      <c r="K809">
        <v>10478253.060000001</v>
      </c>
      <c r="L809">
        <v>1029514267.01</v>
      </c>
      <c r="M809">
        <v>0.71805699999999995</v>
      </c>
      <c r="N809">
        <v>115000000</v>
      </c>
      <c r="O809">
        <v>3.45</v>
      </c>
      <c r="P809" t="s">
        <v>42</v>
      </c>
      <c r="Q809" t="s">
        <v>144</v>
      </c>
      <c r="R809" s="66">
        <v>43278</v>
      </c>
      <c r="S809" s="6">
        <f>DataTable[HLD_MaturityDate] - DataTable[SEC_Issue_Date]</f>
        <v>370</v>
      </c>
      <c r="T809" s="66" t="str">
        <f>DataTable[HLD_Portfolio]&amp;DataTable[HLD_Date]</f>
        <v>SCBPLUS43383</v>
      </c>
      <c r="W809" t="b">
        <f>DataTable[HLD_SecCode]="CB18O18A"</f>
        <v>0</v>
      </c>
    </row>
    <row r="810" spans="1:23" hidden="1" x14ac:dyDescent="0.2">
      <c r="A810" s="66">
        <v>43383</v>
      </c>
      <c r="B810" t="s">
        <v>351</v>
      </c>
      <c r="C810" t="s">
        <v>18</v>
      </c>
      <c r="D810" t="s">
        <v>38</v>
      </c>
      <c r="F810" t="s">
        <v>783</v>
      </c>
      <c r="G810" t="s">
        <v>146</v>
      </c>
      <c r="H810" t="s">
        <v>27</v>
      </c>
      <c r="I810" s="66">
        <v>44196</v>
      </c>
      <c r="J810" s="6">
        <v>16224336.189999999</v>
      </c>
      <c r="K810">
        <v>1947.05</v>
      </c>
      <c r="L810">
        <v>15789807.15</v>
      </c>
      <c r="M810">
        <v>0</v>
      </c>
      <c r="N810">
        <v>492467.33</v>
      </c>
      <c r="O810">
        <v>0</v>
      </c>
      <c r="P810" t="s">
        <v>42</v>
      </c>
      <c r="Q810" t="s">
        <v>37</v>
      </c>
      <c r="R810" s="66">
        <v>42450</v>
      </c>
      <c r="S810" s="6">
        <f>DataTable[HLD_MaturityDate] - DataTable[SEC_Issue_Date]</f>
        <v>1746</v>
      </c>
      <c r="T810" s="66" t="str">
        <f>DataTable[HLD_Portfolio]&amp;DataTable[HLD_Date]</f>
        <v>SCBPLUS43383</v>
      </c>
      <c r="W810" t="b">
        <f>DataTable[HLD_SecCode]="CB18O18A"</f>
        <v>0</v>
      </c>
    </row>
    <row r="811" spans="1:23" hidden="1" x14ac:dyDescent="0.2">
      <c r="A811" s="66">
        <v>43383</v>
      </c>
      <c r="B811" t="s">
        <v>351</v>
      </c>
      <c r="C811" t="s">
        <v>18</v>
      </c>
      <c r="D811" t="s">
        <v>38</v>
      </c>
      <c r="F811" t="s">
        <v>784</v>
      </c>
      <c r="G811" t="s">
        <v>75</v>
      </c>
      <c r="H811" t="s">
        <v>59</v>
      </c>
      <c r="I811" s="66">
        <v>44196</v>
      </c>
      <c r="J811" s="6">
        <v>19153570.5</v>
      </c>
      <c r="K811">
        <v>104227.8</v>
      </c>
      <c r="L811">
        <v>19153570.5</v>
      </c>
      <c r="M811">
        <v>0</v>
      </c>
      <c r="N811">
        <v>19153570.5</v>
      </c>
      <c r="O811">
        <v>0</v>
      </c>
      <c r="P811" t="s">
        <v>42</v>
      </c>
      <c r="Q811" t="s">
        <v>23</v>
      </c>
      <c r="R811" s="66">
        <v>42450</v>
      </c>
      <c r="S811" s="6">
        <f>DataTable[HLD_MaturityDate] - DataTable[SEC_Issue_Date]</f>
        <v>1746</v>
      </c>
      <c r="T811" s="66" t="str">
        <f>DataTable[HLD_Portfolio]&amp;DataTable[HLD_Date]</f>
        <v>SCBPLUS43383</v>
      </c>
      <c r="W811" t="b">
        <f>DataTable[HLD_SecCode]="CB18O18A"</f>
        <v>0</v>
      </c>
    </row>
    <row r="812" spans="1:23" hidden="1" x14ac:dyDescent="0.2">
      <c r="A812" s="66">
        <v>43383</v>
      </c>
      <c r="B812" t="s">
        <v>351</v>
      </c>
      <c r="C812" t="s">
        <v>18</v>
      </c>
      <c r="D812" t="s">
        <v>77</v>
      </c>
      <c r="F812" t="s">
        <v>543</v>
      </c>
      <c r="G812" t="s">
        <v>244</v>
      </c>
      <c r="H812" t="s">
        <v>29</v>
      </c>
      <c r="I812" s="66">
        <v>43550</v>
      </c>
      <c r="J812" s="6">
        <v>163146751.34999999</v>
      </c>
      <c r="L812">
        <v>163291921.65000001</v>
      </c>
      <c r="M812">
        <v>0.44968599999999997</v>
      </c>
      <c r="N812">
        <v>165000000</v>
      </c>
      <c r="O812">
        <v>2.2999999999999998</v>
      </c>
      <c r="P812" t="s">
        <v>42</v>
      </c>
      <c r="Q812" t="s">
        <v>23</v>
      </c>
      <c r="R812" s="66">
        <v>43280</v>
      </c>
      <c r="S812" s="6">
        <f>DataTable[HLD_MaturityDate] - DataTable[SEC_Issue_Date]</f>
        <v>270</v>
      </c>
      <c r="T812" s="66" t="str">
        <f>DataTable[HLD_Portfolio]&amp;DataTable[HLD_Date]</f>
        <v>SCBPLUS43383</v>
      </c>
      <c r="W812" t="b">
        <f>DataTable[HLD_SecCode]="CB18O18A"</f>
        <v>0</v>
      </c>
    </row>
    <row r="813" spans="1:23" x14ac:dyDescent="0.2">
      <c r="A813" s="66">
        <v>43383</v>
      </c>
      <c r="B813" t="s">
        <v>351</v>
      </c>
      <c r="C813" t="s">
        <v>18</v>
      </c>
      <c r="D813" t="s">
        <v>87</v>
      </c>
      <c r="F813" t="s">
        <v>314</v>
      </c>
      <c r="G813" t="s">
        <v>89</v>
      </c>
      <c r="I813" s="66">
        <v>43440</v>
      </c>
      <c r="J813" s="6">
        <v>400201789.44999999</v>
      </c>
      <c r="L813">
        <v>400151463.94999999</v>
      </c>
      <c r="M813">
        <v>0.15307200000000001</v>
      </c>
      <c r="N813">
        <v>401000000</v>
      </c>
      <c r="O813">
        <v>1.3821349999999999</v>
      </c>
      <c r="P813" t="s">
        <v>42</v>
      </c>
      <c r="Q813" t="s">
        <v>23</v>
      </c>
      <c r="R813" s="66">
        <v>43076</v>
      </c>
      <c r="S813" s="6">
        <f>DataTable[HLD_MaturityDate] - DataTable[SEC_Issue_Date]</f>
        <v>364</v>
      </c>
      <c r="T813" s="66" t="str">
        <f>DataTable[HLD_Portfolio]&amp;DataTable[HLD_Date]</f>
        <v>SCBPLUS43383</v>
      </c>
      <c r="W813" t="b">
        <f>DataTable[HLD_SecCode]="CB18O18A"</f>
        <v>0</v>
      </c>
    </row>
    <row r="814" spans="1:23" x14ac:dyDescent="0.2">
      <c r="A814" s="66">
        <v>43383</v>
      </c>
      <c r="B814" t="s">
        <v>351</v>
      </c>
      <c r="C814" t="s">
        <v>18</v>
      </c>
      <c r="D814" t="s">
        <v>87</v>
      </c>
      <c r="F814" t="s">
        <v>88</v>
      </c>
      <c r="G814" t="s">
        <v>89</v>
      </c>
      <c r="I814" s="66">
        <v>43440</v>
      </c>
      <c r="J814" s="6">
        <v>189621795.5</v>
      </c>
      <c r="L814">
        <v>189609428.40000001</v>
      </c>
      <c r="M814">
        <v>0.153115</v>
      </c>
      <c r="N814">
        <v>190000000</v>
      </c>
      <c r="O814">
        <v>1.342595</v>
      </c>
      <c r="P814" t="s">
        <v>42</v>
      </c>
      <c r="Q814" t="s">
        <v>23</v>
      </c>
      <c r="R814" s="66">
        <v>43349</v>
      </c>
      <c r="S814" s="6">
        <f>DataTable[HLD_MaturityDate] - DataTable[SEC_Issue_Date]</f>
        <v>91</v>
      </c>
      <c r="T814" s="66" t="str">
        <f>DataTable[HLD_Portfolio]&amp;DataTable[HLD_Date]</f>
        <v>SCBPLUS43383</v>
      </c>
      <c r="W814" t="b">
        <f>DataTable[HLD_SecCode]="CB18O18A"</f>
        <v>0</v>
      </c>
    </row>
    <row r="815" spans="1:23" x14ac:dyDescent="0.2">
      <c r="A815" s="66">
        <v>43383</v>
      </c>
      <c r="B815" t="s">
        <v>351</v>
      </c>
      <c r="C815" t="s">
        <v>18</v>
      </c>
      <c r="D815" t="s">
        <v>87</v>
      </c>
      <c r="F815" t="s">
        <v>207</v>
      </c>
      <c r="G815" t="s">
        <v>89</v>
      </c>
      <c r="I815" s="66">
        <v>43447</v>
      </c>
      <c r="J815" s="6">
        <v>9976237.4000000004</v>
      </c>
      <c r="L815">
        <v>9976237.4000000004</v>
      </c>
      <c r="M815">
        <v>0.17217499999999999</v>
      </c>
      <c r="N815">
        <v>10000000</v>
      </c>
      <c r="O815">
        <v>1.38</v>
      </c>
      <c r="P815" t="s">
        <v>42</v>
      </c>
      <c r="Q815" t="s">
        <v>23</v>
      </c>
      <c r="R815" s="66">
        <v>43265</v>
      </c>
      <c r="S815" s="6">
        <f>DataTable[HLD_MaturityDate] - DataTable[SEC_Issue_Date]</f>
        <v>182</v>
      </c>
      <c r="T815" s="66" t="str">
        <f>DataTable[HLD_Portfolio]&amp;DataTable[HLD_Date]</f>
        <v>SCBPLUS43383</v>
      </c>
      <c r="W815" t="b">
        <f>DataTable[HLD_SecCode]="CB18O18A"</f>
        <v>0</v>
      </c>
    </row>
    <row r="816" spans="1:23" x14ac:dyDescent="0.2">
      <c r="A816" s="66">
        <v>43383</v>
      </c>
      <c r="B816" t="s">
        <v>351</v>
      </c>
      <c r="C816" t="s">
        <v>18</v>
      </c>
      <c r="D816" t="s">
        <v>87</v>
      </c>
      <c r="F816" t="s">
        <v>90</v>
      </c>
      <c r="G816" t="s">
        <v>89</v>
      </c>
      <c r="I816" s="66">
        <v>43447</v>
      </c>
      <c r="J816" s="6">
        <v>69840877.400000006</v>
      </c>
      <c r="L816">
        <v>69840877.400000006</v>
      </c>
      <c r="M816">
        <v>0.17219100000000001</v>
      </c>
      <c r="N816">
        <v>70000000</v>
      </c>
      <c r="O816">
        <v>1.32</v>
      </c>
      <c r="P816" t="s">
        <v>42</v>
      </c>
      <c r="Q816" t="s">
        <v>23</v>
      </c>
      <c r="R816" s="66">
        <v>43356</v>
      </c>
      <c r="S816" s="6">
        <f>DataTable[HLD_MaturityDate] - DataTable[SEC_Issue_Date]</f>
        <v>91</v>
      </c>
      <c r="T816" s="66" t="str">
        <f>DataTable[HLD_Portfolio]&amp;DataTable[HLD_Date]</f>
        <v>SCBPLUS43383</v>
      </c>
      <c r="W816" t="b">
        <f>DataTable[HLD_SecCode]="CB18O18A"</f>
        <v>0</v>
      </c>
    </row>
    <row r="817" spans="1:23" x14ac:dyDescent="0.2">
      <c r="A817" s="66">
        <v>43383</v>
      </c>
      <c r="B817" t="s">
        <v>351</v>
      </c>
      <c r="C817" t="s">
        <v>18</v>
      </c>
      <c r="D817" t="s">
        <v>87</v>
      </c>
      <c r="F817" t="s">
        <v>208</v>
      </c>
      <c r="G817" t="s">
        <v>89</v>
      </c>
      <c r="I817" s="66">
        <v>43461</v>
      </c>
      <c r="J817" s="6">
        <v>29912916.600000001</v>
      </c>
      <c r="L817">
        <v>29913388.5</v>
      </c>
      <c r="M817">
        <v>0.210337</v>
      </c>
      <c r="N817">
        <v>30000000</v>
      </c>
      <c r="O817">
        <v>1.3725000000000001</v>
      </c>
      <c r="P817" t="s">
        <v>42</v>
      </c>
      <c r="Q817" t="s">
        <v>23</v>
      </c>
      <c r="R817" s="66">
        <v>43370</v>
      </c>
      <c r="S817" s="6">
        <f>DataTable[HLD_MaturityDate] - DataTable[SEC_Issue_Date]</f>
        <v>91</v>
      </c>
      <c r="T817" s="66" t="str">
        <f>DataTable[HLD_Portfolio]&amp;DataTable[HLD_Date]</f>
        <v>SCBPLUS43383</v>
      </c>
      <c r="W817" t="b">
        <f>DataTable[HLD_SecCode]="CB18O18A"</f>
        <v>0</v>
      </c>
    </row>
    <row r="818" spans="1:23" x14ac:dyDescent="0.2">
      <c r="A818" s="66">
        <v>43383</v>
      </c>
      <c r="B818" t="s">
        <v>351</v>
      </c>
      <c r="C818" t="s">
        <v>18</v>
      </c>
      <c r="D818" t="s">
        <v>87</v>
      </c>
      <c r="F818" t="s">
        <v>209</v>
      </c>
      <c r="G818" t="s">
        <v>89</v>
      </c>
      <c r="I818" s="66">
        <v>43405</v>
      </c>
      <c r="J818" s="6">
        <v>195858723.19999999</v>
      </c>
      <c r="L818">
        <v>195855598.96000001</v>
      </c>
      <c r="M818">
        <v>5.7493000000000002E-2</v>
      </c>
      <c r="N818">
        <v>196000000</v>
      </c>
      <c r="O818">
        <v>1.281463</v>
      </c>
      <c r="P818" t="s">
        <v>42</v>
      </c>
      <c r="Q818" t="s">
        <v>23</v>
      </c>
      <c r="R818" s="66">
        <v>43223</v>
      </c>
      <c r="S818" s="6">
        <f>DataTable[HLD_MaturityDate] - DataTable[SEC_Issue_Date]</f>
        <v>182</v>
      </c>
      <c r="T818" s="66" t="str">
        <f>DataTable[HLD_Portfolio]&amp;DataTable[HLD_Date]</f>
        <v>SCBPLUS43383</v>
      </c>
      <c r="W818" t="b">
        <f>DataTable[HLD_SecCode]="CB18O18A"</f>
        <v>0</v>
      </c>
    </row>
    <row r="819" spans="1:23" x14ac:dyDescent="0.2">
      <c r="A819" s="66">
        <v>43383</v>
      </c>
      <c r="B819" t="s">
        <v>351</v>
      </c>
      <c r="C819" t="s">
        <v>18</v>
      </c>
      <c r="D819" t="s">
        <v>87</v>
      </c>
      <c r="F819" t="s">
        <v>93</v>
      </c>
      <c r="G819" t="s">
        <v>89</v>
      </c>
      <c r="I819" s="66">
        <v>43412</v>
      </c>
      <c r="J819" s="6">
        <v>424588442.75</v>
      </c>
      <c r="L819">
        <v>424544927</v>
      </c>
      <c r="M819">
        <v>7.6638999999999999E-2</v>
      </c>
      <c r="N819">
        <v>425000000</v>
      </c>
      <c r="O819">
        <v>1.397308</v>
      </c>
      <c r="P819" t="s">
        <v>42</v>
      </c>
      <c r="Q819" t="s">
        <v>23</v>
      </c>
      <c r="R819" s="66">
        <v>43230</v>
      </c>
      <c r="S819" s="6">
        <f>DataTable[HLD_MaturityDate] - DataTable[SEC_Issue_Date]</f>
        <v>182</v>
      </c>
      <c r="T819" s="66" t="str">
        <f>DataTable[HLD_Portfolio]&amp;DataTable[HLD_Date]</f>
        <v>SCBPLUS43383</v>
      </c>
      <c r="W819" t="b">
        <f>DataTable[HLD_SecCode]="CB18O18A"</f>
        <v>0</v>
      </c>
    </row>
    <row r="820" spans="1:23" x14ac:dyDescent="0.2">
      <c r="A820" s="66">
        <v>43383</v>
      </c>
      <c r="B820" t="s">
        <v>351</v>
      </c>
      <c r="C820" t="s">
        <v>18</v>
      </c>
      <c r="D820" t="s">
        <v>87</v>
      </c>
      <c r="F820" t="s">
        <v>95</v>
      </c>
      <c r="G820" t="s">
        <v>89</v>
      </c>
      <c r="I820" s="66">
        <v>43419</v>
      </c>
      <c r="J820" s="6">
        <v>159807683.19999999</v>
      </c>
      <c r="L820">
        <v>159782958.40000001</v>
      </c>
      <c r="M820">
        <v>9.5774999999999999E-2</v>
      </c>
      <c r="N820">
        <v>160000000</v>
      </c>
      <c r="O820">
        <v>1.416563</v>
      </c>
      <c r="P820" t="s">
        <v>42</v>
      </c>
      <c r="Q820" t="s">
        <v>23</v>
      </c>
      <c r="R820" s="66">
        <v>43237</v>
      </c>
      <c r="S820" s="6">
        <f>DataTable[HLD_MaturityDate] - DataTable[SEC_Issue_Date]</f>
        <v>182</v>
      </c>
      <c r="T820" s="66" t="str">
        <f>DataTable[HLD_Portfolio]&amp;DataTable[HLD_Date]</f>
        <v>SCBPLUS43383</v>
      </c>
      <c r="W820" t="b">
        <f>DataTable[HLD_SecCode]="CB18O18A"</f>
        <v>0</v>
      </c>
    </row>
    <row r="821" spans="1:23" x14ac:dyDescent="0.2">
      <c r="A821" s="66">
        <v>43383</v>
      </c>
      <c r="B821" t="s">
        <v>351</v>
      </c>
      <c r="C821" t="s">
        <v>18</v>
      </c>
      <c r="D821" t="s">
        <v>87</v>
      </c>
      <c r="F821" t="s">
        <v>97</v>
      </c>
      <c r="G821" t="s">
        <v>89</v>
      </c>
      <c r="I821" s="66">
        <v>43426</v>
      </c>
      <c r="J821" s="6">
        <v>279582550.80000001</v>
      </c>
      <c r="L821">
        <v>279588201.19999999</v>
      </c>
      <c r="M821">
        <v>0.114899</v>
      </c>
      <c r="N821">
        <v>280000000</v>
      </c>
      <c r="O821">
        <v>1.28</v>
      </c>
      <c r="P821" t="s">
        <v>42</v>
      </c>
      <c r="Q821" t="s">
        <v>23</v>
      </c>
      <c r="R821" s="66">
        <v>43244</v>
      </c>
      <c r="S821" s="6">
        <f>DataTable[HLD_MaturityDate] - DataTable[SEC_Issue_Date]</f>
        <v>182</v>
      </c>
      <c r="T821" s="66" t="str">
        <f>DataTable[HLD_Portfolio]&amp;DataTable[HLD_Date]</f>
        <v>SCBPLUS43383</v>
      </c>
      <c r="W821" t="b">
        <f>DataTable[HLD_SecCode]="CB18O18A"</f>
        <v>0</v>
      </c>
    </row>
    <row r="822" spans="1:23" x14ac:dyDescent="0.2">
      <c r="A822" s="66">
        <v>43383</v>
      </c>
      <c r="B822" t="s">
        <v>351</v>
      </c>
      <c r="C822" t="s">
        <v>18</v>
      </c>
      <c r="D822" t="s">
        <v>87</v>
      </c>
      <c r="F822" t="s">
        <v>99</v>
      </c>
      <c r="G822" t="s">
        <v>89</v>
      </c>
      <c r="I822" s="66">
        <v>43433</v>
      </c>
      <c r="J822" s="6">
        <v>89845412.400000006</v>
      </c>
      <c r="L822">
        <v>89826352.200000003</v>
      </c>
      <c r="M822">
        <v>0.13400799999999999</v>
      </c>
      <c r="N822">
        <v>90000000</v>
      </c>
      <c r="O822">
        <v>1.44</v>
      </c>
      <c r="P822" t="s">
        <v>42</v>
      </c>
      <c r="Q822" t="s">
        <v>23</v>
      </c>
      <c r="R822" s="66">
        <v>43251</v>
      </c>
      <c r="S822" s="6">
        <f>DataTable[HLD_MaturityDate] - DataTable[SEC_Issue_Date]</f>
        <v>182</v>
      </c>
      <c r="T822" s="66" t="str">
        <f>DataTable[HLD_Portfolio]&amp;DataTable[HLD_Date]</f>
        <v>SCBPLUS43383</v>
      </c>
      <c r="W822" t="b">
        <f>DataTable[HLD_SecCode]="CB18O18A"</f>
        <v>0</v>
      </c>
    </row>
    <row r="823" spans="1:23" x14ac:dyDescent="0.2">
      <c r="A823" s="66">
        <v>43383</v>
      </c>
      <c r="B823" t="s">
        <v>351</v>
      </c>
      <c r="C823" t="s">
        <v>18</v>
      </c>
      <c r="D823" t="s">
        <v>87</v>
      </c>
      <c r="F823" t="s">
        <v>103</v>
      </c>
      <c r="G823" t="s">
        <v>89</v>
      </c>
      <c r="I823" s="66">
        <v>43389</v>
      </c>
      <c r="J823" s="6">
        <v>49992193</v>
      </c>
      <c r="L823">
        <v>49992193</v>
      </c>
      <c r="M823">
        <v>1.3696E-2</v>
      </c>
      <c r="N823">
        <v>50000000</v>
      </c>
      <c r="O823">
        <v>1.1399999999999999</v>
      </c>
      <c r="P823" t="s">
        <v>42</v>
      </c>
      <c r="Q823" t="s">
        <v>23</v>
      </c>
      <c r="R823" s="66">
        <v>43375</v>
      </c>
      <c r="S823" s="6">
        <f>DataTable[HLD_MaturityDate] - DataTable[SEC_Issue_Date]</f>
        <v>14</v>
      </c>
      <c r="T823" s="66" t="str">
        <f>DataTable[HLD_Portfolio]&amp;DataTable[HLD_Date]</f>
        <v>SCBPLUS43383</v>
      </c>
      <c r="W823" t="b">
        <f>DataTable[HLD_SecCode]="CB18O18A"</f>
        <v>0</v>
      </c>
    </row>
    <row r="824" spans="1:23" x14ac:dyDescent="0.2">
      <c r="A824" s="66">
        <v>43383</v>
      </c>
      <c r="B824" t="s">
        <v>351</v>
      </c>
      <c r="C824" t="s">
        <v>18</v>
      </c>
      <c r="D824" t="s">
        <v>87</v>
      </c>
      <c r="F824" t="s">
        <v>104</v>
      </c>
      <c r="G824" t="s">
        <v>89</v>
      </c>
      <c r="I824" s="66">
        <v>43391</v>
      </c>
      <c r="J824" s="6">
        <v>9997619.5999999996</v>
      </c>
      <c r="L824">
        <v>9997382.9000000004</v>
      </c>
      <c r="M824">
        <v>1.9174E-2</v>
      </c>
      <c r="N824">
        <v>10000000</v>
      </c>
      <c r="O824">
        <v>1.365</v>
      </c>
      <c r="P824" t="s">
        <v>42</v>
      </c>
      <c r="Q824" t="s">
        <v>23</v>
      </c>
      <c r="R824" s="66">
        <v>43209</v>
      </c>
      <c r="S824" s="6">
        <f>DataTable[HLD_MaturityDate] - DataTable[SEC_Issue_Date]</f>
        <v>182</v>
      </c>
      <c r="T824" s="66" t="str">
        <f>DataTable[HLD_Portfolio]&amp;DataTable[HLD_Date]</f>
        <v>SCBPLUS43383</v>
      </c>
      <c r="W824" t="b">
        <f>DataTable[HLD_SecCode]="CB18O18A"</f>
        <v>1</v>
      </c>
    </row>
    <row r="825" spans="1:23" x14ac:dyDescent="0.2">
      <c r="A825" s="66">
        <v>43383</v>
      </c>
      <c r="B825" t="s">
        <v>351</v>
      </c>
      <c r="C825" t="s">
        <v>18</v>
      </c>
      <c r="D825" t="s">
        <v>87</v>
      </c>
      <c r="F825" t="s">
        <v>105</v>
      </c>
      <c r="G825" t="s">
        <v>89</v>
      </c>
      <c r="I825" s="66">
        <v>43391</v>
      </c>
      <c r="J825" s="6">
        <v>21995106.760000002</v>
      </c>
      <c r="L825">
        <v>21995106.760000002</v>
      </c>
      <c r="M825">
        <v>1.9174E-2</v>
      </c>
      <c r="N825">
        <v>22000000</v>
      </c>
      <c r="O825">
        <v>1.1599999999999999</v>
      </c>
      <c r="P825" t="s">
        <v>42</v>
      </c>
      <c r="Q825" t="s">
        <v>23</v>
      </c>
      <c r="R825" s="66">
        <v>43300</v>
      </c>
      <c r="S825" s="6">
        <f>DataTable[HLD_MaturityDate] - DataTable[SEC_Issue_Date]</f>
        <v>91</v>
      </c>
      <c r="T825" s="66" t="str">
        <f>DataTable[HLD_Portfolio]&amp;DataTable[HLD_Date]</f>
        <v>SCBPLUS43383</v>
      </c>
      <c r="W825" t="b">
        <f>DataTable[HLD_SecCode]="CB18O18A"</f>
        <v>0</v>
      </c>
    </row>
    <row r="826" spans="1:23" x14ac:dyDescent="0.2">
      <c r="A826" s="66">
        <v>43383</v>
      </c>
      <c r="B826" t="s">
        <v>351</v>
      </c>
      <c r="C826" t="s">
        <v>18</v>
      </c>
      <c r="D826" t="s">
        <v>87</v>
      </c>
      <c r="F826" t="s">
        <v>355</v>
      </c>
      <c r="G826" t="s">
        <v>89</v>
      </c>
      <c r="I826" s="66">
        <v>43397</v>
      </c>
      <c r="J826" s="6">
        <v>119951510.40000001</v>
      </c>
      <c r="L826">
        <v>119951510.40000001</v>
      </c>
      <c r="M826">
        <v>3.5601000000000001E-2</v>
      </c>
      <c r="N826">
        <v>120000000</v>
      </c>
      <c r="O826">
        <v>1.135</v>
      </c>
      <c r="P826" t="s">
        <v>42</v>
      </c>
      <c r="Q826" t="s">
        <v>23</v>
      </c>
      <c r="R826" s="66">
        <v>43382</v>
      </c>
      <c r="S826" s="6">
        <f>DataTable[HLD_MaturityDate] - DataTable[SEC_Issue_Date]</f>
        <v>15</v>
      </c>
      <c r="T826" s="66" t="str">
        <f>DataTable[HLD_Portfolio]&amp;DataTable[HLD_Date]</f>
        <v>SCBPLUS43383</v>
      </c>
      <c r="W826" t="b">
        <f>DataTable[HLD_SecCode]="CB18O18A"</f>
        <v>0</v>
      </c>
    </row>
    <row r="827" spans="1:23" x14ac:dyDescent="0.2">
      <c r="A827" s="66">
        <v>43383</v>
      </c>
      <c r="B827" t="s">
        <v>351</v>
      </c>
      <c r="C827" t="s">
        <v>18</v>
      </c>
      <c r="D827" t="s">
        <v>87</v>
      </c>
      <c r="F827" t="s">
        <v>107</v>
      </c>
      <c r="G827" t="s">
        <v>89</v>
      </c>
      <c r="I827" s="66">
        <v>43398</v>
      </c>
      <c r="J827" s="6">
        <v>179917878.59999999</v>
      </c>
      <c r="L827">
        <v>179917878.59999999</v>
      </c>
      <c r="M827">
        <v>3.8338999999999998E-2</v>
      </c>
      <c r="N827">
        <v>180000000</v>
      </c>
      <c r="O827">
        <v>1.19</v>
      </c>
      <c r="P827" t="s">
        <v>42</v>
      </c>
      <c r="Q827" t="s">
        <v>23</v>
      </c>
      <c r="R827" s="66">
        <v>43307</v>
      </c>
      <c r="S827" s="6">
        <f>DataTable[HLD_MaturityDate] - DataTable[SEC_Issue_Date]</f>
        <v>91</v>
      </c>
      <c r="T827" s="66" t="str">
        <f>DataTable[HLD_Portfolio]&amp;DataTable[HLD_Date]</f>
        <v>SCBPLUS43383</v>
      </c>
      <c r="W827" t="b">
        <f>DataTable[HLD_SecCode]="CB18O18A"</f>
        <v>0</v>
      </c>
    </row>
    <row r="828" spans="1:23" x14ac:dyDescent="0.2">
      <c r="A828" s="66">
        <v>43383</v>
      </c>
      <c r="B828" t="s">
        <v>351</v>
      </c>
      <c r="C828" t="s">
        <v>18</v>
      </c>
      <c r="D828" t="s">
        <v>87</v>
      </c>
      <c r="F828" t="s">
        <v>210</v>
      </c>
      <c r="G828" t="s">
        <v>89</v>
      </c>
      <c r="I828" s="66">
        <v>43468</v>
      </c>
      <c r="J828" s="6">
        <v>24919710.75</v>
      </c>
      <c r="L828">
        <v>24921711.75</v>
      </c>
      <c r="M828">
        <v>0.22930300000000001</v>
      </c>
      <c r="N828">
        <v>25000000</v>
      </c>
      <c r="O828">
        <v>1.365</v>
      </c>
      <c r="P828" t="s">
        <v>42</v>
      </c>
      <c r="Q828" t="s">
        <v>23</v>
      </c>
      <c r="R828" s="66">
        <v>43286</v>
      </c>
      <c r="S828" s="6">
        <f>DataTable[HLD_MaturityDate] - DataTable[SEC_Issue_Date]</f>
        <v>182</v>
      </c>
      <c r="T828" s="66" t="str">
        <f>DataTable[HLD_Portfolio]&amp;DataTable[HLD_Date]</f>
        <v>SCBPLUS43383</v>
      </c>
      <c r="W828" t="b">
        <f>DataTable[HLD_SecCode]="CB18O18A"</f>
        <v>0</v>
      </c>
    </row>
    <row r="829" spans="1:23" x14ac:dyDescent="0.2">
      <c r="A829" s="66">
        <v>43383</v>
      </c>
      <c r="B829" t="s">
        <v>351</v>
      </c>
      <c r="C829" t="s">
        <v>18</v>
      </c>
      <c r="D829" t="s">
        <v>87</v>
      </c>
      <c r="F829" t="s">
        <v>785</v>
      </c>
      <c r="G829" t="s">
        <v>89</v>
      </c>
      <c r="I829" s="66">
        <v>43517</v>
      </c>
      <c r="J829" s="6">
        <v>39768146.399999999</v>
      </c>
      <c r="L829">
        <v>39782558.399999999</v>
      </c>
      <c r="M829">
        <v>0.36227100000000001</v>
      </c>
      <c r="N829">
        <v>40000000</v>
      </c>
      <c r="O829">
        <v>1.5</v>
      </c>
      <c r="P829" t="s">
        <v>42</v>
      </c>
      <c r="Q829" t="s">
        <v>23</v>
      </c>
      <c r="R829" s="66">
        <v>43335</v>
      </c>
      <c r="S829" s="6">
        <f>DataTable[HLD_MaturityDate] - DataTable[SEC_Issue_Date]</f>
        <v>182</v>
      </c>
      <c r="T829" s="66" t="str">
        <f>DataTable[HLD_Portfolio]&amp;DataTable[HLD_Date]</f>
        <v>SCBPLUS43383</v>
      </c>
      <c r="W829" t="b">
        <f>DataTable[HLD_SecCode]="CB18O18A"</f>
        <v>0</v>
      </c>
    </row>
    <row r="830" spans="1:23" x14ac:dyDescent="0.2">
      <c r="A830" s="66">
        <v>43383</v>
      </c>
      <c r="B830" t="s">
        <v>351</v>
      </c>
      <c r="C830" t="s">
        <v>18</v>
      </c>
      <c r="D830" t="s">
        <v>87</v>
      </c>
      <c r="F830" t="s">
        <v>600</v>
      </c>
      <c r="G830" t="s">
        <v>89</v>
      </c>
      <c r="I830" s="66">
        <v>43524</v>
      </c>
      <c r="J830" s="6">
        <v>89451040.5</v>
      </c>
      <c r="L830">
        <v>89497858.5</v>
      </c>
      <c r="M830">
        <v>0.38122200000000001</v>
      </c>
      <c r="N830">
        <v>90000000</v>
      </c>
      <c r="O830">
        <v>1.4627779999999999</v>
      </c>
      <c r="P830" t="s">
        <v>42</v>
      </c>
      <c r="Q830" t="s">
        <v>23</v>
      </c>
      <c r="R830" s="66">
        <v>43342</v>
      </c>
      <c r="S830" s="6">
        <f>DataTable[HLD_MaturityDate] - DataTable[SEC_Issue_Date]</f>
        <v>182</v>
      </c>
      <c r="T830" s="66" t="str">
        <f>DataTable[HLD_Portfolio]&amp;DataTable[HLD_Date]</f>
        <v>SCBPLUS43383</v>
      </c>
      <c r="W830" t="b">
        <f>DataTable[HLD_SecCode]="CB18O18A"</f>
        <v>0</v>
      </c>
    </row>
    <row r="831" spans="1:23" x14ac:dyDescent="0.2">
      <c r="A831" s="66">
        <v>43383</v>
      </c>
      <c r="B831" t="s">
        <v>351</v>
      </c>
      <c r="C831" t="s">
        <v>18</v>
      </c>
      <c r="D831" t="s">
        <v>87</v>
      </c>
      <c r="F831" t="s">
        <v>601</v>
      </c>
      <c r="G831" t="s">
        <v>89</v>
      </c>
      <c r="I831" s="66">
        <v>43531</v>
      </c>
      <c r="J831" s="6">
        <v>63591772.799999997</v>
      </c>
      <c r="L831">
        <v>63601528.960000001</v>
      </c>
      <c r="M831">
        <v>0.400171</v>
      </c>
      <c r="N831">
        <v>64000000</v>
      </c>
      <c r="O831">
        <v>1.555625</v>
      </c>
      <c r="P831" t="s">
        <v>42</v>
      </c>
      <c r="Q831" t="s">
        <v>23</v>
      </c>
      <c r="R831" s="66">
        <v>43349</v>
      </c>
      <c r="S831" s="6">
        <f>DataTable[HLD_MaturityDate] - DataTable[SEC_Issue_Date]</f>
        <v>182</v>
      </c>
      <c r="T831" s="66" t="str">
        <f>DataTable[HLD_Portfolio]&amp;DataTable[HLD_Date]</f>
        <v>SCBPLUS43383</v>
      </c>
      <c r="W831" t="b">
        <f>DataTable[HLD_SecCode]="CB18O18A"</f>
        <v>0</v>
      </c>
    </row>
    <row r="832" spans="1:23" x14ac:dyDescent="0.2">
      <c r="A832" s="66">
        <v>43383</v>
      </c>
      <c r="B832" t="s">
        <v>351</v>
      </c>
      <c r="C832" t="s">
        <v>18</v>
      </c>
      <c r="D832" t="s">
        <v>87</v>
      </c>
      <c r="F832" t="s">
        <v>544</v>
      </c>
      <c r="G832" t="s">
        <v>89</v>
      </c>
      <c r="I832" s="66">
        <v>43538</v>
      </c>
      <c r="J832" s="6">
        <v>752081589.32000005</v>
      </c>
      <c r="L832">
        <v>752457311.13</v>
      </c>
      <c r="M832">
        <v>0.41917700000000002</v>
      </c>
      <c r="N832">
        <v>757000000</v>
      </c>
      <c r="O832">
        <v>1.430879</v>
      </c>
      <c r="P832" t="s">
        <v>42</v>
      </c>
      <c r="Q832" t="s">
        <v>23</v>
      </c>
      <c r="R832" s="66">
        <v>43174</v>
      </c>
      <c r="S832" s="6">
        <f>DataTable[HLD_MaturityDate] - DataTable[SEC_Issue_Date]</f>
        <v>364</v>
      </c>
      <c r="T832" s="66" t="str">
        <f>DataTable[HLD_Portfolio]&amp;DataTable[HLD_Date]</f>
        <v>SCBPLUS43383</v>
      </c>
      <c r="W832" t="b">
        <f>DataTable[HLD_SecCode]="CB18O18A"</f>
        <v>0</v>
      </c>
    </row>
    <row r="833" spans="1:23" x14ac:dyDescent="0.2">
      <c r="A833" s="66">
        <v>43383</v>
      </c>
      <c r="B833" t="s">
        <v>351</v>
      </c>
      <c r="C833" t="s">
        <v>18</v>
      </c>
      <c r="D833" t="s">
        <v>87</v>
      </c>
      <c r="F833" t="s">
        <v>602</v>
      </c>
      <c r="G833" t="s">
        <v>89</v>
      </c>
      <c r="I833" s="66">
        <v>43545</v>
      </c>
      <c r="J833" s="6">
        <v>114169068.65000001</v>
      </c>
      <c r="L833">
        <v>114169068.65000001</v>
      </c>
      <c r="M833">
        <v>0.43790899999999999</v>
      </c>
      <c r="N833">
        <v>115000000</v>
      </c>
      <c r="O833">
        <v>1.65</v>
      </c>
      <c r="P833" t="s">
        <v>42</v>
      </c>
      <c r="Q833" t="s">
        <v>23</v>
      </c>
      <c r="R833" s="66">
        <v>43363</v>
      </c>
      <c r="S833" s="6">
        <f>DataTable[HLD_MaturityDate] - DataTable[SEC_Issue_Date]</f>
        <v>182</v>
      </c>
      <c r="T833" s="66" t="str">
        <f>DataTable[HLD_Portfolio]&amp;DataTable[HLD_Date]</f>
        <v>SCBPLUS43383</v>
      </c>
      <c r="W833" t="b">
        <f>DataTable[HLD_SecCode]="CB18O18A"</f>
        <v>0</v>
      </c>
    </row>
    <row r="834" spans="1:23" x14ac:dyDescent="0.2">
      <c r="A834" s="66">
        <v>43383</v>
      </c>
      <c r="B834" t="s">
        <v>351</v>
      </c>
      <c r="C834" t="s">
        <v>18</v>
      </c>
      <c r="D834" t="s">
        <v>87</v>
      </c>
      <c r="F834" t="s">
        <v>603</v>
      </c>
      <c r="G834" t="s">
        <v>89</v>
      </c>
      <c r="I834" s="66">
        <v>43552</v>
      </c>
      <c r="J834" s="6">
        <v>232262800.38</v>
      </c>
      <c r="L834">
        <v>232319271.59999999</v>
      </c>
      <c r="M834">
        <v>0.45685700000000001</v>
      </c>
      <c r="N834">
        <v>234000000</v>
      </c>
      <c r="O834">
        <v>1.5717950000000001</v>
      </c>
      <c r="P834" t="s">
        <v>42</v>
      </c>
      <c r="Q834" t="s">
        <v>23</v>
      </c>
      <c r="R834" s="66">
        <v>43370</v>
      </c>
      <c r="S834" s="6">
        <f>DataTable[HLD_MaturityDate] - DataTable[SEC_Issue_Date]</f>
        <v>182</v>
      </c>
      <c r="T834" s="66" t="str">
        <f>DataTable[HLD_Portfolio]&amp;DataTable[HLD_Date]</f>
        <v>SCBPLUS43383</v>
      </c>
      <c r="W834" t="b">
        <f>DataTable[HLD_SecCode]="CB18O18A"</f>
        <v>0</v>
      </c>
    </row>
    <row r="835" spans="1:23" x14ac:dyDescent="0.2">
      <c r="A835" s="66">
        <v>43383</v>
      </c>
      <c r="B835" t="s">
        <v>351</v>
      </c>
      <c r="C835" t="s">
        <v>18</v>
      </c>
      <c r="D835" t="s">
        <v>87</v>
      </c>
      <c r="F835" t="s">
        <v>604</v>
      </c>
      <c r="G835" t="s">
        <v>89</v>
      </c>
      <c r="I835" s="66">
        <v>43559</v>
      </c>
      <c r="J835" s="6">
        <v>49607556.5</v>
      </c>
      <c r="L835">
        <v>49619948.5</v>
      </c>
      <c r="M835">
        <v>0.47568899999999997</v>
      </c>
      <c r="N835">
        <v>50000000</v>
      </c>
      <c r="O835">
        <v>1.5974999999999999</v>
      </c>
      <c r="P835" t="s">
        <v>42</v>
      </c>
      <c r="Q835" t="s">
        <v>23</v>
      </c>
      <c r="R835" s="66">
        <v>43377</v>
      </c>
      <c r="S835" s="6">
        <f>DataTable[HLD_MaturityDate] - DataTable[SEC_Issue_Date]</f>
        <v>182</v>
      </c>
      <c r="T835" s="66" t="str">
        <f>DataTable[HLD_Portfolio]&amp;DataTable[HLD_Date]</f>
        <v>SCBPLUS43383</v>
      </c>
      <c r="W835" t="b">
        <f>DataTable[HLD_SecCode]="CB18O18A"</f>
        <v>0</v>
      </c>
    </row>
    <row r="836" spans="1:23" x14ac:dyDescent="0.2">
      <c r="A836" s="66">
        <v>43383</v>
      </c>
      <c r="B836" t="s">
        <v>351</v>
      </c>
      <c r="C836" t="s">
        <v>18</v>
      </c>
      <c r="D836" t="s">
        <v>87</v>
      </c>
      <c r="F836" t="s">
        <v>890</v>
      </c>
      <c r="G836" t="s">
        <v>89</v>
      </c>
      <c r="I836" s="66">
        <v>43566</v>
      </c>
      <c r="J836" s="6">
        <v>198299298</v>
      </c>
      <c r="L836">
        <v>198299298</v>
      </c>
      <c r="M836">
        <v>0.50136999999999998</v>
      </c>
      <c r="N836">
        <v>200000000</v>
      </c>
      <c r="O836">
        <v>1.72</v>
      </c>
      <c r="P836" t="s">
        <v>42</v>
      </c>
      <c r="Q836" t="s">
        <v>23</v>
      </c>
      <c r="R836" s="66">
        <v>43384</v>
      </c>
      <c r="S836" s="6">
        <f>DataTable[HLD_MaturityDate] - DataTable[SEC_Issue_Date]</f>
        <v>182</v>
      </c>
      <c r="T836" s="66" t="str">
        <f>DataTable[HLD_Portfolio]&amp;DataTable[HLD_Date]</f>
        <v>SCBPLUS43383</v>
      </c>
      <c r="W836" t="b">
        <f>DataTable[HLD_SecCode]="CB18O18A"</f>
        <v>0</v>
      </c>
    </row>
    <row r="837" spans="1:23" x14ac:dyDescent="0.2">
      <c r="A837" s="66">
        <v>43383</v>
      </c>
      <c r="B837" t="s">
        <v>351</v>
      </c>
      <c r="C837" t="s">
        <v>18</v>
      </c>
      <c r="D837" t="s">
        <v>87</v>
      </c>
      <c r="F837" t="s">
        <v>605</v>
      </c>
      <c r="G837" t="s">
        <v>89</v>
      </c>
      <c r="I837" s="66">
        <v>43622</v>
      </c>
      <c r="J837" s="6">
        <v>168114538.5</v>
      </c>
      <c r="L837">
        <v>168263247.69999999</v>
      </c>
      <c r="M837">
        <v>0.64482300000000004</v>
      </c>
      <c r="N837">
        <v>170000000</v>
      </c>
      <c r="O837">
        <v>1.5829409999999999</v>
      </c>
      <c r="P837" t="s">
        <v>42</v>
      </c>
      <c r="Q837" t="s">
        <v>23</v>
      </c>
      <c r="R837" s="66">
        <v>43258</v>
      </c>
      <c r="S837" s="6">
        <f>DataTable[HLD_MaturityDate] - DataTable[SEC_Issue_Date]</f>
        <v>364</v>
      </c>
      <c r="T837" s="66" t="str">
        <f>DataTable[HLD_Portfolio]&amp;DataTable[HLD_Date]</f>
        <v>SCBPLUS43383</v>
      </c>
      <c r="W837" t="b">
        <f>DataTable[HLD_SecCode]="CB18O18A"</f>
        <v>0</v>
      </c>
    </row>
    <row r="838" spans="1:23" x14ac:dyDescent="0.2">
      <c r="A838" s="66">
        <v>43383</v>
      </c>
      <c r="B838" t="s">
        <v>351</v>
      </c>
      <c r="C838" t="s">
        <v>18</v>
      </c>
      <c r="D838" t="s">
        <v>87</v>
      </c>
      <c r="F838" t="s">
        <v>606</v>
      </c>
      <c r="G838" t="s">
        <v>89</v>
      </c>
      <c r="I838" s="66">
        <v>43713</v>
      </c>
      <c r="J838" s="6">
        <v>158433048.19999999</v>
      </c>
      <c r="L838">
        <v>158495308.50999999</v>
      </c>
      <c r="M838">
        <v>0.88699899999999998</v>
      </c>
      <c r="N838">
        <v>161000000</v>
      </c>
      <c r="O838">
        <v>1.7532140000000001</v>
      </c>
      <c r="P838" t="s">
        <v>42</v>
      </c>
      <c r="Q838" t="s">
        <v>23</v>
      </c>
      <c r="R838" s="66">
        <v>43349</v>
      </c>
      <c r="S838" s="6">
        <f>DataTable[HLD_MaturityDate] - DataTable[SEC_Issue_Date]</f>
        <v>364</v>
      </c>
      <c r="T838" s="66" t="str">
        <f>DataTable[HLD_Portfolio]&amp;DataTable[HLD_Date]</f>
        <v>SCBPLUS43383</v>
      </c>
      <c r="W838" t="b">
        <f>DataTable[HLD_SecCode]="CB18O18A"</f>
        <v>0</v>
      </c>
    </row>
    <row r="839" spans="1:23" x14ac:dyDescent="0.2">
      <c r="A839" s="66">
        <v>43383</v>
      </c>
      <c r="B839" t="s">
        <v>351</v>
      </c>
      <c r="C839" t="s">
        <v>18</v>
      </c>
      <c r="D839" t="s">
        <v>112</v>
      </c>
      <c r="F839" t="s">
        <v>607</v>
      </c>
      <c r="G839" t="s">
        <v>89</v>
      </c>
      <c r="I839" s="66">
        <v>43545</v>
      </c>
      <c r="J839" s="6">
        <v>144878387.05000001</v>
      </c>
      <c r="K839">
        <v>119178.4</v>
      </c>
      <c r="L839">
        <v>145094347.15000001</v>
      </c>
      <c r="M839">
        <v>0.43736700000000001</v>
      </c>
      <c r="N839">
        <v>145000000</v>
      </c>
      <c r="O839">
        <v>1.365</v>
      </c>
      <c r="P839" t="s">
        <v>42</v>
      </c>
      <c r="Q839" t="s">
        <v>23</v>
      </c>
      <c r="R839" s="66">
        <v>42450</v>
      </c>
      <c r="S839" s="6">
        <f>DataTable[HLD_MaturityDate] - DataTable[SEC_Issue_Date]</f>
        <v>1095</v>
      </c>
      <c r="T839" s="66" t="str">
        <f>DataTable[HLD_Portfolio]&amp;DataTable[HLD_Date]</f>
        <v>SCBPLUS43383</v>
      </c>
      <c r="W839" t="b">
        <f>DataTable[HLD_SecCode]="CB18O18A"</f>
        <v>0</v>
      </c>
    </row>
    <row r="840" spans="1:23" x14ac:dyDescent="0.2">
      <c r="A840" s="66">
        <v>43383</v>
      </c>
      <c r="B840" t="s">
        <v>351</v>
      </c>
      <c r="C840" t="s">
        <v>18</v>
      </c>
      <c r="D840" t="s">
        <v>112</v>
      </c>
      <c r="F840" t="s">
        <v>608</v>
      </c>
      <c r="G840" t="s">
        <v>89</v>
      </c>
      <c r="I840" s="66">
        <v>43917</v>
      </c>
      <c r="J840" s="6">
        <v>49874756.5</v>
      </c>
      <c r="K840">
        <v>33945</v>
      </c>
      <c r="L840">
        <v>50147059.5</v>
      </c>
      <c r="M840">
        <v>1.4304479999999999</v>
      </c>
      <c r="N840">
        <v>50000000</v>
      </c>
      <c r="O840">
        <v>1.5699799999999999</v>
      </c>
      <c r="P840" t="s">
        <v>42</v>
      </c>
      <c r="Q840" t="s">
        <v>23</v>
      </c>
      <c r="R840" s="66">
        <v>42821</v>
      </c>
      <c r="S840" s="6">
        <f>DataTable[HLD_MaturityDate] - DataTable[SEC_Issue_Date]</f>
        <v>1096</v>
      </c>
      <c r="T840" s="66" t="str">
        <f>DataTable[HLD_Portfolio]&amp;DataTable[HLD_Date]</f>
        <v>SCBPLUS43383</v>
      </c>
      <c r="W840" t="b">
        <f>DataTable[HLD_SecCode]="CB18O18A"</f>
        <v>0</v>
      </c>
    </row>
    <row r="841" spans="1:23" x14ac:dyDescent="0.2">
      <c r="A841" s="66">
        <v>43383</v>
      </c>
      <c r="B841" t="s">
        <v>351</v>
      </c>
      <c r="C841" t="s">
        <v>18</v>
      </c>
      <c r="D841" t="s">
        <v>112</v>
      </c>
      <c r="F841" t="s">
        <v>786</v>
      </c>
      <c r="G841" t="s">
        <v>89</v>
      </c>
      <c r="I841" s="66">
        <v>44070</v>
      </c>
      <c r="J841" s="6">
        <v>179192035.80000001</v>
      </c>
      <c r="K841">
        <v>403891.20000000001</v>
      </c>
      <c r="L841">
        <v>179510578.19999999</v>
      </c>
      <c r="M841">
        <v>1.8349569999999999</v>
      </c>
      <c r="N841">
        <v>180000000</v>
      </c>
      <c r="O841">
        <v>1.9634499999999999</v>
      </c>
      <c r="P841" t="s">
        <v>42</v>
      </c>
      <c r="Q841" t="s">
        <v>23</v>
      </c>
      <c r="R841" s="66">
        <v>43339</v>
      </c>
      <c r="S841" s="6">
        <f>DataTable[HLD_MaturityDate] - DataTable[SEC_Issue_Date]</f>
        <v>731</v>
      </c>
      <c r="T841" s="66" t="str">
        <f>DataTable[HLD_Portfolio]&amp;DataTable[HLD_Date]</f>
        <v>SCBPLUS43383</v>
      </c>
      <c r="W841" t="b">
        <f>DataTable[HLD_SecCode]="CB18O18A"</f>
        <v>0</v>
      </c>
    </row>
    <row r="842" spans="1:23" x14ac:dyDescent="0.2">
      <c r="A842" s="66">
        <v>43383</v>
      </c>
      <c r="B842" t="s">
        <v>351</v>
      </c>
      <c r="C842" t="s">
        <v>18</v>
      </c>
      <c r="D842" t="s">
        <v>112</v>
      </c>
      <c r="F842" t="s">
        <v>547</v>
      </c>
      <c r="G842" t="s">
        <v>89</v>
      </c>
      <c r="I842" s="66">
        <v>44099</v>
      </c>
      <c r="J842" s="6">
        <v>277475951.19999999</v>
      </c>
      <c r="K842">
        <v>192701.6</v>
      </c>
      <c r="L842">
        <v>280330204</v>
      </c>
      <c r="M842">
        <v>1.909146</v>
      </c>
      <c r="N842">
        <v>280000000</v>
      </c>
      <c r="O842">
        <v>1.5116959999999999</v>
      </c>
      <c r="P842" t="s">
        <v>42</v>
      </c>
      <c r="Q842" t="s">
        <v>23</v>
      </c>
      <c r="R842" s="66">
        <v>43003</v>
      </c>
      <c r="S842" s="6">
        <f>DataTable[HLD_MaturityDate] - DataTable[SEC_Issue_Date]</f>
        <v>1096</v>
      </c>
      <c r="T842" s="66" t="str">
        <f>DataTable[HLD_Portfolio]&amp;DataTable[HLD_Date]</f>
        <v>SCBPLUS43383</v>
      </c>
      <c r="W842" t="b">
        <f>DataTable[HLD_SecCode]="CB18O18A"</f>
        <v>0</v>
      </c>
    </row>
    <row r="843" spans="1:23" hidden="1" x14ac:dyDescent="0.2">
      <c r="A843" s="66">
        <v>43383</v>
      </c>
      <c r="B843" t="s">
        <v>351</v>
      </c>
      <c r="C843" t="s">
        <v>18</v>
      </c>
      <c r="D843" t="s">
        <v>112</v>
      </c>
      <c r="F843" t="s">
        <v>787</v>
      </c>
      <c r="G843" t="s">
        <v>788</v>
      </c>
      <c r="H843" t="s">
        <v>317</v>
      </c>
      <c r="I843" s="66">
        <v>44692</v>
      </c>
      <c r="J843" s="6">
        <v>18873475.390000001</v>
      </c>
      <c r="K843">
        <v>185570.15</v>
      </c>
      <c r="L843">
        <v>19326225.25</v>
      </c>
      <c r="M843">
        <v>3.3839839999999999</v>
      </c>
      <c r="N843">
        <v>19000000</v>
      </c>
      <c r="O843">
        <v>1.83</v>
      </c>
      <c r="P843" t="s">
        <v>42</v>
      </c>
      <c r="Q843" t="s">
        <v>23</v>
      </c>
      <c r="R843" s="66">
        <v>42866</v>
      </c>
      <c r="S843" s="6">
        <f>DataTable[HLD_MaturityDate] - DataTable[SEC_Issue_Date]</f>
        <v>1826</v>
      </c>
      <c r="T843" s="66" t="str">
        <f>DataTable[HLD_Portfolio]&amp;DataTable[HLD_Date]</f>
        <v>SCBPLUS43383</v>
      </c>
      <c r="W843" t="b">
        <f>DataTable[HLD_SecCode]="CB18O18A"</f>
        <v>0</v>
      </c>
    </row>
    <row r="844" spans="1:23" x14ac:dyDescent="0.2">
      <c r="A844" s="66">
        <v>43383</v>
      </c>
      <c r="B844" t="s">
        <v>351</v>
      </c>
      <c r="C844" t="s">
        <v>18</v>
      </c>
      <c r="D844" t="s">
        <v>112</v>
      </c>
      <c r="F844" t="s">
        <v>548</v>
      </c>
      <c r="G844" t="s">
        <v>85</v>
      </c>
      <c r="H844" t="s">
        <v>29</v>
      </c>
      <c r="I844" s="66">
        <v>44008</v>
      </c>
      <c r="J844" s="6">
        <v>129248111.36</v>
      </c>
      <c r="K844">
        <v>956843.52000000002</v>
      </c>
      <c r="L844">
        <v>130229614.08</v>
      </c>
      <c r="M844">
        <v>1.6547639999999999</v>
      </c>
      <c r="N844">
        <v>128000000</v>
      </c>
      <c r="O844">
        <v>1.5104610000000001</v>
      </c>
      <c r="P844" t="s">
        <v>42</v>
      </c>
      <c r="Q844" t="s">
        <v>23</v>
      </c>
      <c r="R844" s="66">
        <v>42181</v>
      </c>
      <c r="S844" s="6">
        <f>DataTable[HLD_MaturityDate] - DataTable[SEC_Issue_Date]</f>
        <v>1827</v>
      </c>
      <c r="T844" s="66" t="str">
        <f>DataTable[HLD_Portfolio]&amp;DataTable[HLD_Date]</f>
        <v>SCBPLUS43383</v>
      </c>
      <c r="W844" t="b">
        <f>DataTable[HLD_SecCode]="CB18O18A"</f>
        <v>0</v>
      </c>
    </row>
    <row r="845" spans="1:23" x14ac:dyDescent="0.2">
      <c r="A845" s="66">
        <v>43383</v>
      </c>
      <c r="B845" t="s">
        <v>351</v>
      </c>
      <c r="C845" t="s">
        <v>18</v>
      </c>
      <c r="D845" t="s">
        <v>112</v>
      </c>
      <c r="F845" t="s">
        <v>653</v>
      </c>
      <c r="G845" t="s">
        <v>85</v>
      </c>
      <c r="H845" t="s">
        <v>29</v>
      </c>
      <c r="I845" s="66">
        <v>44547</v>
      </c>
      <c r="J845" s="6">
        <v>70092697.219999999</v>
      </c>
      <c r="K845">
        <v>777200</v>
      </c>
      <c r="L845">
        <v>71230272.129999995</v>
      </c>
      <c r="M845">
        <v>2.974431</v>
      </c>
      <c r="N845">
        <v>67000000</v>
      </c>
      <c r="O845">
        <v>1.605507</v>
      </c>
      <c r="P845" t="s">
        <v>42</v>
      </c>
      <c r="Q845" t="s">
        <v>23</v>
      </c>
      <c r="R845" s="66">
        <v>40501</v>
      </c>
      <c r="S845" s="6">
        <f>DataTable[HLD_MaturityDate] - DataTable[SEC_Issue_Date]</f>
        <v>4046</v>
      </c>
      <c r="T845" s="66" t="str">
        <f>DataTable[HLD_Portfolio]&amp;DataTable[HLD_Date]</f>
        <v>SCBPLUS43383</v>
      </c>
      <c r="W845" t="b">
        <f>DataTable[HLD_SecCode]="CB18O18A"</f>
        <v>0</v>
      </c>
    </row>
    <row r="846" spans="1:23" x14ac:dyDescent="0.2">
      <c r="A846" s="66">
        <v>43383</v>
      </c>
      <c r="B846" t="s">
        <v>351</v>
      </c>
      <c r="C846" t="s">
        <v>18</v>
      </c>
      <c r="D846" t="s">
        <v>112</v>
      </c>
      <c r="F846" t="s">
        <v>611</v>
      </c>
      <c r="G846" t="s">
        <v>85</v>
      </c>
      <c r="H846" t="s">
        <v>29</v>
      </c>
      <c r="I846" s="66">
        <v>44912</v>
      </c>
      <c r="J846" s="6">
        <v>384575376.89999998</v>
      </c>
      <c r="K846">
        <v>2478902.4</v>
      </c>
      <c r="L846">
        <v>393208810.80000001</v>
      </c>
      <c r="M846">
        <v>3.961233</v>
      </c>
      <c r="N846">
        <v>390000000</v>
      </c>
      <c r="O846">
        <v>1.794038</v>
      </c>
      <c r="P846" t="s">
        <v>42</v>
      </c>
      <c r="Q846" t="s">
        <v>23</v>
      </c>
      <c r="R846" s="66">
        <v>42951</v>
      </c>
      <c r="S846" s="6">
        <f>DataTable[HLD_MaturityDate] - DataTable[SEC_Issue_Date]</f>
        <v>1961</v>
      </c>
      <c r="T846" s="66" t="str">
        <f>DataTable[HLD_Portfolio]&amp;DataTable[HLD_Date]</f>
        <v>SCBPLUS43383</v>
      </c>
      <c r="W846" t="b">
        <f>DataTable[HLD_SecCode]="CB18O18A"</f>
        <v>0</v>
      </c>
    </row>
    <row r="847" spans="1:23" x14ac:dyDescent="0.2">
      <c r="A847" s="66">
        <v>43383</v>
      </c>
      <c r="B847" t="s">
        <v>351</v>
      </c>
      <c r="C847" t="s">
        <v>18</v>
      </c>
      <c r="D847" t="s">
        <v>112</v>
      </c>
      <c r="F847" t="s">
        <v>612</v>
      </c>
      <c r="G847" t="s">
        <v>85</v>
      </c>
      <c r="H847" t="s">
        <v>29</v>
      </c>
      <c r="I847" s="66">
        <v>45277</v>
      </c>
      <c r="J847" s="6">
        <v>126738794.02</v>
      </c>
      <c r="K847">
        <v>459287.88</v>
      </c>
      <c r="L847">
        <v>127353112.06999999</v>
      </c>
      <c r="M847">
        <v>4.8279420000000002</v>
      </c>
      <c r="N847">
        <v>127000000</v>
      </c>
      <c r="O847">
        <v>2.34274</v>
      </c>
      <c r="P847" t="s">
        <v>42</v>
      </c>
      <c r="Q847" t="s">
        <v>23</v>
      </c>
      <c r="R847" s="66">
        <v>43329</v>
      </c>
      <c r="S847" s="6">
        <f>DataTable[HLD_MaturityDate] - DataTable[SEC_Issue_Date]</f>
        <v>1948</v>
      </c>
      <c r="T847" s="66" t="str">
        <f>DataTable[HLD_Portfolio]&amp;DataTable[HLD_Date]</f>
        <v>SCBPLUS43383</v>
      </c>
      <c r="W847" t="b">
        <f>DataTable[HLD_SecCode]="CB18O18A"</f>
        <v>0</v>
      </c>
    </row>
    <row r="848" spans="1:23" hidden="1" x14ac:dyDescent="0.2">
      <c r="A848" s="66">
        <v>43383</v>
      </c>
      <c r="B848" t="s">
        <v>351</v>
      </c>
      <c r="C848" t="s">
        <v>18</v>
      </c>
      <c r="D848" t="s">
        <v>109</v>
      </c>
      <c r="F848" t="s">
        <v>679</v>
      </c>
      <c r="G848" t="s">
        <v>678</v>
      </c>
      <c r="H848" t="s">
        <v>123</v>
      </c>
      <c r="I848" s="66">
        <v>44917</v>
      </c>
      <c r="J848" s="6">
        <v>29576539.800000001</v>
      </c>
      <c r="K848">
        <v>231731.4</v>
      </c>
      <c r="L848">
        <v>30000000</v>
      </c>
      <c r="M848">
        <v>3.9191639999999999</v>
      </c>
      <c r="N848">
        <v>30000000</v>
      </c>
      <c r="O848">
        <v>2.54</v>
      </c>
      <c r="P848" t="s">
        <v>42</v>
      </c>
      <c r="Q848" t="s">
        <v>23</v>
      </c>
      <c r="R848" s="66">
        <v>43091</v>
      </c>
      <c r="S848" s="6">
        <f>DataTable[HLD_MaturityDate] - DataTable[SEC_Issue_Date]</f>
        <v>1826</v>
      </c>
      <c r="T848" s="66" t="str">
        <f>DataTable[HLD_Portfolio]&amp;DataTable[HLD_Date]</f>
        <v>SCBPLUS43383</v>
      </c>
      <c r="W848" t="b">
        <f>DataTable[HLD_SecCode]="CB18O18A"</f>
        <v>0</v>
      </c>
    </row>
    <row r="849" spans="1:23" hidden="1" x14ac:dyDescent="0.2">
      <c r="A849" s="66">
        <v>43383</v>
      </c>
      <c r="B849" t="s">
        <v>351</v>
      </c>
      <c r="C849" t="s">
        <v>18</v>
      </c>
      <c r="D849" t="s">
        <v>109</v>
      </c>
      <c r="F849" t="s">
        <v>680</v>
      </c>
      <c r="G849" t="s">
        <v>501</v>
      </c>
      <c r="H849" t="s">
        <v>47</v>
      </c>
      <c r="I849" s="66">
        <v>44371</v>
      </c>
      <c r="J849" s="6">
        <v>59673273</v>
      </c>
      <c r="K849">
        <v>451528.8</v>
      </c>
      <c r="L849">
        <v>59930276.399999999</v>
      </c>
      <c r="M849">
        <v>2.5754860000000002</v>
      </c>
      <c r="N849">
        <v>60000000</v>
      </c>
      <c r="O849">
        <v>2.5627010000000001</v>
      </c>
      <c r="P849" t="s">
        <v>42</v>
      </c>
      <c r="Q849" t="s">
        <v>23</v>
      </c>
      <c r="R849" s="66">
        <v>42545</v>
      </c>
      <c r="S849" s="6">
        <f>DataTable[HLD_MaturityDate] - DataTable[SEC_Issue_Date]</f>
        <v>1826</v>
      </c>
      <c r="T849" s="66" t="str">
        <f>DataTable[HLD_Portfolio]&amp;DataTable[HLD_Date]</f>
        <v>SCBPLUS43383</v>
      </c>
      <c r="W849" t="b">
        <f>DataTable[HLD_SecCode]="CB18O18A"</f>
        <v>0</v>
      </c>
    </row>
    <row r="850" spans="1:23" hidden="1" x14ac:dyDescent="0.2">
      <c r="A850" s="66">
        <v>43383</v>
      </c>
      <c r="B850" t="s">
        <v>351</v>
      </c>
      <c r="C850" t="s">
        <v>18</v>
      </c>
      <c r="D850" t="s">
        <v>109</v>
      </c>
      <c r="F850" t="s">
        <v>500</v>
      </c>
      <c r="G850" t="s">
        <v>501</v>
      </c>
      <c r="H850" t="s">
        <v>47</v>
      </c>
      <c r="I850" s="66">
        <v>45021</v>
      </c>
      <c r="J850" s="6">
        <v>85644702.879999995</v>
      </c>
      <c r="K850">
        <v>35585.440000000002</v>
      </c>
      <c r="L850">
        <v>88000000</v>
      </c>
      <c r="M850">
        <v>4.2007459999999996</v>
      </c>
      <c r="N850">
        <v>88000000</v>
      </c>
      <c r="O850">
        <v>2.46</v>
      </c>
      <c r="P850" t="s">
        <v>42</v>
      </c>
      <c r="Q850" t="s">
        <v>23</v>
      </c>
      <c r="R850" s="66">
        <v>43195</v>
      </c>
      <c r="S850" s="6">
        <f>DataTable[HLD_MaturityDate] - DataTable[SEC_Issue_Date]</f>
        <v>1826</v>
      </c>
      <c r="T850" s="66" t="str">
        <f>DataTable[HLD_Portfolio]&amp;DataTable[HLD_Date]</f>
        <v>SCBPLUS43383</v>
      </c>
      <c r="W850" t="b">
        <f>DataTable[HLD_SecCode]="CB18O18A"</f>
        <v>0</v>
      </c>
    </row>
    <row r="851" spans="1:23" hidden="1" x14ac:dyDescent="0.2">
      <c r="A851" s="66">
        <v>43383</v>
      </c>
      <c r="B851" t="s">
        <v>351</v>
      </c>
      <c r="C851" t="s">
        <v>18</v>
      </c>
      <c r="D851" t="s">
        <v>109</v>
      </c>
      <c r="F851" t="s">
        <v>504</v>
      </c>
      <c r="G851" t="s">
        <v>257</v>
      </c>
      <c r="H851" t="s">
        <v>47</v>
      </c>
      <c r="I851" s="66">
        <v>44341</v>
      </c>
      <c r="J851" s="6">
        <v>188632942.40000001</v>
      </c>
      <c r="K851">
        <v>1664191</v>
      </c>
      <c r="L851">
        <v>189262592.90000001</v>
      </c>
      <c r="M851">
        <v>2.5065400000000002</v>
      </c>
      <c r="N851">
        <v>190000000</v>
      </c>
      <c r="O851">
        <v>2.449398</v>
      </c>
      <c r="P851" t="s">
        <v>42</v>
      </c>
      <c r="Q851" t="s">
        <v>23</v>
      </c>
      <c r="R851" s="66">
        <v>42515</v>
      </c>
      <c r="S851" s="6">
        <f>DataTable[HLD_MaturityDate] - DataTable[SEC_Issue_Date]</f>
        <v>1826</v>
      </c>
      <c r="T851" s="66" t="str">
        <f>DataTable[HLD_Portfolio]&amp;DataTable[HLD_Date]</f>
        <v>SCBPLUS43383</v>
      </c>
      <c r="W851" t="b">
        <f>DataTable[HLD_SecCode]="CB18O18A"</f>
        <v>0</v>
      </c>
    </row>
    <row r="852" spans="1:23" hidden="1" x14ac:dyDescent="0.2">
      <c r="A852" s="66">
        <v>43383</v>
      </c>
      <c r="B852" t="s">
        <v>351</v>
      </c>
      <c r="C852" t="s">
        <v>18</v>
      </c>
      <c r="D852" t="s">
        <v>109</v>
      </c>
      <c r="F852" t="s">
        <v>506</v>
      </c>
      <c r="G852" t="s">
        <v>257</v>
      </c>
      <c r="H852" t="s">
        <v>47</v>
      </c>
      <c r="I852" s="66">
        <v>45013</v>
      </c>
      <c r="J852" s="6">
        <v>13684577.060000001</v>
      </c>
      <c r="K852">
        <v>12565.42</v>
      </c>
      <c r="L852">
        <v>14000000</v>
      </c>
      <c r="M852">
        <v>4.1755339999999999</v>
      </c>
      <c r="N852">
        <v>14000000</v>
      </c>
      <c r="O852">
        <v>2.52</v>
      </c>
      <c r="P852" t="s">
        <v>42</v>
      </c>
      <c r="Q852" t="s">
        <v>23</v>
      </c>
      <c r="R852" s="66">
        <v>43187</v>
      </c>
      <c r="S852" s="6">
        <f>DataTable[HLD_MaturityDate] - DataTable[SEC_Issue_Date]</f>
        <v>1826</v>
      </c>
      <c r="T852" s="66" t="str">
        <f>DataTable[HLD_Portfolio]&amp;DataTable[HLD_Date]</f>
        <v>SCBPLUS43383</v>
      </c>
      <c r="W852" t="b">
        <f>DataTable[HLD_SecCode]="CB18O18A"</f>
        <v>0</v>
      </c>
    </row>
    <row r="853" spans="1:23" hidden="1" x14ac:dyDescent="0.2">
      <c r="A853" s="66">
        <v>43383</v>
      </c>
      <c r="B853" t="s">
        <v>351</v>
      </c>
      <c r="C853" t="s">
        <v>18</v>
      </c>
      <c r="D853" t="s">
        <v>109</v>
      </c>
      <c r="F853" t="s">
        <v>789</v>
      </c>
      <c r="G853" t="s">
        <v>194</v>
      </c>
      <c r="H853" t="s">
        <v>47</v>
      </c>
      <c r="I853" s="66">
        <v>44081</v>
      </c>
      <c r="J853" s="6">
        <v>99934938</v>
      </c>
      <c r="K853">
        <v>240329</v>
      </c>
      <c r="L853">
        <v>100000000</v>
      </c>
      <c r="M853">
        <v>1.8407230000000001</v>
      </c>
      <c r="N853">
        <v>100000000</v>
      </c>
      <c r="O853">
        <v>2.58</v>
      </c>
      <c r="P853" t="s">
        <v>42</v>
      </c>
      <c r="Q853" t="s">
        <v>23</v>
      </c>
      <c r="R853" s="66">
        <v>43350</v>
      </c>
      <c r="S853" s="6">
        <f>DataTable[HLD_MaturityDate] - DataTable[SEC_Issue_Date]</f>
        <v>731</v>
      </c>
      <c r="T853" s="66" t="str">
        <f>DataTable[HLD_Portfolio]&amp;DataTable[HLD_Date]</f>
        <v>SCBPLUS43383</v>
      </c>
      <c r="W853" t="b">
        <f>DataTable[HLD_SecCode]="CB18O18A"</f>
        <v>0</v>
      </c>
    </row>
    <row r="854" spans="1:23" hidden="1" x14ac:dyDescent="0.2">
      <c r="A854" s="66">
        <v>43383</v>
      </c>
      <c r="B854" t="s">
        <v>351</v>
      </c>
      <c r="C854" t="s">
        <v>18</v>
      </c>
      <c r="D854" t="s">
        <v>109</v>
      </c>
      <c r="F854" t="s">
        <v>510</v>
      </c>
      <c r="G854" t="s">
        <v>511</v>
      </c>
      <c r="H854" t="s">
        <v>123</v>
      </c>
      <c r="I854" s="66">
        <v>43997</v>
      </c>
      <c r="J854" s="6">
        <v>99509561</v>
      </c>
      <c r="K854">
        <v>720932</v>
      </c>
      <c r="L854">
        <v>100000000</v>
      </c>
      <c r="M854">
        <v>1.624603</v>
      </c>
      <c r="N854">
        <v>100000000</v>
      </c>
      <c r="O854">
        <v>2.23</v>
      </c>
      <c r="P854" t="s">
        <v>42</v>
      </c>
      <c r="Q854" t="s">
        <v>23</v>
      </c>
      <c r="R854" s="66">
        <v>43266</v>
      </c>
      <c r="S854" s="6">
        <f>DataTable[HLD_MaturityDate] - DataTable[SEC_Issue_Date]</f>
        <v>731</v>
      </c>
      <c r="T854" s="66" t="str">
        <f>DataTable[HLD_Portfolio]&amp;DataTable[HLD_Date]</f>
        <v>SCBPLUS43383</v>
      </c>
      <c r="W854" t="b">
        <f>DataTable[HLD_SecCode]="CB18O18A"</f>
        <v>0</v>
      </c>
    </row>
    <row r="855" spans="1:23" hidden="1" x14ac:dyDescent="0.2">
      <c r="A855" s="66">
        <v>43383</v>
      </c>
      <c r="B855" t="s">
        <v>351</v>
      </c>
      <c r="C855" t="s">
        <v>18</v>
      </c>
      <c r="D855" t="s">
        <v>109</v>
      </c>
      <c r="F855" t="s">
        <v>683</v>
      </c>
      <c r="G855" t="s">
        <v>684</v>
      </c>
      <c r="H855" t="s">
        <v>47</v>
      </c>
      <c r="I855" s="66">
        <v>44365</v>
      </c>
      <c r="J855" s="6">
        <v>33582030.859999999</v>
      </c>
      <c r="K855">
        <v>274235.5</v>
      </c>
      <c r="L855">
        <v>34000000</v>
      </c>
      <c r="M855">
        <v>2.5535399999999999</v>
      </c>
      <c r="N855">
        <v>34000000</v>
      </c>
      <c r="O855">
        <v>2.56</v>
      </c>
      <c r="P855" t="s">
        <v>42</v>
      </c>
      <c r="Q855" t="s">
        <v>23</v>
      </c>
      <c r="R855" s="66">
        <v>43269</v>
      </c>
      <c r="S855" s="6">
        <f>DataTable[HLD_MaturityDate] - DataTable[SEC_Issue_Date]</f>
        <v>1096</v>
      </c>
      <c r="T855" s="66" t="str">
        <f>DataTable[HLD_Portfolio]&amp;DataTable[HLD_Date]</f>
        <v>SCBPLUS43383</v>
      </c>
      <c r="W855" t="b">
        <f>DataTable[HLD_SecCode]="CB18O18A"</f>
        <v>0</v>
      </c>
    </row>
    <row r="856" spans="1:23" hidden="1" x14ac:dyDescent="0.2">
      <c r="A856" s="66">
        <v>43383</v>
      </c>
      <c r="B856" t="s">
        <v>351</v>
      </c>
      <c r="C856" t="s">
        <v>18</v>
      </c>
      <c r="D856" t="s">
        <v>109</v>
      </c>
      <c r="F856" t="s">
        <v>790</v>
      </c>
      <c r="G856" t="s">
        <v>111</v>
      </c>
      <c r="H856" t="s">
        <v>51</v>
      </c>
      <c r="I856" s="66">
        <v>44273</v>
      </c>
      <c r="J856" s="6">
        <v>10105743.5</v>
      </c>
      <c r="K856">
        <v>18589</v>
      </c>
      <c r="L856">
        <v>10012753</v>
      </c>
      <c r="M856">
        <v>2.3324959999999999</v>
      </c>
      <c r="N856">
        <v>10000000</v>
      </c>
      <c r="O856">
        <v>2.9</v>
      </c>
      <c r="P856" t="s">
        <v>42</v>
      </c>
      <c r="Q856" t="s">
        <v>23</v>
      </c>
      <c r="R856" s="66">
        <v>42447</v>
      </c>
      <c r="S856" s="6">
        <f>DataTable[HLD_MaturityDate] - DataTable[SEC_Issue_Date]</f>
        <v>1826</v>
      </c>
      <c r="T856" s="66" t="str">
        <f>DataTable[HLD_Portfolio]&amp;DataTable[HLD_Date]</f>
        <v>SCBPLUS43383</v>
      </c>
      <c r="W856" t="b">
        <f>DataTable[HLD_SecCode]="CB18O18A"</f>
        <v>0</v>
      </c>
    </row>
    <row r="857" spans="1:23" hidden="1" x14ac:dyDescent="0.2">
      <c r="A857" s="66">
        <v>43383</v>
      </c>
      <c r="B857" t="s">
        <v>351</v>
      </c>
      <c r="C857" t="s">
        <v>18</v>
      </c>
      <c r="D857" t="s">
        <v>109</v>
      </c>
      <c r="F857" t="s">
        <v>621</v>
      </c>
      <c r="G857" t="s">
        <v>196</v>
      </c>
      <c r="H857" t="s">
        <v>51</v>
      </c>
      <c r="I857" s="66">
        <v>45059</v>
      </c>
      <c r="J857" s="6">
        <v>98591025.650000006</v>
      </c>
      <c r="K857">
        <v>1564194.95</v>
      </c>
      <c r="L857">
        <v>99034450.5</v>
      </c>
      <c r="M857">
        <v>4.1200219999999996</v>
      </c>
      <c r="N857">
        <v>95000000</v>
      </c>
      <c r="O857">
        <v>2.9789469999999998</v>
      </c>
      <c r="P857" t="s">
        <v>42</v>
      </c>
      <c r="Q857" t="s">
        <v>23</v>
      </c>
      <c r="R857" s="66">
        <v>42137</v>
      </c>
      <c r="S857" s="6">
        <f>DataTable[HLD_MaturityDate] - DataTable[SEC_Issue_Date]</f>
        <v>2922</v>
      </c>
      <c r="T857" s="66" t="str">
        <f>DataTable[HLD_Portfolio]&amp;DataTable[HLD_Date]</f>
        <v>SCBPLUS43383</v>
      </c>
      <c r="W857" t="b">
        <f>DataTable[HLD_SecCode]="CB18O18A"</f>
        <v>0</v>
      </c>
    </row>
    <row r="858" spans="1:23" hidden="1" x14ac:dyDescent="0.2">
      <c r="A858" s="66">
        <v>43383</v>
      </c>
      <c r="B858" t="s">
        <v>351</v>
      </c>
      <c r="C858" t="s">
        <v>18</v>
      </c>
      <c r="D858" t="s">
        <v>109</v>
      </c>
      <c r="F858" t="s">
        <v>622</v>
      </c>
      <c r="G858" t="s">
        <v>196</v>
      </c>
      <c r="H858" t="s">
        <v>51</v>
      </c>
      <c r="I858" s="66">
        <v>45394</v>
      </c>
      <c r="J858" s="6">
        <v>811745947.20000005</v>
      </c>
      <c r="K858">
        <v>12654032.48</v>
      </c>
      <c r="L858">
        <v>810762993.60000002</v>
      </c>
      <c r="M858">
        <v>5.0184759999999997</v>
      </c>
      <c r="N858">
        <v>816000000</v>
      </c>
      <c r="O858">
        <v>3.2382840000000002</v>
      </c>
      <c r="P858" t="s">
        <v>42</v>
      </c>
      <c r="Q858" t="s">
        <v>23</v>
      </c>
      <c r="R858" s="66">
        <v>42472</v>
      </c>
      <c r="S858" s="6">
        <f>DataTable[HLD_MaturityDate] - DataTable[SEC_Issue_Date]</f>
        <v>2922</v>
      </c>
      <c r="T858" s="66" t="str">
        <f>DataTable[HLD_Portfolio]&amp;DataTable[HLD_Date]</f>
        <v>SCBPLUS43383</v>
      </c>
      <c r="W858" t="b">
        <f>DataTable[HLD_SecCode]="CB18O18A"</f>
        <v>0</v>
      </c>
    </row>
    <row r="859" spans="1:23" hidden="1" x14ac:dyDescent="0.2">
      <c r="A859" s="66">
        <v>43383</v>
      </c>
      <c r="B859" t="s">
        <v>351</v>
      </c>
      <c r="C859" t="s">
        <v>18</v>
      </c>
      <c r="D859" t="s">
        <v>109</v>
      </c>
      <c r="F859" t="s">
        <v>515</v>
      </c>
      <c r="G859" t="s">
        <v>196</v>
      </c>
      <c r="H859" t="s">
        <v>51</v>
      </c>
      <c r="I859" s="66">
        <v>45681</v>
      </c>
      <c r="J859" s="6">
        <v>37372347.159999996</v>
      </c>
      <c r="K859">
        <v>250852.06</v>
      </c>
      <c r="L859">
        <v>38000000</v>
      </c>
      <c r="M859">
        <v>5.632987</v>
      </c>
      <c r="N859">
        <v>38000000</v>
      </c>
      <c r="O859">
        <v>3.05</v>
      </c>
      <c r="P859" t="s">
        <v>42</v>
      </c>
      <c r="Q859" t="s">
        <v>23</v>
      </c>
      <c r="R859" s="66">
        <v>43124</v>
      </c>
      <c r="S859" s="6">
        <f>DataTable[HLD_MaturityDate] - DataTable[SEC_Issue_Date]</f>
        <v>2557</v>
      </c>
      <c r="T859" s="66" t="str">
        <f>DataTable[HLD_Portfolio]&amp;DataTable[HLD_Date]</f>
        <v>SCBPLUS43383</v>
      </c>
      <c r="W859" t="b">
        <f>DataTable[HLD_SecCode]="CB18O18A"</f>
        <v>0</v>
      </c>
    </row>
    <row r="860" spans="1:23" hidden="1" x14ac:dyDescent="0.2">
      <c r="A860" s="66">
        <v>43383</v>
      </c>
      <c r="B860" t="s">
        <v>351</v>
      </c>
      <c r="C860" t="s">
        <v>18</v>
      </c>
      <c r="D860" t="s">
        <v>109</v>
      </c>
      <c r="F860" t="s">
        <v>689</v>
      </c>
      <c r="G860" t="s">
        <v>199</v>
      </c>
      <c r="H860" t="s">
        <v>51</v>
      </c>
      <c r="I860" s="66">
        <v>45122</v>
      </c>
      <c r="J860" s="6">
        <v>510148022.39999998</v>
      </c>
      <c r="K860">
        <v>3799428.6</v>
      </c>
      <c r="L860">
        <v>510258911.69999999</v>
      </c>
      <c r="M860">
        <v>4.3670499999999999</v>
      </c>
      <c r="N860">
        <v>510000000</v>
      </c>
      <c r="O860">
        <v>3.0749059999999999</v>
      </c>
      <c r="P860" t="s">
        <v>42</v>
      </c>
      <c r="Q860" t="s">
        <v>23</v>
      </c>
      <c r="R860" s="66">
        <v>42566</v>
      </c>
      <c r="S860" s="6">
        <f>DataTable[HLD_MaturityDate] - DataTable[SEC_Issue_Date]</f>
        <v>2556</v>
      </c>
      <c r="T860" s="66" t="str">
        <f>DataTable[HLD_Portfolio]&amp;DataTable[HLD_Date]</f>
        <v>SCBPLUS43383</v>
      </c>
      <c r="W860" t="b">
        <f>DataTable[HLD_SecCode]="CB18O18A"</f>
        <v>0</v>
      </c>
    </row>
    <row r="861" spans="1:23" hidden="1" x14ac:dyDescent="0.2">
      <c r="A861" s="66">
        <v>43383</v>
      </c>
      <c r="B861" t="s">
        <v>351</v>
      </c>
      <c r="C861" t="s">
        <v>18</v>
      </c>
      <c r="D861" t="s">
        <v>109</v>
      </c>
      <c r="F861" t="s">
        <v>791</v>
      </c>
      <c r="G861" t="s">
        <v>792</v>
      </c>
      <c r="H861" t="s">
        <v>47</v>
      </c>
      <c r="I861" s="66">
        <v>44367</v>
      </c>
      <c r="J861" s="6">
        <v>471146445</v>
      </c>
      <c r="K861">
        <v>35404893.329999998</v>
      </c>
      <c r="L861">
        <v>494175000</v>
      </c>
      <c r="M861">
        <v>2.4805649999999999</v>
      </c>
      <c r="N861">
        <v>15000000</v>
      </c>
      <c r="O861">
        <v>3.2</v>
      </c>
      <c r="P861" t="s">
        <v>42</v>
      </c>
      <c r="Q861" t="s">
        <v>37</v>
      </c>
      <c r="R861" s="66">
        <v>42566</v>
      </c>
      <c r="S861" s="6">
        <f>DataTable[HLD_MaturityDate] - DataTable[SEC_Issue_Date]</f>
        <v>1801</v>
      </c>
      <c r="T861" s="66" t="str">
        <f>DataTable[HLD_Portfolio]&amp;DataTable[HLD_Date]</f>
        <v>SCBPLUS43383</v>
      </c>
      <c r="W861" t="b">
        <f>DataTable[HLD_SecCode]="CB18O18A"</f>
        <v>0</v>
      </c>
    </row>
    <row r="862" spans="1:23" hidden="1" x14ac:dyDescent="0.2">
      <c r="A862" s="66">
        <v>43383</v>
      </c>
      <c r="B862" t="s">
        <v>351</v>
      </c>
      <c r="C862" t="s">
        <v>18</v>
      </c>
      <c r="D862" t="s">
        <v>109</v>
      </c>
      <c r="F862" t="s">
        <v>793</v>
      </c>
      <c r="G862" t="s">
        <v>792</v>
      </c>
      <c r="H862" t="s">
        <v>47</v>
      </c>
      <c r="I862" s="66">
        <v>44367</v>
      </c>
      <c r="J862" s="6">
        <v>314031740</v>
      </c>
      <c r="K862">
        <v>24189866.25</v>
      </c>
      <c r="L862">
        <v>329450000</v>
      </c>
      <c r="M862">
        <v>2.4744269999999999</v>
      </c>
      <c r="N862">
        <v>10000000</v>
      </c>
      <c r="O862">
        <v>3.3</v>
      </c>
      <c r="P862" t="s">
        <v>42</v>
      </c>
      <c r="Q862" t="s">
        <v>37</v>
      </c>
      <c r="R862" s="66">
        <v>42571</v>
      </c>
      <c r="S862" s="6">
        <f>DataTable[HLD_MaturityDate] - DataTable[SEC_Issue_Date]</f>
        <v>1796</v>
      </c>
      <c r="T862" s="66" t="str">
        <f>DataTable[HLD_Portfolio]&amp;DataTable[HLD_Date]</f>
        <v>SCBPLUS43383</v>
      </c>
      <c r="W862" t="b">
        <f>DataTable[HLD_SecCode]="CB18O18A"</f>
        <v>0</v>
      </c>
    </row>
    <row r="863" spans="1:23" hidden="1" x14ac:dyDescent="0.2">
      <c r="A863" s="66">
        <v>43383</v>
      </c>
      <c r="B863" t="s">
        <v>351</v>
      </c>
      <c r="C863" t="s">
        <v>18</v>
      </c>
      <c r="D863" t="s">
        <v>109</v>
      </c>
      <c r="F863" t="s">
        <v>794</v>
      </c>
      <c r="G863" t="s">
        <v>795</v>
      </c>
      <c r="H863" t="s">
        <v>47</v>
      </c>
      <c r="I863" s="66">
        <v>44369</v>
      </c>
      <c r="J863" s="6">
        <v>679276100.34000003</v>
      </c>
      <c r="K863">
        <v>48075710.07</v>
      </c>
      <c r="L863">
        <v>658900000</v>
      </c>
      <c r="M863">
        <v>2.4836130000000001</v>
      </c>
      <c r="N863">
        <v>20000000</v>
      </c>
      <c r="O863">
        <v>3.2268910000000002</v>
      </c>
      <c r="P863" t="s">
        <v>42</v>
      </c>
      <c r="Q863" t="s">
        <v>37</v>
      </c>
      <c r="R863" s="66">
        <v>42558</v>
      </c>
      <c r="S863" s="6">
        <f>DataTable[HLD_MaturityDate] - DataTable[SEC_Issue_Date]</f>
        <v>1811</v>
      </c>
      <c r="T863" s="66" t="str">
        <f>DataTable[HLD_Portfolio]&amp;DataTable[HLD_Date]</f>
        <v>SCBPLUS43383</v>
      </c>
      <c r="W863" t="b">
        <f>DataTable[HLD_SecCode]="CB18O18A"</f>
        <v>0</v>
      </c>
    </row>
    <row r="864" spans="1:23" hidden="1" x14ac:dyDescent="0.2">
      <c r="A864" s="66">
        <v>43383</v>
      </c>
      <c r="B864" t="s">
        <v>351</v>
      </c>
      <c r="C864" t="s">
        <v>18</v>
      </c>
      <c r="D864" t="s">
        <v>109</v>
      </c>
      <c r="F864" t="s">
        <v>705</v>
      </c>
      <c r="G864" t="s">
        <v>568</v>
      </c>
      <c r="H864" t="s">
        <v>51</v>
      </c>
      <c r="I864" s="66">
        <v>44112</v>
      </c>
      <c r="J864" s="6">
        <v>150493492.5</v>
      </c>
      <c r="K864">
        <v>36862.5</v>
      </c>
      <c r="L864">
        <v>151657621.5</v>
      </c>
      <c r="M864">
        <v>1.9196599999999999</v>
      </c>
      <c r="N864">
        <v>150000000</v>
      </c>
      <c r="O864">
        <v>2.42</v>
      </c>
      <c r="P864" t="s">
        <v>42</v>
      </c>
      <c r="Q864" t="s">
        <v>23</v>
      </c>
      <c r="R864" s="66">
        <v>42285</v>
      </c>
      <c r="S864" s="6">
        <f>DataTable[HLD_MaturityDate] - DataTable[SEC_Issue_Date]</f>
        <v>1827</v>
      </c>
      <c r="T864" s="66" t="str">
        <f>DataTable[HLD_Portfolio]&amp;DataTable[HLD_Date]</f>
        <v>SCBPLUS43383</v>
      </c>
      <c r="W864" t="b">
        <f>DataTable[HLD_SecCode]="CB18O18A"</f>
        <v>0</v>
      </c>
    </row>
    <row r="865" spans="1:23" hidden="1" x14ac:dyDescent="0.2">
      <c r="A865" s="66">
        <v>43383</v>
      </c>
      <c r="B865" t="s">
        <v>351</v>
      </c>
      <c r="C865" t="s">
        <v>18</v>
      </c>
      <c r="D865" t="s">
        <v>109</v>
      </c>
      <c r="F865" t="s">
        <v>796</v>
      </c>
      <c r="G865" t="s">
        <v>80</v>
      </c>
      <c r="H865" t="s">
        <v>51</v>
      </c>
      <c r="I865" s="66">
        <v>44920</v>
      </c>
      <c r="J865" s="6">
        <v>255771017.5</v>
      </c>
      <c r="K865">
        <v>2589040</v>
      </c>
      <c r="L865">
        <v>256878060</v>
      </c>
      <c r="M865">
        <v>3.8562789999999998</v>
      </c>
      <c r="N865">
        <v>250000000</v>
      </c>
      <c r="O865">
        <v>2.8</v>
      </c>
      <c r="P865" t="s">
        <v>42</v>
      </c>
      <c r="Q865" t="s">
        <v>23</v>
      </c>
      <c r="R865" s="66">
        <v>42363</v>
      </c>
      <c r="S865" s="6">
        <f>DataTable[HLD_MaturityDate] - DataTable[SEC_Issue_Date]</f>
        <v>2557</v>
      </c>
      <c r="T865" s="66" t="str">
        <f>DataTable[HLD_Portfolio]&amp;DataTable[HLD_Date]</f>
        <v>SCBPLUS43383</v>
      </c>
      <c r="W865" t="b">
        <f>DataTable[HLD_SecCode]="CB18O18A"</f>
        <v>0</v>
      </c>
    </row>
    <row r="866" spans="1:23" hidden="1" x14ac:dyDescent="0.2">
      <c r="A866" s="66">
        <v>43383</v>
      </c>
      <c r="B866" t="s">
        <v>351</v>
      </c>
      <c r="C866" t="s">
        <v>18</v>
      </c>
      <c r="D866" t="s">
        <v>109</v>
      </c>
      <c r="F866" t="s">
        <v>797</v>
      </c>
      <c r="G866" t="s">
        <v>80</v>
      </c>
      <c r="H866" t="s">
        <v>51</v>
      </c>
      <c r="I866" s="66">
        <v>44865</v>
      </c>
      <c r="J866" s="6">
        <v>384716223.5</v>
      </c>
      <c r="K866">
        <v>8649315.5</v>
      </c>
      <c r="L866">
        <v>386606706.5</v>
      </c>
      <c r="M866">
        <v>3.577744</v>
      </c>
      <c r="N866">
        <v>350000000</v>
      </c>
      <c r="O866">
        <v>2.75</v>
      </c>
      <c r="P866" t="s">
        <v>42</v>
      </c>
      <c r="Q866" t="s">
        <v>23</v>
      </c>
      <c r="R866" s="66">
        <v>40998</v>
      </c>
      <c r="S866" s="6">
        <f>DataTable[HLD_MaturityDate] - DataTable[SEC_Issue_Date]</f>
        <v>3867</v>
      </c>
      <c r="T866" s="66" t="str">
        <f>DataTable[HLD_Portfolio]&amp;DataTable[HLD_Date]</f>
        <v>SCBPLUS43383</v>
      </c>
      <c r="W866" t="b">
        <f>DataTable[HLD_SecCode]="CB18O18A"</f>
        <v>0</v>
      </c>
    </row>
    <row r="867" spans="1:23" hidden="1" x14ac:dyDescent="0.2">
      <c r="A867" s="66">
        <v>43383</v>
      </c>
      <c r="B867" t="s">
        <v>351</v>
      </c>
      <c r="C867" t="s">
        <v>18</v>
      </c>
      <c r="D867" t="s">
        <v>109</v>
      </c>
      <c r="F867" t="s">
        <v>798</v>
      </c>
      <c r="G867" t="s">
        <v>80</v>
      </c>
      <c r="H867" t="s">
        <v>51</v>
      </c>
      <c r="I867" s="66">
        <v>44998</v>
      </c>
      <c r="J867" s="6">
        <v>107012116</v>
      </c>
      <c r="K867">
        <v>352877</v>
      </c>
      <c r="L867">
        <v>107450045</v>
      </c>
      <c r="M867">
        <v>3.992718</v>
      </c>
      <c r="N867">
        <v>100000000</v>
      </c>
      <c r="O867">
        <v>2.8</v>
      </c>
      <c r="P867" t="s">
        <v>42</v>
      </c>
      <c r="Q867" t="s">
        <v>23</v>
      </c>
      <c r="R867" s="66">
        <v>41346</v>
      </c>
      <c r="S867" s="6">
        <f>DataTable[HLD_MaturityDate] - DataTable[SEC_Issue_Date]</f>
        <v>3652</v>
      </c>
      <c r="T867" s="66" t="str">
        <f>DataTable[HLD_Portfolio]&amp;DataTable[HLD_Date]</f>
        <v>SCBPLUS43383</v>
      </c>
      <c r="W867" t="b">
        <f>DataTable[HLD_SecCode]="CB18O18A"</f>
        <v>0</v>
      </c>
    </row>
    <row r="868" spans="1:23" hidden="1" x14ac:dyDescent="0.2">
      <c r="A868" s="66">
        <v>43383</v>
      </c>
      <c r="B868" t="s">
        <v>351</v>
      </c>
      <c r="C868" t="s">
        <v>18</v>
      </c>
      <c r="D868" t="s">
        <v>109</v>
      </c>
      <c r="F868" t="s">
        <v>799</v>
      </c>
      <c r="G868" t="s">
        <v>80</v>
      </c>
      <c r="H868" t="s">
        <v>51</v>
      </c>
      <c r="I868" s="66">
        <v>45106</v>
      </c>
      <c r="J868" s="6">
        <v>237272554.19999999</v>
      </c>
      <c r="K868">
        <v>1769414.03</v>
      </c>
      <c r="L868">
        <v>239495061.50999999</v>
      </c>
      <c r="M868">
        <v>4.3540979999999996</v>
      </c>
      <c r="N868">
        <v>239500000</v>
      </c>
      <c r="O868">
        <v>2.78</v>
      </c>
      <c r="P868" t="s">
        <v>42</v>
      </c>
      <c r="Q868" t="s">
        <v>23</v>
      </c>
      <c r="R868" s="66">
        <v>43287</v>
      </c>
      <c r="S868" s="6">
        <f>DataTable[HLD_MaturityDate] - DataTable[SEC_Issue_Date]</f>
        <v>1819</v>
      </c>
      <c r="T868" s="66" t="str">
        <f>DataTable[HLD_Portfolio]&amp;DataTable[HLD_Date]</f>
        <v>SCBPLUS43383</v>
      </c>
      <c r="W868" t="b">
        <f>DataTable[HLD_SecCode]="CB18O18A"</f>
        <v>0</v>
      </c>
    </row>
    <row r="869" spans="1:23" hidden="1" x14ac:dyDescent="0.2">
      <c r="A869" s="66">
        <v>43383</v>
      </c>
      <c r="B869" t="s">
        <v>351</v>
      </c>
      <c r="C869" t="s">
        <v>18</v>
      </c>
      <c r="D869" t="s">
        <v>109</v>
      </c>
      <c r="F869" t="s">
        <v>525</v>
      </c>
      <c r="G869" t="s">
        <v>526</v>
      </c>
      <c r="H869" t="s">
        <v>47</v>
      </c>
      <c r="I869" s="66">
        <v>43813</v>
      </c>
      <c r="J869" s="6">
        <v>17962795.98</v>
      </c>
      <c r="K869">
        <v>116196.12</v>
      </c>
      <c r="L869">
        <v>18000000</v>
      </c>
      <c r="M869">
        <v>1.1482889999999999</v>
      </c>
      <c r="N869">
        <v>18000000</v>
      </c>
      <c r="O869">
        <v>1.98</v>
      </c>
      <c r="P869" t="s">
        <v>42</v>
      </c>
      <c r="Q869" t="s">
        <v>23</v>
      </c>
      <c r="R869" s="66">
        <v>43083</v>
      </c>
      <c r="S869" s="6">
        <f>DataTable[HLD_MaturityDate] - DataTable[SEC_Issue_Date]</f>
        <v>730</v>
      </c>
      <c r="T869" s="66" t="str">
        <f>DataTable[HLD_Portfolio]&amp;DataTable[HLD_Date]</f>
        <v>SCBPLUS43383</v>
      </c>
      <c r="W869" t="b">
        <f>DataTable[HLD_SecCode]="CB18O18A"</f>
        <v>0</v>
      </c>
    </row>
    <row r="870" spans="1:23" hidden="1" x14ac:dyDescent="0.2">
      <c r="A870" s="66">
        <v>43383</v>
      </c>
      <c r="B870" t="s">
        <v>351</v>
      </c>
      <c r="C870" t="s">
        <v>18</v>
      </c>
      <c r="D870" t="s">
        <v>109</v>
      </c>
      <c r="F870" t="s">
        <v>715</v>
      </c>
      <c r="G870" t="s">
        <v>716</v>
      </c>
      <c r="H870" t="s">
        <v>47</v>
      </c>
      <c r="I870" s="66">
        <v>44347</v>
      </c>
      <c r="J870" s="6">
        <v>173684101.5</v>
      </c>
      <c r="K870">
        <v>1511280.75</v>
      </c>
      <c r="L870">
        <v>174864830</v>
      </c>
      <c r="M870">
        <v>2.5165310000000001</v>
      </c>
      <c r="N870">
        <v>175000000</v>
      </c>
      <c r="O870">
        <v>2.398571</v>
      </c>
      <c r="P870" t="s">
        <v>42</v>
      </c>
      <c r="Q870" t="s">
        <v>23</v>
      </c>
      <c r="R870" s="66">
        <v>43251</v>
      </c>
      <c r="S870" s="6">
        <f>DataTable[HLD_MaturityDate] - DataTable[SEC_Issue_Date]</f>
        <v>1096</v>
      </c>
      <c r="T870" s="66" t="str">
        <f>DataTable[HLD_Portfolio]&amp;DataTable[HLD_Date]</f>
        <v>SCBPLUS43383</v>
      </c>
      <c r="W870" t="b">
        <f>DataTable[HLD_SecCode]="CB18O18A"</f>
        <v>0</v>
      </c>
    </row>
    <row r="871" spans="1:23" hidden="1" x14ac:dyDescent="0.2">
      <c r="A871" s="66">
        <v>43383</v>
      </c>
      <c r="B871" t="s">
        <v>351</v>
      </c>
      <c r="C871" t="s">
        <v>18</v>
      </c>
      <c r="D871" t="s">
        <v>109</v>
      </c>
      <c r="F871" t="s">
        <v>720</v>
      </c>
      <c r="G871" t="s">
        <v>230</v>
      </c>
      <c r="H871" t="s">
        <v>123</v>
      </c>
      <c r="I871" s="66">
        <v>43642</v>
      </c>
      <c r="J871" s="6">
        <v>75497242.5</v>
      </c>
      <c r="K871">
        <v>674979.75</v>
      </c>
      <c r="L871">
        <v>75424989.75</v>
      </c>
      <c r="M871">
        <v>0.69337000000000004</v>
      </c>
      <c r="N871">
        <v>75000000</v>
      </c>
      <c r="O871">
        <v>2.25</v>
      </c>
      <c r="P871" t="s">
        <v>42</v>
      </c>
      <c r="Q871" t="s">
        <v>23</v>
      </c>
      <c r="R871" s="66">
        <v>42181</v>
      </c>
      <c r="S871" s="6">
        <f>DataTable[HLD_MaturityDate] - DataTable[SEC_Issue_Date]</f>
        <v>1461</v>
      </c>
      <c r="T871" s="66" t="str">
        <f>DataTable[HLD_Portfolio]&amp;DataTable[HLD_Date]</f>
        <v>SCBPLUS43383</v>
      </c>
      <c r="W871" t="b">
        <f>DataTable[HLD_SecCode]="CB18O18A"</f>
        <v>0</v>
      </c>
    </row>
    <row r="872" spans="1:23" hidden="1" x14ac:dyDescent="0.2">
      <c r="A872" s="66">
        <v>43383</v>
      </c>
      <c r="B872" t="s">
        <v>351</v>
      </c>
      <c r="C872" t="s">
        <v>18</v>
      </c>
      <c r="D872" t="s">
        <v>109</v>
      </c>
      <c r="F872" t="s">
        <v>229</v>
      </c>
      <c r="G872" t="s">
        <v>230</v>
      </c>
      <c r="H872" t="s">
        <v>123</v>
      </c>
      <c r="I872" s="66">
        <v>44260</v>
      </c>
      <c r="J872" s="6">
        <v>5929175.8200000003</v>
      </c>
      <c r="K872">
        <v>12782.46</v>
      </c>
      <c r="L872">
        <v>6000000</v>
      </c>
      <c r="M872">
        <v>2.3130760000000001</v>
      </c>
      <c r="N872">
        <v>6000000</v>
      </c>
      <c r="O872">
        <v>2.16</v>
      </c>
      <c r="P872" t="s">
        <v>42</v>
      </c>
      <c r="Q872" t="s">
        <v>23</v>
      </c>
      <c r="R872" s="66">
        <v>43164</v>
      </c>
      <c r="S872" s="6">
        <f>DataTable[HLD_MaturityDate] - DataTable[SEC_Issue_Date]</f>
        <v>1096</v>
      </c>
      <c r="T872" s="66" t="str">
        <f>DataTable[HLD_Portfolio]&amp;DataTable[HLD_Date]</f>
        <v>SCBPLUS43383</v>
      </c>
      <c r="W872" t="b">
        <f>DataTable[HLD_SecCode]="CB18O18A"</f>
        <v>0</v>
      </c>
    </row>
    <row r="873" spans="1:23" hidden="1" x14ac:dyDescent="0.2">
      <c r="A873" s="66">
        <v>43383</v>
      </c>
      <c r="B873" t="s">
        <v>351</v>
      </c>
      <c r="C873" t="s">
        <v>18</v>
      </c>
      <c r="D873" t="s">
        <v>109</v>
      </c>
      <c r="F873" t="s">
        <v>232</v>
      </c>
      <c r="G873" t="s">
        <v>82</v>
      </c>
      <c r="H873" t="s">
        <v>47</v>
      </c>
      <c r="I873" s="66">
        <v>44270</v>
      </c>
      <c r="J873" s="6">
        <v>22768265.57</v>
      </c>
      <c r="K873">
        <v>34241.71</v>
      </c>
      <c r="L873">
        <v>23000000</v>
      </c>
      <c r="M873">
        <v>2.3435800000000002</v>
      </c>
      <c r="N873">
        <v>23000000</v>
      </c>
      <c r="O873">
        <v>2.09</v>
      </c>
      <c r="P873" t="s">
        <v>42</v>
      </c>
      <c r="Q873" t="s">
        <v>23</v>
      </c>
      <c r="R873" s="66">
        <v>43174</v>
      </c>
      <c r="S873" s="6">
        <f>DataTable[HLD_MaturityDate] - DataTable[SEC_Issue_Date]</f>
        <v>1096</v>
      </c>
      <c r="T873" s="66" t="str">
        <f>DataTable[HLD_Portfolio]&amp;DataTable[HLD_Date]</f>
        <v>SCBPLUS43383</v>
      </c>
      <c r="W873" t="b">
        <f>DataTable[HLD_SecCode]="CB18O18A"</f>
        <v>0</v>
      </c>
    </row>
    <row r="874" spans="1:23" hidden="1" x14ac:dyDescent="0.2">
      <c r="A874" s="66">
        <v>43383</v>
      </c>
      <c r="B874" t="s">
        <v>351</v>
      </c>
      <c r="C874" t="s">
        <v>18</v>
      </c>
      <c r="D874" t="s">
        <v>109</v>
      </c>
      <c r="F874" t="s">
        <v>800</v>
      </c>
      <c r="G874" t="s">
        <v>801</v>
      </c>
      <c r="H874" t="s">
        <v>47</v>
      </c>
      <c r="I874" s="66">
        <v>45139</v>
      </c>
      <c r="J874" s="6">
        <v>98112180</v>
      </c>
      <c r="K874">
        <v>554384</v>
      </c>
      <c r="L874">
        <v>100000000</v>
      </c>
      <c r="M874">
        <v>4.4288150000000002</v>
      </c>
      <c r="N874">
        <v>100000000</v>
      </c>
      <c r="O874">
        <v>2.85</v>
      </c>
      <c r="P874" t="s">
        <v>42</v>
      </c>
      <c r="Q874" t="s">
        <v>23</v>
      </c>
      <c r="R874" s="66">
        <v>42583</v>
      </c>
      <c r="S874" s="6">
        <f>DataTable[HLD_MaturityDate] - DataTable[SEC_Issue_Date]</f>
        <v>2556</v>
      </c>
      <c r="T874" s="66" t="str">
        <f>DataTable[HLD_Portfolio]&amp;DataTable[HLD_Date]</f>
        <v>SCBPLUS43383</v>
      </c>
      <c r="W874" t="b">
        <f>DataTable[HLD_SecCode]="CB18O18A"</f>
        <v>0</v>
      </c>
    </row>
    <row r="875" spans="1:23" hidden="1" x14ac:dyDescent="0.2">
      <c r="A875" s="66">
        <v>43383</v>
      </c>
      <c r="B875" t="s">
        <v>351</v>
      </c>
      <c r="C875" t="s">
        <v>18</v>
      </c>
      <c r="D875" t="s">
        <v>109</v>
      </c>
      <c r="F875" t="s">
        <v>584</v>
      </c>
      <c r="G875" t="s">
        <v>234</v>
      </c>
      <c r="H875" t="s">
        <v>203</v>
      </c>
      <c r="I875" s="66">
        <v>44639</v>
      </c>
      <c r="J875" s="6">
        <v>499326860</v>
      </c>
      <c r="K875">
        <v>964385</v>
      </c>
      <c r="L875">
        <v>500000000</v>
      </c>
      <c r="M875">
        <v>3.2221039999999999</v>
      </c>
      <c r="N875">
        <v>500000000</v>
      </c>
      <c r="O875">
        <v>3.2</v>
      </c>
      <c r="P875" t="s">
        <v>42</v>
      </c>
      <c r="Q875" t="s">
        <v>23</v>
      </c>
      <c r="R875" s="66">
        <v>43362</v>
      </c>
      <c r="S875" s="6">
        <f>DataTable[HLD_MaturityDate] - DataTable[SEC_Issue_Date]</f>
        <v>1277</v>
      </c>
      <c r="T875" s="66" t="str">
        <f>DataTable[HLD_Portfolio]&amp;DataTable[HLD_Date]</f>
        <v>SCBPLUS43383</v>
      </c>
      <c r="W875" t="b">
        <f>DataTable[HLD_SecCode]="CB18O18A"</f>
        <v>0</v>
      </c>
    </row>
    <row r="876" spans="1:23" hidden="1" x14ac:dyDescent="0.2">
      <c r="A876" s="66">
        <v>43383</v>
      </c>
      <c r="B876" t="s">
        <v>351</v>
      </c>
      <c r="C876" t="s">
        <v>18</v>
      </c>
      <c r="D876" t="s">
        <v>109</v>
      </c>
      <c r="F876" t="s">
        <v>632</v>
      </c>
      <c r="G876" t="s">
        <v>234</v>
      </c>
      <c r="H876" t="s">
        <v>203</v>
      </c>
      <c r="I876" s="66">
        <v>45007</v>
      </c>
      <c r="J876" s="6">
        <v>11763045.84</v>
      </c>
      <c r="K876">
        <v>17240.52</v>
      </c>
      <c r="L876">
        <v>12000000</v>
      </c>
      <c r="M876">
        <v>4.1363830000000004</v>
      </c>
      <c r="N876">
        <v>12000000</v>
      </c>
      <c r="O876">
        <v>2.76</v>
      </c>
      <c r="P876" t="s">
        <v>42</v>
      </c>
      <c r="Q876" t="s">
        <v>23</v>
      </c>
      <c r="R876" s="66">
        <v>43181</v>
      </c>
      <c r="S876" s="6">
        <f>DataTable[HLD_MaturityDate] - DataTable[SEC_Issue_Date]</f>
        <v>1826</v>
      </c>
      <c r="T876" s="66" t="str">
        <f>DataTable[HLD_Portfolio]&amp;DataTable[HLD_Date]</f>
        <v>SCBPLUS43383</v>
      </c>
      <c r="W876" t="b">
        <f>DataTable[HLD_SecCode]="CB18O18A"</f>
        <v>0</v>
      </c>
    </row>
    <row r="877" spans="1:23" hidden="1" x14ac:dyDescent="0.2">
      <c r="A877" s="66">
        <v>43383</v>
      </c>
      <c r="B877" t="s">
        <v>351</v>
      </c>
      <c r="C877" t="s">
        <v>18</v>
      </c>
      <c r="D877" t="s">
        <v>109</v>
      </c>
      <c r="F877" t="s">
        <v>802</v>
      </c>
      <c r="G877" t="s">
        <v>234</v>
      </c>
      <c r="H877" t="s">
        <v>203</v>
      </c>
      <c r="I877" s="66">
        <v>46834</v>
      </c>
      <c r="J877" s="6">
        <v>60584730.600000001</v>
      </c>
      <c r="K877">
        <v>112438.2</v>
      </c>
      <c r="L877">
        <v>60000000</v>
      </c>
      <c r="M877">
        <v>7.9431719999999997</v>
      </c>
      <c r="N877">
        <v>60000000</v>
      </c>
      <c r="O877">
        <v>3.6</v>
      </c>
      <c r="P877" t="s">
        <v>42</v>
      </c>
      <c r="Q877" t="s">
        <v>23</v>
      </c>
      <c r="R877" s="66">
        <v>43181</v>
      </c>
      <c r="S877" s="6">
        <f>DataTable[HLD_MaturityDate] - DataTable[SEC_Issue_Date]</f>
        <v>3653</v>
      </c>
      <c r="T877" s="66" t="str">
        <f>DataTable[HLD_Portfolio]&amp;DataTable[HLD_Date]</f>
        <v>SCBPLUS43383</v>
      </c>
      <c r="W877" t="b">
        <f>DataTable[HLD_SecCode]="CB18O18A"</f>
        <v>0</v>
      </c>
    </row>
    <row r="878" spans="1:23" hidden="1" x14ac:dyDescent="0.2">
      <c r="A878" s="66">
        <v>43383</v>
      </c>
      <c r="B878" t="s">
        <v>351</v>
      </c>
      <c r="C878" t="s">
        <v>18</v>
      </c>
      <c r="D878" t="s">
        <v>109</v>
      </c>
      <c r="F878" t="s">
        <v>533</v>
      </c>
      <c r="G878" t="s">
        <v>532</v>
      </c>
      <c r="H878" t="s">
        <v>47</v>
      </c>
      <c r="I878" s="66">
        <v>44269</v>
      </c>
      <c r="J878" s="6">
        <v>1982969.56</v>
      </c>
      <c r="K878">
        <v>3254.8</v>
      </c>
      <c r="L878">
        <v>2000000</v>
      </c>
      <c r="M878">
        <v>2.3377979999999998</v>
      </c>
      <c r="N878">
        <v>2000000</v>
      </c>
      <c r="O878">
        <v>2.2000000000000002</v>
      </c>
      <c r="P878" t="s">
        <v>42</v>
      </c>
      <c r="Q878" t="s">
        <v>23</v>
      </c>
      <c r="R878" s="66">
        <v>43173</v>
      </c>
      <c r="S878" s="6">
        <f>DataTable[HLD_MaturityDate] - DataTable[SEC_Issue_Date]</f>
        <v>1096</v>
      </c>
      <c r="T878" s="66" t="str">
        <f>DataTable[HLD_Portfolio]&amp;DataTable[HLD_Date]</f>
        <v>SCBPLUS43383</v>
      </c>
      <c r="W878" t="b">
        <f>DataTable[HLD_SecCode]="CB18O18A"</f>
        <v>0</v>
      </c>
    </row>
    <row r="879" spans="1:23" hidden="1" x14ac:dyDescent="0.2">
      <c r="A879" s="66">
        <v>43383</v>
      </c>
      <c r="B879" t="s">
        <v>351</v>
      </c>
      <c r="C879" t="s">
        <v>18</v>
      </c>
      <c r="D879" t="s">
        <v>109</v>
      </c>
      <c r="F879" t="s">
        <v>803</v>
      </c>
      <c r="G879" t="s">
        <v>804</v>
      </c>
      <c r="H879" t="s">
        <v>43</v>
      </c>
      <c r="I879" s="66">
        <v>44949</v>
      </c>
      <c r="J879" s="6">
        <v>48078285.75</v>
      </c>
      <c r="K879">
        <v>388133.28</v>
      </c>
      <c r="L879">
        <v>50357146.579999998</v>
      </c>
      <c r="M879">
        <v>3.9078020000000002</v>
      </c>
      <c r="N879">
        <v>1500000</v>
      </c>
      <c r="O879">
        <v>3.14615</v>
      </c>
      <c r="P879" t="s">
        <v>42</v>
      </c>
      <c r="Q879" t="s">
        <v>37</v>
      </c>
      <c r="R879" s="66">
        <v>41297</v>
      </c>
      <c r="S879" s="6">
        <f>DataTable[HLD_MaturityDate] - DataTable[SEC_Issue_Date]</f>
        <v>3652</v>
      </c>
      <c r="T879" s="66" t="str">
        <f>DataTable[HLD_Portfolio]&amp;DataTable[HLD_Date]</f>
        <v>SCBPLUS43383</v>
      </c>
      <c r="W879" t="b">
        <f>DataTable[HLD_SecCode]="CB18O18A"</f>
        <v>0</v>
      </c>
    </row>
    <row r="880" spans="1:23" hidden="1" x14ac:dyDescent="0.2">
      <c r="A880" s="66">
        <v>43383</v>
      </c>
      <c r="B880" t="s">
        <v>351</v>
      </c>
      <c r="C880" t="s">
        <v>18</v>
      </c>
      <c r="D880" t="s">
        <v>109</v>
      </c>
      <c r="F880" t="s">
        <v>668</v>
      </c>
      <c r="G880" t="s">
        <v>669</v>
      </c>
      <c r="H880" t="s">
        <v>47</v>
      </c>
      <c r="I880" s="66">
        <v>44375</v>
      </c>
      <c r="J880" s="6">
        <v>96625641.109999999</v>
      </c>
      <c r="K880">
        <v>697602.66</v>
      </c>
      <c r="L880">
        <v>97000000</v>
      </c>
      <c r="M880">
        <v>2.5881409999999998</v>
      </c>
      <c r="N880">
        <v>97000000</v>
      </c>
      <c r="O880">
        <v>2.5</v>
      </c>
      <c r="P880" t="s">
        <v>42</v>
      </c>
      <c r="Q880" t="s">
        <v>23</v>
      </c>
      <c r="R880" s="66">
        <v>43279</v>
      </c>
      <c r="S880" s="6">
        <f>DataTable[HLD_MaturityDate] - DataTable[SEC_Issue_Date]</f>
        <v>1096</v>
      </c>
      <c r="T880" s="66" t="str">
        <f>DataTable[HLD_Portfolio]&amp;DataTable[HLD_Date]</f>
        <v>SCBPLUS43383</v>
      </c>
      <c r="W880" t="b">
        <f>DataTable[HLD_SecCode]="CB18O18A"</f>
        <v>0</v>
      </c>
    </row>
    <row r="881" spans="1:23" hidden="1" x14ac:dyDescent="0.2">
      <c r="A881" s="66">
        <v>43383</v>
      </c>
      <c r="B881" t="s">
        <v>351</v>
      </c>
      <c r="C881" t="s">
        <v>18</v>
      </c>
      <c r="D881" t="s">
        <v>109</v>
      </c>
      <c r="F881" t="s">
        <v>535</v>
      </c>
      <c r="G881" t="s">
        <v>242</v>
      </c>
      <c r="H881" t="s">
        <v>29</v>
      </c>
      <c r="I881" s="66">
        <v>43431</v>
      </c>
      <c r="J881" s="6">
        <v>42014672.700000003</v>
      </c>
      <c r="K881">
        <v>585054.12</v>
      </c>
      <c r="L881">
        <v>42000000</v>
      </c>
      <c r="M881">
        <v>0.12844700000000001</v>
      </c>
      <c r="N881">
        <v>42000000</v>
      </c>
      <c r="O881">
        <v>2.2799999999999998</v>
      </c>
      <c r="P881" t="s">
        <v>42</v>
      </c>
      <c r="Q881" t="s">
        <v>23</v>
      </c>
      <c r="R881" s="66">
        <v>43161</v>
      </c>
      <c r="S881" s="6">
        <f>DataTable[HLD_MaturityDate] - DataTable[SEC_Issue_Date]</f>
        <v>270</v>
      </c>
      <c r="T881" s="66" t="str">
        <f>DataTable[HLD_Portfolio]&amp;DataTable[HLD_Date]</f>
        <v>SCBPLUS43383</v>
      </c>
      <c r="W881" t="b">
        <f>DataTable[HLD_SecCode]="CB18O18A"</f>
        <v>0</v>
      </c>
    </row>
    <row r="882" spans="1:23" hidden="1" x14ac:dyDescent="0.2">
      <c r="A882" s="66">
        <v>43383</v>
      </c>
      <c r="B882" t="s">
        <v>351</v>
      </c>
      <c r="C882" t="s">
        <v>18</v>
      </c>
      <c r="D882" t="s">
        <v>109</v>
      </c>
      <c r="F882" t="s">
        <v>536</v>
      </c>
      <c r="G882" t="s">
        <v>242</v>
      </c>
      <c r="H882" t="s">
        <v>29</v>
      </c>
      <c r="I882" s="66">
        <v>43391</v>
      </c>
      <c r="J882" s="6">
        <v>237004943.81999999</v>
      </c>
      <c r="K882">
        <v>1856717.25</v>
      </c>
      <c r="L882">
        <v>237000000</v>
      </c>
      <c r="M882">
        <v>1.9172000000000002E-2</v>
      </c>
      <c r="N882">
        <v>237000000</v>
      </c>
      <c r="O882">
        <v>2.15</v>
      </c>
      <c r="P882" t="s">
        <v>42</v>
      </c>
      <c r="Q882" t="s">
        <v>23</v>
      </c>
      <c r="R882" s="66">
        <v>43251</v>
      </c>
      <c r="S882" s="6">
        <f>DataTable[HLD_MaturityDate] - DataTable[SEC_Issue_Date]</f>
        <v>140</v>
      </c>
      <c r="T882" s="66" t="str">
        <f>DataTable[HLD_Portfolio]&amp;DataTable[HLD_Date]</f>
        <v>SCBPLUS43383</v>
      </c>
      <c r="W882" t="b">
        <f>DataTable[HLD_SecCode]="CB18O18A"</f>
        <v>0</v>
      </c>
    </row>
    <row r="883" spans="1:23" hidden="1" x14ac:dyDescent="0.2">
      <c r="A883" s="66">
        <v>43383</v>
      </c>
      <c r="B883" t="s">
        <v>351</v>
      </c>
      <c r="C883" t="s">
        <v>18</v>
      </c>
      <c r="D883" t="s">
        <v>109</v>
      </c>
      <c r="F883" t="s">
        <v>585</v>
      </c>
      <c r="G883" t="s">
        <v>242</v>
      </c>
      <c r="H883" t="s">
        <v>29</v>
      </c>
      <c r="I883" s="66">
        <v>43494</v>
      </c>
      <c r="J883" s="6">
        <v>22002871</v>
      </c>
      <c r="K883">
        <v>221808.18</v>
      </c>
      <c r="L883">
        <v>22000000</v>
      </c>
      <c r="M883">
        <v>0.29935499999999998</v>
      </c>
      <c r="N883">
        <v>22000000</v>
      </c>
      <c r="O883">
        <v>2.2999999999999998</v>
      </c>
      <c r="P883" t="s">
        <v>42</v>
      </c>
      <c r="Q883" t="s">
        <v>23</v>
      </c>
      <c r="R883" s="66">
        <v>43224</v>
      </c>
      <c r="S883" s="6">
        <f>DataTable[HLD_MaturityDate] - DataTable[SEC_Issue_Date]</f>
        <v>270</v>
      </c>
      <c r="T883" s="66" t="str">
        <f>DataTable[HLD_Portfolio]&amp;DataTable[HLD_Date]</f>
        <v>SCBPLUS43383</v>
      </c>
      <c r="W883" t="b">
        <f>DataTable[HLD_SecCode]="CB18O18A"</f>
        <v>0</v>
      </c>
    </row>
    <row r="884" spans="1:23" hidden="1" x14ac:dyDescent="0.2">
      <c r="A884" s="66">
        <v>43383</v>
      </c>
      <c r="B884" t="s">
        <v>351</v>
      </c>
      <c r="C884" t="s">
        <v>18</v>
      </c>
      <c r="D884" t="s">
        <v>109</v>
      </c>
      <c r="F884" t="s">
        <v>537</v>
      </c>
      <c r="G884" t="s">
        <v>242</v>
      </c>
      <c r="H884" t="s">
        <v>29</v>
      </c>
      <c r="I884" s="66">
        <v>43494</v>
      </c>
      <c r="J884" s="6">
        <v>155421850.78999999</v>
      </c>
      <c r="K884">
        <v>1331756.24</v>
      </c>
      <c r="L884">
        <v>155400000</v>
      </c>
      <c r="M884">
        <v>0.29935499999999998</v>
      </c>
      <c r="N884">
        <v>155400000</v>
      </c>
      <c r="O884">
        <v>2.2999999999999998</v>
      </c>
      <c r="P884" t="s">
        <v>42</v>
      </c>
      <c r="Q884" t="s">
        <v>23</v>
      </c>
      <c r="R884" s="66">
        <v>43248</v>
      </c>
      <c r="S884" s="6">
        <f>DataTable[HLD_MaturityDate] - DataTable[SEC_Issue_Date]</f>
        <v>246</v>
      </c>
      <c r="T884" s="66" t="str">
        <f>DataTable[HLD_Portfolio]&amp;DataTable[HLD_Date]</f>
        <v>SCBPLUS43383</v>
      </c>
      <c r="W884" t="b">
        <f>DataTable[HLD_SecCode]="CB18O18A"</f>
        <v>0</v>
      </c>
    </row>
    <row r="885" spans="1:23" hidden="1" x14ac:dyDescent="0.2">
      <c r="A885" s="66">
        <v>43383</v>
      </c>
      <c r="B885" t="s">
        <v>351</v>
      </c>
      <c r="C885" t="s">
        <v>18</v>
      </c>
      <c r="D885" t="s">
        <v>109</v>
      </c>
      <c r="F885" t="s">
        <v>670</v>
      </c>
      <c r="G885" t="s">
        <v>242</v>
      </c>
      <c r="H885" t="s">
        <v>29</v>
      </c>
      <c r="I885" s="66">
        <v>44875</v>
      </c>
      <c r="J885" s="6">
        <v>131296415.90000001</v>
      </c>
      <c r="K885">
        <v>2254306.6</v>
      </c>
      <c r="L885">
        <v>129974301.59999999</v>
      </c>
      <c r="M885">
        <v>3.6681819999999998</v>
      </c>
      <c r="N885">
        <v>130000000</v>
      </c>
      <c r="O885">
        <v>4.1100000000000003</v>
      </c>
      <c r="P885" t="s">
        <v>42</v>
      </c>
      <c r="Q885" t="s">
        <v>23</v>
      </c>
      <c r="R885" s="66">
        <v>42318</v>
      </c>
      <c r="S885" s="6">
        <f>DataTable[HLD_MaturityDate] - DataTable[SEC_Issue_Date]</f>
        <v>2557</v>
      </c>
      <c r="T885" s="66" t="str">
        <f>DataTable[HLD_Portfolio]&amp;DataTable[HLD_Date]</f>
        <v>SCBPLUS43383</v>
      </c>
      <c r="W885" t="b">
        <f>DataTable[HLD_SecCode]="CB18O18A"</f>
        <v>0</v>
      </c>
    </row>
    <row r="886" spans="1:23" hidden="1" x14ac:dyDescent="0.2">
      <c r="A886" s="66">
        <v>43383</v>
      </c>
      <c r="B886" t="s">
        <v>351</v>
      </c>
      <c r="C886" t="s">
        <v>18</v>
      </c>
      <c r="D886" t="s">
        <v>109</v>
      </c>
      <c r="F886" t="s">
        <v>805</v>
      </c>
      <c r="G886" t="s">
        <v>806</v>
      </c>
      <c r="H886" t="s">
        <v>41</v>
      </c>
      <c r="I886" s="66">
        <v>44958</v>
      </c>
      <c r="J886" s="6">
        <v>38954251.600000001</v>
      </c>
      <c r="K886">
        <v>181293.2</v>
      </c>
      <c r="L886">
        <v>40056559.600000001</v>
      </c>
      <c r="M886">
        <v>4.0441050000000001</v>
      </c>
      <c r="N886">
        <v>40000000</v>
      </c>
      <c r="O886">
        <v>2.2926250000000001</v>
      </c>
      <c r="P886" t="s">
        <v>42</v>
      </c>
      <c r="Q886" t="s">
        <v>23</v>
      </c>
      <c r="R886" s="66">
        <v>43132</v>
      </c>
      <c r="S886" s="6">
        <f>DataTable[HLD_MaturityDate] - DataTable[SEC_Issue_Date]</f>
        <v>1826</v>
      </c>
      <c r="T886" s="66" t="str">
        <f>DataTable[HLD_Portfolio]&amp;DataTable[HLD_Date]</f>
        <v>SCBPLUS43383</v>
      </c>
      <c r="W886" t="b">
        <f>DataTable[HLD_SecCode]="CB18O18A"</f>
        <v>0</v>
      </c>
    </row>
    <row r="887" spans="1:23" hidden="1" x14ac:dyDescent="0.2">
      <c r="A887" s="66">
        <v>43383</v>
      </c>
      <c r="B887" t="s">
        <v>351</v>
      </c>
      <c r="C887" t="s">
        <v>18</v>
      </c>
      <c r="D887" t="s">
        <v>109</v>
      </c>
      <c r="F887" t="s">
        <v>538</v>
      </c>
      <c r="G887" t="s">
        <v>244</v>
      </c>
      <c r="H887" t="s">
        <v>29</v>
      </c>
      <c r="I887" s="66">
        <v>43454</v>
      </c>
      <c r="J887" s="6">
        <v>35018108.649999999</v>
      </c>
      <c r="K887">
        <v>432273.8</v>
      </c>
      <c r="L887">
        <v>35000000</v>
      </c>
      <c r="M887">
        <v>0.19100300000000001</v>
      </c>
      <c r="N887">
        <v>35000000</v>
      </c>
      <c r="O887">
        <v>2.2999999999999998</v>
      </c>
      <c r="P887" t="s">
        <v>42</v>
      </c>
      <c r="Q887" t="s">
        <v>23</v>
      </c>
      <c r="R887" s="66">
        <v>43188</v>
      </c>
      <c r="S887" s="6">
        <f>DataTable[HLD_MaturityDate] - DataTable[SEC_Issue_Date]</f>
        <v>266</v>
      </c>
      <c r="T887" s="66" t="str">
        <f>DataTable[HLD_Portfolio]&amp;DataTable[HLD_Date]</f>
        <v>SCBPLUS43383</v>
      </c>
      <c r="W887" t="b">
        <f>DataTable[HLD_SecCode]="CB18O18A"</f>
        <v>0</v>
      </c>
    </row>
    <row r="888" spans="1:23" hidden="1" x14ac:dyDescent="0.2">
      <c r="A888" s="66">
        <v>43383</v>
      </c>
      <c r="B888" t="s">
        <v>351</v>
      </c>
      <c r="C888" t="s">
        <v>18</v>
      </c>
      <c r="D888" t="s">
        <v>109</v>
      </c>
      <c r="F888" t="s">
        <v>243</v>
      </c>
      <c r="G888" t="s">
        <v>244</v>
      </c>
      <c r="H888" t="s">
        <v>29</v>
      </c>
      <c r="I888" s="66">
        <v>43494</v>
      </c>
      <c r="J888" s="6">
        <v>66993780.390000001</v>
      </c>
      <c r="K888">
        <v>574180.62</v>
      </c>
      <c r="L888">
        <v>67000000</v>
      </c>
      <c r="M888">
        <v>0.29928500000000002</v>
      </c>
      <c r="N888">
        <v>67000000</v>
      </c>
      <c r="O888">
        <v>2.2999999999999998</v>
      </c>
      <c r="P888" t="s">
        <v>42</v>
      </c>
      <c r="Q888" t="s">
        <v>23</v>
      </c>
      <c r="R888" s="66">
        <v>43248</v>
      </c>
      <c r="S888" s="6">
        <f>DataTable[HLD_MaturityDate] - DataTable[SEC_Issue_Date]</f>
        <v>246</v>
      </c>
      <c r="T888" s="66" t="str">
        <f>DataTable[HLD_Portfolio]&amp;DataTable[HLD_Date]</f>
        <v>SCBPLUS43383</v>
      </c>
      <c r="W888" t="b">
        <f>DataTable[HLD_SecCode]="CB18O18A"</f>
        <v>0</v>
      </c>
    </row>
    <row r="889" spans="1:23" hidden="1" x14ac:dyDescent="0.2">
      <c r="A889" s="66">
        <v>43383</v>
      </c>
      <c r="B889" t="s">
        <v>351</v>
      </c>
      <c r="C889" t="s">
        <v>18</v>
      </c>
      <c r="D889" t="s">
        <v>109</v>
      </c>
      <c r="F889" t="s">
        <v>245</v>
      </c>
      <c r="G889" t="s">
        <v>244</v>
      </c>
      <c r="H889" t="s">
        <v>29</v>
      </c>
      <c r="I889" s="66">
        <v>44410</v>
      </c>
      <c r="J889" s="6">
        <v>137825464.5</v>
      </c>
      <c r="K889">
        <v>979232.82</v>
      </c>
      <c r="L889">
        <v>138000000</v>
      </c>
      <c r="M889">
        <v>2.638757</v>
      </c>
      <c r="N889">
        <v>138000000</v>
      </c>
      <c r="O889">
        <v>3.7</v>
      </c>
      <c r="P889" t="s">
        <v>42</v>
      </c>
      <c r="Q889" t="s">
        <v>23</v>
      </c>
      <c r="R889" s="66">
        <v>43314</v>
      </c>
      <c r="S889" s="6">
        <f>DataTable[HLD_MaturityDate] - DataTable[SEC_Issue_Date]</f>
        <v>1096</v>
      </c>
      <c r="T889" s="66" t="str">
        <f>DataTable[HLD_Portfolio]&amp;DataTable[HLD_Date]</f>
        <v>SCBPLUS43383</v>
      </c>
      <c r="W889" t="b">
        <f>DataTable[HLD_SecCode]="CB18O18A"</f>
        <v>0</v>
      </c>
    </row>
    <row r="890" spans="1:23" hidden="1" x14ac:dyDescent="0.2">
      <c r="A890" s="66">
        <v>43383</v>
      </c>
      <c r="B890" t="s">
        <v>351</v>
      </c>
      <c r="C890" t="s">
        <v>18</v>
      </c>
      <c r="D890" t="s">
        <v>109</v>
      </c>
      <c r="F890" t="s">
        <v>246</v>
      </c>
      <c r="G890" t="s">
        <v>247</v>
      </c>
      <c r="H890" t="s">
        <v>123</v>
      </c>
      <c r="I890" s="66">
        <v>44313</v>
      </c>
      <c r="J890" s="6">
        <v>30734568.699999999</v>
      </c>
      <c r="K890">
        <v>154269.64000000001</v>
      </c>
      <c r="L890">
        <v>31000000</v>
      </c>
      <c r="M890">
        <v>2.4463970000000002</v>
      </c>
      <c r="N890">
        <v>31000000</v>
      </c>
      <c r="O890">
        <v>2.39</v>
      </c>
      <c r="P890" t="s">
        <v>42</v>
      </c>
      <c r="Q890" t="s">
        <v>23</v>
      </c>
      <c r="R890" s="66">
        <v>43217</v>
      </c>
      <c r="S890" s="6">
        <f>DataTable[HLD_MaturityDate] - DataTable[SEC_Issue_Date]</f>
        <v>1096</v>
      </c>
      <c r="T890" s="66" t="str">
        <f>DataTable[HLD_Portfolio]&amp;DataTable[HLD_Date]</f>
        <v>SCBPLUS43383</v>
      </c>
      <c r="W890" t="b">
        <f>DataTable[HLD_SecCode]="CB18O18A"</f>
        <v>0</v>
      </c>
    </row>
    <row r="891" spans="1:23" hidden="1" x14ac:dyDescent="0.2">
      <c r="A891" s="66">
        <v>43383</v>
      </c>
      <c r="B891" t="s">
        <v>351</v>
      </c>
      <c r="C891" t="s">
        <v>18</v>
      </c>
      <c r="D891" t="s">
        <v>109</v>
      </c>
      <c r="F891" t="s">
        <v>248</v>
      </c>
      <c r="G891" t="s">
        <v>249</v>
      </c>
      <c r="H891" t="s">
        <v>47</v>
      </c>
      <c r="I891" s="66">
        <v>44285</v>
      </c>
      <c r="J891" s="6">
        <v>61531661.299999997</v>
      </c>
      <c r="K891">
        <v>42228.2</v>
      </c>
      <c r="L891">
        <v>62024808.68</v>
      </c>
      <c r="M891">
        <v>2.3912019999999998</v>
      </c>
      <c r="N891">
        <v>62000000</v>
      </c>
      <c r="O891">
        <v>2.2438709999999999</v>
      </c>
      <c r="P891" t="s">
        <v>42</v>
      </c>
      <c r="Q891" t="s">
        <v>23</v>
      </c>
      <c r="R891" s="66">
        <v>43189</v>
      </c>
      <c r="S891" s="6">
        <f>DataTable[HLD_MaturityDate] - DataTable[SEC_Issue_Date]</f>
        <v>1096</v>
      </c>
      <c r="T891" s="66" t="str">
        <f>DataTable[HLD_Portfolio]&amp;DataTable[HLD_Date]</f>
        <v>SCBPLUS43383</v>
      </c>
      <c r="W891" t="b">
        <f>DataTable[HLD_SecCode]="CB18O18A"</f>
        <v>0</v>
      </c>
    </row>
    <row r="892" spans="1:23" hidden="1" x14ac:dyDescent="0.2">
      <c r="A892" s="66">
        <v>43383</v>
      </c>
      <c r="B892" t="s">
        <v>351</v>
      </c>
      <c r="C892" t="s">
        <v>18</v>
      </c>
      <c r="D892" t="s">
        <v>109</v>
      </c>
      <c r="F892" t="s">
        <v>662</v>
      </c>
      <c r="G892" t="s">
        <v>663</v>
      </c>
      <c r="H892" t="s">
        <v>51</v>
      </c>
      <c r="I892" s="66">
        <v>44728</v>
      </c>
      <c r="J892" s="6">
        <v>2071204.44</v>
      </c>
      <c r="K892">
        <v>24618.080000000002</v>
      </c>
      <c r="L892">
        <v>2107952.6</v>
      </c>
      <c r="M892">
        <v>3.3849580000000001</v>
      </c>
      <c r="N892">
        <v>2000000</v>
      </c>
      <c r="O892">
        <v>2.2999999999999998</v>
      </c>
      <c r="P892" t="s">
        <v>42</v>
      </c>
      <c r="Q892" t="s">
        <v>23</v>
      </c>
      <c r="R892" s="66">
        <v>42171</v>
      </c>
      <c r="S892" s="6">
        <f>DataTable[HLD_MaturityDate] - DataTable[SEC_Issue_Date]</f>
        <v>2557</v>
      </c>
      <c r="T892" s="66" t="str">
        <f>DataTable[HLD_Portfolio]&amp;DataTable[HLD_Date]</f>
        <v>SCBPLUS43383</v>
      </c>
      <c r="W892" t="b">
        <f>DataTable[HLD_SecCode]="CB18O18A"</f>
        <v>0</v>
      </c>
    </row>
    <row r="893" spans="1:23" hidden="1" x14ac:dyDescent="0.2">
      <c r="A893" s="66">
        <v>43383</v>
      </c>
      <c r="B893" t="s">
        <v>351</v>
      </c>
      <c r="C893" t="s">
        <v>18</v>
      </c>
      <c r="D893" t="s">
        <v>109</v>
      </c>
      <c r="F893" t="s">
        <v>700</v>
      </c>
      <c r="G893" t="s">
        <v>524</v>
      </c>
      <c r="H893" t="s">
        <v>41</v>
      </c>
      <c r="I893" s="66">
        <v>44355</v>
      </c>
      <c r="J893" s="6">
        <v>31617261.120000001</v>
      </c>
      <c r="K893">
        <v>253150.72</v>
      </c>
      <c r="L893">
        <v>32000000</v>
      </c>
      <c r="M893">
        <v>2.5386139999999999</v>
      </c>
      <c r="N893">
        <v>32000000</v>
      </c>
      <c r="O893">
        <v>2.31</v>
      </c>
      <c r="P893" t="s">
        <v>42</v>
      </c>
      <c r="Q893" t="s">
        <v>23</v>
      </c>
      <c r="R893" s="66">
        <v>43259</v>
      </c>
      <c r="S893" s="6">
        <f>DataTable[HLD_MaturityDate] - DataTable[SEC_Issue_Date]</f>
        <v>1096</v>
      </c>
      <c r="T893" s="66" t="str">
        <f>DataTable[HLD_Portfolio]&amp;DataTable[HLD_Date]</f>
        <v>SCBPLUS43383</v>
      </c>
      <c r="W893" t="b">
        <f>DataTable[HLD_SecCode]="CB18O18A"</f>
        <v>0</v>
      </c>
    </row>
    <row r="894" spans="1:23" hidden="1" x14ac:dyDescent="0.2">
      <c r="A894" s="66">
        <v>43383</v>
      </c>
      <c r="B894" t="s">
        <v>351</v>
      </c>
      <c r="C894" t="s">
        <v>18</v>
      </c>
      <c r="D894" t="s">
        <v>109</v>
      </c>
      <c r="F894" t="s">
        <v>807</v>
      </c>
      <c r="G894" t="s">
        <v>808</v>
      </c>
      <c r="I894" s="66">
        <v>44518</v>
      </c>
      <c r="J894" s="6">
        <v>129003033.90000001</v>
      </c>
      <c r="K894">
        <v>1560000</v>
      </c>
      <c r="L894">
        <v>130000000</v>
      </c>
      <c r="M894">
        <v>2.904623</v>
      </c>
      <c r="N894">
        <v>130000000</v>
      </c>
      <c r="O894">
        <v>3</v>
      </c>
      <c r="P894" t="s">
        <v>42</v>
      </c>
      <c r="Q894" t="s">
        <v>23</v>
      </c>
      <c r="R894" s="66">
        <v>42692</v>
      </c>
      <c r="S894" s="6">
        <f>DataTable[HLD_MaturityDate] - DataTable[SEC_Issue_Date]</f>
        <v>1826</v>
      </c>
      <c r="T894" s="66" t="str">
        <f>DataTable[HLD_Portfolio]&amp;DataTable[HLD_Date]</f>
        <v>SCBPLUS43383</v>
      </c>
      <c r="W894" t="b">
        <f>DataTable[HLD_SecCode]="CB18O18A"</f>
        <v>0</v>
      </c>
    </row>
    <row r="895" spans="1:23" hidden="1" x14ac:dyDescent="0.2">
      <c r="A895" s="66">
        <v>43383</v>
      </c>
      <c r="B895" t="s">
        <v>351</v>
      </c>
      <c r="C895" t="s">
        <v>18</v>
      </c>
      <c r="D895" t="s">
        <v>109</v>
      </c>
      <c r="F895" t="s">
        <v>656</v>
      </c>
      <c r="G895" t="s">
        <v>657</v>
      </c>
      <c r="H895" t="s">
        <v>123</v>
      </c>
      <c r="I895" s="66">
        <v>44399</v>
      </c>
      <c r="J895" s="6">
        <v>297141141</v>
      </c>
      <c r="K895">
        <v>1577835</v>
      </c>
      <c r="L895">
        <v>300000000</v>
      </c>
      <c r="M895">
        <v>2.6589749999999999</v>
      </c>
      <c r="N895">
        <v>300000000</v>
      </c>
      <c r="O895">
        <v>2.37</v>
      </c>
      <c r="P895" t="s">
        <v>42</v>
      </c>
      <c r="Q895" t="s">
        <v>23</v>
      </c>
      <c r="R895" s="66">
        <v>42573</v>
      </c>
      <c r="S895" s="6">
        <f>DataTable[HLD_MaturityDate] - DataTable[SEC_Issue_Date]</f>
        <v>1826</v>
      </c>
      <c r="T895" s="66" t="str">
        <f>DataTable[HLD_Portfolio]&amp;DataTable[HLD_Date]</f>
        <v>SCBPLUS43383</v>
      </c>
      <c r="W895" t="b">
        <f>DataTable[HLD_SecCode]="CB18O18A"</f>
        <v>0</v>
      </c>
    </row>
    <row r="896" spans="1:23" hidden="1" x14ac:dyDescent="0.2">
      <c r="A896" s="66">
        <v>43383</v>
      </c>
      <c r="B896" t="s">
        <v>351</v>
      </c>
      <c r="C896" t="s">
        <v>18</v>
      </c>
      <c r="D896" t="s">
        <v>262</v>
      </c>
      <c r="F896" t="s">
        <v>809</v>
      </c>
      <c r="G896" t="s">
        <v>810</v>
      </c>
      <c r="H896" t="s">
        <v>519</v>
      </c>
      <c r="I896" s="66">
        <v>43628</v>
      </c>
      <c r="J896" s="6">
        <v>367921588.06</v>
      </c>
      <c r="K896">
        <v>4092647.53</v>
      </c>
      <c r="L896">
        <v>368984000</v>
      </c>
      <c r="M896">
        <v>0.66560699999999995</v>
      </c>
      <c r="N896">
        <v>11200000</v>
      </c>
      <c r="O896">
        <v>3.3</v>
      </c>
      <c r="P896" t="s">
        <v>42</v>
      </c>
      <c r="Q896" t="s">
        <v>37</v>
      </c>
      <c r="R896" s="66">
        <v>43263</v>
      </c>
      <c r="S896" s="6">
        <f>DataTable[HLD_MaturityDate] - DataTable[SEC_Issue_Date]</f>
        <v>365</v>
      </c>
      <c r="T896" s="66" t="str">
        <f>DataTable[HLD_Portfolio]&amp;DataTable[HLD_Date]</f>
        <v>SCBPLUS43383</v>
      </c>
      <c r="W896" t="b">
        <f>DataTable[HLD_SecCode]="CB18O18A"</f>
        <v>0</v>
      </c>
    </row>
    <row r="897" spans="1:23" hidden="1" x14ac:dyDescent="0.2">
      <c r="A897" s="66">
        <v>43383</v>
      </c>
      <c r="B897" t="s">
        <v>351</v>
      </c>
      <c r="C897" t="s">
        <v>18</v>
      </c>
      <c r="D897" t="s">
        <v>262</v>
      </c>
      <c r="F897" t="s">
        <v>811</v>
      </c>
      <c r="G897" t="s">
        <v>264</v>
      </c>
      <c r="H897" t="s">
        <v>47</v>
      </c>
      <c r="I897" s="66">
        <v>43572</v>
      </c>
      <c r="J897" s="6">
        <v>635404781.84000003</v>
      </c>
      <c r="K897">
        <v>9878810.8300000001</v>
      </c>
      <c r="L897">
        <v>635838500</v>
      </c>
      <c r="M897">
        <v>0.516432</v>
      </c>
      <c r="N897">
        <v>19300000</v>
      </c>
      <c r="O897">
        <v>3.16</v>
      </c>
      <c r="P897" t="s">
        <v>42</v>
      </c>
      <c r="Q897" t="s">
        <v>37</v>
      </c>
      <c r="R897" s="66">
        <v>43207</v>
      </c>
      <c r="S897" s="6">
        <f>DataTable[HLD_MaturityDate] - DataTable[SEC_Issue_Date]</f>
        <v>365</v>
      </c>
      <c r="T897" s="66" t="str">
        <f>DataTable[HLD_Portfolio]&amp;DataTable[HLD_Date]</f>
        <v>SCBPLUS43383</v>
      </c>
      <c r="W897" t="b">
        <f>DataTable[HLD_SecCode]="CB18O18A"</f>
        <v>0</v>
      </c>
    </row>
    <row r="898" spans="1:23" hidden="1" x14ac:dyDescent="0.2">
      <c r="A898" s="66">
        <v>43383</v>
      </c>
      <c r="B898" t="s">
        <v>351</v>
      </c>
      <c r="C898" t="s">
        <v>18</v>
      </c>
      <c r="D898" t="s">
        <v>262</v>
      </c>
      <c r="F898" t="s">
        <v>812</v>
      </c>
      <c r="G898" t="s">
        <v>813</v>
      </c>
      <c r="H898" t="s">
        <v>51</v>
      </c>
      <c r="I898" s="66">
        <v>44470</v>
      </c>
      <c r="J898" s="6">
        <v>95765041.590000004</v>
      </c>
      <c r="K898">
        <v>85327.55</v>
      </c>
      <c r="L898">
        <v>99321684.299999997</v>
      </c>
      <c r="M898">
        <v>2.8187449999999998</v>
      </c>
      <c r="N898">
        <v>3000000</v>
      </c>
      <c r="O898">
        <v>2.9335770000000001</v>
      </c>
      <c r="P898" t="s">
        <v>42</v>
      </c>
      <c r="Q898" t="s">
        <v>37</v>
      </c>
      <c r="R898" s="66">
        <v>42461</v>
      </c>
      <c r="S898" s="6">
        <f>DataTable[HLD_MaturityDate] - DataTable[SEC_Issue_Date]</f>
        <v>2009</v>
      </c>
      <c r="T898" s="66" t="str">
        <f>DataTable[HLD_Portfolio]&amp;DataTable[HLD_Date]</f>
        <v>SCBPLUS43383</v>
      </c>
      <c r="W898" t="b">
        <f>DataTable[HLD_SecCode]="CB18O18A"</f>
        <v>0</v>
      </c>
    </row>
    <row r="899" spans="1:23" hidden="1" x14ac:dyDescent="0.2">
      <c r="A899" s="66">
        <v>43383</v>
      </c>
      <c r="B899" t="s">
        <v>351</v>
      </c>
      <c r="C899" t="s">
        <v>18</v>
      </c>
      <c r="D899" t="s">
        <v>749</v>
      </c>
      <c r="E899" t="s">
        <v>749</v>
      </c>
      <c r="F899" t="s">
        <v>814</v>
      </c>
      <c r="G899" t="s">
        <v>815</v>
      </c>
      <c r="I899" s="66">
        <v>47848</v>
      </c>
      <c r="J899" s="6">
        <v>486195171.64999998</v>
      </c>
      <c r="L899">
        <v>467514130.23000002</v>
      </c>
      <c r="M899">
        <v>0</v>
      </c>
      <c r="N899">
        <v>1501300.44</v>
      </c>
      <c r="O899">
        <v>0</v>
      </c>
      <c r="P899" t="s">
        <v>42</v>
      </c>
      <c r="Q899" t="s">
        <v>37</v>
      </c>
      <c r="R899" s="66">
        <v>43070</v>
      </c>
      <c r="S899" s="6">
        <f>DataTable[HLD_MaturityDate] - DataTable[SEC_Issue_Date]</f>
        <v>4778</v>
      </c>
      <c r="T899" s="66" t="str">
        <f>DataTable[HLD_Portfolio]&amp;DataTable[HLD_Date]</f>
        <v>SCBPLUS43383</v>
      </c>
      <c r="W899" t="b">
        <f>DataTable[HLD_SecCode]="CB18O18A"</f>
        <v>0</v>
      </c>
    </row>
    <row r="900" spans="1:23" hidden="1" x14ac:dyDescent="0.2">
      <c r="A900" s="66">
        <v>43383</v>
      </c>
      <c r="B900" t="s">
        <v>351</v>
      </c>
      <c r="C900" t="s">
        <v>18</v>
      </c>
      <c r="D900" t="s">
        <v>749</v>
      </c>
      <c r="E900" t="s">
        <v>749</v>
      </c>
      <c r="F900" t="s">
        <v>816</v>
      </c>
      <c r="G900" t="s">
        <v>815</v>
      </c>
      <c r="I900" s="66">
        <v>47848</v>
      </c>
      <c r="J900" s="6">
        <v>486582072.52999997</v>
      </c>
      <c r="L900">
        <v>471305087.43000001</v>
      </c>
      <c r="M900">
        <v>0</v>
      </c>
      <c r="N900">
        <v>1172133.1599999999</v>
      </c>
      <c r="O900">
        <v>0</v>
      </c>
      <c r="P900" t="s">
        <v>42</v>
      </c>
      <c r="Q900" t="s">
        <v>33</v>
      </c>
      <c r="R900" s="66">
        <v>42905</v>
      </c>
      <c r="S900" s="6">
        <f>DataTable[HLD_MaturityDate] - DataTable[SEC_Issue_Date]</f>
        <v>4943</v>
      </c>
      <c r="T900" s="66" t="str">
        <f>DataTable[HLD_Portfolio]&amp;DataTable[HLD_Date]</f>
        <v>SCBPLUS43383</v>
      </c>
      <c r="W900" t="b">
        <f>DataTable[HLD_SecCode]="CB18O18A"</f>
        <v>0</v>
      </c>
    </row>
    <row r="901" spans="1:23" hidden="1" x14ac:dyDescent="0.2">
      <c r="A901" s="66">
        <v>43383</v>
      </c>
      <c r="B901" t="s">
        <v>351</v>
      </c>
      <c r="C901" t="s">
        <v>113</v>
      </c>
      <c r="D901" t="s">
        <v>114</v>
      </c>
      <c r="F901" t="s">
        <v>817</v>
      </c>
      <c r="G901" t="s">
        <v>21</v>
      </c>
      <c r="H901" t="s">
        <v>317</v>
      </c>
      <c r="I901" s="66">
        <v>43412</v>
      </c>
      <c r="J901" s="6">
        <v>-12264746.630000001</v>
      </c>
      <c r="L901">
        <v>0</v>
      </c>
      <c r="M901">
        <v>0</v>
      </c>
      <c r="N901">
        <v>0</v>
      </c>
      <c r="O901">
        <v>0</v>
      </c>
      <c r="P901" t="s">
        <v>116</v>
      </c>
      <c r="Q901" t="s">
        <v>23</v>
      </c>
      <c r="R901" s="66">
        <v>2</v>
      </c>
      <c r="S901" s="6">
        <f>DataTable[HLD_MaturityDate] - DataTable[SEC_Issue_Date]</f>
        <v>43410</v>
      </c>
      <c r="T901" s="66" t="str">
        <f>DataTable[HLD_Portfolio]&amp;DataTable[HLD_Date]</f>
        <v>SCBPLUS43383</v>
      </c>
      <c r="W901" t="b">
        <f>DataTable[HLD_SecCode]="CB18O18A"</f>
        <v>0</v>
      </c>
    </row>
    <row r="902" spans="1:23" hidden="1" x14ac:dyDescent="0.2">
      <c r="A902" s="66">
        <v>43383</v>
      </c>
      <c r="B902" t="s">
        <v>351</v>
      </c>
      <c r="C902" t="s">
        <v>113</v>
      </c>
      <c r="D902" t="s">
        <v>114</v>
      </c>
      <c r="F902" t="s">
        <v>818</v>
      </c>
      <c r="G902" t="s">
        <v>146</v>
      </c>
      <c r="H902" t="s">
        <v>27</v>
      </c>
      <c r="I902" s="66">
        <v>43384</v>
      </c>
      <c r="J902" s="6">
        <v>-20524027.949999999</v>
      </c>
      <c r="L902">
        <v>0</v>
      </c>
      <c r="M902">
        <v>0</v>
      </c>
      <c r="N902">
        <v>0</v>
      </c>
      <c r="O902">
        <v>0</v>
      </c>
      <c r="P902" t="s">
        <v>116</v>
      </c>
      <c r="Q902" t="s">
        <v>23</v>
      </c>
      <c r="R902" s="66">
        <v>2</v>
      </c>
      <c r="S902" s="6">
        <f>DataTable[HLD_MaturityDate] - DataTable[SEC_Issue_Date]</f>
        <v>43382</v>
      </c>
      <c r="T902" s="66" t="str">
        <f>DataTable[HLD_Portfolio]&amp;DataTable[HLD_Date]</f>
        <v>SCBPLUS43383</v>
      </c>
      <c r="W902" t="b">
        <f>DataTable[HLD_SecCode]="CB18O18A"</f>
        <v>0</v>
      </c>
    </row>
    <row r="903" spans="1:23" hidden="1" x14ac:dyDescent="0.2">
      <c r="A903" s="66">
        <v>43383</v>
      </c>
      <c r="B903" t="s">
        <v>351</v>
      </c>
      <c r="C903" t="s">
        <v>113</v>
      </c>
      <c r="D903" t="s">
        <v>114</v>
      </c>
      <c r="F903" t="s">
        <v>819</v>
      </c>
      <c r="G903" t="s">
        <v>73</v>
      </c>
      <c r="H903" t="s">
        <v>27</v>
      </c>
      <c r="I903" s="66">
        <v>43398</v>
      </c>
      <c r="J903" s="6">
        <v>-20475244.079999998</v>
      </c>
      <c r="L903">
        <v>0</v>
      </c>
      <c r="M903">
        <v>0</v>
      </c>
      <c r="N903">
        <v>0</v>
      </c>
      <c r="O903">
        <v>0</v>
      </c>
      <c r="P903" t="s">
        <v>116</v>
      </c>
      <c r="Q903" t="s">
        <v>23</v>
      </c>
      <c r="R903" s="66">
        <v>2</v>
      </c>
      <c r="S903" s="6">
        <f>DataTable[HLD_MaturityDate] - DataTable[SEC_Issue_Date]</f>
        <v>43396</v>
      </c>
      <c r="T903" s="66" t="str">
        <f>DataTable[HLD_Portfolio]&amp;DataTable[HLD_Date]</f>
        <v>SCBPLUS43383</v>
      </c>
      <c r="W903" t="b">
        <f>DataTable[HLD_SecCode]="CB18O18A"</f>
        <v>0</v>
      </c>
    </row>
    <row r="904" spans="1:23" hidden="1" x14ac:dyDescent="0.2">
      <c r="A904" s="66">
        <v>43383</v>
      </c>
      <c r="B904" t="s">
        <v>351</v>
      </c>
      <c r="C904" t="s">
        <v>113</v>
      </c>
      <c r="D904" t="s">
        <v>114</v>
      </c>
      <c r="F904" t="s">
        <v>820</v>
      </c>
      <c r="G904" t="s">
        <v>729</v>
      </c>
      <c r="H904" t="s">
        <v>51</v>
      </c>
      <c r="I904" s="66">
        <v>43572</v>
      </c>
      <c r="J904" s="6">
        <v>-38630047.850000001</v>
      </c>
      <c r="L904">
        <v>0</v>
      </c>
      <c r="M904">
        <v>0</v>
      </c>
      <c r="N904">
        <v>0</v>
      </c>
      <c r="O904">
        <v>0</v>
      </c>
      <c r="P904" t="s">
        <v>116</v>
      </c>
      <c r="Q904" t="s">
        <v>23</v>
      </c>
      <c r="R904" s="66">
        <v>2</v>
      </c>
      <c r="S904" s="6">
        <f>DataTable[HLD_MaturityDate] - DataTable[SEC_Issue_Date]</f>
        <v>43570</v>
      </c>
      <c r="T904" s="66" t="str">
        <f>DataTable[HLD_Portfolio]&amp;DataTable[HLD_Date]</f>
        <v>SCBPLUS43383</v>
      </c>
      <c r="W904" t="b">
        <f>DataTable[HLD_SecCode]="CB18O18A"</f>
        <v>0</v>
      </c>
    </row>
    <row r="905" spans="1:23" hidden="1" x14ac:dyDescent="0.2">
      <c r="A905" s="66">
        <v>43383</v>
      </c>
      <c r="B905" t="s">
        <v>351</v>
      </c>
      <c r="C905" t="s">
        <v>113</v>
      </c>
      <c r="D905" t="s">
        <v>114</v>
      </c>
      <c r="F905" t="s">
        <v>821</v>
      </c>
      <c r="G905" t="s">
        <v>729</v>
      </c>
      <c r="H905" t="s">
        <v>51</v>
      </c>
      <c r="I905" s="66">
        <v>43614</v>
      </c>
      <c r="J905" s="6">
        <v>-20842265.559999999</v>
      </c>
      <c r="L905">
        <v>0</v>
      </c>
      <c r="M905">
        <v>0</v>
      </c>
      <c r="N905">
        <v>0</v>
      </c>
      <c r="O905">
        <v>0</v>
      </c>
      <c r="P905" t="s">
        <v>116</v>
      </c>
      <c r="Q905" t="s">
        <v>23</v>
      </c>
      <c r="R905" s="66">
        <v>2</v>
      </c>
      <c r="S905" s="6">
        <f>DataTable[HLD_MaturityDate] - DataTable[SEC_Issue_Date]</f>
        <v>43612</v>
      </c>
      <c r="T905" s="66" t="str">
        <f>DataTable[HLD_Portfolio]&amp;DataTable[HLD_Date]</f>
        <v>SCBPLUS43383</v>
      </c>
      <c r="W905" t="b">
        <f>DataTable[HLD_SecCode]="CB18O18A"</f>
        <v>0</v>
      </c>
    </row>
    <row r="906" spans="1:23" hidden="1" x14ac:dyDescent="0.2">
      <c r="A906" s="66">
        <v>43383</v>
      </c>
      <c r="B906" t="s">
        <v>351</v>
      </c>
      <c r="C906" t="s">
        <v>113</v>
      </c>
      <c r="D906" t="s">
        <v>114</v>
      </c>
      <c r="F906" t="s">
        <v>822</v>
      </c>
      <c r="G906" t="s">
        <v>26</v>
      </c>
      <c r="H906" t="s">
        <v>27</v>
      </c>
      <c r="I906" s="66">
        <v>43628</v>
      </c>
      <c r="J906" s="6">
        <v>-13902898.34</v>
      </c>
      <c r="L906">
        <v>0</v>
      </c>
      <c r="M906">
        <v>0</v>
      </c>
      <c r="N906">
        <v>0</v>
      </c>
      <c r="O906">
        <v>0</v>
      </c>
      <c r="P906" t="s">
        <v>116</v>
      </c>
      <c r="Q906" t="s">
        <v>23</v>
      </c>
      <c r="R906" s="66">
        <v>2</v>
      </c>
      <c r="S906" s="6">
        <f>DataTable[HLD_MaturityDate] - DataTable[SEC_Issue_Date]</f>
        <v>43626</v>
      </c>
      <c r="T906" s="66" t="str">
        <f>DataTable[HLD_Portfolio]&amp;DataTable[HLD_Date]</f>
        <v>SCBPLUS43383</v>
      </c>
      <c r="W906" t="b">
        <f>DataTable[HLD_SecCode]="CB18O18A"</f>
        <v>0</v>
      </c>
    </row>
    <row r="907" spans="1:23" hidden="1" x14ac:dyDescent="0.2">
      <c r="A907" s="66">
        <v>43383</v>
      </c>
      <c r="B907" t="s">
        <v>351</v>
      </c>
      <c r="C907" t="s">
        <v>113</v>
      </c>
      <c r="D907" t="s">
        <v>114</v>
      </c>
      <c r="F907" t="s">
        <v>823</v>
      </c>
      <c r="G907" t="s">
        <v>824</v>
      </c>
      <c r="H907" t="s">
        <v>41</v>
      </c>
      <c r="I907" s="66">
        <v>43636</v>
      </c>
      <c r="J907" s="6">
        <v>-8347198.7199999997</v>
      </c>
      <c r="L907">
        <v>0</v>
      </c>
      <c r="M907">
        <v>0</v>
      </c>
      <c r="N907">
        <v>0</v>
      </c>
      <c r="O907">
        <v>0</v>
      </c>
      <c r="P907" t="s">
        <v>116</v>
      </c>
      <c r="Q907" t="s">
        <v>23</v>
      </c>
      <c r="R907" s="66">
        <v>2</v>
      </c>
      <c r="S907" s="6">
        <f>DataTable[HLD_MaturityDate] - DataTable[SEC_Issue_Date]</f>
        <v>43634</v>
      </c>
      <c r="T907" s="66" t="str">
        <f>DataTable[HLD_Portfolio]&amp;DataTable[HLD_Date]</f>
        <v>SCBPLUS43383</v>
      </c>
      <c r="W907" t="b">
        <f>DataTable[HLD_SecCode]="CB18O18A"</f>
        <v>0</v>
      </c>
    </row>
    <row r="908" spans="1:23" hidden="1" x14ac:dyDescent="0.2">
      <c r="A908" s="66">
        <v>43383</v>
      </c>
      <c r="B908" t="s">
        <v>351</v>
      </c>
      <c r="C908" t="s">
        <v>113</v>
      </c>
      <c r="D908" t="s">
        <v>114</v>
      </c>
      <c r="F908" t="s">
        <v>825</v>
      </c>
      <c r="G908" t="s">
        <v>73</v>
      </c>
      <c r="H908" t="s">
        <v>27</v>
      </c>
      <c r="I908" s="66">
        <v>43648</v>
      </c>
      <c r="J908" s="6">
        <v>-6391359.3700000001</v>
      </c>
      <c r="L908">
        <v>0</v>
      </c>
      <c r="M908">
        <v>0</v>
      </c>
      <c r="N908">
        <v>0</v>
      </c>
      <c r="O908">
        <v>0</v>
      </c>
      <c r="P908" t="s">
        <v>116</v>
      </c>
      <c r="Q908" t="s">
        <v>23</v>
      </c>
      <c r="R908" s="66">
        <v>2</v>
      </c>
      <c r="S908" s="6">
        <f>DataTable[HLD_MaturityDate] - DataTable[SEC_Issue_Date]</f>
        <v>43646</v>
      </c>
      <c r="T908" s="66" t="str">
        <f>DataTable[HLD_Portfolio]&amp;DataTable[HLD_Date]</f>
        <v>SCBPLUS43383</v>
      </c>
      <c r="W908" t="b">
        <f>DataTable[HLD_SecCode]="CB18O18A"</f>
        <v>0</v>
      </c>
    </row>
    <row r="909" spans="1:23" hidden="1" x14ac:dyDescent="0.2">
      <c r="A909" s="66">
        <v>43383</v>
      </c>
      <c r="B909" t="s">
        <v>351</v>
      </c>
      <c r="C909" t="s">
        <v>113</v>
      </c>
      <c r="D909" t="s">
        <v>633</v>
      </c>
      <c r="F909" t="s">
        <v>826</v>
      </c>
      <c r="G909" t="s">
        <v>26</v>
      </c>
      <c r="H909" t="s">
        <v>27</v>
      </c>
      <c r="I909" s="66">
        <v>44470</v>
      </c>
      <c r="J909" s="6">
        <v>9435495.0700000003</v>
      </c>
      <c r="L909">
        <v>0</v>
      </c>
      <c r="M909">
        <v>0</v>
      </c>
      <c r="N909">
        <v>0</v>
      </c>
      <c r="O909">
        <v>0</v>
      </c>
      <c r="P909" t="s">
        <v>635</v>
      </c>
      <c r="Q909" t="s">
        <v>23</v>
      </c>
      <c r="R909" s="66">
        <v>2</v>
      </c>
      <c r="S909" s="6">
        <f>DataTable[HLD_MaturityDate] - DataTable[SEC_Issue_Date]</f>
        <v>44468</v>
      </c>
      <c r="T909" s="66" t="str">
        <f>DataTable[HLD_Portfolio]&amp;DataTable[HLD_Date]</f>
        <v>SCBPLUS43383</v>
      </c>
      <c r="W909" t="b">
        <f>DataTable[HLD_SecCode]="CB18O18A"</f>
        <v>0</v>
      </c>
    </row>
    <row r="910" spans="1:23" hidden="1" x14ac:dyDescent="0.2">
      <c r="A910" s="66">
        <v>43383</v>
      </c>
      <c r="B910" t="s">
        <v>351</v>
      </c>
      <c r="C910" t="s">
        <v>113</v>
      </c>
      <c r="D910" t="s">
        <v>633</v>
      </c>
      <c r="F910" t="s">
        <v>827</v>
      </c>
      <c r="G910" t="s">
        <v>26</v>
      </c>
      <c r="H910" t="s">
        <v>27</v>
      </c>
      <c r="I910" s="66">
        <v>44949</v>
      </c>
      <c r="J910" s="6">
        <v>4813704.01</v>
      </c>
      <c r="L910">
        <v>0</v>
      </c>
      <c r="M910">
        <v>0</v>
      </c>
      <c r="N910">
        <v>0</v>
      </c>
      <c r="O910">
        <v>0</v>
      </c>
      <c r="P910" t="s">
        <v>635</v>
      </c>
      <c r="Q910" t="s">
        <v>23</v>
      </c>
      <c r="R910" s="66">
        <v>2</v>
      </c>
      <c r="S910" s="6">
        <f>DataTable[HLD_MaturityDate] - DataTable[SEC_Issue_Date]</f>
        <v>44947</v>
      </c>
      <c r="T910" s="66" t="str">
        <f>DataTable[HLD_Portfolio]&amp;DataTable[HLD_Date]</f>
        <v>SCBPLUS43383</v>
      </c>
      <c r="W910" t="b">
        <f>DataTable[HLD_SecCode]="CB18O18A"</f>
        <v>0</v>
      </c>
    </row>
    <row r="911" spans="1:23" hidden="1" x14ac:dyDescent="0.2">
      <c r="A911" s="66">
        <v>43383</v>
      </c>
      <c r="B911" t="s">
        <v>351</v>
      </c>
      <c r="C911" t="s">
        <v>129</v>
      </c>
      <c r="D911" t="s">
        <v>130</v>
      </c>
      <c r="E911" t="s">
        <v>590</v>
      </c>
      <c r="F911" t="s">
        <v>602</v>
      </c>
      <c r="I911" s="66"/>
      <c r="J911" s="6">
        <v>-114169068.65000001</v>
      </c>
      <c r="L911">
        <v>-114169068.65000001</v>
      </c>
      <c r="O911">
        <v>0</v>
      </c>
      <c r="P911" t="s">
        <v>42</v>
      </c>
      <c r="Q911" t="s">
        <v>23</v>
      </c>
      <c r="R911" s="66">
        <v>43363</v>
      </c>
      <c r="S911" s="6">
        <f>DataTable[HLD_MaturityDate] - DataTable[SEC_Issue_Date]</f>
        <v>-43363</v>
      </c>
      <c r="T911" s="66" t="str">
        <f>DataTable[HLD_Portfolio]&amp;DataTable[HLD_Date]</f>
        <v>SCBPLUS43383</v>
      </c>
      <c r="W911" t="b">
        <f>DataTable[HLD_SecCode]="CB18O18A"</f>
        <v>0</v>
      </c>
    </row>
    <row r="912" spans="1:23" hidden="1" x14ac:dyDescent="0.2">
      <c r="A912" s="66">
        <v>43383</v>
      </c>
      <c r="B912" t="s">
        <v>351</v>
      </c>
      <c r="C912" t="s">
        <v>129</v>
      </c>
      <c r="D912" t="s">
        <v>130</v>
      </c>
      <c r="E912" t="s">
        <v>590</v>
      </c>
      <c r="F912" t="s">
        <v>890</v>
      </c>
      <c r="I912" s="66"/>
      <c r="J912" s="6">
        <v>-198299298</v>
      </c>
      <c r="L912">
        <v>-198299298</v>
      </c>
      <c r="O912">
        <v>0</v>
      </c>
      <c r="P912" t="s">
        <v>42</v>
      </c>
      <c r="Q912" t="s">
        <v>23</v>
      </c>
      <c r="R912" s="66">
        <v>43384</v>
      </c>
      <c r="S912" s="6">
        <f>DataTable[HLD_MaturityDate] - DataTable[SEC_Issue_Date]</f>
        <v>-43384</v>
      </c>
      <c r="T912" s="66" t="str">
        <f>DataTable[HLD_Portfolio]&amp;DataTable[HLD_Date]</f>
        <v>SCBPLUS43383</v>
      </c>
      <c r="W912" t="b">
        <f>DataTable[HLD_SecCode]="CB18O18A"</f>
        <v>0</v>
      </c>
    </row>
    <row r="913" spans="1:23" hidden="1" x14ac:dyDescent="0.2">
      <c r="A913" s="66">
        <v>43383</v>
      </c>
      <c r="B913" t="s">
        <v>351</v>
      </c>
      <c r="C913" t="s">
        <v>129</v>
      </c>
      <c r="D913" t="s">
        <v>130</v>
      </c>
      <c r="E913" t="s">
        <v>590</v>
      </c>
      <c r="F913" t="s">
        <v>606</v>
      </c>
      <c r="I913" s="66"/>
      <c r="J913" s="6">
        <v>-63963653</v>
      </c>
      <c r="L913">
        <v>-63963653</v>
      </c>
      <c r="O913">
        <v>0</v>
      </c>
      <c r="P913" t="s">
        <v>42</v>
      </c>
      <c r="Q913" t="s">
        <v>23</v>
      </c>
      <c r="R913" s="66">
        <v>43349</v>
      </c>
      <c r="S913" s="6">
        <f>DataTable[HLD_MaturityDate] - DataTable[SEC_Issue_Date]</f>
        <v>-43349</v>
      </c>
      <c r="T913" s="66" t="str">
        <f>DataTable[HLD_Portfolio]&amp;DataTable[HLD_Date]</f>
        <v>SCBPLUS43383</v>
      </c>
      <c r="W913" t="b">
        <f>DataTable[HLD_SecCode]="CB18O18A"</f>
        <v>0</v>
      </c>
    </row>
    <row r="914" spans="1:23" hidden="1" x14ac:dyDescent="0.2">
      <c r="A914" s="66">
        <v>43383</v>
      </c>
      <c r="B914" t="s">
        <v>351</v>
      </c>
      <c r="C914" t="s">
        <v>129</v>
      </c>
      <c r="D914" t="s">
        <v>130</v>
      </c>
      <c r="E914" t="s">
        <v>874</v>
      </c>
      <c r="F914" t="s">
        <v>891</v>
      </c>
      <c r="I914" s="66"/>
      <c r="J914" s="6">
        <v>-63200453.380000003</v>
      </c>
      <c r="L914">
        <v>-63200453.380000003</v>
      </c>
      <c r="O914">
        <v>0</v>
      </c>
      <c r="P914" t="s">
        <v>752</v>
      </c>
      <c r="Q914" t="s">
        <v>23</v>
      </c>
      <c r="R914" s="66">
        <v>2</v>
      </c>
      <c r="S914" s="6">
        <f>DataTable[HLD_MaturityDate] - DataTable[SEC_Issue_Date]</f>
        <v>-2</v>
      </c>
      <c r="T914" s="66" t="str">
        <f>DataTable[HLD_Portfolio]&amp;DataTable[HLD_Date]</f>
        <v>SCBPLUS43383</v>
      </c>
      <c r="W914" t="b">
        <f>DataTable[HLD_SecCode]="CB18O18A"</f>
        <v>0</v>
      </c>
    </row>
    <row r="915" spans="1:23" hidden="1" x14ac:dyDescent="0.2">
      <c r="A915" s="66">
        <v>43383</v>
      </c>
      <c r="B915" t="s">
        <v>351</v>
      </c>
      <c r="C915" t="s">
        <v>129</v>
      </c>
      <c r="D915" t="s">
        <v>131</v>
      </c>
      <c r="E915" t="s">
        <v>131</v>
      </c>
      <c r="F915" t="s">
        <v>131</v>
      </c>
      <c r="I915" s="66"/>
      <c r="J915" s="6">
        <v>-73644.479999999996</v>
      </c>
      <c r="O915">
        <v>0</v>
      </c>
      <c r="R915" s="66"/>
      <c r="S915" s="6">
        <f>DataTable[HLD_MaturityDate] - DataTable[SEC_Issue_Date]</f>
        <v>0</v>
      </c>
      <c r="T915" s="66" t="str">
        <f>DataTable[HLD_Portfolio]&amp;DataTable[HLD_Date]</f>
        <v>SCBPLUS43383</v>
      </c>
      <c r="W915" t="b">
        <f>DataTable[HLD_SecCode]="CB18O18A"</f>
        <v>0</v>
      </c>
    </row>
    <row r="916" spans="1:23" hidden="1" x14ac:dyDescent="0.2">
      <c r="A916" s="66">
        <v>43383</v>
      </c>
      <c r="B916" t="s">
        <v>351</v>
      </c>
      <c r="C916" t="s">
        <v>129</v>
      </c>
      <c r="D916" t="s">
        <v>132</v>
      </c>
      <c r="I916" s="66"/>
      <c r="J916" s="6">
        <v>-305664.87</v>
      </c>
      <c r="K916">
        <v>0</v>
      </c>
      <c r="O916">
        <v>0</v>
      </c>
      <c r="R916" s="66"/>
      <c r="S916" s="6">
        <f>DataTable[HLD_MaturityDate] - DataTable[SEC_Issue_Date]</f>
        <v>0</v>
      </c>
      <c r="T916" s="66" t="str">
        <f>DataTable[HLD_Portfolio]&amp;DataTable[HLD_Date]</f>
        <v>SCBPLUS43383</v>
      </c>
      <c r="W916" t="b">
        <f>DataTable[HLD_SecCode]="CB18O18A"</f>
        <v>0</v>
      </c>
    </row>
    <row r="917" spans="1:23" hidden="1" x14ac:dyDescent="0.2">
      <c r="A917" s="66">
        <v>43383</v>
      </c>
      <c r="B917" t="s">
        <v>351</v>
      </c>
      <c r="C917" t="s">
        <v>129</v>
      </c>
      <c r="D917" t="s">
        <v>134</v>
      </c>
      <c r="E917" t="s">
        <v>134</v>
      </c>
      <c r="I917" s="66"/>
      <c r="J917" s="6">
        <v>-164086.45000000001</v>
      </c>
      <c r="L917">
        <v>-164086.45000000001</v>
      </c>
      <c r="O917">
        <v>0</v>
      </c>
      <c r="R917" s="66"/>
      <c r="S917" s="6">
        <f>DataTable[HLD_MaturityDate] - DataTable[SEC_Issue_Date]</f>
        <v>0</v>
      </c>
      <c r="T917" s="66" t="str">
        <f>DataTable[HLD_Portfolio]&amp;DataTable[HLD_Date]</f>
        <v>SCBPLUS43383</v>
      </c>
      <c r="W917" t="b">
        <f>DataTable[HLD_SecCode]="CB18O18A"</f>
        <v>0</v>
      </c>
    </row>
    <row r="918" spans="1:23" hidden="1" x14ac:dyDescent="0.2">
      <c r="A918" s="66">
        <v>43383</v>
      </c>
      <c r="B918" t="s">
        <v>351</v>
      </c>
      <c r="C918" t="s">
        <v>129</v>
      </c>
      <c r="D918" t="s">
        <v>135</v>
      </c>
      <c r="E918" t="s">
        <v>135</v>
      </c>
      <c r="I918" s="66"/>
      <c r="J918" s="6">
        <v>-3011799.67</v>
      </c>
      <c r="L918">
        <v>-3011799.67</v>
      </c>
      <c r="O918">
        <v>0</v>
      </c>
      <c r="R918" s="66"/>
      <c r="S918" s="6">
        <f>DataTable[HLD_MaturityDate] - DataTable[SEC_Issue_Date]</f>
        <v>0</v>
      </c>
      <c r="T918" s="66" t="str">
        <f>DataTable[HLD_Portfolio]&amp;DataTable[HLD_Date]</f>
        <v>SCBPLUS43383</v>
      </c>
      <c r="W918" t="b">
        <f>DataTable[HLD_SecCode]="CB18O18A"</f>
        <v>0</v>
      </c>
    </row>
    <row r="919" spans="1:23" hidden="1" x14ac:dyDescent="0.2">
      <c r="A919" s="66">
        <v>43383</v>
      </c>
      <c r="B919" t="s">
        <v>351</v>
      </c>
      <c r="C919" t="s">
        <v>137</v>
      </c>
      <c r="D919" t="s">
        <v>134</v>
      </c>
      <c r="E919" t="s">
        <v>134</v>
      </c>
      <c r="I919" s="66"/>
      <c r="J919" s="6">
        <v>-18381.43</v>
      </c>
      <c r="L919">
        <v>-18381.43</v>
      </c>
      <c r="O919">
        <v>0</v>
      </c>
      <c r="R919" s="66"/>
      <c r="S919" s="6">
        <f>DataTable[HLD_MaturityDate] - DataTable[SEC_Issue_Date]</f>
        <v>0</v>
      </c>
      <c r="T919" s="66" t="str">
        <f>DataTable[HLD_Portfolio]&amp;DataTable[HLD_Date]</f>
        <v>SCBPLUS43383</v>
      </c>
      <c r="W919" t="b">
        <f>DataTable[HLD_SecCode]="CB18O18A"</f>
        <v>0</v>
      </c>
    </row>
    <row r="920" spans="1:23" hidden="1" x14ac:dyDescent="0.2">
      <c r="A920" s="66">
        <v>43383</v>
      </c>
      <c r="B920" t="s">
        <v>351</v>
      </c>
      <c r="C920" t="s">
        <v>137</v>
      </c>
      <c r="D920" t="s">
        <v>135</v>
      </c>
      <c r="E920" t="s">
        <v>135</v>
      </c>
      <c r="I920" s="66"/>
      <c r="J920" s="6">
        <v>-337506.93</v>
      </c>
      <c r="L920">
        <v>-337506.93</v>
      </c>
      <c r="O920">
        <v>0</v>
      </c>
      <c r="R920" s="66"/>
      <c r="S920" s="6">
        <f>DataTable[HLD_MaturityDate] - DataTable[SEC_Issue_Date]</f>
        <v>0</v>
      </c>
      <c r="T920" s="66" t="str">
        <f>DataTable[HLD_Portfolio]&amp;DataTable[HLD_Date]</f>
        <v>SCBPLUS43383</v>
      </c>
      <c r="W920" t="b">
        <f>DataTable[HLD_SecCode]="CB18O18A"</f>
        <v>0</v>
      </c>
    </row>
    <row r="921" spans="1:23" hidden="1" x14ac:dyDescent="0.2">
      <c r="A921" s="66">
        <v>43383</v>
      </c>
      <c r="B921" t="s">
        <v>349</v>
      </c>
      <c r="C921" t="s">
        <v>18</v>
      </c>
      <c r="D921" t="s">
        <v>19</v>
      </c>
      <c r="F921" t="s">
        <v>20</v>
      </c>
      <c r="G921" t="s">
        <v>146</v>
      </c>
      <c r="I921" s="66"/>
      <c r="J921" s="6">
        <v>2750830.41</v>
      </c>
      <c r="K921">
        <v>4226.93</v>
      </c>
      <c r="L921">
        <v>2750830.41</v>
      </c>
      <c r="M921">
        <v>0</v>
      </c>
      <c r="N921">
        <v>0</v>
      </c>
      <c r="O921">
        <v>0</v>
      </c>
      <c r="P921" t="s">
        <v>22</v>
      </c>
      <c r="Q921" t="s">
        <v>23</v>
      </c>
      <c r="R921" s="66">
        <v>2</v>
      </c>
      <c r="S921" s="6">
        <f>DataTable[HLD_MaturityDate] - DataTable[SEC_Issue_Date]</f>
        <v>-2</v>
      </c>
      <c r="T921" s="66" t="str">
        <f>DataTable[HLD_Portfolio]&amp;DataTable[HLD_Date]</f>
        <v>SCBFIXED43383</v>
      </c>
      <c r="W921" t="b">
        <f>DataTable[HLD_SecCode]="CB18O18A"</f>
        <v>0</v>
      </c>
    </row>
    <row r="922" spans="1:23" hidden="1" x14ac:dyDescent="0.2">
      <c r="A922" s="66">
        <v>43383</v>
      </c>
      <c r="B922" t="s">
        <v>349</v>
      </c>
      <c r="C922" t="s">
        <v>18</v>
      </c>
      <c r="D922" t="s">
        <v>19</v>
      </c>
      <c r="F922" t="s">
        <v>30</v>
      </c>
      <c r="G922" t="s">
        <v>26</v>
      </c>
      <c r="H922" t="s">
        <v>27</v>
      </c>
      <c r="I922" s="66"/>
      <c r="J922" s="6">
        <v>0</v>
      </c>
      <c r="L922">
        <v>0</v>
      </c>
      <c r="M922">
        <v>0</v>
      </c>
      <c r="N922">
        <v>0</v>
      </c>
      <c r="O922">
        <v>0</v>
      </c>
      <c r="P922" t="s">
        <v>22</v>
      </c>
      <c r="Q922" t="s">
        <v>31</v>
      </c>
      <c r="R922" s="66">
        <v>2</v>
      </c>
      <c r="S922" s="6">
        <f>DataTable[HLD_MaturityDate] - DataTable[SEC_Issue_Date]</f>
        <v>-2</v>
      </c>
      <c r="T922" s="66" t="str">
        <f>DataTable[HLD_Portfolio]&amp;DataTable[HLD_Date]</f>
        <v>SCBFIXED43383</v>
      </c>
      <c r="W922" t="b">
        <f>DataTable[HLD_SecCode]="CB18O18A"</f>
        <v>0</v>
      </c>
    </row>
    <row r="923" spans="1:23" hidden="1" x14ac:dyDescent="0.2">
      <c r="A923" s="66">
        <v>43383</v>
      </c>
      <c r="B923" t="s">
        <v>349</v>
      </c>
      <c r="C923" t="s">
        <v>18</v>
      </c>
      <c r="D923" t="s">
        <v>38</v>
      </c>
      <c r="F923" t="s">
        <v>69</v>
      </c>
      <c r="G923" t="s">
        <v>54</v>
      </c>
      <c r="H923" t="s">
        <v>47</v>
      </c>
      <c r="I923" s="66">
        <v>43543</v>
      </c>
      <c r="J923" s="6">
        <v>75697800</v>
      </c>
      <c r="K923">
        <v>2207.85</v>
      </c>
      <c r="L923">
        <v>76000000</v>
      </c>
      <c r="M923">
        <v>0.44434600000000002</v>
      </c>
      <c r="N923">
        <v>2000000</v>
      </c>
      <c r="O923">
        <v>0.05</v>
      </c>
      <c r="P923" t="s">
        <v>42</v>
      </c>
      <c r="Q923" t="s">
        <v>31</v>
      </c>
      <c r="R923" s="66">
        <v>43363</v>
      </c>
      <c r="S923" s="6">
        <f>DataTable[HLD_MaturityDate] - DataTable[SEC_Issue_Date]</f>
        <v>180</v>
      </c>
      <c r="T923" s="66" t="str">
        <f>DataTable[HLD_Portfolio]&amp;DataTable[HLD_Date]</f>
        <v>SCBFIXED43383</v>
      </c>
      <c r="W923" t="b">
        <f>DataTable[HLD_SecCode]="CB18O18A"</f>
        <v>0</v>
      </c>
    </row>
    <row r="924" spans="1:23" hidden="1" x14ac:dyDescent="0.2">
      <c r="A924" s="66">
        <v>43383</v>
      </c>
      <c r="B924" t="s">
        <v>349</v>
      </c>
      <c r="C924" t="s">
        <v>18</v>
      </c>
      <c r="D924" t="s">
        <v>38</v>
      </c>
      <c r="F924" t="s">
        <v>830</v>
      </c>
      <c r="G924" t="s">
        <v>75</v>
      </c>
      <c r="H924" t="s">
        <v>59</v>
      </c>
      <c r="I924" s="66">
        <v>44196</v>
      </c>
      <c r="J924" s="6">
        <v>4007009.58</v>
      </c>
      <c r="K924">
        <v>20882.400000000001</v>
      </c>
      <c r="L924">
        <v>4007009.58</v>
      </c>
      <c r="M924">
        <v>0</v>
      </c>
      <c r="N924">
        <v>4007009.58</v>
      </c>
      <c r="O924">
        <v>0</v>
      </c>
      <c r="P924" t="s">
        <v>42</v>
      </c>
      <c r="Q924" t="s">
        <v>23</v>
      </c>
      <c r="R924" s="66">
        <v>43258</v>
      </c>
      <c r="S924" s="6">
        <f>DataTable[HLD_MaturityDate] - DataTable[SEC_Issue_Date]</f>
        <v>938</v>
      </c>
      <c r="T924" s="66" t="str">
        <f>DataTable[HLD_Portfolio]&amp;DataTable[HLD_Date]</f>
        <v>SCBFIXED43383</v>
      </c>
      <c r="W924" t="b">
        <f>DataTable[HLD_SecCode]="CB18O18A"</f>
        <v>0</v>
      </c>
    </row>
    <row r="925" spans="1:23" hidden="1" x14ac:dyDescent="0.2">
      <c r="A925" s="66">
        <v>43383</v>
      </c>
      <c r="B925" t="s">
        <v>349</v>
      </c>
      <c r="C925" t="s">
        <v>18</v>
      </c>
      <c r="D925" t="s">
        <v>77</v>
      </c>
      <c r="F925" t="s">
        <v>831</v>
      </c>
      <c r="G925" t="s">
        <v>657</v>
      </c>
      <c r="H925" t="s">
        <v>123</v>
      </c>
      <c r="I925" s="66">
        <v>43510</v>
      </c>
      <c r="J925" s="6">
        <v>49671977.5</v>
      </c>
      <c r="L925">
        <v>49684415.5</v>
      </c>
      <c r="M925">
        <v>0.342941</v>
      </c>
      <c r="N925">
        <v>50000000</v>
      </c>
      <c r="O925">
        <v>1.84</v>
      </c>
      <c r="P925" t="s">
        <v>42</v>
      </c>
      <c r="Q925" t="s">
        <v>23</v>
      </c>
      <c r="R925" s="66">
        <v>43326</v>
      </c>
      <c r="S925" s="6">
        <f>DataTable[HLD_MaturityDate] - DataTable[SEC_Issue_Date]</f>
        <v>184</v>
      </c>
      <c r="T925" s="66" t="str">
        <f>DataTable[HLD_Portfolio]&amp;DataTable[HLD_Date]</f>
        <v>SCBFIXED43383</v>
      </c>
      <c r="W925" t="b">
        <f>DataTable[HLD_SecCode]="CB18O18A"</f>
        <v>0</v>
      </c>
    </row>
    <row r="926" spans="1:23" x14ac:dyDescent="0.2">
      <c r="A926" s="66">
        <v>43383</v>
      </c>
      <c r="B926" t="s">
        <v>349</v>
      </c>
      <c r="C926" t="s">
        <v>18</v>
      </c>
      <c r="D926" t="s">
        <v>87</v>
      </c>
      <c r="F926" t="s">
        <v>596</v>
      </c>
      <c r="G926" t="s">
        <v>89</v>
      </c>
      <c r="I926" s="66">
        <v>43461</v>
      </c>
      <c r="J926" s="6">
        <v>79767777.599999994</v>
      </c>
      <c r="L926">
        <v>79751648.799999997</v>
      </c>
      <c r="M926">
        <v>0.210311</v>
      </c>
      <c r="N926">
        <v>80000000</v>
      </c>
      <c r="O926">
        <v>1.476143</v>
      </c>
      <c r="P926" t="s">
        <v>42</v>
      </c>
      <c r="Q926" t="s">
        <v>23</v>
      </c>
      <c r="R926" s="66">
        <v>43279</v>
      </c>
      <c r="S926" s="6">
        <f>DataTable[HLD_MaturityDate] - DataTable[SEC_Issue_Date]</f>
        <v>182</v>
      </c>
      <c r="T926" s="66" t="str">
        <f>DataTable[HLD_Portfolio]&amp;DataTable[HLD_Date]</f>
        <v>SCBFIXED43383</v>
      </c>
      <c r="W926" t="b">
        <f>DataTable[HLD_SecCode]="CB18O18A"</f>
        <v>0</v>
      </c>
    </row>
    <row r="927" spans="1:23" x14ac:dyDescent="0.2">
      <c r="A927" s="66">
        <v>43383</v>
      </c>
      <c r="B927" t="s">
        <v>349</v>
      </c>
      <c r="C927" t="s">
        <v>18</v>
      </c>
      <c r="D927" t="s">
        <v>87</v>
      </c>
      <c r="F927" t="s">
        <v>105</v>
      </c>
      <c r="G927" t="s">
        <v>89</v>
      </c>
      <c r="I927" s="66">
        <v>43391</v>
      </c>
      <c r="J927" s="6">
        <v>64983300.200000003</v>
      </c>
      <c r="L927">
        <v>64982886.149999999</v>
      </c>
      <c r="M927">
        <v>1.9174E-2</v>
      </c>
      <c r="N927">
        <v>65000000</v>
      </c>
      <c r="O927">
        <v>1.37321</v>
      </c>
      <c r="P927" t="s">
        <v>42</v>
      </c>
      <c r="Q927" t="s">
        <v>23</v>
      </c>
      <c r="R927" s="66">
        <v>43300</v>
      </c>
      <c r="S927" s="6">
        <f>DataTable[HLD_MaturityDate] - DataTable[SEC_Issue_Date]</f>
        <v>91</v>
      </c>
      <c r="T927" s="66" t="str">
        <f>DataTable[HLD_Portfolio]&amp;DataTable[HLD_Date]</f>
        <v>SCBFIXED43383</v>
      </c>
      <c r="W927" t="b">
        <f>DataTable[HLD_SecCode]="CB18O18A"</f>
        <v>0</v>
      </c>
    </row>
    <row r="928" spans="1:23" x14ac:dyDescent="0.2">
      <c r="A928" s="66">
        <v>43383</v>
      </c>
      <c r="B928" t="s">
        <v>349</v>
      </c>
      <c r="C928" t="s">
        <v>18</v>
      </c>
      <c r="D928" t="s">
        <v>87</v>
      </c>
      <c r="F928" t="s">
        <v>106</v>
      </c>
      <c r="G928" t="s">
        <v>89</v>
      </c>
      <c r="I928" s="66">
        <v>43398</v>
      </c>
      <c r="J928" s="6">
        <v>94955930.450000003</v>
      </c>
      <c r="L928">
        <v>94955930.450000003</v>
      </c>
      <c r="M928">
        <v>3.8338999999999998E-2</v>
      </c>
      <c r="N928">
        <v>95000000</v>
      </c>
      <c r="O928">
        <v>1.21</v>
      </c>
      <c r="P928" t="s">
        <v>42</v>
      </c>
      <c r="Q928" t="s">
        <v>23</v>
      </c>
      <c r="R928" s="66">
        <v>43216</v>
      </c>
      <c r="S928" s="6">
        <f>DataTable[HLD_MaturityDate] - DataTable[SEC_Issue_Date]</f>
        <v>182</v>
      </c>
      <c r="T928" s="66" t="str">
        <f>DataTable[HLD_Portfolio]&amp;DataTable[HLD_Date]</f>
        <v>SCBFIXED43383</v>
      </c>
      <c r="W928" t="b">
        <f>DataTable[HLD_SecCode]="CB18O18A"</f>
        <v>0</v>
      </c>
    </row>
    <row r="929" spans="1:23" x14ac:dyDescent="0.2">
      <c r="A929" s="66">
        <v>43383</v>
      </c>
      <c r="B929" t="s">
        <v>349</v>
      </c>
      <c r="C929" t="s">
        <v>18</v>
      </c>
      <c r="D929" t="s">
        <v>87</v>
      </c>
      <c r="F929" t="s">
        <v>107</v>
      </c>
      <c r="G929" t="s">
        <v>89</v>
      </c>
      <c r="I929" s="66">
        <v>43398</v>
      </c>
      <c r="J929" s="6">
        <v>9995552.6999999993</v>
      </c>
      <c r="L929">
        <v>9995552.6999999993</v>
      </c>
      <c r="M929">
        <v>3.8338999999999998E-2</v>
      </c>
      <c r="N929">
        <v>10000000</v>
      </c>
      <c r="O929">
        <v>1.1599999999999999</v>
      </c>
      <c r="P929" t="s">
        <v>42</v>
      </c>
      <c r="Q929" t="s">
        <v>23</v>
      </c>
      <c r="R929" s="66">
        <v>43307</v>
      </c>
      <c r="S929" s="6">
        <f>DataTable[HLD_MaturityDate] - DataTable[SEC_Issue_Date]</f>
        <v>91</v>
      </c>
      <c r="T929" s="66" t="str">
        <f>DataTable[HLD_Portfolio]&amp;DataTable[HLD_Date]</f>
        <v>SCBFIXED43383</v>
      </c>
      <c r="W929" t="b">
        <f>DataTable[HLD_SecCode]="CB18O18A"</f>
        <v>0</v>
      </c>
    </row>
    <row r="930" spans="1:23" x14ac:dyDescent="0.2">
      <c r="A930" s="66">
        <v>43383</v>
      </c>
      <c r="B930" t="s">
        <v>349</v>
      </c>
      <c r="C930" t="s">
        <v>18</v>
      </c>
      <c r="D930" t="s">
        <v>87</v>
      </c>
      <c r="F930" t="s">
        <v>597</v>
      </c>
      <c r="G930" t="s">
        <v>89</v>
      </c>
      <c r="I930" s="66">
        <v>43475</v>
      </c>
      <c r="J930" s="6">
        <v>89674270.200000003</v>
      </c>
      <c r="L930">
        <v>89662896.900000006</v>
      </c>
      <c r="M930">
        <v>0.24841299999999999</v>
      </c>
      <c r="N930">
        <v>90000000</v>
      </c>
      <c r="O930">
        <v>1.508</v>
      </c>
      <c r="P930" t="s">
        <v>42</v>
      </c>
      <c r="Q930" t="s">
        <v>23</v>
      </c>
      <c r="R930" s="66">
        <v>43293</v>
      </c>
      <c r="S930" s="6">
        <f>DataTable[HLD_MaturityDate] - DataTable[SEC_Issue_Date]</f>
        <v>182</v>
      </c>
      <c r="T930" s="66" t="str">
        <f>DataTable[HLD_Portfolio]&amp;DataTable[HLD_Date]</f>
        <v>SCBFIXED43383</v>
      </c>
      <c r="W930" t="b">
        <f>DataTable[HLD_SecCode]="CB18O18A"</f>
        <v>0</v>
      </c>
    </row>
    <row r="931" spans="1:23" x14ac:dyDescent="0.2">
      <c r="A931" s="66">
        <v>43383</v>
      </c>
      <c r="B931" t="s">
        <v>349</v>
      </c>
      <c r="C931" t="s">
        <v>18</v>
      </c>
      <c r="D931" t="s">
        <v>87</v>
      </c>
      <c r="F931" t="s">
        <v>832</v>
      </c>
      <c r="G931" t="s">
        <v>89</v>
      </c>
      <c r="I931" s="66">
        <v>43482</v>
      </c>
      <c r="J931" s="6">
        <v>49802892</v>
      </c>
      <c r="L931">
        <v>49798239.5</v>
      </c>
      <c r="M931">
        <v>0.26743499999999998</v>
      </c>
      <c r="N931">
        <v>50000000</v>
      </c>
      <c r="O931">
        <v>1.5089999999999999</v>
      </c>
      <c r="P931" t="s">
        <v>42</v>
      </c>
      <c r="Q931" t="s">
        <v>23</v>
      </c>
      <c r="R931" s="66">
        <v>43300</v>
      </c>
      <c r="S931" s="6">
        <f>DataTable[HLD_MaturityDate] - DataTable[SEC_Issue_Date]</f>
        <v>182</v>
      </c>
      <c r="T931" s="66" t="str">
        <f>DataTable[HLD_Portfolio]&amp;DataTable[HLD_Date]</f>
        <v>SCBFIXED43383</v>
      </c>
      <c r="W931" t="b">
        <f>DataTable[HLD_SecCode]="CB18O18A"</f>
        <v>0</v>
      </c>
    </row>
    <row r="932" spans="1:23" x14ac:dyDescent="0.2">
      <c r="A932" s="66">
        <v>43383</v>
      </c>
      <c r="B932" t="s">
        <v>349</v>
      </c>
      <c r="C932" t="s">
        <v>18</v>
      </c>
      <c r="D932" t="s">
        <v>87</v>
      </c>
      <c r="F932" t="s">
        <v>598</v>
      </c>
      <c r="G932" t="s">
        <v>89</v>
      </c>
      <c r="I932" s="66">
        <v>43496</v>
      </c>
      <c r="J932" s="6">
        <v>99528155</v>
      </c>
      <c r="L932">
        <v>99541835</v>
      </c>
      <c r="M932">
        <v>0.30540099999999998</v>
      </c>
      <c r="N932">
        <v>100000000</v>
      </c>
      <c r="O932">
        <v>1.5</v>
      </c>
      <c r="P932" t="s">
        <v>42</v>
      </c>
      <c r="Q932" t="s">
        <v>23</v>
      </c>
      <c r="R932" s="66">
        <v>43314</v>
      </c>
      <c r="S932" s="6">
        <f>DataTable[HLD_MaturityDate] - DataTable[SEC_Issue_Date]</f>
        <v>182</v>
      </c>
      <c r="T932" s="66" t="str">
        <f>DataTable[HLD_Portfolio]&amp;DataTable[HLD_Date]</f>
        <v>SCBFIXED43383</v>
      </c>
      <c r="W932" t="b">
        <f>DataTable[HLD_SecCode]="CB18O18A"</f>
        <v>0</v>
      </c>
    </row>
    <row r="933" spans="1:23" x14ac:dyDescent="0.2">
      <c r="A933" s="66">
        <v>43383</v>
      </c>
      <c r="B933" t="s">
        <v>349</v>
      </c>
      <c r="C933" t="s">
        <v>18</v>
      </c>
      <c r="D933" t="s">
        <v>87</v>
      </c>
      <c r="F933" t="s">
        <v>785</v>
      </c>
      <c r="G933" t="s">
        <v>89</v>
      </c>
      <c r="I933" s="66">
        <v>43517</v>
      </c>
      <c r="J933" s="6">
        <v>99420366</v>
      </c>
      <c r="L933">
        <v>99456396</v>
      </c>
      <c r="M933">
        <v>0.36227100000000001</v>
      </c>
      <c r="N933">
        <v>100000000</v>
      </c>
      <c r="O933">
        <v>1.5</v>
      </c>
      <c r="P933" t="s">
        <v>42</v>
      </c>
      <c r="Q933" t="s">
        <v>23</v>
      </c>
      <c r="R933" s="66">
        <v>43335</v>
      </c>
      <c r="S933" s="6">
        <f>DataTable[HLD_MaturityDate] - DataTable[SEC_Issue_Date]</f>
        <v>182</v>
      </c>
      <c r="T933" s="66" t="str">
        <f>DataTable[HLD_Portfolio]&amp;DataTable[HLD_Date]</f>
        <v>SCBFIXED43383</v>
      </c>
      <c r="W933" t="b">
        <f>DataTable[HLD_SecCode]="CB18O18A"</f>
        <v>0</v>
      </c>
    </row>
    <row r="934" spans="1:23" x14ac:dyDescent="0.2">
      <c r="A934" s="66">
        <v>43383</v>
      </c>
      <c r="B934" t="s">
        <v>349</v>
      </c>
      <c r="C934" t="s">
        <v>18</v>
      </c>
      <c r="D934" t="s">
        <v>87</v>
      </c>
      <c r="F934" t="s">
        <v>600</v>
      </c>
      <c r="G934" t="s">
        <v>89</v>
      </c>
      <c r="I934" s="66">
        <v>43524</v>
      </c>
      <c r="J934" s="6">
        <v>59634027</v>
      </c>
      <c r="L934">
        <v>59659044.600000001</v>
      </c>
      <c r="M934">
        <v>0.38122200000000001</v>
      </c>
      <c r="N934">
        <v>60000000</v>
      </c>
      <c r="O934">
        <v>1.49</v>
      </c>
      <c r="P934" t="s">
        <v>42</v>
      </c>
      <c r="Q934" t="s">
        <v>23</v>
      </c>
      <c r="R934" s="66">
        <v>43342</v>
      </c>
      <c r="S934" s="6">
        <f>DataTable[HLD_MaturityDate] - DataTable[SEC_Issue_Date]</f>
        <v>182</v>
      </c>
      <c r="T934" s="66" t="str">
        <f>DataTable[HLD_Portfolio]&amp;DataTable[HLD_Date]</f>
        <v>SCBFIXED43383</v>
      </c>
      <c r="W934" t="b">
        <f>DataTable[HLD_SecCode]="CB18O18A"</f>
        <v>0</v>
      </c>
    </row>
    <row r="935" spans="1:23" hidden="1" x14ac:dyDescent="0.2">
      <c r="A935" s="66">
        <v>43383</v>
      </c>
      <c r="B935" t="s">
        <v>349</v>
      </c>
      <c r="C935" t="s">
        <v>18</v>
      </c>
      <c r="D935" t="s">
        <v>109</v>
      </c>
      <c r="F935" t="s">
        <v>836</v>
      </c>
      <c r="G935" t="s">
        <v>192</v>
      </c>
      <c r="H935" t="s">
        <v>51</v>
      </c>
      <c r="I935" s="66">
        <v>43609</v>
      </c>
      <c r="J935" s="6">
        <v>50902391</v>
      </c>
      <c r="K935">
        <v>926301.5</v>
      </c>
      <c r="L935">
        <v>50935474</v>
      </c>
      <c r="M935">
        <v>0.60332699999999995</v>
      </c>
      <c r="N935">
        <v>50000000</v>
      </c>
      <c r="O935">
        <v>1.75</v>
      </c>
      <c r="P935" t="s">
        <v>42</v>
      </c>
      <c r="Q935" t="s">
        <v>23</v>
      </c>
      <c r="R935" s="66">
        <v>41053</v>
      </c>
      <c r="S935" s="6">
        <f>DataTable[HLD_MaturityDate] - DataTable[SEC_Issue_Date]</f>
        <v>2556</v>
      </c>
      <c r="T935" s="66" t="str">
        <f>DataTable[HLD_Portfolio]&amp;DataTable[HLD_Date]</f>
        <v>SCBFIXED43383</v>
      </c>
      <c r="W935" t="b">
        <f>DataTable[HLD_SecCode]="CB18O18A"</f>
        <v>0</v>
      </c>
    </row>
    <row r="936" spans="1:23" hidden="1" x14ac:dyDescent="0.2">
      <c r="A936" s="66">
        <v>43383</v>
      </c>
      <c r="B936" t="s">
        <v>349</v>
      </c>
      <c r="C936" t="s">
        <v>18</v>
      </c>
      <c r="D936" t="s">
        <v>109</v>
      </c>
      <c r="F936" t="s">
        <v>551</v>
      </c>
      <c r="G936" t="s">
        <v>192</v>
      </c>
      <c r="H936" t="s">
        <v>51</v>
      </c>
      <c r="I936" s="66">
        <v>44016</v>
      </c>
      <c r="J936" s="6">
        <v>10335701.4</v>
      </c>
      <c r="K936">
        <v>118257.5</v>
      </c>
      <c r="L936">
        <v>10371868.4</v>
      </c>
      <c r="M936">
        <v>1.6516580000000001</v>
      </c>
      <c r="N936">
        <v>10000000</v>
      </c>
      <c r="O936">
        <v>2.15</v>
      </c>
      <c r="P936" t="s">
        <v>42</v>
      </c>
      <c r="Q936" t="s">
        <v>23</v>
      </c>
      <c r="R936" s="66">
        <v>41824</v>
      </c>
      <c r="S936" s="6">
        <f>DataTable[HLD_MaturityDate] - DataTable[SEC_Issue_Date]</f>
        <v>2192</v>
      </c>
      <c r="T936" s="66" t="str">
        <f>DataTable[HLD_Portfolio]&amp;DataTable[HLD_Date]</f>
        <v>SCBFIXED43383</v>
      </c>
      <c r="W936" t="b">
        <f>DataTable[HLD_SecCode]="CB18O18A"</f>
        <v>0</v>
      </c>
    </row>
    <row r="937" spans="1:23" hidden="1" x14ac:dyDescent="0.2">
      <c r="A937" s="66">
        <v>43383</v>
      </c>
      <c r="B937" t="s">
        <v>349</v>
      </c>
      <c r="C937" t="s">
        <v>18</v>
      </c>
      <c r="D937" t="s">
        <v>109</v>
      </c>
      <c r="F937" t="s">
        <v>553</v>
      </c>
      <c r="G937" t="s">
        <v>501</v>
      </c>
      <c r="H937" t="s">
        <v>47</v>
      </c>
      <c r="I937" s="66">
        <v>43640</v>
      </c>
      <c r="J937" s="6">
        <v>40073640</v>
      </c>
      <c r="K937">
        <v>265183.59999999998</v>
      </c>
      <c r="L937">
        <v>40109518.799999997</v>
      </c>
      <c r="M937">
        <v>0.69052999999999998</v>
      </c>
      <c r="N937">
        <v>40000000</v>
      </c>
      <c r="O937">
        <v>1.82</v>
      </c>
      <c r="P937" t="s">
        <v>42</v>
      </c>
      <c r="Q937" t="s">
        <v>23</v>
      </c>
      <c r="R937" s="66">
        <v>42545</v>
      </c>
      <c r="S937" s="6">
        <f>DataTable[HLD_MaturityDate] - DataTable[SEC_Issue_Date]</f>
        <v>1095</v>
      </c>
      <c r="T937" s="66" t="str">
        <f>DataTable[HLD_Portfolio]&amp;DataTable[HLD_Date]</f>
        <v>SCBFIXED43383</v>
      </c>
      <c r="W937" t="b">
        <f>DataTable[HLD_SecCode]="CB18O18A"</f>
        <v>0</v>
      </c>
    </row>
    <row r="938" spans="1:23" hidden="1" x14ac:dyDescent="0.2">
      <c r="A938" s="66">
        <v>43383</v>
      </c>
      <c r="B938" t="s">
        <v>349</v>
      </c>
      <c r="C938" t="s">
        <v>18</v>
      </c>
      <c r="D938" t="s">
        <v>109</v>
      </c>
      <c r="F938" t="s">
        <v>837</v>
      </c>
      <c r="G938" t="s">
        <v>804</v>
      </c>
      <c r="H938" t="s">
        <v>43</v>
      </c>
      <c r="I938" s="66">
        <v>43536</v>
      </c>
      <c r="J938" s="6">
        <v>6357998.4900000002</v>
      </c>
      <c r="K938">
        <v>20672.63</v>
      </c>
      <c r="L938">
        <v>6364252.5700000003</v>
      </c>
      <c r="M938">
        <v>0.412443</v>
      </c>
      <c r="N938">
        <v>6300000</v>
      </c>
      <c r="O938">
        <v>1.7</v>
      </c>
      <c r="P938" t="s">
        <v>42</v>
      </c>
      <c r="Q938" t="s">
        <v>23</v>
      </c>
      <c r="R938" s="66">
        <v>41710</v>
      </c>
      <c r="S938" s="6">
        <f>DataTable[HLD_MaturityDate] - DataTable[SEC_Issue_Date]</f>
        <v>1826</v>
      </c>
      <c r="T938" s="66" t="str">
        <f>DataTable[HLD_Portfolio]&amp;DataTable[HLD_Date]</f>
        <v>SCBFIXED43383</v>
      </c>
      <c r="W938" t="b">
        <f>DataTable[HLD_SecCode]="CB18O18A"</f>
        <v>0</v>
      </c>
    </row>
    <row r="939" spans="1:23" hidden="1" x14ac:dyDescent="0.2">
      <c r="A939" s="66">
        <v>43383</v>
      </c>
      <c r="B939" t="s">
        <v>349</v>
      </c>
      <c r="C939" t="s">
        <v>18</v>
      </c>
      <c r="D939" t="s">
        <v>109</v>
      </c>
      <c r="F939" t="s">
        <v>668</v>
      </c>
      <c r="G939" t="s">
        <v>669</v>
      </c>
      <c r="H939" t="s">
        <v>47</v>
      </c>
      <c r="I939" s="66">
        <v>44375</v>
      </c>
      <c r="J939" s="6">
        <v>43830187.719999999</v>
      </c>
      <c r="K939">
        <v>316438.32</v>
      </c>
      <c r="L939">
        <v>44000000</v>
      </c>
      <c r="M939">
        <v>2.5881409999999998</v>
      </c>
      <c r="N939">
        <v>44000000</v>
      </c>
      <c r="O939">
        <v>2.5</v>
      </c>
      <c r="P939" t="s">
        <v>42</v>
      </c>
      <c r="Q939" t="s">
        <v>23</v>
      </c>
      <c r="R939" s="66">
        <v>43279</v>
      </c>
      <c r="S939" s="6">
        <f>DataTable[HLD_MaturityDate] - DataTable[SEC_Issue_Date]</f>
        <v>1096</v>
      </c>
      <c r="T939" s="66" t="str">
        <f>DataTable[HLD_Portfolio]&amp;DataTable[HLD_Date]</f>
        <v>SCBFIXED43383</v>
      </c>
      <c r="W939" t="b">
        <f>DataTable[HLD_SecCode]="CB18O18A"</f>
        <v>0</v>
      </c>
    </row>
    <row r="940" spans="1:23" hidden="1" x14ac:dyDescent="0.2">
      <c r="A940" s="66">
        <v>43383</v>
      </c>
      <c r="B940" t="s">
        <v>349</v>
      </c>
      <c r="C940" t="s">
        <v>18</v>
      </c>
      <c r="D940" t="s">
        <v>109</v>
      </c>
      <c r="F940" t="s">
        <v>537</v>
      </c>
      <c r="G940" t="s">
        <v>242</v>
      </c>
      <c r="H940" t="s">
        <v>29</v>
      </c>
      <c r="I940" s="66">
        <v>43494</v>
      </c>
      <c r="J940" s="6">
        <v>33004640.129999999</v>
      </c>
      <c r="K940">
        <v>282805.38</v>
      </c>
      <c r="L940">
        <v>33001041.809999999</v>
      </c>
      <c r="M940">
        <v>0.29935499999999998</v>
      </c>
      <c r="N940">
        <v>33000000</v>
      </c>
      <c r="O940">
        <v>2.27</v>
      </c>
      <c r="P940" t="s">
        <v>42</v>
      </c>
      <c r="Q940" t="s">
        <v>23</v>
      </c>
      <c r="R940" s="66">
        <v>43248</v>
      </c>
      <c r="S940" s="6">
        <f>DataTable[HLD_MaturityDate] - DataTable[SEC_Issue_Date]</f>
        <v>246</v>
      </c>
      <c r="T940" s="66" t="str">
        <f>DataTable[HLD_Portfolio]&amp;DataTable[HLD_Date]</f>
        <v>SCBFIXED43383</v>
      </c>
      <c r="W940" t="b">
        <f>DataTable[HLD_SecCode]="CB18O18A"</f>
        <v>0</v>
      </c>
    </row>
    <row r="941" spans="1:23" hidden="1" x14ac:dyDescent="0.2">
      <c r="A941" s="66">
        <v>43383</v>
      </c>
      <c r="B941" t="s">
        <v>349</v>
      </c>
      <c r="C941" t="s">
        <v>18</v>
      </c>
      <c r="D941" t="s">
        <v>109</v>
      </c>
      <c r="F941" t="s">
        <v>245</v>
      </c>
      <c r="G941" t="s">
        <v>244</v>
      </c>
      <c r="H941" t="s">
        <v>29</v>
      </c>
      <c r="I941" s="66">
        <v>44410</v>
      </c>
      <c r="J941" s="6">
        <v>45941821.5</v>
      </c>
      <c r="K941">
        <v>326410.94</v>
      </c>
      <c r="L941">
        <v>46000000</v>
      </c>
      <c r="M941">
        <v>2.638757</v>
      </c>
      <c r="N941">
        <v>46000000</v>
      </c>
      <c r="O941">
        <v>3.7</v>
      </c>
      <c r="P941" t="s">
        <v>42</v>
      </c>
      <c r="Q941" t="s">
        <v>23</v>
      </c>
      <c r="R941" s="66">
        <v>43314</v>
      </c>
      <c r="S941" s="6">
        <f>DataTable[HLD_MaturityDate] - DataTable[SEC_Issue_Date]</f>
        <v>1096</v>
      </c>
      <c r="T941" s="66" t="str">
        <f>DataTable[HLD_Portfolio]&amp;DataTable[HLD_Date]</f>
        <v>SCBFIXED43383</v>
      </c>
      <c r="W941" t="b">
        <f>DataTable[HLD_SecCode]="CB18O18A"</f>
        <v>0</v>
      </c>
    </row>
    <row r="942" spans="1:23" hidden="1" x14ac:dyDescent="0.2">
      <c r="A942" s="66">
        <v>43383</v>
      </c>
      <c r="B942" t="s">
        <v>349</v>
      </c>
      <c r="C942" t="s">
        <v>18</v>
      </c>
      <c r="D942" t="s">
        <v>109</v>
      </c>
      <c r="F942" t="s">
        <v>248</v>
      </c>
      <c r="G942" t="s">
        <v>249</v>
      </c>
      <c r="H942" t="s">
        <v>47</v>
      </c>
      <c r="I942" s="66">
        <v>44285</v>
      </c>
      <c r="J942" s="6">
        <v>3969784.6</v>
      </c>
      <c r="K942">
        <v>2724.4</v>
      </c>
      <c r="L942">
        <v>3984282.6</v>
      </c>
      <c r="M942">
        <v>2.3912019999999998</v>
      </c>
      <c r="N942">
        <v>4000000</v>
      </c>
      <c r="O942">
        <v>2.4249999999999998</v>
      </c>
      <c r="P942" t="s">
        <v>42</v>
      </c>
      <c r="Q942" t="s">
        <v>23</v>
      </c>
      <c r="R942" s="66">
        <v>43189</v>
      </c>
      <c r="S942" s="6">
        <f>DataTable[HLD_MaturityDate] - DataTable[SEC_Issue_Date]</f>
        <v>1096</v>
      </c>
      <c r="T942" s="66" t="str">
        <f>DataTable[HLD_Portfolio]&amp;DataTable[HLD_Date]</f>
        <v>SCBFIXED43383</v>
      </c>
      <c r="W942" t="b">
        <f>DataTable[HLD_SecCode]="CB18O18A"</f>
        <v>0</v>
      </c>
    </row>
    <row r="943" spans="1:23" hidden="1" x14ac:dyDescent="0.2">
      <c r="A943" s="66">
        <v>43383</v>
      </c>
      <c r="B943" t="s">
        <v>349</v>
      </c>
      <c r="C943" t="s">
        <v>18</v>
      </c>
      <c r="D943" t="s">
        <v>109</v>
      </c>
      <c r="F943" t="s">
        <v>838</v>
      </c>
      <c r="G943" t="s">
        <v>526</v>
      </c>
      <c r="H943" t="s">
        <v>47</v>
      </c>
      <c r="I943" s="66">
        <v>43672</v>
      </c>
      <c r="J943" s="6">
        <v>50016395.5</v>
      </c>
      <c r="K943">
        <v>218342.5</v>
      </c>
      <c r="L943">
        <v>50081383</v>
      </c>
      <c r="M943">
        <v>0.78016700000000005</v>
      </c>
      <c r="N943">
        <v>50000000</v>
      </c>
      <c r="O943">
        <v>1.85</v>
      </c>
      <c r="P943" t="s">
        <v>42</v>
      </c>
      <c r="Q943" t="s">
        <v>23</v>
      </c>
      <c r="R943" s="66">
        <v>42942</v>
      </c>
      <c r="S943" s="6">
        <f>DataTable[HLD_MaturityDate] - DataTable[SEC_Issue_Date]</f>
        <v>730</v>
      </c>
      <c r="T943" s="66" t="str">
        <f>DataTable[HLD_Portfolio]&amp;DataTable[HLD_Date]</f>
        <v>SCBFIXED43383</v>
      </c>
      <c r="W943" t="b">
        <f>DataTable[HLD_SecCode]="CB18O18A"</f>
        <v>0</v>
      </c>
    </row>
    <row r="944" spans="1:23" hidden="1" x14ac:dyDescent="0.2">
      <c r="A944" s="66">
        <v>43383</v>
      </c>
      <c r="B944" t="s">
        <v>349</v>
      </c>
      <c r="C944" t="s">
        <v>18</v>
      </c>
      <c r="D944" t="s">
        <v>109</v>
      </c>
      <c r="F944" t="s">
        <v>574</v>
      </c>
      <c r="G944" t="s">
        <v>575</v>
      </c>
      <c r="H944" t="s">
        <v>123</v>
      </c>
      <c r="I944" s="66">
        <v>43392</v>
      </c>
      <c r="J944" s="6">
        <v>40010304.399999999</v>
      </c>
      <c r="K944">
        <v>575342.4</v>
      </c>
      <c r="L944">
        <v>40010478.799999997</v>
      </c>
      <c r="M944">
        <v>2.1760000000000002E-2</v>
      </c>
      <c r="N944">
        <v>40000000</v>
      </c>
      <c r="O944">
        <v>1.6</v>
      </c>
      <c r="P944" t="s">
        <v>42</v>
      </c>
      <c r="Q944" t="s">
        <v>23</v>
      </c>
      <c r="R944" s="66">
        <v>42116</v>
      </c>
      <c r="S944" s="6">
        <f>DataTable[HLD_MaturityDate] - DataTable[SEC_Issue_Date]</f>
        <v>1276</v>
      </c>
      <c r="T944" s="66" t="str">
        <f>DataTable[HLD_Portfolio]&amp;DataTable[HLD_Date]</f>
        <v>SCBFIXED43383</v>
      </c>
      <c r="W944" t="b">
        <f>DataTable[HLD_SecCode]="CB18O18A"</f>
        <v>0</v>
      </c>
    </row>
    <row r="945" spans="1:23" hidden="1" x14ac:dyDescent="0.2">
      <c r="A945" s="66">
        <v>43383</v>
      </c>
      <c r="B945" t="s">
        <v>349</v>
      </c>
      <c r="C945" t="s">
        <v>18</v>
      </c>
      <c r="D945" t="s">
        <v>109</v>
      </c>
      <c r="F945" t="s">
        <v>576</v>
      </c>
      <c r="G945" t="s">
        <v>228</v>
      </c>
      <c r="H945" t="s">
        <v>47</v>
      </c>
      <c r="I945" s="66">
        <v>43545</v>
      </c>
      <c r="J945" s="6">
        <v>45017688.600000001</v>
      </c>
      <c r="K945">
        <v>60657.75</v>
      </c>
      <c r="L945">
        <v>45063659.25</v>
      </c>
      <c r="M945">
        <v>0.43763600000000002</v>
      </c>
      <c r="N945">
        <v>45000000</v>
      </c>
      <c r="O945">
        <v>1.73</v>
      </c>
      <c r="P945" t="s">
        <v>42</v>
      </c>
      <c r="Q945" t="s">
        <v>23</v>
      </c>
      <c r="R945" s="66">
        <v>42446</v>
      </c>
      <c r="S945" s="6">
        <f>DataTable[HLD_MaturityDate] - DataTable[SEC_Issue_Date]</f>
        <v>1099</v>
      </c>
      <c r="T945" s="66" t="str">
        <f>DataTable[HLD_Portfolio]&amp;DataTable[HLD_Date]</f>
        <v>SCBFIXED43383</v>
      </c>
      <c r="W945" t="b">
        <f>DataTable[HLD_SecCode]="CB18O18A"</f>
        <v>0</v>
      </c>
    </row>
    <row r="946" spans="1:23" hidden="1" x14ac:dyDescent="0.2">
      <c r="A946" s="66">
        <v>43383</v>
      </c>
      <c r="B946" t="s">
        <v>349</v>
      </c>
      <c r="C946" t="s">
        <v>18</v>
      </c>
      <c r="D946" t="s">
        <v>109</v>
      </c>
      <c r="F946" t="s">
        <v>580</v>
      </c>
      <c r="G946" t="s">
        <v>230</v>
      </c>
      <c r="H946" t="s">
        <v>123</v>
      </c>
      <c r="I946" s="66">
        <v>43580</v>
      </c>
      <c r="J946" s="6">
        <v>44974842.75</v>
      </c>
      <c r="K946">
        <v>408378.12</v>
      </c>
      <c r="L946">
        <v>45055380.149999999</v>
      </c>
      <c r="M946">
        <v>0.53285300000000002</v>
      </c>
      <c r="N946">
        <v>45000000</v>
      </c>
      <c r="O946">
        <v>1.73</v>
      </c>
      <c r="P946" t="s">
        <v>42</v>
      </c>
      <c r="Q946" t="s">
        <v>23</v>
      </c>
      <c r="R946" s="66">
        <v>42485</v>
      </c>
      <c r="S946" s="6">
        <f>DataTable[HLD_MaturityDate] - DataTable[SEC_Issue_Date]</f>
        <v>1095</v>
      </c>
      <c r="T946" s="66" t="str">
        <f>DataTable[HLD_Portfolio]&amp;DataTable[HLD_Date]</f>
        <v>SCBFIXED43383</v>
      </c>
      <c r="W946" t="b">
        <f>DataTable[HLD_SecCode]="CB18O18A"</f>
        <v>0</v>
      </c>
    </row>
    <row r="947" spans="1:23" hidden="1" x14ac:dyDescent="0.2">
      <c r="A947" s="66">
        <v>43383</v>
      </c>
      <c r="B947" t="s">
        <v>349</v>
      </c>
      <c r="C947" t="s">
        <v>18</v>
      </c>
      <c r="D947" t="s">
        <v>109</v>
      </c>
      <c r="F947" t="s">
        <v>584</v>
      </c>
      <c r="G947" t="s">
        <v>234</v>
      </c>
      <c r="H947" t="s">
        <v>203</v>
      </c>
      <c r="I947" s="66">
        <v>44639</v>
      </c>
      <c r="J947" s="6">
        <v>119838446.40000001</v>
      </c>
      <c r="K947">
        <v>231452.4</v>
      </c>
      <c r="L947">
        <v>120000000</v>
      </c>
      <c r="M947">
        <v>3.2221039999999999</v>
      </c>
      <c r="N947">
        <v>120000000</v>
      </c>
      <c r="O947">
        <v>3.2</v>
      </c>
      <c r="P947" t="s">
        <v>42</v>
      </c>
      <c r="Q947" t="s">
        <v>23</v>
      </c>
      <c r="R947" s="66">
        <v>43362</v>
      </c>
      <c r="S947" s="6">
        <f>DataTable[HLD_MaturityDate] - DataTable[SEC_Issue_Date]</f>
        <v>1277</v>
      </c>
      <c r="T947" s="66" t="str">
        <f>DataTable[HLD_Portfolio]&amp;DataTable[HLD_Date]</f>
        <v>SCBFIXED43383</v>
      </c>
      <c r="W947" t="b">
        <f>DataTable[HLD_SecCode]="CB18O18A"</f>
        <v>0</v>
      </c>
    </row>
    <row r="948" spans="1:23" hidden="1" x14ac:dyDescent="0.2">
      <c r="A948" s="66">
        <v>43383</v>
      </c>
      <c r="B948" t="s">
        <v>349</v>
      </c>
      <c r="C948" t="s">
        <v>18</v>
      </c>
      <c r="D948" t="s">
        <v>109</v>
      </c>
      <c r="F948" t="s">
        <v>835</v>
      </c>
      <c r="G948" t="s">
        <v>589</v>
      </c>
      <c r="I948" s="66">
        <v>43699</v>
      </c>
      <c r="J948" s="6">
        <v>5583347.8799999999</v>
      </c>
      <c r="K948">
        <v>29006.84</v>
      </c>
      <c r="L948">
        <v>5598581.7300000004</v>
      </c>
      <c r="M948">
        <v>0.84902900000000003</v>
      </c>
      <c r="N948">
        <v>5500000</v>
      </c>
      <c r="O948">
        <v>1.738</v>
      </c>
      <c r="P948" t="s">
        <v>42</v>
      </c>
      <c r="Q948" t="s">
        <v>23</v>
      </c>
      <c r="R948" s="66">
        <v>41873</v>
      </c>
      <c r="S948" s="6">
        <f>DataTable[HLD_MaturityDate] - DataTable[SEC_Issue_Date]</f>
        <v>1826</v>
      </c>
      <c r="T948" s="66" t="str">
        <f>DataTable[HLD_Portfolio]&amp;DataTable[HLD_Date]</f>
        <v>SCBFIXED43383</v>
      </c>
      <c r="W948" t="b">
        <f>DataTable[HLD_SecCode]="CB18O18A"</f>
        <v>0</v>
      </c>
    </row>
    <row r="949" spans="1:23" hidden="1" x14ac:dyDescent="0.2">
      <c r="A949" s="66">
        <v>43383</v>
      </c>
      <c r="B949" t="s">
        <v>349</v>
      </c>
      <c r="C949" t="s">
        <v>18</v>
      </c>
      <c r="D949" t="s">
        <v>109</v>
      </c>
      <c r="F949" t="s">
        <v>256</v>
      </c>
      <c r="G949" t="s">
        <v>257</v>
      </c>
      <c r="H949" t="s">
        <v>47</v>
      </c>
      <c r="I949" s="66">
        <v>43783</v>
      </c>
      <c r="J949" s="6">
        <v>7111738.2000000002</v>
      </c>
      <c r="K949">
        <v>101260.25</v>
      </c>
      <c r="L949">
        <v>7132482.0700000003</v>
      </c>
      <c r="M949">
        <v>1.05698</v>
      </c>
      <c r="N949">
        <v>7000000</v>
      </c>
      <c r="O949">
        <v>1.75</v>
      </c>
      <c r="P949" t="s">
        <v>42</v>
      </c>
      <c r="Q949" t="s">
        <v>23</v>
      </c>
      <c r="R949" s="66">
        <v>41957</v>
      </c>
      <c r="S949" s="6">
        <f>DataTable[HLD_MaturityDate] - DataTable[SEC_Issue_Date]</f>
        <v>1826</v>
      </c>
      <c r="T949" s="66" t="str">
        <f>DataTable[HLD_Portfolio]&amp;DataTable[HLD_Date]</f>
        <v>SCBFIXED43383</v>
      </c>
      <c r="W949" t="b">
        <f>DataTable[HLD_SecCode]="CB18O18A"</f>
        <v>0</v>
      </c>
    </row>
    <row r="950" spans="1:23" hidden="1" x14ac:dyDescent="0.2">
      <c r="A950" s="66">
        <v>43383</v>
      </c>
      <c r="B950" t="s">
        <v>349</v>
      </c>
      <c r="C950" t="s">
        <v>18</v>
      </c>
      <c r="D950" t="s">
        <v>109</v>
      </c>
      <c r="F950" t="s">
        <v>510</v>
      </c>
      <c r="G950" t="s">
        <v>511</v>
      </c>
      <c r="H950" t="s">
        <v>123</v>
      </c>
      <c r="I950" s="66">
        <v>43997</v>
      </c>
      <c r="J950" s="6">
        <v>49754780.5</v>
      </c>
      <c r="K950">
        <v>360466</v>
      </c>
      <c r="L950">
        <v>50000000</v>
      </c>
      <c r="M950">
        <v>1.624603</v>
      </c>
      <c r="N950">
        <v>50000000</v>
      </c>
      <c r="O950">
        <v>2.23</v>
      </c>
      <c r="P950" t="s">
        <v>42</v>
      </c>
      <c r="Q950" t="s">
        <v>23</v>
      </c>
      <c r="R950" s="66">
        <v>43266</v>
      </c>
      <c r="S950" s="6">
        <f>DataTable[HLD_MaturityDate] - DataTable[SEC_Issue_Date]</f>
        <v>731</v>
      </c>
      <c r="T950" s="66" t="str">
        <f>DataTable[HLD_Portfolio]&amp;DataTable[HLD_Date]</f>
        <v>SCBFIXED43383</v>
      </c>
      <c r="W950" t="b">
        <f>DataTable[HLD_SecCode]="CB18O18A"</f>
        <v>0</v>
      </c>
    </row>
    <row r="951" spans="1:23" hidden="1" x14ac:dyDescent="0.2">
      <c r="A951" s="66">
        <v>43383</v>
      </c>
      <c r="B951" t="s">
        <v>349</v>
      </c>
      <c r="C951" t="s">
        <v>18</v>
      </c>
      <c r="D951" t="s">
        <v>109</v>
      </c>
      <c r="F951" t="s">
        <v>556</v>
      </c>
      <c r="G951" t="s">
        <v>111</v>
      </c>
      <c r="H951" t="s">
        <v>51</v>
      </c>
      <c r="I951" s="66">
        <v>43551</v>
      </c>
      <c r="J951" s="6">
        <v>45472975.649999999</v>
      </c>
      <c r="K951">
        <v>74219.399999999994</v>
      </c>
      <c r="L951">
        <v>45538627.950000003</v>
      </c>
      <c r="M951">
        <v>0.45296399999999998</v>
      </c>
      <c r="N951">
        <v>45000000</v>
      </c>
      <c r="O951">
        <v>1.7</v>
      </c>
      <c r="P951" t="s">
        <v>42</v>
      </c>
      <c r="Q951" t="s">
        <v>23</v>
      </c>
      <c r="R951" s="66">
        <v>41725</v>
      </c>
      <c r="S951" s="6">
        <f>DataTable[HLD_MaturityDate] - DataTable[SEC_Issue_Date]</f>
        <v>1826</v>
      </c>
      <c r="T951" s="66" t="str">
        <f>DataTable[HLD_Portfolio]&amp;DataTable[HLD_Date]</f>
        <v>SCBFIXED43383</v>
      </c>
      <c r="W951" t="b">
        <f>DataTable[HLD_SecCode]="CB18O18A"</f>
        <v>0</v>
      </c>
    </row>
    <row r="952" spans="1:23" hidden="1" x14ac:dyDescent="0.2">
      <c r="A952" s="66">
        <v>43383</v>
      </c>
      <c r="B952" t="s">
        <v>349</v>
      </c>
      <c r="C952" t="s">
        <v>18</v>
      </c>
      <c r="D952" t="s">
        <v>109</v>
      </c>
      <c r="F952" t="s">
        <v>833</v>
      </c>
      <c r="G952" t="s">
        <v>111</v>
      </c>
      <c r="H952" t="s">
        <v>51</v>
      </c>
      <c r="I952" s="66">
        <v>43703</v>
      </c>
      <c r="J952" s="6">
        <v>20042083</v>
      </c>
      <c r="K952">
        <v>62761.599999999999</v>
      </c>
      <c r="L952">
        <v>20110463.399999999</v>
      </c>
      <c r="M952">
        <v>0.86231199999999997</v>
      </c>
      <c r="N952">
        <v>20000000</v>
      </c>
      <c r="O952">
        <v>1.84</v>
      </c>
      <c r="P952" t="s">
        <v>42</v>
      </c>
      <c r="Q952" t="s">
        <v>23</v>
      </c>
      <c r="R952" s="66">
        <v>42608</v>
      </c>
      <c r="S952" s="6">
        <f>DataTable[HLD_MaturityDate] - DataTable[SEC_Issue_Date]</f>
        <v>1095</v>
      </c>
      <c r="T952" s="66" t="str">
        <f>DataTable[HLD_Portfolio]&amp;DataTable[HLD_Date]</f>
        <v>SCBFIXED43383</v>
      </c>
      <c r="W952" t="b">
        <f>DataTable[HLD_SecCode]="CB18O18A"</f>
        <v>0</v>
      </c>
    </row>
    <row r="953" spans="1:23" hidden="1" x14ac:dyDescent="0.2">
      <c r="A953" s="66">
        <v>43383</v>
      </c>
      <c r="B953" t="s">
        <v>349</v>
      </c>
      <c r="C953" t="s">
        <v>18</v>
      </c>
      <c r="D953" t="s">
        <v>109</v>
      </c>
      <c r="F953" t="s">
        <v>564</v>
      </c>
      <c r="G953" t="s">
        <v>563</v>
      </c>
      <c r="H953" t="s">
        <v>317</v>
      </c>
      <c r="I953" s="66">
        <v>43904</v>
      </c>
      <c r="J953" s="6">
        <v>19867276.399999999</v>
      </c>
      <c r="K953">
        <v>24559</v>
      </c>
      <c r="L953">
        <v>19942599.199999999</v>
      </c>
      <c r="M953">
        <v>1.394628</v>
      </c>
      <c r="N953">
        <v>20000000</v>
      </c>
      <c r="O953">
        <v>1.87</v>
      </c>
      <c r="P953" t="s">
        <v>42</v>
      </c>
      <c r="Q953" t="s">
        <v>23</v>
      </c>
      <c r="R953" s="66">
        <v>43173</v>
      </c>
      <c r="S953" s="6">
        <f>DataTable[HLD_MaturityDate] - DataTable[SEC_Issue_Date]</f>
        <v>731</v>
      </c>
      <c r="T953" s="66" t="str">
        <f>DataTable[HLD_Portfolio]&amp;DataTable[HLD_Date]</f>
        <v>SCBFIXED43383</v>
      </c>
      <c r="W953" t="b">
        <f>DataTable[HLD_SecCode]="CB18O18A"</f>
        <v>0</v>
      </c>
    </row>
    <row r="954" spans="1:23" hidden="1" x14ac:dyDescent="0.2">
      <c r="A954" s="66">
        <v>43383</v>
      </c>
      <c r="B954" t="s">
        <v>349</v>
      </c>
      <c r="C954" t="s">
        <v>18</v>
      </c>
      <c r="D954" t="s">
        <v>109</v>
      </c>
      <c r="F954" t="s">
        <v>834</v>
      </c>
      <c r="G954" t="s">
        <v>587</v>
      </c>
      <c r="I954" s="66">
        <v>43808</v>
      </c>
      <c r="J954" s="6">
        <v>50051649.5</v>
      </c>
      <c r="K954">
        <v>373698.5</v>
      </c>
      <c r="L954">
        <v>50192404</v>
      </c>
      <c r="M954">
        <v>1.1334610000000001</v>
      </c>
      <c r="N954">
        <v>50000000</v>
      </c>
      <c r="O954">
        <v>1.86</v>
      </c>
      <c r="P954" t="s">
        <v>42</v>
      </c>
      <c r="Q954" t="s">
        <v>23</v>
      </c>
      <c r="R954" s="66">
        <v>42713</v>
      </c>
      <c r="S954" s="6">
        <f>DataTable[HLD_MaturityDate] - DataTable[SEC_Issue_Date]</f>
        <v>1095</v>
      </c>
      <c r="T954" s="66" t="str">
        <f>DataTable[HLD_Portfolio]&amp;DataTable[HLD_Date]</f>
        <v>SCBFIXED43383</v>
      </c>
      <c r="W954" t="b">
        <f>DataTable[HLD_SecCode]="CB18O18A"</f>
        <v>0</v>
      </c>
    </row>
    <row r="955" spans="1:23" hidden="1" x14ac:dyDescent="0.2">
      <c r="A955" s="66">
        <v>43383</v>
      </c>
      <c r="B955" t="s">
        <v>349</v>
      </c>
      <c r="C955" t="s">
        <v>113</v>
      </c>
      <c r="D955" t="s">
        <v>114</v>
      </c>
      <c r="F955" t="s">
        <v>839</v>
      </c>
      <c r="G955" t="s">
        <v>146</v>
      </c>
      <c r="H955" t="s">
        <v>27</v>
      </c>
      <c r="I955" s="66">
        <v>43543</v>
      </c>
      <c r="J955" s="6">
        <v>394474.91</v>
      </c>
      <c r="L955">
        <v>0</v>
      </c>
      <c r="M955">
        <v>0</v>
      </c>
      <c r="N955">
        <v>0</v>
      </c>
      <c r="O955">
        <v>0</v>
      </c>
      <c r="P955" t="s">
        <v>116</v>
      </c>
      <c r="Q955" t="s">
        <v>23</v>
      </c>
      <c r="R955" s="66">
        <v>2</v>
      </c>
      <c r="S955" s="6">
        <f>DataTable[HLD_MaturityDate] - DataTable[SEC_Issue_Date]</f>
        <v>43541</v>
      </c>
      <c r="T955" s="66" t="str">
        <f>DataTable[HLD_Portfolio]&amp;DataTable[HLD_Date]</f>
        <v>SCBFIXED43383</v>
      </c>
      <c r="W955" t="b">
        <f>DataTable[HLD_SecCode]="CB18O18A"</f>
        <v>0</v>
      </c>
    </row>
    <row r="956" spans="1:23" hidden="1" x14ac:dyDescent="0.2">
      <c r="A956" s="66">
        <v>43383</v>
      </c>
      <c r="B956" t="s">
        <v>349</v>
      </c>
      <c r="C956" t="s">
        <v>840</v>
      </c>
      <c r="D956" t="s">
        <v>841</v>
      </c>
      <c r="E956" t="s">
        <v>841</v>
      </c>
      <c r="F956" t="s">
        <v>841</v>
      </c>
      <c r="I956" s="66"/>
      <c r="J956" s="6">
        <v>64327.7</v>
      </c>
      <c r="O956">
        <v>0</v>
      </c>
      <c r="R956" s="66"/>
      <c r="S956" s="6">
        <f>DataTable[HLD_MaturityDate] - DataTable[SEC_Issue_Date]</f>
        <v>0</v>
      </c>
      <c r="T956" s="66" t="str">
        <f>DataTable[HLD_Portfolio]&amp;DataTable[HLD_Date]</f>
        <v>SCBFIXED43383</v>
      </c>
      <c r="W956" t="b">
        <f>DataTable[HLD_SecCode]="CB18O18A"</f>
        <v>0</v>
      </c>
    </row>
    <row r="957" spans="1:23" hidden="1" x14ac:dyDescent="0.2">
      <c r="A957" s="66">
        <v>43383</v>
      </c>
      <c r="B957" t="s">
        <v>349</v>
      </c>
      <c r="C957" t="s">
        <v>129</v>
      </c>
      <c r="D957" t="s">
        <v>131</v>
      </c>
      <c r="E957" t="s">
        <v>131</v>
      </c>
      <c r="F957" t="s">
        <v>131</v>
      </c>
      <c r="I957" s="66"/>
      <c r="J957" s="6">
        <v>-23928.38</v>
      </c>
      <c r="O957">
        <v>0</v>
      </c>
      <c r="R957" s="66"/>
      <c r="S957" s="6">
        <f>DataTable[HLD_MaturityDate] - DataTable[SEC_Issue_Date]</f>
        <v>0</v>
      </c>
      <c r="T957" s="66" t="str">
        <f>DataTable[HLD_Portfolio]&amp;DataTable[HLD_Date]</f>
        <v>SCBFIXED43383</v>
      </c>
      <c r="W957" t="b">
        <f>DataTable[HLD_SecCode]="CB18O18A"</f>
        <v>0</v>
      </c>
    </row>
    <row r="958" spans="1:23" hidden="1" x14ac:dyDescent="0.2">
      <c r="A958" s="66">
        <v>43383</v>
      </c>
      <c r="B958" t="s">
        <v>349</v>
      </c>
      <c r="C958" t="s">
        <v>129</v>
      </c>
      <c r="D958" t="s">
        <v>132</v>
      </c>
      <c r="I958" s="66"/>
      <c r="J958" s="6">
        <v>-18905.759999999998</v>
      </c>
      <c r="K958">
        <v>0</v>
      </c>
      <c r="O958">
        <v>0</v>
      </c>
      <c r="R958" s="66"/>
      <c r="S958" s="6">
        <f>DataTable[HLD_MaturityDate] - DataTable[SEC_Issue_Date]</f>
        <v>0</v>
      </c>
      <c r="T958" s="66" t="str">
        <f>DataTable[HLD_Portfolio]&amp;DataTable[HLD_Date]</f>
        <v>SCBFIXED43383</v>
      </c>
      <c r="W958" t="b">
        <f>DataTable[HLD_SecCode]="CB18O18A"</f>
        <v>0</v>
      </c>
    </row>
    <row r="959" spans="1:23" hidden="1" x14ac:dyDescent="0.2">
      <c r="A959" s="66">
        <v>43383</v>
      </c>
      <c r="B959" t="s">
        <v>349</v>
      </c>
      <c r="C959" t="s">
        <v>129</v>
      </c>
      <c r="D959" t="s">
        <v>134</v>
      </c>
      <c r="E959" t="s">
        <v>134</v>
      </c>
      <c r="I959" s="66"/>
      <c r="J959" s="6">
        <v>-12080.43</v>
      </c>
      <c r="L959">
        <v>-12080.43</v>
      </c>
      <c r="O959">
        <v>0</v>
      </c>
      <c r="R959" s="66"/>
      <c r="S959" s="6">
        <f>DataTable[HLD_MaturityDate] - DataTable[SEC_Issue_Date]</f>
        <v>0</v>
      </c>
      <c r="T959" s="66" t="str">
        <f>DataTable[HLD_Portfolio]&amp;DataTable[HLD_Date]</f>
        <v>SCBFIXED43383</v>
      </c>
      <c r="W959" t="b">
        <f>DataTable[HLD_SecCode]="CB18O18A"</f>
        <v>0</v>
      </c>
    </row>
    <row r="960" spans="1:23" hidden="1" x14ac:dyDescent="0.2">
      <c r="A960" s="66">
        <v>43383</v>
      </c>
      <c r="B960" t="s">
        <v>349</v>
      </c>
      <c r="C960" t="s">
        <v>129</v>
      </c>
      <c r="D960" t="s">
        <v>135</v>
      </c>
      <c r="E960" t="s">
        <v>135</v>
      </c>
      <c r="I960" s="66"/>
      <c r="J960" s="6">
        <v>-161072.47</v>
      </c>
      <c r="L960">
        <v>-161072.47</v>
      </c>
      <c r="O960">
        <v>0</v>
      </c>
      <c r="R960" s="66"/>
      <c r="S960" s="6">
        <f>DataTable[HLD_MaturityDate] - DataTable[SEC_Issue_Date]</f>
        <v>0</v>
      </c>
      <c r="T960" s="66" t="str">
        <f>DataTable[HLD_Portfolio]&amp;DataTable[HLD_Date]</f>
        <v>SCBFIXED43383</v>
      </c>
      <c r="W960" t="b">
        <f>DataTable[HLD_SecCode]="CB18O18A"</f>
        <v>0</v>
      </c>
    </row>
    <row r="961" spans="1:23" hidden="1" x14ac:dyDescent="0.2">
      <c r="A961" s="66">
        <v>43383</v>
      </c>
      <c r="B961" t="s">
        <v>349</v>
      </c>
      <c r="C961" t="s">
        <v>129</v>
      </c>
      <c r="D961" t="s">
        <v>136</v>
      </c>
      <c r="E961" t="s">
        <v>136</v>
      </c>
      <c r="I961" s="66"/>
      <c r="J961" s="6">
        <v>-24563.56</v>
      </c>
      <c r="L961">
        <v>-24563.56</v>
      </c>
      <c r="O961">
        <v>0</v>
      </c>
      <c r="R961" s="66"/>
      <c r="S961" s="6">
        <f>DataTable[HLD_MaturityDate] - DataTable[SEC_Issue_Date]</f>
        <v>0</v>
      </c>
      <c r="T961" s="66" t="str">
        <f>DataTable[HLD_Portfolio]&amp;DataTable[HLD_Date]</f>
        <v>SCBFIXED43383</v>
      </c>
      <c r="W961" t="b">
        <f>DataTable[HLD_SecCode]="CB18O18A"</f>
        <v>0</v>
      </c>
    </row>
    <row r="962" spans="1:23" hidden="1" x14ac:dyDescent="0.2">
      <c r="A962" s="66">
        <v>43383</v>
      </c>
      <c r="B962" t="s">
        <v>349</v>
      </c>
      <c r="C962" t="s">
        <v>137</v>
      </c>
      <c r="D962" t="s">
        <v>134</v>
      </c>
      <c r="E962" t="s">
        <v>134</v>
      </c>
      <c r="I962" s="66"/>
      <c r="J962" s="6">
        <v>-1334.19</v>
      </c>
      <c r="L962">
        <v>-1334.19</v>
      </c>
      <c r="O962">
        <v>0</v>
      </c>
      <c r="R962" s="66"/>
      <c r="S962" s="6">
        <f>DataTable[HLD_MaturityDate] - DataTable[SEC_Issue_Date]</f>
        <v>0</v>
      </c>
      <c r="T962" s="66" t="str">
        <f>DataTable[HLD_Portfolio]&amp;DataTable[HLD_Date]</f>
        <v>SCBFIXED43383</v>
      </c>
      <c r="W962" t="b">
        <f>DataTable[HLD_SecCode]="CB18O18A"</f>
        <v>0</v>
      </c>
    </row>
    <row r="963" spans="1:23" hidden="1" x14ac:dyDescent="0.2">
      <c r="A963" s="66">
        <v>43383</v>
      </c>
      <c r="B963" t="s">
        <v>349</v>
      </c>
      <c r="C963" t="s">
        <v>137</v>
      </c>
      <c r="D963" t="s">
        <v>135</v>
      </c>
      <c r="E963" t="s">
        <v>135</v>
      </c>
      <c r="I963" s="66"/>
      <c r="J963" s="6">
        <v>-17789.23</v>
      </c>
      <c r="L963">
        <v>-17789.23</v>
      </c>
      <c r="O963">
        <v>0</v>
      </c>
      <c r="R963" s="66"/>
      <c r="S963" s="6">
        <f>DataTable[HLD_MaturityDate] - DataTable[SEC_Issue_Date]</f>
        <v>0</v>
      </c>
      <c r="T963" s="66" t="str">
        <f>DataTable[HLD_Portfolio]&amp;DataTable[HLD_Date]</f>
        <v>SCBFIXED43383</v>
      </c>
      <c r="W963" t="b">
        <f>DataTable[HLD_SecCode]="CB18O18A"</f>
        <v>0</v>
      </c>
    </row>
    <row r="964" spans="1:23" hidden="1" x14ac:dyDescent="0.2">
      <c r="A964" s="66">
        <v>43383</v>
      </c>
      <c r="B964" t="s">
        <v>349</v>
      </c>
      <c r="C964" t="s">
        <v>137</v>
      </c>
      <c r="D964" t="s">
        <v>136</v>
      </c>
      <c r="E964" t="s">
        <v>136</v>
      </c>
      <c r="I964" s="66"/>
      <c r="J964" s="6">
        <v>-2712.86</v>
      </c>
      <c r="L964">
        <v>-2712.86</v>
      </c>
      <c r="O964">
        <v>0</v>
      </c>
      <c r="R964" s="66"/>
      <c r="S964" s="6">
        <f>DataTable[HLD_MaturityDate] - DataTable[SEC_Issue_Date]</f>
        <v>0</v>
      </c>
      <c r="T964" s="66" t="str">
        <f>DataTable[HLD_Portfolio]&amp;DataTable[HLD_Date]</f>
        <v>SCBFIXED43383</v>
      </c>
      <c r="W964" t="b">
        <f>DataTable[HLD_SecCode]="CB18O18A"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EB949-15CB-4000-8106-3FAE95CF04A2}">
  <sheetPr codeName="Sheet17"/>
  <dimension ref="A1:Q218"/>
  <sheetViews>
    <sheetView tabSelected="1" topLeftCell="C1" workbookViewId="0">
      <selection activeCell="J15" sqref="J15"/>
    </sheetView>
  </sheetViews>
  <sheetFormatPr defaultRowHeight="14.25" x14ac:dyDescent="0.2"/>
  <cols>
    <col min="3" max="3" width="13.875" customWidth="1"/>
    <col min="4" max="4" width="16.625" customWidth="1"/>
    <col min="6" max="6" width="11.5" customWidth="1"/>
    <col min="7" max="7" width="13.25" customWidth="1"/>
    <col min="8" max="16" width="14.125" customWidth="1"/>
    <col min="17" max="17" width="16.25" customWidth="1"/>
  </cols>
  <sheetData>
    <row r="1" spans="1:17" x14ac:dyDescent="0.2">
      <c r="A1" t="s">
        <v>17</v>
      </c>
      <c r="B1" t="s">
        <v>84</v>
      </c>
      <c r="C1">
        <v>700000000</v>
      </c>
      <c r="D1" t="str">
        <f>A1&amp;B1</f>
        <v>SCBSFFTB18N14A</v>
      </c>
      <c r="F1" s="1" t="s">
        <v>1206</v>
      </c>
      <c r="G1" s="1" t="s">
        <v>17</v>
      </c>
      <c r="H1" s="1" t="s">
        <v>139</v>
      </c>
      <c r="I1" s="1" t="s">
        <v>140</v>
      </c>
      <c r="J1" s="1" t="s">
        <v>141</v>
      </c>
      <c r="K1" s="1" t="s">
        <v>352</v>
      </c>
      <c r="L1" s="1" t="s">
        <v>353</v>
      </c>
      <c r="M1" s="1" t="s">
        <v>354</v>
      </c>
      <c r="N1" s="1" t="s">
        <v>350</v>
      </c>
      <c r="O1" s="1" t="s">
        <v>351</v>
      </c>
      <c r="P1" s="1" t="s">
        <v>349</v>
      </c>
    </row>
    <row r="2" spans="1:17" x14ac:dyDescent="0.2">
      <c r="A2" t="s">
        <v>17</v>
      </c>
      <c r="B2" t="s">
        <v>86</v>
      </c>
      <c r="C2">
        <v>10000000</v>
      </c>
      <c r="D2" t="str">
        <f t="shared" ref="D2:D65" si="0">A2&amp;B2</f>
        <v>SCBSFFTB19403A</v>
      </c>
      <c r="F2" s="1" t="s">
        <v>84</v>
      </c>
      <c r="G2">
        <f>IFERROR(INDEX($C:$C,MATCH(G$1&amp;$F2,$D:$D,0)),0)</f>
        <v>700000000</v>
      </c>
      <c r="H2">
        <f t="shared" ref="H2:P17" si="1">IFERROR(INDEX($C:$C,MATCH(H$1&amp;$F2,$D:$D,0)),0)</f>
        <v>1489000000</v>
      </c>
      <c r="I2">
        <f t="shared" si="1"/>
        <v>0</v>
      </c>
      <c r="J2">
        <f t="shared" si="1"/>
        <v>68000000</v>
      </c>
      <c r="K2">
        <f t="shared" si="1"/>
        <v>0</v>
      </c>
      <c r="L2">
        <f t="shared" si="1"/>
        <v>40000000</v>
      </c>
      <c r="M2">
        <f t="shared" si="1"/>
        <v>0</v>
      </c>
      <c r="N2">
        <f t="shared" si="1"/>
        <v>0</v>
      </c>
      <c r="O2">
        <f t="shared" si="1"/>
        <v>0</v>
      </c>
      <c r="P2">
        <f t="shared" si="1"/>
        <v>0</v>
      </c>
      <c r="Q2">
        <f>SUM(G2:P2)</f>
        <v>2297000000</v>
      </c>
    </row>
    <row r="3" spans="1:17" x14ac:dyDescent="0.2">
      <c r="A3" t="s">
        <v>17</v>
      </c>
      <c r="B3" t="s">
        <v>88</v>
      </c>
      <c r="C3">
        <v>4000000000</v>
      </c>
      <c r="D3" t="str">
        <f t="shared" si="0"/>
        <v>SCBSFFCB18D06C</v>
      </c>
      <c r="F3" s="1" t="s">
        <v>86</v>
      </c>
      <c r="G3">
        <f t="shared" ref="G3:P34" si="2">IFERROR(INDEX($C:$C,MATCH(G$1&amp;$F3,$D:$D,0)),0)</f>
        <v>10000000</v>
      </c>
      <c r="H3">
        <f t="shared" si="1"/>
        <v>1190000000</v>
      </c>
      <c r="I3">
        <f t="shared" si="1"/>
        <v>0</v>
      </c>
      <c r="J3">
        <f t="shared" si="1"/>
        <v>0</v>
      </c>
      <c r="K3">
        <f t="shared" si="1"/>
        <v>0</v>
      </c>
      <c r="L3">
        <f t="shared" si="1"/>
        <v>0</v>
      </c>
      <c r="M3">
        <f t="shared" si="1"/>
        <v>0</v>
      </c>
      <c r="N3">
        <f t="shared" si="1"/>
        <v>0</v>
      </c>
      <c r="O3">
        <f t="shared" si="1"/>
        <v>0</v>
      </c>
      <c r="P3">
        <f t="shared" si="1"/>
        <v>0</v>
      </c>
      <c r="Q3">
        <f t="shared" ref="Q3:Q62" si="3">SUM(G3:P3)</f>
        <v>1200000000</v>
      </c>
    </row>
    <row r="4" spans="1:17" x14ac:dyDescent="0.2">
      <c r="A4" t="s">
        <v>17</v>
      </c>
      <c r="B4" t="s">
        <v>90</v>
      </c>
      <c r="C4">
        <v>6010000000</v>
      </c>
      <c r="D4" t="str">
        <f t="shared" si="0"/>
        <v>SCBSFFCB18D13B</v>
      </c>
      <c r="F4" s="1" t="s">
        <v>88</v>
      </c>
      <c r="G4">
        <f t="shared" si="2"/>
        <v>4000000000</v>
      </c>
      <c r="H4">
        <f t="shared" si="1"/>
        <v>7000000000</v>
      </c>
      <c r="I4">
        <f t="shared" si="1"/>
        <v>150000000</v>
      </c>
      <c r="J4">
        <f t="shared" si="1"/>
        <v>1000000000</v>
      </c>
      <c r="K4">
        <f t="shared" si="1"/>
        <v>0</v>
      </c>
      <c r="L4">
        <f t="shared" si="1"/>
        <v>150000000</v>
      </c>
      <c r="M4">
        <f t="shared" si="1"/>
        <v>0</v>
      </c>
      <c r="N4">
        <f t="shared" si="1"/>
        <v>0</v>
      </c>
      <c r="O4">
        <f t="shared" si="1"/>
        <v>190000000</v>
      </c>
      <c r="P4">
        <f t="shared" si="1"/>
        <v>0</v>
      </c>
      <c r="Q4">
        <f t="shared" si="3"/>
        <v>12490000000</v>
      </c>
    </row>
    <row r="5" spans="1:17" x14ac:dyDescent="0.2">
      <c r="A5" t="s">
        <v>17</v>
      </c>
      <c r="B5" t="s">
        <v>91</v>
      </c>
      <c r="C5">
        <v>2500000000</v>
      </c>
      <c r="D5" t="str">
        <f t="shared" si="0"/>
        <v>SCBSFFCB18D20B</v>
      </c>
      <c r="F5" s="1" t="s">
        <v>90</v>
      </c>
      <c r="G5">
        <f t="shared" si="2"/>
        <v>6010000000</v>
      </c>
      <c r="H5">
        <f t="shared" si="1"/>
        <v>5137000000</v>
      </c>
      <c r="I5">
        <f t="shared" si="1"/>
        <v>120000000</v>
      </c>
      <c r="J5">
        <f t="shared" si="1"/>
        <v>960000000</v>
      </c>
      <c r="K5">
        <f t="shared" si="1"/>
        <v>0</v>
      </c>
      <c r="L5">
        <f t="shared" si="1"/>
        <v>150000000</v>
      </c>
      <c r="M5">
        <f t="shared" si="1"/>
        <v>0</v>
      </c>
      <c r="N5">
        <f t="shared" si="1"/>
        <v>0</v>
      </c>
      <c r="O5">
        <f t="shared" si="1"/>
        <v>70000000</v>
      </c>
      <c r="P5">
        <f t="shared" si="1"/>
        <v>0</v>
      </c>
      <c r="Q5">
        <f t="shared" si="3"/>
        <v>12447000000</v>
      </c>
    </row>
    <row r="6" spans="1:17" x14ac:dyDescent="0.2">
      <c r="A6" t="s">
        <v>17</v>
      </c>
      <c r="B6" t="s">
        <v>209</v>
      </c>
      <c r="C6">
        <v>52000000</v>
      </c>
      <c r="D6" t="str">
        <f t="shared" si="0"/>
        <v>SCBSFFCB18N01A</v>
      </c>
      <c r="F6" s="1" t="s">
        <v>91</v>
      </c>
      <c r="G6">
        <f t="shared" si="2"/>
        <v>2500000000</v>
      </c>
      <c r="H6">
        <f t="shared" si="1"/>
        <v>4499000000</v>
      </c>
      <c r="I6">
        <f t="shared" si="1"/>
        <v>201000000</v>
      </c>
      <c r="J6">
        <f t="shared" si="1"/>
        <v>600000000</v>
      </c>
      <c r="K6">
        <f t="shared" si="1"/>
        <v>0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  <c r="P6">
        <f t="shared" si="1"/>
        <v>0</v>
      </c>
      <c r="Q6">
        <f t="shared" si="3"/>
        <v>7800000000</v>
      </c>
    </row>
    <row r="7" spans="1:17" x14ac:dyDescent="0.2">
      <c r="A7" t="s">
        <v>17</v>
      </c>
      <c r="B7" t="s">
        <v>92</v>
      </c>
      <c r="C7">
        <v>3481000000</v>
      </c>
      <c r="D7" t="str">
        <f t="shared" si="0"/>
        <v>SCBSFFCB18N01B</v>
      </c>
      <c r="F7" s="1" t="s">
        <v>209</v>
      </c>
      <c r="G7">
        <f t="shared" si="2"/>
        <v>52000000</v>
      </c>
      <c r="H7">
        <f t="shared" si="1"/>
        <v>886000000</v>
      </c>
      <c r="I7">
        <f t="shared" si="1"/>
        <v>50000000</v>
      </c>
      <c r="J7">
        <f t="shared" si="1"/>
        <v>202000000</v>
      </c>
      <c r="K7">
        <f t="shared" si="1"/>
        <v>0</v>
      </c>
      <c r="L7">
        <f t="shared" si="1"/>
        <v>0</v>
      </c>
      <c r="M7">
        <f t="shared" si="1"/>
        <v>100000000</v>
      </c>
      <c r="N7">
        <f t="shared" si="1"/>
        <v>0</v>
      </c>
      <c r="O7">
        <f t="shared" si="1"/>
        <v>196000000</v>
      </c>
      <c r="P7">
        <f t="shared" si="1"/>
        <v>0</v>
      </c>
      <c r="Q7">
        <f t="shared" si="3"/>
        <v>1486000000</v>
      </c>
    </row>
    <row r="8" spans="1:17" x14ac:dyDescent="0.2">
      <c r="A8" t="s">
        <v>17</v>
      </c>
      <c r="B8" t="s">
        <v>93</v>
      </c>
      <c r="C8">
        <v>851000000</v>
      </c>
      <c r="D8" t="str">
        <f t="shared" si="0"/>
        <v>SCBSFFCB18N08A</v>
      </c>
      <c r="F8" s="1" t="s">
        <v>92</v>
      </c>
      <c r="G8">
        <f t="shared" si="2"/>
        <v>3481000000</v>
      </c>
      <c r="H8">
        <f t="shared" si="1"/>
        <v>3010000000</v>
      </c>
      <c r="I8">
        <f t="shared" si="1"/>
        <v>175000000</v>
      </c>
      <c r="J8">
        <f t="shared" si="1"/>
        <v>1340000000</v>
      </c>
      <c r="K8">
        <f t="shared" si="1"/>
        <v>0</v>
      </c>
      <c r="L8">
        <f t="shared" si="1"/>
        <v>0</v>
      </c>
      <c r="M8">
        <f t="shared" si="1"/>
        <v>0</v>
      </c>
      <c r="N8">
        <f t="shared" si="1"/>
        <v>0</v>
      </c>
      <c r="O8">
        <f t="shared" si="1"/>
        <v>0</v>
      </c>
      <c r="P8">
        <f t="shared" si="1"/>
        <v>0</v>
      </c>
      <c r="Q8">
        <f t="shared" si="3"/>
        <v>8006000000</v>
      </c>
    </row>
    <row r="9" spans="1:17" x14ac:dyDescent="0.2">
      <c r="A9" t="s">
        <v>17</v>
      </c>
      <c r="B9" t="s">
        <v>94</v>
      </c>
      <c r="C9">
        <v>4263000000</v>
      </c>
      <c r="D9" t="str">
        <f t="shared" si="0"/>
        <v>SCBSFFCB18N08B</v>
      </c>
      <c r="F9" s="1" t="s">
        <v>93</v>
      </c>
      <c r="G9">
        <f t="shared" si="2"/>
        <v>851000000</v>
      </c>
      <c r="H9">
        <f t="shared" si="1"/>
        <v>1061000000</v>
      </c>
      <c r="I9">
        <f t="shared" si="1"/>
        <v>20000000</v>
      </c>
      <c r="J9">
        <f t="shared" si="1"/>
        <v>44000000</v>
      </c>
      <c r="K9">
        <f t="shared" si="1"/>
        <v>0</v>
      </c>
      <c r="L9">
        <f t="shared" si="1"/>
        <v>129000000</v>
      </c>
      <c r="M9">
        <f t="shared" si="1"/>
        <v>0</v>
      </c>
      <c r="N9">
        <f t="shared" si="1"/>
        <v>0</v>
      </c>
      <c r="O9">
        <f t="shared" si="1"/>
        <v>425000000</v>
      </c>
      <c r="P9">
        <f t="shared" si="1"/>
        <v>0</v>
      </c>
      <c r="Q9">
        <f t="shared" si="3"/>
        <v>2530000000</v>
      </c>
    </row>
    <row r="10" spans="1:17" x14ac:dyDescent="0.2">
      <c r="A10" t="s">
        <v>17</v>
      </c>
      <c r="B10" t="s">
        <v>95</v>
      </c>
      <c r="C10">
        <v>167000000</v>
      </c>
      <c r="D10" t="str">
        <f t="shared" si="0"/>
        <v>SCBSFFCB18N15A</v>
      </c>
      <c r="F10" s="1" t="s">
        <v>94</v>
      </c>
      <c r="G10">
        <f t="shared" si="2"/>
        <v>4263000000</v>
      </c>
      <c r="H10">
        <f t="shared" si="1"/>
        <v>5719000000</v>
      </c>
      <c r="I10">
        <f t="shared" si="1"/>
        <v>240000000</v>
      </c>
      <c r="J10">
        <f t="shared" si="1"/>
        <v>672000000</v>
      </c>
      <c r="K10">
        <f t="shared" si="1"/>
        <v>0</v>
      </c>
      <c r="L10">
        <f t="shared" si="1"/>
        <v>70000000</v>
      </c>
      <c r="M10">
        <f t="shared" si="1"/>
        <v>0</v>
      </c>
      <c r="N10">
        <f t="shared" si="1"/>
        <v>0</v>
      </c>
      <c r="O10">
        <f t="shared" si="1"/>
        <v>0</v>
      </c>
      <c r="P10">
        <f t="shared" si="1"/>
        <v>0</v>
      </c>
      <c r="Q10">
        <f t="shared" si="3"/>
        <v>10964000000</v>
      </c>
    </row>
    <row r="11" spans="1:17" x14ac:dyDescent="0.2">
      <c r="A11" t="s">
        <v>17</v>
      </c>
      <c r="B11" t="s">
        <v>96</v>
      </c>
      <c r="C11">
        <v>2510000000</v>
      </c>
      <c r="D11" t="str">
        <f t="shared" si="0"/>
        <v>SCBSFFCB18N15B</v>
      </c>
      <c r="F11" s="1" t="s">
        <v>95</v>
      </c>
      <c r="G11">
        <f t="shared" si="2"/>
        <v>167000000</v>
      </c>
      <c r="H11">
        <f t="shared" si="1"/>
        <v>625000000</v>
      </c>
      <c r="I11">
        <f t="shared" si="1"/>
        <v>0</v>
      </c>
      <c r="J11">
        <f t="shared" si="1"/>
        <v>31000000</v>
      </c>
      <c r="K11">
        <f t="shared" si="1"/>
        <v>5000000</v>
      </c>
      <c r="L11">
        <f t="shared" si="1"/>
        <v>0</v>
      </c>
      <c r="M11">
        <f t="shared" si="1"/>
        <v>0</v>
      </c>
      <c r="N11">
        <f t="shared" si="1"/>
        <v>0</v>
      </c>
      <c r="O11">
        <f t="shared" si="1"/>
        <v>160000000</v>
      </c>
      <c r="P11">
        <f t="shared" si="1"/>
        <v>0</v>
      </c>
      <c r="Q11">
        <f t="shared" si="3"/>
        <v>988000000</v>
      </c>
    </row>
    <row r="12" spans="1:17" x14ac:dyDescent="0.2">
      <c r="A12" t="s">
        <v>17</v>
      </c>
      <c r="B12" t="s">
        <v>97</v>
      </c>
      <c r="C12">
        <v>1050000000</v>
      </c>
      <c r="D12" t="str">
        <f t="shared" si="0"/>
        <v>SCBSFFCB18N22A</v>
      </c>
      <c r="F12" s="1" t="s">
        <v>96</v>
      </c>
      <c r="G12">
        <f t="shared" si="2"/>
        <v>2510000000</v>
      </c>
      <c r="H12">
        <f t="shared" si="1"/>
        <v>7934000000</v>
      </c>
      <c r="I12">
        <f t="shared" si="1"/>
        <v>160000000</v>
      </c>
      <c r="J12">
        <f t="shared" si="1"/>
        <v>1004000000</v>
      </c>
      <c r="K12">
        <f t="shared" si="1"/>
        <v>0</v>
      </c>
      <c r="L12">
        <f t="shared" si="1"/>
        <v>50000000</v>
      </c>
      <c r="M12">
        <f t="shared" si="1"/>
        <v>0</v>
      </c>
      <c r="N12">
        <f t="shared" si="1"/>
        <v>0</v>
      </c>
      <c r="O12">
        <f t="shared" si="1"/>
        <v>0</v>
      </c>
      <c r="P12">
        <f t="shared" si="1"/>
        <v>0</v>
      </c>
      <c r="Q12">
        <f t="shared" si="3"/>
        <v>11658000000</v>
      </c>
    </row>
    <row r="13" spans="1:17" x14ac:dyDescent="0.2">
      <c r="A13" t="s">
        <v>17</v>
      </c>
      <c r="B13" t="s">
        <v>98</v>
      </c>
      <c r="C13">
        <v>4000000000</v>
      </c>
      <c r="D13" t="str">
        <f t="shared" si="0"/>
        <v>SCBSFFCB18N22B</v>
      </c>
      <c r="F13" s="1" t="s">
        <v>97</v>
      </c>
      <c r="G13">
        <f t="shared" si="2"/>
        <v>1050000000</v>
      </c>
      <c r="H13">
        <f t="shared" si="1"/>
        <v>2851000000</v>
      </c>
      <c r="I13">
        <f t="shared" si="1"/>
        <v>0</v>
      </c>
      <c r="J13">
        <f t="shared" si="1"/>
        <v>0</v>
      </c>
      <c r="K13">
        <f t="shared" si="1"/>
        <v>0</v>
      </c>
      <c r="L13">
        <f t="shared" si="1"/>
        <v>100000000</v>
      </c>
      <c r="M13">
        <f t="shared" si="1"/>
        <v>0</v>
      </c>
      <c r="N13">
        <f t="shared" si="1"/>
        <v>71000000</v>
      </c>
      <c r="O13">
        <f t="shared" si="1"/>
        <v>280000000</v>
      </c>
      <c r="P13">
        <f t="shared" si="1"/>
        <v>0</v>
      </c>
      <c r="Q13">
        <f t="shared" si="3"/>
        <v>4352000000</v>
      </c>
    </row>
    <row r="14" spans="1:17" x14ac:dyDescent="0.2">
      <c r="A14" t="s">
        <v>17</v>
      </c>
      <c r="B14" t="s">
        <v>99</v>
      </c>
      <c r="C14">
        <v>1520000000</v>
      </c>
      <c r="D14" t="str">
        <f t="shared" si="0"/>
        <v>SCBSFFCB18N29A</v>
      </c>
      <c r="F14" s="1" t="s">
        <v>98</v>
      </c>
      <c r="G14">
        <f t="shared" si="2"/>
        <v>4000000000</v>
      </c>
      <c r="H14">
        <f t="shared" si="1"/>
        <v>4745000000</v>
      </c>
      <c r="I14">
        <f t="shared" si="1"/>
        <v>448000000</v>
      </c>
      <c r="J14">
        <f t="shared" si="1"/>
        <v>339000000</v>
      </c>
      <c r="K14">
        <f t="shared" si="1"/>
        <v>0</v>
      </c>
      <c r="L14">
        <f t="shared" si="1"/>
        <v>0</v>
      </c>
      <c r="M14">
        <f t="shared" si="1"/>
        <v>0</v>
      </c>
      <c r="N14">
        <f t="shared" si="1"/>
        <v>0</v>
      </c>
      <c r="O14">
        <f t="shared" si="1"/>
        <v>0</v>
      </c>
      <c r="P14">
        <f t="shared" si="1"/>
        <v>0</v>
      </c>
      <c r="Q14">
        <f t="shared" si="3"/>
        <v>9532000000</v>
      </c>
    </row>
    <row r="15" spans="1:17" x14ac:dyDescent="0.2">
      <c r="A15" t="s">
        <v>17</v>
      </c>
      <c r="B15" t="s">
        <v>100</v>
      </c>
      <c r="C15">
        <v>3130000000</v>
      </c>
      <c r="D15" t="str">
        <f t="shared" si="0"/>
        <v>SCBSFFCB18N29B</v>
      </c>
      <c r="F15" s="1" t="s">
        <v>99</v>
      </c>
      <c r="G15">
        <f t="shared" si="2"/>
        <v>1520000000</v>
      </c>
      <c r="H15">
        <f t="shared" si="1"/>
        <v>997000000</v>
      </c>
      <c r="I15">
        <f t="shared" si="1"/>
        <v>70000000</v>
      </c>
      <c r="J15">
        <f t="shared" si="1"/>
        <v>0</v>
      </c>
      <c r="K15">
        <f t="shared" si="1"/>
        <v>0</v>
      </c>
      <c r="L15">
        <f t="shared" si="1"/>
        <v>200000000</v>
      </c>
      <c r="M15">
        <f t="shared" si="1"/>
        <v>6000000</v>
      </c>
      <c r="N15">
        <f t="shared" si="1"/>
        <v>0</v>
      </c>
      <c r="O15">
        <f t="shared" si="1"/>
        <v>90000000</v>
      </c>
      <c r="P15">
        <f t="shared" si="1"/>
        <v>0</v>
      </c>
      <c r="Q15">
        <f t="shared" si="3"/>
        <v>2883000000</v>
      </c>
    </row>
    <row r="16" spans="1:17" x14ac:dyDescent="0.2">
      <c r="A16" t="s">
        <v>17</v>
      </c>
      <c r="B16" t="s">
        <v>101</v>
      </c>
      <c r="C16">
        <v>759000000</v>
      </c>
      <c r="D16" t="str">
        <f t="shared" si="0"/>
        <v>SCBSFFCB18O11A</v>
      </c>
      <c r="F16" s="1" t="s">
        <v>100</v>
      </c>
      <c r="G16">
        <f t="shared" si="2"/>
        <v>3130000000</v>
      </c>
      <c r="H16">
        <f t="shared" si="1"/>
        <v>7059000000</v>
      </c>
      <c r="I16">
        <f t="shared" si="1"/>
        <v>200000000</v>
      </c>
      <c r="J16">
        <f t="shared" si="1"/>
        <v>666000000</v>
      </c>
      <c r="K16">
        <f t="shared" si="1"/>
        <v>0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3"/>
        <v>11055000000</v>
      </c>
    </row>
    <row r="17" spans="1:17" x14ac:dyDescent="0.2">
      <c r="A17" t="s">
        <v>17</v>
      </c>
      <c r="B17" t="s">
        <v>102</v>
      </c>
      <c r="C17">
        <v>3861000000</v>
      </c>
      <c r="D17" t="str">
        <f t="shared" si="0"/>
        <v>SCBSFFCB18O11B</v>
      </c>
      <c r="F17" s="1" t="s">
        <v>101</v>
      </c>
      <c r="G17">
        <f t="shared" si="2"/>
        <v>759000000</v>
      </c>
      <c r="H17">
        <f t="shared" si="1"/>
        <v>452000000</v>
      </c>
      <c r="I17">
        <f t="shared" si="1"/>
        <v>140000000</v>
      </c>
      <c r="J17">
        <f t="shared" si="1"/>
        <v>211800000</v>
      </c>
      <c r="K17">
        <f t="shared" si="1"/>
        <v>20000000</v>
      </c>
      <c r="L17">
        <f t="shared" si="1"/>
        <v>2000000</v>
      </c>
      <c r="M17">
        <f t="shared" si="1"/>
        <v>74000000</v>
      </c>
      <c r="N17">
        <f t="shared" si="1"/>
        <v>0</v>
      </c>
      <c r="O17">
        <f t="shared" si="1"/>
        <v>0</v>
      </c>
      <c r="P17">
        <f t="shared" si="1"/>
        <v>0</v>
      </c>
      <c r="Q17">
        <f t="shared" si="3"/>
        <v>1658800000</v>
      </c>
    </row>
    <row r="18" spans="1:17" x14ac:dyDescent="0.2">
      <c r="A18" t="s">
        <v>17</v>
      </c>
      <c r="B18" t="s">
        <v>103</v>
      </c>
      <c r="C18">
        <v>144000000</v>
      </c>
      <c r="D18" t="str">
        <f t="shared" si="0"/>
        <v>SCBSFFCB18O16A</v>
      </c>
      <c r="F18" s="1" t="s">
        <v>102</v>
      </c>
      <c r="G18">
        <f t="shared" si="2"/>
        <v>3861000000</v>
      </c>
      <c r="H18">
        <f t="shared" si="2"/>
        <v>5126000000</v>
      </c>
      <c r="I18">
        <f t="shared" si="2"/>
        <v>98000000</v>
      </c>
      <c r="J18">
        <f t="shared" si="2"/>
        <v>663000000</v>
      </c>
      <c r="K18">
        <f t="shared" si="2"/>
        <v>0</v>
      </c>
      <c r="L18">
        <f t="shared" si="2"/>
        <v>232000000</v>
      </c>
      <c r="M18">
        <f t="shared" si="2"/>
        <v>0</v>
      </c>
      <c r="N18">
        <f t="shared" si="2"/>
        <v>0</v>
      </c>
      <c r="O18">
        <f t="shared" si="2"/>
        <v>0</v>
      </c>
      <c r="P18">
        <f t="shared" si="2"/>
        <v>0</v>
      </c>
      <c r="Q18">
        <f t="shared" si="3"/>
        <v>9980000000</v>
      </c>
    </row>
    <row r="19" spans="1:17" x14ac:dyDescent="0.2">
      <c r="A19" t="s">
        <v>17</v>
      </c>
      <c r="B19" t="s">
        <v>104</v>
      </c>
      <c r="C19">
        <v>735000000</v>
      </c>
      <c r="D19" t="str">
        <f t="shared" si="0"/>
        <v>SCBSFFCB18O18A</v>
      </c>
      <c r="F19" s="1" t="s">
        <v>103</v>
      </c>
      <c r="G19">
        <f t="shared" si="2"/>
        <v>144000000</v>
      </c>
      <c r="H19">
        <f t="shared" si="2"/>
        <v>5281000000</v>
      </c>
      <c r="I19">
        <f t="shared" si="2"/>
        <v>580000000</v>
      </c>
      <c r="J19">
        <f t="shared" si="2"/>
        <v>820000000</v>
      </c>
      <c r="K19">
        <f t="shared" si="2"/>
        <v>0</v>
      </c>
      <c r="L19">
        <f t="shared" si="2"/>
        <v>0</v>
      </c>
      <c r="M19">
        <f t="shared" si="2"/>
        <v>150000000</v>
      </c>
      <c r="N19">
        <f t="shared" si="2"/>
        <v>0</v>
      </c>
      <c r="O19">
        <f t="shared" si="2"/>
        <v>50000000</v>
      </c>
      <c r="P19">
        <f t="shared" si="2"/>
        <v>0</v>
      </c>
      <c r="Q19">
        <f t="shared" si="3"/>
        <v>7025000000</v>
      </c>
    </row>
    <row r="20" spans="1:17" x14ac:dyDescent="0.2">
      <c r="A20" t="s">
        <v>17</v>
      </c>
      <c r="B20" t="s">
        <v>105</v>
      </c>
      <c r="C20">
        <v>2759000000</v>
      </c>
      <c r="D20" t="str">
        <f t="shared" si="0"/>
        <v>SCBSFFCB18O18B</v>
      </c>
      <c r="F20" s="1" t="s">
        <v>104</v>
      </c>
      <c r="G20">
        <f t="shared" si="2"/>
        <v>735000000</v>
      </c>
      <c r="H20">
        <f t="shared" si="2"/>
        <v>674000000</v>
      </c>
      <c r="I20">
        <f t="shared" si="2"/>
        <v>272000000</v>
      </c>
      <c r="J20">
        <f t="shared" si="2"/>
        <v>205000000</v>
      </c>
      <c r="K20">
        <f t="shared" si="2"/>
        <v>0</v>
      </c>
      <c r="L20">
        <f t="shared" si="2"/>
        <v>137000000</v>
      </c>
      <c r="M20">
        <f t="shared" si="2"/>
        <v>60000000</v>
      </c>
      <c r="N20">
        <f t="shared" si="2"/>
        <v>39000000</v>
      </c>
      <c r="O20">
        <f t="shared" si="2"/>
        <v>10000000</v>
      </c>
      <c r="P20">
        <f t="shared" si="2"/>
        <v>0</v>
      </c>
      <c r="Q20">
        <f t="shared" si="3"/>
        <v>2132000000</v>
      </c>
    </row>
    <row r="21" spans="1:17" x14ac:dyDescent="0.2">
      <c r="A21" t="s">
        <v>17</v>
      </c>
      <c r="B21" t="s">
        <v>355</v>
      </c>
      <c r="C21">
        <v>2179000000</v>
      </c>
      <c r="D21" t="str">
        <f t="shared" si="0"/>
        <v>SCBSFFCB18O24A</v>
      </c>
      <c r="F21" s="1" t="s">
        <v>105</v>
      </c>
      <c r="G21">
        <f t="shared" si="2"/>
        <v>2759000000</v>
      </c>
      <c r="H21">
        <f t="shared" si="2"/>
        <v>6017000000</v>
      </c>
      <c r="I21">
        <f t="shared" si="2"/>
        <v>150000000</v>
      </c>
      <c r="J21">
        <f t="shared" si="2"/>
        <v>327000000</v>
      </c>
      <c r="K21">
        <f t="shared" si="2"/>
        <v>0</v>
      </c>
      <c r="L21">
        <f t="shared" si="2"/>
        <v>143000000</v>
      </c>
      <c r="M21">
        <f t="shared" si="2"/>
        <v>0</v>
      </c>
      <c r="N21">
        <f t="shared" si="2"/>
        <v>0</v>
      </c>
      <c r="O21">
        <f t="shared" si="2"/>
        <v>22000000</v>
      </c>
      <c r="P21">
        <f t="shared" si="2"/>
        <v>65000000</v>
      </c>
      <c r="Q21">
        <f t="shared" si="3"/>
        <v>9483000000</v>
      </c>
    </row>
    <row r="22" spans="1:17" x14ac:dyDescent="0.2">
      <c r="A22" t="s">
        <v>17</v>
      </c>
      <c r="B22" t="s">
        <v>106</v>
      </c>
      <c r="C22">
        <v>758000000</v>
      </c>
      <c r="D22" t="str">
        <f t="shared" si="0"/>
        <v>SCBSFFCB18O25A</v>
      </c>
      <c r="F22" s="1" t="s">
        <v>355</v>
      </c>
      <c r="G22">
        <f t="shared" si="2"/>
        <v>2179000000</v>
      </c>
      <c r="H22">
        <f t="shared" si="2"/>
        <v>997000000</v>
      </c>
      <c r="I22">
        <f t="shared" si="2"/>
        <v>0</v>
      </c>
      <c r="J22">
        <f t="shared" si="2"/>
        <v>570000000</v>
      </c>
      <c r="K22">
        <f t="shared" si="2"/>
        <v>0</v>
      </c>
      <c r="L22">
        <f t="shared" si="2"/>
        <v>320000000</v>
      </c>
      <c r="M22">
        <f t="shared" si="2"/>
        <v>0</v>
      </c>
      <c r="N22">
        <f t="shared" si="2"/>
        <v>0</v>
      </c>
      <c r="O22">
        <f t="shared" si="2"/>
        <v>120000000</v>
      </c>
      <c r="P22">
        <f t="shared" si="2"/>
        <v>0</v>
      </c>
      <c r="Q22">
        <f t="shared" si="3"/>
        <v>4186000000</v>
      </c>
    </row>
    <row r="23" spans="1:17" x14ac:dyDescent="0.2">
      <c r="A23" t="s">
        <v>17</v>
      </c>
      <c r="B23" t="s">
        <v>107</v>
      </c>
      <c r="C23">
        <v>3691000000</v>
      </c>
      <c r="D23" t="str">
        <f t="shared" si="0"/>
        <v>SCBSFFCB18O25B</v>
      </c>
      <c r="F23" s="1" t="s">
        <v>106</v>
      </c>
      <c r="G23">
        <f t="shared" si="2"/>
        <v>758000000</v>
      </c>
      <c r="H23">
        <f t="shared" si="2"/>
        <v>410000000</v>
      </c>
      <c r="I23">
        <f t="shared" si="2"/>
        <v>165000000</v>
      </c>
      <c r="J23">
        <f t="shared" si="2"/>
        <v>265000000</v>
      </c>
      <c r="K23">
        <f t="shared" si="2"/>
        <v>0</v>
      </c>
      <c r="L23">
        <f t="shared" si="2"/>
        <v>0</v>
      </c>
      <c r="M23">
        <f t="shared" si="2"/>
        <v>0</v>
      </c>
      <c r="N23">
        <f t="shared" si="2"/>
        <v>0</v>
      </c>
      <c r="O23">
        <f t="shared" si="2"/>
        <v>0</v>
      </c>
      <c r="P23">
        <f t="shared" si="2"/>
        <v>95000000</v>
      </c>
      <c r="Q23">
        <f t="shared" si="3"/>
        <v>1693000000</v>
      </c>
    </row>
    <row r="24" spans="1:17" x14ac:dyDescent="0.2">
      <c r="A24" t="s">
        <v>17</v>
      </c>
      <c r="B24" t="s">
        <v>108</v>
      </c>
      <c r="C24">
        <v>3000000000</v>
      </c>
      <c r="D24" t="str">
        <f t="shared" si="0"/>
        <v>SCBSFFCB19103B</v>
      </c>
      <c r="F24" s="1" t="s">
        <v>107</v>
      </c>
      <c r="G24">
        <f t="shared" si="2"/>
        <v>3691000000</v>
      </c>
      <c r="H24">
        <f t="shared" si="2"/>
        <v>6471000000</v>
      </c>
      <c r="I24">
        <f t="shared" si="2"/>
        <v>0</v>
      </c>
      <c r="J24">
        <f t="shared" si="2"/>
        <v>5000000</v>
      </c>
      <c r="K24">
        <f t="shared" si="2"/>
        <v>10000000</v>
      </c>
      <c r="L24">
        <f t="shared" si="2"/>
        <v>158000000</v>
      </c>
      <c r="M24">
        <f t="shared" si="2"/>
        <v>0</v>
      </c>
      <c r="N24">
        <f t="shared" si="2"/>
        <v>0</v>
      </c>
      <c r="O24">
        <f t="shared" si="2"/>
        <v>180000000</v>
      </c>
      <c r="P24">
        <f t="shared" si="2"/>
        <v>10000000</v>
      </c>
      <c r="Q24">
        <f t="shared" si="3"/>
        <v>10525000000</v>
      </c>
    </row>
    <row r="25" spans="1:17" x14ac:dyDescent="0.2">
      <c r="A25" t="s">
        <v>17</v>
      </c>
      <c r="B25" t="s">
        <v>870</v>
      </c>
      <c r="C25">
        <v>4050000000</v>
      </c>
      <c r="D25" t="str">
        <f t="shared" si="0"/>
        <v>SCBSFFCB19110B</v>
      </c>
      <c r="F25" s="1" t="s">
        <v>108</v>
      </c>
      <c r="G25">
        <f t="shared" si="2"/>
        <v>3000000000</v>
      </c>
      <c r="H25">
        <f t="shared" si="2"/>
        <v>6468000000</v>
      </c>
      <c r="I25">
        <f t="shared" si="2"/>
        <v>150000000</v>
      </c>
      <c r="J25">
        <f t="shared" si="2"/>
        <v>450000000</v>
      </c>
      <c r="K25">
        <f t="shared" si="2"/>
        <v>0</v>
      </c>
      <c r="L25">
        <f t="shared" si="2"/>
        <v>90000000</v>
      </c>
      <c r="M25">
        <f t="shared" si="2"/>
        <v>0</v>
      </c>
      <c r="N25">
        <f t="shared" si="2"/>
        <v>0</v>
      </c>
      <c r="O25">
        <f t="shared" si="2"/>
        <v>0</v>
      </c>
      <c r="P25">
        <f t="shared" si="2"/>
        <v>0</v>
      </c>
      <c r="Q25">
        <f t="shared" si="3"/>
        <v>10158000000</v>
      </c>
    </row>
    <row r="26" spans="1:17" x14ac:dyDescent="0.2">
      <c r="A26" t="s">
        <v>139</v>
      </c>
      <c r="B26" t="s">
        <v>84</v>
      </c>
      <c r="C26">
        <v>1489000000</v>
      </c>
      <c r="D26" t="str">
        <f t="shared" si="0"/>
        <v>SCBSFFPLUSTB18N14A</v>
      </c>
      <c r="F26" s="1" t="s">
        <v>870</v>
      </c>
      <c r="G26">
        <f t="shared" si="2"/>
        <v>4050000000</v>
      </c>
      <c r="H26">
        <f t="shared" si="2"/>
        <v>5000000000</v>
      </c>
      <c r="I26">
        <f t="shared" si="2"/>
        <v>200000000</v>
      </c>
      <c r="J26">
        <f t="shared" si="2"/>
        <v>850000000</v>
      </c>
      <c r="K26">
        <f t="shared" si="2"/>
        <v>0</v>
      </c>
      <c r="L26">
        <f t="shared" si="2"/>
        <v>200000000</v>
      </c>
      <c r="M26">
        <f t="shared" si="2"/>
        <v>0</v>
      </c>
      <c r="N26">
        <f t="shared" si="2"/>
        <v>0</v>
      </c>
      <c r="O26">
        <f t="shared" si="2"/>
        <v>0</v>
      </c>
      <c r="P26">
        <f t="shared" si="2"/>
        <v>0</v>
      </c>
      <c r="Q26">
        <f t="shared" si="3"/>
        <v>10300000000</v>
      </c>
    </row>
    <row r="27" spans="1:17" x14ac:dyDescent="0.2">
      <c r="A27" t="s">
        <v>139</v>
      </c>
      <c r="B27" t="s">
        <v>86</v>
      </c>
      <c r="C27">
        <v>1190000000</v>
      </c>
      <c r="D27" t="str">
        <f t="shared" si="0"/>
        <v>SCBSFFPLUSTB19403A</v>
      </c>
      <c r="F27" s="1" t="s">
        <v>207</v>
      </c>
      <c r="G27">
        <f t="shared" si="2"/>
        <v>0</v>
      </c>
      <c r="H27">
        <f t="shared" si="2"/>
        <v>571000000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>
        <f t="shared" si="2"/>
        <v>10000000</v>
      </c>
      <c r="N27">
        <f t="shared" si="2"/>
        <v>0</v>
      </c>
      <c r="O27">
        <f t="shared" si="2"/>
        <v>10000000</v>
      </c>
      <c r="P27">
        <f t="shared" si="2"/>
        <v>0</v>
      </c>
      <c r="Q27">
        <f t="shared" si="3"/>
        <v>591000000</v>
      </c>
    </row>
    <row r="28" spans="1:17" x14ac:dyDescent="0.2">
      <c r="A28" t="s">
        <v>139</v>
      </c>
      <c r="B28" t="s">
        <v>88</v>
      </c>
      <c r="C28">
        <v>7000000000</v>
      </c>
      <c r="D28" t="str">
        <f t="shared" si="0"/>
        <v>SCBSFFPLUSCB18D06C</v>
      </c>
      <c r="F28" s="1" t="s">
        <v>208</v>
      </c>
      <c r="G28">
        <f t="shared" si="2"/>
        <v>0</v>
      </c>
      <c r="H28">
        <f t="shared" si="2"/>
        <v>850000000</v>
      </c>
      <c r="I28">
        <f t="shared" si="2"/>
        <v>100000000</v>
      </c>
      <c r="J28">
        <f t="shared" si="2"/>
        <v>850000000</v>
      </c>
      <c r="K28">
        <f t="shared" si="2"/>
        <v>0</v>
      </c>
      <c r="L28">
        <f t="shared" si="2"/>
        <v>279000000</v>
      </c>
      <c r="M28">
        <f t="shared" si="2"/>
        <v>462000000</v>
      </c>
      <c r="N28">
        <f t="shared" si="2"/>
        <v>1223000000</v>
      </c>
      <c r="O28">
        <f t="shared" si="2"/>
        <v>30000000</v>
      </c>
      <c r="P28">
        <f t="shared" si="2"/>
        <v>0</v>
      </c>
      <c r="Q28">
        <f t="shared" si="3"/>
        <v>3794000000</v>
      </c>
    </row>
    <row r="29" spans="1:17" x14ac:dyDescent="0.2">
      <c r="A29" t="s">
        <v>139</v>
      </c>
      <c r="B29" t="s">
        <v>207</v>
      </c>
      <c r="C29">
        <v>571000000</v>
      </c>
      <c r="D29" t="str">
        <f t="shared" si="0"/>
        <v>SCBSFFPLUSCB18D13A</v>
      </c>
      <c r="F29" s="1" t="s">
        <v>210</v>
      </c>
      <c r="G29">
        <f t="shared" si="2"/>
        <v>0</v>
      </c>
      <c r="H29">
        <f t="shared" si="2"/>
        <v>303000000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>
        <f t="shared" si="2"/>
        <v>536000000</v>
      </c>
      <c r="N29">
        <f t="shared" si="2"/>
        <v>33000000</v>
      </c>
      <c r="O29">
        <f t="shared" si="2"/>
        <v>25000000</v>
      </c>
      <c r="P29">
        <f t="shared" si="2"/>
        <v>0</v>
      </c>
      <c r="Q29">
        <f t="shared" si="3"/>
        <v>897000000</v>
      </c>
    </row>
    <row r="30" spans="1:17" x14ac:dyDescent="0.2">
      <c r="A30" t="s">
        <v>139</v>
      </c>
      <c r="B30" t="s">
        <v>90</v>
      </c>
      <c r="C30">
        <v>5137000000</v>
      </c>
      <c r="D30" t="str">
        <f t="shared" si="0"/>
        <v>SCBSFFPLUSCB18D13B</v>
      </c>
      <c r="F30" s="1" t="s">
        <v>314</v>
      </c>
      <c r="G30">
        <f t="shared" si="2"/>
        <v>0</v>
      </c>
      <c r="H30">
        <f t="shared" si="2"/>
        <v>0</v>
      </c>
      <c r="I30">
        <f t="shared" si="2"/>
        <v>0</v>
      </c>
      <c r="J30">
        <f t="shared" si="2"/>
        <v>50000000</v>
      </c>
      <c r="K30">
        <f t="shared" si="2"/>
        <v>0</v>
      </c>
      <c r="L30">
        <f t="shared" si="2"/>
        <v>0</v>
      </c>
      <c r="M30">
        <f t="shared" si="2"/>
        <v>83000000</v>
      </c>
      <c r="N30">
        <f t="shared" si="2"/>
        <v>0</v>
      </c>
      <c r="O30">
        <f t="shared" si="2"/>
        <v>401000000</v>
      </c>
      <c r="P30">
        <f t="shared" si="2"/>
        <v>0</v>
      </c>
      <c r="Q30">
        <f t="shared" si="3"/>
        <v>534000000</v>
      </c>
    </row>
    <row r="31" spans="1:17" x14ac:dyDescent="0.2">
      <c r="A31" t="s">
        <v>139</v>
      </c>
      <c r="B31" t="s">
        <v>91</v>
      </c>
      <c r="C31">
        <v>4499000000</v>
      </c>
      <c r="D31" t="str">
        <f t="shared" si="0"/>
        <v>SCBSFFPLUSCB18D20B</v>
      </c>
      <c r="F31" s="1" t="s">
        <v>491</v>
      </c>
      <c r="G31">
        <f t="shared" si="2"/>
        <v>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4000000</v>
      </c>
      <c r="L31">
        <f t="shared" si="2"/>
        <v>0</v>
      </c>
      <c r="M31">
        <f t="shared" si="2"/>
        <v>0</v>
      </c>
      <c r="N31">
        <f t="shared" si="2"/>
        <v>0</v>
      </c>
      <c r="O31">
        <f t="shared" si="2"/>
        <v>0</v>
      </c>
      <c r="P31">
        <f t="shared" si="2"/>
        <v>0</v>
      </c>
      <c r="Q31">
        <f t="shared" si="3"/>
        <v>4000000</v>
      </c>
    </row>
    <row r="32" spans="1:17" x14ac:dyDescent="0.2">
      <c r="A32" t="s">
        <v>139</v>
      </c>
      <c r="B32" t="s">
        <v>208</v>
      </c>
      <c r="C32">
        <v>850000000</v>
      </c>
      <c r="D32" t="str">
        <f t="shared" si="0"/>
        <v>SCBSFFPLUSCB18D27B</v>
      </c>
      <c r="F32" s="1" t="s">
        <v>544</v>
      </c>
      <c r="G32">
        <f t="shared" si="2"/>
        <v>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50000000</v>
      </c>
      <c r="M32">
        <f t="shared" si="2"/>
        <v>253000000</v>
      </c>
      <c r="N32">
        <f t="shared" si="2"/>
        <v>0</v>
      </c>
      <c r="O32">
        <f t="shared" si="2"/>
        <v>757000000</v>
      </c>
      <c r="P32">
        <f t="shared" si="2"/>
        <v>0</v>
      </c>
      <c r="Q32">
        <f t="shared" si="3"/>
        <v>1060000000</v>
      </c>
    </row>
    <row r="33" spans="1:17" x14ac:dyDescent="0.2">
      <c r="A33" t="s">
        <v>139</v>
      </c>
      <c r="B33" t="s">
        <v>209</v>
      </c>
      <c r="C33">
        <v>886000000</v>
      </c>
      <c r="D33" t="str">
        <f t="shared" si="0"/>
        <v>SCBSFFPLUSCB18N01A</v>
      </c>
      <c r="F33" s="1" t="s">
        <v>545</v>
      </c>
      <c r="G33">
        <f t="shared" si="2"/>
        <v>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50000000</v>
      </c>
      <c r="M33">
        <f t="shared" si="2"/>
        <v>0</v>
      </c>
      <c r="N33">
        <f t="shared" si="2"/>
        <v>0</v>
      </c>
      <c r="O33">
        <f t="shared" si="2"/>
        <v>0</v>
      </c>
      <c r="P33">
        <f t="shared" si="2"/>
        <v>0</v>
      </c>
      <c r="Q33">
        <f t="shared" si="3"/>
        <v>50000000</v>
      </c>
    </row>
    <row r="34" spans="1:17" x14ac:dyDescent="0.2">
      <c r="A34" t="s">
        <v>139</v>
      </c>
      <c r="B34" t="s">
        <v>92</v>
      </c>
      <c r="C34">
        <v>3010000000</v>
      </c>
      <c r="D34" t="str">
        <f t="shared" si="0"/>
        <v>SCBSFFPLUSCB18N01B</v>
      </c>
      <c r="F34" s="1" t="s">
        <v>546</v>
      </c>
      <c r="G34">
        <f t="shared" si="2"/>
        <v>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200000000</v>
      </c>
      <c r="M34">
        <f t="shared" si="2"/>
        <v>240000000</v>
      </c>
      <c r="N34">
        <f t="shared" si="2"/>
        <v>0</v>
      </c>
      <c r="O34">
        <f t="shared" si="2"/>
        <v>0</v>
      </c>
      <c r="P34">
        <f t="shared" si="2"/>
        <v>0</v>
      </c>
      <c r="Q34">
        <f t="shared" si="3"/>
        <v>440000000</v>
      </c>
    </row>
    <row r="35" spans="1:17" x14ac:dyDescent="0.2">
      <c r="A35" t="s">
        <v>139</v>
      </c>
      <c r="B35" t="s">
        <v>93</v>
      </c>
      <c r="C35">
        <v>1061000000</v>
      </c>
      <c r="D35" t="str">
        <f t="shared" si="0"/>
        <v>SCBSFFPLUSCB18N08A</v>
      </c>
      <c r="F35" s="1" t="s">
        <v>547</v>
      </c>
      <c r="G35">
        <f t="shared" ref="G35:P62" si="4">IFERROR(INDEX($C:$C,MATCH(G$1&amp;$F35,$D:$D,0)),0)</f>
        <v>0</v>
      </c>
      <c r="H35">
        <f t="shared" si="4"/>
        <v>0</v>
      </c>
      <c r="I35">
        <f t="shared" si="4"/>
        <v>0</v>
      </c>
      <c r="J35">
        <f t="shared" si="4"/>
        <v>0</v>
      </c>
      <c r="K35">
        <f t="shared" si="4"/>
        <v>0</v>
      </c>
      <c r="L35">
        <f t="shared" si="4"/>
        <v>110000000</v>
      </c>
      <c r="M35">
        <f t="shared" si="4"/>
        <v>344500000</v>
      </c>
      <c r="N35">
        <f t="shared" si="4"/>
        <v>0</v>
      </c>
      <c r="O35">
        <f t="shared" si="4"/>
        <v>280000000</v>
      </c>
      <c r="P35">
        <f t="shared" si="4"/>
        <v>0</v>
      </c>
      <c r="Q35">
        <f t="shared" si="3"/>
        <v>734500000</v>
      </c>
    </row>
    <row r="36" spans="1:17" x14ac:dyDescent="0.2">
      <c r="A36" t="s">
        <v>139</v>
      </c>
      <c r="B36" t="s">
        <v>94</v>
      </c>
      <c r="C36">
        <v>5719000000</v>
      </c>
      <c r="D36" t="str">
        <f t="shared" si="0"/>
        <v>SCBSFFPLUSCB18N08B</v>
      </c>
      <c r="F36" s="1" t="s">
        <v>548</v>
      </c>
      <c r="G36">
        <f t="shared" si="4"/>
        <v>0</v>
      </c>
      <c r="H36">
        <f t="shared" si="4"/>
        <v>0</v>
      </c>
      <c r="I36">
        <f t="shared" si="4"/>
        <v>0</v>
      </c>
      <c r="J36">
        <f t="shared" si="4"/>
        <v>0</v>
      </c>
      <c r="K36">
        <f t="shared" si="4"/>
        <v>0</v>
      </c>
      <c r="L36">
        <f t="shared" si="4"/>
        <v>90000000</v>
      </c>
      <c r="M36">
        <f t="shared" si="4"/>
        <v>0</v>
      </c>
      <c r="N36">
        <f t="shared" si="4"/>
        <v>3511000000</v>
      </c>
      <c r="O36">
        <f t="shared" si="4"/>
        <v>128000000</v>
      </c>
      <c r="P36">
        <f t="shared" si="4"/>
        <v>0</v>
      </c>
      <c r="Q36">
        <f t="shared" si="3"/>
        <v>3729000000</v>
      </c>
    </row>
    <row r="37" spans="1:17" x14ac:dyDescent="0.2">
      <c r="A37" t="s">
        <v>139</v>
      </c>
      <c r="B37" t="s">
        <v>95</v>
      </c>
      <c r="C37">
        <v>625000000</v>
      </c>
      <c r="D37" t="str">
        <f t="shared" si="0"/>
        <v>SCBSFFPLUSCB18N15A</v>
      </c>
      <c r="F37" s="1" t="s">
        <v>595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0</v>
      </c>
      <c r="K37">
        <f t="shared" si="4"/>
        <v>0</v>
      </c>
      <c r="L37">
        <f t="shared" si="4"/>
        <v>0</v>
      </c>
      <c r="M37">
        <f t="shared" si="4"/>
        <v>120000000</v>
      </c>
      <c r="N37">
        <f t="shared" si="4"/>
        <v>0</v>
      </c>
      <c r="O37">
        <f t="shared" si="4"/>
        <v>0</v>
      </c>
      <c r="P37">
        <f t="shared" si="4"/>
        <v>0</v>
      </c>
      <c r="Q37">
        <f t="shared" si="3"/>
        <v>120000000</v>
      </c>
    </row>
    <row r="38" spans="1:17" x14ac:dyDescent="0.2">
      <c r="A38" t="s">
        <v>139</v>
      </c>
      <c r="B38" t="s">
        <v>96</v>
      </c>
      <c r="C38">
        <v>7934000000</v>
      </c>
      <c r="D38" t="str">
        <f t="shared" si="0"/>
        <v>SCBSFFPLUSCB18N15B</v>
      </c>
      <c r="F38" s="1" t="s">
        <v>596</v>
      </c>
      <c r="G38">
        <f t="shared" si="4"/>
        <v>0</v>
      </c>
      <c r="H38">
        <f t="shared" si="4"/>
        <v>0</v>
      </c>
      <c r="I38">
        <f t="shared" si="4"/>
        <v>0</v>
      </c>
      <c r="J38">
        <f t="shared" si="4"/>
        <v>0</v>
      </c>
      <c r="K38">
        <f t="shared" si="4"/>
        <v>0</v>
      </c>
      <c r="L38">
        <f t="shared" si="4"/>
        <v>0</v>
      </c>
      <c r="M38">
        <f t="shared" si="4"/>
        <v>4000000</v>
      </c>
      <c r="N38">
        <f t="shared" si="4"/>
        <v>0</v>
      </c>
      <c r="O38">
        <f t="shared" si="4"/>
        <v>0</v>
      </c>
      <c r="P38">
        <f t="shared" si="4"/>
        <v>80000000</v>
      </c>
      <c r="Q38">
        <f t="shared" si="3"/>
        <v>84000000</v>
      </c>
    </row>
    <row r="39" spans="1:17" x14ac:dyDescent="0.2">
      <c r="A39" t="s">
        <v>139</v>
      </c>
      <c r="B39" t="s">
        <v>97</v>
      </c>
      <c r="C39">
        <v>2851000000</v>
      </c>
      <c r="D39" t="str">
        <f t="shared" si="0"/>
        <v>SCBSFFPLUSCB18N22A</v>
      </c>
      <c r="F39" s="1" t="s">
        <v>597</v>
      </c>
      <c r="G39">
        <f t="shared" si="4"/>
        <v>0</v>
      </c>
      <c r="H39">
        <f t="shared" si="4"/>
        <v>0</v>
      </c>
      <c r="I39">
        <f t="shared" si="4"/>
        <v>0</v>
      </c>
      <c r="J39">
        <f t="shared" si="4"/>
        <v>0</v>
      </c>
      <c r="K39">
        <f t="shared" si="4"/>
        <v>0</v>
      </c>
      <c r="L39">
        <f t="shared" si="4"/>
        <v>0</v>
      </c>
      <c r="M39">
        <f t="shared" si="4"/>
        <v>37000000</v>
      </c>
      <c r="N39">
        <f t="shared" si="4"/>
        <v>0</v>
      </c>
      <c r="O39">
        <f t="shared" si="4"/>
        <v>0</v>
      </c>
      <c r="P39">
        <f t="shared" si="4"/>
        <v>90000000</v>
      </c>
      <c r="Q39">
        <f t="shared" si="3"/>
        <v>127000000</v>
      </c>
    </row>
    <row r="40" spans="1:17" x14ac:dyDescent="0.2">
      <c r="A40" t="s">
        <v>139</v>
      </c>
      <c r="B40" t="s">
        <v>98</v>
      </c>
      <c r="C40">
        <v>4745000000</v>
      </c>
      <c r="D40" t="str">
        <f t="shared" si="0"/>
        <v>SCBSFFPLUSCB18N22B</v>
      </c>
      <c r="F40" s="1" t="s">
        <v>598</v>
      </c>
      <c r="G40">
        <f t="shared" si="4"/>
        <v>0</v>
      </c>
      <c r="H40">
        <f t="shared" si="4"/>
        <v>0</v>
      </c>
      <c r="I40">
        <f t="shared" si="4"/>
        <v>0</v>
      </c>
      <c r="J40">
        <f t="shared" si="4"/>
        <v>0</v>
      </c>
      <c r="K40">
        <f t="shared" si="4"/>
        <v>0</v>
      </c>
      <c r="L40">
        <f t="shared" si="4"/>
        <v>0</v>
      </c>
      <c r="M40">
        <f t="shared" si="4"/>
        <v>87000000</v>
      </c>
      <c r="N40">
        <f t="shared" si="4"/>
        <v>0</v>
      </c>
      <c r="O40">
        <f t="shared" si="4"/>
        <v>0</v>
      </c>
      <c r="P40">
        <f t="shared" si="4"/>
        <v>100000000</v>
      </c>
      <c r="Q40">
        <f t="shared" si="3"/>
        <v>187000000</v>
      </c>
    </row>
    <row r="41" spans="1:17" x14ac:dyDescent="0.2">
      <c r="A41" t="s">
        <v>139</v>
      </c>
      <c r="B41" t="s">
        <v>99</v>
      </c>
      <c r="C41">
        <v>997000000</v>
      </c>
      <c r="D41" t="str">
        <f t="shared" si="0"/>
        <v>SCBSFFPLUSCB18N29A</v>
      </c>
      <c r="F41" s="1" t="s">
        <v>599</v>
      </c>
      <c r="G41">
        <f t="shared" si="4"/>
        <v>0</v>
      </c>
      <c r="H41">
        <f t="shared" si="4"/>
        <v>0</v>
      </c>
      <c r="I41">
        <f t="shared" si="4"/>
        <v>0</v>
      </c>
      <c r="J41">
        <f t="shared" si="4"/>
        <v>0</v>
      </c>
      <c r="K41">
        <f t="shared" si="4"/>
        <v>0</v>
      </c>
      <c r="L41">
        <f t="shared" si="4"/>
        <v>0</v>
      </c>
      <c r="M41">
        <f t="shared" si="4"/>
        <v>69000000</v>
      </c>
      <c r="N41">
        <f t="shared" si="4"/>
        <v>119000000</v>
      </c>
      <c r="O41">
        <f t="shared" si="4"/>
        <v>0</v>
      </c>
      <c r="P41">
        <f t="shared" si="4"/>
        <v>0</v>
      </c>
      <c r="Q41">
        <f t="shared" si="3"/>
        <v>188000000</v>
      </c>
    </row>
    <row r="42" spans="1:17" x14ac:dyDescent="0.2">
      <c r="A42" t="s">
        <v>139</v>
      </c>
      <c r="B42" t="s">
        <v>100</v>
      </c>
      <c r="C42">
        <v>7059000000</v>
      </c>
      <c r="D42" t="str">
        <f t="shared" si="0"/>
        <v>SCBSFFPLUSCB18N29B</v>
      </c>
      <c r="F42" s="1" t="s">
        <v>600</v>
      </c>
      <c r="G42">
        <f t="shared" si="4"/>
        <v>0</v>
      </c>
      <c r="H42">
        <f t="shared" si="4"/>
        <v>0</v>
      </c>
      <c r="I42">
        <f t="shared" si="4"/>
        <v>0</v>
      </c>
      <c r="J42">
        <f t="shared" si="4"/>
        <v>0</v>
      </c>
      <c r="K42">
        <f t="shared" si="4"/>
        <v>0</v>
      </c>
      <c r="L42">
        <f t="shared" si="4"/>
        <v>0</v>
      </c>
      <c r="M42">
        <f t="shared" si="4"/>
        <v>127000000</v>
      </c>
      <c r="N42">
        <f t="shared" si="4"/>
        <v>694000000</v>
      </c>
      <c r="O42">
        <f t="shared" si="4"/>
        <v>90000000</v>
      </c>
      <c r="P42">
        <f t="shared" si="4"/>
        <v>60000000</v>
      </c>
      <c r="Q42">
        <f t="shared" si="3"/>
        <v>971000000</v>
      </c>
    </row>
    <row r="43" spans="1:17" x14ac:dyDescent="0.2">
      <c r="A43" t="s">
        <v>139</v>
      </c>
      <c r="B43" t="s">
        <v>101</v>
      </c>
      <c r="C43">
        <v>452000000</v>
      </c>
      <c r="D43" t="str">
        <f t="shared" si="0"/>
        <v>SCBSFFPLUSCB18O11A</v>
      </c>
      <c r="F43" s="1" t="s">
        <v>601</v>
      </c>
      <c r="G43">
        <f t="shared" si="4"/>
        <v>0</v>
      </c>
      <c r="H43">
        <f t="shared" si="4"/>
        <v>0</v>
      </c>
      <c r="I43">
        <f t="shared" si="4"/>
        <v>0</v>
      </c>
      <c r="J43">
        <f t="shared" si="4"/>
        <v>0</v>
      </c>
      <c r="K43">
        <f t="shared" si="4"/>
        <v>0</v>
      </c>
      <c r="L43">
        <f t="shared" si="4"/>
        <v>0</v>
      </c>
      <c r="M43">
        <f t="shared" si="4"/>
        <v>18000000</v>
      </c>
      <c r="N43">
        <f t="shared" si="4"/>
        <v>47000000</v>
      </c>
      <c r="O43">
        <f t="shared" si="4"/>
        <v>64000000</v>
      </c>
      <c r="P43">
        <f t="shared" si="4"/>
        <v>0</v>
      </c>
      <c r="Q43">
        <f t="shared" si="3"/>
        <v>129000000</v>
      </c>
    </row>
    <row r="44" spans="1:17" x14ac:dyDescent="0.2">
      <c r="A44" t="s">
        <v>139</v>
      </c>
      <c r="B44" t="s">
        <v>102</v>
      </c>
      <c r="C44">
        <v>5126000000</v>
      </c>
      <c r="D44" t="str">
        <f t="shared" si="0"/>
        <v>SCBSFFPLUSCB18O11B</v>
      </c>
      <c r="F44" s="1" t="s">
        <v>602</v>
      </c>
      <c r="G44">
        <f t="shared" si="4"/>
        <v>0</v>
      </c>
      <c r="H44">
        <f t="shared" si="4"/>
        <v>0</v>
      </c>
      <c r="I44">
        <f t="shared" si="4"/>
        <v>0</v>
      </c>
      <c r="J44">
        <f t="shared" si="4"/>
        <v>0</v>
      </c>
      <c r="K44">
        <f t="shared" si="4"/>
        <v>0</v>
      </c>
      <c r="L44">
        <f t="shared" si="4"/>
        <v>0</v>
      </c>
      <c r="M44">
        <f t="shared" si="4"/>
        <v>87000000</v>
      </c>
      <c r="N44">
        <f t="shared" si="4"/>
        <v>89000000</v>
      </c>
      <c r="O44">
        <f t="shared" si="4"/>
        <v>115000000</v>
      </c>
      <c r="P44">
        <f t="shared" si="4"/>
        <v>0</v>
      </c>
      <c r="Q44">
        <f t="shared" si="3"/>
        <v>291000000</v>
      </c>
    </row>
    <row r="45" spans="1:17" x14ac:dyDescent="0.2">
      <c r="A45" t="s">
        <v>139</v>
      </c>
      <c r="B45" t="s">
        <v>103</v>
      </c>
      <c r="C45">
        <v>5281000000</v>
      </c>
      <c r="D45" t="str">
        <f t="shared" si="0"/>
        <v>SCBSFFPLUSCB18O16A</v>
      </c>
      <c r="F45" s="1" t="s">
        <v>603</v>
      </c>
      <c r="G45">
        <f t="shared" si="4"/>
        <v>0</v>
      </c>
      <c r="H45">
        <f t="shared" si="4"/>
        <v>0</v>
      </c>
      <c r="I45">
        <f t="shared" si="4"/>
        <v>0</v>
      </c>
      <c r="J45">
        <f t="shared" si="4"/>
        <v>0</v>
      </c>
      <c r="K45">
        <f t="shared" si="4"/>
        <v>0</v>
      </c>
      <c r="L45">
        <f t="shared" si="4"/>
        <v>0</v>
      </c>
      <c r="M45">
        <f t="shared" si="4"/>
        <v>261000000</v>
      </c>
      <c r="N45">
        <f t="shared" si="4"/>
        <v>139000000</v>
      </c>
      <c r="O45">
        <f t="shared" si="4"/>
        <v>234000000</v>
      </c>
      <c r="P45">
        <f t="shared" si="4"/>
        <v>0</v>
      </c>
      <c r="Q45">
        <f t="shared" si="3"/>
        <v>634000000</v>
      </c>
    </row>
    <row r="46" spans="1:17" x14ac:dyDescent="0.2">
      <c r="A46" t="s">
        <v>139</v>
      </c>
      <c r="B46" t="s">
        <v>104</v>
      </c>
      <c r="C46">
        <v>674000000</v>
      </c>
      <c r="D46" t="str">
        <f t="shared" si="0"/>
        <v>SCBSFFPLUSCB18O18A</v>
      </c>
      <c r="F46" s="1" t="s">
        <v>604</v>
      </c>
      <c r="G46">
        <f t="shared" si="4"/>
        <v>0</v>
      </c>
      <c r="H46">
        <f t="shared" si="4"/>
        <v>0</v>
      </c>
      <c r="I46">
        <f t="shared" si="4"/>
        <v>0</v>
      </c>
      <c r="J46">
        <f t="shared" si="4"/>
        <v>0</v>
      </c>
      <c r="K46">
        <f t="shared" si="4"/>
        <v>0</v>
      </c>
      <c r="L46">
        <f t="shared" si="4"/>
        <v>0</v>
      </c>
      <c r="M46">
        <f t="shared" si="4"/>
        <v>194000000</v>
      </c>
      <c r="N46">
        <f t="shared" si="4"/>
        <v>971000000</v>
      </c>
      <c r="O46">
        <f t="shared" si="4"/>
        <v>50000000</v>
      </c>
      <c r="P46">
        <f t="shared" si="4"/>
        <v>0</v>
      </c>
      <c r="Q46">
        <f t="shared" si="3"/>
        <v>1215000000</v>
      </c>
    </row>
    <row r="47" spans="1:17" x14ac:dyDescent="0.2">
      <c r="A47" t="s">
        <v>139</v>
      </c>
      <c r="B47" t="s">
        <v>105</v>
      </c>
      <c r="C47">
        <v>6017000000</v>
      </c>
      <c r="D47" t="str">
        <f t="shared" si="0"/>
        <v>SCBSFFPLUSCB18O18B</v>
      </c>
      <c r="F47" s="1" t="s">
        <v>605</v>
      </c>
      <c r="G47">
        <f t="shared" si="4"/>
        <v>0</v>
      </c>
      <c r="H47">
        <f t="shared" si="4"/>
        <v>0</v>
      </c>
      <c r="I47">
        <f t="shared" si="4"/>
        <v>0</v>
      </c>
      <c r="J47">
        <f t="shared" si="4"/>
        <v>0</v>
      </c>
      <c r="K47">
        <f t="shared" si="4"/>
        <v>0</v>
      </c>
      <c r="L47">
        <f t="shared" si="4"/>
        <v>0</v>
      </c>
      <c r="M47">
        <f t="shared" si="4"/>
        <v>133000000</v>
      </c>
      <c r="N47">
        <f t="shared" si="4"/>
        <v>0</v>
      </c>
      <c r="O47">
        <f t="shared" si="4"/>
        <v>170000000</v>
      </c>
      <c r="P47">
        <f t="shared" si="4"/>
        <v>0</v>
      </c>
      <c r="Q47">
        <f t="shared" si="3"/>
        <v>303000000</v>
      </c>
    </row>
    <row r="48" spans="1:17" x14ac:dyDescent="0.2">
      <c r="A48" t="s">
        <v>139</v>
      </c>
      <c r="B48" t="s">
        <v>355</v>
      </c>
      <c r="C48">
        <v>997000000</v>
      </c>
      <c r="D48" t="str">
        <f t="shared" si="0"/>
        <v>SCBSFFPLUSCB18O24A</v>
      </c>
      <c r="F48" s="1" t="s">
        <v>606</v>
      </c>
      <c r="G48">
        <f t="shared" si="4"/>
        <v>0</v>
      </c>
      <c r="H48">
        <f t="shared" si="4"/>
        <v>0</v>
      </c>
      <c r="I48">
        <f t="shared" si="4"/>
        <v>0</v>
      </c>
      <c r="J48">
        <f t="shared" si="4"/>
        <v>0</v>
      </c>
      <c r="K48">
        <f t="shared" si="4"/>
        <v>0</v>
      </c>
      <c r="L48">
        <f t="shared" si="4"/>
        <v>0</v>
      </c>
      <c r="M48">
        <f t="shared" si="4"/>
        <v>624000000</v>
      </c>
      <c r="N48">
        <f t="shared" si="4"/>
        <v>622000000</v>
      </c>
      <c r="O48">
        <f t="shared" si="4"/>
        <v>161000000</v>
      </c>
      <c r="P48">
        <f t="shared" si="4"/>
        <v>0</v>
      </c>
      <c r="Q48">
        <f t="shared" si="3"/>
        <v>1407000000</v>
      </c>
    </row>
    <row r="49" spans="1:17" x14ac:dyDescent="0.2">
      <c r="A49" t="s">
        <v>139</v>
      </c>
      <c r="B49" t="s">
        <v>106</v>
      </c>
      <c r="C49">
        <v>410000000</v>
      </c>
      <c r="D49" t="str">
        <f t="shared" si="0"/>
        <v>SCBSFFPLUSCB18O25A</v>
      </c>
      <c r="F49" s="1" t="s">
        <v>607</v>
      </c>
      <c r="G49">
        <f t="shared" si="4"/>
        <v>0</v>
      </c>
      <c r="H49">
        <f t="shared" si="4"/>
        <v>0</v>
      </c>
      <c r="I49">
        <f t="shared" si="4"/>
        <v>0</v>
      </c>
      <c r="J49">
        <f t="shared" si="4"/>
        <v>0</v>
      </c>
      <c r="K49">
        <f t="shared" si="4"/>
        <v>0</v>
      </c>
      <c r="L49">
        <f t="shared" si="4"/>
        <v>0</v>
      </c>
      <c r="M49">
        <f t="shared" si="4"/>
        <v>30000000</v>
      </c>
      <c r="N49">
        <f t="shared" si="4"/>
        <v>744000000</v>
      </c>
      <c r="O49">
        <f t="shared" si="4"/>
        <v>145000000</v>
      </c>
      <c r="P49">
        <f t="shared" si="4"/>
        <v>0</v>
      </c>
      <c r="Q49">
        <f t="shared" si="3"/>
        <v>919000000</v>
      </c>
    </row>
    <row r="50" spans="1:17" x14ac:dyDescent="0.2">
      <c r="A50" t="s">
        <v>139</v>
      </c>
      <c r="B50" t="s">
        <v>107</v>
      </c>
      <c r="C50">
        <v>6471000000</v>
      </c>
      <c r="D50" t="str">
        <f t="shared" si="0"/>
        <v>SCBSFFPLUSCB18O25B</v>
      </c>
      <c r="F50" s="1" t="s">
        <v>608</v>
      </c>
      <c r="G50">
        <f t="shared" si="4"/>
        <v>0</v>
      </c>
      <c r="H50">
        <f t="shared" si="4"/>
        <v>0</v>
      </c>
      <c r="I50">
        <f t="shared" si="4"/>
        <v>0</v>
      </c>
      <c r="J50">
        <f t="shared" si="4"/>
        <v>0</v>
      </c>
      <c r="K50">
        <f t="shared" si="4"/>
        <v>0</v>
      </c>
      <c r="L50">
        <f t="shared" si="4"/>
        <v>0</v>
      </c>
      <c r="M50">
        <f t="shared" si="4"/>
        <v>393000000</v>
      </c>
      <c r="N50">
        <f t="shared" si="4"/>
        <v>898000000</v>
      </c>
      <c r="O50">
        <f t="shared" si="4"/>
        <v>50000000</v>
      </c>
      <c r="P50">
        <f t="shared" si="4"/>
        <v>0</v>
      </c>
      <c r="Q50">
        <f t="shared" si="3"/>
        <v>1341000000</v>
      </c>
    </row>
    <row r="51" spans="1:17" x14ac:dyDescent="0.2">
      <c r="A51" t="s">
        <v>139</v>
      </c>
      <c r="B51" t="s">
        <v>210</v>
      </c>
      <c r="C51">
        <v>303000000</v>
      </c>
      <c r="D51" t="str">
        <f t="shared" si="0"/>
        <v>SCBSFFPLUSCB19103A</v>
      </c>
      <c r="F51" s="1" t="s">
        <v>609</v>
      </c>
      <c r="G51">
        <f t="shared" si="4"/>
        <v>0</v>
      </c>
      <c r="H51">
        <f t="shared" si="4"/>
        <v>0</v>
      </c>
      <c r="I51">
        <f t="shared" si="4"/>
        <v>0</v>
      </c>
      <c r="J51">
        <f t="shared" si="4"/>
        <v>0</v>
      </c>
      <c r="K51">
        <f t="shared" si="4"/>
        <v>0</v>
      </c>
      <c r="L51">
        <f t="shared" si="4"/>
        <v>0</v>
      </c>
      <c r="M51">
        <f t="shared" si="4"/>
        <v>76000000</v>
      </c>
      <c r="N51">
        <f t="shared" si="4"/>
        <v>666000000</v>
      </c>
      <c r="O51">
        <f t="shared" si="4"/>
        <v>0</v>
      </c>
      <c r="P51">
        <f t="shared" si="4"/>
        <v>0</v>
      </c>
      <c r="Q51">
        <f t="shared" si="3"/>
        <v>742000000</v>
      </c>
    </row>
    <row r="52" spans="1:17" x14ac:dyDescent="0.2">
      <c r="A52" t="s">
        <v>139</v>
      </c>
      <c r="B52" t="s">
        <v>108</v>
      </c>
      <c r="C52">
        <v>6468000000</v>
      </c>
      <c r="D52" t="str">
        <f t="shared" si="0"/>
        <v>SCBSFFPLUSCB19103B</v>
      </c>
      <c r="F52" s="1" t="s">
        <v>610</v>
      </c>
      <c r="G52">
        <f t="shared" si="4"/>
        <v>0</v>
      </c>
      <c r="H52">
        <f t="shared" si="4"/>
        <v>0</v>
      </c>
      <c r="I52">
        <f t="shared" si="4"/>
        <v>0</v>
      </c>
      <c r="J52">
        <f t="shared" si="4"/>
        <v>0</v>
      </c>
      <c r="K52">
        <f t="shared" si="4"/>
        <v>0</v>
      </c>
      <c r="L52">
        <f t="shared" si="4"/>
        <v>0</v>
      </c>
      <c r="M52">
        <f t="shared" si="4"/>
        <v>142000000</v>
      </c>
      <c r="N52">
        <f t="shared" si="4"/>
        <v>1695000000</v>
      </c>
      <c r="O52">
        <f t="shared" si="4"/>
        <v>0</v>
      </c>
      <c r="P52">
        <f t="shared" si="4"/>
        <v>0</v>
      </c>
      <c r="Q52">
        <f t="shared" si="3"/>
        <v>1837000000</v>
      </c>
    </row>
    <row r="53" spans="1:17" x14ac:dyDescent="0.2">
      <c r="A53" t="s">
        <v>139</v>
      </c>
      <c r="B53" t="s">
        <v>870</v>
      </c>
      <c r="C53">
        <v>5000000000</v>
      </c>
      <c r="D53" t="str">
        <f t="shared" si="0"/>
        <v>SCBSFFPLUSCB19110B</v>
      </c>
      <c r="F53" s="1" t="s">
        <v>611</v>
      </c>
      <c r="G53">
        <f t="shared" si="4"/>
        <v>0</v>
      </c>
      <c r="H53">
        <f t="shared" si="4"/>
        <v>0</v>
      </c>
      <c r="I53">
        <f t="shared" si="4"/>
        <v>0</v>
      </c>
      <c r="J53">
        <f t="shared" si="4"/>
        <v>0</v>
      </c>
      <c r="K53">
        <f t="shared" si="4"/>
        <v>0</v>
      </c>
      <c r="L53">
        <f t="shared" si="4"/>
        <v>0</v>
      </c>
      <c r="M53">
        <f t="shared" si="4"/>
        <v>112500000</v>
      </c>
      <c r="N53">
        <f t="shared" si="4"/>
        <v>237000000</v>
      </c>
      <c r="O53">
        <f t="shared" si="4"/>
        <v>390000000</v>
      </c>
      <c r="P53">
        <f t="shared" si="4"/>
        <v>0</v>
      </c>
      <c r="Q53">
        <f t="shared" si="3"/>
        <v>739500000</v>
      </c>
    </row>
    <row r="54" spans="1:17" x14ac:dyDescent="0.2">
      <c r="A54" t="s">
        <v>140</v>
      </c>
      <c r="B54" t="s">
        <v>88</v>
      </c>
      <c r="C54">
        <v>150000000</v>
      </c>
      <c r="D54" t="str">
        <f t="shared" si="0"/>
        <v>SCBTMFCB18D06C</v>
      </c>
      <c r="F54" s="1" t="s">
        <v>612</v>
      </c>
      <c r="G54">
        <f t="shared" si="4"/>
        <v>0</v>
      </c>
      <c r="H54">
        <f t="shared" si="4"/>
        <v>0</v>
      </c>
      <c r="I54">
        <f t="shared" si="4"/>
        <v>0</v>
      </c>
      <c r="J54">
        <f t="shared" si="4"/>
        <v>0</v>
      </c>
      <c r="K54">
        <f t="shared" si="4"/>
        <v>0</v>
      </c>
      <c r="L54">
        <f t="shared" si="4"/>
        <v>0</v>
      </c>
      <c r="M54">
        <f t="shared" si="4"/>
        <v>57000000</v>
      </c>
      <c r="N54">
        <f t="shared" si="4"/>
        <v>206000000</v>
      </c>
      <c r="O54">
        <f t="shared" si="4"/>
        <v>127000000</v>
      </c>
      <c r="P54">
        <f t="shared" si="4"/>
        <v>0</v>
      </c>
      <c r="Q54">
        <f t="shared" si="3"/>
        <v>390000000</v>
      </c>
    </row>
    <row r="55" spans="1:17" x14ac:dyDescent="0.2">
      <c r="A55" t="s">
        <v>140</v>
      </c>
      <c r="B55" t="s">
        <v>90</v>
      </c>
      <c r="C55">
        <v>120000000</v>
      </c>
      <c r="D55" t="str">
        <f t="shared" si="0"/>
        <v>SCBTMFCB18D13B</v>
      </c>
      <c r="F55" s="1" t="s">
        <v>650</v>
      </c>
      <c r="G55">
        <f t="shared" si="4"/>
        <v>0</v>
      </c>
      <c r="H55">
        <f t="shared" si="4"/>
        <v>0</v>
      </c>
      <c r="I55">
        <f t="shared" si="4"/>
        <v>0</v>
      </c>
      <c r="J55">
        <f t="shared" si="4"/>
        <v>0</v>
      </c>
      <c r="K55">
        <f t="shared" si="4"/>
        <v>0</v>
      </c>
      <c r="L55">
        <f t="shared" si="4"/>
        <v>0</v>
      </c>
      <c r="M55">
        <f t="shared" si="4"/>
        <v>0</v>
      </c>
      <c r="N55">
        <f t="shared" si="4"/>
        <v>198000000</v>
      </c>
      <c r="O55">
        <f t="shared" si="4"/>
        <v>0</v>
      </c>
      <c r="P55">
        <f t="shared" si="4"/>
        <v>0</v>
      </c>
      <c r="Q55">
        <f t="shared" si="3"/>
        <v>198000000</v>
      </c>
    </row>
    <row r="56" spans="1:17" x14ac:dyDescent="0.2">
      <c r="A56" t="s">
        <v>140</v>
      </c>
      <c r="B56" t="s">
        <v>91</v>
      </c>
      <c r="C56">
        <v>201000000</v>
      </c>
      <c r="D56" t="str">
        <f t="shared" si="0"/>
        <v>SCBTMFCB18D20B</v>
      </c>
      <c r="F56" s="1" t="s">
        <v>651</v>
      </c>
      <c r="G56">
        <f t="shared" si="4"/>
        <v>0</v>
      </c>
      <c r="H56">
        <f t="shared" si="4"/>
        <v>0</v>
      </c>
      <c r="I56">
        <f t="shared" si="4"/>
        <v>0</v>
      </c>
      <c r="J56">
        <f t="shared" si="4"/>
        <v>0</v>
      </c>
      <c r="K56">
        <f t="shared" si="4"/>
        <v>0</v>
      </c>
      <c r="L56">
        <f t="shared" si="4"/>
        <v>0</v>
      </c>
      <c r="M56">
        <f t="shared" si="4"/>
        <v>0</v>
      </c>
      <c r="N56">
        <f t="shared" si="4"/>
        <v>778000000</v>
      </c>
      <c r="O56">
        <f t="shared" si="4"/>
        <v>0</v>
      </c>
      <c r="P56">
        <f t="shared" si="4"/>
        <v>0</v>
      </c>
      <c r="Q56">
        <f t="shared" si="3"/>
        <v>778000000</v>
      </c>
    </row>
    <row r="57" spans="1:17" x14ac:dyDescent="0.2">
      <c r="A57" t="s">
        <v>140</v>
      </c>
      <c r="B57" t="s">
        <v>208</v>
      </c>
      <c r="C57">
        <v>100000000</v>
      </c>
      <c r="D57" t="str">
        <f t="shared" si="0"/>
        <v>SCBTMFCB18D27B</v>
      </c>
      <c r="F57" s="1" t="s">
        <v>652</v>
      </c>
      <c r="G57">
        <f t="shared" si="4"/>
        <v>0</v>
      </c>
      <c r="H57">
        <f t="shared" si="4"/>
        <v>0</v>
      </c>
      <c r="I57">
        <f t="shared" si="4"/>
        <v>0</v>
      </c>
      <c r="J57">
        <f t="shared" si="4"/>
        <v>0</v>
      </c>
      <c r="K57">
        <f t="shared" si="4"/>
        <v>0</v>
      </c>
      <c r="L57">
        <f t="shared" si="4"/>
        <v>0</v>
      </c>
      <c r="M57">
        <f t="shared" si="4"/>
        <v>0</v>
      </c>
      <c r="N57">
        <f t="shared" si="4"/>
        <v>159260000</v>
      </c>
      <c r="O57">
        <f t="shared" si="4"/>
        <v>0</v>
      </c>
      <c r="P57">
        <f t="shared" si="4"/>
        <v>0</v>
      </c>
      <c r="Q57">
        <f t="shared" si="3"/>
        <v>159260000</v>
      </c>
    </row>
    <row r="58" spans="1:17" x14ac:dyDescent="0.2">
      <c r="A58" t="s">
        <v>140</v>
      </c>
      <c r="B58" t="s">
        <v>209</v>
      </c>
      <c r="C58">
        <v>50000000</v>
      </c>
      <c r="D58" t="str">
        <f t="shared" si="0"/>
        <v>SCBTMFCB18N01A</v>
      </c>
      <c r="F58" s="1" t="s">
        <v>653</v>
      </c>
      <c r="G58">
        <f t="shared" si="4"/>
        <v>0</v>
      </c>
      <c r="H58">
        <f t="shared" si="4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>
        <f t="shared" si="4"/>
        <v>0</v>
      </c>
      <c r="N58">
        <f t="shared" si="4"/>
        <v>583000000</v>
      </c>
      <c r="O58">
        <f t="shared" si="4"/>
        <v>67000000</v>
      </c>
      <c r="P58">
        <f t="shared" si="4"/>
        <v>0</v>
      </c>
      <c r="Q58">
        <f t="shared" si="3"/>
        <v>650000000</v>
      </c>
    </row>
    <row r="59" spans="1:17" x14ac:dyDescent="0.2">
      <c r="A59" t="s">
        <v>140</v>
      </c>
      <c r="B59" t="s">
        <v>92</v>
      </c>
      <c r="C59">
        <v>175000000</v>
      </c>
      <c r="D59" t="str">
        <f t="shared" si="0"/>
        <v>SCBTMFCB18N01B</v>
      </c>
      <c r="F59" s="1" t="s">
        <v>785</v>
      </c>
      <c r="G59">
        <f t="shared" si="4"/>
        <v>0</v>
      </c>
      <c r="H59">
        <f t="shared" si="4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>
        <f t="shared" si="4"/>
        <v>0</v>
      </c>
      <c r="N59">
        <f t="shared" si="4"/>
        <v>0</v>
      </c>
      <c r="O59">
        <f t="shared" si="4"/>
        <v>40000000</v>
      </c>
      <c r="P59">
        <f t="shared" si="4"/>
        <v>100000000</v>
      </c>
      <c r="Q59">
        <f t="shared" si="3"/>
        <v>140000000</v>
      </c>
    </row>
    <row r="60" spans="1:17" x14ac:dyDescent="0.2">
      <c r="A60" t="s">
        <v>140</v>
      </c>
      <c r="B60" t="s">
        <v>93</v>
      </c>
      <c r="C60">
        <v>20000000</v>
      </c>
      <c r="D60" t="str">
        <f t="shared" si="0"/>
        <v>SCBTMFCB18N08A</v>
      </c>
      <c r="F60" s="1" t="s">
        <v>890</v>
      </c>
      <c r="G60">
        <f t="shared" si="4"/>
        <v>0</v>
      </c>
      <c r="H60">
        <f t="shared" si="4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ref="H60:P62" si="5">IFERROR(INDEX($C:$C,MATCH(L$1&amp;$F60,$D:$D,0)),0)</f>
        <v>0</v>
      </c>
      <c r="M60">
        <f t="shared" si="5"/>
        <v>0</v>
      </c>
      <c r="N60">
        <f t="shared" si="5"/>
        <v>0</v>
      </c>
      <c r="O60">
        <f t="shared" si="5"/>
        <v>200000000</v>
      </c>
      <c r="P60">
        <f t="shared" si="5"/>
        <v>0</v>
      </c>
      <c r="Q60">
        <f t="shared" si="3"/>
        <v>200000000</v>
      </c>
    </row>
    <row r="61" spans="1:17" x14ac:dyDescent="0.2">
      <c r="A61" t="s">
        <v>140</v>
      </c>
      <c r="B61" t="s">
        <v>94</v>
      </c>
      <c r="C61">
        <v>240000000</v>
      </c>
      <c r="D61" t="str">
        <f t="shared" si="0"/>
        <v>SCBTMFCB18N08B</v>
      </c>
      <c r="F61" s="1" t="s">
        <v>786</v>
      </c>
      <c r="G61">
        <f t="shared" ref="G61:G62" si="6">IFERROR(INDEX($C:$C,MATCH(G$1&amp;$F61,$D:$D,0)),0)</f>
        <v>0</v>
      </c>
      <c r="H61">
        <f t="shared" si="5"/>
        <v>0</v>
      </c>
      <c r="I61">
        <f t="shared" si="5"/>
        <v>0</v>
      </c>
      <c r="J61">
        <f t="shared" si="5"/>
        <v>0</v>
      </c>
      <c r="K61">
        <f t="shared" si="5"/>
        <v>0</v>
      </c>
      <c r="L61">
        <f t="shared" si="5"/>
        <v>0</v>
      </c>
      <c r="M61">
        <f t="shared" si="5"/>
        <v>0</v>
      </c>
      <c r="N61">
        <f t="shared" si="5"/>
        <v>0</v>
      </c>
      <c r="O61">
        <f t="shared" si="5"/>
        <v>180000000</v>
      </c>
      <c r="P61">
        <f t="shared" si="5"/>
        <v>0</v>
      </c>
      <c r="Q61">
        <f t="shared" si="3"/>
        <v>180000000</v>
      </c>
    </row>
    <row r="62" spans="1:17" x14ac:dyDescent="0.2">
      <c r="A62" t="s">
        <v>140</v>
      </c>
      <c r="B62" t="s">
        <v>96</v>
      </c>
      <c r="C62">
        <v>160000000</v>
      </c>
      <c r="D62" t="str">
        <f t="shared" si="0"/>
        <v>SCBTMFCB18N15B</v>
      </c>
      <c r="F62" s="1" t="s">
        <v>832</v>
      </c>
      <c r="G62">
        <f t="shared" si="6"/>
        <v>0</v>
      </c>
      <c r="H62">
        <f t="shared" si="5"/>
        <v>0</v>
      </c>
      <c r="I62">
        <f t="shared" si="5"/>
        <v>0</v>
      </c>
      <c r="J62">
        <f t="shared" si="5"/>
        <v>0</v>
      </c>
      <c r="K62">
        <f t="shared" si="5"/>
        <v>0</v>
      </c>
      <c r="L62">
        <f t="shared" si="5"/>
        <v>0</v>
      </c>
      <c r="M62">
        <f t="shared" si="5"/>
        <v>0</v>
      </c>
      <c r="N62">
        <f t="shared" si="5"/>
        <v>0</v>
      </c>
      <c r="O62">
        <f t="shared" si="5"/>
        <v>0</v>
      </c>
      <c r="P62">
        <f t="shared" si="5"/>
        <v>50000000</v>
      </c>
      <c r="Q62">
        <f t="shared" si="3"/>
        <v>50000000</v>
      </c>
    </row>
    <row r="63" spans="1:17" x14ac:dyDescent="0.2">
      <c r="A63" t="s">
        <v>140</v>
      </c>
      <c r="B63" t="s">
        <v>98</v>
      </c>
      <c r="C63">
        <v>448000000</v>
      </c>
      <c r="D63" t="str">
        <f t="shared" si="0"/>
        <v>SCBTMFCB18N22B</v>
      </c>
    </row>
    <row r="64" spans="1:17" x14ac:dyDescent="0.2">
      <c r="A64" t="s">
        <v>140</v>
      </c>
      <c r="B64" t="s">
        <v>99</v>
      </c>
      <c r="C64">
        <v>70000000</v>
      </c>
      <c r="D64" t="str">
        <f t="shared" si="0"/>
        <v>SCBTMFCB18N29A</v>
      </c>
    </row>
    <row r="65" spans="1:4" x14ac:dyDescent="0.2">
      <c r="A65" t="s">
        <v>140</v>
      </c>
      <c r="B65" t="s">
        <v>100</v>
      </c>
      <c r="C65">
        <v>200000000</v>
      </c>
      <c r="D65" t="str">
        <f t="shared" si="0"/>
        <v>SCBTMFCB18N29B</v>
      </c>
    </row>
    <row r="66" spans="1:4" x14ac:dyDescent="0.2">
      <c r="A66" t="s">
        <v>140</v>
      </c>
      <c r="B66" t="s">
        <v>101</v>
      </c>
      <c r="C66">
        <v>140000000</v>
      </c>
      <c r="D66" t="str">
        <f t="shared" ref="D66:D129" si="7">A66&amp;B66</f>
        <v>SCBTMFCB18O11A</v>
      </c>
    </row>
    <row r="67" spans="1:4" x14ac:dyDescent="0.2">
      <c r="A67" t="s">
        <v>140</v>
      </c>
      <c r="B67" t="s">
        <v>102</v>
      </c>
      <c r="C67">
        <v>98000000</v>
      </c>
      <c r="D67" t="str">
        <f t="shared" si="7"/>
        <v>SCBTMFCB18O11B</v>
      </c>
    </row>
    <row r="68" spans="1:4" x14ac:dyDescent="0.2">
      <c r="A68" t="s">
        <v>140</v>
      </c>
      <c r="B68" t="s">
        <v>103</v>
      </c>
      <c r="C68">
        <v>580000000</v>
      </c>
      <c r="D68" t="str">
        <f t="shared" si="7"/>
        <v>SCBTMFCB18O16A</v>
      </c>
    </row>
    <row r="69" spans="1:4" x14ac:dyDescent="0.2">
      <c r="A69" t="s">
        <v>140</v>
      </c>
      <c r="B69" t="s">
        <v>104</v>
      </c>
      <c r="C69">
        <v>272000000</v>
      </c>
      <c r="D69" t="str">
        <f t="shared" si="7"/>
        <v>SCBTMFCB18O18A</v>
      </c>
    </row>
    <row r="70" spans="1:4" x14ac:dyDescent="0.2">
      <c r="A70" t="s">
        <v>140</v>
      </c>
      <c r="B70" t="s">
        <v>105</v>
      </c>
      <c r="C70">
        <v>150000000</v>
      </c>
      <c r="D70" t="str">
        <f t="shared" si="7"/>
        <v>SCBTMFCB18O18B</v>
      </c>
    </row>
    <row r="71" spans="1:4" x14ac:dyDescent="0.2">
      <c r="A71" t="s">
        <v>140</v>
      </c>
      <c r="B71" t="s">
        <v>106</v>
      </c>
      <c r="C71">
        <v>165000000</v>
      </c>
      <c r="D71" t="str">
        <f t="shared" si="7"/>
        <v>SCBTMFCB18O25A</v>
      </c>
    </row>
    <row r="72" spans="1:4" x14ac:dyDescent="0.2">
      <c r="A72" t="s">
        <v>140</v>
      </c>
      <c r="B72" t="s">
        <v>108</v>
      </c>
      <c r="C72">
        <v>150000000</v>
      </c>
      <c r="D72" t="str">
        <f t="shared" si="7"/>
        <v>SCBTMFCB19103B</v>
      </c>
    </row>
    <row r="73" spans="1:4" x14ac:dyDescent="0.2">
      <c r="A73" t="s">
        <v>140</v>
      </c>
      <c r="B73" t="s">
        <v>870</v>
      </c>
      <c r="C73">
        <v>200000000</v>
      </c>
      <c r="D73" t="str">
        <f t="shared" si="7"/>
        <v>SCBTMFCB19110B</v>
      </c>
    </row>
    <row r="74" spans="1:4" x14ac:dyDescent="0.2">
      <c r="A74" t="s">
        <v>141</v>
      </c>
      <c r="B74" t="s">
        <v>84</v>
      </c>
      <c r="C74">
        <v>68000000</v>
      </c>
      <c r="D74" t="str">
        <f t="shared" si="7"/>
        <v>SCBTMFPLUSTB18N14A</v>
      </c>
    </row>
    <row r="75" spans="1:4" x14ac:dyDescent="0.2">
      <c r="A75" t="s">
        <v>141</v>
      </c>
      <c r="B75" t="s">
        <v>314</v>
      </c>
      <c r="C75">
        <v>50000000</v>
      </c>
      <c r="D75" t="str">
        <f t="shared" si="7"/>
        <v>SCBTMFPLUSCB18D06A</v>
      </c>
    </row>
    <row r="76" spans="1:4" x14ac:dyDescent="0.2">
      <c r="A76" t="s">
        <v>141</v>
      </c>
      <c r="B76" t="s">
        <v>88</v>
      </c>
      <c r="C76">
        <v>1000000000</v>
      </c>
      <c r="D76" t="str">
        <f t="shared" si="7"/>
        <v>SCBTMFPLUSCB18D06C</v>
      </c>
    </row>
    <row r="77" spans="1:4" x14ac:dyDescent="0.2">
      <c r="A77" t="s">
        <v>141</v>
      </c>
      <c r="B77" t="s">
        <v>90</v>
      </c>
      <c r="C77">
        <v>960000000</v>
      </c>
      <c r="D77" t="str">
        <f t="shared" si="7"/>
        <v>SCBTMFPLUSCB18D13B</v>
      </c>
    </row>
    <row r="78" spans="1:4" x14ac:dyDescent="0.2">
      <c r="A78" t="s">
        <v>141</v>
      </c>
      <c r="B78" t="s">
        <v>91</v>
      </c>
      <c r="C78">
        <v>600000000</v>
      </c>
      <c r="D78" t="str">
        <f t="shared" si="7"/>
        <v>SCBTMFPLUSCB18D20B</v>
      </c>
    </row>
    <row r="79" spans="1:4" x14ac:dyDescent="0.2">
      <c r="A79" t="s">
        <v>141</v>
      </c>
      <c r="B79" t="s">
        <v>208</v>
      </c>
      <c r="C79">
        <v>850000000</v>
      </c>
      <c r="D79" t="str">
        <f t="shared" si="7"/>
        <v>SCBTMFPLUSCB18D27B</v>
      </c>
    </row>
    <row r="80" spans="1:4" x14ac:dyDescent="0.2">
      <c r="A80" t="s">
        <v>141</v>
      </c>
      <c r="B80" t="s">
        <v>209</v>
      </c>
      <c r="C80">
        <v>202000000</v>
      </c>
      <c r="D80" t="str">
        <f t="shared" si="7"/>
        <v>SCBTMFPLUSCB18N01A</v>
      </c>
    </row>
    <row r="81" spans="1:4" x14ac:dyDescent="0.2">
      <c r="A81" t="s">
        <v>141</v>
      </c>
      <c r="B81" t="s">
        <v>92</v>
      </c>
      <c r="C81">
        <v>1340000000</v>
      </c>
      <c r="D81" t="str">
        <f t="shared" si="7"/>
        <v>SCBTMFPLUSCB18N01B</v>
      </c>
    </row>
    <row r="82" spans="1:4" x14ac:dyDescent="0.2">
      <c r="A82" t="s">
        <v>141</v>
      </c>
      <c r="B82" t="s">
        <v>93</v>
      </c>
      <c r="C82">
        <v>44000000</v>
      </c>
      <c r="D82" t="str">
        <f t="shared" si="7"/>
        <v>SCBTMFPLUSCB18N08A</v>
      </c>
    </row>
    <row r="83" spans="1:4" x14ac:dyDescent="0.2">
      <c r="A83" t="s">
        <v>141</v>
      </c>
      <c r="B83" t="s">
        <v>94</v>
      </c>
      <c r="C83">
        <v>672000000</v>
      </c>
      <c r="D83" t="str">
        <f t="shared" si="7"/>
        <v>SCBTMFPLUSCB18N08B</v>
      </c>
    </row>
    <row r="84" spans="1:4" x14ac:dyDescent="0.2">
      <c r="A84" t="s">
        <v>141</v>
      </c>
      <c r="B84" t="s">
        <v>95</v>
      </c>
      <c r="C84">
        <v>31000000</v>
      </c>
      <c r="D84" t="str">
        <f t="shared" si="7"/>
        <v>SCBTMFPLUSCB18N15A</v>
      </c>
    </row>
    <row r="85" spans="1:4" x14ac:dyDescent="0.2">
      <c r="A85" t="s">
        <v>141</v>
      </c>
      <c r="B85" t="s">
        <v>96</v>
      </c>
      <c r="C85">
        <v>1004000000</v>
      </c>
      <c r="D85" t="str">
        <f t="shared" si="7"/>
        <v>SCBTMFPLUSCB18N15B</v>
      </c>
    </row>
    <row r="86" spans="1:4" x14ac:dyDescent="0.2">
      <c r="A86" t="s">
        <v>141</v>
      </c>
      <c r="B86" t="s">
        <v>98</v>
      </c>
      <c r="C86">
        <v>339000000</v>
      </c>
      <c r="D86" t="str">
        <f t="shared" si="7"/>
        <v>SCBTMFPLUSCB18N22B</v>
      </c>
    </row>
    <row r="87" spans="1:4" x14ac:dyDescent="0.2">
      <c r="A87" t="s">
        <v>141</v>
      </c>
      <c r="B87" t="s">
        <v>100</v>
      </c>
      <c r="C87">
        <v>666000000</v>
      </c>
      <c r="D87" t="str">
        <f t="shared" si="7"/>
        <v>SCBTMFPLUSCB18N29B</v>
      </c>
    </row>
    <row r="88" spans="1:4" x14ac:dyDescent="0.2">
      <c r="A88" t="s">
        <v>141</v>
      </c>
      <c r="B88" t="s">
        <v>101</v>
      </c>
      <c r="C88">
        <v>211800000</v>
      </c>
      <c r="D88" t="str">
        <f t="shared" si="7"/>
        <v>SCBTMFPLUSCB18O11A</v>
      </c>
    </row>
    <row r="89" spans="1:4" x14ac:dyDescent="0.2">
      <c r="A89" t="s">
        <v>141</v>
      </c>
      <c r="B89" t="s">
        <v>102</v>
      </c>
      <c r="C89">
        <v>663000000</v>
      </c>
      <c r="D89" t="str">
        <f t="shared" si="7"/>
        <v>SCBTMFPLUSCB18O11B</v>
      </c>
    </row>
    <row r="90" spans="1:4" x14ac:dyDescent="0.2">
      <c r="A90" t="s">
        <v>141</v>
      </c>
      <c r="B90" t="s">
        <v>103</v>
      </c>
      <c r="C90">
        <v>820000000</v>
      </c>
      <c r="D90" t="str">
        <f t="shared" si="7"/>
        <v>SCBTMFPLUSCB18O16A</v>
      </c>
    </row>
    <row r="91" spans="1:4" x14ac:dyDescent="0.2">
      <c r="A91" t="s">
        <v>141</v>
      </c>
      <c r="B91" t="s">
        <v>104</v>
      </c>
      <c r="C91">
        <v>205000000</v>
      </c>
      <c r="D91" t="str">
        <f t="shared" si="7"/>
        <v>SCBTMFPLUSCB18O18A</v>
      </c>
    </row>
    <row r="92" spans="1:4" x14ac:dyDescent="0.2">
      <c r="A92" t="s">
        <v>141</v>
      </c>
      <c r="B92" t="s">
        <v>105</v>
      </c>
      <c r="C92">
        <v>327000000</v>
      </c>
      <c r="D92" t="str">
        <f t="shared" si="7"/>
        <v>SCBTMFPLUSCB18O18B</v>
      </c>
    </row>
    <row r="93" spans="1:4" x14ac:dyDescent="0.2">
      <c r="A93" t="s">
        <v>141</v>
      </c>
      <c r="B93" t="s">
        <v>355</v>
      </c>
      <c r="C93">
        <v>570000000</v>
      </c>
      <c r="D93" t="str">
        <f t="shared" si="7"/>
        <v>SCBTMFPLUSCB18O24A</v>
      </c>
    </row>
    <row r="94" spans="1:4" x14ac:dyDescent="0.2">
      <c r="A94" t="s">
        <v>141</v>
      </c>
      <c r="B94" t="s">
        <v>106</v>
      </c>
      <c r="C94">
        <v>265000000</v>
      </c>
      <c r="D94" t="str">
        <f t="shared" si="7"/>
        <v>SCBTMFPLUSCB18O25A</v>
      </c>
    </row>
    <row r="95" spans="1:4" x14ac:dyDescent="0.2">
      <c r="A95" t="s">
        <v>141</v>
      </c>
      <c r="B95" t="s">
        <v>107</v>
      </c>
      <c r="C95">
        <v>5000000</v>
      </c>
      <c r="D95" t="str">
        <f t="shared" si="7"/>
        <v>SCBTMFPLUSCB18O25B</v>
      </c>
    </row>
    <row r="96" spans="1:4" x14ac:dyDescent="0.2">
      <c r="A96" t="s">
        <v>141</v>
      </c>
      <c r="B96" t="s">
        <v>108</v>
      </c>
      <c r="C96">
        <v>450000000</v>
      </c>
      <c r="D96" t="str">
        <f t="shared" si="7"/>
        <v>SCBTMFPLUSCB19103B</v>
      </c>
    </row>
    <row r="97" spans="1:4" x14ac:dyDescent="0.2">
      <c r="A97" t="s">
        <v>141</v>
      </c>
      <c r="B97" t="s">
        <v>870</v>
      </c>
      <c r="C97">
        <v>850000000</v>
      </c>
      <c r="D97" t="str">
        <f t="shared" si="7"/>
        <v>SCBTMFPLUSCB19110B</v>
      </c>
    </row>
    <row r="98" spans="1:4" x14ac:dyDescent="0.2">
      <c r="A98" t="s">
        <v>352</v>
      </c>
      <c r="B98" t="s">
        <v>95</v>
      </c>
      <c r="C98">
        <v>5000000</v>
      </c>
      <c r="D98" t="str">
        <f t="shared" si="7"/>
        <v>SCBRFCB18N15A</v>
      </c>
    </row>
    <row r="99" spans="1:4" x14ac:dyDescent="0.2">
      <c r="A99" t="s">
        <v>352</v>
      </c>
      <c r="B99" t="s">
        <v>101</v>
      </c>
      <c r="C99">
        <v>20000000</v>
      </c>
      <c r="D99" t="str">
        <f t="shared" si="7"/>
        <v>SCBRFCB18O11A</v>
      </c>
    </row>
    <row r="100" spans="1:4" x14ac:dyDescent="0.2">
      <c r="A100" t="s">
        <v>352</v>
      </c>
      <c r="B100" t="s">
        <v>107</v>
      </c>
      <c r="C100">
        <v>10000000</v>
      </c>
      <c r="D100" t="str">
        <f t="shared" si="7"/>
        <v>SCBRFCB18O25B</v>
      </c>
    </row>
    <row r="101" spans="1:4" x14ac:dyDescent="0.2">
      <c r="A101" t="s">
        <v>352</v>
      </c>
      <c r="B101" t="s">
        <v>491</v>
      </c>
      <c r="C101">
        <v>4000000</v>
      </c>
      <c r="D101" t="str">
        <f t="shared" si="7"/>
        <v>SCBRFSB18OA</v>
      </c>
    </row>
    <row r="102" spans="1:4" x14ac:dyDescent="0.2">
      <c r="A102" t="s">
        <v>353</v>
      </c>
      <c r="B102" t="s">
        <v>84</v>
      </c>
      <c r="C102">
        <v>40000000</v>
      </c>
      <c r="D102" t="str">
        <f t="shared" si="7"/>
        <v>SCBRM1TB18N14A</v>
      </c>
    </row>
    <row r="103" spans="1:4" x14ac:dyDescent="0.2">
      <c r="A103" t="s">
        <v>353</v>
      </c>
      <c r="B103" t="s">
        <v>88</v>
      </c>
      <c r="C103">
        <v>150000000</v>
      </c>
      <c r="D103" t="str">
        <f t="shared" si="7"/>
        <v>SCBRM1CB18D06C</v>
      </c>
    </row>
    <row r="104" spans="1:4" x14ac:dyDescent="0.2">
      <c r="A104" t="s">
        <v>353</v>
      </c>
      <c r="B104" t="s">
        <v>90</v>
      </c>
      <c r="C104">
        <v>150000000</v>
      </c>
      <c r="D104" t="str">
        <f t="shared" si="7"/>
        <v>SCBRM1CB18D13B</v>
      </c>
    </row>
    <row r="105" spans="1:4" x14ac:dyDescent="0.2">
      <c r="A105" t="s">
        <v>353</v>
      </c>
      <c r="B105" t="s">
        <v>208</v>
      </c>
      <c r="C105">
        <v>279000000</v>
      </c>
      <c r="D105" t="str">
        <f t="shared" si="7"/>
        <v>SCBRM1CB18D27B</v>
      </c>
    </row>
    <row r="106" spans="1:4" x14ac:dyDescent="0.2">
      <c r="A106" t="s">
        <v>353</v>
      </c>
      <c r="B106" t="s">
        <v>93</v>
      </c>
      <c r="C106">
        <v>129000000</v>
      </c>
      <c r="D106" t="str">
        <f t="shared" si="7"/>
        <v>SCBRM1CB18N08A</v>
      </c>
    </row>
    <row r="107" spans="1:4" x14ac:dyDescent="0.2">
      <c r="A107" t="s">
        <v>353</v>
      </c>
      <c r="B107" t="s">
        <v>94</v>
      </c>
      <c r="C107">
        <v>70000000</v>
      </c>
      <c r="D107" t="str">
        <f t="shared" si="7"/>
        <v>SCBRM1CB18N08B</v>
      </c>
    </row>
    <row r="108" spans="1:4" x14ac:dyDescent="0.2">
      <c r="A108" t="s">
        <v>353</v>
      </c>
      <c r="B108" t="s">
        <v>96</v>
      </c>
      <c r="C108">
        <v>50000000</v>
      </c>
      <c r="D108" t="str">
        <f t="shared" si="7"/>
        <v>SCBRM1CB18N15B</v>
      </c>
    </row>
    <row r="109" spans="1:4" x14ac:dyDescent="0.2">
      <c r="A109" t="s">
        <v>353</v>
      </c>
      <c r="B109" t="s">
        <v>97</v>
      </c>
      <c r="C109">
        <v>100000000</v>
      </c>
      <c r="D109" t="str">
        <f t="shared" si="7"/>
        <v>SCBRM1CB18N22A</v>
      </c>
    </row>
    <row r="110" spans="1:4" x14ac:dyDescent="0.2">
      <c r="A110" t="s">
        <v>353</v>
      </c>
      <c r="B110" t="s">
        <v>99</v>
      </c>
      <c r="C110">
        <v>200000000</v>
      </c>
      <c r="D110" t="str">
        <f t="shared" si="7"/>
        <v>SCBRM1CB18N29A</v>
      </c>
    </row>
    <row r="111" spans="1:4" x14ac:dyDescent="0.2">
      <c r="A111" t="s">
        <v>353</v>
      </c>
      <c r="B111" t="s">
        <v>101</v>
      </c>
      <c r="C111">
        <v>2000000</v>
      </c>
      <c r="D111" t="str">
        <f t="shared" si="7"/>
        <v>SCBRM1CB18O11A</v>
      </c>
    </row>
    <row r="112" spans="1:4" x14ac:dyDescent="0.2">
      <c r="A112" t="s">
        <v>353</v>
      </c>
      <c r="B112" t="s">
        <v>102</v>
      </c>
      <c r="C112">
        <v>232000000</v>
      </c>
      <c r="D112" t="str">
        <f t="shared" si="7"/>
        <v>SCBRM1CB18O11B</v>
      </c>
    </row>
    <row r="113" spans="1:4" x14ac:dyDescent="0.2">
      <c r="A113" t="s">
        <v>353</v>
      </c>
      <c r="B113" t="s">
        <v>104</v>
      </c>
      <c r="C113">
        <v>137000000</v>
      </c>
      <c r="D113" t="str">
        <f t="shared" si="7"/>
        <v>SCBRM1CB18O18A</v>
      </c>
    </row>
    <row r="114" spans="1:4" x14ac:dyDescent="0.2">
      <c r="A114" t="s">
        <v>353</v>
      </c>
      <c r="B114" t="s">
        <v>105</v>
      </c>
      <c r="C114">
        <v>143000000</v>
      </c>
      <c r="D114" t="str">
        <f t="shared" si="7"/>
        <v>SCBRM1CB18O18B</v>
      </c>
    </row>
    <row r="115" spans="1:4" x14ac:dyDescent="0.2">
      <c r="A115" t="s">
        <v>353</v>
      </c>
      <c r="B115" t="s">
        <v>355</v>
      </c>
      <c r="C115">
        <v>320000000</v>
      </c>
      <c r="D115" t="str">
        <f t="shared" si="7"/>
        <v>SCBRM1CB18O24A</v>
      </c>
    </row>
    <row r="116" spans="1:4" x14ac:dyDescent="0.2">
      <c r="A116" t="s">
        <v>353</v>
      </c>
      <c r="B116" t="s">
        <v>107</v>
      </c>
      <c r="C116">
        <v>158000000</v>
      </c>
      <c r="D116" t="str">
        <f t="shared" si="7"/>
        <v>SCBRM1CB18O25B</v>
      </c>
    </row>
    <row r="117" spans="1:4" x14ac:dyDescent="0.2">
      <c r="A117" t="s">
        <v>353</v>
      </c>
      <c r="B117" t="s">
        <v>108</v>
      </c>
      <c r="C117">
        <v>90000000</v>
      </c>
      <c r="D117" t="str">
        <f t="shared" si="7"/>
        <v>SCBRM1CB19103B</v>
      </c>
    </row>
    <row r="118" spans="1:4" x14ac:dyDescent="0.2">
      <c r="A118" t="s">
        <v>353</v>
      </c>
      <c r="B118" t="s">
        <v>870</v>
      </c>
      <c r="C118">
        <v>200000000</v>
      </c>
      <c r="D118" t="str">
        <f t="shared" si="7"/>
        <v>SCBRM1CB19110B</v>
      </c>
    </row>
    <row r="119" spans="1:4" x14ac:dyDescent="0.2">
      <c r="A119" t="s">
        <v>353</v>
      </c>
      <c r="B119" t="s">
        <v>544</v>
      </c>
      <c r="C119">
        <v>50000000</v>
      </c>
      <c r="D119" t="str">
        <f t="shared" si="7"/>
        <v>SCBRM1CB19314A</v>
      </c>
    </row>
    <row r="120" spans="1:4" x14ac:dyDescent="0.2">
      <c r="A120" t="s">
        <v>353</v>
      </c>
      <c r="B120" t="s">
        <v>545</v>
      </c>
      <c r="C120">
        <v>50000000</v>
      </c>
      <c r="D120" t="str">
        <f t="shared" si="7"/>
        <v>SCBRM1BOT192A</v>
      </c>
    </row>
    <row r="121" spans="1:4" x14ac:dyDescent="0.2">
      <c r="A121" t="s">
        <v>353</v>
      </c>
      <c r="B121" t="s">
        <v>546</v>
      </c>
      <c r="C121">
        <v>200000000</v>
      </c>
      <c r="D121" t="str">
        <f t="shared" si="7"/>
        <v>SCBRM1BOT199A</v>
      </c>
    </row>
    <row r="122" spans="1:4" x14ac:dyDescent="0.2">
      <c r="A122" t="s">
        <v>353</v>
      </c>
      <c r="B122" t="s">
        <v>547</v>
      </c>
      <c r="C122">
        <v>110000000</v>
      </c>
      <c r="D122" t="str">
        <f t="shared" si="7"/>
        <v>SCBRM1BOT209A</v>
      </c>
    </row>
    <row r="123" spans="1:4" x14ac:dyDescent="0.2">
      <c r="A123" t="s">
        <v>353</v>
      </c>
      <c r="B123" t="s">
        <v>548</v>
      </c>
      <c r="C123">
        <v>90000000</v>
      </c>
      <c r="D123" t="str">
        <f t="shared" si="7"/>
        <v>SCBRM1LB206A</v>
      </c>
    </row>
    <row r="124" spans="1:4" x14ac:dyDescent="0.2">
      <c r="A124" t="s">
        <v>354</v>
      </c>
      <c r="B124" t="s">
        <v>314</v>
      </c>
      <c r="C124">
        <v>83000000</v>
      </c>
      <c r="D124" t="str">
        <f t="shared" si="7"/>
        <v>SCBRM2CB18D06A</v>
      </c>
    </row>
    <row r="125" spans="1:4" x14ac:dyDescent="0.2">
      <c r="A125" t="s">
        <v>354</v>
      </c>
      <c r="B125" t="s">
        <v>207</v>
      </c>
      <c r="C125">
        <v>10000000</v>
      </c>
      <c r="D125" t="str">
        <f t="shared" si="7"/>
        <v>SCBRM2CB18D13A</v>
      </c>
    </row>
    <row r="126" spans="1:4" x14ac:dyDescent="0.2">
      <c r="A126" t="s">
        <v>354</v>
      </c>
      <c r="B126" t="s">
        <v>595</v>
      </c>
      <c r="C126">
        <v>120000000</v>
      </c>
      <c r="D126" t="str">
        <f t="shared" si="7"/>
        <v>SCBRM2CB18D20A</v>
      </c>
    </row>
    <row r="127" spans="1:4" x14ac:dyDescent="0.2">
      <c r="A127" t="s">
        <v>354</v>
      </c>
      <c r="B127" t="s">
        <v>596</v>
      </c>
      <c r="C127">
        <v>4000000</v>
      </c>
      <c r="D127" t="str">
        <f t="shared" si="7"/>
        <v>SCBRM2CB18D27A</v>
      </c>
    </row>
    <row r="128" spans="1:4" x14ac:dyDescent="0.2">
      <c r="A128" t="s">
        <v>354</v>
      </c>
      <c r="B128" t="s">
        <v>208</v>
      </c>
      <c r="C128">
        <v>462000000</v>
      </c>
      <c r="D128" t="str">
        <f t="shared" si="7"/>
        <v>SCBRM2CB18D27B</v>
      </c>
    </row>
    <row r="129" spans="1:4" x14ac:dyDescent="0.2">
      <c r="A129" t="s">
        <v>354</v>
      </c>
      <c r="B129" t="s">
        <v>209</v>
      </c>
      <c r="C129">
        <v>100000000</v>
      </c>
      <c r="D129" t="str">
        <f t="shared" si="7"/>
        <v>SCBRM2CB18N01A</v>
      </c>
    </row>
    <row r="130" spans="1:4" x14ac:dyDescent="0.2">
      <c r="A130" t="s">
        <v>354</v>
      </c>
      <c r="B130" t="s">
        <v>99</v>
      </c>
      <c r="C130">
        <v>6000000</v>
      </c>
      <c r="D130" t="str">
        <f t="shared" ref="D130:D193" si="8">A130&amp;B130</f>
        <v>SCBRM2CB18N29A</v>
      </c>
    </row>
    <row r="131" spans="1:4" x14ac:dyDescent="0.2">
      <c r="A131" t="s">
        <v>354</v>
      </c>
      <c r="B131" t="s">
        <v>101</v>
      </c>
      <c r="C131">
        <v>74000000</v>
      </c>
      <c r="D131" t="str">
        <f t="shared" si="8"/>
        <v>SCBRM2CB18O11A</v>
      </c>
    </row>
    <row r="132" spans="1:4" x14ac:dyDescent="0.2">
      <c r="A132" t="s">
        <v>354</v>
      </c>
      <c r="B132" t="s">
        <v>103</v>
      </c>
      <c r="C132">
        <v>150000000</v>
      </c>
      <c r="D132" t="str">
        <f t="shared" si="8"/>
        <v>SCBRM2CB18O16A</v>
      </c>
    </row>
    <row r="133" spans="1:4" x14ac:dyDescent="0.2">
      <c r="A133" t="s">
        <v>354</v>
      </c>
      <c r="B133" t="s">
        <v>104</v>
      </c>
      <c r="C133">
        <v>60000000</v>
      </c>
      <c r="D133" t="str">
        <f t="shared" si="8"/>
        <v>SCBRM2CB18O18A</v>
      </c>
    </row>
    <row r="134" spans="1:4" x14ac:dyDescent="0.2">
      <c r="A134" t="s">
        <v>354</v>
      </c>
      <c r="B134" t="s">
        <v>210</v>
      </c>
      <c r="C134">
        <v>536000000</v>
      </c>
      <c r="D134" t="str">
        <f t="shared" si="8"/>
        <v>SCBRM2CB19103A</v>
      </c>
    </row>
    <row r="135" spans="1:4" x14ac:dyDescent="0.2">
      <c r="A135" t="s">
        <v>354</v>
      </c>
      <c r="B135" t="s">
        <v>597</v>
      </c>
      <c r="C135">
        <v>37000000</v>
      </c>
      <c r="D135" t="str">
        <f t="shared" si="8"/>
        <v>SCBRM2CB19110A</v>
      </c>
    </row>
    <row r="136" spans="1:4" x14ac:dyDescent="0.2">
      <c r="A136" t="s">
        <v>354</v>
      </c>
      <c r="B136" t="s">
        <v>598</v>
      </c>
      <c r="C136">
        <v>87000000</v>
      </c>
      <c r="D136" t="str">
        <f t="shared" si="8"/>
        <v>SCBRM2CB19131A</v>
      </c>
    </row>
    <row r="137" spans="1:4" x14ac:dyDescent="0.2">
      <c r="A137" t="s">
        <v>354</v>
      </c>
      <c r="B137" t="s">
        <v>599</v>
      </c>
      <c r="C137">
        <v>69000000</v>
      </c>
      <c r="D137" t="str">
        <f t="shared" si="8"/>
        <v>SCBRM2CB19214A</v>
      </c>
    </row>
    <row r="138" spans="1:4" x14ac:dyDescent="0.2">
      <c r="A138" t="s">
        <v>354</v>
      </c>
      <c r="B138" t="s">
        <v>600</v>
      </c>
      <c r="C138">
        <v>127000000</v>
      </c>
      <c r="D138" t="str">
        <f t="shared" si="8"/>
        <v>SCBRM2CB19228A</v>
      </c>
    </row>
    <row r="139" spans="1:4" x14ac:dyDescent="0.2">
      <c r="A139" t="s">
        <v>354</v>
      </c>
      <c r="B139" t="s">
        <v>601</v>
      </c>
      <c r="C139">
        <v>18000000</v>
      </c>
      <c r="D139" t="str">
        <f t="shared" si="8"/>
        <v>SCBRM2CB19307A</v>
      </c>
    </row>
    <row r="140" spans="1:4" x14ac:dyDescent="0.2">
      <c r="A140" t="s">
        <v>354</v>
      </c>
      <c r="B140" t="s">
        <v>544</v>
      </c>
      <c r="C140">
        <v>253000000</v>
      </c>
      <c r="D140" t="str">
        <f t="shared" si="8"/>
        <v>SCBRM2CB19314A</v>
      </c>
    </row>
    <row r="141" spans="1:4" x14ac:dyDescent="0.2">
      <c r="A141" t="s">
        <v>354</v>
      </c>
      <c r="B141" t="s">
        <v>602</v>
      </c>
      <c r="C141">
        <v>87000000</v>
      </c>
      <c r="D141" t="str">
        <f t="shared" si="8"/>
        <v>SCBRM2CB19321A</v>
      </c>
    </row>
    <row r="142" spans="1:4" x14ac:dyDescent="0.2">
      <c r="A142" t="s">
        <v>354</v>
      </c>
      <c r="B142" t="s">
        <v>603</v>
      </c>
      <c r="C142">
        <v>261000000</v>
      </c>
      <c r="D142" t="str">
        <f t="shared" si="8"/>
        <v>SCBRM2CB19328A</v>
      </c>
    </row>
    <row r="143" spans="1:4" x14ac:dyDescent="0.2">
      <c r="A143" t="s">
        <v>354</v>
      </c>
      <c r="B143" t="s">
        <v>604</v>
      </c>
      <c r="C143">
        <v>194000000</v>
      </c>
      <c r="D143" t="str">
        <f t="shared" si="8"/>
        <v>SCBRM2CB19404A</v>
      </c>
    </row>
    <row r="144" spans="1:4" x14ac:dyDescent="0.2">
      <c r="A144" t="s">
        <v>354</v>
      </c>
      <c r="B144" t="s">
        <v>605</v>
      </c>
      <c r="C144">
        <v>133000000</v>
      </c>
      <c r="D144" t="str">
        <f t="shared" si="8"/>
        <v>SCBRM2CB19606A</v>
      </c>
    </row>
    <row r="145" spans="1:4" x14ac:dyDescent="0.2">
      <c r="A145" t="s">
        <v>354</v>
      </c>
      <c r="B145" t="s">
        <v>606</v>
      </c>
      <c r="C145">
        <v>624000000</v>
      </c>
      <c r="D145" t="str">
        <f t="shared" si="8"/>
        <v>SCBRM2CB19905A</v>
      </c>
    </row>
    <row r="146" spans="1:4" x14ac:dyDescent="0.2">
      <c r="A146" t="s">
        <v>354</v>
      </c>
      <c r="B146" t="s">
        <v>607</v>
      </c>
      <c r="C146">
        <v>30000000</v>
      </c>
      <c r="D146" t="str">
        <f t="shared" si="8"/>
        <v>SCBRM2BOT193A</v>
      </c>
    </row>
    <row r="147" spans="1:4" x14ac:dyDescent="0.2">
      <c r="A147" t="s">
        <v>354</v>
      </c>
      <c r="B147" t="s">
        <v>546</v>
      </c>
      <c r="C147">
        <v>240000000</v>
      </c>
      <c r="D147" t="str">
        <f t="shared" si="8"/>
        <v>SCBRM2BOT199A</v>
      </c>
    </row>
    <row r="148" spans="1:4" x14ac:dyDescent="0.2">
      <c r="A148" t="s">
        <v>354</v>
      </c>
      <c r="B148" t="s">
        <v>608</v>
      </c>
      <c r="C148">
        <v>393000000</v>
      </c>
      <c r="D148" t="str">
        <f t="shared" si="8"/>
        <v>SCBRM2BOT203A</v>
      </c>
    </row>
    <row r="149" spans="1:4" x14ac:dyDescent="0.2">
      <c r="A149" t="s">
        <v>354</v>
      </c>
      <c r="B149" t="s">
        <v>547</v>
      </c>
      <c r="C149">
        <v>344500000</v>
      </c>
      <c r="D149" t="str">
        <f t="shared" si="8"/>
        <v>SCBRM2BOT209A</v>
      </c>
    </row>
    <row r="150" spans="1:4" x14ac:dyDescent="0.2">
      <c r="A150" t="s">
        <v>354</v>
      </c>
      <c r="B150" t="s">
        <v>609</v>
      </c>
      <c r="C150">
        <v>76000000</v>
      </c>
      <c r="D150" t="str">
        <f t="shared" si="8"/>
        <v>SCBRM2ILB217A</v>
      </c>
    </row>
    <row r="151" spans="1:4" x14ac:dyDescent="0.2">
      <c r="A151" t="s">
        <v>354</v>
      </c>
      <c r="B151" t="s">
        <v>610</v>
      </c>
      <c r="C151">
        <v>142000000</v>
      </c>
      <c r="D151" t="str">
        <f t="shared" si="8"/>
        <v>SCBRM2LB226A</v>
      </c>
    </row>
    <row r="152" spans="1:4" x14ac:dyDescent="0.2">
      <c r="A152" t="s">
        <v>354</v>
      </c>
      <c r="B152" t="s">
        <v>611</v>
      </c>
      <c r="C152">
        <v>112500000</v>
      </c>
      <c r="D152" t="str">
        <f t="shared" si="8"/>
        <v>SCBRM2LB22DA</v>
      </c>
    </row>
    <row r="153" spans="1:4" x14ac:dyDescent="0.2">
      <c r="A153" t="s">
        <v>354</v>
      </c>
      <c r="B153" t="s">
        <v>612</v>
      </c>
      <c r="C153">
        <v>57000000</v>
      </c>
      <c r="D153" t="str">
        <f t="shared" si="8"/>
        <v>SCBRM2LB23DA</v>
      </c>
    </row>
    <row r="154" spans="1:4" x14ac:dyDescent="0.2">
      <c r="A154" t="s">
        <v>350</v>
      </c>
      <c r="B154" t="s">
        <v>208</v>
      </c>
      <c r="C154">
        <v>1223000000</v>
      </c>
      <c r="D154" t="str">
        <f t="shared" si="8"/>
        <v>SCBFPFUNDCB18D27B</v>
      </c>
    </row>
    <row r="155" spans="1:4" x14ac:dyDescent="0.2">
      <c r="A155" t="s">
        <v>350</v>
      </c>
      <c r="B155" t="s">
        <v>97</v>
      </c>
      <c r="C155">
        <v>71000000</v>
      </c>
      <c r="D155" t="str">
        <f t="shared" si="8"/>
        <v>SCBFPFUNDCB18N22A</v>
      </c>
    </row>
    <row r="156" spans="1:4" x14ac:dyDescent="0.2">
      <c r="A156" t="s">
        <v>350</v>
      </c>
      <c r="B156" t="s">
        <v>104</v>
      </c>
      <c r="C156">
        <v>39000000</v>
      </c>
      <c r="D156" t="str">
        <f t="shared" si="8"/>
        <v>SCBFPFUNDCB18O18A</v>
      </c>
    </row>
    <row r="157" spans="1:4" x14ac:dyDescent="0.2">
      <c r="A157" t="s">
        <v>350</v>
      </c>
      <c r="B157" t="s">
        <v>210</v>
      </c>
      <c r="C157">
        <v>33000000</v>
      </c>
      <c r="D157" t="str">
        <f t="shared" si="8"/>
        <v>SCBFPFUNDCB19103A</v>
      </c>
    </row>
    <row r="158" spans="1:4" x14ac:dyDescent="0.2">
      <c r="A158" t="s">
        <v>350</v>
      </c>
      <c r="B158" t="s">
        <v>599</v>
      </c>
      <c r="C158">
        <v>119000000</v>
      </c>
      <c r="D158" t="str">
        <f t="shared" si="8"/>
        <v>SCBFPFUNDCB19214A</v>
      </c>
    </row>
    <row r="159" spans="1:4" x14ac:dyDescent="0.2">
      <c r="A159" t="s">
        <v>350</v>
      </c>
      <c r="B159" t="s">
        <v>600</v>
      </c>
      <c r="C159">
        <v>694000000</v>
      </c>
      <c r="D159" t="str">
        <f t="shared" si="8"/>
        <v>SCBFPFUNDCB19228A</v>
      </c>
    </row>
    <row r="160" spans="1:4" x14ac:dyDescent="0.2">
      <c r="A160" t="s">
        <v>350</v>
      </c>
      <c r="B160" t="s">
        <v>601</v>
      </c>
      <c r="C160">
        <v>47000000</v>
      </c>
      <c r="D160" t="str">
        <f t="shared" si="8"/>
        <v>SCBFPFUNDCB19307A</v>
      </c>
    </row>
    <row r="161" spans="1:4" x14ac:dyDescent="0.2">
      <c r="A161" t="s">
        <v>350</v>
      </c>
      <c r="B161" t="s">
        <v>602</v>
      </c>
      <c r="C161">
        <v>89000000</v>
      </c>
      <c r="D161" t="str">
        <f t="shared" si="8"/>
        <v>SCBFPFUNDCB19321A</v>
      </c>
    </row>
    <row r="162" spans="1:4" x14ac:dyDescent="0.2">
      <c r="A162" t="s">
        <v>350</v>
      </c>
      <c r="B162" t="s">
        <v>603</v>
      </c>
      <c r="C162">
        <v>139000000</v>
      </c>
      <c r="D162" t="str">
        <f t="shared" si="8"/>
        <v>SCBFPFUNDCB19328A</v>
      </c>
    </row>
    <row r="163" spans="1:4" x14ac:dyDescent="0.2">
      <c r="A163" t="s">
        <v>350</v>
      </c>
      <c r="B163" t="s">
        <v>604</v>
      </c>
      <c r="C163">
        <v>971000000</v>
      </c>
      <c r="D163" t="str">
        <f t="shared" si="8"/>
        <v>SCBFPFUNDCB19404A</v>
      </c>
    </row>
    <row r="164" spans="1:4" x14ac:dyDescent="0.2">
      <c r="A164" t="s">
        <v>350</v>
      </c>
      <c r="B164" t="s">
        <v>606</v>
      </c>
      <c r="C164">
        <v>622000000</v>
      </c>
      <c r="D164" t="str">
        <f t="shared" si="8"/>
        <v>SCBFPFUNDCB19905A</v>
      </c>
    </row>
    <row r="165" spans="1:4" x14ac:dyDescent="0.2">
      <c r="A165" t="s">
        <v>350</v>
      </c>
      <c r="B165" t="s">
        <v>607</v>
      </c>
      <c r="C165">
        <v>744000000</v>
      </c>
      <c r="D165" t="str">
        <f t="shared" si="8"/>
        <v>SCBFPFUNDBOT193A</v>
      </c>
    </row>
    <row r="166" spans="1:4" x14ac:dyDescent="0.2">
      <c r="A166" t="s">
        <v>350</v>
      </c>
      <c r="B166" t="s">
        <v>650</v>
      </c>
      <c r="C166">
        <v>198000000</v>
      </c>
      <c r="D166" t="str">
        <f t="shared" si="8"/>
        <v>SCBFPFUNDBOT202B</v>
      </c>
    </row>
    <row r="167" spans="1:4" x14ac:dyDescent="0.2">
      <c r="A167" t="s">
        <v>350</v>
      </c>
      <c r="B167" t="s">
        <v>608</v>
      </c>
      <c r="C167">
        <v>898000000</v>
      </c>
      <c r="D167" t="str">
        <f t="shared" si="8"/>
        <v>SCBFPFUNDBOT203A</v>
      </c>
    </row>
    <row r="168" spans="1:4" x14ac:dyDescent="0.2">
      <c r="A168" t="s">
        <v>350</v>
      </c>
      <c r="B168" t="s">
        <v>609</v>
      </c>
      <c r="C168">
        <v>666000000</v>
      </c>
      <c r="D168" t="str">
        <f t="shared" si="8"/>
        <v>SCBFPFUNDILB217A</v>
      </c>
    </row>
    <row r="169" spans="1:4" x14ac:dyDescent="0.2">
      <c r="A169" t="s">
        <v>350</v>
      </c>
      <c r="B169" t="s">
        <v>651</v>
      </c>
      <c r="C169">
        <v>778000000</v>
      </c>
      <c r="D169" t="str">
        <f t="shared" si="8"/>
        <v>SCBFPFUNDLB191A</v>
      </c>
    </row>
    <row r="170" spans="1:4" x14ac:dyDescent="0.2">
      <c r="A170" t="s">
        <v>350</v>
      </c>
      <c r="B170" t="s">
        <v>652</v>
      </c>
      <c r="C170">
        <v>159260000</v>
      </c>
      <c r="D170" t="str">
        <f t="shared" si="8"/>
        <v>SCBFPFUNDLB193A</v>
      </c>
    </row>
    <row r="171" spans="1:4" x14ac:dyDescent="0.2">
      <c r="A171" t="s">
        <v>350</v>
      </c>
      <c r="B171" t="s">
        <v>548</v>
      </c>
      <c r="C171">
        <v>3511000000</v>
      </c>
      <c r="D171" t="str">
        <f t="shared" si="8"/>
        <v>SCBFPFUNDLB206A</v>
      </c>
    </row>
    <row r="172" spans="1:4" x14ac:dyDescent="0.2">
      <c r="A172" t="s">
        <v>350</v>
      </c>
      <c r="B172" t="s">
        <v>653</v>
      </c>
      <c r="C172">
        <v>583000000</v>
      </c>
      <c r="D172" t="str">
        <f t="shared" si="8"/>
        <v>SCBFPFUNDLB21DA</v>
      </c>
    </row>
    <row r="173" spans="1:4" x14ac:dyDescent="0.2">
      <c r="A173" t="s">
        <v>350</v>
      </c>
      <c r="B173" t="s">
        <v>610</v>
      </c>
      <c r="C173">
        <v>1695000000</v>
      </c>
      <c r="D173" t="str">
        <f t="shared" si="8"/>
        <v>SCBFPFUNDLB226A</v>
      </c>
    </row>
    <row r="174" spans="1:4" x14ac:dyDescent="0.2">
      <c r="A174" t="s">
        <v>350</v>
      </c>
      <c r="B174" t="s">
        <v>611</v>
      </c>
      <c r="C174">
        <v>237000000</v>
      </c>
      <c r="D174" t="str">
        <f t="shared" si="8"/>
        <v>SCBFPFUNDLB22DA</v>
      </c>
    </row>
    <row r="175" spans="1:4" x14ac:dyDescent="0.2">
      <c r="A175" t="s">
        <v>350</v>
      </c>
      <c r="B175" t="s">
        <v>612</v>
      </c>
      <c r="C175">
        <v>206000000</v>
      </c>
      <c r="D175" t="str">
        <f t="shared" si="8"/>
        <v>SCBFPFUNDLB23DA</v>
      </c>
    </row>
    <row r="176" spans="1:4" x14ac:dyDescent="0.2">
      <c r="A176" t="s">
        <v>351</v>
      </c>
      <c r="B176" t="s">
        <v>314</v>
      </c>
      <c r="C176">
        <v>401000000</v>
      </c>
      <c r="D176" t="str">
        <f t="shared" si="8"/>
        <v>SCBPLUSCB18D06A</v>
      </c>
    </row>
    <row r="177" spans="1:4" x14ac:dyDescent="0.2">
      <c r="A177" t="s">
        <v>351</v>
      </c>
      <c r="B177" t="s">
        <v>88</v>
      </c>
      <c r="C177">
        <v>190000000</v>
      </c>
      <c r="D177" t="str">
        <f t="shared" si="8"/>
        <v>SCBPLUSCB18D06C</v>
      </c>
    </row>
    <row r="178" spans="1:4" x14ac:dyDescent="0.2">
      <c r="A178" t="s">
        <v>351</v>
      </c>
      <c r="B178" t="s">
        <v>207</v>
      </c>
      <c r="C178">
        <v>10000000</v>
      </c>
      <c r="D178" t="str">
        <f t="shared" si="8"/>
        <v>SCBPLUSCB18D13A</v>
      </c>
    </row>
    <row r="179" spans="1:4" x14ac:dyDescent="0.2">
      <c r="A179" t="s">
        <v>351</v>
      </c>
      <c r="B179" t="s">
        <v>90</v>
      </c>
      <c r="C179">
        <v>70000000</v>
      </c>
      <c r="D179" t="str">
        <f t="shared" si="8"/>
        <v>SCBPLUSCB18D13B</v>
      </c>
    </row>
    <row r="180" spans="1:4" x14ac:dyDescent="0.2">
      <c r="A180" t="s">
        <v>351</v>
      </c>
      <c r="B180" t="s">
        <v>208</v>
      </c>
      <c r="C180">
        <v>30000000</v>
      </c>
      <c r="D180" t="str">
        <f t="shared" si="8"/>
        <v>SCBPLUSCB18D27B</v>
      </c>
    </row>
    <row r="181" spans="1:4" x14ac:dyDescent="0.2">
      <c r="A181" t="s">
        <v>351</v>
      </c>
      <c r="B181" t="s">
        <v>209</v>
      </c>
      <c r="C181">
        <v>196000000</v>
      </c>
      <c r="D181" t="str">
        <f t="shared" si="8"/>
        <v>SCBPLUSCB18N01A</v>
      </c>
    </row>
    <row r="182" spans="1:4" x14ac:dyDescent="0.2">
      <c r="A182" t="s">
        <v>351</v>
      </c>
      <c r="B182" t="s">
        <v>93</v>
      </c>
      <c r="C182">
        <v>425000000</v>
      </c>
      <c r="D182" t="str">
        <f t="shared" si="8"/>
        <v>SCBPLUSCB18N08A</v>
      </c>
    </row>
    <row r="183" spans="1:4" x14ac:dyDescent="0.2">
      <c r="A183" t="s">
        <v>351</v>
      </c>
      <c r="B183" t="s">
        <v>95</v>
      </c>
      <c r="C183">
        <v>160000000</v>
      </c>
      <c r="D183" t="str">
        <f t="shared" si="8"/>
        <v>SCBPLUSCB18N15A</v>
      </c>
    </row>
    <row r="184" spans="1:4" x14ac:dyDescent="0.2">
      <c r="A184" t="s">
        <v>351</v>
      </c>
      <c r="B184" t="s">
        <v>97</v>
      </c>
      <c r="C184">
        <v>280000000</v>
      </c>
      <c r="D184" t="str">
        <f t="shared" si="8"/>
        <v>SCBPLUSCB18N22A</v>
      </c>
    </row>
    <row r="185" spans="1:4" x14ac:dyDescent="0.2">
      <c r="A185" t="s">
        <v>351</v>
      </c>
      <c r="B185" t="s">
        <v>99</v>
      </c>
      <c r="C185">
        <v>90000000</v>
      </c>
      <c r="D185" t="str">
        <f t="shared" si="8"/>
        <v>SCBPLUSCB18N29A</v>
      </c>
    </row>
    <row r="186" spans="1:4" x14ac:dyDescent="0.2">
      <c r="A186" t="s">
        <v>351</v>
      </c>
      <c r="B186" t="s">
        <v>103</v>
      </c>
      <c r="C186">
        <v>50000000</v>
      </c>
      <c r="D186" t="str">
        <f t="shared" si="8"/>
        <v>SCBPLUSCB18O16A</v>
      </c>
    </row>
    <row r="187" spans="1:4" x14ac:dyDescent="0.2">
      <c r="A187" t="s">
        <v>351</v>
      </c>
      <c r="B187" t="s">
        <v>104</v>
      </c>
      <c r="C187">
        <v>10000000</v>
      </c>
      <c r="D187" t="str">
        <f t="shared" si="8"/>
        <v>SCBPLUSCB18O18A</v>
      </c>
    </row>
    <row r="188" spans="1:4" x14ac:dyDescent="0.2">
      <c r="A188" t="s">
        <v>351</v>
      </c>
      <c r="B188" t="s">
        <v>105</v>
      </c>
      <c r="C188">
        <v>22000000</v>
      </c>
      <c r="D188" t="str">
        <f t="shared" si="8"/>
        <v>SCBPLUSCB18O18B</v>
      </c>
    </row>
    <row r="189" spans="1:4" x14ac:dyDescent="0.2">
      <c r="A189" t="s">
        <v>351</v>
      </c>
      <c r="B189" t="s">
        <v>355</v>
      </c>
      <c r="C189">
        <v>120000000</v>
      </c>
      <c r="D189" t="str">
        <f t="shared" si="8"/>
        <v>SCBPLUSCB18O24A</v>
      </c>
    </row>
    <row r="190" spans="1:4" x14ac:dyDescent="0.2">
      <c r="A190" t="s">
        <v>351</v>
      </c>
      <c r="B190" t="s">
        <v>107</v>
      </c>
      <c r="C190">
        <v>180000000</v>
      </c>
      <c r="D190" t="str">
        <f t="shared" si="8"/>
        <v>SCBPLUSCB18O25B</v>
      </c>
    </row>
    <row r="191" spans="1:4" x14ac:dyDescent="0.2">
      <c r="A191" t="s">
        <v>351</v>
      </c>
      <c r="B191" t="s">
        <v>210</v>
      </c>
      <c r="C191">
        <v>25000000</v>
      </c>
      <c r="D191" t="str">
        <f t="shared" si="8"/>
        <v>SCBPLUSCB19103A</v>
      </c>
    </row>
    <row r="192" spans="1:4" x14ac:dyDescent="0.2">
      <c r="A192" t="s">
        <v>351</v>
      </c>
      <c r="B192" t="s">
        <v>785</v>
      </c>
      <c r="C192">
        <v>40000000</v>
      </c>
      <c r="D192" t="str">
        <f t="shared" si="8"/>
        <v>SCBPLUSCB19221A</v>
      </c>
    </row>
    <row r="193" spans="1:4" x14ac:dyDescent="0.2">
      <c r="A193" t="s">
        <v>351</v>
      </c>
      <c r="B193" t="s">
        <v>600</v>
      </c>
      <c r="C193">
        <v>90000000</v>
      </c>
      <c r="D193" t="str">
        <f t="shared" si="8"/>
        <v>SCBPLUSCB19228A</v>
      </c>
    </row>
    <row r="194" spans="1:4" x14ac:dyDescent="0.2">
      <c r="A194" t="s">
        <v>351</v>
      </c>
      <c r="B194" t="s">
        <v>601</v>
      </c>
      <c r="C194">
        <v>64000000</v>
      </c>
      <c r="D194" t="str">
        <f t="shared" ref="D194:D218" si="9">A194&amp;B194</f>
        <v>SCBPLUSCB19307A</v>
      </c>
    </row>
    <row r="195" spans="1:4" x14ac:dyDescent="0.2">
      <c r="A195" t="s">
        <v>351</v>
      </c>
      <c r="B195" t="s">
        <v>544</v>
      </c>
      <c r="C195">
        <v>757000000</v>
      </c>
      <c r="D195" t="str">
        <f t="shared" si="9"/>
        <v>SCBPLUSCB19314A</v>
      </c>
    </row>
    <row r="196" spans="1:4" x14ac:dyDescent="0.2">
      <c r="A196" t="s">
        <v>351</v>
      </c>
      <c r="B196" t="s">
        <v>602</v>
      </c>
      <c r="C196">
        <v>115000000</v>
      </c>
      <c r="D196" t="str">
        <f t="shared" si="9"/>
        <v>SCBPLUSCB19321A</v>
      </c>
    </row>
    <row r="197" spans="1:4" x14ac:dyDescent="0.2">
      <c r="A197" t="s">
        <v>351</v>
      </c>
      <c r="B197" t="s">
        <v>603</v>
      </c>
      <c r="C197">
        <v>234000000</v>
      </c>
      <c r="D197" t="str">
        <f t="shared" si="9"/>
        <v>SCBPLUSCB19328A</v>
      </c>
    </row>
    <row r="198" spans="1:4" x14ac:dyDescent="0.2">
      <c r="A198" t="s">
        <v>351</v>
      </c>
      <c r="B198" t="s">
        <v>604</v>
      </c>
      <c r="C198">
        <v>50000000</v>
      </c>
      <c r="D198" t="str">
        <f t="shared" si="9"/>
        <v>SCBPLUSCB19404A</v>
      </c>
    </row>
    <row r="199" spans="1:4" x14ac:dyDescent="0.2">
      <c r="A199" t="s">
        <v>351</v>
      </c>
      <c r="B199" t="s">
        <v>890</v>
      </c>
      <c r="C199">
        <v>200000000</v>
      </c>
      <c r="D199" t="str">
        <f t="shared" si="9"/>
        <v>SCBPLUSCB19411A</v>
      </c>
    </row>
    <row r="200" spans="1:4" x14ac:dyDescent="0.2">
      <c r="A200" t="s">
        <v>351</v>
      </c>
      <c r="B200" t="s">
        <v>605</v>
      </c>
      <c r="C200">
        <v>170000000</v>
      </c>
      <c r="D200" t="str">
        <f t="shared" si="9"/>
        <v>SCBPLUSCB19606A</v>
      </c>
    </row>
    <row r="201" spans="1:4" x14ac:dyDescent="0.2">
      <c r="A201" t="s">
        <v>351</v>
      </c>
      <c r="B201" t="s">
        <v>606</v>
      </c>
      <c r="C201">
        <v>161000000</v>
      </c>
      <c r="D201" t="str">
        <f t="shared" si="9"/>
        <v>SCBPLUSCB19905A</v>
      </c>
    </row>
    <row r="202" spans="1:4" x14ac:dyDescent="0.2">
      <c r="A202" t="s">
        <v>351</v>
      </c>
      <c r="B202" t="s">
        <v>607</v>
      </c>
      <c r="C202">
        <v>145000000</v>
      </c>
      <c r="D202" t="str">
        <f t="shared" si="9"/>
        <v>SCBPLUSBOT193A</v>
      </c>
    </row>
    <row r="203" spans="1:4" x14ac:dyDescent="0.2">
      <c r="A203" t="s">
        <v>351</v>
      </c>
      <c r="B203" t="s">
        <v>608</v>
      </c>
      <c r="C203">
        <v>50000000</v>
      </c>
      <c r="D203" t="str">
        <f t="shared" si="9"/>
        <v>SCBPLUSBOT203A</v>
      </c>
    </row>
    <row r="204" spans="1:4" x14ac:dyDescent="0.2">
      <c r="A204" t="s">
        <v>351</v>
      </c>
      <c r="B204" t="s">
        <v>786</v>
      </c>
      <c r="C204">
        <v>180000000</v>
      </c>
      <c r="D204" t="str">
        <f t="shared" si="9"/>
        <v>SCBPLUSBOT208A</v>
      </c>
    </row>
    <row r="205" spans="1:4" x14ac:dyDescent="0.2">
      <c r="A205" t="s">
        <v>351</v>
      </c>
      <c r="B205" t="s">
        <v>547</v>
      </c>
      <c r="C205">
        <v>280000000</v>
      </c>
      <c r="D205" t="str">
        <f t="shared" si="9"/>
        <v>SCBPLUSBOT209A</v>
      </c>
    </row>
    <row r="206" spans="1:4" x14ac:dyDescent="0.2">
      <c r="A206" t="s">
        <v>351</v>
      </c>
      <c r="B206" t="s">
        <v>548</v>
      </c>
      <c r="C206">
        <v>128000000</v>
      </c>
      <c r="D206" t="str">
        <f t="shared" si="9"/>
        <v>SCBPLUSLB206A</v>
      </c>
    </row>
    <row r="207" spans="1:4" x14ac:dyDescent="0.2">
      <c r="A207" t="s">
        <v>351</v>
      </c>
      <c r="B207" t="s">
        <v>653</v>
      </c>
      <c r="C207">
        <v>67000000</v>
      </c>
      <c r="D207" t="str">
        <f t="shared" si="9"/>
        <v>SCBPLUSLB21DA</v>
      </c>
    </row>
    <row r="208" spans="1:4" x14ac:dyDescent="0.2">
      <c r="A208" t="s">
        <v>351</v>
      </c>
      <c r="B208" t="s">
        <v>611</v>
      </c>
      <c r="C208">
        <v>390000000</v>
      </c>
      <c r="D208" t="str">
        <f t="shared" si="9"/>
        <v>SCBPLUSLB22DA</v>
      </c>
    </row>
    <row r="209" spans="1:4" x14ac:dyDescent="0.2">
      <c r="A209" t="s">
        <v>351</v>
      </c>
      <c r="B209" t="s">
        <v>612</v>
      </c>
      <c r="C209">
        <v>127000000</v>
      </c>
      <c r="D209" t="str">
        <f t="shared" si="9"/>
        <v>SCBPLUSLB23DA</v>
      </c>
    </row>
    <row r="210" spans="1:4" x14ac:dyDescent="0.2">
      <c r="A210" t="s">
        <v>349</v>
      </c>
      <c r="B210" t="s">
        <v>596</v>
      </c>
      <c r="C210">
        <v>80000000</v>
      </c>
      <c r="D210" t="str">
        <f t="shared" si="9"/>
        <v>SCBFIXEDCB18D27A</v>
      </c>
    </row>
    <row r="211" spans="1:4" x14ac:dyDescent="0.2">
      <c r="A211" t="s">
        <v>349</v>
      </c>
      <c r="B211" t="s">
        <v>105</v>
      </c>
      <c r="C211">
        <v>65000000</v>
      </c>
      <c r="D211" t="str">
        <f t="shared" si="9"/>
        <v>SCBFIXEDCB18O18B</v>
      </c>
    </row>
    <row r="212" spans="1:4" x14ac:dyDescent="0.2">
      <c r="A212" t="s">
        <v>349</v>
      </c>
      <c r="B212" t="s">
        <v>106</v>
      </c>
      <c r="C212">
        <v>95000000</v>
      </c>
      <c r="D212" t="str">
        <f t="shared" si="9"/>
        <v>SCBFIXEDCB18O25A</v>
      </c>
    </row>
    <row r="213" spans="1:4" x14ac:dyDescent="0.2">
      <c r="A213" t="s">
        <v>349</v>
      </c>
      <c r="B213" t="s">
        <v>107</v>
      </c>
      <c r="C213">
        <v>10000000</v>
      </c>
      <c r="D213" t="str">
        <f t="shared" si="9"/>
        <v>SCBFIXEDCB18O25B</v>
      </c>
    </row>
    <row r="214" spans="1:4" x14ac:dyDescent="0.2">
      <c r="A214" t="s">
        <v>349</v>
      </c>
      <c r="B214" t="s">
        <v>597</v>
      </c>
      <c r="C214">
        <v>90000000</v>
      </c>
      <c r="D214" t="str">
        <f t="shared" si="9"/>
        <v>SCBFIXEDCB19110A</v>
      </c>
    </row>
    <row r="215" spans="1:4" x14ac:dyDescent="0.2">
      <c r="A215" t="s">
        <v>349</v>
      </c>
      <c r="B215" t="s">
        <v>832</v>
      </c>
      <c r="C215">
        <v>50000000</v>
      </c>
      <c r="D215" t="str">
        <f t="shared" si="9"/>
        <v>SCBFIXEDCB19117A</v>
      </c>
    </row>
    <row r="216" spans="1:4" x14ac:dyDescent="0.2">
      <c r="A216" t="s">
        <v>349</v>
      </c>
      <c r="B216" t="s">
        <v>598</v>
      </c>
      <c r="C216">
        <v>100000000</v>
      </c>
      <c r="D216" t="str">
        <f t="shared" si="9"/>
        <v>SCBFIXEDCB19131A</v>
      </c>
    </row>
    <row r="217" spans="1:4" x14ac:dyDescent="0.2">
      <c r="A217" t="s">
        <v>349</v>
      </c>
      <c r="B217" t="s">
        <v>785</v>
      </c>
      <c r="C217">
        <v>100000000</v>
      </c>
      <c r="D217" t="str">
        <f t="shared" si="9"/>
        <v>SCBFIXEDCB19221A</v>
      </c>
    </row>
    <row r="218" spans="1:4" x14ac:dyDescent="0.2">
      <c r="A218" t="s">
        <v>349</v>
      </c>
      <c r="B218" t="s">
        <v>600</v>
      </c>
      <c r="C218">
        <v>60000000</v>
      </c>
      <c r="D218" t="str">
        <f t="shared" si="9"/>
        <v>SCBFIXEDCB19228A</v>
      </c>
    </row>
  </sheetData>
  <conditionalFormatting sqref="Q2:Q6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{CD0A360B-FDEC-46E3-AFC4-36B897045A28}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0A360B-FDEC-46E3-AFC4-36B897045A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Q2:Q62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1FFF-7143-4210-8513-B4332E8CF333}">
  <sheetPr codeName="Sheet6"/>
  <dimension ref="A1:Q780"/>
  <sheetViews>
    <sheetView zoomScale="85" zoomScaleNormal="85" workbookViewId="0">
      <selection activeCell="I22" sqref="I22"/>
    </sheetView>
  </sheetViews>
  <sheetFormatPr defaultRowHeight="14.25" x14ac:dyDescent="0.2"/>
  <cols>
    <col min="1" max="1" width="12" customWidth="1"/>
    <col min="3" max="3" width="12.125" style="2" customWidth="1"/>
    <col min="5" max="5" width="14.5" customWidth="1"/>
    <col min="6" max="6" width="19.875" customWidth="1"/>
    <col min="9" max="9" width="34.875" customWidth="1"/>
    <col min="10" max="10" width="16" customWidth="1"/>
    <col min="11" max="11" width="14.125" customWidth="1"/>
    <col min="12" max="12" width="17.5" customWidth="1"/>
    <col min="13" max="13" width="24.5" customWidth="1"/>
    <col min="14" max="14" width="18.125" customWidth="1"/>
    <col min="15" max="15" width="24.625" customWidth="1"/>
    <col min="16" max="16" width="24.75" customWidth="1"/>
  </cols>
  <sheetData>
    <row r="1" spans="1:9" x14ac:dyDescent="0.2">
      <c r="A1" t="s">
        <v>318</v>
      </c>
      <c r="B1" t="s">
        <v>397</v>
      </c>
      <c r="C1" s="2" t="s">
        <v>390</v>
      </c>
      <c r="D1" t="s">
        <v>391</v>
      </c>
      <c r="E1" t="s">
        <v>392</v>
      </c>
      <c r="F1" t="s">
        <v>393</v>
      </c>
      <c r="G1" t="s">
        <v>394</v>
      </c>
      <c r="H1" t="s">
        <v>395</v>
      </c>
      <c r="I1" t="s">
        <v>396</v>
      </c>
    </row>
    <row r="2" spans="1:9" x14ac:dyDescent="0.2">
      <c r="A2" t="s">
        <v>398</v>
      </c>
      <c r="B2" t="s">
        <v>23</v>
      </c>
      <c r="C2" s="67">
        <v>43384</v>
      </c>
      <c r="D2" t="s">
        <v>399</v>
      </c>
      <c r="E2">
        <v>10555.86</v>
      </c>
      <c r="F2" t="s">
        <v>344</v>
      </c>
      <c r="G2" t="s">
        <v>400</v>
      </c>
      <c r="H2">
        <v>181011084158</v>
      </c>
      <c r="I2" t="str">
        <f>CashIntraTable[Portfolio]&amp;VALUE(CashIntraTable[Cash Date])&amp;CashIntraTable[Detail]</f>
        <v>๏ปฟSCB2566433841.1. Subscription</v>
      </c>
    </row>
    <row r="3" spans="1:9" x14ac:dyDescent="0.2">
      <c r="A3" t="s">
        <v>401</v>
      </c>
      <c r="B3" t="s">
        <v>23</v>
      </c>
      <c r="C3" s="67">
        <v>43385</v>
      </c>
      <c r="D3" t="s">
        <v>399</v>
      </c>
      <c r="E3">
        <v>20000</v>
      </c>
      <c r="F3" t="s">
        <v>344</v>
      </c>
      <c r="G3" t="s">
        <v>400</v>
      </c>
      <c r="H3">
        <v>181011084158</v>
      </c>
      <c r="I3" t="str">
        <f>CashIntraTable[Portfolio]&amp;VALUE(CashIntraTable[Cash Date])&amp;CashIntraTable[Detail]</f>
        <v>SCB2566433851.1. Subscription</v>
      </c>
    </row>
    <row r="4" spans="1:9" x14ac:dyDescent="0.2">
      <c r="A4" t="s">
        <v>401</v>
      </c>
      <c r="B4" t="s">
        <v>23</v>
      </c>
      <c r="C4" s="67">
        <v>43385</v>
      </c>
      <c r="D4" t="s">
        <v>399</v>
      </c>
      <c r="E4">
        <v>1046.1199999999999</v>
      </c>
      <c r="F4" t="s">
        <v>345</v>
      </c>
      <c r="G4" t="s">
        <v>400</v>
      </c>
      <c r="H4">
        <v>181011084158</v>
      </c>
      <c r="I4" t="str">
        <f>CashIntraTable[Portfolio]&amp;VALUE(CashIntraTable[Cash Date])&amp;CashIntraTable[Detail]</f>
        <v>SCB2566433851.2. Switch-in</v>
      </c>
    </row>
    <row r="5" spans="1:9" x14ac:dyDescent="0.2">
      <c r="A5" t="s">
        <v>401</v>
      </c>
      <c r="B5" t="s">
        <v>23</v>
      </c>
      <c r="C5" s="67">
        <v>43389</v>
      </c>
      <c r="D5" t="s">
        <v>399</v>
      </c>
      <c r="E5">
        <v>-997.87</v>
      </c>
      <c r="F5" t="s">
        <v>346</v>
      </c>
      <c r="G5" t="s">
        <v>400</v>
      </c>
      <c r="H5">
        <v>181011084158</v>
      </c>
      <c r="I5" t="str">
        <f>CashIntraTable[Portfolio]&amp;VALUE(CashIntraTable[Cash Date])&amp;CashIntraTable[Detail]</f>
        <v>SCB2566433892.1. Redemption</v>
      </c>
    </row>
    <row r="6" spans="1:9" x14ac:dyDescent="0.2">
      <c r="A6" t="s">
        <v>401</v>
      </c>
      <c r="B6" t="s">
        <v>23</v>
      </c>
      <c r="C6" s="67">
        <v>43385</v>
      </c>
      <c r="D6" t="s">
        <v>399</v>
      </c>
      <c r="E6">
        <v>-985.68</v>
      </c>
      <c r="F6" t="s">
        <v>347</v>
      </c>
      <c r="G6" t="s">
        <v>400</v>
      </c>
      <c r="H6">
        <v>181011084158</v>
      </c>
      <c r="I6" t="str">
        <f>CashIntraTable[Portfolio]&amp;VALUE(CashIntraTable[Cash Date])&amp;CashIntraTable[Detail]</f>
        <v>SCB2566433852.2. Switch-out</v>
      </c>
    </row>
    <row r="7" spans="1:9" x14ac:dyDescent="0.2">
      <c r="A7" t="s">
        <v>402</v>
      </c>
      <c r="B7" t="s">
        <v>23</v>
      </c>
      <c r="C7" s="67">
        <v>43384</v>
      </c>
      <c r="D7" t="s">
        <v>399</v>
      </c>
      <c r="E7">
        <v>13069.2</v>
      </c>
      <c r="F7" t="s">
        <v>344</v>
      </c>
      <c r="G7" t="s">
        <v>400</v>
      </c>
      <c r="H7">
        <v>181011084158</v>
      </c>
      <c r="I7" t="str">
        <f>CashIntraTable[Portfolio]&amp;VALUE(CashIntraTable[Cash Date])&amp;CashIntraTable[Detail]</f>
        <v>SCB2576433841.1. Subscription</v>
      </c>
    </row>
    <row r="8" spans="1:9" x14ac:dyDescent="0.2">
      <c r="A8" t="s">
        <v>402</v>
      </c>
      <c r="B8" t="s">
        <v>23</v>
      </c>
      <c r="C8" s="67">
        <v>43385</v>
      </c>
      <c r="D8" t="s">
        <v>399</v>
      </c>
      <c r="E8">
        <v>21000</v>
      </c>
      <c r="F8" t="s">
        <v>344</v>
      </c>
      <c r="G8" t="s">
        <v>400</v>
      </c>
      <c r="H8">
        <v>181011084158</v>
      </c>
      <c r="I8" t="str">
        <f>CashIntraTable[Portfolio]&amp;VALUE(CashIntraTable[Cash Date])&amp;CashIntraTable[Detail]</f>
        <v>SCB2576433851.1. Subscription</v>
      </c>
    </row>
    <row r="9" spans="1:9" x14ac:dyDescent="0.2">
      <c r="A9" t="s">
        <v>402</v>
      </c>
      <c r="B9" t="s">
        <v>23</v>
      </c>
      <c r="C9" s="67">
        <v>43384</v>
      </c>
      <c r="D9" t="s">
        <v>399</v>
      </c>
      <c r="E9">
        <v>-979.96</v>
      </c>
      <c r="F9" t="s">
        <v>346</v>
      </c>
      <c r="G9" t="s">
        <v>400</v>
      </c>
      <c r="H9">
        <v>181011084158</v>
      </c>
      <c r="I9" t="str">
        <f>CashIntraTable[Portfolio]&amp;VALUE(CashIntraTable[Cash Date])&amp;CashIntraTable[Detail]</f>
        <v>SCB2576433842.1. Redemption</v>
      </c>
    </row>
    <row r="10" spans="1:9" x14ac:dyDescent="0.2">
      <c r="A10" t="s">
        <v>402</v>
      </c>
      <c r="B10" t="s">
        <v>23</v>
      </c>
      <c r="C10" s="67">
        <v>43384</v>
      </c>
      <c r="D10" t="s">
        <v>399</v>
      </c>
      <c r="E10">
        <v>-12957.27</v>
      </c>
      <c r="F10" t="s">
        <v>347</v>
      </c>
      <c r="G10" t="s">
        <v>400</v>
      </c>
      <c r="H10">
        <v>181011084158</v>
      </c>
      <c r="I10" t="str">
        <f>CashIntraTable[Portfolio]&amp;VALUE(CashIntraTable[Cash Date])&amp;CashIntraTable[Detail]</f>
        <v>SCB2576433842.2. Switch-out</v>
      </c>
    </row>
    <row r="11" spans="1:9" x14ac:dyDescent="0.2">
      <c r="A11" t="s">
        <v>402</v>
      </c>
      <c r="B11" t="s">
        <v>23</v>
      </c>
      <c r="C11" s="67">
        <v>43385</v>
      </c>
      <c r="D11" t="s">
        <v>399</v>
      </c>
      <c r="E11">
        <v>-49905.65</v>
      </c>
      <c r="F11" t="s">
        <v>347</v>
      </c>
      <c r="G11" t="s">
        <v>400</v>
      </c>
      <c r="H11">
        <v>181011084158</v>
      </c>
      <c r="I11" t="str">
        <f>CashIntraTable[Portfolio]&amp;VALUE(CashIntraTable[Cash Date])&amp;CashIntraTable[Detail]</f>
        <v>SCB2576433852.2. Switch-out</v>
      </c>
    </row>
    <row r="12" spans="1:9" x14ac:dyDescent="0.2">
      <c r="A12" t="s">
        <v>403</v>
      </c>
      <c r="B12" t="s">
        <v>23</v>
      </c>
      <c r="C12" s="67">
        <v>43385</v>
      </c>
      <c r="D12" t="s">
        <v>399</v>
      </c>
      <c r="E12">
        <v>23000</v>
      </c>
      <c r="F12" t="s">
        <v>344</v>
      </c>
      <c r="G12" t="s">
        <v>400</v>
      </c>
      <c r="H12">
        <v>181011084158</v>
      </c>
      <c r="I12" t="str">
        <f>CashIntraTable[Portfolio]&amp;VALUE(CashIntraTable[Cash Date])&amp;CashIntraTable[Detail]</f>
        <v>SCB2586433851.1. Subscription</v>
      </c>
    </row>
    <row r="13" spans="1:9" x14ac:dyDescent="0.2">
      <c r="A13" t="s">
        <v>404</v>
      </c>
      <c r="B13" t="s">
        <v>23</v>
      </c>
      <c r="C13" s="67">
        <v>43384</v>
      </c>
      <c r="D13" t="s">
        <v>399</v>
      </c>
      <c r="E13">
        <v>134250</v>
      </c>
      <c r="F13" t="s">
        <v>344</v>
      </c>
      <c r="G13" t="s">
        <v>400</v>
      </c>
      <c r="H13">
        <v>181011084158</v>
      </c>
      <c r="I13" t="str">
        <f>CashIntraTable[Portfolio]&amp;VALUE(CashIntraTable[Cash Date])&amp;CashIntraTable[Detail]</f>
        <v>SCBAEM433841.1. Subscription</v>
      </c>
    </row>
    <row r="14" spans="1:9" x14ac:dyDescent="0.2">
      <c r="A14" t="s">
        <v>404</v>
      </c>
      <c r="B14" t="s">
        <v>23</v>
      </c>
      <c r="C14" s="67">
        <v>43385</v>
      </c>
      <c r="D14" t="s">
        <v>399</v>
      </c>
      <c r="E14">
        <v>10000</v>
      </c>
      <c r="F14" t="s">
        <v>344</v>
      </c>
      <c r="G14" t="s">
        <v>400</v>
      </c>
      <c r="H14">
        <v>181011084158</v>
      </c>
      <c r="I14" t="str">
        <f>CashIntraTable[Portfolio]&amp;VALUE(CashIntraTable[Cash Date])&amp;CashIntraTable[Detail]</f>
        <v>SCBAEM433851.1. Subscription</v>
      </c>
    </row>
    <row r="15" spans="1:9" x14ac:dyDescent="0.2">
      <c r="A15" t="s">
        <v>404</v>
      </c>
      <c r="B15" t="s">
        <v>23</v>
      </c>
      <c r="C15" s="67">
        <v>43384</v>
      </c>
      <c r="D15" t="s">
        <v>399</v>
      </c>
      <c r="E15">
        <v>101000</v>
      </c>
      <c r="F15" t="s">
        <v>345</v>
      </c>
      <c r="G15" t="s">
        <v>400</v>
      </c>
      <c r="H15">
        <v>181011084158</v>
      </c>
      <c r="I15" t="str">
        <f>CashIntraTable[Portfolio]&amp;VALUE(CashIntraTable[Cash Date])&amp;CashIntraTable[Detail]</f>
        <v>SCBAEM433841.2. Switch-in</v>
      </c>
    </row>
    <row r="16" spans="1:9" x14ac:dyDescent="0.2">
      <c r="A16" t="s">
        <v>404</v>
      </c>
      <c r="B16" t="s">
        <v>23</v>
      </c>
      <c r="C16" s="67">
        <v>43385</v>
      </c>
      <c r="D16" t="s">
        <v>399</v>
      </c>
      <c r="E16">
        <v>1000</v>
      </c>
      <c r="F16" t="s">
        <v>345</v>
      </c>
      <c r="G16" t="s">
        <v>400</v>
      </c>
      <c r="H16">
        <v>181011084158</v>
      </c>
      <c r="I16" t="str">
        <f>CashIntraTable[Portfolio]&amp;VALUE(CashIntraTable[Cash Date])&amp;CashIntraTable[Detail]</f>
        <v>SCBAEM433851.2. Switch-in</v>
      </c>
    </row>
    <row r="17" spans="1:9" x14ac:dyDescent="0.2">
      <c r="A17" t="s">
        <v>404</v>
      </c>
      <c r="B17" t="s">
        <v>23</v>
      </c>
      <c r="C17" s="67">
        <v>43384</v>
      </c>
      <c r="D17" t="s">
        <v>399</v>
      </c>
      <c r="E17">
        <v>-24765.08</v>
      </c>
      <c r="F17" t="s">
        <v>346</v>
      </c>
      <c r="G17" t="s">
        <v>400</v>
      </c>
      <c r="H17">
        <v>181011084158</v>
      </c>
      <c r="I17" t="str">
        <f>CashIntraTable[Portfolio]&amp;VALUE(CashIntraTable[Cash Date])&amp;CashIntraTable[Detail]</f>
        <v>SCBAEM433842.1. Redemption</v>
      </c>
    </row>
    <row r="18" spans="1:9" x14ac:dyDescent="0.2">
      <c r="A18" t="s">
        <v>404</v>
      </c>
      <c r="B18" t="s">
        <v>23</v>
      </c>
      <c r="C18" s="67">
        <v>43385</v>
      </c>
      <c r="D18" t="s">
        <v>399</v>
      </c>
      <c r="E18">
        <v>-233695.93</v>
      </c>
      <c r="F18" t="s">
        <v>346</v>
      </c>
      <c r="G18" t="s">
        <v>400</v>
      </c>
      <c r="H18">
        <v>181011084158</v>
      </c>
      <c r="I18" t="str">
        <f>CashIntraTable[Portfolio]&amp;VALUE(CashIntraTable[Cash Date])&amp;CashIntraTable[Detail]</f>
        <v>SCBAEM433852.1. Redemption</v>
      </c>
    </row>
    <row r="19" spans="1:9" x14ac:dyDescent="0.2">
      <c r="A19" t="s">
        <v>404</v>
      </c>
      <c r="B19" t="s">
        <v>23</v>
      </c>
      <c r="C19" s="67">
        <v>43389</v>
      </c>
      <c r="D19" t="s">
        <v>399</v>
      </c>
      <c r="E19">
        <v>-1630520.89</v>
      </c>
      <c r="F19" t="s">
        <v>346</v>
      </c>
      <c r="G19" t="s">
        <v>400</v>
      </c>
      <c r="H19">
        <v>181011084158</v>
      </c>
      <c r="I19" t="str">
        <f>CashIntraTable[Portfolio]&amp;VALUE(CashIntraTable[Cash Date])&amp;CashIntraTable[Detail]</f>
        <v>SCBAEM433892.1. Redemption</v>
      </c>
    </row>
    <row r="20" spans="1:9" x14ac:dyDescent="0.2">
      <c r="A20" t="s">
        <v>404</v>
      </c>
      <c r="B20" t="s">
        <v>23</v>
      </c>
      <c r="C20" s="67">
        <v>43390</v>
      </c>
      <c r="D20" t="s">
        <v>399</v>
      </c>
      <c r="E20">
        <v>-909499.8</v>
      </c>
      <c r="F20" t="s">
        <v>346</v>
      </c>
      <c r="G20" t="s">
        <v>400</v>
      </c>
      <c r="H20">
        <v>181011084158</v>
      </c>
      <c r="I20" t="str">
        <f>CashIntraTable[Portfolio]&amp;VALUE(CashIntraTable[Cash Date])&amp;CashIntraTable[Detail]</f>
        <v>SCBAEM433902.1. Redemption</v>
      </c>
    </row>
    <row r="21" spans="1:9" x14ac:dyDescent="0.2">
      <c r="A21" t="s">
        <v>404</v>
      </c>
      <c r="B21" t="s">
        <v>23</v>
      </c>
      <c r="C21" s="67">
        <v>43391</v>
      </c>
      <c r="D21" t="s">
        <v>399</v>
      </c>
      <c r="E21">
        <v>-100000</v>
      </c>
      <c r="F21" t="s">
        <v>346</v>
      </c>
      <c r="G21" t="s">
        <v>400</v>
      </c>
      <c r="H21">
        <v>181011084158</v>
      </c>
      <c r="I21" t="str">
        <f>CashIntraTable[Portfolio]&amp;VALUE(CashIntraTable[Cash Date])&amp;CashIntraTable[Detail]</f>
        <v>SCBAEM433912.1. Redemption</v>
      </c>
    </row>
    <row r="22" spans="1:9" x14ac:dyDescent="0.2">
      <c r="A22" t="s">
        <v>404</v>
      </c>
      <c r="B22" t="s">
        <v>23</v>
      </c>
      <c r="C22" s="67">
        <v>43384</v>
      </c>
      <c r="D22" t="s">
        <v>399</v>
      </c>
      <c r="E22">
        <v>-5075160.5599999996</v>
      </c>
      <c r="F22" t="s">
        <v>347</v>
      </c>
      <c r="G22" t="s">
        <v>400</v>
      </c>
      <c r="H22">
        <v>181011084158</v>
      </c>
      <c r="I22" t="str">
        <f>CashIntraTable[Portfolio]&amp;VALUE(CashIntraTable[Cash Date])&amp;CashIntraTable[Detail]</f>
        <v>SCBAEM433842.2. Switch-out</v>
      </c>
    </row>
    <row r="23" spans="1:9" x14ac:dyDescent="0.2">
      <c r="A23" t="s">
        <v>404</v>
      </c>
      <c r="B23" t="s">
        <v>23</v>
      </c>
      <c r="C23" s="67">
        <v>43385</v>
      </c>
      <c r="D23" t="s">
        <v>399</v>
      </c>
      <c r="E23">
        <v>-1408442.23</v>
      </c>
      <c r="F23" t="s">
        <v>347</v>
      </c>
      <c r="G23" t="s">
        <v>400</v>
      </c>
      <c r="H23">
        <v>181011084158</v>
      </c>
      <c r="I23" t="str">
        <f>CashIntraTable[Portfolio]&amp;VALUE(CashIntraTable[Cash Date])&amp;CashIntraTable[Detail]</f>
        <v>SCBAEM433852.2. Switch-out</v>
      </c>
    </row>
    <row r="24" spans="1:9" x14ac:dyDescent="0.2">
      <c r="A24" t="s">
        <v>404</v>
      </c>
      <c r="B24" t="s">
        <v>23</v>
      </c>
      <c r="C24" s="67">
        <v>43389</v>
      </c>
      <c r="D24" t="s">
        <v>399</v>
      </c>
      <c r="E24">
        <v>-2599466.9500000002</v>
      </c>
      <c r="F24" t="s">
        <v>347</v>
      </c>
      <c r="G24" t="s">
        <v>400</v>
      </c>
      <c r="H24">
        <v>181011084158</v>
      </c>
      <c r="I24" t="str">
        <f>CashIntraTable[Portfolio]&amp;VALUE(CashIntraTable[Cash Date])&amp;CashIntraTable[Detail]</f>
        <v>SCBAEM433892.2. Switch-out</v>
      </c>
    </row>
    <row r="25" spans="1:9" x14ac:dyDescent="0.2">
      <c r="A25" t="s">
        <v>404</v>
      </c>
      <c r="B25" t="s">
        <v>23</v>
      </c>
      <c r="C25" s="67">
        <v>43390</v>
      </c>
      <c r="D25" t="s">
        <v>399</v>
      </c>
      <c r="E25">
        <v>-2736548.66</v>
      </c>
      <c r="F25" t="s">
        <v>347</v>
      </c>
      <c r="G25" t="s">
        <v>400</v>
      </c>
      <c r="H25">
        <v>181011084158</v>
      </c>
      <c r="I25" t="str">
        <f>CashIntraTable[Portfolio]&amp;VALUE(CashIntraTable[Cash Date])&amp;CashIntraTable[Detail]</f>
        <v>SCBAEM433902.2. Switch-out</v>
      </c>
    </row>
    <row r="26" spans="1:9" x14ac:dyDescent="0.2">
      <c r="A26" t="s">
        <v>404</v>
      </c>
      <c r="B26" t="s">
        <v>23</v>
      </c>
      <c r="C26" s="67">
        <v>43391</v>
      </c>
      <c r="D26" t="s">
        <v>399</v>
      </c>
      <c r="E26">
        <v>-16792.419999999998</v>
      </c>
      <c r="F26" t="s">
        <v>347</v>
      </c>
      <c r="G26" t="s">
        <v>400</v>
      </c>
      <c r="H26">
        <v>181011084158</v>
      </c>
      <c r="I26" t="str">
        <f>CashIntraTable[Portfolio]&amp;VALUE(CashIntraTable[Cash Date])&amp;CashIntraTable[Detail]</f>
        <v>SCBAEM433912.2. Switch-out</v>
      </c>
    </row>
    <row r="27" spans="1:9" x14ac:dyDescent="0.2">
      <c r="A27" t="s">
        <v>405</v>
      </c>
      <c r="B27" t="s">
        <v>23</v>
      </c>
      <c r="C27" s="67">
        <v>43384</v>
      </c>
      <c r="D27" t="s">
        <v>399</v>
      </c>
      <c r="E27">
        <v>478200</v>
      </c>
      <c r="F27" t="s">
        <v>344</v>
      </c>
      <c r="G27" t="s">
        <v>400</v>
      </c>
      <c r="H27">
        <v>181011084158</v>
      </c>
      <c r="I27" t="str">
        <f>CashIntraTable[Portfolio]&amp;VALUE(CashIntraTable[Cash Date])&amp;CashIntraTable[Detail]</f>
        <v>SCBAEMH433841.1. Subscription</v>
      </c>
    </row>
    <row r="28" spans="1:9" x14ac:dyDescent="0.2">
      <c r="A28" t="s">
        <v>405</v>
      </c>
      <c r="B28" t="s">
        <v>23</v>
      </c>
      <c r="C28" s="67">
        <v>43385</v>
      </c>
      <c r="D28" t="s">
        <v>399</v>
      </c>
      <c r="E28">
        <v>21500</v>
      </c>
      <c r="F28" t="s">
        <v>344</v>
      </c>
      <c r="G28" t="s">
        <v>400</v>
      </c>
      <c r="H28">
        <v>181011084158</v>
      </c>
      <c r="I28" t="str">
        <f>CashIntraTable[Portfolio]&amp;VALUE(CashIntraTable[Cash Date])&amp;CashIntraTable[Detail]</f>
        <v>SCBAEMH433851.1. Subscription</v>
      </c>
    </row>
    <row r="29" spans="1:9" x14ac:dyDescent="0.2">
      <c r="A29" t="s">
        <v>405</v>
      </c>
      <c r="B29" t="s">
        <v>23</v>
      </c>
      <c r="C29" s="67">
        <v>43384</v>
      </c>
      <c r="D29" t="s">
        <v>399</v>
      </c>
      <c r="E29">
        <v>-707740.01</v>
      </c>
      <c r="F29" t="s">
        <v>346</v>
      </c>
      <c r="G29" t="s">
        <v>400</v>
      </c>
      <c r="H29">
        <v>181011084158</v>
      </c>
      <c r="I29" t="str">
        <f>CashIntraTable[Portfolio]&amp;VALUE(CashIntraTable[Cash Date])&amp;CashIntraTable[Detail]</f>
        <v>SCBAEMH433842.1. Redemption</v>
      </c>
    </row>
    <row r="30" spans="1:9" x14ac:dyDescent="0.2">
      <c r="A30" t="s">
        <v>405</v>
      </c>
      <c r="B30" t="s">
        <v>23</v>
      </c>
      <c r="C30" s="67">
        <v>43385</v>
      </c>
      <c r="D30" t="s">
        <v>399</v>
      </c>
      <c r="E30">
        <v>-9804.16</v>
      </c>
      <c r="F30" t="s">
        <v>346</v>
      </c>
      <c r="G30" t="s">
        <v>400</v>
      </c>
      <c r="H30">
        <v>181011084158</v>
      </c>
      <c r="I30" t="str">
        <f>CashIntraTable[Portfolio]&amp;VALUE(CashIntraTable[Cash Date])&amp;CashIntraTable[Detail]</f>
        <v>SCBAEMH433852.1. Redemption</v>
      </c>
    </row>
    <row r="31" spans="1:9" x14ac:dyDescent="0.2">
      <c r="A31" t="s">
        <v>405</v>
      </c>
      <c r="B31" t="s">
        <v>23</v>
      </c>
      <c r="C31" s="67">
        <v>43389</v>
      </c>
      <c r="D31" t="s">
        <v>399</v>
      </c>
      <c r="E31">
        <v>-3011627.57</v>
      </c>
      <c r="F31" t="s">
        <v>346</v>
      </c>
      <c r="G31" t="s">
        <v>400</v>
      </c>
      <c r="H31">
        <v>181011084158</v>
      </c>
      <c r="I31" t="str">
        <f>CashIntraTable[Portfolio]&amp;VALUE(CashIntraTable[Cash Date])&amp;CashIntraTable[Detail]</f>
        <v>SCBAEMH433892.1. Redemption</v>
      </c>
    </row>
    <row r="32" spans="1:9" x14ac:dyDescent="0.2">
      <c r="A32" t="s">
        <v>405</v>
      </c>
      <c r="B32" t="s">
        <v>23</v>
      </c>
      <c r="C32" s="67">
        <v>43390</v>
      </c>
      <c r="D32" t="s">
        <v>399</v>
      </c>
      <c r="E32">
        <v>-2106443.64</v>
      </c>
      <c r="F32" t="s">
        <v>346</v>
      </c>
      <c r="G32" t="s">
        <v>400</v>
      </c>
      <c r="H32">
        <v>181011084158</v>
      </c>
      <c r="I32" t="str">
        <f>CashIntraTable[Portfolio]&amp;VALUE(CashIntraTable[Cash Date])&amp;CashIntraTable[Detail]</f>
        <v>SCBAEMH433902.1. Redemption</v>
      </c>
    </row>
    <row r="33" spans="1:9" x14ac:dyDescent="0.2">
      <c r="A33" t="s">
        <v>405</v>
      </c>
      <c r="B33" t="s">
        <v>23</v>
      </c>
      <c r="C33" s="67">
        <v>43391</v>
      </c>
      <c r="D33" t="s">
        <v>399</v>
      </c>
      <c r="E33">
        <v>-78196.100000000006</v>
      </c>
      <c r="F33" t="s">
        <v>346</v>
      </c>
      <c r="G33" t="s">
        <v>400</v>
      </c>
      <c r="H33">
        <v>181011084158</v>
      </c>
      <c r="I33" t="str">
        <f>CashIntraTable[Portfolio]&amp;VALUE(CashIntraTable[Cash Date])&amp;CashIntraTable[Detail]</f>
        <v>SCBAEMH433912.1. Redemption</v>
      </c>
    </row>
    <row r="34" spans="1:9" x14ac:dyDescent="0.2">
      <c r="A34" t="s">
        <v>405</v>
      </c>
      <c r="B34" t="s">
        <v>23</v>
      </c>
      <c r="C34" s="67">
        <v>43384</v>
      </c>
      <c r="D34" t="s">
        <v>399</v>
      </c>
      <c r="E34">
        <v>-900433</v>
      </c>
      <c r="F34" t="s">
        <v>347</v>
      </c>
      <c r="G34" t="s">
        <v>400</v>
      </c>
      <c r="H34">
        <v>181011084158</v>
      </c>
      <c r="I34" t="str">
        <f>CashIntraTable[Portfolio]&amp;VALUE(CashIntraTable[Cash Date])&amp;CashIntraTable[Detail]</f>
        <v>SCBAEMH433842.2. Switch-out</v>
      </c>
    </row>
    <row r="35" spans="1:9" x14ac:dyDescent="0.2">
      <c r="A35" t="s">
        <v>405</v>
      </c>
      <c r="B35" t="s">
        <v>23</v>
      </c>
      <c r="C35" s="67">
        <v>43385</v>
      </c>
      <c r="D35" t="s">
        <v>399</v>
      </c>
      <c r="E35">
        <v>-2086264.4</v>
      </c>
      <c r="F35" t="s">
        <v>347</v>
      </c>
      <c r="G35" t="s">
        <v>400</v>
      </c>
      <c r="H35">
        <v>181011084158</v>
      </c>
      <c r="I35" t="str">
        <f>CashIntraTable[Portfolio]&amp;VALUE(CashIntraTable[Cash Date])&amp;CashIntraTable[Detail]</f>
        <v>SCBAEMH433852.2. Switch-out</v>
      </c>
    </row>
    <row r="36" spans="1:9" x14ac:dyDescent="0.2">
      <c r="A36" t="s">
        <v>405</v>
      </c>
      <c r="B36" t="s">
        <v>23</v>
      </c>
      <c r="C36" s="67">
        <v>43389</v>
      </c>
      <c r="D36" t="s">
        <v>399</v>
      </c>
      <c r="E36">
        <v>-5452699.3799999999</v>
      </c>
      <c r="F36" t="s">
        <v>347</v>
      </c>
      <c r="G36" t="s">
        <v>400</v>
      </c>
      <c r="H36">
        <v>181011084158</v>
      </c>
      <c r="I36" t="str">
        <f>CashIntraTable[Portfolio]&amp;VALUE(CashIntraTable[Cash Date])&amp;CashIntraTable[Detail]</f>
        <v>SCBAEMH433892.2. Switch-out</v>
      </c>
    </row>
    <row r="37" spans="1:9" x14ac:dyDescent="0.2">
      <c r="A37" t="s">
        <v>405</v>
      </c>
      <c r="B37" t="s">
        <v>23</v>
      </c>
      <c r="C37" s="67">
        <v>43390</v>
      </c>
      <c r="D37" t="s">
        <v>399</v>
      </c>
      <c r="E37">
        <v>-2390351.94</v>
      </c>
      <c r="F37" t="s">
        <v>347</v>
      </c>
      <c r="G37" t="s">
        <v>400</v>
      </c>
      <c r="H37">
        <v>181011084158</v>
      </c>
      <c r="I37" t="str">
        <f>CashIntraTable[Portfolio]&amp;VALUE(CashIntraTable[Cash Date])&amp;CashIntraTable[Detail]</f>
        <v>SCBAEMH433902.2. Switch-out</v>
      </c>
    </row>
    <row r="38" spans="1:9" x14ac:dyDescent="0.2">
      <c r="A38" t="s">
        <v>405</v>
      </c>
      <c r="B38" t="s">
        <v>23</v>
      </c>
      <c r="C38" s="67">
        <v>43391</v>
      </c>
      <c r="D38" t="s">
        <v>399</v>
      </c>
      <c r="E38">
        <v>-2404347.2599999998</v>
      </c>
      <c r="F38" t="s">
        <v>347</v>
      </c>
      <c r="G38" t="s">
        <v>400</v>
      </c>
      <c r="H38">
        <v>181011084158</v>
      </c>
      <c r="I38" t="str">
        <f>CashIntraTable[Portfolio]&amp;VALUE(CashIntraTable[Cash Date])&amp;CashIntraTable[Detail]</f>
        <v>SCBAEMH433912.2. Switch-out</v>
      </c>
    </row>
    <row r="39" spans="1:9" x14ac:dyDescent="0.2">
      <c r="A39" t="s">
        <v>406</v>
      </c>
      <c r="B39" t="s">
        <v>23</v>
      </c>
      <c r="C39" s="67">
        <v>43384</v>
      </c>
      <c r="D39" t="s">
        <v>399</v>
      </c>
      <c r="E39">
        <v>-914809.84</v>
      </c>
      <c r="F39" t="s">
        <v>346</v>
      </c>
      <c r="G39" t="s">
        <v>400</v>
      </c>
      <c r="H39">
        <v>181011084158</v>
      </c>
      <c r="I39" t="str">
        <f>CashIntraTable[Portfolio]&amp;VALUE(CashIntraTable[Cash Date])&amp;CashIntraTable[Detail]</f>
        <v>SCBAPLUSFUND433842.1. Redemption</v>
      </c>
    </row>
    <row r="40" spans="1:9" x14ac:dyDescent="0.2">
      <c r="A40" t="s">
        <v>406</v>
      </c>
      <c r="B40" t="s">
        <v>23</v>
      </c>
      <c r="C40" s="67">
        <v>43385</v>
      </c>
      <c r="D40" t="s">
        <v>399</v>
      </c>
      <c r="E40">
        <v>-12144921.84</v>
      </c>
      <c r="F40" t="s">
        <v>346</v>
      </c>
      <c r="G40" t="s">
        <v>400</v>
      </c>
      <c r="H40">
        <v>181011084158</v>
      </c>
      <c r="I40" t="str">
        <f>CashIntraTable[Portfolio]&amp;VALUE(CashIntraTable[Cash Date])&amp;CashIntraTable[Detail]</f>
        <v>SCBAPLUSFUND433852.1. Redemption</v>
      </c>
    </row>
    <row r="41" spans="1:9" x14ac:dyDescent="0.2">
      <c r="A41" t="s">
        <v>406</v>
      </c>
      <c r="B41" t="s">
        <v>23</v>
      </c>
      <c r="C41" s="67">
        <v>43389</v>
      </c>
      <c r="D41" t="s">
        <v>399</v>
      </c>
      <c r="E41">
        <v>-500000</v>
      </c>
      <c r="F41" t="s">
        <v>346</v>
      </c>
      <c r="G41" t="s">
        <v>400</v>
      </c>
      <c r="H41">
        <v>181011084158</v>
      </c>
      <c r="I41" t="str">
        <f>CashIntraTable[Portfolio]&amp;VALUE(CashIntraTable[Cash Date])&amp;CashIntraTable[Detail]</f>
        <v>SCBAPLUSFUND433892.1. Redemption</v>
      </c>
    </row>
    <row r="42" spans="1:9" x14ac:dyDescent="0.2">
      <c r="A42" t="s">
        <v>406</v>
      </c>
      <c r="B42" t="s">
        <v>23</v>
      </c>
      <c r="C42" s="67">
        <v>43384</v>
      </c>
      <c r="D42" t="s">
        <v>399</v>
      </c>
      <c r="E42">
        <v>-1502663.91</v>
      </c>
      <c r="F42" t="s">
        <v>347</v>
      </c>
      <c r="G42" t="s">
        <v>400</v>
      </c>
      <c r="H42">
        <v>181011084158</v>
      </c>
      <c r="I42" t="str">
        <f>CashIntraTable[Portfolio]&amp;VALUE(CashIntraTable[Cash Date])&amp;CashIntraTable[Detail]</f>
        <v>SCBAPLUSFUND433842.2. Switch-out</v>
      </c>
    </row>
    <row r="43" spans="1:9" x14ac:dyDescent="0.2">
      <c r="A43" t="s">
        <v>406</v>
      </c>
      <c r="B43" t="s">
        <v>23</v>
      </c>
      <c r="C43" s="67">
        <v>43385</v>
      </c>
      <c r="D43" t="s">
        <v>399</v>
      </c>
      <c r="E43">
        <v>-1183165.3600000001</v>
      </c>
      <c r="F43" t="s">
        <v>347</v>
      </c>
      <c r="G43" t="s">
        <v>400</v>
      </c>
      <c r="H43">
        <v>181011084158</v>
      </c>
      <c r="I43" t="str">
        <f>CashIntraTable[Portfolio]&amp;VALUE(CashIntraTable[Cash Date])&amp;CashIntraTable[Detail]</f>
        <v>SCBAPLUSFUND433852.2. Switch-out</v>
      </c>
    </row>
    <row r="44" spans="1:9" x14ac:dyDescent="0.2">
      <c r="A44" t="s">
        <v>406</v>
      </c>
      <c r="B44" t="s">
        <v>23</v>
      </c>
      <c r="C44" s="67">
        <v>43389</v>
      </c>
      <c r="D44" t="s">
        <v>399</v>
      </c>
      <c r="E44">
        <v>-6860257.3700000001</v>
      </c>
      <c r="F44" t="s">
        <v>347</v>
      </c>
      <c r="G44" t="s">
        <v>400</v>
      </c>
      <c r="H44">
        <v>181011084158</v>
      </c>
      <c r="I44" t="str">
        <f>CashIntraTable[Portfolio]&amp;VALUE(CashIntraTable[Cash Date])&amp;CashIntraTable[Detail]</f>
        <v>SCBAPLUSFUND433892.2. Switch-out</v>
      </c>
    </row>
    <row r="45" spans="1:9" x14ac:dyDescent="0.2">
      <c r="A45" t="s">
        <v>406</v>
      </c>
      <c r="B45" t="s">
        <v>23</v>
      </c>
      <c r="C45" s="67">
        <v>43391</v>
      </c>
      <c r="D45" t="s">
        <v>399</v>
      </c>
      <c r="E45">
        <v>-745291.45</v>
      </c>
      <c r="F45" t="s">
        <v>347</v>
      </c>
      <c r="G45" t="s">
        <v>400</v>
      </c>
      <c r="H45">
        <v>181011084158</v>
      </c>
      <c r="I45" t="str">
        <f>CashIntraTable[Portfolio]&amp;VALUE(CashIntraTable[Cash Date])&amp;CashIntraTable[Detail]</f>
        <v>SCBAPLUSFUND433912.2. Switch-out</v>
      </c>
    </row>
    <row r="46" spans="1:9" x14ac:dyDescent="0.2">
      <c r="A46" t="s">
        <v>407</v>
      </c>
      <c r="B46" t="s">
        <v>23</v>
      </c>
      <c r="C46" s="67">
        <v>43384</v>
      </c>
      <c r="D46" t="s">
        <v>399</v>
      </c>
      <c r="E46">
        <v>2010.64</v>
      </c>
      <c r="F46" t="s">
        <v>344</v>
      </c>
      <c r="G46" t="s">
        <v>400</v>
      </c>
      <c r="H46">
        <v>181011084158</v>
      </c>
      <c r="I46" t="str">
        <f>CashIntraTable[Portfolio]&amp;VALUE(CashIntraTable[Cash Date])&amp;CashIntraTable[Detail]</f>
        <v>SCBAUD433841.1. Subscription</v>
      </c>
    </row>
    <row r="47" spans="1:9" x14ac:dyDescent="0.2">
      <c r="A47" t="s">
        <v>407</v>
      </c>
      <c r="B47" t="s">
        <v>23</v>
      </c>
      <c r="C47" s="67">
        <v>43384</v>
      </c>
      <c r="D47" t="s">
        <v>399</v>
      </c>
      <c r="E47">
        <v>1000</v>
      </c>
      <c r="F47" t="s">
        <v>345</v>
      </c>
      <c r="G47" t="s">
        <v>400</v>
      </c>
      <c r="H47">
        <v>181011084158</v>
      </c>
      <c r="I47" t="str">
        <f>CashIntraTable[Portfolio]&amp;VALUE(CashIntraTable[Cash Date])&amp;CashIntraTable[Detail]</f>
        <v>SCBAUD433841.2. Switch-in</v>
      </c>
    </row>
    <row r="48" spans="1:9" x14ac:dyDescent="0.2">
      <c r="A48" t="s">
        <v>408</v>
      </c>
      <c r="B48" t="s">
        <v>23</v>
      </c>
      <c r="C48" s="67">
        <v>43384</v>
      </c>
      <c r="D48" t="s">
        <v>399</v>
      </c>
      <c r="E48">
        <v>348223.63</v>
      </c>
      <c r="F48" t="s">
        <v>344</v>
      </c>
      <c r="G48" t="s">
        <v>400</v>
      </c>
      <c r="H48">
        <v>181011084158</v>
      </c>
      <c r="I48" t="str">
        <f>CashIntraTable[Portfolio]&amp;VALUE(CashIntraTable[Cash Date])&amp;CashIntraTable[Detail]</f>
        <v>SCBBANKINGFUND433841.1. Subscription</v>
      </c>
    </row>
    <row r="49" spans="1:9" x14ac:dyDescent="0.2">
      <c r="A49" t="s">
        <v>408</v>
      </c>
      <c r="B49" t="s">
        <v>23</v>
      </c>
      <c r="C49" s="67">
        <v>43385</v>
      </c>
      <c r="D49" t="s">
        <v>399</v>
      </c>
      <c r="E49">
        <v>8000</v>
      </c>
      <c r="F49" t="s">
        <v>344</v>
      </c>
      <c r="G49" t="s">
        <v>400</v>
      </c>
      <c r="H49">
        <v>181011084158</v>
      </c>
      <c r="I49" t="str">
        <f>CashIntraTable[Portfolio]&amp;VALUE(CashIntraTable[Cash Date])&amp;CashIntraTable[Detail]</f>
        <v>SCBBANKINGFUND433851.1. Subscription</v>
      </c>
    </row>
    <row r="50" spans="1:9" x14ac:dyDescent="0.2">
      <c r="A50" t="s">
        <v>408</v>
      </c>
      <c r="B50" t="s">
        <v>23</v>
      </c>
      <c r="C50" s="67">
        <v>43384</v>
      </c>
      <c r="D50" t="s">
        <v>399</v>
      </c>
      <c r="E50">
        <v>163441.95000000001</v>
      </c>
      <c r="F50" t="s">
        <v>345</v>
      </c>
      <c r="G50" t="s">
        <v>400</v>
      </c>
      <c r="H50">
        <v>181011084158</v>
      </c>
      <c r="I50" t="str">
        <f>CashIntraTable[Portfolio]&amp;VALUE(CashIntraTable[Cash Date])&amp;CashIntraTable[Detail]</f>
        <v>SCBBANKINGFUND433841.2. Switch-in</v>
      </c>
    </row>
    <row r="51" spans="1:9" x14ac:dyDescent="0.2">
      <c r="A51" t="s">
        <v>408</v>
      </c>
      <c r="B51" t="s">
        <v>23</v>
      </c>
      <c r="C51" s="67">
        <v>43385</v>
      </c>
      <c r="D51" t="s">
        <v>399</v>
      </c>
      <c r="E51">
        <v>98340.92</v>
      </c>
      <c r="F51" t="s">
        <v>345</v>
      </c>
      <c r="G51" t="s">
        <v>400</v>
      </c>
      <c r="H51">
        <v>181011084158</v>
      </c>
      <c r="I51" t="str">
        <f>CashIntraTable[Portfolio]&amp;VALUE(CashIntraTable[Cash Date])&amp;CashIntraTable[Detail]</f>
        <v>SCBBANKINGFUND433851.2. Switch-in</v>
      </c>
    </row>
    <row r="52" spans="1:9" x14ac:dyDescent="0.2">
      <c r="A52" t="s">
        <v>408</v>
      </c>
      <c r="B52" t="s">
        <v>23</v>
      </c>
      <c r="C52" s="67">
        <v>43389</v>
      </c>
      <c r="D52" t="s">
        <v>399</v>
      </c>
      <c r="E52">
        <v>28057.19</v>
      </c>
      <c r="F52" t="s">
        <v>345</v>
      </c>
      <c r="G52" t="s">
        <v>400</v>
      </c>
      <c r="H52">
        <v>181011084158</v>
      </c>
      <c r="I52" t="str">
        <f>CashIntraTable[Portfolio]&amp;VALUE(CashIntraTable[Cash Date])&amp;CashIntraTable[Detail]</f>
        <v>SCBBANKINGFUND433891.2. Switch-in</v>
      </c>
    </row>
    <row r="53" spans="1:9" x14ac:dyDescent="0.2">
      <c r="A53" t="s">
        <v>408</v>
      </c>
      <c r="B53" t="s">
        <v>23</v>
      </c>
      <c r="C53" s="67">
        <v>43384</v>
      </c>
      <c r="D53" t="s">
        <v>399</v>
      </c>
      <c r="E53">
        <v>-294252.56</v>
      </c>
      <c r="F53" t="s">
        <v>346</v>
      </c>
      <c r="G53" t="s">
        <v>400</v>
      </c>
      <c r="H53">
        <v>181011084158</v>
      </c>
      <c r="I53" t="str">
        <f>CashIntraTable[Portfolio]&amp;VALUE(CashIntraTable[Cash Date])&amp;CashIntraTable[Detail]</f>
        <v>SCBBANKINGFUND433842.1. Redemption</v>
      </c>
    </row>
    <row r="54" spans="1:9" x14ac:dyDescent="0.2">
      <c r="A54" t="s">
        <v>408</v>
      </c>
      <c r="B54" t="s">
        <v>23</v>
      </c>
      <c r="C54" s="67">
        <v>43385</v>
      </c>
      <c r="D54" t="s">
        <v>399</v>
      </c>
      <c r="E54">
        <v>-815160.1</v>
      </c>
      <c r="F54" t="s">
        <v>346</v>
      </c>
      <c r="G54" t="s">
        <v>400</v>
      </c>
      <c r="H54">
        <v>181011084158</v>
      </c>
      <c r="I54" t="str">
        <f>CashIntraTable[Portfolio]&amp;VALUE(CashIntraTable[Cash Date])&amp;CashIntraTable[Detail]</f>
        <v>SCBBANKINGFUND433852.1. Redemption</v>
      </c>
    </row>
    <row r="55" spans="1:9" x14ac:dyDescent="0.2">
      <c r="A55" t="s">
        <v>408</v>
      </c>
      <c r="B55" t="s">
        <v>23</v>
      </c>
      <c r="C55" s="67">
        <v>43384</v>
      </c>
      <c r="D55" t="s">
        <v>399</v>
      </c>
      <c r="E55">
        <v>-2011.58</v>
      </c>
      <c r="F55" t="s">
        <v>347</v>
      </c>
      <c r="G55" t="s">
        <v>400</v>
      </c>
      <c r="H55">
        <v>181011084158</v>
      </c>
      <c r="I55" t="str">
        <f>CashIntraTable[Portfolio]&amp;VALUE(CashIntraTable[Cash Date])&amp;CashIntraTable[Detail]</f>
        <v>SCBBANKINGFUND433842.2. Switch-out</v>
      </c>
    </row>
    <row r="56" spans="1:9" x14ac:dyDescent="0.2">
      <c r="A56" t="s">
        <v>408</v>
      </c>
      <c r="B56" t="s">
        <v>23</v>
      </c>
      <c r="C56" s="67">
        <v>43385</v>
      </c>
      <c r="D56" t="s">
        <v>399</v>
      </c>
      <c r="E56">
        <v>-54526.8</v>
      </c>
      <c r="F56" t="s">
        <v>347</v>
      </c>
      <c r="G56" t="s">
        <v>400</v>
      </c>
      <c r="H56">
        <v>181011084158</v>
      </c>
      <c r="I56" t="str">
        <f>CashIntraTable[Portfolio]&amp;VALUE(CashIntraTable[Cash Date])&amp;CashIntraTable[Detail]</f>
        <v>SCBBANKINGFUND433852.2. Switch-out</v>
      </c>
    </row>
    <row r="57" spans="1:9" x14ac:dyDescent="0.2">
      <c r="A57" t="s">
        <v>408</v>
      </c>
      <c r="B57" t="s">
        <v>23</v>
      </c>
      <c r="C57" s="67">
        <v>43389</v>
      </c>
      <c r="D57" t="s">
        <v>399</v>
      </c>
      <c r="E57">
        <v>-5205.97</v>
      </c>
      <c r="F57" t="s">
        <v>347</v>
      </c>
      <c r="G57" t="s">
        <v>400</v>
      </c>
      <c r="H57">
        <v>181011084158</v>
      </c>
      <c r="I57" t="str">
        <f>CashIntraTable[Portfolio]&amp;VALUE(CashIntraTable[Cash Date])&amp;CashIntraTable[Detail]</f>
        <v>SCBBANKINGFUND433892.2. Switch-out</v>
      </c>
    </row>
    <row r="58" spans="1:9" x14ac:dyDescent="0.2">
      <c r="A58" t="s">
        <v>409</v>
      </c>
      <c r="B58" t="s">
        <v>23</v>
      </c>
      <c r="C58" s="67">
        <v>43384</v>
      </c>
      <c r="D58" t="s">
        <v>399</v>
      </c>
      <c r="E58">
        <v>4221000</v>
      </c>
      <c r="F58" t="s">
        <v>344</v>
      </c>
      <c r="G58" t="s">
        <v>400</v>
      </c>
      <c r="H58">
        <v>181011084158</v>
      </c>
      <c r="I58" t="str">
        <f>CashIntraTable[Portfolio]&amp;VALUE(CashIntraTable[Cash Date])&amp;CashIntraTable[Detail]</f>
        <v>SCBBLN433841.1. Subscription</v>
      </c>
    </row>
    <row r="59" spans="1:9" x14ac:dyDescent="0.2">
      <c r="A59" t="s">
        <v>409</v>
      </c>
      <c r="B59" t="s">
        <v>23</v>
      </c>
      <c r="C59" s="67">
        <v>43384</v>
      </c>
      <c r="D59" t="s">
        <v>399</v>
      </c>
      <c r="E59">
        <v>5000</v>
      </c>
      <c r="F59" t="s">
        <v>345</v>
      </c>
      <c r="G59" t="s">
        <v>400</v>
      </c>
      <c r="H59">
        <v>181011084158</v>
      </c>
      <c r="I59" t="str">
        <f>CashIntraTable[Portfolio]&amp;VALUE(CashIntraTable[Cash Date])&amp;CashIntraTable[Detail]</f>
        <v>SCBBLN433841.2. Switch-in</v>
      </c>
    </row>
    <row r="60" spans="1:9" x14ac:dyDescent="0.2">
      <c r="A60" t="s">
        <v>409</v>
      </c>
      <c r="B60" t="s">
        <v>23</v>
      </c>
      <c r="C60" s="67">
        <v>43384</v>
      </c>
      <c r="D60" t="s">
        <v>399</v>
      </c>
      <c r="E60">
        <v>-4400</v>
      </c>
      <c r="F60" t="s">
        <v>346</v>
      </c>
      <c r="G60" t="s">
        <v>400</v>
      </c>
      <c r="H60">
        <v>181011084158</v>
      </c>
      <c r="I60" t="str">
        <f>CashIntraTable[Portfolio]&amp;VALUE(CashIntraTable[Cash Date])&amp;CashIntraTable[Detail]</f>
        <v>SCBBLN433842.1. Redemption</v>
      </c>
    </row>
    <row r="61" spans="1:9" x14ac:dyDescent="0.2">
      <c r="A61" t="s">
        <v>409</v>
      </c>
      <c r="B61" t="s">
        <v>23</v>
      </c>
      <c r="C61" s="67">
        <v>43385</v>
      </c>
      <c r="D61" t="s">
        <v>399</v>
      </c>
      <c r="E61">
        <v>-12038.4</v>
      </c>
      <c r="F61" t="s">
        <v>346</v>
      </c>
      <c r="G61" t="s">
        <v>400</v>
      </c>
      <c r="H61">
        <v>181011084158</v>
      </c>
      <c r="I61" t="str">
        <f>CashIntraTable[Portfolio]&amp;VALUE(CashIntraTable[Cash Date])&amp;CashIntraTable[Detail]</f>
        <v>SCBBLN433852.1. Redemption</v>
      </c>
    </row>
    <row r="62" spans="1:9" x14ac:dyDescent="0.2">
      <c r="A62" t="s">
        <v>409</v>
      </c>
      <c r="B62" t="s">
        <v>23</v>
      </c>
      <c r="C62" s="67">
        <v>43390</v>
      </c>
      <c r="D62" t="s">
        <v>399</v>
      </c>
      <c r="E62">
        <v>-982.63</v>
      </c>
      <c r="F62" t="s">
        <v>346</v>
      </c>
      <c r="G62" t="s">
        <v>400</v>
      </c>
      <c r="H62">
        <v>181011084158</v>
      </c>
      <c r="I62" t="str">
        <f>CashIntraTable[Portfolio]&amp;VALUE(CashIntraTable[Cash Date])&amp;CashIntraTable[Detail]</f>
        <v>SCBBLN433902.1. Redemption</v>
      </c>
    </row>
    <row r="63" spans="1:9" x14ac:dyDescent="0.2">
      <c r="A63" t="s">
        <v>409</v>
      </c>
      <c r="B63" t="s">
        <v>23</v>
      </c>
      <c r="C63" s="67">
        <v>43384</v>
      </c>
      <c r="D63" t="s">
        <v>399</v>
      </c>
      <c r="E63">
        <v>-296364.53000000003</v>
      </c>
      <c r="F63" t="s">
        <v>347</v>
      </c>
      <c r="G63" t="s">
        <v>400</v>
      </c>
      <c r="H63">
        <v>181011084158</v>
      </c>
      <c r="I63" t="str">
        <f>CashIntraTable[Portfolio]&amp;VALUE(CashIntraTable[Cash Date])&amp;CashIntraTable[Detail]</f>
        <v>SCBBLN433842.2. Switch-out</v>
      </c>
    </row>
    <row r="64" spans="1:9" x14ac:dyDescent="0.2">
      <c r="A64" t="s">
        <v>409</v>
      </c>
      <c r="B64" t="s">
        <v>23</v>
      </c>
      <c r="C64" s="67">
        <v>43385</v>
      </c>
      <c r="D64" t="s">
        <v>399</v>
      </c>
      <c r="E64">
        <v>-500000</v>
      </c>
      <c r="F64" t="s">
        <v>347</v>
      </c>
      <c r="G64" t="s">
        <v>400</v>
      </c>
      <c r="H64">
        <v>181011084158</v>
      </c>
      <c r="I64" t="str">
        <f>CashIntraTable[Portfolio]&amp;VALUE(CashIntraTable[Cash Date])&amp;CashIntraTable[Detail]</f>
        <v>SCBBLN433852.2. Switch-out</v>
      </c>
    </row>
    <row r="65" spans="1:9" x14ac:dyDescent="0.2">
      <c r="A65" t="s">
        <v>410</v>
      </c>
      <c r="B65" t="s">
        <v>23</v>
      </c>
      <c r="C65" s="67">
        <v>43384</v>
      </c>
      <c r="D65" t="s">
        <v>399</v>
      </c>
      <c r="E65">
        <v>682627.37</v>
      </c>
      <c r="F65" t="s">
        <v>344</v>
      </c>
      <c r="G65" t="s">
        <v>400</v>
      </c>
      <c r="H65">
        <v>181011084158</v>
      </c>
      <c r="I65" t="str">
        <f>CashIntraTable[Portfolio]&amp;VALUE(CashIntraTable[Cash Date])&amp;CashIntraTable[Detail]</f>
        <v>SCBCE433841.1. Subscription</v>
      </c>
    </row>
    <row r="66" spans="1:9" x14ac:dyDescent="0.2">
      <c r="A66" t="s">
        <v>410</v>
      </c>
      <c r="B66" t="s">
        <v>23</v>
      </c>
      <c r="C66" s="67">
        <v>43385</v>
      </c>
      <c r="D66" t="s">
        <v>399</v>
      </c>
      <c r="E66">
        <v>23500</v>
      </c>
      <c r="F66" t="s">
        <v>344</v>
      </c>
      <c r="G66" t="s">
        <v>400</v>
      </c>
      <c r="H66">
        <v>181011084158</v>
      </c>
      <c r="I66" t="str">
        <f>CashIntraTable[Portfolio]&amp;VALUE(CashIntraTable[Cash Date])&amp;CashIntraTable[Detail]</f>
        <v>SCBCE433851.1. Subscription</v>
      </c>
    </row>
    <row r="67" spans="1:9" x14ac:dyDescent="0.2">
      <c r="A67" t="s">
        <v>410</v>
      </c>
      <c r="B67" t="s">
        <v>23</v>
      </c>
      <c r="C67" s="67">
        <v>43384</v>
      </c>
      <c r="D67" t="s">
        <v>399</v>
      </c>
      <c r="E67">
        <v>5000</v>
      </c>
      <c r="F67" t="s">
        <v>345</v>
      </c>
      <c r="G67" t="s">
        <v>400</v>
      </c>
      <c r="H67">
        <v>181011084158</v>
      </c>
      <c r="I67" t="str">
        <f>CashIntraTable[Portfolio]&amp;VALUE(CashIntraTable[Cash Date])&amp;CashIntraTable[Detail]</f>
        <v>SCBCE433841.2. Switch-in</v>
      </c>
    </row>
    <row r="68" spans="1:9" x14ac:dyDescent="0.2">
      <c r="A68" t="s">
        <v>410</v>
      </c>
      <c r="B68" t="s">
        <v>23</v>
      </c>
      <c r="C68" s="67">
        <v>43384</v>
      </c>
      <c r="D68" t="s">
        <v>399</v>
      </c>
      <c r="E68">
        <v>-17947.27</v>
      </c>
      <c r="F68" t="s">
        <v>346</v>
      </c>
      <c r="G68" t="s">
        <v>400</v>
      </c>
      <c r="H68">
        <v>181011084158</v>
      </c>
      <c r="I68" t="str">
        <f>CashIntraTable[Portfolio]&amp;VALUE(CashIntraTable[Cash Date])&amp;CashIntraTable[Detail]</f>
        <v>SCBCE433842.1. Redemption</v>
      </c>
    </row>
    <row r="69" spans="1:9" x14ac:dyDescent="0.2">
      <c r="A69" t="s">
        <v>410</v>
      </c>
      <c r="B69" t="s">
        <v>23</v>
      </c>
      <c r="C69" s="67">
        <v>43384</v>
      </c>
      <c r="D69" t="s">
        <v>399</v>
      </c>
      <c r="E69">
        <v>-10000</v>
      </c>
      <c r="F69" t="s">
        <v>347</v>
      </c>
      <c r="G69" t="s">
        <v>400</v>
      </c>
      <c r="H69">
        <v>181011084158</v>
      </c>
      <c r="I69" t="str">
        <f>CashIntraTable[Portfolio]&amp;VALUE(CashIntraTable[Cash Date])&amp;CashIntraTable[Detail]</f>
        <v>SCBCE433842.2. Switch-out</v>
      </c>
    </row>
    <row r="70" spans="1:9" x14ac:dyDescent="0.2">
      <c r="A70" t="s">
        <v>410</v>
      </c>
      <c r="B70" t="s">
        <v>23</v>
      </c>
      <c r="C70" s="67">
        <v>43385</v>
      </c>
      <c r="D70" t="s">
        <v>399</v>
      </c>
      <c r="E70">
        <v>-14261.05</v>
      </c>
      <c r="F70" t="s">
        <v>347</v>
      </c>
      <c r="G70" t="s">
        <v>400</v>
      </c>
      <c r="H70">
        <v>181011084158</v>
      </c>
      <c r="I70" t="str">
        <f>CashIntraTable[Portfolio]&amp;VALUE(CashIntraTable[Cash Date])&amp;CashIntraTable[Detail]</f>
        <v>SCBCE433852.2. Switch-out</v>
      </c>
    </row>
    <row r="71" spans="1:9" x14ac:dyDescent="0.2">
      <c r="A71" t="s">
        <v>411</v>
      </c>
      <c r="B71" t="s">
        <v>23</v>
      </c>
      <c r="C71" s="67">
        <v>43384</v>
      </c>
      <c r="D71" t="s">
        <v>399</v>
      </c>
      <c r="E71">
        <v>236751.55</v>
      </c>
      <c r="F71" t="s">
        <v>344</v>
      </c>
      <c r="G71" t="s">
        <v>400</v>
      </c>
      <c r="H71">
        <v>181011084158</v>
      </c>
      <c r="I71" t="str">
        <f>CashIntraTable[Portfolio]&amp;VALUE(CashIntraTable[Cash Date])&amp;CashIntraTable[Detail]</f>
        <v>SCBCEH433841.1. Subscription</v>
      </c>
    </row>
    <row r="72" spans="1:9" x14ac:dyDescent="0.2">
      <c r="A72" t="s">
        <v>411</v>
      </c>
      <c r="B72" t="s">
        <v>23</v>
      </c>
      <c r="C72" s="67">
        <v>43385</v>
      </c>
      <c r="D72" t="s">
        <v>399</v>
      </c>
      <c r="E72">
        <v>2000</v>
      </c>
      <c r="F72" t="s">
        <v>344</v>
      </c>
      <c r="G72" t="s">
        <v>400</v>
      </c>
      <c r="H72">
        <v>181011084158</v>
      </c>
      <c r="I72" t="str">
        <f>CashIntraTable[Portfolio]&amp;VALUE(CashIntraTable[Cash Date])&amp;CashIntraTable[Detail]</f>
        <v>SCBCEH433851.1. Subscription</v>
      </c>
    </row>
    <row r="73" spans="1:9" x14ac:dyDescent="0.2">
      <c r="A73" t="s">
        <v>411</v>
      </c>
      <c r="B73" t="s">
        <v>23</v>
      </c>
      <c r="C73" s="67">
        <v>43384</v>
      </c>
      <c r="D73" t="s">
        <v>399</v>
      </c>
      <c r="E73">
        <v>115000</v>
      </c>
      <c r="F73" t="s">
        <v>345</v>
      </c>
      <c r="G73" t="s">
        <v>400</v>
      </c>
      <c r="H73">
        <v>181011084158</v>
      </c>
      <c r="I73" t="str">
        <f>CashIntraTable[Portfolio]&amp;VALUE(CashIntraTable[Cash Date])&amp;CashIntraTable[Detail]</f>
        <v>SCBCEH433841.2. Switch-in</v>
      </c>
    </row>
    <row r="74" spans="1:9" x14ac:dyDescent="0.2">
      <c r="A74" t="s">
        <v>411</v>
      </c>
      <c r="B74" t="s">
        <v>23</v>
      </c>
      <c r="C74" s="67">
        <v>43385</v>
      </c>
      <c r="D74" t="s">
        <v>399</v>
      </c>
      <c r="E74">
        <v>13000</v>
      </c>
      <c r="F74" t="s">
        <v>345</v>
      </c>
      <c r="G74" t="s">
        <v>400</v>
      </c>
      <c r="H74">
        <v>181011084158</v>
      </c>
      <c r="I74" t="str">
        <f>CashIntraTable[Portfolio]&amp;VALUE(CashIntraTable[Cash Date])&amp;CashIntraTable[Detail]</f>
        <v>SCBCEH433851.2. Switch-in</v>
      </c>
    </row>
    <row r="75" spans="1:9" x14ac:dyDescent="0.2">
      <c r="A75" t="s">
        <v>411</v>
      </c>
      <c r="B75" t="s">
        <v>23</v>
      </c>
      <c r="C75" s="67">
        <v>43384</v>
      </c>
      <c r="D75" t="s">
        <v>399</v>
      </c>
      <c r="E75">
        <v>-7860303.3499999996</v>
      </c>
      <c r="F75" t="s">
        <v>346</v>
      </c>
      <c r="G75" t="s">
        <v>400</v>
      </c>
      <c r="H75">
        <v>181011084158</v>
      </c>
      <c r="I75" t="str">
        <f>CashIntraTable[Portfolio]&amp;VALUE(CashIntraTable[Cash Date])&amp;CashIntraTable[Detail]</f>
        <v>SCBCEH433842.1. Redemption</v>
      </c>
    </row>
    <row r="76" spans="1:9" x14ac:dyDescent="0.2">
      <c r="A76" t="s">
        <v>411</v>
      </c>
      <c r="B76" t="s">
        <v>23</v>
      </c>
      <c r="C76" s="67">
        <v>43385</v>
      </c>
      <c r="D76" t="s">
        <v>399</v>
      </c>
      <c r="E76">
        <v>-215879.32</v>
      </c>
      <c r="F76" t="s">
        <v>346</v>
      </c>
      <c r="G76" t="s">
        <v>400</v>
      </c>
      <c r="H76">
        <v>181011084158</v>
      </c>
      <c r="I76" t="str">
        <f>CashIntraTable[Portfolio]&amp;VALUE(CashIntraTable[Cash Date])&amp;CashIntraTable[Detail]</f>
        <v>SCBCEH433852.1. Redemption</v>
      </c>
    </row>
    <row r="77" spans="1:9" x14ac:dyDescent="0.2">
      <c r="A77" t="s">
        <v>411</v>
      </c>
      <c r="B77" t="s">
        <v>23</v>
      </c>
      <c r="C77" s="67">
        <v>43385</v>
      </c>
      <c r="D77" t="s">
        <v>399</v>
      </c>
      <c r="E77">
        <v>-4917.63</v>
      </c>
      <c r="F77" t="s">
        <v>347</v>
      </c>
      <c r="G77" t="s">
        <v>400</v>
      </c>
      <c r="H77">
        <v>181011084158</v>
      </c>
      <c r="I77" t="str">
        <f>CashIntraTable[Portfolio]&amp;VALUE(CashIntraTable[Cash Date])&amp;CashIntraTable[Detail]</f>
        <v>SCBCEH433852.2. Switch-out</v>
      </c>
    </row>
    <row r="78" spans="1:9" x14ac:dyDescent="0.2">
      <c r="A78" t="s">
        <v>412</v>
      </c>
      <c r="B78" t="s">
        <v>23</v>
      </c>
      <c r="C78" s="67">
        <v>43384</v>
      </c>
      <c r="D78" t="s">
        <v>399</v>
      </c>
      <c r="E78">
        <v>4555710.7</v>
      </c>
      <c r="F78" t="s">
        <v>344</v>
      </c>
      <c r="G78" t="s">
        <v>400</v>
      </c>
      <c r="H78">
        <v>181011084158</v>
      </c>
      <c r="I78" t="str">
        <f>CashIntraTable[Portfolio]&amp;VALUE(CashIntraTable[Cash Date])&amp;CashIntraTable[Detail]</f>
        <v>SCBCHA433841.1. Subscription</v>
      </c>
    </row>
    <row r="79" spans="1:9" x14ac:dyDescent="0.2">
      <c r="A79" t="s">
        <v>412</v>
      </c>
      <c r="B79" t="s">
        <v>23</v>
      </c>
      <c r="C79" s="67">
        <v>43385</v>
      </c>
      <c r="D79" t="s">
        <v>399</v>
      </c>
      <c r="E79">
        <v>2030400</v>
      </c>
      <c r="F79" t="s">
        <v>344</v>
      </c>
      <c r="G79" t="s">
        <v>400</v>
      </c>
      <c r="H79">
        <v>181011084158</v>
      </c>
      <c r="I79" t="str">
        <f>CashIntraTable[Portfolio]&amp;VALUE(CashIntraTable[Cash Date])&amp;CashIntraTable[Detail]</f>
        <v>SCBCHA433851.1. Subscription</v>
      </c>
    </row>
    <row r="80" spans="1:9" x14ac:dyDescent="0.2">
      <c r="A80" t="s">
        <v>412</v>
      </c>
      <c r="B80" t="s">
        <v>23</v>
      </c>
      <c r="C80" s="67">
        <v>43384</v>
      </c>
      <c r="D80" t="s">
        <v>399</v>
      </c>
      <c r="E80">
        <v>981082.08</v>
      </c>
      <c r="F80" t="s">
        <v>345</v>
      </c>
      <c r="G80" t="s">
        <v>400</v>
      </c>
      <c r="H80">
        <v>181011084158</v>
      </c>
      <c r="I80" t="str">
        <f>CashIntraTable[Portfolio]&amp;VALUE(CashIntraTable[Cash Date])&amp;CashIntraTable[Detail]</f>
        <v>SCBCHA433841.2. Switch-in</v>
      </c>
    </row>
    <row r="81" spans="1:9" x14ac:dyDescent="0.2">
      <c r="A81" t="s">
        <v>412</v>
      </c>
      <c r="B81" t="s">
        <v>23</v>
      </c>
      <c r="C81" s="67">
        <v>43385</v>
      </c>
      <c r="D81" t="s">
        <v>399</v>
      </c>
      <c r="E81">
        <v>8201.66</v>
      </c>
      <c r="F81" t="s">
        <v>345</v>
      </c>
      <c r="G81" t="s">
        <v>400</v>
      </c>
      <c r="H81">
        <v>181011084158</v>
      </c>
      <c r="I81" t="str">
        <f>CashIntraTable[Portfolio]&amp;VALUE(CashIntraTable[Cash Date])&amp;CashIntraTable[Detail]</f>
        <v>SCBCHA433851.2. Switch-in</v>
      </c>
    </row>
    <row r="82" spans="1:9" x14ac:dyDescent="0.2">
      <c r="A82" t="s">
        <v>412</v>
      </c>
      <c r="B82" t="s">
        <v>23</v>
      </c>
      <c r="C82" s="67">
        <v>43390</v>
      </c>
      <c r="D82" t="s">
        <v>399</v>
      </c>
      <c r="E82">
        <v>950.7</v>
      </c>
      <c r="F82" t="s">
        <v>345</v>
      </c>
      <c r="G82" t="s">
        <v>400</v>
      </c>
      <c r="H82">
        <v>181011084158</v>
      </c>
      <c r="I82" t="str">
        <f>CashIntraTable[Portfolio]&amp;VALUE(CashIntraTable[Cash Date])&amp;CashIntraTable[Detail]</f>
        <v>SCBCHA433901.2. Switch-in</v>
      </c>
    </row>
    <row r="83" spans="1:9" x14ac:dyDescent="0.2">
      <c r="A83" t="s">
        <v>412</v>
      </c>
      <c r="B83" t="s">
        <v>23</v>
      </c>
      <c r="C83" s="67">
        <v>43384</v>
      </c>
      <c r="D83" t="s">
        <v>399</v>
      </c>
      <c r="E83">
        <v>-596736.63</v>
      </c>
      <c r="F83" t="s">
        <v>346</v>
      </c>
      <c r="G83" t="s">
        <v>400</v>
      </c>
      <c r="H83">
        <v>181011084158</v>
      </c>
      <c r="I83" t="str">
        <f>CashIntraTable[Portfolio]&amp;VALUE(CashIntraTable[Cash Date])&amp;CashIntraTable[Detail]</f>
        <v>SCBCHA433842.1. Redemption</v>
      </c>
    </row>
    <row r="84" spans="1:9" x14ac:dyDescent="0.2">
      <c r="A84" t="s">
        <v>412</v>
      </c>
      <c r="B84" t="s">
        <v>23</v>
      </c>
      <c r="C84" s="67">
        <v>43385</v>
      </c>
      <c r="D84" t="s">
        <v>399</v>
      </c>
      <c r="E84">
        <v>-834150.7</v>
      </c>
      <c r="F84" t="s">
        <v>346</v>
      </c>
      <c r="G84" t="s">
        <v>400</v>
      </c>
      <c r="H84">
        <v>181011084158</v>
      </c>
      <c r="I84" t="str">
        <f>CashIntraTable[Portfolio]&amp;VALUE(CashIntraTable[Cash Date])&amp;CashIntraTable[Detail]</f>
        <v>SCBCHA433852.1. Redemption</v>
      </c>
    </row>
    <row r="85" spans="1:9" x14ac:dyDescent="0.2">
      <c r="A85" t="s">
        <v>412</v>
      </c>
      <c r="B85" t="s">
        <v>23</v>
      </c>
      <c r="C85" s="67">
        <v>43384</v>
      </c>
      <c r="D85" t="s">
        <v>399</v>
      </c>
      <c r="E85">
        <v>-2210607.17</v>
      </c>
      <c r="F85" t="s">
        <v>347</v>
      </c>
      <c r="G85" t="s">
        <v>400</v>
      </c>
      <c r="H85">
        <v>181011084158</v>
      </c>
      <c r="I85" t="str">
        <f>CashIntraTable[Portfolio]&amp;VALUE(CashIntraTable[Cash Date])&amp;CashIntraTable[Detail]</f>
        <v>SCBCHA433842.2. Switch-out</v>
      </c>
    </row>
    <row r="86" spans="1:9" x14ac:dyDescent="0.2">
      <c r="A86" t="s">
        <v>412</v>
      </c>
      <c r="B86" t="s">
        <v>23</v>
      </c>
      <c r="C86" s="67">
        <v>43385</v>
      </c>
      <c r="D86" t="s">
        <v>399</v>
      </c>
      <c r="E86">
        <v>-2010000</v>
      </c>
      <c r="F86" t="s">
        <v>347</v>
      </c>
      <c r="G86" t="s">
        <v>400</v>
      </c>
      <c r="H86">
        <v>181011084158</v>
      </c>
      <c r="I86" t="str">
        <f>CashIntraTable[Portfolio]&amp;VALUE(CashIntraTable[Cash Date])&amp;CashIntraTable[Detail]</f>
        <v>SCBCHA433852.2. Switch-out</v>
      </c>
    </row>
    <row r="87" spans="1:9" x14ac:dyDescent="0.2">
      <c r="A87" t="s">
        <v>413</v>
      </c>
      <c r="B87" t="s">
        <v>23</v>
      </c>
      <c r="C87" s="67">
        <v>43384</v>
      </c>
      <c r="D87" t="s">
        <v>399</v>
      </c>
      <c r="E87">
        <v>458566.14</v>
      </c>
      <c r="F87" t="s">
        <v>344</v>
      </c>
      <c r="G87" t="s">
        <v>400</v>
      </c>
      <c r="H87">
        <v>181011084158</v>
      </c>
      <c r="I87" t="str">
        <f>CashIntraTable[Portfolio]&amp;VALUE(CashIntraTable[Cash Date])&amp;CashIntraTable[Detail]</f>
        <v>SCBCHEQ433841.1. Subscription</v>
      </c>
    </row>
    <row r="88" spans="1:9" x14ac:dyDescent="0.2">
      <c r="A88" t="s">
        <v>413</v>
      </c>
      <c r="B88" t="s">
        <v>23</v>
      </c>
      <c r="C88" s="67">
        <v>43385</v>
      </c>
      <c r="D88" t="s">
        <v>399</v>
      </c>
      <c r="E88">
        <v>6200</v>
      </c>
      <c r="F88" t="s">
        <v>344</v>
      </c>
      <c r="G88" t="s">
        <v>400</v>
      </c>
      <c r="H88">
        <v>181011084158</v>
      </c>
      <c r="I88" t="str">
        <f>CashIntraTable[Portfolio]&amp;VALUE(CashIntraTable[Cash Date])&amp;CashIntraTable[Detail]</f>
        <v>SCBCHEQ433851.1. Subscription</v>
      </c>
    </row>
    <row r="89" spans="1:9" x14ac:dyDescent="0.2">
      <c r="A89" t="s">
        <v>413</v>
      </c>
      <c r="B89" t="s">
        <v>23</v>
      </c>
      <c r="C89" s="67">
        <v>43384</v>
      </c>
      <c r="D89" t="s">
        <v>399</v>
      </c>
      <c r="E89">
        <v>50000</v>
      </c>
      <c r="F89" t="s">
        <v>345</v>
      </c>
      <c r="G89" t="s">
        <v>400</v>
      </c>
      <c r="H89">
        <v>181011084158</v>
      </c>
      <c r="I89" t="str">
        <f>CashIntraTable[Portfolio]&amp;VALUE(CashIntraTable[Cash Date])&amp;CashIntraTable[Detail]</f>
        <v>SCBCHEQ433841.2. Switch-in</v>
      </c>
    </row>
    <row r="90" spans="1:9" x14ac:dyDescent="0.2">
      <c r="A90" t="s">
        <v>413</v>
      </c>
      <c r="B90" t="s">
        <v>23</v>
      </c>
      <c r="C90" s="67">
        <v>43385</v>
      </c>
      <c r="D90" t="s">
        <v>399</v>
      </c>
      <c r="E90">
        <v>3000</v>
      </c>
      <c r="F90" t="s">
        <v>345</v>
      </c>
      <c r="G90" t="s">
        <v>400</v>
      </c>
      <c r="H90">
        <v>181011084158</v>
      </c>
      <c r="I90" t="str">
        <f>CashIntraTable[Portfolio]&amp;VALUE(CashIntraTable[Cash Date])&amp;CashIntraTable[Detail]</f>
        <v>SCBCHEQ433851.2. Switch-in</v>
      </c>
    </row>
    <row r="91" spans="1:9" x14ac:dyDescent="0.2">
      <c r="A91" t="s">
        <v>413</v>
      </c>
      <c r="B91" t="s">
        <v>23</v>
      </c>
      <c r="C91" s="67">
        <v>43389</v>
      </c>
      <c r="D91" t="s">
        <v>399</v>
      </c>
      <c r="E91">
        <v>910.87</v>
      </c>
      <c r="F91" t="s">
        <v>345</v>
      </c>
      <c r="G91" t="s">
        <v>400</v>
      </c>
      <c r="H91">
        <v>181011084158</v>
      </c>
      <c r="I91" t="str">
        <f>CashIntraTable[Portfolio]&amp;VALUE(CashIntraTable[Cash Date])&amp;CashIntraTable[Detail]</f>
        <v>SCBCHEQ433891.2. Switch-in</v>
      </c>
    </row>
    <row r="92" spans="1:9" x14ac:dyDescent="0.2">
      <c r="A92" t="s">
        <v>413</v>
      </c>
      <c r="B92" t="s">
        <v>23</v>
      </c>
      <c r="C92" s="67">
        <v>43384</v>
      </c>
      <c r="D92" t="s">
        <v>399</v>
      </c>
      <c r="E92">
        <v>-181639.31</v>
      </c>
      <c r="F92" t="s">
        <v>346</v>
      </c>
      <c r="G92" t="s">
        <v>400</v>
      </c>
      <c r="H92">
        <v>181011084158</v>
      </c>
      <c r="I92" t="str">
        <f>CashIntraTable[Portfolio]&amp;VALUE(CashIntraTable[Cash Date])&amp;CashIntraTable[Detail]</f>
        <v>SCBCHEQ433842.1. Redemption</v>
      </c>
    </row>
    <row r="93" spans="1:9" x14ac:dyDescent="0.2">
      <c r="A93" t="s">
        <v>413</v>
      </c>
      <c r="B93" t="s">
        <v>23</v>
      </c>
      <c r="C93" s="67">
        <v>43385</v>
      </c>
      <c r="D93" t="s">
        <v>399</v>
      </c>
      <c r="E93">
        <v>-131345.79999999999</v>
      </c>
      <c r="F93" t="s">
        <v>346</v>
      </c>
      <c r="G93" t="s">
        <v>400</v>
      </c>
      <c r="H93">
        <v>181011084158</v>
      </c>
      <c r="I93" t="str">
        <f>CashIntraTable[Portfolio]&amp;VALUE(CashIntraTable[Cash Date])&amp;CashIntraTable[Detail]</f>
        <v>SCBCHEQ433852.1. Redemption</v>
      </c>
    </row>
    <row r="94" spans="1:9" x14ac:dyDescent="0.2">
      <c r="A94" t="s">
        <v>413</v>
      </c>
      <c r="B94" t="s">
        <v>23</v>
      </c>
      <c r="C94" s="67">
        <v>43389</v>
      </c>
      <c r="D94" t="s">
        <v>399</v>
      </c>
      <c r="E94">
        <v>-911.04</v>
      </c>
      <c r="F94" t="s">
        <v>346</v>
      </c>
      <c r="G94" t="s">
        <v>400</v>
      </c>
      <c r="H94">
        <v>181011084158</v>
      </c>
      <c r="I94" t="str">
        <f>CashIntraTable[Portfolio]&amp;VALUE(CashIntraTable[Cash Date])&amp;CashIntraTable[Detail]</f>
        <v>SCBCHEQ433892.1. Redemption</v>
      </c>
    </row>
    <row r="95" spans="1:9" x14ac:dyDescent="0.2">
      <c r="A95" t="s">
        <v>413</v>
      </c>
      <c r="B95" t="s">
        <v>23</v>
      </c>
      <c r="C95" s="67">
        <v>43391</v>
      </c>
      <c r="D95" t="s">
        <v>399</v>
      </c>
      <c r="E95">
        <v>-909.84</v>
      </c>
      <c r="F95" t="s">
        <v>346</v>
      </c>
      <c r="G95" t="s">
        <v>400</v>
      </c>
      <c r="H95">
        <v>181011084158</v>
      </c>
      <c r="I95" t="str">
        <f>CashIntraTable[Portfolio]&amp;VALUE(CashIntraTable[Cash Date])&amp;CashIntraTable[Detail]</f>
        <v>SCBCHEQ433912.1. Redemption</v>
      </c>
    </row>
    <row r="96" spans="1:9" x14ac:dyDescent="0.2">
      <c r="A96" t="s">
        <v>413</v>
      </c>
      <c r="B96" t="s">
        <v>23</v>
      </c>
      <c r="C96" s="67">
        <v>43384</v>
      </c>
      <c r="D96" t="s">
        <v>399</v>
      </c>
      <c r="E96">
        <v>-4921.29</v>
      </c>
      <c r="F96" t="s">
        <v>347</v>
      </c>
      <c r="G96" t="s">
        <v>400</v>
      </c>
      <c r="H96">
        <v>181011084158</v>
      </c>
      <c r="I96" t="str">
        <f>CashIntraTable[Portfolio]&amp;VALUE(CashIntraTable[Cash Date])&amp;CashIntraTable[Detail]</f>
        <v>SCBCHEQ433842.2. Switch-out</v>
      </c>
    </row>
    <row r="97" spans="1:9" x14ac:dyDescent="0.2">
      <c r="A97" t="s">
        <v>413</v>
      </c>
      <c r="B97" t="s">
        <v>23</v>
      </c>
      <c r="C97" s="67">
        <v>43385</v>
      </c>
      <c r="D97" t="s">
        <v>399</v>
      </c>
      <c r="E97">
        <v>-78116.160000000003</v>
      </c>
      <c r="F97" t="s">
        <v>347</v>
      </c>
      <c r="G97" t="s">
        <v>400</v>
      </c>
      <c r="H97">
        <v>181011084158</v>
      </c>
      <c r="I97" t="str">
        <f>CashIntraTable[Portfolio]&amp;VALUE(CashIntraTable[Cash Date])&amp;CashIntraTable[Detail]</f>
        <v>SCBCHEQ433852.2. Switch-out</v>
      </c>
    </row>
    <row r="98" spans="1:9" x14ac:dyDescent="0.2">
      <c r="A98" t="s">
        <v>413</v>
      </c>
      <c r="B98" t="s">
        <v>23</v>
      </c>
      <c r="C98" s="67">
        <v>43391</v>
      </c>
      <c r="D98" t="s">
        <v>399</v>
      </c>
      <c r="E98">
        <v>-292412.09999999998</v>
      </c>
      <c r="F98" t="s">
        <v>347</v>
      </c>
      <c r="G98" t="s">
        <v>400</v>
      </c>
      <c r="H98">
        <v>181011084158</v>
      </c>
      <c r="I98" t="str">
        <f>CashIntraTable[Portfolio]&amp;VALUE(CashIntraTable[Cash Date])&amp;CashIntraTable[Detail]</f>
        <v>SCBCHEQ433912.2. Switch-out</v>
      </c>
    </row>
    <row r="99" spans="1:9" x14ac:dyDescent="0.2">
      <c r="A99" t="s">
        <v>877</v>
      </c>
      <c r="B99" t="s">
        <v>23</v>
      </c>
      <c r="C99" s="67">
        <v>43385</v>
      </c>
      <c r="D99" t="s">
        <v>399</v>
      </c>
      <c r="E99">
        <v>20000</v>
      </c>
      <c r="F99" t="s">
        <v>344</v>
      </c>
      <c r="G99" t="s">
        <v>400</v>
      </c>
      <c r="H99">
        <v>181011084158</v>
      </c>
      <c r="I99" t="str">
        <f>CashIntraTable[Portfolio]&amp;VALUE(CashIntraTable[Cash Date])&amp;CashIntraTable[Detail]</f>
        <v>SCBDAFUND433851.1. Subscription</v>
      </c>
    </row>
    <row r="100" spans="1:9" x14ac:dyDescent="0.2">
      <c r="A100" t="s">
        <v>877</v>
      </c>
      <c r="B100" t="s">
        <v>23</v>
      </c>
      <c r="C100" s="67">
        <v>43385</v>
      </c>
      <c r="D100" t="s">
        <v>399</v>
      </c>
      <c r="E100">
        <v>-10577.07</v>
      </c>
      <c r="F100" t="s">
        <v>346</v>
      </c>
      <c r="G100" t="s">
        <v>400</v>
      </c>
      <c r="H100">
        <v>181011084158</v>
      </c>
      <c r="I100" t="str">
        <f>CashIntraTable[Portfolio]&amp;VALUE(CashIntraTable[Cash Date])&amp;CashIntraTable[Detail]</f>
        <v>SCBDAFUND433852.1. Redemption</v>
      </c>
    </row>
    <row r="101" spans="1:9" x14ac:dyDescent="0.2">
      <c r="A101" t="s">
        <v>877</v>
      </c>
      <c r="B101" t="s">
        <v>23</v>
      </c>
      <c r="C101" s="67">
        <v>43389</v>
      </c>
      <c r="D101" t="s">
        <v>399</v>
      </c>
      <c r="E101">
        <v>-5777.04</v>
      </c>
      <c r="F101" t="s">
        <v>346</v>
      </c>
      <c r="G101" t="s">
        <v>400</v>
      </c>
      <c r="H101">
        <v>181011084158</v>
      </c>
      <c r="I101" t="str">
        <f>CashIntraTable[Portfolio]&amp;VALUE(CashIntraTable[Cash Date])&amp;CashIntraTable[Detail]</f>
        <v>SCBDAFUND433892.1. Redemption</v>
      </c>
    </row>
    <row r="102" spans="1:9" x14ac:dyDescent="0.2">
      <c r="A102" t="s">
        <v>414</v>
      </c>
      <c r="B102" t="s">
        <v>23</v>
      </c>
      <c r="C102" s="67">
        <v>43384</v>
      </c>
      <c r="D102" t="s">
        <v>399</v>
      </c>
      <c r="E102">
        <v>710901.68</v>
      </c>
      <c r="F102" t="s">
        <v>344</v>
      </c>
      <c r="G102" t="s">
        <v>400</v>
      </c>
      <c r="H102">
        <v>181011084158</v>
      </c>
      <c r="I102" t="str">
        <f>CashIntraTable[Portfolio]&amp;VALUE(CashIntraTable[Cash Date])&amp;CashIntraTable[Detail]</f>
        <v>SCBDIGI433841.1. Subscription</v>
      </c>
    </row>
    <row r="103" spans="1:9" x14ac:dyDescent="0.2">
      <c r="A103" t="s">
        <v>414</v>
      </c>
      <c r="B103" t="s">
        <v>23</v>
      </c>
      <c r="C103" s="67">
        <v>43385</v>
      </c>
      <c r="D103" t="s">
        <v>399</v>
      </c>
      <c r="E103">
        <v>100000</v>
      </c>
      <c r="F103" t="s">
        <v>344</v>
      </c>
      <c r="G103" t="s">
        <v>400</v>
      </c>
      <c r="H103">
        <v>181011084158</v>
      </c>
      <c r="I103" t="str">
        <f>CashIntraTable[Portfolio]&amp;VALUE(CashIntraTable[Cash Date])&amp;CashIntraTable[Detail]</f>
        <v>SCBDIGI433851.1. Subscription</v>
      </c>
    </row>
    <row r="104" spans="1:9" x14ac:dyDescent="0.2">
      <c r="A104" t="s">
        <v>414</v>
      </c>
      <c r="B104" t="s">
        <v>23</v>
      </c>
      <c r="C104" s="67">
        <v>43384</v>
      </c>
      <c r="D104" t="s">
        <v>399</v>
      </c>
      <c r="E104">
        <v>2090079.71</v>
      </c>
      <c r="F104" t="s">
        <v>345</v>
      </c>
      <c r="G104" t="s">
        <v>400</v>
      </c>
      <c r="H104">
        <v>181011084158</v>
      </c>
      <c r="I104" t="str">
        <f>CashIntraTable[Portfolio]&amp;VALUE(CashIntraTable[Cash Date])&amp;CashIntraTable[Detail]</f>
        <v>SCBDIGI433841.2. Switch-in</v>
      </c>
    </row>
    <row r="105" spans="1:9" x14ac:dyDescent="0.2">
      <c r="A105" t="s">
        <v>414</v>
      </c>
      <c r="B105" t="s">
        <v>23</v>
      </c>
      <c r="C105" s="67">
        <v>43385</v>
      </c>
      <c r="D105" t="s">
        <v>399</v>
      </c>
      <c r="E105">
        <v>1350160.14</v>
      </c>
      <c r="F105" t="s">
        <v>345</v>
      </c>
      <c r="G105" t="s">
        <v>400</v>
      </c>
      <c r="H105">
        <v>181011084158</v>
      </c>
      <c r="I105" t="str">
        <f>CashIntraTable[Portfolio]&amp;VALUE(CashIntraTable[Cash Date])&amp;CashIntraTable[Detail]</f>
        <v>SCBDIGI433851.2. Switch-in</v>
      </c>
    </row>
    <row r="106" spans="1:9" x14ac:dyDescent="0.2">
      <c r="A106" t="s">
        <v>414</v>
      </c>
      <c r="B106" t="s">
        <v>23</v>
      </c>
      <c r="C106" s="67">
        <v>43389</v>
      </c>
      <c r="D106" t="s">
        <v>399</v>
      </c>
      <c r="E106">
        <v>2000</v>
      </c>
      <c r="F106" t="s">
        <v>345</v>
      </c>
      <c r="G106" t="s">
        <v>400</v>
      </c>
      <c r="H106">
        <v>181011084158</v>
      </c>
      <c r="I106" t="str">
        <f>CashIntraTable[Portfolio]&amp;VALUE(CashIntraTable[Cash Date])&amp;CashIntraTable[Detail]</f>
        <v>SCBDIGI433891.2. Switch-in</v>
      </c>
    </row>
    <row r="107" spans="1:9" x14ac:dyDescent="0.2">
      <c r="A107" t="s">
        <v>414</v>
      </c>
      <c r="B107" t="s">
        <v>23</v>
      </c>
      <c r="C107" s="67">
        <v>43390</v>
      </c>
      <c r="D107" t="s">
        <v>399</v>
      </c>
      <c r="E107">
        <v>26074.6</v>
      </c>
      <c r="F107" t="s">
        <v>345</v>
      </c>
      <c r="G107" t="s">
        <v>400</v>
      </c>
      <c r="H107">
        <v>181011084158</v>
      </c>
      <c r="I107" t="str">
        <f>CashIntraTable[Portfolio]&amp;VALUE(CashIntraTable[Cash Date])&amp;CashIntraTable[Detail]</f>
        <v>SCBDIGI433901.2. Switch-in</v>
      </c>
    </row>
    <row r="108" spans="1:9" x14ac:dyDescent="0.2">
      <c r="A108" t="s">
        <v>414</v>
      </c>
      <c r="B108" t="s">
        <v>23</v>
      </c>
      <c r="C108" s="67">
        <v>43384</v>
      </c>
      <c r="D108" t="s">
        <v>399</v>
      </c>
      <c r="E108">
        <v>-562713.59</v>
      </c>
      <c r="F108" t="s">
        <v>346</v>
      </c>
      <c r="G108" t="s">
        <v>400</v>
      </c>
      <c r="H108">
        <v>181011084158</v>
      </c>
      <c r="I108" t="str">
        <f>CashIntraTable[Portfolio]&amp;VALUE(CashIntraTable[Cash Date])&amp;CashIntraTable[Detail]</f>
        <v>SCBDIGI433842.1. Redemption</v>
      </c>
    </row>
    <row r="109" spans="1:9" x14ac:dyDescent="0.2">
      <c r="A109" t="s">
        <v>414</v>
      </c>
      <c r="B109" t="s">
        <v>23</v>
      </c>
      <c r="C109" s="67">
        <v>43385</v>
      </c>
      <c r="D109" t="s">
        <v>399</v>
      </c>
      <c r="E109">
        <v>-1771719.18</v>
      </c>
      <c r="F109" t="s">
        <v>346</v>
      </c>
      <c r="G109" t="s">
        <v>400</v>
      </c>
      <c r="H109">
        <v>181011084158</v>
      </c>
      <c r="I109" t="str">
        <f>CashIntraTable[Portfolio]&amp;VALUE(CashIntraTable[Cash Date])&amp;CashIntraTable[Detail]</f>
        <v>SCBDIGI433852.1. Redemption</v>
      </c>
    </row>
    <row r="110" spans="1:9" x14ac:dyDescent="0.2">
      <c r="A110" t="s">
        <v>414</v>
      </c>
      <c r="B110" t="s">
        <v>23</v>
      </c>
      <c r="C110" s="67">
        <v>43389</v>
      </c>
      <c r="D110" t="s">
        <v>399</v>
      </c>
      <c r="E110">
        <v>-2634722</v>
      </c>
      <c r="F110" t="s">
        <v>346</v>
      </c>
      <c r="G110" t="s">
        <v>400</v>
      </c>
      <c r="H110">
        <v>181011084158</v>
      </c>
      <c r="I110" t="str">
        <f>CashIntraTable[Portfolio]&amp;VALUE(CashIntraTable[Cash Date])&amp;CashIntraTable[Detail]</f>
        <v>SCBDIGI433892.1. Redemption</v>
      </c>
    </row>
    <row r="111" spans="1:9" x14ac:dyDescent="0.2">
      <c r="A111" t="s">
        <v>414</v>
      </c>
      <c r="B111" t="s">
        <v>23</v>
      </c>
      <c r="C111" s="67">
        <v>43390</v>
      </c>
      <c r="D111" t="s">
        <v>399</v>
      </c>
      <c r="E111">
        <v>-14235.5</v>
      </c>
      <c r="F111" t="s">
        <v>346</v>
      </c>
      <c r="G111" t="s">
        <v>400</v>
      </c>
      <c r="H111">
        <v>181011084158</v>
      </c>
      <c r="I111" t="str">
        <f>CashIntraTable[Portfolio]&amp;VALUE(CashIntraTable[Cash Date])&amp;CashIntraTable[Detail]</f>
        <v>SCBDIGI433902.1. Redemption</v>
      </c>
    </row>
    <row r="112" spans="1:9" x14ac:dyDescent="0.2">
      <c r="A112" t="s">
        <v>414</v>
      </c>
      <c r="B112" t="s">
        <v>23</v>
      </c>
      <c r="C112" s="67">
        <v>43391</v>
      </c>
      <c r="D112" t="s">
        <v>399</v>
      </c>
      <c r="E112">
        <v>-2016131.38</v>
      </c>
      <c r="F112" t="s">
        <v>346</v>
      </c>
      <c r="G112" t="s">
        <v>400</v>
      </c>
      <c r="H112">
        <v>181011084158</v>
      </c>
      <c r="I112" t="str">
        <f>CashIntraTable[Portfolio]&amp;VALUE(CashIntraTable[Cash Date])&amp;CashIntraTable[Detail]</f>
        <v>SCBDIGI433912.1. Redemption</v>
      </c>
    </row>
    <row r="113" spans="1:9" x14ac:dyDescent="0.2">
      <c r="A113" t="s">
        <v>414</v>
      </c>
      <c r="B113" t="s">
        <v>23</v>
      </c>
      <c r="C113" s="67">
        <v>43384</v>
      </c>
      <c r="D113" t="s">
        <v>399</v>
      </c>
      <c r="E113">
        <v>-1978245.64</v>
      </c>
      <c r="F113" t="s">
        <v>347</v>
      </c>
      <c r="G113" t="s">
        <v>400</v>
      </c>
      <c r="H113">
        <v>181011084158</v>
      </c>
      <c r="I113" t="str">
        <f>CashIntraTable[Portfolio]&amp;VALUE(CashIntraTable[Cash Date])&amp;CashIntraTable[Detail]</f>
        <v>SCBDIGI433842.2. Switch-out</v>
      </c>
    </row>
    <row r="114" spans="1:9" x14ac:dyDescent="0.2">
      <c r="A114" t="s">
        <v>414</v>
      </c>
      <c r="B114" t="s">
        <v>23</v>
      </c>
      <c r="C114" s="67">
        <v>43389</v>
      </c>
      <c r="D114" t="s">
        <v>399</v>
      </c>
      <c r="E114">
        <v>-1161758.1100000001</v>
      </c>
      <c r="F114" t="s">
        <v>347</v>
      </c>
      <c r="G114" t="s">
        <v>400</v>
      </c>
      <c r="H114">
        <v>181011084158</v>
      </c>
      <c r="I114" t="str">
        <f>CashIntraTable[Portfolio]&amp;VALUE(CashIntraTable[Cash Date])&amp;CashIntraTable[Detail]</f>
        <v>SCBDIGI433892.2. Switch-out</v>
      </c>
    </row>
    <row r="115" spans="1:9" x14ac:dyDescent="0.2">
      <c r="A115" t="s">
        <v>414</v>
      </c>
      <c r="B115" t="s">
        <v>23</v>
      </c>
      <c r="C115" s="67">
        <v>43390</v>
      </c>
      <c r="D115" t="s">
        <v>399</v>
      </c>
      <c r="E115">
        <v>-431205.78</v>
      </c>
      <c r="F115" t="s">
        <v>347</v>
      </c>
      <c r="G115" t="s">
        <v>400</v>
      </c>
      <c r="H115">
        <v>181011084158</v>
      </c>
      <c r="I115" t="str">
        <f>CashIntraTable[Portfolio]&amp;VALUE(CashIntraTable[Cash Date])&amp;CashIntraTable[Detail]</f>
        <v>SCBDIGI433902.2. Switch-out</v>
      </c>
    </row>
    <row r="116" spans="1:9" x14ac:dyDescent="0.2">
      <c r="A116" t="s">
        <v>414</v>
      </c>
      <c r="B116" t="s">
        <v>23</v>
      </c>
      <c r="C116" s="67">
        <v>43391</v>
      </c>
      <c r="D116" t="s">
        <v>399</v>
      </c>
      <c r="E116">
        <v>-3715114.95</v>
      </c>
      <c r="F116" t="s">
        <v>347</v>
      </c>
      <c r="G116" t="s">
        <v>400</v>
      </c>
      <c r="H116">
        <v>181011084158</v>
      </c>
      <c r="I116" t="str">
        <f>CashIntraTable[Portfolio]&amp;VALUE(CashIntraTable[Cash Date])&amp;CashIntraTable[Detail]</f>
        <v>SCBDIGI433912.2. Switch-out</v>
      </c>
    </row>
    <row r="117" spans="1:9" x14ac:dyDescent="0.2">
      <c r="A117" t="s">
        <v>415</v>
      </c>
      <c r="B117" t="s">
        <v>23</v>
      </c>
      <c r="C117" s="67">
        <v>43384</v>
      </c>
      <c r="D117" t="s">
        <v>399</v>
      </c>
      <c r="E117">
        <v>5061951.78</v>
      </c>
      <c r="F117" t="s">
        <v>344</v>
      </c>
      <c r="G117" t="s">
        <v>400</v>
      </c>
      <c r="H117">
        <v>181011084158</v>
      </c>
      <c r="I117" t="str">
        <f>CashIntraTable[Portfolio]&amp;VALUE(CashIntraTable[Cash Date])&amp;CashIntraTable[Detail]</f>
        <v>SCBDVFUND433841.1. Subscription</v>
      </c>
    </row>
    <row r="118" spans="1:9" x14ac:dyDescent="0.2">
      <c r="A118" t="s">
        <v>415</v>
      </c>
      <c r="B118" t="s">
        <v>23</v>
      </c>
      <c r="C118" s="67">
        <v>43385</v>
      </c>
      <c r="D118" t="s">
        <v>399</v>
      </c>
      <c r="E118">
        <v>283700</v>
      </c>
      <c r="F118" t="s">
        <v>344</v>
      </c>
      <c r="G118" t="s">
        <v>400</v>
      </c>
      <c r="H118">
        <v>181011084158</v>
      </c>
      <c r="I118" t="str">
        <f>CashIntraTable[Portfolio]&amp;VALUE(CashIntraTable[Cash Date])&amp;CashIntraTable[Detail]</f>
        <v>SCBDVFUND433851.1. Subscription</v>
      </c>
    </row>
    <row r="119" spans="1:9" x14ac:dyDescent="0.2">
      <c r="A119" t="s">
        <v>415</v>
      </c>
      <c r="B119" t="s">
        <v>23</v>
      </c>
      <c r="C119" s="67">
        <v>43384</v>
      </c>
      <c r="D119" t="s">
        <v>399</v>
      </c>
      <c r="E119">
        <v>3640274.39</v>
      </c>
      <c r="F119" t="s">
        <v>345</v>
      </c>
      <c r="G119" t="s">
        <v>400</v>
      </c>
      <c r="H119">
        <v>181011084158</v>
      </c>
      <c r="I119" t="str">
        <f>CashIntraTable[Portfolio]&amp;VALUE(CashIntraTable[Cash Date])&amp;CashIntraTable[Detail]</f>
        <v>SCBDVFUND433841.2. Switch-in</v>
      </c>
    </row>
    <row r="120" spans="1:9" x14ac:dyDescent="0.2">
      <c r="A120" t="s">
        <v>415</v>
      </c>
      <c r="B120" t="s">
        <v>23</v>
      </c>
      <c r="C120" s="67">
        <v>43385</v>
      </c>
      <c r="D120" t="s">
        <v>399</v>
      </c>
      <c r="E120">
        <v>3578399.54</v>
      </c>
      <c r="F120" t="s">
        <v>345</v>
      </c>
      <c r="G120" t="s">
        <v>400</v>
      </c>
      <c r="H120">
        <v>181011084158</v>
      </c>
      <c r="I120" t="str">
        <f>CashIntraTable[Portfolio]&amp;VALUE(CashIntraTable[Cash Date])&amp;CashIntraTable[Detail]</f>
        <v>SCBDVFUND433851.2. Switch-in</v>
      </c>
    </row>
    <row r="121" spans="1:9" x14ac:dyDescent="0.2">
      <c r="A121" t="s">
        <v>415</v>
      </c>
      <c r="B121" t="s">
        <v>23</v>
      </c>
      <c r="C121" s="67">
        <v>43389</v>
      </c>
      <c r="D121" t="s">
        <v>399</v>
      </c>
      <c r="E121">
        <v>3565846.36</v>
      </c>
      <c r="F121" t="s">
        <v>345</v>
      </c>
      <c r="G121" t="s">
        <v>400</v>
      </c>
      <c r="H121">
        <v>181011084158</v>
      </c>
      <c r="I121" t="str">
        <f>CashIntraTable[Portfolio]&amp;VALUE(CashIntraTable[Cash Date])&amp;CashIntraTable[Detail]</f>
        <v>SCBDVFUND433891.2. Switch-in</v>
      </c>
    </row>
    <row r="122" spans="1:9" x14ac:dyDescent="0.2">
      <c r="A122" t="s">
        <v>415</v>
      </c>
      <c r="B122" t="s">
        <v>23</v>
      </c>
      <c r="C122" s="67">
        <v>43384</v>
      </c>
      <c r="D122" t="s">
        <v>399</v>
      </c>
      <c r="E122">
        <v>-336419.22</v>
      </c>
      <c r="F122" t="s">
        <v>346</v>
      </c>
      <c r="G122" t="s">
        <v>400</v>
      </c>
      <c r="H122">
        <v>181011084158</v>
      </c>
      <c r="I122" t="str">
        <f>CashIntraTable[Portfolio]&amp;VALUE(CashIntraTable[Cash Date])&amp;CashIntraTable[Detail]</f>
        <v>SCBDVFUND433842.1. Redemption</v>
      </c>
    </row>
    <row r="123" spans="1:9" x14ac:dyDescent="0.2">
      <c r="A123" t="s">
        <v>415</v>
      </c>
      <c r="B123" t="s">
        <v>23</v>
      </c>
      <c r="C123" s="67">
        <v>43385</v>
      </c>
      <c r="D123" t="s">
        <v>399</v>
      </c>
      <c r="E123">
        <v>-64851.96</v>
      </c>
      <c r="F123" t="s">
        <v>346</v>
      </c>
      <c r="G123" t="s">
        <v>400</v>
      </c>
      <c r="H123">
        <v>181011084158</v>
      </c>
      <c r="I123" t="str">
        <f>CashIntraTable[Portfolio]&amp;VALUE(CashIntraTable[Cash Date])&amp;CashIntraTable[Detail]</f>
        <v>SCBDVFUND433852.1. Redemption</v>
      </c>
    </row>
    <row r="124" spans="1:9" x14ac:dyDescent="0.2">
      <c r="A124" t="s">
        <v>415</v>
      </c>
      <c r="B124" t="s">
        <v>23</v>
      </c>
      <c r="C124" s="67">
        <v>43389</v>
      </c>
      <c r="D124" t="s">
        <v>399</v>
      </c>
      <c r="E124">
        <v>-2422869.4</v>
      </c>
      <c r="F124" t="s">
        <v>346</v>
      </c>
      <c r="G124" t="s">
        <v>400</v>
      </c>
      <c r="H124">
        <v>181011084158</v>
      </c>
      <c r="I124" t="str">
        <f>CashIntraTable[Portfolio]&amp;VALUE(CashIntraTable[Cash Date])&amp;CashIntraTable[Detail]</f>
        <v>SCBDVFUND433892.1. Redemption</v>
      </c>
    </row>
    <row r="125" spans="1:9" x14ac:dyDescent="0.2">
      <c r="A125" t="s">
        <v>415</v>
      </c>
      <c r="B125" t="s">
        <v>23</v>
      </c>
      <c r="C125" s="67">
        <v>43384</v>
      </c>
      <c r="D125" t="s">
        <v>399</v>
      </c>
      <c r="E125">
        <v>-32602.720000000001</v>
      </c>
      <c r="F125" t="s">
        <v>347</v>
      </c>
      <c r="G125" t="s">
        <v>400</v>
      </c>
      <c r="H125">
        <v>181011084158</v>
      </c>
      <c r="I125" t="str">
        <f>CashIntraTable[Portfolio]&amp;VALUE(CashIntraTable[Cash Date])&amp;CashIntraTable[Detail]</f>
        <v>SCBDVFUND433842.2. Switch-out</v>
      </c>
    </row>
    <row r="126" spans="1:9" x14ac:dyDescent="0.2">
      <c r="A126" t="s">
        <v>415</v>
      </c>
      <c r="B126" t="s">
        <v>23</v>
      </c>
      <c r="C126" s="67">
        <v>43385</v>
      </c>
      <c r="D126" t="s">
        <v>399</v>
      </c>
      <c r="E126">
        <v>-4000</v>
      </c>
      <c r="F126" t="s">
        <v>347</v>
      </c>
      <c r="G126" t="s">
        <v>400</v>
      </c>
      <c r="H126">
        <v>181011084158</v>
      </c>
      <c r="I126" t="str">
        <f>CashIntraTable[Portfolio]&amp;VALUE(CashIntraTable[Cash Date])&amp;CashIntraTable[Detail]</f>
        <v>SCBDVFUND433852.2. Switch-out</v>
      </c>
    </row>
    <row r="127" spans="1:9" x14ac:dyDescent="0.2">
      <c r="A127" t="s">
        <v>415</v>
      </c>
      <c r="B127" t="s">
        <v>23</v>
      </c>
      <c r="C127" s="67">
        <v>43389</v>
      </c>
      <c r="D127" t="s">
        <v>399</v>
      </c>
      <c r="E127">
        <v>-4922.1499999999996</v>
      </c>
      <c r="F127" t="s">
        <v>347</v>
      </c>
      <c r="G127" t="s">
        <v>400</v>
      </c>
      <c r="H127">
        <v>181011084158</v>
      </c>
      <c r="I127" t="str">
        <f>CashIntraTable[Portfolio]&amp;VALUE(CashIntraTable[Cash Date])&amp;CashIntraTable[Detail]</f>
        <v>SCBDVFUND433892.2. Switch-out</v>
      </c>
    </row>
    <row r="128" spans="1:9" x14ac:dyDescent="0.2">
      <c r="A128" t="s">
        <v>416</v>
      </c>
      <c r="B128" t="s">
        <v>23</v>
      </c>
      <c r="C128" s="67">
        <v>43384</v>
      </c>
      <c r="D128" t="s">
        <v>399</v>
      </c>
      <c r="E128">
        <v>1000</v>
      </c>
      <c r="F128" t="s">
        <v>344</v>
      </c>
      <c r="G128" t="s">
        <v>400</v>
      </c>
      <c r="H128">
        <v>181011084158</v>
      </c>
      <c r="I128" t="str">
        <f>CashIntraTable[Portfolio]&amp;VALUE(CashIntraTable[Cash Date])&amp;CashIntraTable[Detail]</f>
        <v>SCBEMBOND433841.1. Subscription</v>
      </c>
    </row>
    <row r="129" spans="1:9" x14ac:dyDescent="0.2">
      <c r="A129" t="s">
        <v>416</v>
      </c>
      <c r="B129" t="s">
        <v>23</v>
      </c>
      <c r="C129" s="67">
        <v>43385</v>
      </c>
      <c r="D129" t="s">
        <v>399</v>
      </c>
      <c r="E129">
        <v>4000</v>
      </c>
      <c r="F129" t="s">
        <v>344</v>
      </c>
      <c r="G129" t="s">
        <v>400</v>
      </c>
      <c r="H129">
        <v>181011084158</v>
      </c>
      <c r="I129" t="str">
        <f>CashIntraTable[Portfolio]&amp;VALUE(CashIntraTable[Cash Date])&amp;CashIntraTable[Detail]</f>
        <v>SCBEMBOND433851.1. Subscription</v>
      </c>
    </row>
    <row r="130" spans="1:9" x14ac:dyDescent="0.2">
      <c r="A130" t="s">
        <v>416</v>
      </c>
      <c r="B130" t="s">
        <v>23</v>
      </c>
      <c r="C130" s="67">
        <v>43384</v>
      </c>
      <c r="D130" t="s">
        <v>399</v>
      </c>
      <c r="E130">
        <v>-1936191.15</v>
      </c>
      <c r="F130" t="s">
        <v>347</v>
      </c>
      <c r="G130" t="s">
        <v>400</v>
      </c>
      <c r="H130">
        <v>181011084158</v>
      </c>
      <c r="I130" t="str">
        <f>CashIntraTable[Portfolio]&amp;VALUE(CashIntraTable[Cash Date])&amp;CashIntraTable[Detail]</f>
        <v>SCBEMBOND433842.2. Switch-out</v>
      </c>
    </row>
    <row r="131" spans="1:9" x14ac:dyDescent="0.2">
      <c r="A131" t="s">
        <v>417</v>
      </c>
      <c r="B131" t="s">
        <v>23</v>
      </c>
      <c r="C131" s="67">
        <v>43384</v>
      </c>
      <c r="D131" t="s">
        <v>399</v>
      </c>
      <c r="E131">
        <v>8000</v>
      </c>
      <c r="F131" t="s">
        <v>344</v>
      </c>
      <c r="G131" t="s">
        <v>400</v>
      </c>
      <c r="H131">
        <v>181011084158</v>
      </c>
      <c r="I131" t="str">
        <f>CashIntraTable[Portfolio]&amp;VALUE(CashIntraTable[Cash Date])&amp;CashIntraTable[Detail]</f>
        <v>SCBEMEQFUND433841.1. Subscription</v>
      </c>
    </row>
    <row r="132" spans="1:9" x14ac:dyDescent="0.2">
      <c r="A132" t="s">
        <v>417</v>
      </c>
      <c r="B132" t="s">
        <v>23</v>
      </c>
      <c r="C132" s="67">
        <v>43385</v>
      </c>
      <c r="D132" t="s">
        <v>399</v>
      </c>
      <c r="E132">
        <v>1000</v>
      </c>
      <c r="F132" t="s">
        <v>344</v>
      </c>
      <c r="G132" t="s">
        <v>400</v>
      </c>
      <c r="H132">
        <v>181011084158</v>
      </c>
      <c r="I132" t="str">
        <f>CashIntraTable[Portfolio]&amp;VALUE(CashIntraTable[Cash Date])&amp;CashIntraTable[Detail]</f>
        <v>SCBEMEQFUND433851.1. Subscription</v>
      </c>
    </row>
    <row r="133" spans="1:9" x14ac:dyDescent="0.2">
      <c r="A133" t="s">
        <v>417</v>
      </c>
      <c r="B133" t="s">
        <v>23</v>
      </c>
      <c r="C133" s="67">
        <v>43384</v>
      </c>
      <c r="D133" t="s">
        <v>399</v>
      </c>
      <c r="E133">
        <v>994.68</v>
      </c>
      <c r="F133" t="s">
        <v>345</v>
      </c>
      <c r="G133" t="s">
        <v>400</v>
      </c>
      <c r="H133">
        <v>181011084158</v>
      </c>
      <c r="I133" t="str">
        <f>CashIntraTable[Portfolio]&amp;VALUE(CashIntraTable[Cash Date])&amp;CashIntraTable[Detail]</f>
        <v>SCBEMEQFUND433841.2. Switch-in</v>
      </c>
    </row>
    <row r="134" spans="1:9" x14ac:dyDescent="0.2">
      <c r="A134" t="s">
        <v>417</v>
      </c>
      <c r="B134" t="s">
        <v>23</v>
      </c>
      <c r="C134" s="67">
        <v>43384</v>
      </c>
      <c r="D134" t="s">
        <v>399</v>
      </c>
      <c r="E134">
        <v>-714413.21</v>
      </c>
      <c r="F134" t="s">
        <v>346</v>
      </c>
      <c r="G134" t="s">
        <v>400</v>
      </c>
      <c r="H134">
        <v>181011084158</v>
      </c>
      <c r="I134" t="str">
        <f>CashIntraTable[Portfolio]&amp;VALUE(CashIntraTable[Cash Date])&amp;CashIntraTable[Detail]</f>
        <v>SCBEMEQFUND433842.1. Redemption</v>
      </c>
    </row>
    <row r="135" spans="1:9" x14ac:dyDescent="0.2">
      <c r="A135" t="s">
        <v>417</v>
      </c>
      <c r="B135" t="s">
        <v>23</v>
      </c>
      <c r="C135" s="67">
        <v>43389</v>
      </c>
      <c r="D135" t="s">
        <v>399</v>
      </c>
      <c r="E135">
        <v>-73068.02</v>
      </c>
      <c r="F135" t="s">
        <v>346</v>
      </c>
      <c r="G135" t="s">
        <v>400</v>
      </c>
      <c r="H135">
        <v>181011084158</v>
      </c>
      <c r="I135" t="str">
        <f>CashIntraTable[Portfolio]&amp;VALUE(CashIntraTable[Cash Date])&amp;CashIntraTable[Detail]</f>
        <v>SCBEMEQFUND433892.1. Redemption</v>
      </c>
    </row>
    <row r="136" spans="1:9" x14ac:dyDescent="0.2">
      <c r="A136" t="s">
        <v>417</v>
      </c>
      <c r="B136" t="s">
        <v>23</v>
      </c>
      <c r="C136" s="67">
        <v>43390</v>
      </c>
      <c r="D136" t="s">
        <v>399</v>
      </c>
      <c r="E136">
        <v>-950.51</v>
      </c>
      <c r="F136" t="s">
        <v>346</v>
      </c>
      <c r="G136" t="s">
        <v>400</v>
      </c>
      <c r="H136">
        <v>181011084158</v>
      </c>
      <c r="I136" t="str">
        <f>CashIntraTable[Portfolio]&amp;VALUE(CashIntraTable[Cash Date])&amp;CashIntraTable[Detail]</f>
        <v>SCBEMEQFUND433902.1. Redemption</v>
      </c>
    </row>
    <row r="137" spans="1:9" x14ac:dyDescent="0.2">
      <c r="A137" t="s">
        <v>417</v>
      </c>
      <c r="B137" t="s">
        <v>23</v>
      </c>
      <c r="C137" s="67">
        <v>43391</v>
      </c>
      <c r="D137" t="s">
        <v>399</v>
      </c>
      <c r="E137">
        <v>-4798.55</v>
      </c>
      <c r="F137" t="s">
        <v>346</v>
      </c>
      <c r="G137" t="s">
        <v>400</v>
      </c>
      <c r="H137">
        <v>181011084158</v>
      </c>
      <c r="I137" t="str">
        <f>CashIntraTable[Portfolio]&amp;VALUE(CashIntraTable[Cash Date])&amp;CashIntraTable[Detail]</f>
        <v>SCBEMEQFUND433912.1. Redemption</v>
      </c>
    </row>
    <row r="138" spans="1:9" x14ac:dyDescent="0.2">
      <c r="A138" t="s">
        <v>417</v>
      </c>
      <c r="B138" t="s">
        <v>23</v>
      </c>
      <c r="C138" s="67">
        <v>43385</v>
      </c>
      <c r="D138" t="s">
        <v>399</v>
      </c>
      <c r="E138">
        <v>-19191.849999999999</v>
      </c>
      <c r="F138" t="s">
        <v>347</v>
      </c>
      <c r="G138" t="s">
        <v>400</v>
      </c>
      <c r="H138">
        <v>181011084158</v>
      </c>
      <c r="I138" t="str">
        <f>CashIntraTable[Portfolio]&amp;VALUE(CashIntraTable[Cash Date])&amp;CashIntraTable[Detail]</f>
        <v>SCBEMEQFUND433852.2. Switch-out</v>
      </c>
    </row>
    <row r="139" spans="1:9" x14ac:dyDescent="0.2">
      <c r="A139" t="s">
        <v>417</v>
      </c>
      <c r="B139" t="s">
        <v>23</v>
      </c>
      <c r="C139" s="67">
        <v>43389</v>
      </c>
      <c r="D139" t="s">
        <v>399</v>
      </c>
      <c r="E139">
        <v>-7344997.3899999997</v>
      </c>
      <c r="F139" t="s">
        <v>347</v>
      </c>
      <c r="G139" t="s">
        <v>400</v>
      </c>
      <c r="H139">
        <v>181011084158</v>
      </c>
      <c r="I139" t="str">
        <f>CashIntraTable[Portfolio]&amp;VALUE(CashIntraTable[Cash Date])&amp;CashIntraTable[Detail]</f>
        <v>SCBEMEQFUND433892.2. Switch-out</v>
      </c>
    </row>
    <row r="140" spans="1:9" x14ac:dyDescent="0.2">
      <c r="A140" t="s">
        <v>417</v>
      </c>
      <c r="B140" t="s">
        <v>23</v>
      </c>
      <c r="C140" s="67">
        <v>43390</v>
      </c>
      <c r="D140" t="s">
        <v>399</v>
      </c>
      <c r="E140">
        <v>-1000000</v>
      </c>
      <c r="F140" t="s">
        <v>347</v>
      </c>
      <c r="G140" t="s">
        <v>400</v>
      </c>
      <c r="H140">
        <v>181011084158</v>
      </c>
      <c r="I140" t="str">
        <f>CashIntraTable[Portfolio]&amp;VALUE(CashIntraTable[Cash Date])&amp;CashIntraTable[Detail]</f>
        <v>SCBEMEQFUND433902.2. Switch-out</v>
      </c>
    </row>
    <row r="141" spans="1:9" x14ac:dyDescent="0.2">
      <c r="A141" t="s">
        <v>418</v>
      </c>
      <c r="B141" t="s">
        <v>23</v>
      </c>
      <c r="C141" s="67">
        <v>43384</v>
      </c>
      <c r="D141" t="s">
        <v>399</v>
      </c>
      <c r="E141">
        <v>2280198.21</v>
      </c>
      <c r="F141" t="s">
        <v>344</v>
      </c>
      <c r="G141" t="s">
        <v>400</v>
      </c>
      <c r="H141">
        <v>181011084158</v>
      </c>
      <c r="I141" t="str">
        <f>CashIntraTable[Portfolio]&amp;VALUE(CashIntraTable[Cash Date])&amp;CashIntraTable[Detail]</f>
        <v>SCBENERGYFUND433841.1. Subscription</v>
      </c>
    </row>
    <row r="142" spans="1:9" x14ac:dyDescent="0.2">
      <c r="A142" t="s">
        <v>418</v>
      </c>
      <c r="B142" t="s">
        <v>23</v>
      </c>
      <c r="C142" s="67">
        <v>43385</v>
      </c>
      <c r="D142" t="s">
        <v>399</v>
      </c>
      <c r="E142">
        <v>284000</v>
      </c>
      <c r="F142" t="s">
        <v>344</v>
      </c>
      <c r="G142" t="s">
        <v>400</v>
      </c>
      <c r="H142">
        <v>181011084158</v>
      </c>
      <c r="I142" t="str">
        <f>CashIntraTable[Portfolio]&amp;VALUE(CashIntraTable[Cash Date])&amp;CashIntraTable[Detail]</f>
        <v>SCBENERGYFUND433851.1. Subscription</v>
      </c>
    </row>
    <row r="143" spans="1:9" x14ac:dyDescent="0.2">
      <c r="A143" t="s">
        <v>418</v>
      </c>
      <c r="B143" t="s">
        <v>23</v>
      </c>
      <c r="C143" s="67">
        <v>43384</v>
      </c>
      <c r="D143" t="s">
        <v>399</v>
      </c>
      <c r="E143">
        <v>12654975.710000001</v>
      </c>
      <c r="F143" t="s">
        <v>345</v>
      </c>
      <c r="G143" t="s">
        <v>400</v>
      </c>
      <c r="H143">
        <v>181011084158</v>
      </c>
      <c r="I143" t="str">
        <f>CashIntraTable[Portfolio]&amp;VALUE(CashIntraTable[Cash Date])&amp;CashIntraTable[Detail]</f>
        <v>SCBENERGYFUND433841.2. Switch-in</v>
      </c>
    </row>
    <row r="144" spans="1:9" x14ac:dyDescent="0.2">
      <c r="A144" t="s">
        <v>418</v>
      </c>
      <c r="B144" t="s">
        <v>23</v>
      </c>
      <c r="C144" s="67">
        <v>43385</v>
      </c>
      <c r="D144" t="s">
        <v>399</v>
      </c>
      <c r="E144">
        <v>222534.22</v>
      </c>
      <c r="F144" t="s">
        <v>345</v>
      </c>
      <c r="G144" t="s">
        <v>400</v>
      </c>
      <c r="H144">
        <v>181011084158</v>
      </c>
      <c r="I144" t="str">
        <f>CashIntraTable[Portfolio]&amp;VALUE(CashIntraTable[Cash Date])&amp;CashIntraTable[Detail]</f>
        <v>SCBENERGYFUND433851.2. Switch-in</v>
      </c>
    </row>
    <row r="145" spans="1:9" x14ac:dyDescent="0.2">
      <c r="A145" t="s">
        <v>418</v>
      </c>
      <c r="B145" t="s">
        <v>23</v>
      </c>
      <c r="C145" s="67">
        <v>43389</v>
      </c>
      <c r="D145" t="s">
        <v>399</v>
      </c>
      <c r="E145">
        <v>2001000</v>
      </c>
      <c r="F145" t="s">
        <v>345</v>
      </c>
      <c r="G145" t="s">
        <v>400</v>
      </c>
      <c r="H145">
        <v>181011084158</v>
      </c>
      <c r="I145" t="str">
        <f>CashIntraTable[Portfolio]&amp;VALUE(CashIntraTable[Cash Date])&amp;CashIntraTable[Detail]</f>
        <v>SCBENERGYFUND433891.2. Switch-in</v>
      </c>
    </row>
    <row r="146" spans="1:9" x14ac:dyDescent="0.2">
      <c r="A146" t="s">
        <v>418</v>
      </c>
      <c r="B146" t="s">
        <v>23</v>
      </c>
      <c r="C146" s="67">
        <v>43391</v>
      </c>
      <c r="D146" t="s">
        <v>399</v>
      </c>
      <c r="E146">
        <v>37688.769999999997</v>
      </c>
      <c r="F146" t="s">
        <v>345</v>
      </c>
      <c r="G146" t="s">
        <v>400</v>
      </c>
      <c r="H146">
        <v>181011084158</v>
      </c>
      <c r="I146" t="str">
        <f>CashIntraTable[Portfolio]&amp;VALUE(CashIntraTable[Cash Date])&amp;CashIntraTable[Detail]</f>
        <v>SCBENERGYFUND433911.2. Switch-in</v>
      </c>
    </row>
    <row r="147" spans="1:9" x14ac:dyDescent="0.2">
      <c r="A147" t="s">
        <v>418</v>
      </c>
      <c r="B147" t="s">
        <v>23</v>
      </c>
      <c r="C147" s="67">
        <v>43395</v>
      </c>
      <c r="D147" t="s">
        <v>399</v>
      </c>
      <c r="E147">
        <v>4665.13</v>
      </c>
      <c r="F147" t="s">
        <v>345</v>
      </c>
      <c r="G147" t="s">
        <v>400</v>
      </c>
      <c r="H147">
        <v>181011084158</v>
      </c>
      <c r="I147" t="str">
        <f>CashIntraTable[Portfolio]&amp;VALUE(CashIntraTable[Cash Date])&amp;CashIntraTable[Detail]</f>
        <v>SCBENERGYFUND433951.2. Switch-in</v>
      </c>
    </row>
    <row r="148" spans="1:9" x14ac:dyDescent="0.2">
      <c r="A148" t="s">
        <v>418</v>
      </c>
      <c r="B148" t="s">
        <v>23</v>
      </c>
      <c r="C148" s="67">
        <v>43384</v>
      </c>
      <c r="D148" t="s">
        <v>399</v>
      </c>
      <c r="E148">
        <v>-74268.679999999993</v>
      </c>
      <c r="F148" t="s">
        <v>346</v>
      </c>
      <c r="G148" t="s">
        <v>400</v>
      </c>
      <c r="H148">
        <v>181011084158</v>
      </c>
      <c r="I148" t="str">
        <f>CashIntraTable[Portfolio]&amp;VALUE(CashIntraTable[Cash Date])&amp;CashIntraTable[Detail]</f>
        <v>SCBENERGYFUND433842.1. Redemption</v>
      </c>
    </row>
    <row r="149" spans="1:9" x14ac:dyDescent="0.2">
      <c r="A149" t="s">
        <v>418</v>
      </c>
      <c r="B149" t="s">
        <v>23</v>
      </c>
      <c r="C149" s="67">
        <v>43385</v>
      </c>
      <c r="D149" t="s">
        <v>399</v>
      </c>
      <c r="E149">
        <v>-57789.38</v>
      </c>
      <c r="F149" t="s">
        <v>346</v>
      </c>
      <c r="G149" t="s">
        <v>400</v>
      </c>
      <c r="H149">
        <v>181011084158</v>
      </c>
      <c r="I149" t="str">
        <f>CashIntraTable[Portfolio]&amp;VALUE(CashIntraTable[Cash Date])&amp;CashIntraTable[Detail]</f>
        <v>SCBENERGYFUND433852.1. Redemption</v>
      </c>
    </row>
    <row r="150" spans="1:9" x14ac:dyDescent="0.2">
      <c r="A150" t="s">
        <v>418</v>
      </c>
      <c r="B150" t="s">
        <v>23</v>
      </c>
      <c r="C150" s="67">
        <v>43389</v>
      </c>
      <c r="D150" t="s">
        <v>399</v>
      </c>
      <c r="E150">
        <v>-29012.41</v>
      </c>
      <c r="F150" t="s">
        <v>346</v>
      </c>
      <c r="G150" t="s">
        <v>400</v>
      </c>
      <c r="H150">
        <v>181011084158</v>
      </c>
      <c r="I150" t="str">
        <f>CashIntraTable[Portfolio]&amp;VALUE(CashIntraTable[Cash Date])&amp;CashIntraTable[Detail]</f>
        <v>SCBENERGYFUND433892.1. Redemption</v>
      </c>
    </row>
    <row r="151" spans="1:9" x14ac:dyDescent="0.2">
      <c r="A151" t="s">
        <v>418</v>
      </c>
      <c r="B151" t="s">
        <v>23</v>
      </c>
      <c r="C151" s="67">
        <v>43384</v>
      </c>
      <c r="D151" t="s">
        <v>399</v>
      </c>
      <c r="E151">
        <v>-144835.85</v>
      </c>
      <c r="F151" t="s">
        <v>347</v>
      </c>
      <c r="G151" t="s">
        <v>400</v>
      </c>
      <c r="H151">
        <v>181011084158</v>
      </c>
      <c r="I151" t="str">
        <f>CashIntraTable[Portfolio]&amp;VALUE(CashIntraTable[Cash Date])&amp;CashIntraTable[Detail]</f>
        <v>SCBENERGYFUND433842.2. Switch-out</v>
      </c>
    </row>
    <row r="152" spans="1:9" x14ac:dyDescent="0.2">
      <c r="A152" t="s">
        <v>418</v>
      </c>
      <c r="B152" t="s">
        <v>23</v>
      </c>
      <c r="C152" s="67">
        <v>43385</v>
      </c>
      <c r="D152" t="s">
        <v>399</v>
      </c>
      <c r="E152">
        <v>-374756.9</v>
      </c>
      <c r="F152" t="s">
        <v>347</v>
      </c>
      <c r="G152" t="s">
        <v>400</v>
      </c>
      <c r="H152">
        <v>181011084158</v>
      </c>
      <c r="I152" t="str">
        <f>CashIntraTable[Portfolio]&amp;VALUE(CashIntraTable[Cash Date])&amp;CashIntraTable[Detail]</f>
        <v>SCBENERGYFUND433852.2. Switch-out</v>
      </c>
    </row>
    <row r="153" spans="1:9" x14ac:dyDescent="0.2">
      <c r="A153" t="s">
        <v>418</v>
      </c>
      <c r="B153" t="s">
        <v>23</v>
      </c>
      <c r="C153" s="67">
        <v>43389</v>
      </c>
      <c r="D153" t="s">
        <v>399</v>
      </c>
      <c r="E153">
        <v>-993.42</v>
      </c>
      <c r="F153" t="s">
        <v>347</v>
      </c>
      <c r="G153" t="s">
        <v>400</v>
      </c>
      <c r="H153">
        <v>181011084158</v>
      </c>
      <c r="I153" t="str">
        <f>CashIntraTable[Portfolio]&amp;VALUE(CashIntraTable[Cash Date])&amp;CashIntraTable[Detail]</f>
        <v>SCBENERGYFUND433892.2. Switch-out</v>
      </c>
    </row>
    <row r="154" spans="1:9" x14ac:dyDescent="0.2">
      <c r="A154" t="s">
        <v>419</v>
      </c>
      <c r="B154" t="s">
        <v>23</v>
      </c>
      <c r="C154" s="67">
        <v>43384</v>
      </c>
      <c r="D154" t="s">
        <v>399</v>
      </c>
      <c r="E154">
        <v>115500</v>
      </c>
      <c r="F154" t="s">
        <v>344</v>
      </c>
      <c r="G154" t="s">
        <v>400</v>
      </c>
      <c r="H154">
        <v>181011084158</v>
      </c>
      <c r="I154" t="str">
        <f>CashIntraTable[Portfolio]&amp;VALUE(CashIntraTable[Cash Date])&amp;CashIntraTable[Detail]</f>
        <v>SCBEUEQ433841.1. Subscription</v>
      </c>
    </row>
    <row r="155" spans="1:9" x14ac:dyDescent="0.2">
      <c r="A155" t="s">
        <v>419</v>
      </c>
      <c r="B155" t="s">
        <v>23</v>
      </c>
      <c r="C155" s="67">
        <v>43384</v>
      </c>
      <c r="D155" t="s">
        <v>399</v>
      </c>
      <c r="E155">
        <v>125000</v>
      </c>
      <c r="F155" t="s">
        <v>345</v>
      </c>
      <c r="G155" t="s">
        <v>400</v>
      </c>
      <c r="H155">
        <v>181011084158</v>
      </c>
      <c r="I155" t="str">
        <f>CashIntraTable[Portfolio]&amp;VALUE(CashIntraTable[Cash Date])&amp;CashIntraTable[Detail]</f>
        <v>SCBEUEQ433841.2. Switch-in</v>
      </c>
    </row>
    <row r="156" spans="1:9" x14ac:dyDescent="0.2">
      <c r="A156" t="s">
        <v>419</v>
      </c>
      <c r="B156" t="s">
        <v>23</v>
      </c>
      <c r="C156" s="67">
        <v>43385</v>
      </c>
      <c r="D156" t="s">
        <v>399</v>
      </c>
      <c r="E156">
        <v>-1931.77</v>
      </c>
      <c r="F156" t="s">
        <v>346</v>
      </c>
      <c r="G156" t="s">
        <v>400</v>
      </c>
      <c r="H156">
        <v>181011084158</v>
      </c>
      <c r="I156" t="str">
        <f>CashIntraTable[Portfolio]&amp;VALUE(CashIntraTable[Cash Date])&amp;CashIntraTable[Detail]</f>
        <v>SCBEUEQ433852.1. Redemption</v>
      </c>
    </row>
    <row r="157" spans="1:9" x14ac:dyDescent="0.2">
      <c r="A157" t="s">
        <v>419</v>
      </c>
      <c r="B157" t="s">
        <v>23</v>
      </c>
      <c r="C157" s="67">
        <v>43384</v>
      </c>
      <c r="D157" t="s">
        <v>399</v>
      </c>
      <c r="E157">
        <v>-236196.05</v>
      </c>
      <c r="F157" t="s">
        <v>347</v>
      </c>
      <c r="G157" t="s">
        <v>400</v>
      </c>
      <c r="H157">
        <v>181011084158</v>
      </c>
      <c r="I157" t="str">
        <f>CashIntraTable[Portfolio]&amp;VALUE(CashIntraTable[Cash Date])&amp;CashIntraTable[Detail]</f>
        <v>SCBEUEQ433842.2. Switch-out</v>
      </c>
    </row>
    <row r="158" spans="1:9" x14ac:dyDescent="0.2">
      <c r="A158" t="s">
        <v>420</v>
      </c>
      <c r="B158" t="s">
        <v>23</v>
      </c>
      <c r="C158" s="67">
        <v>43384</v>
      </c>
      <c r="D158" t="s">
        <v>399</v>
      </c>
      <c r="E158">
        <v>3510500</v>
      </c>
      <c r="F158" t="s">
        <v>344</v>
      </c>
      <c r="G158" t="s">
        <v>400</v>
      </c>
      <c r="H158">
        <v>181011084158</v>
      </c>
      <c r="I158" t="str">
        <f>CashIntraTable[Portfolio]&amp;VALUE(CashIntraTable[Cash Date])&amp;CashIntraTable[Detail]</f>
        <v>SCBEUSM433841.1. Subscription</v>
      </c>
    </row>
    <row r="159" spans="1:9" x14ac:dyDescent="0.2">
      <c r="A159" t="s">
        <v>420</v>
      </c>
      <c r="B159" t="s">
        <v>23</v>
      </c>
      <c r="C159" s="67">
        <v>43385</v>
      </c>
      <c r="D159" t="s">
        <v>399</v>
      </c>
      <c r="E159">
        <v>65200</v>
      </c>
      <c r="F159" t="s">
        <v>344</v>
      </c>
      <c r="G159" t="s">
        <v>400</v>
      </c>
      <c r="H159">
        <v>181011084158</v>
      </c>
      <c r="I159" t="str">
        <f>CashIntraTable[Portfolio]&amp;VALUE(CashIntraTable[Cash Date])&amp;CashIntraTable[Detail]</f>
        <v>SCBEUSM433851.1. Subscription</v>
      </c>
    </row>
    <row r="160" spans="1:9" x14ac:dyDescent="0.2">
      <c r="A160" t="s">
        <v>420</v>
      </c>
      <c r="B160" t="s">
        <v>23</v>
      </c>
      <c r="C160" s="67">
        <v>43384</v>
      </c>
      <c r="D160" t="s">
        <v>399</v>
      </c>
      <c r="E160">
        <v>120000</v>
      </c>
      <c r="F160" t="s">
        <v>345</v>
      </c>
      <c r="G160" t="s">
        <v>400</v>
      </c>
      <c r="H160">
        <v>181011084158</v>
      </c>
      <c r="I160" t="str">
        <f>CashIntraTable[Portfolio]&amp;VALUE(CashIntraTable[Cash Date])&amp;CashIntraTable[Detail]</f>
        <v>SCBEUSM433841.2. Switch-in</v>
      </c>
    </row>
    <row r="161" spans="1:9" x14ac:dyDescent="0.2">
      <c r="A161" t="s">
        <v>420</v>
      </c>
      <c r="B161" t="s">
        <v>23</v>
      </c>
      <c r="C161" s="67">
        <v>43385</v>
      </c>
      <c r="D161" t="s">
        <v>399</v>
      </c>
      <c r="E161">
        <v>943.03</v>
      </c>
      <c r="F161" t="s">
        <v>345</v>
      </c>
      <c r="G161" t="s">
        <v>400</v>
      </c>
      <c r="H161">
        <v>181011084158</v>
      </c>
      <c r="I161" t="str">
        <f>CashIntraTable[Portfolio]&amp;VALUE(CashIntraTable[Cash Date])&amp;CashIntraTable[Detail]</f>
        <v>SCBEUSM433851.2. Switch-in</v>
      </c>
    </row>
    <row r="162" spans="1:9" x14ac:dyDescent="0.2">
      <c r="A162" t="s">
        <v>420</v>
      </c>
      <c r="B162" t="s">
        <v>23</v>
      </c>
      <c r="C162" s="67">
        <v>43384</v>
      </c>
      <c r="D162" t="s">
        <v>399</v>
      </c>
      <c r="E162">
        <v>-1786.24</v>
      </c>
      <c r="F162" t="s">
        <v>346</v>
      </c>
      <c r="G162" t="s">
        <v>400</v>
      </c>
      <c r="H162">
        <v>181011084158</v>
      </c>
      <c r="I162" t="str">
        <f>CashIntraTable[Portfolio]&amp;VALUE(CashIntraTable[Cash Date])&amp;CashIntraTable[Detail]</f>
        <v>SCBEUSM433842.1. Redemption</v>
      </c>
    </row>
    <row r="163" spans="1:9" x14ac:dyDescent="0.2">
      <c r="A163" t="s">
        <v>420</v>
      </c>
      <c r="B163" t="s">
        <v>23</v>
      </c>
      <c r="C163" s="67">
        <v>43385</v>
      </c>
      <c r="D163" t="s">
        <v>399</v>
      </c>
      <c r="E163">
        <v>-2281.9899999999998</v>
      </c>
      <c r="F163" t="s">
        <v>346</v>
      </c>
      <c r="G163" t="s">
        <v>400</v>
      </c>
      <c r="H163">
        <v>181011084158</v>
      </c>
      <c r="I163" t="str">
        <f>CashIntraTable[Portfolio]&amp;VALUE(CashIntraTable[Cash Date])&amp;CashIntraTable[Detail]</f>
        <v>SCBEUSM433852.1. Redemption</v>
      </c>
    </row>
    <row r="164" spans="1:9" x14ac:dyDescent="0.2">
      <c r="A164" t="s">
        <v>420</v>
      </c>
      <c r="B164" t="s">
        <v>23</v>
      </c>
      <c r="C164" s="67">
        <v>43389</v>
      </c>
      <c r="D164" t="s">
        <v>399</v>
      </c>
      <c r="E164">
        <v>-354392.99</v>
      </c>
      <c r="F164" t="s">
        <v>346</v>
      </c>
      <c r="G164" t="s">
        <v>400</v>
      </c>
      <c r="H164">
        <v>181011084158</v>
      </c>
      <c r="I164" t="str">
        <f>CashIntraTable[Portfolio]&amp;VALUE(CashIntraTable[Cash Date])&amp;CashIntraTable[Detail]</f>
        <v>SCBEUSM433892.1. Redemption</v>
      </c>
    </row>
    <row r="165" spans="1:9" x14ac:dyDescent="0.2">
      <c r="A165" t="s">
        <v>420</v>
      </c>
      <c r="B165" t="s">
        <v>23</v>
      </c>
      <c r="C165" s="67">
        <v>43385</v>
      </c>
      <c r="D165" t="s">
        <v>399</v>
      </c>
      <c r="E165">
        <v>-250000</v>
      </c>
      <c r="F165" t="s">
        <v>347</v>
      </c>
      <c r="G165" t="s">
        <v>400</v>
      </c>
      <c r="H165">
        <v>181011084158</v>
      </c>
      <c r="I165" t="str">
        <f>CashIntraTable[Portfolio]&amp;VALUE(CashIntraTable[Cash Date])&amp;CashIntraTable[Detail]</f>
        <v>SCBEUSM433852.2. Switch-out</v>
      </c>
    </row>
    <row r="166" spans="1:9" x14ac:dyDescent="0.2">
      <c r="A166" t="s">
        <v>421</v>
      </c>
      <c r="B166" t="s">
        <v>23</v>
      </c>
      <c r="C166" s="67">
        <v>43390</v>
      </c>
      <c r="D166" t="s">
        <v>399</v>
      </c>
      <c r="E166">
        <v>35398433.189999998</v>
      </c>
      <c r="F166" t="s">
        <v>344</v>
      </c>
      <c r="G166" t="s">
        <v>400</v>
      </c>
      <c r="H166">
        <v>181011084158</v>
      </c>
      <c r="I166" t="str">
        <f>CashIntraTable[Portfolio]&amp;VALUE(CashIntraTable[Cash Date])&amp;CashIntraTable[Detail]</f>
        <v>SCBFF1YK2433901.1. Subscription</v>
      </c>
    </row>
    <row r="167" spans="1:9" x14ac:dyDescent="0.2">
      <c r="A167" t="s">
        <v>421</v>
      </c>
      <c r="B167" t="s">
        <v>23</v>
      </c>
      <c r="C167" s="67">
        <v>43390</v>
      </c>
      <c r="D167" t="s">
        <v>399</v>
      </c>
      <c r="E167">
        <v>8500000</v>
      </c>
      <c r="F167" t="s">
        <v>348</v>
      </c>
      <c r="G167" t="s">
        <v>400</v>
      </c>
      <c r="H167">
        <v>181011084158</v>
      </c>
      <c r="I167" t="str">
        <f>CashIntraTable[Portfolio]&amp;VALUE(CashIntraTable[Cash Date])&amp;CashIntraTable[Detail]</f>
        <v>SCBFF1YK2433901.1. Subscription (Chq)</v>
      </c>
    </row>
    <row r="168" spans="1:9" x14ac:dyDescent="0.2">
      <c r="A168" t="s">
        <v>421</v>
      </c>
      <c r="B168" t="s">
        <v>23</v>
      </c>
      <c r="C168" s="67">
        <v>43384</v>
      </c>
      <c r="D168" t="s">
        <v>399</v>
      </c>
      <c r="E168">
        <v>62673402.729999997</v>
      </c>
      <c r="F168" t="s">
        <v>345</v>
      </c>
      <c r="G168" t="s">
        <v>400</v>
      </c>
      <c r="H168">
        <v>181011084158</v>
      </c>
      <c r="I168" t="str">
        <f>CashIntraTable[Portfolio]&amp;VALUE(CashIntraTable[Cash Date])&amp;CashIntraTable[Detail]</f>
        <v>SCBFF1YK2433841.2. Switch-in</v>
      </c>
    </row>
    <row r="169" spans="1:9" x14ac:dyDescent="0.2">
      <c r="A169" t="s">
        <v>422</v>
      </c>
      <c r="B169" t="s">
        <v>23</v>
      </c>
      <c r="C169" s="67">
        <v>43390</v>
      </c>
      <c r="D169" t="s">
        <v>399</v>
      </c>
      <c r="E169">
        <v>144831821.75999999</v>
      </c>
      <c r="F169" t="s">
        <v>344</v>
      </c>
      <c r="G169" t="s">
        <v>400</v>
      </c>
      <c r="H169">
        <v>181011084158</v>
      </c>
      <c r="I169" t="str">
        <f>CashIntraTable[Portfolio]&amp;VALUE(CashIntraTable[Cash Date])&amp;CashIntraTable[Detail]</f>
        <v>SCBFF3MC6433901.1. Subscription</v>
      </c>
    </row>
    <row r="170" spans="1:9" x14ac:dyDescent="0.2">
      <c r="A170" t="s">
        <v>422</v>
      </c>
      <c r="B170" t="s">
        <v>23</v>
      </c>
      <c r="C170" s="67">
        <v>43390</v>
      </c>
      <c r="D170" t="s">
        <v>399</v>
      </c>
      <c r="E170">
        <v>10000000</v>
      </c>
      <c r="F170" t="s">
        <v>348</v>
      </c>
      <c r="G170" t="s">
        <v>400</v>
      </c>
      <c r="H170">
        <v>181011084158</v>
      </c>
      <c r="I170" t="str">
        <f>CashIntraTable[Portfolio]&amp;VALUE(CashIntraTable[Cash Date])&amp;CashIntraTable[Detail]</f>
        <v>SCBFF3MC6433901.1. Subscription (Chq)</v>
      </c>
    </row>
    <row r="171" spans="1:9" x14ac:dyDescent="0.2">
      <c r="A171" t="s">
        <v>422</v>
      </c>
      <c r="B171" t="s">
        <v>23</v>
      </c>
      <c r="C171" s="67">
        <v>43384</v>
      </c>
      <c r="D171" t="s">
        <v>399</v>
      </c>
      <c r="E171">
        <v>121544302.5</v>
      </c>
      <c r="F171" t="s">
        <v>345</v>
      </c>
      <c r="G171" t="s">
        <v>400</v>
      </c>
      <c r="H171">
        <v>181011084158</v>
      </c>
      <c r="I171" t="str">
        <f>CashIntraTable[Portfolio]&amp;VALUE(CashIntraTable[Cash Date])&amp;CashIntraTable[Detail]</f>
        <v>SCBFF3MC6433841.2. Switch-in</v>
      </c>
    </row>
    <row r="172" spans="1:9" x14ac:dyDescent="0.2">
      <c r="A172" t="s">
        <v>423</v>
      </c>
      <c r="B172" t="s">
        <v>23</v>
      </c>
      <c r="C172" s="67">
        <v>43390</v>
      </c>
      <c r="D172" t="s">
        <v>399</v>
      </c>
      <c r="E172">
        <v>62140817.479999997</v>
      </c>
      <c r="F172" t="s">
        <v>344</v>
      </c>
      <c r="G172" t="s">
        <v>400</v>
      </c>
      <c r="H172">
        <v>181011084158</v>
      </c>
      <c r="I172" t="str">
        <f>CashIntraTable[Portfolio]&amp;VALUE(CashIntraTable[Cash Date])&amp;CashIntraTable[Detail]</f>
        <v>SCBFF6MK1433901.1. Subscription</v>
      </c>
    </row>
    <row r="173" spans="1:9" x14ac:dyDescent="0.2">
      <c r="A173" t="s">
        <v>423</v>
      </c>
      <c r="B173" t="s">
        <v>23</v>
      </c>
      <c r="C173" s="67">
        <v>43390</v>
      </c>
      <c r="D173" t="s">
        <v>399</v>
      </c>
      <c r="E173">
        <v>20000000</v>
      </c>
      <c r="F173" t="s">
        <v>348</v>
      </c>
      <c r="G173" t="s">
        <v>400</v>
      </c>
      <c r="H173">
        <v>181011084158</v>
      </c>
      <c r="I173" t="str">
        <f>CashIntraTable[Portfolio]&amp;VALUE(CashIntraTable[Cash Date])&amp;CashIntraTable[Detail]</f>
        <v>SCBFF6MK1433901.1. Subscription (Chq)</v>
      </c>
    </row>
    <row r="174" spans="1:9" x14ac:dyDescent="0.2">
      <c r="A174" t="s">
        <v>423</v>
      </c>
      <c r="B174" t="s">
        <v>23</v>
      </c>
      <c r="C174" s="67">
        <v>43384</v>
      </c>
      <c r="D174" t="s">
        <v>399</v>
      </c>
      <c r="E174">
        <v>28131854.23</v>
      </c>
      <c r="F174" t="s">
        <v>345</v>
      </c>
      <c r="G174" t="s">
        <v>400</v>
      </c>
      <c r="H174">
        <v>181011084158</v>
      </c>
      <c r="I174" t="str">
        <f>CashIntraTable[Portfolio]&amp;VALUE(CashIntraTable[Cash Date])&amp;CashIntraTable[Detail]</f>
        <v>SCBFF6MK1433841.2. Switch-in</v>
      </c>
    </row>
    <row r="175" spans="1:9" x14ac:dyDescent="0.2">
      <c r="A175" t="s">
        <v>424</v>
      </c>
      <c r="B175" t="s">
        <v>23</v>
      </c>
      <c r="C175" s="67">
        <v>43384</v>
      </c>
      <c r="D175" t="s">
        <v>399</v>
      </c>
      <c r="E175">
        <v>-1000000</v>
      </c>
      <c r="F175" t="s">
        <v>346</v>
      </c>
      <c r="G175" t="s">
        <v>400</v>
      </c>
      <c r="H175">
        <v>181011084158</v>
      </c>
      <c r="I175" t="str">
        <f>CashIntraTable[Portfolio]&amp;VALUE(CashIntraTable[Cash Date])&amp;CashIntraTable[Detail]</f>
        <v>SCBFIN433842.1. Redemption</v>
      </c>
    </row>
    <row r="176" spans="1:9" x14ac:dyDescent="0.2">
      <c r="A176" t="s">
        <v>424</v>
      </c>
      <c r="B176" t="s">
        <v>23</v>
      </c>
      <c r="C176" s="67">
        <v>43385</v>
      </c>
      <c r="D176" t="s">
        <v>399</v>
      </c>
      <c r="E176">
        <v>-2197.52</v>
      </c>
      <c r="F176" t="s">
        <v>346</v>
      </c>
      <c r="G176" t="s">
        <v>400</v>
      </c>
      <c r="H176">
        <v>181011084158</v>
      </c>
      <c r="I176" t="str">
        <f>CashIntraTable[Portfolio]&amp;VALUE(CashIntraTable[Cash Date])&amp;CashIntraTable[Detail]</f>
        <v>SCBFIN433852.1. Redemption</v>
      </c>
    </row>
    <row r="177" spans="1:9" x14ac:dyDescent="0.2">
      <c r="A177" t="s">
        <v>424</v>
      </c>
      <c r="B177" t="s">
        <v>23</v>
      </c>
      <c r="C177" s="67">
        <v>43385</v>
      </c>
      <c r="D177" t="s">
        <v>399</v>
      </c>
      <c r="E177">
        <v>-3063747.3</v>
      </c>
      <c r="F177" t="s">
        <v>347</v>
      </c>
      <c r="G177" t="s">
        <v>400</v>
      </c>
      <c r="H177">
        <v>181011084158</v>
      </c>
      <c r="I177" t="str">
        <f>CashIntraTable[Portfolio]&amp;VALUE(CashIntraTable[Cash Date])&amp;CashIntraTable[Detail]</f>
        <v>SCBFIN433852.2. Switch-out</v>
      </c>
    </row>
    <row r="178" spans="1:9" x14ac:dyDescent="0.2">
      <c r="A178" t="s">
        <v>424</v>
      </c>
      <c r="B178" t="s">
        <v>23</v>
      </c>
      <c r="C178" s="67">
        <v>43389</v>
      </c>
      <c r="D178" t="s">
        <v>399</v>
      </c>
      <c r="E178">
        <v>-983697.21</v>
      </c>
      <c r="F178" t="s">
        <v>347</v>
      </c>
      <c r="G178" t="s">
        <v>400</v>
      </c>
      <c r="H178">
        <v>181011084158</v>
      </c>
      <c r="I178" t="str">
        <f>CashIntraTable[Portfolio]&amp;VALUE(CashIntraTable[Cash Date])&amp;CashIntraTable[Detail]</f>
        <v>SCBFIN433892.2. Switch-out</v>
      </c>
    </row>
    <row r="179" spans="1:9" x14ac:dyDescent="0.2">
      <c r="A179" t="s">
        <v>349</v>
      </c>
      <c r="B179" t="s">
        <v>23</v>
      </c>
      <c r="C179" s="67">
        <v>43384</v>
      </c>
      <c r="D179" t="s">
        <v>399</v>
      </c>
      <c r="E179">
        <v>1108000</v>
      </c>
      <c r="F179" t="s">
        <v>344</v>
      </c>
      <c r="G179" t="s">
        <v>400</v>
      </c>
      <c r="H179">
        <v>181011084158</v>
      </c>
      <c r="I179" t="str">
        <f>CashIntraTable[Portfolio]&amp;VALUE(CashIntraTable[Cash Date])&amp;CashIntraTable[Detail]</f>
        <v>SCBFIXED433841.1. Subscription</v>
      </c>
    </row>
    <row r="180" spans="1:9" x14ac:dyDescent="0.2">
      <c r="A180" t="s">
        <v>349</v>
      </c>
      <c r="B180" t="s">
        <v>23</v>
      </c>
      <c r="C180" s="67">
        <v>43385</v>
      </c>
      <c r="D180" t="s">
        <v>399</v>
      </c>
      <c r="E180">
        <v>6000</v>
      </c>
      <c r="F180" t="s">
        <v>344</v>
      </c>
      <c r="G180" t="s">
        <v>400</v>
      </c>
      <c r="H180">
        <v>181011084158</v>
      </c>
      <c r="I180" t="str">
        <f>CashIntraTable[Portfolio]&amp;VALUE(CashIntraTable[Cash Date])&amp;CashIntraTable[Detail]</f>
        <v>SCBFIXED433851.1. Subscription</v>
      </c>
    </row>
    <row r="181" spans="1:9" x14ac:dyDescent="0.2">
      <c r="A181" t="s">
        <v>349</v>
      </c>
      <c r="B181" t="s">
        <v>23</v>
      </c>
      <c r="C181" s="67">
        <v>43384</v>
      </c>
      <c r="D181" t="s">
        <v>399</v>
      </c>
      <c r="E181">
        <v>-14004.36</v>
      </c>
      <c r="F181" t="s">
        <v>346</v>
      </c>
      <c r="G181" t="s">
        <v>400</v>
      </c>
      <c r="H181">
        <v>181011084158</v>
      </c>
      <c r="I181" t="str">
        <f>CashIntraTable[Portfolio]&amp;VALUE(CashIntraTable[Cash Date])&amp;CashIntraTable[Detail]</f>
        <v>SCBFIXED433842.1. Redemption</v>
      </c>
    </row>
    <row r="182" spans="1:9" x14ac:dyDescent="0.2">
      <c r="A182" t="s">
        <v>349</v>
      </c>
      <c r="B182" t="s">
        <v>23</v>
      </c>
      <c r="C182" s="67">
        <v>43385</v>
      </c>
      <c r="D182" t="s">
        <v>399</v>
      </c>
      <c r="E182">
        <v>-5002.28</v>
      </c>
      <c r="F182" t="s">
        <v>346</v>
      </c>
      <c r="G182" t="s">
        <v>400</v>
      </c>
      <c r="H182">
        <v>181011084158</v>
      </c>
      <c r="I182" t="str">
        <f>CashIntraTable[Portfolio]&amp;VALUE(CashIntraTable[Cash Date])&amp;CashIntraTable[Detail]</f>
        <v>SCBFIXED433852.1. Redemption</v>
      </c>
    </row>
    <row r="183" spans="1:9" x14ac:dyDescent="0.2">
      <c r="A183" t="s">
        <v>349</v>
      </c>
      <c r="B183" t="s">
        <v>23</v>
      </c>
      <c r="C183" s="67">
        <v>43384</v>
      </c>
      <c r="D183" t="s">
        <v>399</v>
      </c>
      <c r="E183">
        <v>-1000999.97</v>
      </c>
      <c r="F183" t="s">
        <v>347</v>
      </c>
      <c r="G183" t="s">
        <v>400</v>
      </c>
      <c r="H183">
        <v>181011084158</v>
      </c>
      <c r="I183" t="str">
        <f>CashIntraTable[Portfolio]&amp;VALUE(CashIntraTable[Cash Date])&amp;CashIntraTable[Detail]</f>
        <v>SCBFIXED433842.2. Switch-out</v>
      </c>
    </row>
    <row r="184" spans="1:9" x14ac:dyDescent="0.2">
      <c r="A184" t="s">
        <v>349</v>
      </c>
      <c r="B184" t="s">
        <v>23</v>
      </c>
      <c r="C184" s="67">
        <v>43385</v>
      </c>
      <c r="D184" t="s">
        <v>399</v>
      </c>
      <c r="E184">
        <v>-1999.92</v>
      </c>
      <c r="F184" t="s">
        <v>347</v>
      </c>
      <c r="G184" t="s">
        <v>400</v>
      </c>
      <c r="H184">
        <v>181011084158</v>
      </c>
      <c r="I184" t="str">
        <f>CashIntraTable[Portfolio]&amp;VALUE(CashIntraTable[Cash Date])&amp;CashIntraTable[Detail]</f>
        <v>SCBFIXED433852.2. Switch-out</v>
      </c>
    </row>
    <row r="185" spans="1:9" x14ac:dyDescent="0.2">
      <c r="A185" t="s">
        <v>425</v>
      </c>
      <c r="B185" t="s">
        <v>23</v>
      </c>
      <c r="C185" s="67">
        <v>43384</v>
      </c>
      <c r="D185" t="s">
        <v>399</v>
      </c>
      <c r="E185">
        <v>21111.66</v>
      </c>
      <c r="F185" t="s">
        <v>344</v>
      </c>
      <c r="G185" t="s">
        <v>400</v>
      </c>
      <c r="H185">
        <v>181011084158</v>
      </c>
      <c r="I185" t="str">
        <f>CashIntraTable[Portfolio]&amp;VALUE(CashIntraTable[Cash Date])&amp;CashIntraTable[Detail]</f>
        <v>SCBFLX433841.1. Subscription</v>
      </c>
    </row>
    <row r="186" spans="1:9" x14ac:dyDescent="0.2">
      <c r="A186" t="s">
        <v>425</v>
      </c>
      <c r="B186" t="s">
        <v>23</v>
      </c>
      <c r="C186" s="67">
        <v>43385</v>
      </c>
      <c r="D186" t="s">
        <v>399</v>
      </c>
      <c r="E186">
        <v>20000</v>
      </c>
      <c r="F186" t="s">
        <v>344</v>
      </c>
      <c r="G186" t="s">
        <v>400</v>
      </c>
      <c r="H186">
        <v>181011084158</v>
      </c>
      <c r="I186" t="str">
        <f>CashIntraTable[Portfolio]&amp;VALUE(CashIntraTable[Cash Date])&amp;CashIntraTable[Detail]</f>
        <v>SCBFLX433851.1. Subscription</v>
      </c>
    </row>
    <row r="187" spans="1:9" x14ac:dyDescent="0.2">
      <c r="A187" t="s">
        <v>425</v>
      </c>
      <c r="B187" t="s">
        <v>23</v>
      </c>
      <c r="C187" s="67">
        <v>43385</v>
      </c>
      <c r="D187" t="s">
        <v>399</v>
      </c>
      <c r="E187">
        <v>3000</v>
      </c>
      <c r="F187" t="s">
        <v>345</v>
      </c>
      <c r="G187" t="s">
        <v>400</v>
      </c>
      <c r="H187">
        <v>181011084158</v>
      </c>
      <c r="I187" t="str">
        <f>CashIntraTable[Portfolio]&amp;VALUE(CashIntraTable[Cash Date])&amp;CashIntraTable[Detail]</f>
        <v>SCBFLX433851.2. Switch-in</v>
      </c>
    </row>
    <row r="188" spans="1:9" x14ac:dyDescent="0.2">
      <c r="A188" t="s">
        <v>425</v>
      </c>
      <c r="B188" t="s">
        <v>23</v>
      </c>
      <c r="C188" s="67">
        <v>43389</v>
      </c>
      <c r="D188" t="s">
        <v>399</v>
      </c>
      <c r="E188">
        <v>-20000</v>
      </c>
      <c r="F188" t="s">
        <v>346</v>
      </c>
      <c r="G188" t="s">
        <v>400</v>
      </c>
      <c r="H188">
        <v>181011084158</v>
      </c>
      <c r="I188" t="str">
        <f>CashIntraTable[Portfolio]&amp;VALUE(CashIntraTable[Cash Date])&amp;CashIntraTable[Detail]</f>
        <v>SCBFLX433892.1. Redemption</v>
      </c>
    </row>
    <row r="189" spans="1:9" x14ac:dyDescent="0.2">
      <c r="A189" t="s">
        <v>350</v>
      </c>
      <c r="B189" t="s">
        <v>23</v>
      </c>
      <c r="C189" s="67">
        <v>43384</v>
      </c>
      <c r="D189" t="s">
        <v>399</v>
      </c>
      <c r="E189">
        <v>78968760.030000001</v>
      </c>
      <c r="F189" t="s">
        <v>344</v>
      </c>
      <c r="G189" t="s">
        <v>400</v>
      </c>
      <c r="H189">
        <v>181011084158</v>
      </c>
      <c r="I189" t="str">
        <f>CashIntraTable[Portfolio]&amp;VALUE(CashIntraTable[Cash Date])&amp;CashIntraTable[Detail]</f>
        <v>SCBFPFUND433841.1. Subscription</v>
      </c>
    </row>
    <row r="190" spans="1:9" x14ac:dyDescent="0.2">
      <c r="A190" t="s">
        <v>350</v>
      </c>
      <c r="B190" t="s">
        <v>23</v>
      </c>
      <c r="C190" s="67">
        <v>43385</v>
      </c>
      <c r="D190" t="s">
        <v>399</v>
      </c>
      <c r="E190">
        <v>104000</v>
      </c>
      <c r="F190" t="s">
        <v>344</v>
      </c>
      <c r="G190" t="s">
        <v>400</v>
      </c>
      <c r="H190">
        <v>181011084158</v>
      </c>
      <c r="I190" t="str">
        <f>CashIntraTable[Portfolio]&amp;VALUE(CashIntraTable[Cash Date])&amp;CashIntraTable[Detail]</f>
        <v>SCBFPFUND433851.1. Subscription</v>
      </c>
    </row>
    <row r="191" spans="1:9" x14ac:dyDescent="0.2">
      <c r="A191" t="s">
        <v>350</v>
      </c>
      <c r="B191" t="s">
        <v>23</v>
      </c>
      <c r="C191" s="67">
        <v>43384</v>
      </c>
      <c r="D191" t="s">
        <v>399</v>
      </c>
      <c r="E191">
        <v>652795.68000000005</v>
      </c>
      <c r="F191" t="s">
        <v>345</v>
      </c>
      <c r="G191" t="s">
        <v>400</v>
      </c>
      <c r="H191">
        <v>181011084158</v>
      </c>
      <c r="I191" t="str">
        <f>CashIntraTable[Portfolio]&amp;VALUE(CashIntraTable[Cash Date])&amp;CashIntraTable[Detail]</f>
        <v>SCBFPFUND433841.2. Switch-in</v>
      </c>
    </row>
    <row r="192" spans="1:9" x14ac:dyDescent="0.2">
      <c r="A192" t="s">
        <v>350</v>
      </c>
      <c r="B192" t="s">
        <v>23</v>
      </c>
      <c r="C192" s="67">
        <v>43385</v>
      </c>
      <c r="D192" t="s">
        <v>399</v>
      </c>
      <c r="E192">
        <v>111719.62</v>
      </c>
      <c r="F192" t="s">
        <v>345</v>
      </c>
      <c r="G192" t="s">
        <v>400</v>
      </c>
      <c r="H192">
        <v>181011084158</v>
      </c>
      <c r="I192" t="str">
        <f>CashIntraTable[Portfolio]&amp;VALUE(CashIntraTable[Cash Date])&amp;CashIntraTable[Detail]</f>
        <v>SCBFPFUND433851.2. Switch-in</v>
      </c>
    </row>
    <row r="193" spans="1:9" x14ac:dyDescent="0.2">
      <c r="A193" t="s">
        <v>350</v>
      </c>
      <c r="B193" t="s">
        <v>23</v>
      </c>
      <c r="C193" s="67">
        <v>43389</v>
      </c>
      <c r="D193" t="s">
        <v>399</v>
      </c>
      <c r="E193">
        <v>71000</v>
      </c>
      <c r="F193" t="s">
        <v>345</v>
      </c>
      <c r="G193" t="s">
        <v>400</v>
      </c>
      <c r="H193">
        <v>181011084158</v>
      </c>
      <c r="I193" t="str">
        <f>CashIntraTable[Portfolio]&amp;VALUE(CashIntraTable[Cash Date])&amp;CashIntraTable[Detail]</f>
        <v>SCBFPFUND433891.2. Switch-in</v>
      </c>
    </row>
    <row r="194" spans="1:9" x14ac:dyDescent="0.2">
      <c r="A194" t="s">
        <v>350</v>
      </c>
      <c r="B194" t="s">
        <v>23</v>
      </c>
      <c r="C194" s="67">
        <v>43392</v>
      </c>
      <c r="D194" t="s">
        <v>399</v>
      </c>
      <c r="E194">
        <v>19988.990000000002</v>
      </c>
      <c r="F194" t="s">
        <v>345</v>
      </c>
      <c r="G194" t="s">
        <v>400</v>
      </c>
      <c r="H194">
        <v>181011084158</v>
      </c>
      <c r="I194" t="str">
        <f>CashIntraTable[Portfolio]&amp;VALUE(CashIntraTable[Cash Date])&amp;CashIntraTable[Detail]</f>
        <v>SCBFPFUND433921.2. Switch-in</v>
      </c>
    </row>
    <row r="195" spans="1:9" x14ac:dyDescent="0.2">
      <c r="A195" t="s">
        <v>350</v>
      </c>
      <c r="B195" t="s">
        <v>23</v>
      </c>
      <c r="C195" s="67">
        <v>43384</v>
      </c>
      <c r="D195" t="s">
        <v>399</v>
      </c>
      <c r="E195">
        <v>-74377659.599999994</v>
      </c>
      <c r="F195" t="s">
        <v>346</v>
      </c>
      <c r="G195" t="s">
        <v>400</v>
      </c>
      <c r="H195">
        <v>181011084158</v>
      </c>
      <c r="I195" t="str">
        <f>CashIntraTable[Portfolio]&amp;VALUE(CashIntraTable[Cash Date])&amp;CashIntraTable[Detail]</f>
        <v>SCBFPFUND433842.1. Redemption</v>
      </c>
    </row>
    <row r="196" spans="1:9" x14ac:dyDescent="0.2">
      <c r="A196" t="s">
        <v>350</v>
      </c>
      <c r="B196" t="s">
        <v>23</v>
      </c>
      <c r="C196" s="67">
        <v>43385</v>
      </c>
      <c r="D196" t="s">
        <v>399</v>
      </c>
      <c r="E196">
        <v>-5777848.0800000001</v>
      </c>
      <c r="F196" t="s">
        <v>346</v>
      </c>
      <c r="G196" t="s">
        <v>400</v>
      </c>
      <c r="H196">
        <v>181011084158</v>
      </c>
      <c r="I196" t="str">
        <f>CashIntraTable[Portfolio]&amp;VALUE(CashIntraTable[Cash Date])&amp;CashIntraTable[Detail]</f>
        <v>SCBFPFUND433852.1. Redemption</v>
      </c>
    </row>
    <row r="197" spans="1:9" x14ac:dyDescent="0.2">
      <c r="A197" t="s">
        <v>350</v>
      </c>
      <c r="B197" t="s">
        <v>23</v>
      </c>
      <c r="C197" s="67">
        <v>43384</v>
      </c>
      <c r="D197" t="s">
        <v>399</v>
      </c>
      <c r="E197">
        <v>-225261276.12</v>
      </c>
      <c r="F197" t="s">
        <v>347</v>
      </c>
      <c r="G197" t="s">
        <v>400</v>
      </c>
      <c r="H197">
        <v>181011084158</v>
      </c>
      <c r="I197" t="str">
        <f>CashIntraTable[Portfolio]&amp;VALUE(CashIntraTable[Cash Date])&amp;CashIntraTable[Detail]</f>
        <v>SCBFPFUND433842.2. Switch-out</v>
      </c>
    </row>
    <row r="198" spans="1:9" x14ac:dyDescent="0.2">
      <c r="A198" t="s">
        <v>350</v>
      </c>
      <c r="B198" t="s">
        <v>23</v>
      </c>
      <c r="C198" s="67">
        <v>43385</v>
      </c>
      <c r="D198" t="s">
        <v>399</v>
      </c>
      <c r="E198">
        <v>-7105656.2800000003</v>
      </c>
      <c r="F198" t="s">
        <v>347</v>
      </c>
      <c r="G198" t="s">
        <v>400</v>
      </c>
      <c r="H198">
        <v>181011084158</v>
      </c>
      <c r="I198" t="str">
        <f>CashIntraTable[Portfolio]&amp;VALUE(CashIntraTable[Cash Date])&amp;CashIntraTable[Detail]</f>
        <v>SCBFPFUND433852.2. Switch-out</v>
      </c>
    </row>
    <row r="199" spans="1:9" x14ac:dyDescent="0.2">
      <c r="A199" t="s">
        <v>426</v>
      </c>
      <c r="B199" t="s">
        <v>23</v>
      </c>
      <c r="C199" s="67">
        <v>43384</v>
      </c>
      <c r="D199" t="s">
        <v>399</v>
      </c>
      <c r="E199">
        <v>20106.36</v>
      </c>
      <c r="F199" t="s">
        <v>344</v>
      </c>
      <c r="G199" t="s">
        <v>400</v>
      </c>
      <c r="H199">
        <v>181011084158</v>
      </c>
      <c r="I199" t="str">
        <f>CashIntraTable[Portfolio]&amp;VALUE(CashIntraTable[Cash Date])&amp;CashIntraTable[Detail]</f>
        <v>SCBFST433841.1. Subscription</v>
      </c>
    </row>
    <row r="200" spans="1:9" x14ac:dyDescent="0.2">
      <c r="A200" t="s">
        <v>426</v>
      </c>
      <c r="B200" t="s">
        <v>23</v>
      </c>
      <c r="C200" s="67">
        <v>43385</v>
      </c>
      <c r="D200" t="s">
        <v>399</v>
      </c>
      <c r="E200">
        <v>30000</v>
      </c>
      <c r="F200" t="s">
        <v>344</v>
      </c>
      <c r="G200" t="s">
        <v>400</v>
      </c>
      <c r="H200">
        <v>181011084158</v>
      </c>
      <c r="I200" t="str">
        <f>CashIntraTable[Portfolio]&amp;VALUE(CashIntraTable[Cash Date])&amp;CashIntraTable[Detail]</f>
        <v>SCBFST433851.1. Subscription</v>
      </c>
    </row>
    <row r="201" spans="1:9" x14ac:dyDescent="0.2">
      <c r="A201" t="s">
        <v>426</v>
      </c>
      <c r="B201" t="s">
        <v>23</v>
      </c>
      <c r="C201" s="67">
        <v>43385</v>
      </c>
      <c r="D201" t="s">
        <v>399</v>
      </c>
      <c r="E201">
        <v>-242175.82</v>
      </c>
      <c r="F201" t="s">
        <v>346</v>
      </c>
      <c r="G201" t="s">
        <v>400</v>
      </c>
      <c r="H201">
        <v>181011084158</v>
      </c>
      <c r="I201" t="str">
        <f>CashIntraTable[Portfolio]&amp;VALUE(CashIntraTable[Cash Date])&amp;CashIntraTable[Detail]</f>
        <v>SCBFST433852.1. Redemption</v>
      </c>
    </row>
    <row r="202" spans="1:9" x14ac:dyDescent="0.2">
      <c r="A202" t="s">
        <v>426</v>
      </c>
      <c r="B202" t="s">
        <v>23</v>
      </c>
      <c r="C202" s="67">
        <v>43389</v>
      </c>
      <c r="D202" t="s">
        <v>399</v>
      </c>
      <c r="E202">
        <v>-10685</v>
      </c>
      <c r="F202" t="s">
        <v>346</v>
      </c>
      <c r="G202" t="s">
        <v>400</v>
      </c>
      <c r="H202">
        <v>181011084158</v>
      </c>
      <c r="I202" t="str">
        <f>CashIntraTable[Portfolio]&amp;VALUE(CashIntraTable[Cash Date])&amp;CashIntraTable[Detail]</f>
        <v>SCBFST433892.1. Redemption</v>
      </c>
    </row>
    <row r="203" spans="1:9" x14ac:dyDescent="0.2">
      <c r="A203" t="s">
        <v>426</v>
      </c>
      <c r="B203" t="s">
        <v>23</v>
      </c>
      <c r="C203" s="67">
        <v>43385</v>
      </c>
      <c r="D203" t="s">
        <v>399</v>
      </c>
      <c r="E203">
        <v>-1507412.26</v>
      </c>
      <c r="F203" t="s">
        <v>347</v>
      </c>
      <c r="G203" t="s">
        <v>400</v>
      </c>
      <c r="H203">
        <v>181011084158</v>
      </c>
      <c r="I203" t="str">
        <f>CashIntraTable[Portfolio]&amp;VALUE(CashIntraTable[Cash Date])&amp;CashIntraTable[Detail]</f>
        <v>SCBFST433852.2. Switch-out</v>
      </c>
    </row>
    <row r="204" spans="1:9" x14ac:dyDescent="0.2">
      <c r="A204" t="s">
        <v>426</v>
      </c>
      <c r="B204" t="s">
        <v>23</v>
      </c>
      <c r="C204" s="67">
        <v>43389</v>
      </c>
      <c r="D204" t="s">
        <v>399</v>
      </c>
      <c r="E204">
        <v>-1000000</v>
      </c>
      <c r="F204" t="s">
        <v>347</v>
      </c>
      <c r="G204" t="s">
        <v>400</v>
      </c>
      <c r="H204">
        <v>181011084158</v>
      </c>
      <c r="I204" t="str">
        <f>CashIntraTable[Portfolio]&amp;VALUE(CashIntraTable[Cash Date])&amp;CashIntraTable[Detail]</f>
        <v>SCBFST433892.2. Switch-out</v>
      </c>
    </row>
    <row r="205" spans="1:9" x14ac:dyDescent="0.2">
      <c r="A205" t="s">
        <v>427</v>
      </c>
      <c r="B205" t="s">
        <v>23</v>
      </c>
      <c r="C205" s="67">
        <v>43384</v>
      </c>
      <c r="D205" t="s">
        <v>399</v>
      </c>
      <c r="E205">
        <v>2000000</v>
      </c>
      <c r="F205" t="s">
        <v>344</v>
      </c>
      <c r="G205" t="s">
        <v>400</v>
      </c>
      <c r="H205">
        <v>181011084158</v>
      </c>
      <c r="I205" t="str">
        <f>CashIntraTable[Portfolio]&amp;VALUE(CashIntraTable[Cash Date])&amp;CashIntraTable[Detail]</f>
        <v>SCBGEAR433841.1. Subscription</v>
      </c>
    </row>
    <row r="206" spans="1:9" x14ac:dyDescent="0.2">
      <c r="A206" t="s">
        <v>428</v>
      </c>
      <c r="B206" t="s">
        <v>23</v>
      </c>
      <c r="C206" s="67">
        <v>43384</v>
      </c>
      <c r="D206" t="s">
        <v>399</v>
      </c>
      <c r="E206">
        <v>306450</v>
      </c>
      <c r="F206" t="s">
        <v>344</v>
      </c>
      <c r="G206" t="s">
        <v>400</v>
      </c>
      <c r="H206">
        <v>181011084158</v>
      </c>
      <c r="I206" t="str">
        <f>CashIntraTable[Portfolio]&amp;VALUE(CashIntraTable[Cash Date])&amp;CashIntraTable[Detail]</f>
        <v>SCBGEQFUND433841.1. Subscription</v>
      </c>
    </row>
    <row r="207" spans="1:9" x14ac:dyDescent="0.2">
      <c r="A207" t="s">
        <v>428</v>
      </c>
      <c r="B207" t="s">
        <v>23</v>
      </c>
      <c r="C207" s="67">
        <v>43385</v>
      </c>
      <c r="D207" t="s">
        <v>399</v>
      </c>
      <c r="E207">
        <v>2000</v>
      </c>
      <c r="F207" t="s">
        <v>344</v>
      </c>
      <c r="G207" t="s">
        <v>400</v>
      </c>
      <c r="H207">
        <v>181011084158</v>
      </c>
      <c r="I207" t="str">
        <f>CashIntraTable[Portfolio]&amp;VALUE(CashIntraTable[Cash Date])&amp;CashIntraTable[Detail]</f>
        <v>SCBGEQFUND433851.1. Subscription</v>
      </c>
    </row>
    <row r="208" spans="1:9" x14ac:dyDescent="0.2">
      <c r="A208" t="s">
        <v>428</v>
      </c>
      <c r="B208" t="s">
        <v>23</v>
      </c>
      <c r="C208" s="67">
        <v>43384</v>
      </c>
      <c r="D208" t="s">
        <v>399</v>
      </c>
      <c r="E208">
        <v>103650.43</v>
      </c>
      <c r="F208" t="s">
        <v>345</v>
      </c>
      <c r="G208" t="s">
        <v>400</v>
      </c>
      <c r="H208">
        <v>181011084158</v>
      </c>
      <c r="I208" t="str">
        <f>CashIntraTable[Portfolio]&amp;VALUE(CashIntraTable[Cash Date])&amp;CashIntraTable[Detail]</f>
        <v>SCBGEQFUND433841.2. Switch-in</v>
      </c>
    </row>
    <row r="209" spans="1:9" x14ac:dyDescent="0.2">
      <c r="A209" t="s">
        <v>428</v>
      </c>
      <c r="B209" t="s">
        <v>23</v>
      </c>
      <c r="C209" s="67">
        <v>43385</v>
      </c>
      <c r="D209" t="s">
        <v>399</v>
      </c>
      <c r="E209">
        <v>101438.39</v>
      </c>
      <c r="F209" t="s">
        <v>345</v>
      </c>
      <c r="G209" t="s">
        <v>400</v>
      </c>
      <c r="H209">
        <v>181011084158</v>
      </c>
      <c r="I209" t="str">
        <f>CashIntraTable[Portfolio]&amp;VALUE(CashIntraTable[Cash Date])&amp;CashIntraTable[Detail]</f>
        <v>SCBGEQFUND433851.2. Switch-in</v>
      </c>
    </row>
    <row r="210" spans="1:9" x14ac:dyDescent="0.2">
      <c r="A210" t="s">
        <v>428</v>
      </c>
      <c r="B210" t="s">
        <v>23</v>
      </c>
      <c r="C210" s="67">
        <v>43389</v>
      </c>
      <c r="D210" t="s">
        <v>399</v>
      </c>
      <c r="E210">
        <v>48578.82</v>
      </c>
      <c r="F210" t="s">
        <v>345</v>
      </c>
      <c r="G210" t="s">
        <v>400</v>
      </c>
      <c r="H210">
        <v>181011084158</v>
      </c>
      <c r="I210" t="str">
        <f>CashIntraTable[Portfolio]&amp;VALUE(CashIntraTable[Cash Date])&amp;CashIntraTable[Detail]</f>
        <v>SCBGEQFUND433891.2. Switch-in</v>
      </c>
    </row>
    <row r="211" spans="1:9" x14ac:dyDescent="0.2">
      <c r="A211" t="s">
        <v>428</v>
      </c>
      <c r="B211" t="s">
        <v>23</v>
      </c>
      <c r="C211" s="67">
        <v>43384</v>
      </c>
      <c r="D211" t="s">
        <v>399</v>
      </c>
      <c r="E211">
        <v>-102796.6</v>
      </c>
      <c r="F211" t="s">
        <v>346</v>
      </c>
      <c r="G211" t="s">
        <v>400</v>
      </c>
      <c r="H211">
        <v>181011084158</v>
      </c>
      <c r="I211" t="str">
        <f>CashIntraTable[Portfolio]&amp;VALUE(CashIntraTable[Cash Date])&amp;CashIntraTable[Detail]</f>
        <v>SCBGEQFUND433842.1. Redemption</v>
      </c>
    </row>
    <row r="212" spans="1:9" x14ac:dyDescent="0.2">
      <c r="A212" t="s">
        <v>428</v>
      </c>
      <c r="B212" t="s">
        <v>23</v>
      </c>
      <c r="C212" s="67">
        <v>43390</v>
      </c>
      <c r="D212" t="s">
        <v>399</v>
      </c>
      <c r="E212">
        <v>-2705184.11</v>
      </c>
      <c r="F212" t="s">
        <v>346</v>
      </c>
      <c r="G212" t="s">
        <v>400</v>
      </c>
      <c r="H212">
        <v>181011084158</v>
      </c>
      <c r="I212" t="str">
        <f>CashIntraTable[Portfolio]&amp;VALUE(CashIntraTable[Cash Date])&amp;CashIntraTable[Detail]</f>
        <v>SCBGEQFUND433902.1. Redemption</v>
      </c>
    </row>
    <row r="213" spans="1:9" x14ac:dyDescent="0.2">
      <c r="A213" t="s">
        <v>428</v>
      </c>
      <c r="B213" t="s">
        <v>23</v>
      </c>
      <c r="C213" s="67">
        <v>43391</v>
      </c>
      <c r="D213" t="s">
        <v>399</v>
      </c>
      <c r="E213">
        <v>-49641.2</v>
      </c>
      <c r="F213" t="s">
        <v>346</v>
      </c>
      <c r="G213" t="s">
        <v>400</v>
      </c>
      <c r="H213">
        <v>181011084158</v>
      </c>
      <c r="I213" t="str">
        <f>CashIntraTable[Portfolio]&amp;VALUE(CashIntraTable[Cash Date])&amp;CashIntraTable[Detail]</f>
        <v>SCBGEQFUND433912.1. Redemption</v>
      </c>
    </row>
    <row r="214" spans="1:9" x14ac:dyDescent="0.2">
      <c r="A214" t="s">
        <v>428</v>
      </c>
      <c r="B214" t="s">
        <v>23</v>
      </c>
      <c r="C214" s="67">
        <v>43392</v>
      </c>
      <c r="D214" t="s">
        <v>399</v>
      </c>
      <c r="E214">
        <v>-983.2</v>
      </c>
      <c r="F214" t="s">
        <v>346</v>
      </c>
      <c r="G214" t="s">
        <v>400</v>
      </c>
      <c r="H214">
        <v>181011084158</v>
      </c>
      <c r="I214" t="str">
        <f>CashIntraTable[Portfolio]&amp;VALUE(CashIntraTable[Cash Date])&amp;CashIntraTable[Detail]</f>
        <v>SCBGEQFUND433922.1. Redemption</v>
      </c>
    </row>
    <row r="215" spans="1:9" x14ac:dyDescent="0.2">
      <c r="A215" t="s">
        <v>428</v>
      </c>
      <c r="B215" t="s">
        <v>23</v>
      </c>
      <c r="C215" s="67">
        <v>43384</v>
      </c>
      <c r="D215" t="s">
        <v>399</v>
      </c>
      <c r="E215">
        <v>-517915.68</v>
      </c>
      <c r="F215" t="s">
        <v>347</v>
      </c>
      <c r="G215" t="s">
        <v>400</v>
      </c>
      <c r="H215">
        <v>181011084158</v>
      </c>
      <c r="I215" t="str">
        <f>CashIntraTable[Portfolio]&amp;VALUE(CashIntraTable[Cash Date])&amp;CashIntraTable[Detail]</f>
        <v>SCBGEQFUND433842.2. Switch-out</v>
      </c>
    </row>
    <row r="216" spans="1:9" x14ac:dyDescent="0.2">
      <c r="A216" t="s">
        <v>428</v>
      </c>
      <c r="B216" t="s">
        <v>23</v>
      </c>
      <c r="C216" s="67">
        <v>43385</v>
      </c>
      <c r="D216" t="s">
        <v>399</v>
      </c>
      <c r="E216">
        <v>-3056823.87</v>
      </c>
      <c r="F216" t="s">
        <v>347</v>
      </c>
      <c r="G216" t="s">
        <v>400</v>
      </c>
      <c r="H216">
        <v>181011084158</v>
      </c>
      <c r="I216" t="str">
        <f>CashIntraTable[Portfolio]&amp;VALUE(CashIntraTable[Cash Date])&amp;CashIntraTable[Detail]</f>
        <v>SCBGEQFUND433852.2. Switch-out</v>
      </c>
    </row>
    <row r="217" spans="1:9" x14ac:dyDescent="0.2">
      <c r="A217" t="s">
        <v>428</v>
      </c>
      <c r="B217" t="s">
        <v>23</v>
      </c>
      <c r="C217" s="67">
        <v>43390</v>
      </c>
      <c r="D217" t="s">
        <v>399</v>
      </c>
      <c r="E217">
        <v>-73165.22</v>
      </c>
      <c r="F217" t="s">
        <v>347</v>
      </c>
      <c r="G217" t="s">
        <v>400</v>
      </c>
      <c r="H217">
        <v>181011084158</v>
      </c>
      <c r="I217" t="str">
        <f>CashIntraTable[Portfolio]&amp;VALUE(CashIntraTable[Cash Date])&amp;CashIntraTable[Detail]</f>
        <v>SCBGEQFUND433902.2. Switch-out</v>
      </c>
    </row>
    <row r="218" spans="1:9" x14ac:dyDescent="0.2">
      <c r="A218" t="s">
        <v>428</v>
      </c>
      <c r="B218" t="s">
        <v>23</v>
      </c>
      <c r="C218" s="67">
        <v>43391</v>
      </c>
      <c r="D218" t="s">
        <v>399</v>
      </c>
      <c r="E218">
        <v>-21389482.170000002</v>
      </c>
      <c r="F218" t="s">
        <v>347</v>
      </c>
      <c r="G218" t="s">
        <v>400</v>
      </c>
      <c r="H218">
        <v>181011084158</v>
      </c>
      <c r="I218" t="str">
        <f>CashIntraTable[Portfolio]&amp;VALUE(CashIntraTable[Cash Date])&amp;CashIntraTable[Detail]</f>
        <v>SCBGEQFUND433912.2. Switch-out</v>
      </c>
    </row>
    <row r="219" spans="1:9" x14ac:dyDescent="0.2">
      <c r="A219" t="s">
        <v>429</v>
      </c>
      <c r="B219" t="s">
        <v>23</v>
      </c>
      <c r="C219" s="67">
        <v>43384</v>
      </c>
      <c r="D219" t="s">
        <v>399</v>
      </c>
      <c r="E219">
        <v>43000</v>
      </c>
      <c r="F219" t="s">
        <v>344</v>
      </c>
      <c r="G219" t="s">
        <v>400</v>
      </c>
      <c r="H219">
        <v>181011084158</v>
      </c>
      <c r="I219" t="str">
        <f>CashIntraTable[Portfolio]&amp;VALUE(CashIntraTable[Cash Date])&amp;CashIntraTable[Detail]</f>
        <v>SCBGHC433841.1. Subscription</v>
      </c>
    </row>
    <row r="220" spans="1:9" x14ac:dyDescent="0.2">
      <c r="A220" t="s">
        <v>429</v>
      </c>
      <c r="B220" t="s">
        <v>23</v>
      </c>
      <c r="C220" s="67">
        <v>43384</v>
      </c>
      <c r="D220" t="s">
        <v>399</v>
      </c>
      <c r="E220">
        <v>500000</v>
      </c>
      <c r="F220" t="s">
        <v>345</v>
      </c>
      <c r="G220" t="s">
        <v>400</v>
      </c>
      <c r="H220">
        <v>181011084158</v>
      </c>
      <c r="I220" t="str">
        <f>CashIntraTable[Portfolio]&amp;VALUE(CashIntraTable[Cash Date])&amp;CashIntraTable[Detail]</f>
        <v>SCBGHC433841.2. Switch-in</v>
      </c>
    </row>
    <row r="221" spans="1:9" x14ac:dyDescent="0.2">
      <c r="A221" t="s">
        <v>429</v>
      </c>
      <c r="B221" t="s">
        <v>23</v>
      </c>
      <c r="C221" s="67">
        <v>43389</v>
      </c>
      <c r="D221" t="s">
        <v>399</v>
      </c>
      <c r="E221">
        <v>55353.79</v>
      </c>
      <c r="F221" t="s">
        <v>345</v>
      </c>
      <c r="G221" t="s">
        <v>400</v>
      </c>
      <c r="H221">
        <v>181011084158</v>
      </c>
      <c r="I221" t="str">
        <f>CashIntraTable[Portfolio]&amp;VALUE(CashIntraTable[Cash Date])&amp;CashIntraTable[Detail]</f>
        <v>SCBGHC433891.2. Switch-in</v>
      </c>
    </row>
    <row r="222" spans="1:9" x14ac:dyDescent="0.2">
      <c r="A222" t="s">
        <v>429</v>
      </c>
      <c r="B222" t="s">
        <v>23</v>
      </c>
      <c r="C222" s="67">
        <v>43391</v>
      </c>
      <c r="D222" t="s">
        <v>399</v>
      </c>
      <c r="E222">
        <v>21967.45</v>
      </c>
      <c r="F222" t="s">
        <v>345</v>
      </c>
      <c r="G222" t="s">
        <v>400</v>
      </c>
      <c r="H222">
        <v>181011084158</v>
      </c>
      <c r="I222" t="str">
        <f>CashIntraTable[Portfolio]&amp;VALUE(CashIntraTable[Cash Date])&amp;CashIntraTable[Detail]</f>
        <v>SCBGHC433911.2. Switch-in</v>
      </c>
    </row>
    <row r="223" spans="1:9" x14ac:dyDescent="0.2">
      <c r="A223" t="s">
        <v>429</v>
      </c>
      <c r="B223" t="s">
        <v>23</v>
      </c>
      <c r="C223" s="67">
        <v>43384</v>
      </c>
      <c r="D223" t="s">
        <v>399</v>
      </c>
      <c r="E223">
        <v>-2281138.2000000002</v>
      </c>
      <c r="F223" t="s">
        <v>346</v>
      </c>
      <c r="G223" t="s">
        <v>400</v>
      </c>
      <c r="H223">
        <v>181011084158</v>
      </c>
      <c r="I223" t="str">
        <f>CashIntraTable[Portfolio]&amp;VALUE(CashIntraTable[Cash Date])&amp;CashIntraTable[Detail]</f>
        <v>SCBGHC433842.1. Redemption</v>
      </c>
    </row>
    <row r="224" spans="1:9" x14ac:dyDescent="0.2">
      <c r="A224" t="s">
        <v>429</v>
      </c>
      <c r="B224" t="s">
        <v>23</v>
      </c>
      <c r="C224" s="67">
        <v>43385</v>
      </c>
      <c r="D224" t="s">
        <v>399</v>
      </c>
      <c r="E224">
        <v>-1015424.65</v>
      </c>
      <c r="F224" t="s">
        <v>346</v>
      </c>
      <c r="G224" t="s">
        <v>400</v>
      </c>
      <c r="H224">
        <v>181011084158</v>
      </c>
      <c r="I224" t="str">
        <f>CashIntraTable[Portfolio]&amp;VALUE(CashIntraTable[Cash Date])&amp;CashIntraTable[Detail]</f>
        <v>SCBGHC433852.1. Redemption</v>
      </c>
    </row>
    <row r="225" spans="1:9" x14ac:dyDescent="0.2">
      <c r="A225" t="s">
        <v>429</v>
      </c>
      <c r="B225" t="s">
        <v>23</v>
      </c>
      <c r="C225" s="67">
        <v>43389</v>
      </c>
      <c r="D225" t="s">
        <v>399</v>
      </c>
      <c r="E225">
        <v>-7317822.8899999997</v>
      </c>
      <c r="F225" t="s">
        <v>346</v>
      </c>
      <c r="G225" t="s">
        <v>400</v>
      </c>
      <c r="H225">
        <v>181011084158</v>
      </c>
      <c r="I225" t="str">
        <f>CashIntraTable[Portfolio]&amp;VALUE(CashIntraTable[Cash Date])&amp;CashIntraTable[Detail]</f>
        <v>SCBGHC433892.1. Redemption</v>
      </c>
    </row>
    <row r="226" spans="1:9" x14ac:dyDescent="0.2">
      <c r="A226" t="s">
        <v>429</v>
      </c>
      <c r="B226" t="s">
        <v>23</v>
      </c>
      <c r="C226" s="67">
        <v>43390</v>
      </c>
      <c r="D226" t="s">
        <v>399</v>
      </c>
      <c r="E226">
        <v>-210600.68</v>
      </c>
      <c r="F226" t="s">
        <v>346</v>
      </c>
      <c r="G226" t="s">
        <v>400</v>
      </c>
      <c r="H226">
        <v>181011084158</v>
      </c>
      <c r="I226" t="str">
        <f>CashIntraTable[Portfolio]&amp;VALUE(CashIntraTable[Cash Date])&amp;CashIntraTable[Detail]</f>
        <v>SCBGHC433902.1. Redemption</v>
      </c>
    </row>
    <row r="227" spans="1:9" x14ac:dyDescent="0.2">
      <c r="A227" t="s">
        <v>429</v>
      </c>
      <c r="B227" t="s">
        <v>23</v>
      </c>
      <c r="C227" s="67">
        <v>43391</v>
      </c>
      <c r="D227" t="s">
        <v>399</v>
      </c>
      <c r="E227">
        <v>-1339.94</v>
      </c>
      <c r="F227" t="s">
        <v>346</v>
      </c>
      <c r="G227" t="s">
        <v>400</v>
      </c>
      <c r="H227">
        <v>181011084158</v>
      </c>
      <c r="I227" t="str">
        <f>CashIntraTable[Portfolio]&amp;VALUE(CashIntraTable[Cash Date])&amp;CashIntraTable[Detail]</f>
        <v>SCBGHC433912.1. Redemption</v>
      </c>
    </row>
    <row r="228" spans="1:9" x14ac:dyDescent="0.2">
      <c r="A228" t="s">
        <v>429</v>
      </c>
      <c r="B228" t="s">
        <v>23</v>
      </c>
      <c r="C228" s="67">
        <v>43384</v>
      </c>
      <c r="D228" t="s">
        <v>399</v>
      </c>
      <c r="E228">
        <v>-1490793.05</v>
      </c>
      <c r="F228" t="s">
        <v>347</v>
      </c>
      <c r="G228" t="s">
        <v>400</v>
      </c>
      <c r="H228">
        <v>181011084158</v>
      </c>
      <c r="I228" t="str">
        <f>CashIntraTable[Portfolio]&amp;VALUE(CashIntraTable[Cash Date])&amp;CashIntraTable[Detail]</f>
        <v>SCBGHC433842.2. Switch-out</v>
      </c>
    </row>
    <row r="229" spans="1:9" x14ac:dyDescent="0.2">
      <c r="A229" t="s">
        <v>429</v>
      </c>
      <c r="B229" t="s">
        <v>23</v>
      </c>
      <c r="C229" s="67">
        <v>43389</v>
      </c>
      <c r="D229" t="s">
        <v>399</v>
      </c>
      <c r="E229">
        <v>-12545.35</v>
      </c>
      <c r="F229" t="s">
        <v>347</v>
      </c>
      <c r="G229" t="s">
        <v>400</v>
      </c>
      <c r="H229">
        <v>181011084158</v>
      </c>
      <c r="I229" t="str">
        <f>CashIntraTable[Portfolio]&amp;VALUE(CashIntraTable[Cash Date])&amp;CashIntraTable[Detail]</f>
        <v>SCBGHC433892.2. Switch-out</v>
      </c>
    </row>
    <row r="230" spans="1:9" x14ac:dyDescent="0.2">
      <c r="A230" t="s">
        <v>430</v>
      </c>
      <c r="B230" t="s">
        <v>23</v>
      </c>
      <c r="C230" s="67">
        <v>43389</v>
      </c>
      <c r="D230" t="s">
        <v>399</v>
      </c>
      <c r="E230">
        <v>-120308.35</v>
      </c>
      <c r="F230" t="s">
        <v>346</v>
      </c>
      <c r="G230" t="s">
        <v>400</v>
      </c>
      <c r="H230">
        <v>181011084158</v>
      </c>
      <c r="I230" t="str">
        <f>CashIntraTable[Portfolio]&amp;VALUE(CashIntraTable[Cash Date])&amp;CashIntraTable[Detail]</f>
        <v>SCBGIF433892.1. Redemption</v>
      </c>
    </row>
    <row r="231" spans="1:9" x14ac:dyDescent="0.2">
      <c r="A231" t="s">
        <v>431</v>
      </c>
      <c r="B231" t="s">
        <v>23</v>
      </c>
      <c r="C231" s="67">
        <v>43384</v>
      </c>
      <c r="D231" t="s">
        <v>399</v>
      </c>
      <c r="E231">
        <v>34000</v>
      </c>
      <c r="F231" t="s">
        <v>344</v>
      </c>
      <c r="G231" t="s">
        <v>400</v>
      </c>
      <c r="H231">
        <v>181011084158</v>
      </c>
      <c r="I231" t="str">
        <f>CashIntraTable[Portfolio]&amp;VALUE(CashIntraTable[Cash Date])&amp;CashIntraTable[Detail]</f>
        <v>SCBGIN433841.1. Subscription</v>
      </c>
    </row>
    <row r="232" spans="1:9" x14ac:dyDescent="0.2">
      <c r="A232" t="s">
        <v>431</v>
      </c>
      <c r="B232" t="s">
        <v>23</v>
      </c>
      <c r="C232" s="67">
        <v>43385</v>
      </c>
      <c r="D232" t="s">
        <v>399</v>
      </c>
      <c r="E232">
        <v>5000</v>
      </c>
      <c r="F232" t="s">
        <v>344</v>
      </c>
      <c r="G232" t="s">
        <v>400</v>
      </c>
      <c r="H232">
        <v>181011084158</v>
      </c>
      <c r="I232" t="str">
        <f>CashIntraTable[Portfolio]&amp;VALUE(CashIntraTable[Cash Date])&amp;CashIntraTable[Detail]</f>
        <v>SCBGIN433851.1. Subscription</v>
      </c>
    </row>
    <row r="233" spans="1:9" x14ac:dyDescent="0.2">
      <c r="A233" t="s">
        <v>431</v>
      </c>
      <c r="B233" t="s">
        <v>23</v>
      </c>
      <c r="C233" s="67">
        <v>43384</v>
      </c>
      <c r="D233" t="s">
        <v>399</v>
      </c>
      <c r="E233">
        <v>20000</v>
      </c>
      <c r="F233" t="s">
        <v>345</v>
      </c>
      <c r="G233" t="s">
        <v>400</v>
      </c>
      <c r="H233">
        <v>181011084158</v>
      </c>
      <c r="I233" t="str">
        <f>CashIntraTable[Portfolio]&amp;VALUE(CashIntraTable[Cash Date])&amp;CashIntraTable[Detail]</f>
        <v>SCBGIN433841.2. Switch-in</v>
      </c>
    </row>
    <row r="234" spans="1:9" x14ac:dyDescent="0.2">
      <c r="A234" t="s">
        <v>431</v>
      </c>
      <c r="B234" t="s">
        <v>23</v>
      </c>
      <c r="C234" s="67">
        <v>43390</v>
      </c>
      <c r="D234" t="s">
        <v>399</v>
      </c>
      <c r="E234">
        <v>991.14</v>
      </c>
      <c r="F234" t="s">
        <v>345</v>
      </c>
      <c r="G234" t="s">
        <v>400</v>
      </c>
      <c r="H234">
        <v>181011084158</v>
      </c>
      <c r="I234" t="str">
        <f>CashIntraTable[Portfolio]&amp;VALUE(CashIntraTable[Cash Date])&amp;CashIntraTable[Detail]</f>
        <v>SCBGIN433901.2. Switch-in</v>
      </c>
    </row>
    <row r="235" spans="1:9" x14ac:dyDescent="0.2">
      <c r="A235" t="s">
        <v>431</v>
      </c>
      <c r="B235" t="s">
        <v>23</v>
      </c>
      <c r="C235" s="67">
        <v>43384</v>
      </c>
      <c r="D235" t="s">
        <v>399</v>
      </c>
      <c r="E235">
        <v>-41369397.57</v>
      </c>
      <c r="F235" t="s">
        <v>346</v>
      </c>
      <c r="G235" t="s">
        <v>400</v>
      </c>
      <c r="H235">
        <v>181011084158</v>
      </c>
      <c r="I235" t="str">
        <f>CashIntraTable[Portfolio]&amp;VALUE(CashIntraTable[Cash Date])&amp;CashIntraTable[Detail]</f>
        <v>SCBGIN433842.1. Redemption</v>
      </c>
    </row>
    <row r="236" spans="1:9" x14ac:dyDescent="0.2">
      <c r="A236" t="s">
        <v>431</v>
      </c>
      <c r="B236" t="s">
        <v>23</v>
      </c>
      <c r="C236" s="67">
        <v>43385</v>
      </c>
      <c r="D236" t="s">
        <v>399</v>
      </c>
      <c r="E236">
        <v>-14511168.039999999</v>
      </c>
      <c r="F236" t="s">
        <v>346</v>
      </c>
      <c r="G236" t="s">
        <v>400</v>
      </c>
      <c r="H236">
        <v>181011084158</v>
      </c>
      <c r="I236" t="str">
        <f>CashIntraTable[Portfolio]&amp;VALUE(CashIntraTable[Cash Date])&amp;CashIntraTable[Detail]</f>
        <v>SCBGIN433852.1. Redemption</v>
      </c>
    </row>
    <row r="237" spans="1:9" x14ac:dyDescent="0.2">
      <c r="A237" t="s">
        <v>431</v>
      </c>
      <c r="B237" t="s">
        <v>23</v>
      </c>
      <c r="C237" s="67">
        <v>43389</v>
      </c>
      <c r="D237" t="s">
        <v>399</v>
      </c>
      <c r="E237">
        <v>-17363793.960000001</v>
      </c>
      <c r="F237" t="s">
        <v>346</v>
      </c>
      <c r="G237" t="s">
        <v>400</v>
      </c>
      <c r="H237">
        <v>181011084158</v>
      </c>
      <c r="I237" t="str">
        <f>CashIntraTable[Portfolio]&amp;VALUE(CashIntraTable[Cash Date])&amp;CashIntraTable[Detail]</f>
        <v>SCBGIN433892.1. Redemption</v>
      </c>
    </row>
    <row r="238" spans="1:9" x14ac:dyDescent="0.2">
      <c r="A238" t="s">
        <v>431</v>
      </c>
      <c r="B238" t="s">
        <v>23</v>
      </c>
      <c r="C238" s="67">
        <v>43390</v>
      </c>
      <c r="D238" t="s">
        <v>399</v>
      </c>
      <c r="E238">
        <v>-5465293.0599999996</v>
      </c>
      <c r="F238" t="s">
        <v>346</v>
      </c>
      <c r="G238" t="s">
        <v>400</v>
      </c>
      <c r="H238">
        <v>181011084158</v>
      </c>
      <c r="I238" t="str">
        <f>CashIntraTable[Portfolio]&amp;VALUE(CashIntraTable[Cash Date])&amp;CashIntraTable[Detail]</f>
        <v>SCBGIN433902.1. Redemption</v>
      </c>
    </row>
    <row r="239" spans="1:9" x14ac:dyDescent="0.2">
      <c r="A239" t="s">
        <v>431</v>
      </c>
      <c r="B239" t="s">
        <v>23</v>
      </c>
      <c r="C239" s="67">
        <v>43391</v>
      </c>
      <c r="D239" t="s">
        <v>399</v>
      </c>
      <c r="E239">
        <v>-280394.21000000002</v>
      </c>
      <c r="F239" t="s">
        <v>346</v>
      </c>
      <c r="G239" t="s">
        <v>400</v>
      </c>
      <c r="H239">
        <v>181011084158</v>
      </c>
      <c r="I239" t="str">
        <f>CashIntraTable[Portfolio]&amp;VALUE(CashIntraTable[Cash Date])&amp;CashIntraTable[Detail]</f>
        <v>SCBGIN433912.1. Redemption</v>
      </c>
    </row>
    <row r="240" spans="1:9" x14ac:dyDescent="0.2">
      <c r="A240" t="s">
        <v>431</v>
      </c>
      <c r="B240" t="s">
        <v>23</v>
      </c>
      <c r="C240" s="67">
        <v>43384</v>
      </c>
      <c r="D240" t="s">
        <v>399</v>
      </c>
      <c r="E240">
        <v>-31151274.75</v>
      </c>
      <c r="F240" t="s">
        <v>347</v>
      </c>
      <c r="G240" t="s">
        <v>400</v>
      </c>
      <c r="H240">
        <v>181011084158</v>
      </c>
      <c r="I240" t="str">
        <f>CashIntraTable[Portfolio]&amp;VALUE(CashIntraTable[Cash Date])&amp;CashIntraTable[Detail]</f>
        <v>SCBGIN433842.2. Switch-out</v>
      </c>
    </row>
    <row r="241" spans="1:9" x14ac:dyDescent="0.2">
      <c r="A241" t="s">
        <v>431</v>
      </c>
      <c r="B241" t="s">
        <v>23</v>
      </c>
      <c r="C241" s="67">
        <v>43385</v>
      </c>
      <c r="D241" t="s">
        <v>399</v>
      </c>
      <c r="E241">
        <v>-5043285.82</v>
      </c>
      <c r="F241" t="s">
        <v>347</v>
      </c>
      <c r="G241" t="s">
        <v>400</v>
      </c>
      <c r="H241">
        <v>181011084158</v>
      </c>
      <c r="I241" t="str">
        <f>CashIntraTable[Portfolio]&amp;VALUE(CashIntraTable[Cash Date])&amp;CashIntraTable[Detail]</f>
        <v>SCBGIN433852.2. Switch-out</v>
      </c>
    </row>
    <row r="242" spans="1:9" x14ac:dyDescent="0.2">
      <c r="A242" t="s">
        <v>431</v>
      </c>
      <c r="B242" t="s">
        <v>23</v>
      </c>
      <c r="C242" s="67">
        <v>43389</v>
      </c>
      <c r="D242" t="s">
        <v>399</v>
      </c>
      <c r="E242">
        <v>-24792424.530000001</v>
      </c>
      <c r="F242" t="s">
        <v>347</v>
      </c>
      <c r="G242" t="s">
        <v>400</v>
      </c>
      <c r="H242">
        <v>181011084158</v>
      </c>
      <c r="I242" t="str">
        <f>CashIntraTable[Portfolio]&amp;VALUE(CashIntraTable[Cash Date])&amp;CashIntraTable[Detail]</f>
        <v>SCBGIN433892.2. Switch-out</v>
      </c>
    </row>
    <row r="243" spans="1:9" x14ac:dyDescent="0.2">
      <c r="A243" t="s">
        <v>431</v>
      </c>
      <c r="B243" t="s">
        <v>23</v>
      </c>
      <c r="C243" s="67">
        <v>43390</v>
      </c>
      <c r="D243" t="s">
        <v>399</v>
      </c>
      <c r="E243">
        <v>-23525068.239999998</v>
      </c>
      <c r="F243" t="s">
        <v>347</v>
      </c>
      <c r="G243" t="s">
        <v>400</v>
      </c>
      <c r="H243">
        <v>181011084158</v>
      </c>
      <c r="I243" t="str">
        <f>CashIntraTable[Portfolio]&amp;VALUE(CashIntraTable[Cash Date])&amp;CashIntraTable[Detail]</f>
        <v>SCBGIN433902.2. Switch-out</v>
      </c>
    </row>
    <row r="244" spans="1:9" x14ac:dyDescent="0.2">
      <c r="A244" t="s">
        <v>432</v>
      </c>
      <c r="B244" t="s">
        <v>23</v>
      </c>
      <c r="C244" s="67">
        <v>43398</v>
      </c>
      <c r="D244" t="s">
        <v>399</v>
      </c>
      <c r="E244">
        <v>1000</v>
      </c>
      <c r="F244" t="s">
        <v>344</v>
      </c>
      <c r="G244" t="s">
        <v>400</v>
      </c>
      <c r="H244">
        <v>181011084158</v>
      </c>
      <c r="I244" t="str">
        <f>CashIntraTable[Portfolio]&amp;VALUE(CashIntraTable[Cash Date])&amp;CashIntraTable[Detail]</f>
        <v>SCBGMT433981.1. Subscription</v>
      </c>
    </row>
    <row r="245" spans="1:9" x14ac:dyDescent="0.2">
      <c r="A245" t="s">
        <v>432</v>
      </c>
      <c r="B245" t="s">
        <v>23</v>
      </c>
      <c r="C245" s="67">
        <v>43404</v>
      </c>
      <c r="D245" t="s">
        <v>399</v>
      </c>
      <c r="E245">
        <v>-1388468.38</v>
      </c>
      <c r="F245" t="s">
        <v>346</v>
      </c>
      <c r="G245" t="s">
        <v>400</v>
      </c>
      <c r="H245">
        <v>181011084158</v>
      </c>
      <c r="I245" t="str">
        <f>CashIntraTable[Portfolio]&amp;VALUE(CashIntraTable[Cash Date])&amp;CashIntraTable[Detail]</f>
        <v>SCBGMT434042.1. Redemption</v>
      </c>
    </row>
    <row r="246" spans="1:9" x14ac:dyDescent="0.2">
      <c r="A246" t="s">
        <v>432</v>
      </c>
      <c r="B246" t="s">
        <v>23</v>
      </c>
      <c r="C246" s="67">
        <v>43404</v>
      </c>
      <c r="D246" t="s">
        <v>399</v>
      </c>
      <c r="E246">
        <v>-509105.07</v>
      </c>
      <c r="F246" t="s">
        <v>347</v>
      </c>
      <c r="G246" t="s">
        <v>400</v>
      </c>
      <c r="H246">
        <v>181011084158</v>
      </c>
      <c r="I246" t="str">
        <f>CashIntraTable[Portfolio]&amp;VALUE(CashIntraTable[Cash Date])&amp;CashIntraTable[Detail]</f>
        <v>SCBGMT434042.2. Switch-out</v>
      </c>
    </row>
    <row r="247" spans="1:9" x14ac:dyDescent="0.2">
      <c r="A247" t="s">
        <v>433</v>
      </c>
      <c r="B247" t="s">
        <v>23</v>
      </c>
      <c r="C247" s="67">
        <v>43384</v>
      </c>
      <c r="D247" t="s">
        <v>399</v>
      </c>
      <c r="E247">
        <v>330747.39</v>
      </c>
      <c r="F247" t="s">
        <v>344</v>
      </c>
      <c r="G247" t="s">
        <v>400</v>
      </c>
      <c r="H247">
        <v>181011084158</v>
      </c>
      <c r="I247" t="str">
        <f>CashIntraTable[Portfolio]&amp;VALUE(CashIntraTable[Cash Date])&amp;CashIntraTable[Detail]</f>
        <v>SCBGOLD433841.1. Subscription</v>
      </c>
    </row>
    <row r="248" spans="1:9" x14ac:dyDescent="0.2">
      <c r="A248" t="s">
        <v>433</v>
      </c>
      <c r="B248" t="s">
        <v>23</v>
      </c>
      <c r="C248" s="67">
        <v>43385</v>
      </c>
      <c r="D248" t="s">
        <v>399</v>
      </c>
      <c r="E248">
        <v>11000</v>
      </c>
      <c r="F248" t="s">
        <v>344</v>
      </c>
      <c r="G248" t="s">
        <v>400</v>
      </c>
      <c r="H248">
        <v>181011084158</v>
      </c>
      <c r="I248" t="str">
        <f>CashIntraTable[Portfolio]&amp;VALUE(CashIntraTable[Cash Date])&amp;CashIntraTable[Detail]</f>
        <v>SCBGOLD433851.1. Subscription</v>
      </c>
    </row>
    <row r="249" spans="1:9" x14ac:dyDescent="0.2">
      <c r="A249" t="s">
        <v>433</v>
      </c>
      <c r="B249" t="s">
        <v>23</v>
      </c>
      <c r="C249" s="67">
        <v>43384</v>
      </c>
      <c r="D249" t="s">
        <v>399</v>
      </c>
      <c r="E249">
        <v>97359.51</v>
      </c>
      <c r="F249" t="s">
        <v>345</v>
      </c>
      <c r="G249" t="s">
        <v>400</v>
      </c>
      <c r="H249">
        <v>181011084158</v>
      </c>
      <c r="I249" t="str">
        <f>CashIntraTable[Portfolio]&amp;VALUE(CashIntraTable[Cash Date])&amp;CashIntraTable[Detail]</f>
        <v>SCBGOLD433841.2. Switch-in</v>
      </c>
    </row>
    <row r="250" spans="1:9" x14ac:dyDescent="0.2">
      <c r="A250" t="s">
        <v>433</v>
      </c>
      <c r="B250" t="s">
        <v>23</v>
      </c>
      <c r="C250" s="67">
        <v>43385</v>
      </c>
      <c r="D250" t="s">
        <v>399</v>
      </c>
      <c r="E250">
        <v>6178.84</v>
      </c>
      <c r="F250" t="s">
        <v>345</v>
      </c>
      <c r="G250" t="s">
        <v>400</v>
      </c>
      <c r="H250">
        <v>181011084158</v>
      </c>
      <c r="I250" t="str">
        <f>CashIntraTable[Portfolio]&amp;VALUE(CashIntraTable[Cash Date])&amp;CashIntraTable[Detail]</f>
        <v>SCBGOLD433851.2. Switch-in</v>
      </c>
    </row>
    <row r="251" spans="1:9" x14ac:dyDescent="0.2">
      <c r="A251" t="s">
        <v>433</v>
      </c>
      <c r="B251" t="s">
        <v>23</v>
      </c>
      <c r="C251" s="67">
        <v>43390</v>
      </c>
      <c r="D251" t="s">
        <v>399</v>
      </c>
      <c r="E251">
        <v>991.14</v>
      </c>
      <c r="F251" t="s">
        <v>345</v>
      </c>
      <c r="G251" t="s">
        <v>400</v>
      </c>
      <c r="H251">
        <v>181011084158</v>
      </c>
      <c r="I251" t="str">
        <f>CashIntraTable[Portfolio]&amp;VALUE(CashIntraTable[Cash Date])&amp;CashIntraTable[Detail]</f>
        <v>SCBGOLD433901.2. Switch-in</v>
      </c>
    </row>
    <row r="252" spans="1:9" x14ac:dyDescent="0.2">
      <c r="A252" t="s">
        <v>433</v>
      </c>
      <c r="B252" t="s">
        <v>23</v>
      </c>
      <c r="C252" s="67">
        <v>43385</v>
      </c>
      <c r="D252" t="s">
        <v>399</v>
      </c>
      <c r="E252">
        <v>-189187.39</v>
      </c>
      <c r="F252" t="s">
        <v>346</v>
      </c>
      <c r="G252" t="s">
        <v>400</v>
      </c>
      <c r="H252">
        <v>181011084158</v>
      </c>
      <c r="I252" t="str">
        <f>CashIntraTable[Portfolio]&amp;VALUE(CashIntraTable[Cash Date])&amp;CashIntraTable[Detail]</f>
        <v>SCBGOLD433852.1. Redemption</v>
      </c>
    </row>
    <row r="253" spans="1:9" x14ac:dyDescent="0.2">
      <c r="A253" t="s">
        <v>433</v>
      </c>
      <c r="B253" t="s">
        <v>23</v>
      </c>
      <c r="C253" s="67">
        <v>43389</v>
      </c>
      <c r="D253" t="s">
        <v>399</v>
      </c>
      <c r="E253">
        <v>-191172.21</v>
      </c>
      <c r="F253" t="s">
        <v>346</v>
      </c>
      <c r="G253" t="s">
        <v>400</v>
      </c>
      <c r="H253">
        <v>181011084158</v>
      </c>
      <c r="I253" t="str">
        <f>CashIntraTable[Portfolio]&amp;VALUE(CashIntraTable[Cash Date])&amp;CashIntraTable[Detail]</f>
        <v>SCBGOLD433892.1. Redemption</v>
      </c>
    </row>
    <row r="254" spans="1:9" x14ac:dyDescent="0.2">
      <c r="A254" t="s">
        <v>433</v>
      </c>
      <c r="B254" t="s">
        <v>23</v>
      </c>
      <c r="C254" s="67">
        <v>43390</v>
      </c>
      <c r="D254" t="s">
        <v>399</v>
      </c>
      <c r="E254">
        <v>-292664.33</v>
      </c>
      <c r="F254" t="s">
        <v>346</v>
      </c>
      <c r="G254" t="s">
        <v>400</v>
      </c>
      <c r="H254">
        <v>181011084158</v>
      </c>
      <c r="I254" t="str">
        <f>CashIntraTable[Portfolio]&amp;VALUE(CashIntraTable[Cash Date])&amp;CashIntraTable[Detail]</f>
        <v>SCBGOLD433902.1. Redemption</v>
      </c>
    </row>
    <row r="255" spans="1:9" x14ac:dyDescent="0.2">
      <c r="A255" t="s">
        <v>433</v>
      </c>
      <c r="B255" t="s">
        <v>23</v>
      </c>
      <c r="C255" s="67">
        <v>43384</v>
      </c>
      <c r="D255" t="s">
        <v>399</v>
      </c>
      <c r="E255">
        <v>-510474.36</v>
      </c>
      <c r="F255" t="s">
        <v>347</v>
      </c>
      <c r="G255" t="s">
        <v>400</v>
      </c>
      <c r="H255">
        <v>181011084158</v>
      </c>
      <c r="I255" t="str">
        <f>CashIntraTable[Portfolio]&amp;VALUE(CashIntraTable[Cash Date])&amp;CashIntraTable[Detail]</f>
        <v>SCBGOLD433842.2. Switch-out</v>
      </c>
    </row>
    <row r="256" spans="1:9" x14ac:dyDescent="0.2">
      <c r="A256" t="s">
        <v>433</v>
      </c>
      <c r="B256" t="s">
        <v>23</v>
      </c>
      <c r="C256" s="67">
        <v>43385</v>
      </c>
      <c r="D256" t="s">
        <v>399</v>
      </c>
      <c r="E256">
        <v>-1046.1199999999999</v>
      </c>
      <c r="F256" t="s">
        <v>347</v>
      </c>
      <c r="G256" t="s">
        <v>400</v>
      </c>
      <c r="H256">
        <v>181011084158</v>
      </c>
      <c r="I256" t="str">
        <f>CashIntraTable[Portfolio]&amp;VALUE(CashIntraTable[Cash Date])&amp;CashIntraTable[Detail]</f>
        <v>SCBGOLD433852.2. Switch-out</v>
      </c>
    </row>
    <row r="257" spans="1:9" x14ac:dyDescent="0.2">
      <c r="A257" t="s">
        <v>433</v>
      </c>
      <c r="B257" t="s">
        <v>23</v>
      </c>
      <c r="C257" s="67">
        <v>43389</v>
      </c>
      <c r="D257" t="s">
        <v>399</v>
      </c>
      <c r="E257">
        <v>-106095.13</v>
      </c>
      <c r="F257" t="s">
        <v>347</v>
      </c>
      <c r="G257" t="s">
        <v>400</v>
      </c>
      <c r="H257">
        <v>181011084158</v>
      </c>
      <c r="I257" t="str">
        <f>CashIntraTable[Portfolio]&amp;VALUE(CashIntraTable[Cash Date])&amp;CashIntraTable[Detail]</f>
        <v>SCBGOLD433892.2. Switch-out</v>
      </c>
    </row>
    <row r="258" spans="1:9" x14ac:dyDescent="0.2">
      <c r="A258" t="s">
        <v>433</v>
      </c>
      <c r="B258" t="s">
        <v>23</v>
      </c>
      <c r="C258" s="67">
        <v>43390</v>
      </c>
      <c r="D258" t="s">
        <v>399</v>
      </c>
      <c r="E258">
        <v>-4906.49</v>
      </c>
      <c r="F258" t="s">
        <v>347</v>
      </c>
      <c r="G258" t="s">
        <v>400</v>
      </c>
      <c r="H258">
        <v>181011084158</v>
      </c>
      <c r="I258" t="str">
        <f>CashIntraTable[Portfolio]&amp;VALUE(CashIntraTable[Cash Date])&amp;CashIntraTable[Detail]</f>
        <v>SCBGOLD433902.2. Switch-out</v>
      </c>
    </row>
    <row r="259" spans="1:9" x14ac:dyDescent="0.2">
      <c r="A259" t="s">
        <v>434</v>
      </c>
      <c r="B259" t="s">
        <v>23</v>
      </c>
      <c r="C259" s="67">
        <v>43384</v>
      </c>
      <c r="D259" t="s">
        <v>399</v>
      </c>
      <c r="E259">
        <v>196163.07</v>
      </c>
      <c r="F259" t="s">
        <v>344</v>
      </c>
      <c r="G259" t="s">
        <v>400</v>
      </c>
      <c r="H259">
        <v>181011084158</v>
      </c>
      <c r="I259" t="str">
        <f>CashIntraTable[Portfolio]&amp;VALUE(CashIntraTable[Cash Date])&amp;CashIntraTable[Detail]</f>
        <v>SCBGOLDHFUND433841.1. Subscription</v>
      </c>
    </row>
    <row r="260" spans="1:9" x14ac:dyDescent="0.2">
      <c r="A260" t="s">
        <v>434</v>
      </c>
      <c r="B260" t="s">
        <v>23</v>
      </c>
      <c r="C260" s="67">
        <v>43385</v>
      </c>
      <c r="D260" t="s">
        <v>399</v>
      </c>
      <c r="E260">
        <v>85321.74</v>
      </c>
      <c r="F260" t="s">
        <v>344</v>
      </c>
      <c r="G260" t="s">
        <v>400</v>
      </c>
      <c r="H260">
        <v>181011084158</v>
      </c>
      <c r="I260" t="str">
        <f>CashIntraTable[Portfolio]&amp;VALUE(CashIntraTable[Cash Date])&amp;CashIntraTable[Detail]</f>
        <v>SCBGOLDHFUND433851.1. Subscription</v>
      </c>
    </row>
    <row r="261" spans="1:9" x14ac:dyDescent="0.2">
      <c r="A261" t="s">
        <v>434</v>
      </c>
      <c r="B261" t="s">
        <v>23</v>
      </c>
      <c r="C261" s="67">
        <v>43384</v>
      </c>
      <c r="D261" t="s">
        <v>399</v>
      </c>
      <c r="E261">
        <v>39586.11</v>
      </c>
      <c r="F261" t="s">
        <v>345</v>
      </c>
      <c r="G261" t="s">
        <v>400</v>
      </c>
      <c r="H261">
        <v>181011084158</v>
      </c>
      <c r="I261" t="str">
        <f>CashIntraTable[Portfolio]&amp;VALUE(CashIntraTable[Cash Date])&amp;CashIntraTable[Detail]</f>
        <v>SCBGOLDHFUND433841.2. Switch-in</v>
      </c>
    </row>
    <row r="262" spans="1:9" x14ac:dyDescent="0.2">
      <c r="A262" t="s">
        <v>434</v>
      </c>
      <c r="B262" t="s">
        <v>23</v>
      </c>
      <c r="C262" s="67">
        <v>43384</v>
      </c>
      <c r="D262" t="s">
        <v>399</v>
      </c>
      <c r="E262">
        <v>-55890.47</v>
      </c>
      <c r="F262" t="s">
        <v>346</v>
      </c>
      <c r="G262" t="s">
        <v>400</v>
      </c>
      <c r="H262">
        <v>181011084158</v>
      </c>
      <c r="I262" t="str">
        <f>CashIntraTable[Portfolio]&amp;VALUE(CashIntraTable[Cash Date])&amp;CashIntraTable[Detail]</f>
        <v>SCBGOLDHFUND433842.1. Redemption</v>
      </c>
    </row>
    <row r="263" spans="1:9" x14ac:dyDescent="0.2">
      <c r="A263" t="s">
        <v>434</v>
      </c>
      <c r="B263" t="s">
        <v>23</v>
      </c>
      <c r="C263" s="67">
        <v>43385</v>
      </c>
      <c r="D263" t="s">
        <v>399</v>
      </c>
      <c r="E263">
        <v>-1445744.37</v>
      </c>
      <c r="F263" t="s">
        <v>346</v>
      </c>
      <c r="G263" t="s">
        <v>400</v>
      </c>
      <c r="H263">
        <v>181011084158</v>
      </c>
      <c r="I263" t="str">
        <f>CashIntraTable[Portfolio]&amp;VALUE(CashIntraTable[Cash Date])&amp;CashIntraTable[Detail]</f>
        <v>SCBGOLDHFUND433852.1. Redemption</v>
      </c>
    </row>
    <row r="264" spans="1:9" x14ac:dyDescent="0.2">
      <c r="A264" t="s">
        <v>434</v>
      </c>
      <c r="B264" t="s">
        <v>23</v>
      </c>
      <c r="C264" s="67">
        <v>43389</v>
      </c>
      <c r="D264" t="s">
        <v>399</v>
      </c>
      <c r="E264">
        <v>-852574.2</v>
      </c>
      <c r="F264" t="s">
        <v>346</v>
      </c>
      <c r="G264" t="s">
        <v>400</v>
      </c>
      <c r="H264">
        <v>181011084158</v>
      </c>
      <c r="I264" t="str">
        <f>CashIntraTable[Portfolio]&amp;VALUE(CashIntraTable[Cash Date])&amp;CashIntraTable[Detail]</f>
        <v>SCBGOLDHFUND433892.1. Redemption</v>
      </c>
    </row>
    <row r="265" spans="1:9" x14ac:dyDescent="0.2">
      <c r="A265" t="s">
        <v>434</v>
      </c>
      <c r="B265" t="s">
        <v>23</v>
      </c>
      <c r="C265" s="67">
        <v>43384</v>
      </c>
      <c r="D265" t="s">
        <v>399</v>
      </c>
      <c r="E265">
        <v>-8278.39</v>
      </c>
      <c r="F265" t="s">
        <v>347</v>
      </c>
      <c r="G265" t="s">
        <v>400</v>
      </c>
      <c r="H265">
        <v>181011084158</v>
      </c>
      <c r="I265" t="str">
        <f>CashIntraTable[Portfolio]&amp;VALUE(CashIntraTable[Cash Date])&amp;CashIntraTable[Detail]</f>
        <v>SCBGOLDHFUND433842.2. Switch-out</v>
      </c>
    </row>
    <row r="266" spans="1:9" x14ac:dyDescent="0.2">
      <c r="A266" t="s">
        <v>434</v>
      </c>
      <c r="B266" t="s">
        <v>23</v>
      </c>
      <c r="C266" s="67">
        <v>43385</v>
      </c>
      <c r="D266" t="s">
        <v>399</v>
      </c>
      <c r="E266">
        <v>-79235.86</v>
      </c>
      <c r="F266" t="s">
        <v>347</v>
      </c>
      <c r="G266" t="s">
        <v>400</v>
      </c>
      <c r="H266">
        <v>181011084158</v>
      </c>
      <c r="I266" t="str">
        <f>CashIntraTable[Portfolio]&amp;VALUE(CashIntraTable[Cash Date])&amp;CashIntraTable[Detail]</f>
        <v>SCBGOLDHFUND433852.2. Switch-out</v>
      </c>
    </row>
    <row r="267" spans="1:9" x14ac:dyDescent="0.2">
      <c r="A267" t="s">
        <v>434</v>
      </c>
      <c r="B267" t="s">
        <v>23</v>
      </c>
      <c r="C267" s="67">
        <v>43389</v>
      </c>
      <c r="D267" t="s">
        <v>399</v>
      </c>
      <c r="E267">
        <v>-20357.3</v>
      </c>
      <c r="F267" t="s">
        <v>347</v>
      </c>
      <c r="G267" t="s">
        <v>400</v>
      </c>
      <c r="H267">
        <v>181011084158</v>
      </c>
      <c r="I267" t="str">
        <f>CashIntraTable[Portfolio]&amp;VALUE(CashIntraTable[Cash Date])&amp;CashIntraTable[Detail]</f>
        <v>SCBGOLDHFUND433892.2. Switch-out</v>
      </c>
    </row>
    <row r="268" spans="1:9" x14ac:dyDescent="0.2">
      <c r="A268" t="s">
        <v>434</v>
      </c>
      <c r="B268" t="s">
        <v>23</v>
      </c>
      <c r="C268" s="67">
        <v>43390</v>
      </c>
      <c r="D268" t="s">
        <v>399</v>
      </c>
      <c r="E268">
        <v>-79476.28</v>
      </c>
      <c r="F268" t="s">
        <v>347</v>
      </c>
      <c r="G268" t="s">
        <v>400</v>
      </c>
      <c r="H268">
        <v>181011084158</v>
      </c>
      <c r="I268" t="str">
        <f>CashIntraTable[Portfolio]&amp;VALUE(CashIntraTable[Cash Date])&amp;CashIntraTable[Detail]</f>
        <v>SCBGOLDHFUND433902.2. Switch-out</v>
      </c>
    </row>
    <row r="269" spans="1:9" x14ac:dyDescent="0.2">
      <c r="A269" t="s">
        <v>435</v>
      </c>
      <c r="B269" t="s">
        <v>23</v>
      </c>
      <c r="C269" s="67">
        <v>43384</v>
      </c>
      <c r="D269" t="s">
        <v>399</v>
      </c>
      <c r="E269">
        <v>10500</v>
      </c>
      <c r="F269" t="s">
        <v>344</v>
      </c>
      <c r="G269" t="s">
        <v>400</v>
      </c>
      <c r="H269">
        <v>181011084158</v>
      </c>
      <c r="I269" t="str">
        <f>CashIntraTable[Portfolio]&amp;VALUE(CashIntraTable[Cash Date])&amp;CashIntraTable[Detail]</f>
        <v>SCBGOLDHRMF433841.1. Subscription</v>
      </c>
    </row>
    <row r="270" spans="1:9" x14ac:dyDescent="0.2">
      <c r="A270" t="s">
        <v>435</v>
      </c>
      <c r="B270" t="s">
        <v>23</v>
      </c>
      <c r="C270" s="67">
        <v>43385</v>
      </c>
      <c r="D270" t="s">
        <v>399</v>
      </c>
      <c r="E270">
        <v>2000</v>
      </c>
      <c r="F270" t="s">
        <v>344</v>
      </c>
      <c r="G270" t="s">
        <v>400</v>
      </c>
      <c r="H270">
        <v>181011084158</v>
      </c>
      <c r="I270" t="str">
        <f>CashIntraTable[Portfolio]&amp;VALUE(CashIntraTable[Cash Date])&amp;CashIntraTable[Detail]</f>
        <v>SCBGOLDHRMF433851.1. Subscription</v>
      </c>
    </row>
    <row r="271" spans="1:9" x14ac:dyDescent="0.2">
      <c r="A271" t="s">
        <v>435</v>
      </c>
      <c r="B271" t="s">
        <v>23</v>
      </c>
      <c r="C271" s="67">
        <v>43384</v>
      </c>
      <c r="D271" t="s">
        <v>399</v>
      </c>
      <c r="E271">
        <v>56000</v>
      </c>
      <c r="F271" t="s">
        <v>348</v>
      </c>
      <c r="G271" t="s">
        <v>400</v>
      </c>
      <c r="H271">
        <v>181011084158</v>
      </c>
      <c r="I271" t="str">
        <f>CashIntraTable[Portfolio]&amp;VALUE(CashIntraTable[Cash Date])&amp;CashIntraTable[Detail]</f>
        <v>SCBGOLDHRMF433841.1. Subscription (Chq)</v>
      </c>
    </row>
    <row r="272" spans="1:9" x14ac:dyDescent="0.2">
      <c r="A272" t="s">
        <v>435</v>
      </c>
      <c r="B272" t="s">
        <v>23</v>
      </c>
      <c r="C272" s="67">
        <v>43385</v>
      </c>
      <c r="D272" t="s">
        <v>399</v>
      </c>
      <c r="E272">
        <v>150000</v>
      </c>
      <c r="F272" t="s">
        <v>348</v>
      </c>
      <c r="G272" t="s">
        <v>400</v>
      </c>
      <c r="H272">
        <v>181011084158</v>
      </c>
      <c r="I272" t="str">
        <f>CashIntraTable[Portfolio]&amp;VALUE(CashIntraTable[Cash Date])&amp;CashIntraTable[Detail]</f>
        <v>SCBGOLDHRMF433851.1. Subscription (Chq)</v>
      </c>
    </row>
    <row r="273" spans="1:9" x14ac:dyDescent="0.2">
      <c r="A273" t="s">
        <v>435</v>
      </c>
      <c r="B273" t="s">
        <v>23</v>
      </c>
      <c r="C273" s="67">
        <v>43384</v>
      </c>
      <c r="D273" t="s">
        <v>399</v>
      </c>
      <c r="E273">
        <v>997379.92</v>
      </c>
      <c r="F273" t="s">
        <v>345</v>
      </c>
      <c r="G273" t="s">
        <v>400</v>
      </c>
      <c r="H273">
        <v>181011084158</v>
      </c>
      <c r="I273" t="str">
        <f>CashIntraTable[Portfolio]&amp;VALUE(CashIntraTable[Cash Date])&amp;CashIntraTable[Detail]</f>
        <v>SCBGOLDHRMF433841.2. Switch-in</v>
      </c>
    </row>
    <row r="274" spans="1:9" x14ac:dyDescent="0.2">
      <c r="A274" t="s">
        <v>435</v>
      </c>
      <c r="B274" t="s">
        <v>23</v>
      </c>
      <c r="C274" s="67">
        <v>43385</v>
      </c>
      <c r="D274" t="s">
        <v>399</v>
      </c>
      <c r="E274">
        <v>1343314.75</v>
      </c>
      <c r="F274" t="s">
        <v>345</v>
      </c>
      <c r="G274" t="s">
        <v>400</v>
      </c>
      <c r="H274">
        <v>181011084158</v>
      </c>
      <c r="I274" t="str">
        <f>CashIntraTable[Portfolio]&amp;VALUE(CashIntraTable[Cash Date])&amp;CashIntraTable[Detail]</f>
        <v>SCBGOLDHRMF433851.2. Switch-in</v>
      </c>
    </row>
    <row r="275" spans="1:9" x14ac:dyDescent="0.2">
      <c r="A275" t="s">
        <v>435</v>
      </c>
      <c r="B275" t="s">
        <v>23</v>
      </c>
      <c r="C275" s="67">
        <v>43389</v>
      </c>
      <c r="D275" t="s">
        <v>399</v>
      </c>
      <c r="E275">
        <v>1252623.92</v>
      </c>
      <c r="F275" t="s">
        <v>345</v>
      </c>
      <c r="G275" t="s">
        <v>400</v>
      </c>
      <c r="H275">
        <v>181011084158</v>
      </c>
      <c r="I275" t="str">
        <f>CashIntraTable[Portfolio]&amp;VALUE(CashIntraTable[Cash Date])&amp;CashIntraTable[Detail]</f>
        <v>SCBGOLDHRMF433891.2. Switch-in</v>
      </c>
    </row>
    <row r="276" spans="1:9" x14ac:dyDescent="0.2">
      <c r="A276" t="s">
        <v>435</v>
      </c>
      <c r="B276" t="s">
        <v>23</v>
      </c>
      <c r="C276" s="67">
        <v>43384</v>
      </c>
      <c r="D276" t="s">
        <v>399</v>
      </c>
      <c r="E276">
        <v>-1998.63</v>
      </c>
      <c r="F276" t="s">
        <v>346</v>
      </c>
      <c r="G276" t="s">
        <v>400</v>
      </c>
      <c r="H276">
        <v>181011084158</v>
      </c>
      <c r="I276" t="str">
        <f>CashIntraTable[Portfolio]&amp;VALUE(CashIntraTable[Cash Date])&amp;CashIntraTable[Detail]</f>
        <v>SCBGOLDHRMF433842.1. Redemption</v>
      </c>
    </row>
    <row r="277" spans="1:9" x14ac:dyDescent="0.2">
      <c r="A277" t="s">
        <v>435</v>
      </c>
      <c r="B277" t="s">
        <v>23</v>
      </c>
      <c r="C277" s="67">
        <v>43385</v>
      </c>
      <c r="D277" t="s">
        <v>399</v>
      </c>
      <c r="E277">
        <v>-35132.81</v>
      </c>
      <c r="F277" t="s">
        <v>346</v>
      </c>
      <c r="G277" t="s">
        <v>400</v>
      </c>
      <c r="H277">
        <v>181011084158</v>
      </c>
      <c r="I277" t="str">
        <f>CashIntraTable[Portfolio]&amp;VALUE(CashIntraTable[Cash Date])&amp;CashIntraTable[Detail]</f>
        <v>SCBGOLDHRMF433852.1. Redemption</v>
      </c>
    </row>
    <row r="278" spans="1:9" x14ac:dyDescent="0.2">
      <c r="A278" t="s">
        <v>435</v>
      </c>
      <c r="B278" t="s">
        <v>23</v>
      </c>
      <c r="C278" s="67">
        <v>43384</v>
      </c>
      <c r="D278" t="s">
        <v>399</v>
      </c>
      <c r="E278">
        <v>-867842.08</v>
      </c>
      <c r="F278" t="s">
        <v>347</v>
      </c>
      <c r="G278" t="s">
        <v>400</v>
      </c>
      <c r="H278">
        <v>181011084158</v>
      </c>
      <c r="I278" t="str">
        <f>CashIntraTable[Portfolio]&amp;VALUE(CashIntraTable[Cash Date])&amp;CashIntraTable[Detail]</f>
        <v>SCBGOLDHRMF433842.2. Switch-out</v>
      </c>
    </row>
    <row r="279" spans="1:9" x14ac:dyDescent="0.2">
      <c r="A279" t="s">
        <v>435</v>
      </c>
      <c r="B279" t="s">
        <v>23</v>
      </c>
      <c r="C279" s="67">
        <v>43385</v>
      </c>
      <c r="D279" t="s">
        <v>399</v>
      </c>
      <c r="E279">
        <v>-135000</v>
      </c>
      <c r="F279" t="s">
        <v>347</v>
      </c>
      <c r="G279" t="s">
        <v>400</v>
      </c>
      <c r="H279">
        <v>181011084158</v>
      </c>
      <c r="I279" t="str">
        <f>CashIntraTable[Portfolio]&amp;VALUE(CashIntraTable[Cash Date])&amp;CashIntraTable[Detail]</f>
        <v>SCBGOLDHRMF433852.2. Switch-out</v>
      </c>
    </row>
    <row r="280" spans="1:9" x14ac:dyDescent="0.2">
      <c r="A280" t="s">
        <v>435</v>
      </c>
      <c r="B280" t="s">
        <v>23</v>
      </c>
      <c r="C280" s="67">
        <v>43389</v>
      </c>
      <c r="D280" t="s">
        <v>399</v>
      </c>
      <c r="E280">
        <v>-82789.009999999995</v>
      </c>
      <c r="F280" t="s">
        <v>347</v>
      </c>
      <c r="G280" t="s">
        <v>400</v>
      </c>
      <c r="H280">
        <v>181011084158</v>
      </c>
      <c r="I280" t="str">
        <f>CashIntraTable[Portfolio]&amp;VALUE(CashIntraTable[Cash Date])&amp;CashIntraTable[Detail]</f>
        <v>SCBGOLDHRMF433892.2. Switch-out</v>
      </c>
    </row>
    <row r="281" spans="1:9" x14ac:dyDescent="0.2">
      <c r="A281" t="s">
        <v>436</v>
      </c>
      <c r="B281" t="s">
        <v>23</v>
      </c>
      <c r="C281" s="67">
        <v>43384</v>
      </c>
      <c r="D281" t="s">
        <v>399</v>
      </c>
      <c r="E281">
        <v>-23292781.789999999</v>
      </c>
      <c r="F281" t="s">
        <v>346</v>
      </c>
      <c r="G281" t="s">
        <v>400</v>
      </c>
      <c r="H281">
        <v>181011084158</v>
      </c>
      <c r="I281" t="str">
        <f>CashIntraTable[Portfolio]&amp;VALUE(CashIntraTable[Cash Date])&amp;CashIntraTable[Detail]</f>
        <v>SCBGPLUS433842.1. Redemption</v>
      </c>
    </row>
    <row r="282" spans="1:9" x14ac:dyDescent="0.2">
      <c r="A282" t="s">
        <v>436</v>
      </c>
      <c r="B282" t="s">
        <v>23</v>
      </c>
      <c r="C282" s="67">
        <v>43385</v>
      </c>
      <c r="D282" t="s">
        <v>399</v>
      </c>
      <c r="E282">
        <v>-14461153.83</v>
      </c>
      <c r="F282" t="s">
        <v>346</v>
      </c>
      <c r="G282" t="s">
        <v>400</v>
      </c>
      <c r="H282">
        <v>181011084158</v>
      </c>
      <c r="I282" t="str">
        <f>CashIntraTable[Portfolio]&amp;VALUE(CashIntraTable[Cash Date])&amp;CashIntraTable[Detail]</f>
        <v>SCBGPLUS433852.1. Redemption</v>
      </c>
    </row>
    <row r="283" spans="1:9" x14ac:dyDescent="0.2">
      <c r="A283" t="s">
        <v>436</v>
      </c>
      <c r="B283" t="s">
        <v>23</v>
      </c>
      <c r="C283" s="67">
        <v>43389</v>
      </c>
      <c r="D283" t="s">
        <v>399</v>
      </c>
      <c r="E283">
        <v>-27477903.489999998</v>
      </c>
      <c r="F283" t="s">
        <v>346</v>
      </c>
      <c r="G283" t="s">
        <v>400</v>
      </c>
      <c r="H283">
        <v>181011084158</v>
      </c>
      <c r="I283" t="str">
        <f>CashIntraTable[Portfolio]&amp;VALUE(CashIntraTable[Cash Date])&amp;CashIntraTable[Detail]</f>
        <v>SCBGPLUS433892.1. Redemption</v>
      </c>
    </row>
    <row r="284" spans="1:9" x14ac:dyDescent="0.2">
      <c r="A284" t="s">
        <v>436</v>
      </c>
      <c r="B284" t="s">
        <v>23</v>
      </c>
      <c r="C284" s="67">
        <v>43390</v>
      </c>
      <c r="D284" t="s">
        <v>399</v>
      </c>
      <c r="E284">
        <v>-3954407.33</v>
      </c>
      <c r="F284" t="s">
        <v>346</v>
      </c>
      <c r="G284" t="s">
        <v>400</v>
      </c>
      <c r="H284">
        <v>181011084158</v>
      </c>
      <c r="I284" t="str">
        <f>CashIntraTable[Portfolio]&amp;VALUE(CashIntraTable[Cash Date])&amp;CashIntraTable[Detail]</f>
        <v>SCBGPLUS433902.1. Redemption</v>
      </c>
    </row>
    <row r="285" spans="1:9" x14ac:dyDescent="0.2">
      <c r="A285" t="s">
        <v>436</v>
      </c>
      <c r="B285" t="s">
        <v>23</v>
      </c>
      <c r="C285" s="67">
        <v>43384</v>
      </c>
      <c r="D285" t="s">
        <v>399</v>
      </c>
      <c r="E285">
        <v>-30244100.399999999</v>
      </c>
      <c r="F285" t="s">
        <v>347</v>
      </c>
      <c r="G285" t="s">
        <v>400</v>
      </c>
      <c r="H285">
        <v>181011084158</v>
      </c>
      <c r="I285" t="str">
        <f>CashIntraTable[Portfolio]&amp;VALUE(CashIntraTable[Cash Date])&amp;CashIntraTable[Detail]</f>
        <v>SCBGPLUS433842.2. Switch-out</v>
      </c>
    </row>
    <row r="286" spans="1:9" x14ac:dyDescent="0.2">
      <c r="A286" t="s">
        <v>436</v>
      </c>
      <c r="B286" t="s">
        <v>23</v>
      </c>
      <c r="C286" s="67">
        <v>43385</v>
      </c>
      <c r="D286" t="s">
        <v>399</v>
      </c>
      <c r="E286">
        <v>-8202539.0700000003</v>
      </c>
      <c r="F286" t="s">
        <v>347</v>
      </c>
      <c r="G286" t="s">
        <v>400</v>
      </c>
      <c r="H286">
        <v>181011084158</v>
      </c>
      <c r="I286" t="str">
        <f>CashIntraTable[Portfolio]&amp;VALUE(CashIntraTable[Cash Date])&amp;CashIntraTable[Detail]</f>
        <v>SCBGPLUS433852.2. Switch-out</v>
      </c>
    </row>
    <row r="287" spans="1:9" x14ac:dyDescent="0.2">
      <c r="A287" t="s">
        <v>436</v>
      </c>
      <c r="B287" t="s">
        <v>23</v>
      </c>
      <c r="C287" s="67">
        <v>43389</v>
      </c>
      <c r="D287" t="s">
        <v>399</v>
      </c>
      <c r="E287">
        <v>-15083805.140000001</v>
      </c>
      <c r="F287" t="s">
        <v>347</v>
      </c>
      <c r="G287" t="s">
        <v>400</v>
      </c>
      <c r="H287">
        <v>181011084158</v>
      </c>
      <c r="I287" t="str">
        <f>CashIntraTable[Portfolio]&amp;VALUE(CashIntraTable[Cash Date])&amp;CashIntraTable[Detail]</f>
        <v>SCBGPLUS433892.2. Switch-out</v>
      </c>
    </row>
    <row r="288" spans="1:9" x14ac:dyDescent="0.2">
      <c r="A288" t="s">
        <v>436</v>
      </c>
      <c r="B288" t="s">
        <v>23</v>
      </c>
      <c r="C288" s="67">
        <v>43390</v>
      </c>
      <c r="D288" t="s">
        <v>399</v>
      </c>
      <c r="E288">
        <v>-19641162.34</v>
      </c>
      <c r="F288" t="s">
        <v>347</v>
      </c>
      <c r="G288" t="s">
        <v>400</v>
      </c>
      <c r="H288">
        <v>181011084158</v>
      </c>
      <c r="I288" t="str">
        <f>CashIntraTable[Portfolio]&amp;VALUE(CashIntraTable[Cash Date])&amp;CashIntraTable[Detail]</f>
        <v>SCBGPLUS433902.2. Switch-out</v>
      </c>
    </row>
    <row r="289" spans="1:9" x14ac:dyDescent="0.2">
      <c r="A289" t="s">
        <v>437</v>
      </c>
      <c r="B289" t="s">
        <v>23</v>
      </c>
      <c r="C289" s="67">
        <v>43384</v>
      </c>
      <c r="D289" t="s">
        <v>399</v>
      </c>
      <c r="E289">
        <v>13000</v>
      </c>
      <c r="F289" t="s">
        <v>344</v>
      </c>
      <c r="G289" t="s">
        <v>400</v>
      </c>
      <c r="H289">
        <v>181011084158</v>
      </c>
      <c r="I289" t="str">
        <f>CashIntraTable[Portfolio]&amp;VALUE(CashIntraTable[Cash Date])&amp;CashIntraTable[Detail]</f>
        <v>SCBGPROP433841.1. Subscription</v>
      </c>
    </row>
    <row r="290" spans="1:9" x14ac:dyDescent="0.2">
      <c r="A290" t="s">
        <v>437</v>
      </c>
      <c r="B290" t="s">
        <v>23</v>
      </c>
      <c r="C290" s="67">
        <v>43384</v>
      </c>
      <c r="D290" t="s">
        <v>399</v>
      </c>
      <c r="E290">
        <v>-9338.69</v>
      </c>
      <c r="F290" t="s">
        <v>346</v>
      </c>
      <c r="G290" t="s">
        <v>400</v>
      </c>
      <c r="H290">
        <v>181011084158</v>
      </c>
      <c r="I290" t="str">
        <f>CashIntraTable[Portfolio]&amp;VALUE(CashIntraTable[Cash Date])&amp;CashIntraTable[Detail]</f>
        <v>SCBGPROP433842.1. Redemption</v>
      </c>
    </row>
    <row r="291" spans="1:9" x14ac:dyDescent="0.2">
      <c r="A291" t="s">
        <v>438</v>
      </c>
      <c r="B291" t="s">
        <v>23</v>
      </c>
      <c r="C291" s="67">
        <v>43384</v>
      </c>
      <c r="D291" t="s">
        <v>399</v>
      </c>
      <c r="E291">
        <v>24500</v>
      </c>
      <c r="F291" t="s">
        <v>344</v>
      </c>
      <c r="G291" t="s">
        <v>400</v>
      </c>
      <c r="H291">
        <v>181011084158</v>
      </c>
      <c r="I291" t="str">
        <f>CashIntraTable[Portfolio]&amp;VALUE(CashIntraTable[Cash Date])&amp;CashIntraTable[Detail]</f>
        <v>SCBGSIFUND433841.1. Subscription</v>
      </c>
    </row>
    <row r="292" spans="1:9" x14ac:dyDescent="0.2">
      <c r="A292" t="s">
        <v>438</v>
      </c>
      <c r="B292" t="s">
        <v>23</v>
      </c>
      <c r="C292" s="67">
        <v>43385</v>
      </c>
      <c r="D292" t="s">
        <v>399</v>
      </c>
      <c r="E292">
        <v>4100</v>
      </c>
      <c r="F292" t="s">
        <v>344</v>
      </c>
      <c r="G292" t="s">
        <v>400</v>
      </c>
      <c r="H292">
        <v>181011084158</v>
      </c>
      <c r="I292" t="str">
        <f>CashIntraTable[Portfolio]&amp;VALUE(CashIntraTable[Cash Date])&amp;CashIntraTable[Detail]</f>
        <v>SCBGSIFUND433851.1. Subscription</v>
      </c>
    </row>
    <row r="293" spans="1:9" x14ac:dyDescent="0.2">
      <c r="A293" t="s">
        <v>438</v>
      </c>
      <c r="B293" t="s">
        <v>23</v>
      </c>
      <c r="C293" s="67">
        <v>43384</v>
      </c>
      <c r="D293" t="s">
        <v>399</v>
      </c>
      <c r="E293">
        <v>-196709.72</v>
      </c>
      <c r="F293" t="s">
        <v>346</v>
      </c>
      <c r="G293" t="s">
        <v>400</v>
      </c>
      <c r="H293">
        <v>181011084158</v>
      </c>
      <c r="I293" t="str">
        <f>CashIntraTable[Portfolio]&amp;VALUE(CashIntraTable[Cash Date])&amp;CashIntraTable[Detail]</f>
        <v>SCBGSIFUND433842.1. Redemption</v>
      </c>
    </row>
    <row r="294" spans="1:9" x14ac:dyDescent="0.2">
      <c r="A294" t="s">
        <v>438</v>
      </c>
      <c r="B294" t="s">
        <v>23</v>
      </c>
      <c r="C294" s="67">
        <v>43385</v>
      </c>
      <c r="D294" t="s">
        <v>399</v>
      </c>
      <c r="E294">
        <v>-2980855.21</v>
      </c>
      <c r="F294" t="s">
        <v>346</v>
      </c>
      <c r="G294" t="s">
        <v>400</v>
      </c>
      <c r="H294">
        <v>181011084158</v>
      </c>
      <c r="I294" t="str">
        <f>CashIntraTable[Portfolio]&amp;VALUE(CashIntraTable[Cash Date])&amp;CashIntraTable[Detail]</f>
        <v>SCBGSIFUND433852.1. Redemption</v>
      </c>
    </row>
    <row r="295" spans="1:9" x14ac:dyDescent="0.2">
      <c r="A295" t="s">
        <v>438</v>
      </c>
      <c r="B295" t="s">
        <v>23</v>
      </c>
      <c r="C295" s="67">
        <v>43389</v>
      </c>
      <c r="D295" t="s">
        <v>399</v>
      </c>
      <c r="E295">
        <v>-107045.38</v>
      </c>
      <c r="F295" t="s">
        <v>346</v>
      </c>
      <c r="G295" t="s">
        <v>400</v>
      </c>
      <c r="H295">
        <v>181011084158</v>
      </c>
      <c r="I295" t="str">
        <f>CashIntraTable[Portfolio]&amp;VALUE(CashIntraTable[Cash Date])&amp;CashIntraTable[Detail]</f>
        <v>SCBGSIFUND433892.1. Redemption</v>
      </c>
    </row>
    <row r="296" spans="1:9" x14ac:dyDescent="0.2">
      <c r="A296" t="s">
        <v>438</v>
      </c>
      <c r="B296" t="s">
        <v>23</v>
      </c>
      <c r="C296" s="67">
        <v>43390</v>
      </c>
      <c r="D296" t="s">
        <v>399</v>
      </c>
      <c r="E296">
        <v>-251148.43</v>
      </c>
      <c r="F296" t="s">
        <v>346</v>
      </c>
      <c r="G296" t="s">
        <v>400</v>
      </c>
      <c r="H296">
        <v>181011084158</v>
      </c>
      <c r="I296" t="str">
        <f>CashIntraTable[Portfolio]&amp;VALUE(CashIntraTable[Cash Date])&amp;CashIntraTable[Detail]</f>
        <v>SCBGSIFUND433902.1. Redemption</v>
      </c>
    </row>
    <row r="297" spans="1:9" x14ac:dyDescent="0.2">
      <c r="A297" t="s">
        <v>438</v>
      </c>
      <c r="B297" t="s">
        <v>23</v>
      </c>
      <c r="C297" s="67">
        <v>43384</v>
      </c>
      <c r="D297" t="s">
        <v>399</v>
      </c>
      <c r="E297">
        <v>-20390.12</v>
      </c>
      <c r="F297" t="s">
        <v>347</v>
      </c>
      <c r="G297" t="s">
        <v>400</v>
      </c>
      <c r="H297">
        <v>181011084158</v>
      </c>
      <c r="I297" t="str">
        <f>CashIntraTable[Portfolio]&amp;VALUE(CashIntraTable[Cash Date])&amp;CashIntraTable[Detail]</f>
        <v>SCBGSIFUND433842.2. Switch-out</v>
      </c>
    </row>
    <row r="298" spans="1:9" x14ac:dyDescent="0.2">
      <c r="A298" t="s">
        <v>438</v>
      </c>
      <c r="B298" t="s">
        <v>23</v>
      </c>
      <c r="C298" s="67">
        <v>43385</v>
      </c>
      <c r="D298" t="s">
        <v>399</v>
      </c>
      <c r="E298">
        <v>-997652.53</v>
      </c>
      <c r="F298" t="s">
        <v>347</v>
      </c>
      <c r="G298" t="s">
        <v>400</v>
      </c>
      <c r="H298">
        <v>181011084158</v>
      </c>
      <c r="I298" t="str">
        <f>CashIntraTable[Portfolio]&amp;VALUE(CashIntraTable[Cash Date])&amp;CashIntraTable[Detail]</f>
        <v>SCBGSIFUND433852.2. Switch-out</v>
      </c>
    </row>
    <row r="299" spans="1:9" x14ac:dyDescent="0.2">
      <c r="A299" t="s">
        <v>438</v>
      </c>
      <c r="B299" t="s">
        <v>23</v>
      </c>
      <c r="C299" s="67">
        <v>43389</v>
      </c>
      <c r="D299" t="s">
        <v>399</v>
      </c>
      <c r="E299">
        <v>-11249515.720000001</v>
      </c>
      <c r="F299" t="s">
        <v>347</v>
      </c>
      <c r="G299" t="s">
        <v>400</v>
      </c>
      <c r="H299">
        <v>181011084158</v>
      </c>
      <c r="I299" t="str">
        <f>CashIntraTable[Portfolio]&amp;VALUE(CashIntraTable[Cash Date])&amp;CashIntraTable[Detail]</f>
        <v>SCBGSIFUND433892.2. Switch-out</v>
      </c>
    </row>
    <row r="300" spans="1:9" x14ac:dyDescent="0.2">
      <c r="A300" t="s">
        <v>438</v>
      </c>
      <c r="B300" t="s">
        <v>23</v>
      </c>
      <c r="C300" s="67">
        <v>43390</v>
      </c>
      <c r="D300" t="s">
        <v>399</v>
      </c>
      <c r="E300">
        <v>-5755790.2400000002</v>
      </c>
      <c r="F300" t="s">
        <v>347</v>
      </c>
      <c r="G300" t="s">
        <v>400</v>
      </c>
      <c r="H300">
        <v>181011084158</v>
      </c>
      <c r="I300" t="str">
        <f>CashIntraTable[Portfolio]&amp;VALUE(CashIntraTable[Cash Date])&amp;CashIntraTable[Detail]</f>
        <v>SCBGSIFUND433902.2. Switch-out</v>
      </c>
    </row>
    <row r="301" spans="1:9" x14ac:dyDescent="0.2">
      <c r="A301" t="s">
        <v>439</v>
      </c>
      <c r="B301" t="s">
        <v>23</v>
      </c>
      <c r="C301" s="67">
        <v>43384</v>
      </c>
      <c r="D301" t="s">
        <v>399</v>
      </c>
      <c r="E301">
        <v>1500</v>
      </c>
      <c r="F301" t="s">
        <v>344</v>
      </c>
      <c r="G301" t="s">
        <v>400</v>
      </c>
      <c r="H301">
        <v>181011084158</v>
      </c>
      <c r="I301" t="str">
        <f>CashIntraTable[Portfolio]&amp;VALUE(CashIntraTable[Cash Date])&amp;CashIntraTable[Detail]</f>
        <v>SCBINC433841.1. Subscription</v>
      </c>
    </row>
    <row r="302" spans="1:9" x14ac:dyDescent="0.2">
      <c r="A302" t="s">
        <v>439</v>
      </c>
      <c r="B302" t="s">
        <v>23</v>
      </c>
      <c r="C302" s="67">
        <v>43384</v>
      </c>
      <c r="D302" t="s">
        <v>399</v>
      </c>
      <c r="E302">
        <v>-2000000</v>
      </c>
      <c r="F302" t="s">
        <v>346</v>
      </c>
      <c r="G302" t="s">
        <v>400</v>
      </c>
      <c r="H302">
        <v>181011084158</v>
      </c>
      <c r="I302" t="str">
        <f>CashIntraTable[Portfolio]&amp;VALUE(CashIntraTable[Cash Date])&amp;CashIntraTable[Detail]</f>
        <v>SCBINC433842.1. Redemption</v>
      </c>
    </row>
    <row r="303" spans="1:9" x14ac:dyDescent="0.2">
      <c r="A303" t="s">
        <v>439</v>
      </c>
      <c r="B303" t="s">
        <v>23</v>
      </c>
      <c r="C303" s="67">
        <v>43385</v>
      </c>
      <c r="D303" t="s">
        <v>399</v>
      </c>
      <c r="E303">
        <v>-288385.3</v>
      </c>
      <c r="F303" t="s">
        <v>346</v>
      </c>
      <c r="G303" t="s">
        <v>400</v>
      </c>
      <c r="H303">
        <v>181011084158</v>
      </c>
      <c r="I303" t="str">
        <f>CashIntraTable[Portfolio]&amp;VALUE(CashIntraTable[Cash Date])&amp;CashIntraTable[Detail]</f>
        <v>SCBINC433852.1. Redemption</v>
      </c>
    </row>
    <row r="304" spans="1:9" x14ac:dyDescent="0.2">
      <c r="A304" t="s">
        <v>439</v>
      </c>
      <c r="B304" t="s">
        <v>23</v>
      </c>
      <c r="C304" s="67">
        <v>43389</v>
      </c>
      <c r="D304" t="s">
        <v>399</v>
      </c>
      <c r="E304">
        <v>-200000</v>
      </c>
      <c r="F304" t="s">
        <v>346</v>
      </c>
      <c r="G304" t="s">
        <v>400</v>
      </c>
      <c r="H304">
        <v>181011084158</v>
      </c>
      <c r="I304" t="str">
        <f>CashIntraTable[Portfolio]&amp;VALUE(CashIntraTable[Cash Date])&amp;CashIntraTable[Detail]</f>
        <v>SCBINC433892.1. Redemption</v>
      </c>
    </row>
    <row r="305" spans="1:9" x14ac:dyDescent="0.2">
      <c r="A305" t="s">
        <v>439</v>
      </c>
      <c r="B305" t="s">
        <v>23</v>
      </c>
      <c r="C305" s="67">
        <v>43385</v>
      </c>
      <c r="D305" t="s">
        <v>399</v>
      </c>
      <c r="E305">
        <v>-3829318.57</v>
      </c>
      <c r="F305" t="s">
        <v>347</v>
      </c>
      <c r="G305" t="s">
        <v>400</v>
      </c>
      <c r="H305">
        <v>181011084158</v>
      </c>
      <c r="I305" t="str">
        <f>CashIntraTable[Portfolio]&amp;VALUE(CashIntraTable[Cash Date])&amp;CashIntraTable[Detail]</f>
        <v>SCBINC433852.2. Switch-out</v>
      </c>
    </row>
    <row r="306" spans="1:9" x14ac:dyDescent="0.2">
      <c r="A306" t="s">
        <v>439</v>
      </c>
      <c r="B306" t="s">
        <v>23</v>
      </c>
      <c r="C306" s="67">
        <v>43389</v>
      </c>
      <c r="D306" t="s">
        <v>399</v>
      </c>
      <c r="E306">
        <v>-1225090.07</v>
      </c>
      <c r="F306" t="s">
        <v>347</v>
      </c>
      <c r="G306" t="s">
        <v>400</v>
      </c>
      <c r="H306">
        <v>181011084158</v>
      </c>
      <c r="I306" t="str">
        <f>CashIntraTable[Portfolio]&amp;VALUE(CashIntraTable[Cash Date])&amp;CashIntraTable[Detail]</f>
        <v>SCBINC433892.2. Switch-out</v>
      </c>
    </row>
    <row r="307" spans="1:9" x14ac:dyDescent="0.2">
      <c r="A307" t="s">
        <v>440</v>
      </c>
      <c r="B307" t="s">
        <v>23</v>
      </c>
      <c r="C307" s="67">
        <v>43384</v>
      </c>
      <c r="D307" t="s">
        <v>399</v>
      </c>
      <c r="E307">
        <v>166500</v>
      </c>
      <c r="F307" t="s">
        <v>344</v>
      </c>
      <c r="G307" t="s">
        <v>400</v>
      </c>
      <c r="H307">
        <v>181011084158</v>
      </c>
      <c r="I307" t="str">
        <f>CashIntraTable[Portfolio]&amp;VALUE(CashIntraTable[Cash Date])&amp;CashIntraTable[Detail]</f>
        <v>SCBINDIA433841.1. Subscription</v>
      </c>
    </row>
    <row r="308" spans="1:9" x14ac:dyDescent="0.2">
      <c r="A308" t="s">
        <v>440</v>
      </c>
      <c r="B308" t="s">
        <v>23</v>
      </c>
      <c r="C308" s="67">
        <v>43385</v>
      </c>
      <c r="D308" t="s">
        <v>399</v>
      </c>
      <c r="E308">
        <v>5500</v>
      </c>
      <c r="F308" t="s">
        <v>344</v>
      </c>
      <c r="G308" t="s">
        <v>400</v>
      </c>
      <c r="H308">
        <v>181011084158</v>
      </c>
      <c r="I308" t="str">
        <f>CashIntraTable[Portfolio]&amp;VALUE(CashIntraTable[Cash Date])&amp;CashIntraTable[Detail]</f>
        <v>SCBINDIA433851.1. Subscription</v>
      </c>
    </row>
    <row r="309" spans="1:9" x14ac:dyDescent="0.2">
      <c r="A309" t="s">
        <v>440</v>
      </c>
      <c r="B309" t="s">
        <v>23</v>
      </c>
      <c r="C309" s="67">
        <v>43384</v>
      </c>
      <c r="D309" t="s">
        <v>399</v>
      </c>
      <c r="E309">
        <v>60000</v>
      </c>
      <c r="F309" t="s">
        <v>345</v>
      </c>
      <c r="G309" t="s">
        <v>400</v>
      </c>
      <c r="H309">
        <v>181011084158</v>
      </c>
      <c r="I309" t="str">
        <f>CashIntraTable[Portfolio]&amp;VALUE(CashIntraTable[Cash Date])&amp;CashIntraTable[Detail]</f>
        <v>SCBINDIA433841.2. Switch-in</v>
      </c>
    </row>
    <row r="310" spans="1:9" x14ac:dyDescent="0.2">
      <c r="A310" t="s">
        <v>440</v>
      </c>
      <c r="B310" t="s">
        <v>23</v>
      </c>
      <c r="C310" s="67">
        <v>43389</v>
      </c>
      <c r="D310" t="s">
        <v>399</v>
      </c>
      <c r="E310">
        <v>117778.03</v>
      </c>
      <c r="F310" t="s">
        <v>345</v>
      </c>
      <c r="G310" t="s">
        <v>400</v>
      </c>
      <c r="H310">
        <v>181011084158</v>
      </c>
      <c r="I310" t="str">
        <f>CashIntraTable[Portfolio]&amp;VALUE(CashIntraTable[Cash Date])&amp;CashIntraTable[Detail]</f>
        <v>SCBINDIA433891.2. Switch-in</v>
      </c>
    </row>
    <row r="311" spans="1:9" x14ac:dyDescent="0.2">
      <c r="A311" t="s">
        <v>440</v>
      </c>
      <c r="B311" t="s">
        <v>23</v>
      </c>
      <c r="C311" s="67">
        <v>43384</v>
      </c>
      <c r="D311" t="s">
        <v>399</v>
      </c>
      <c r="E311">
        <v>-1680604.15</v>
      </c>
      <c r="F311" t="s">
        <v>346</v>
      </c>
      <c r="G311" t="s">
        <v>400</v>
      </c>
      <c r="H311">
        <v>181011084158</v>
      </c>
      <c r="I311" t="str">
        <f>CashIntraTable[Portfolio]&amp;VALUE(CashIntraTable[Cash Date])&amp;CashIntraTable[Detail]</f>
        <v>SCBINDIA433842.1. Redemption</v>
      </c>
    </row>
    <row r="312" spans="1:9" x14ac:dyDescent="0.2">
      <c r="A312" t="s">
        <v>440</v>
      </c>
      <c r="B312" t="s">
        <v>23</v>
      </c>
      <c r="C312" s="67">
        <v>43385</v>
      </c>
      <c r="D312" t="s">
        <v>399</v>
      </c>
      <c r="E312">
        <v>-27066.67</v>
      </c>
      <c r="F312" t="s">
        <v>346</v>
      </c>
      <c r="G312" t="s">
        <v>400</v>
      </c>
      <c r="H312">
        <v>181011084158</v>
      </c>
      <c r="I312" t="str">
        <f>CashIntraTable[Portfolio]&amp;VALUE(CashIntraTable[Cash Date])&amp;CashIntraTable[Detail]</f>
        <v>SCBINDIA433852.1. Redemption</v>
      </c>
    </row>
    <row r="313" spans="1:9" x14ac:dyDescent="0.2">
      <c r="A313" t="s">
        <v>440</v>
      </c>
      <c r="B313" t="s">
        <v>23</v>
      </c>
      <c r="C313" s="67">
        <v>43389</v>
      </c>
      <c r="D313" t="s">
        <v>399</v>
      </c>
      <c r="E313">
        <v>-65314.8</v>
      </c>
      <c r="F313" t="s">
        <v>346</v>
      </c>
      <c r="G313" t="s">
        <v>400</v>
      </c>
      <c r="H313">
        <v>181011084158</v>
      </c>
      <c r="I313" t="str">
        <f>CashIntraTable[Portfolio]&amp;VALUE(CashIntraTable[Cash Date])&amp;CashIntraTable[Detail]</f>
        <v>SCBINDIA433892.1. Redemption</v>
      </c>
    </row>
    <row r="314" spans="1:9" x14ac:dyDescent="0.2">
      <c r="A314" t="s">
        <v>440</v>
      </c>
      <c r="B314" t="s">
        <v>23</v>
      </c>
      <c r="C314" s="67">
        <v>43384</v>
      </c>
      <c r="D314" t="s">
        <v>399</v>
      </c>
      <c r="E314">
        <v>-24240.92</v>
      </c>
      <c r="F314" t="s">
        <v>347</v>
      </c>
      <c r="G314" t="s">
        <v>400</v>
      </c>
      <c r="H314">
        <v>181011084158</v>
      </c>
      <c r="I314" t="str">
        <f>CashIntraTable[Portfolio]&amp;VALUE(CashIntraTable[Cash Date])&amp;CashIntraTable[Detail]</f>
        <v>SCBINDIA433842.2. Switch-out</v>
      </c>
    </row>
    <row r="315" spans="1:9" x14ac:dyDescent="0.2">
      <c r="A315" t="s">
        <v>440</v>
      </c>
      <c r="B315" t="s">
        <v>23</v>
      </c>
      <c r="C315" s="67">
        <v>43385</v>
      </c>
      <c r="D315" t="s">
        <v>399</v>
      </c>
      <c r="E315">
        <v>-784149.15</v>
      </c>
      <c r="F315" t="s">
        <v>347</v>
      </c>
      <c r="G315" t="s">
        <v>400</v>
      </c>
      <c r="H315">
        <v>181011084158</v>
      </c>
      <c r="I315" t="str">
        <f>CashIntraTable[Portfolio]&amp;VALUE(CashIntraTable[Cash Date])&amp;CashIntraTable[Detail]</f>
        <v>SCBINDIA433852.2. Switch-out</v>
      </c>
    </row>
    <row r="316" spans="1:9" x14ac:dyDescent="0.2">
      <c r="A316" t="s">
        <v>440</v>
      </c>
      <c r="B316" t="s">
        <v>23</v>
      </c>
      <c r="C316" s="67">
        <v>43389</v>
      </c>
      <c r="D316" t="s">
        <v>399</v>
      </c>
      <c r="E316">
        <v>-269866.81</v>
      </c>
      <c r="F316" t="s">
        <v>347</v>
      </c>
      <c r="G316" t="s">
        <v>400</v>
      </c>
      <c r="H316">
        <v>181011084158</v>
      </c>
      <c r="I316" t="str">
        <f>CashIntraTable[Portfolio]&amp;VALUE(CashIntraTable[Cash Date])&amp;CashIntraTable[Detail]</f>
        <v>SCBINDIA433892.2. Switch-out</v>
      </c>
    </row>
    <row r="317" spans="1:9" x14ac:dyDescent="0.2">
      <c r="A317" t="s">
        <v>440</v>
      </c>
      <c r="B317" t="s">
        <v>23</v>
      </c>
      <c r="C317" s="67">
        <v>43390</v>
      </c>
      <c r="D317" t="s">
        <v>399</v>
      </c>
      <c r="E317">
        <v>-7745.37</v>
      </c>
      <c r="F317" t="s">
        <v>347</v>
      </c>
      <c r="G317" t="s">
        <v>400</v>
      </c>
      <c r="H317">
        <v>181011084158</v>
      </c>
      <c r="I317" t="str">
        <f>CashIntraTable[Portfolio]&amp;VALUE(CashIntraTable[Cash Date])&amp;CashIntraTable[Detail]</f>
        <v>SCBINDIA433902.2. Switch-out</v>
      </c>
    </row>
    <row r="318" spans="1:9" x14ac:dyDescent="0.2">
      <c r="A318" t="s">
        <v>441</v>
      </c>
      <c r="B318" t="s">
        <v>23</v>
      </c>
      <c r="C318" s="67">
        <v>43384</v>
      </c>
      <c r="D318" t="s">
        <v>399</v>
      </c>
      <c r="E318">
        <v>54000</v>
      </c>
      <c r="F318" t="s">
        <v>344</v>
      </c>
      <c r="G318" t="s">
        <v>400</v>
      </c>
      <c r="H318">
        <v>181011084158</v>
      </c>
      <c r="I318" t="str">
        <f>CashIntraTable[Portfolio]&amp;VALUE(CashIntraTable[Cash Date])&amp;CashIntraTable[Detail]</f>
        <v>SCBJPSM433841.1. Subscription</v>
      </c>
    </row>
    <row r="319" spans="1:9" x14ac:dyDescent="0.2">
      <c r="A319" t="s">
        <v>441</v>
      </c>
      <c r="B319" t="s">
        <v>23</v>
      </c>
      <c r="C319" s="67">
        <v>43385</v>
      </c>
      <c r="D319" t="s">
        <v>399</v>
      </c>
      <c r="E319">
        <v>151000</v>
      </c>
      <c r="F319" t="s">
        <v>344</v>
      </c>
      <c r="G319" t="s">
        <v>400</v>
      </c>
      <c r="H319">
        <v>181011084158</v>
      </c>
      <c r="I319" t="str">
        <f>CashIntraTable[Portfolio]&amp;VALUE(CashIntraTable[Cash Date])&amp;CashIntraTable[Detail]</f>
        <v>SCBJPSM433851.1. Subscription</v>
      </c>
    </row>
    <row r="320" spans="1:9" x14ac:dyDescent="0.2">
      <c r="A320" t="s">
        <v>441</v>
      </c>
      <c r="B320" t="s">
        <v>23</v>
      </c>
      <c r="C320" s="67">
        <v>43384</v>
      </c>
      <c r="D320" t="s">
        <v>399</v>
      </c>
      <c r="E320">
        <v>1000000</v>
      </c>
      <c r="F320" t="s">
        <v>345</v>
      </c>
      <c r="G320" t="s">
        <v>400</v>
      </c>
      <c r="H320">
        <v>181011084158</v>
      </c>
      <c r="I320" t="str">
        <f>CashIntraTable[Portfolio]&amp;VALUE(CashIntraTable[Cash Date])&amp;CashIntraTable[Detail]</f>
        <v>SCBJPSM433841.2. Switch-in</v>
      </c>
    </row>
    <row r="321" spans="1:9" x14ac:dyDescent="0.2">
      <c r="A321" t="s">
        <v>441</v>
      </c>
      <c r="B321" t="s">
        <v>23</v>
      </c>
      <c r="C321" s="67">
        <v>43384</v>
      </c>
      <c r="D321" t="s">
        <v>399</v>
      </c>
      <c r="E321">
        <v>-178518.51</v>
      </c>
      <c r="F321" t="s">
        <v>346</v>
      </c>
      <c r="G321" t="s">
        <v>400</v>
      </c>
      <c r="H321">
        <v>181011084158</v>
      </c>
      <c r="I321" t="str">
        <f>CashIntraTable[Portfolio]&amp;VALUE(CashIntraTable[Cash Date])&amp;CashIntraTable[Detail]</f>
        <v>SCBJPSM433842.1. Redemption</v>
      </c>
    </row>
    <row r="322" spans="1:9" x14ac:dyDescent="0.2">
      <c r="A322" t="s">
        <v>441</v>
      </c>
      <c r="B322" t="s">
        <v>23</v>
      </c>
      <c r="C322" s="67">
        <v>43389</v>
      </c>
      <c r="D322" t="s">
        <v>399</v>
      </c>
      <c r="E322">
        <v>-500978.06</v>
      </c>
      <c r="F322" t="s">
        <v>346</v>
      </c>
      <c r="G322" t="s">
        <v>400</v>
      </c>
      <c r="H322">
        <v>181011084158</v>
      </c>
      <c r="I322" t="str">
        <f>CashIntraTable[Portfolio]&amp;VALUE(CashIntraTable[Cash Date])&amp;CashIntraTable[Detail]</f>
        <v>SCBJPSM433892.1. Redemption</v>
      </c>
    </row>
    <row r="323" spans="1:9" x14ac:dyDescent="0.2">
      <c r="A323" t="s">
        <v>441</v>
      </c>
      <c r="B323" t="s">
        <v>23</v>
      </c>
      <c r="C323" s="67">
        <v>43390</v>
      </c>
      <c r="D323" t="s">
        <v>399</v>
      </c>
      <c r="E323">
        <v>-6725.68</v>
      </c>
      <c r="F323" t="s">
        <v>346</v>
      </c>
      <c r="G323" t="s">
        <v>400</v>
      </c>
      <c r="H323">
        <v>181011084158</v>
      </c>
      <c r="I323" t="str">
        <f>CashIntraTable[Portfolio]&amp;VALUE(CashIntraTable[Cash Date])&amp;CashIntraTable[Detail]</f>
        <v>SCBJPSM433902.1. Redemption</v>
      </c>
    </row>
    <row r="324" spans="1:9" x14ac:dyDescent="0.2">
      <c r="A324" t="s">
        <v>441</v>
      </c>
      <c r="B324" t="s">
        <v>23</v>
      </c>
      <c r="C324" s="67">
        <v>43391</v>
      </c>
      <c r="D324" t="s">
        <v>399</v>
      </c>
      <c r="E324">
        <v>-15090.94</v>
      </c>
      <c r="F324" t="s">
        <v>346</v>
      </c>
      <c r="G324" t="s">
        <v>400</v>
      </c>
      <c r="H324">
        <v>181011084158</v>
      </c>
      <c r="I324" t="str">
        <f>CashIntraTable[Portfolio]&amp;VALUE(CashIntraTable[Cash Date])&amp;CashIntraTable[Detail]</f>
        <v>SCBJPSM433912.1. Redemption</v>
      </c>
    </row>
    <row r="325" spans="1:9" x14ac:dyDescent="0.2">
      <c r="A325" t="s">
        <v>441</v>
      </c>
      <c r="B325" t="s">
        <v>23</v>
      </c>
      <c r="C325" s="67">
        <v>43395</v>
      </c>
      <c r="D325" t="s">
        <v>399</v>
      </c>
      <c r="E325">
        <v>-963.23</v>
      </c>
      <c r="F325" t="s">
        <v>346</v>
      </c>
      <c r="G325" t="s">
        <v>400</v>
      </c>
      <c r="H325">
        <v>181011084158</v>
      </c>
      <c r="I325" t="str">
        <f>CashIntraTable[Portfolio]&amp;VALUE(CashIntraTable[Cash Date])&amp;CashIntraTable[Detail]</f>
        <v>SCBJPSM433952.1. Redemption</v>
      </c>
    </row>
    <row r="326" spans="1:9" x14ac:dyDescent="0.2">
      <c r="A326" t="s">
        <v>441</v>
      </c>
      <c r="B326" t="s">
        <v>23</v>
      </c>
      <c r="C326" s="67">
        <v>43384</v>
      </c>
      <c r="D326" t="s">
        <v>399</v>
      </c>
      <c r="E326">
        <v>-1277828.77</v>
      </c>
      <c r="F326" t="s">
        <v>347</v>
      </c>
      <c r="G326" t="s">
        <v>400</v>
      </c>
      <c r="H326">
        <v>181011084158</v>
      </c>
      <c r="I326" t="str">
        <f>CashIntraTable[Portfolio]&amp;VALUE(CashIntraTable[Cash Date])&amp;CashIntraTable[Detail]</f>
        <v>SCBJPSM433842.2. Switch-out</v>
      </c>
    </row>
    <row r="327" spans="1:9" x14ac:dyDescent="0.2">
      <c r="A327" t="s">
        <v>441</v>
      </c>
      <c r="B327" t="s">
        <v>23</v>
      </c>
      <c r="C327" s="67">
        <v>43385</v>
      </c>
      <c r="D327" t="s">
        <v>399</v>
      </c>
      <c r="E327">
        <v>-962.61</v>
      </c>
      <c r="F327" t="s">
        <v>347</v>
      </c>
      <c r="G327" t="s">
        <v>400</v>
      </c>
      <c r="H327">
        <v>181011084158</v>
      </c>
      <c r="I327" t="str">
        <f>CashIntraTable[Portfolio]&amp;VALUE(CashIntraTable[Cash Date])&amp;CashIntraTable[Detail]</f>
        <v>SCBJPSM433852.2. Switch-out</v>
      </c>
    </row>
    <row r="328" spans="1:9" x14ac:dyDescent="0.2">
      <c r="A328" t="s">
        <v>441</v>
      </c>
      <c r="B328" t="s">
        <v>23</v>
      </c>
      <c r="C328" s="67">
        <v>43389</v>
      </c>
      <c r="D328" t="s">
        <v>399</v>
      </c>
      <c r="E328">
        <v>-2262.9899999999998</v>
      </c>
      <c r="F328" t="s">
        <v>347</v>
      </c>
      <c r="G328" t="s">
        <v>400</v>
      </c>
      <c r="H328">
        <v>181011084158</v>
      </c>
      <c r="I328" t="str">
        <f>CashIntraTable[Portfolio]&amp;VALUE(CashIntraTable[Cash Date])&amp;CashIntraTable[Detail]</f>
        <v>SCBJPSM433892.2. Switch-out</v>
      </c>
    </row>
    <row r="329" spans="1:9" x14ac:dyDescent="0.2">
      <c r="A329" t="s">
        <v>441</v>
      </c>
      <c r="B329" t="s">
        <v>23</v>
      </c>
      <c r="C329" s="67">
        <v>43391</v>
      </c>
      <c r="D329" t="s">
        <v>399</v>
      </c>
      <c r="E329">
        <v>-200082.91</v>
      </c>
      <c r="F329" t="s">
        <v>347</v>
      </c>
      <c r="G329" t="s">
        <v>400</v>
      </c>
      <c r="H329">
        <v>181011084158</v>
      </c>
      <c r="I329" t="str">
        <f>CashIntraTable[Portfolio]&amp;VALUE(CashIntraTable[Cash Date])&amp;CashIntraTable[Detail]</f>
        <v>SCBJPSM433912.2. Switch-out</v>
      </c>
    </row>
    <row r="330" spans="1:9" x14ac:dyDescent="0.2">
      <c r="A330" t="s">
        <v>441</v>
      </c>
      <c r="B330" t="s">
        <v>23</v>
      </c>
      <c r="C330" s="67">
        <v>43395</v>
      </c>
      <c r="D330" t="s">
        <v>399</v>
      </c>
      <c r="E330">
        <v>-4665.13</v>
      </c>
      <c r="F330" t="s">
        <v>347</v>
      </c>
      <c r="G330" t="s">
        <v>400</v>
      </c>
      <c r="H330">
        <v>181011084158</v>
      </c>
      <c r="I330" t="str">
        <f>CashIntraTable[Portfolio]&amp;VALUE(CashIntraTable[Cash Date])&amp;CashIntraTable[Detail]</f>
        <v>SCBJPSM433952.2. Switch-out</v>
      </c>
    </row>
    <row r="331" spans="1:9" x14ac:dyDescent="0.2">
      <c r="A331" t="s">
        <v>442</v>
      </c>
      <c r="B331" t="s">
        <v>23</v>
      </c>
      <c r="C331" s="67">
        <v>43384</v>
      </c>
      <c r="D331" t="s">
        <v>399</v>
      </c>
      <c r="E331">
        <v>3371517</v>
      </c>
      <c r="F331" t="s">
        <v>344</v>
      </c>
      <c r="G331" t="s">
        <v>400</v>
      </c>
      <c r="H331">
        <v>181011084158</v>
      </c>
      <c r="I331" t="str">
        <f>CashIntraTable[Portfolio]&amp;VALUE(CashIntraTable[Cash Date])&amp;CashIntraTable[Detail]</f>
        <v>SCBKEQTG433841.1. Subscription</v>
      </c>
    </row>
    <row r="332" spans="1:9" x14ac:dyDescent="0.2">
      <c r="A332" t="s">
        <v>442</v>
      </c>
      <c r="B332" t="s">
        <v>23</v>
      </c>
      <c r="C332" s="67">
        <v>43385</v>
      </c>
      <c r="D332" t="s">
        <v>399</v>
      </c>
      <c r="E332">
        <v>57000</v>
      </c>
      <c r="F332" t="s">
        <v>344</v>
      </c>
      <c r="G332" t="s">
        <v>400</v>
      </c>
      <c r="H332">
        <v>181011084158</v>
      </c>
      <c r="I332" t="str">
        <f>CashIntraTable[Portfolio]&amp;VALUE(CashIntraTable[Cash Date])&amp;CashIntraTable[Detail]</f>
        <v>SCBKEQTG433851.1. Subscription</v>
      </c>
    </row>
    <row r="333" spans="1:9" x14ac:dyDescent="0.2">
      <c r="A333" t="s">
        <v>442</v>
      </c>
      <c r="B333" t="s">
        <v>23</v>
      </c>
      <c r="C333" s="67">
        <v>43384</v>
      </c>
      <c r="D333" t="s">
        <v>399</v>
      </c>
      <c r="E333">
        <v>2142000</v>
      </c>
      <c r="F333" t="s">
        <v>345</v>
      </c>
      <c r="G333" t="s">
        <v>400</v>
      </c>
      <c r="H333">
        <v>181011084158</v>
      </c>
      <c r="I333" t="str">
        <f>CashIntraTable[Portfolio]&amp;VALUE(CashIntraTable[Cash Date])&amp;CashIntraTable[Detail]</f>
        <v>SCBKEQTG433841.2. Switch-in</v>
      </c>
    </row>
    <row r="334" spans="1:9" x14ac:dyDescent="0.2">
      <c r="A334" t="s">
        <v>442</v>
      </c>
      <c r="B334" t="s">
        <v>23</v>
      </c>
      <c r="C334" s="67">
        <v>43385</v>
      </c>
      <c r="D334" t="s">
        <v>399</v>
      </c>
      <c r="E334">
        <v>962.61</v>
      </c>
      <c r="F334" t="s">
        <v>345</v>
      </c>
      <c r="G334" t="s">
        <v>400</v>
      </c>
      <c r="H334">
        <v>181011084158</v>
      </c>
      <c r="I334" t="str">
        <f>CashIntraTable[Portfolio]&amp;VALUE(CashIntraTable[Cash Date])&amp;CashIntraTable[Detail]</f>
        <v>SCBKEQTG433851.2. Switch-in</v>
      </c>
    </row>
    <row r="335" spans="1:9" x14ac:dyDescent="0.2">
      <c r="A335" t="s">
        <v>442</v>
      </c>
      <c r="B335" t="s">
        <v>23</v>
      </c>
      <c r="C335" s="67">
        <v>43384</v>
      </c>
      <c r="D335" t="s">
        <v>399</v>
      </c>
      <c r="E335">
        <v>-323014.78999999998</v>
      </c>
      <c r="F335" t="s">
        <v>346</v>
      </c>
      <c r="G335" t="s">
        <v>400</v>
      </c>
      <c r="H335">
        <v>181011084158</v>
      </c>
      <c r="I335" t="str">
        <f>CashIntraTable[Portfolio]&amp;VALUE(CashIntraTable[Cash Date])&amp;CashIntraTable[Detail]</f>
        <v>SCBKEQTG433842.1. Redemption</v>
      </c>
    </row>
    <row r="336" spans="1:9" x14ac:dyDescent="0.2">
      <c r="A336" t="s">
        <v>442</v>
      </c>
      <c r="B336" t="s">
        <v>23</v>
      </c>
      <c r="C336" s="67">
        <v>43385</v>
      </c>
      <c r="D336" t="s">
        <v>399</v>
      </c>
      <c r="E336">
        <v>-292416.95</v>
      </c>
      <c r="F336" t="s">
        <v>346</v>
      </c>
      <c r="G336" t="s">
        <v>400</v>
      </c>
      <c r="H336">
        <v>181011084158</v>
      </c>
      <c r="I336" t="str">
        <f>CashIntraTable[Portfolio]&amp;VALUE(CashIntraTable[Cash Date])&amp;CashIntraTable[Detail]</f>
        <v>SCBKEQTG433852.1. Redemption</v>
      </c>
    </row>
    <row r="337" spans="1:9" x14ac:dyDescent="0.2">
      <c r="A337" t="s">
        <v>442</v>
      </c>
      <c r="B337" t="s">
        <v>23</v>
      </c>
      <c r="C337" s="67">
        <v>43389</v>
      </c>
      <c r="D337" t="s">
        <v>399</v>
      </c>
      <c r="E337">
        <v>-138198.25</v>
      </c>
      <c r="F337" t="s">
        <v>346</v>
      </c>
      <c r="G337" t="s">
        <v>400</v>
      </c>
      <c r="H337">
        <v>181011084158</v>
      </c>
      <c r="I337" t="str">
        <f>CashIntraTable[Portfolio]&amp;VALUE(CashIntraTable[Cash Date])&amp;CashIntraTable[Detail]</f>
        <v>SCBKEQTG433892.1. Redemption</v>
      </c>
    </row>
    <row r="338" spans="1:9" x14ac:dyDescent="0.2">
      <c r="A338" t="s">
        <v>442</v>
      </c>
      <c r="B338" t="s">
        <v>23</v>
      </c>
      <c r="C338" s="67">
        <v>43390</v>
      </c>
      <c r="D338" t="s">
        <v>399</v>
      </c>
      <c r="E338">
        <v>-5001.93</v>
      </c>
      <c r="F338" t="s">
        <v>346</v>
      </c>
      <c r="G338" t="s">
        <v>400</v>
      </c>
      <c r="H338">
        <v>181011084158</v>
      </c>
      <c r="I338" t="str">
        <f>CashIntraTable[Portfolio]&amp;VALUE(CashIntraTable[Cash Date])&amp;CashIntraTable[Detail]</f>
        <v>SCBKEQTG433902.1. Redemption</v>
      </c>
    </row>
    <row r="339" spans="1:9" x14ac:dyDescent="0.2">
      <c r="A339" t="s">
        <v>442</v>
      </c>
      <c r="B339" t="s">
        <v>23</v>
      </c>
      <c r="C339" s="67">
        <v>43385</v>
      </c>
      <c r="D339" t="s">
        <v>399</v>
      </c>
      <c r="E339">
        <v>-31805.84</v>
      </c>
      <c r="F339" t="s">
        <v>347</v>
      </c>
      <c r="G339" t="s">
        <v>400</v>
      </c>
      <c r="H339">
        <v>181011084158</v>
      </c>
      <c r="I339" t="str">
        <f>CashIntraTable[Portfolio]&amp;VALUE(CashIntraTable[Cash Date])&amp;CashIntraTable[Detail]</f>
        <v>SCBKEQTG433852.2. Switch-out</v>
      </c>
    </row>
    <row r="340" spans="1:9" x14ac:dyDescent="0.2">
      <c r="A340" t="s">
        <v>442</v>
      </c>
      <c r="B340" t="s">
        <v>23</v>
      </c>
      <c r="C340" s="67">
        <v>43389</v>
      </c>
      <c r="D340" t="s">
        <v>399</v>
      </c>
      <c r="E340">
        <v>-44437.18</v>
      </c>
      <c r="F340" t="s">
        <v>347</v>
      </c>
      <c r="G340" t="s">
        <v>400</v>
      </c>
      <c r="H340">
        <v>181011084158</v>
      </c>
      <c r="I340" t="str">
        <f>CashIntraTable[Portfolio]&amp;VALUE(CashIntraTable[Cash Date])&amp;CashIntraTable[Detail]</f>
        <v>SCBKEQTG433892.2. Switch-out</v>
      </c>
    </row>
    <row r="341" spans="1:9" x14ac:dyDescent="0.2">
      <c r="A341" t="s">
        <v>442</v>
      </c>
      <c r="B341" t="s">
        <v>23</v>
      </c>
      <c r="C341" s="67">
        <v>43390</v>
      </c>
      <c r="D341" t="s">
        <v>399</v>
      </c>
      <c r="E341">
        <v>-939.94</v>
      </c>
      <c r="F341" t="s">
        <v>347</v>
      </c>
      <c r="G341" t="s">
        <v>400</v>
      </c>
      <c r="H341">
        <v>181011084158</v>
      </c>
      <c r="I341" t="str">
        <f>CashIntraTable[Portfolio]&amp;VALUE(CashIntraTable[Cash Date])&amp;CashIntraTable[Detail]</f>
        <v>SCBKEQTG433902.2. Switch-out</v>
      </c>
    </row>
    <row r="342" spans="1:9" x14ac:dyDescent="0.2">
      <c r="A342" t="s">
        <v>443</v>
      </c>
      <c r="B342" t="s">
        <v>23</v>
      </c>
      <c r="C342" s="67">
        <v>43384</v>
      </c>
      <c r="D342" t="s">
        <v>399</v>
      </c>
      <c r="E342">
        <v>6791016.75</v>
      </c>
      <c r="F342" t="s">
        <v>344</v>
      </c>
      <c r="G342" t="s">
        <v>400</v>
      </c>
      <c r="H342">
        <v>181011084158</v>
      </c>
      <c r="I342" t="str">
        <f>CashIntraTable[Portfolio]&amp;VALUE(CashIntraTable[Cash Date])&amp;CashIntraTable[Detail]</f>
        <v>SCBLEQFUND433841.1. Subscription</v>
      </c>
    </row>
    <row r="343" spans="1:9" x14ac:dyDescent="0.2">
      <c r="A343" t="s">
        <v>443</v>
      </c>
      <c r="B343" t="s">
        <v>23</v>
      </c>
      <c r="C343" s="67">
        <v>43385</v>
      </c>
      <c r="D343" t="s">
        <v>399</v>
      </c>
      <c r="E343">
        <v>6000</v>
      </c>
      <c r="F343" t="s">
        <v>344</v>
      </c>
      <c r="G343" t="s">
        <v>400</v>
      </c>
      <c r="H343">
        <v>181011084158</v>
      </c>
      <c r="I343" t="str">
        <f>CashIntraTable[Portfolio]&amp;VALUE(CashIntraTable[Cash Date])&amp;CashIntraTable[Detail]</f>
        <v>SCBLEQFUND433851.1. Subscription</v>
      </c>
    </row>
    <row r="344" spans="1:9" x14ac:dyDescent="0.2">
      <c r="A344" t="s">
        <v>443</v>
      </c>
      <c r="B344" t="s">
        <v>23</v>
      </c>
      <c r="C344" s="67">
        <v>43385</v>
      </c>
      <c r="D344" t="s">
        <v>399</v>
      </c>
      <c r="E344">
        <v>20000</v>
      </c>
      <c r="F344" t="s">
        <v>345</v>
      </c>
      <c r="G344" t="s">
        <v>400</v>
      </c>
      <c r="H344">
        <v>181011084158</v>
      </c>
      <c r="I344" t="str">
        <f>CashIntraTable[Portfolio]&amp;VALUE(CashIntraTable[Cash Date])&amp;CashIntraTable[Detail]</f>
        <v>SCBLEQFUND433851.2. Switch-in</v>
      </c>
    </row>
    <row r="345" spans="1:9" x14ac:dyDescent="0.2">
      <c r="A345" t="s">
        <v>443</v>
      </c>
      <c r="B345" t="s">
        <v>23</v>
      </c>
      <c r="C345" s="67">
        <v>43384</v>
      </c>
      <c r="D345" t="s">
        <v>399</v>
      </c>
      <c r="E345">
        <v>-2062580.64</v>
      </c>
      <c r="F345" t="s">
        <v>346</v>
      </c>
      <c r="G345" t="s">
        <v>400</v>
      </c>
      <c r="H345">
        <v>181011084158</v>
      </c>
      <c r="I345" t="str">
        <f>CashIntraTable[Portfolio]&amp;VALUE(CashIntraTable[Cash Date])&amp;CashIntraTable[Detail]</f>
        <v>SCBLEQFUND433842.1. Redemption</v>
      </c>
    </row>
    <row r="346" spans="1:9" x14ac:dyDescent="0.2">
      <c r="A346" t="s">
        <v>443</v>
      </c>
      <c r="B346" t="s">
        <v>23</v>
      </c>
      <c r="C346" s="67">
        <v>43385</v>
      </c>
      <c r="D346" t="s">
        <v>399</v>
      </c>
      <c r="E346">
        <v>-610427.19999999995</v>
      </c>
      <c r="F346" t="s">
        <v>346</v>
      </c>
      <c r="G346" t="s">
        <v>400</v>
      </c>
      <c r="H346">
        <v>181011084158</v>
      </c>
      <c r="I346" t="str">
        <f>CashIntraTable[Portfolio]&amp;VALUE(CashIntraTable[Cash Date])&amp;CashIntraTable[Detail]</f>
        <v>SCBLEQFUND433852.1. Redemption</v>
      </c>
    </row>
    <row r="347" spans="1:9" x14ac:dyDescent="0.2">
      <c r="A347" t="s">
        <v>443</v>
      </c>
      <c r="B347" t="s">
        <v>23</v>
      </c>
      <c r="C347" s="67">
        <v>43389</v>
      </c>
      <c r="D347" t="s">
        <v>399</v>
      </c>
      <c r="E347">
        <v>-49605.760000000002</v>
      </c>
      <c r="F347" t="s">
        <v>346</v>
      </c>
      <c r="G347" t="s">
        <v>400</v>
      </c>
      <c r="H347">
        <v>181011084158</v>
      </c>
      <c r="I347" t="str">
        <f>CashIntraTable[Portfolio]&amp;VALUE(CashIntraTable[Cash Date])&amp;CashIntraTable[Detail]</f>
        <v>SCBLEQFUND433892.1. Redemption</v>
      </c>
    </row>
    <row r="348" spans="1:9" x14ac:dyDescent="0.2">
      <c r="A348" t="s">
        <v>443</v>
      </c>
      <c r="B348" t="s">
        <v>23</v>
      </c>
      <c r="C348" s="67">
        <v>43389</v>
      </c>
      <c r="D348" t="s">
        <v>399</v>
      </c>
      <c r="E348">
        <v>-559035.30000000005</v>
      </c>
      <c r="F348" t="s">
        <v>347</v>
      </c>
      <c r="G348" t="s">
        <v>400</v>
      </c>
      <c r="H348">
        <v>181011084158</v>
      </c>
      <c r="I348" t="str">
        <f>CashIntraTable[Portfolio]&amp;VALUE(CashIntraTable[Cash Date])&amp;CashIntraTable[Detail]</f>
        <v>SCBLEQFUND433892.2. Switch-out</v>
      </c>
    </row>
    <row r="349" spans="1:9" x14ac:dyDescent="0.2">
      <c r="A349" t="s">
        <v>444</v>
      </c>
      <c r="B349" t="s">
        <v>23</v>
      </c>
      <c r="C349" s="67">
        <v>43384</v>
      </c>
      <c r="D349" t="s">
        <v>399</v>
      </c>
      <c r="E349">
        <v>4665900</v>
      </c>
      <c r="F349" t="s">
        <v>344</v>
      </c>
      <c r="G349" t="s">
        <v>400</v>
      </c>
      <c r="H349">
        <v>181011084158</v>
      </c>
      <c r="I349" t="str">
        <f>CashIntraTable[Portfolio]&amp;VALUE(CashIntraTable[Cash Date])&amp;CashIntraTable[Detail]</f>
        <v>SCBLT1433841.1. Subscription</v>
      </c>
    </row>
    <row r="350" spans="1:9" x14ac:dyDescent="0.2">
      <c r="A350" t="s">
        <v>444</v>
      </c>
      <c r="B350" t="s">
        <v>23</v>
      </c>
      <c r="C350" s="67">
        <v>43385</v>
      </c>
      <c r="D350" t="s">
        <v>399</v>
      </c>
      <c r="E350">
        <v>230250</v>
      </c>
      <c r="F350" t="s">
        <v>344</v>
      </c>
      <c r="G350" t="s">
        <v>400</v>
      </c>
      <c r="H350">
        <v>181011084158</v>
      </c>
      <c r="I350" t="str">
        <f>CashIntraTable[Portfolio]&amp;VALUE(CashIntraTable[Cash Date])&amp;CashIntraTable[Detail]</f>
        <v>SCBLT1433851.1. Subscription</v>
      </c>
    </row>
    <row r="351" spans="1:9" x14ac:dyDescent="0.2">
      <c r="A351" t="s">
        <v>444</v>
      </c>
      <c r="B351" t="s">
        <v>23</v>
      </c>
      <c r="C351" s="67">
        <v>43384</v>
      </c>
      <c r="D351" t="s">
        <v>399</v>
      </c>
      <c r="E351">
        <v>4496260</v>
      </c>
      <c r="F351" t="s">
        <v>348</v>
      </c>
      <c r="G351" t="s">
        <v>400</v>
      </c>
      <c r="H351">
        <v>181011084158</v>
      </c>
      <c r="I351" t="str">
        <f>CashIntraTable[Portfolio]&amp;VALUE(CashIntraTable[Cash Date])&amp;CashIntraTable[Detail]</f>
        <v>SCBLT1433841.1. Subscription (Chq)</v>
      </c>
    </row>
    <row r="352" spans="1:9" x14ac:dyDescent="0.2">
      <c r="A352" t="s">
        <v>444</v>
      </c>
      <c r="B352" t="s">
        <v>23</v>
      </c>
      <c r="C352" s="67">
        <v>43385</v>
      </c>
      <c r="D352" t="s">
        <v>399</v>
      </c>
      <c r="E352">
        <v>243300</v>
      </c>
      <c r="F352" t="s">
        <v>348</v>
      </c>
      <c r="G352" t="s">
        <v>400</v>
      </c>
      <c r="H352">
        <v>181011084158</v>
      </c>
      <c r="I352" t="str">
        <f>CashIntraTable[Portfolio]&amp;VALUE(CashIntraTable[Cash Date])&amp;CashIntraTable[Detail]</f>
        <v>SCBLT1433851.1. Subscription (Chq)</v>
      </c>
    </row>
    <row r="353" spans="1:9" x14ac:dyDescent="0.2">
      <c r="A353" t="s">
        <v>444</v>
      </c>
      <c r="B353" t="s">
        <v>23</v>
      </c>
      <c r="C353" s="67">
        <v>43384</v>
      </c>
      <c r="D353" t="s">
        <v>399</v>
      </c>
      <c r="E353">
        <v>3748334.79</v>
      </c>
      <c r="F353" t="s">
        <v>345</v>
      </c>
      <c r="G353" t="s">
        <v>400</v>
      </c>
      <c r="H353">
        <v>181011084158</v>
      </c>
      <c r="I353" t="str">
        <f>CashIntraTable[Portfolio]&amp;VALUE(CashIntraTable[Cash Date])&amp;CashIntraTable[Detail]</f>
        <v>SCBLT1433841.2. Switch-in</v>
      </c>
    </row>
    <row r="354" spans="1:9" x14ac:dyDescent="0.2">
      <c r="A354" t="s">
        <v>444</v>
      </c>
      <c r="B354" t="s">
        <v>23</v>
      </c>
      <c r="C354" s="67">
        <v>43385</v>
      </c>
      <c r="D354" t="s">
        <v>399</v>
      </c>
      <c r="E354">
        <v>457107.79</v>
      </c>
      <c r="F354" t="s">
        <v>345</v>
      </c>
      <c r="G354" t="s">
        <v>400</v>
      </c>
      <c r="H354">
        <v>181011084158</v>
      </c>
      <c r="I354" t="str">
        <f>CashIntraTable[Portfolio]&amp;VALUE(CashIntraTable[Cash Date])&amp;CashIntraTable[Detail]</f>
        <v>SCBLT1433851.2. Switch-in</v>
      </c>
    </row>
    <row r="355" spans="1:9" x14ac:dyDescent="0.2">
      <c r="A355" t="s">
        <v>444</v>
      </c>
      <c r="B355" t="s">
        <v>23</v>
      </c>
      <c r="C355" s="67">
        <v>43389</v>
      </c>
      <c r="D355" t="s">
        <v>399</v>
      </c>
      <c r="E355">
        <v>1016201.58</v>
      </c>
      <c r="F355" t="s">
        <v>345</v>
      </c>
      <c r="G355" t="s">
        <v>400</v>
      </c>
      <c r="H355">
        <v>181011084158</v>
      </c>
      <c r="I355" t="str">
        <f>CashIntraTable[Portfolio]&amp;VALUE(CashIntraTable[Cash Date])&amp;CashIntraTable[Detail]</f>
        <v>SCBLT1433891.2. Switch-in</v>
      </c>
    </row>
    <row r="356" spans="1:9" x14ac:dyDescent="0.2">
      <c r="A356" t="s">
        <v>444</v>
      </c>
      <c r="B356" t="s">
        <v>23</v>
      </c>
      <c r="C356" s="67">
        <v>43384</v>
      </c>
      <c r="D356" t="s">
        <v>399</v>
      </c>
      <c r="E356">
        <v>-6220203.4699999997</v>
      </c>
      <c r="F356" t="s">
        <v>346</v>
      </c>
      <c r="G356" t="s">
        <v>400</v>
      </c>
      <c r="H356">
        <v>181011084158</v>
      </c>
      <c r="I356" t="str">
        <f>CashIntraTable[Portfolio]&amp;VALUE(CashIntraTable[Cash Date])&amp;CashIntraTable[Detail]</f>
        <v>SCBLT1433842.1. Redemption</v>
      </c>
    </row>
    <row r="357" spans="1:9" x14ac:dyDescent="0.2">
      <c r="A357" t="s">
        <v>444</v>
      </c>
      <c r="B357" t="s">
        <v>23</v>
      </c>
      <c r="C357" s="67">
        <v>43385</v>
      </c>
      <c r="D357" t="s">
        <v>399</v>
      </c>
      <c r="E357">
        <v>-4643067.37</v>
      </c>
      <c r="F357" t="s">
        <v>346</v>
      </c>
      <c r="G357" t="s">
        <v>400</v>
      </c>
      <c r="H357">
        <v>181011084158</v>
      </c>
      <c r="I357" t="str">
        <f>CashIntraTable[Portfolio]&amp;VALUE(CashIntraTable[Cash Date])&amp;CashIntraTable[Detail]</f>
        <v>SCBLT1433852.1. Redemption</v>
      </c>
    </row>
    <row r="358" spans="1:9" x14ac:dyDescent="0.2">
      <c r="A358" t="s">
        <v>444</v>
      </c>
      <c r="B358" t="s">
        <v>23</v>
      </c>
      <c r="C358" s="67">
        <v>43389</v>
      </c>
      <c r="D358" t="s">
        <v>399</v>
      </c>
      <c r="E358">
        <v>-283186.65000000002</v>
      </c>
      <c r="F358" t="s">
        <v>346</v>
      </c>
      <c r="G358" t="s">
        <v>400</v>
      </c>
      <c r="H358">
        <v>181011084158</v>
      </c>
      <c r="I358" t="str">
        <f>CashIntraTable[Portfolio]&amp;VALUE(CashIntraTable[Cash Date])&amp;CashIntraTable[Detail]</f>
        <v>SCBLT1433892.1. Redemption</v>
      </c>
    </row>
    <row r="359" spans="1:9" x14ac:dyDescent="0.2">
      <c r="A359" t="s">
        <v>444</v>
      </c>
      <c r="B359" t="s">
        <v>23</v>
      </c>
      <c r="C359" s="67">
        <v>43384</v>
      </c>
      <c r="D359" t="s">
        <v>399</v>
      </c>
      <c r="E359">
        <v>-233495.71</v>
      </c>
      <c r="F359" t="s">
        <v>347</v>
      </c>
      <c r="G359" t="s">
        <v>400</v>
      </c>
      <c r="H359">
        <v>181011084158</v>
      </c>
      <c r="I359" t="str">
        <f>CashIntraTable[Portfolio]&amp;VALUE(CashIntraTable[Cash Date])&amp;CashIntraTable[Detail]</f>
        <v>SCBLT1433842.2. Switch-out</v>
      </c>
    </row>
    <row r="360" spans="1:9" x14ac:dyDescent="0.2">
      <c r="A360" t="s">
        <v>444</v>
      </c>
      <c r="B360" t="s">
        <v>23</v>
      </c>
      <c r="C360" s="67">
        <v>43385</v>
      </c>
      <c r="D360" t="s">
        <v>399</v>
      </c>
      <c r="E360">
        <v>-4723354.09</v>
      </c>
      <c r="F360" t="s">
        <v>347</v>
      </c>
      <c r="G360" t="s">
        <v>400</v>
      </c>
      <c r="H360">
        <v>181011084158</v>
      </c>
      <c r="I360" t="str">
        <f>CashIntraTable[Portfolio]&amp;VALUE(CashIntraTable[Cash Date])&amp;CashIntraTable[Detail]</f>
        <v>SCBLT1433852.2. Switch-out</v>
      </c>
    </row>
    <row r="361" spans="1:9" x14ac:dyDescent="0.2">
      <c r="A361" t="s">
        <v>445</v>
      </c>
      <c r="B361" t="s">
        <v>23</v>
      </c>
      <c r="C361" s="67">
        <v>43384</v>
      </c>
      <c r="D361" t="s">
        <v>399</v>
      </c>
      <c r="E361">
        <v>591000</v>
      </c>
      <c r="F361" t="s">
        <v>344</v>
      </c>
      <c r="G361" t="s">
        <v>400</v>
      </c>
      <c r="H361">
        <v>181011084158</v>
      </c>
      <c r="I361" t="str">
        <f>CashIntraTable[Portfolio]&amp;VALUE(CashIntraTable[Cash Date])&amp;CashIntraTable[Detail]</f>
        <v>SCBLT2433841.1. Subscription</v>
      </c>
    </row>
    <row r="362" spans="1:9" x14ac:dyDescent="0.2">
      <c r="A362" t="s">
        <v>445</v>
      </c>
      <c r="B362" t="s">
        <v>23</v>
      </c>
      <c r="C362" s="67">
        <v>43385</v>
      </c>
      <c r="D362" t="s">
        <v>399</v>
      </c>
      <c r="E362">
        <v>38500</v>
      </c>
      <c r="F362" t="s">
        <v>344</v>
      </c>
      <c r="G362" t="s">
        <v>400</v>
      </c>
      <c r="H362">
        <v>181011084158</v>
      </c>
      <c r="I362" t="str">
        <f>CashIntraTable[Portfolio]&amp;VALUE(CashIntraTable[Cash Date])&amp;CashIntraTable[Detail]</f>
        <v>SCBLT2433851.1. Subscription</v>
      </c>
    </row>
    <row r="363" spans="1:9" x14ac:dyDescent="0.2">
      <c r="A363" t="s">
        <v>445</v>
      </c>
      <c r="B363" t="s">
        <v>23</v>
      </c>
      <c r="C363" s="67">
        <v>43384</v>
      </c>
      <c r="D363" t="s">
        <v>399</v>
      </c>
      <c r="E363">
        <v>961000</v>
      </c>
      <c r="F363" t="s">
        <v>348</v>
      </c>
      <c r="G363" t="s">
        <v>400</v>
      </c>
      <c r="H363">
        <v>181011084158</v>
      </c>
      <c r="I363" t="str">
        <f>CashIntraTable[Portfolio]&amp;VALUE(CashIntraTable[Cash Date])&amp;CashIntraTable[Detail]</f>
        <v>SCBLT2433841.1. Subscription (Chq)</v>
      </c>
    </row>
    <row r="364" spans="1:9" x14ac:dyDescent="0.2">
      <c r="A364" t="s">
        <v>445</v>
      </c>
      <c r="B364" t="s">
        <v>23</v>
      </c>
      <c r="C364" s="67">
        <v>43385</v>
      </c>
      <c r="D364" t="s">
        <v>399</v>
      </c>
      <c r="E364">
        <v>114640</v>
      </c>
      <c r="F364" t="s">
        <v>348</v>
      </c>
      <c r="G364" t="s">
        <v>400</v>
      </c>
      <c r="H364">
        <v>181011084158</v>
      </c>
      <c r="I364" t="str">
        <f>CashIntraTable[Portfolio]&amp;VALUE(CashIntraTable[Cash Date])&amp;CashIntraTable[Detail]</f>
        <v>SCBLT2433851.1. Subscription (Chq)</v>
      </c>
    </row>
    <row r="365" spans="1:9" x14ac:dyDescent="0.2">
      <c r="A365" t="s">
        <v>445</v>
      </c>
      <c r="B365" t="s">
        <v>23</v>
      </c>
      <c r="C365" s="67">
        <v>43384</v>
      </c>
      <c r="D365" t="s">
        <v>399</v>
      </c>
      <c r="E365">
        <v>94834.98</v>
      </c>
      <c r="F365" t="s">
        <v>345</v>
      </c>
      <c r="G365" t="s">
        <v>400</v>
      </c>
      <c r="H365">
        <v>181011084158</v>
      </c>
      <c r="I365" t="str">
        <f>CashIntraTable[Portfolio]&amp;VALUE(CashIntraTable[Cash Date])&amp;CashIntraTable[Detail]</f>
        <v>SCBLT2433841.2. Switch-in</v>
      </c>
    </row>
    <row r="366" spans="1:9" x14ac:dyDescent="0.2">
      <c r="A366" t="s">
        <v>445</v>
      </c>
      <c r="B366" t="s">
        <v>23</v>
      </c>
      <c r="C366" s="67">
        <v>43385</v>
      </c>
      <c r="D366" t="s">
        <v>399</v>
      </c>
      <c r="E366">
        <v>248760.03</v>
      </c>
      <c r="F366" t="s">
        <v>345</v>
      </c>
      <c r="G366" t="s">
        <v>400</v>
      </c>
      <c r="H366">
        <v>181011084158</v>
      </c>
      <c r="I366" t="str">
        <f>CashIntraTable[Portfolio]&amp;VALUE(CashIntraTable[Cash Date])&amp;CashIntraTable[Detail]</f>
        <v>SCBLT2433851.2. Switch-in</v>
      </c>
    </row>
    <row r="367" spans="1:9" x14ac:dyDescent="0.2">
      <c r="A367" t="s">
        <v>445</v>
      </c>
      <c r="B367" t="s">
        <v>23</v>
      </c>
      <c r="C367" s="67">
        <v>43389</v>
      </c>
      <c r="D367" t="s">
        <v>399</v>
      </c>
      <c r="E367">
        <v>34219.599999999999</v>
      </c>
      <c r="F367" t="s">
        <v>345</v>
      </c>
      <c r="G367" t="s">
        <v>400</v>
      </c>
      <c r="H367">
        <v>181011084158</v>
      </c>
      <c r="I367" t="str">
        <f>CashIntraTable[Portfolio]&amp;VALUE(CashIntraTable[Cash Date])&amp;CashIntraTable[Detail]</f>
        <v>SCBLT2433891.2. Switch-in</v>
      </c>
    </row>
    <row r="368" spans="1:9" x14ac:dyDescent="0.2">
      <c r="A368" t="s">
        <v>445</v>
      </c>
      <c r="B368" t="s">
        <v>23</v>
      </c>
      <c r="C368" s="67">
        <v>43384</v>
      </c>
      <c r="D368" t="s">
        <v>399</v>
      </c>
      <c r="E368">
        <v>-283744.82</v>
      </c>
      <c r="F368" t="s">
        <v>346</v>
      </c>
      <c r="G368" t="s">
        <v>400</v>
      </c>
      <c r="H368">
        <v>181011084158</v>
      </c>
      <c r="I368" t="str">
        <f>CashIntraTable[Portfolio]&amp;VALUE(CashIntraTable[Cash Date])&amp;CashIntraTable[Detail]</f>
        <v>SCBLT2433842.1. Redemption</v>
      </c>
    </row>
    <row r="369" spans="1:9" x14ac:dyDescent="0.2">
      <c r="A369" t="s">
        <v>445</v>
      </c>
      <c r="B369" t="s">
        <v>23</v>
      </c>
      <c r="C369" s="67">
        <v>43385</v>
      </c>
      <c r="D369" t="s">
        <v>399</v>
      </c>
      <c r="E369">
        <v>-567508.18000000005</v>
      </c>
      <c r="F369" t="s">
        <v>346</v>
      </c>
      <c r="G369" t="s">
        <v>400</v>
      </c>
      <c r="H369">
        <v>181011084158</v>
      </c>
      <c r="I369" t="str">
        <f>CashIntraTable[Portfolio]&amp;VALUE(CashIntraTable[Cash Date])&amp;CashIntraTable[Detail]</f>
        <v>SCBLT2433852.1. Redemption</v>
      </c>
    </row>
    <row r="370" spans="1:9" x14ac:dyDescent="0.2">
      <c r="A370" t="s">
        <v>445</v>
      </c>
      <c r="B370" t="s">
        <v>23</v>
      </c>
      <c r="C370" s="67">
        <v>43389</v>
      </c>
      <c r="D370" t="s">
        <v>399</v>
      </c>
      <c r="E370">
        <v>-90598.7</v>
      </c>
      <c r="F370" t="s">
        <v>346</v>
      </c>
      <c r="G370" t="s">
        <v>400</v>
      </c>
      <c r="H370">
        <v>181011084158</v>
      </c>
      <c r="I370" t="str">
        <f>CashIntraTable[Portfolio]&amp;VALUE(CashIntraTable[Cash Date])&amp;CashIntraTable[Detail]</f>
        <v>SCBLT2433892.1. Redemption</v>
      </c>
    </row>
    <row r="371" spans="1:9" x14ac:dyDescent="0.2">
      <c r="A371" t="s">
        <v>445</v>
      </c>
      <c r="B371" t="s">
        <v>23</v>
      </c>
      <c r="C371" s="67">
        <v>43384</v>
      </c>
      <c r="D371" t="s">
        <v>399</v>
      </c>
      <c r="E371">
        <v>-822373.93</v>
      </c>
      <c r="F371" t="s">
        <v>347</v>
      </c>
      <c r="G371" t="s">
        <v>400</v>
      </c>
      <c r="H371">
        <v>181011084158</v>
      </c>
      <c r="I371" t="str">
        <f>CashIntraTable[Portfolio]&amp;VALUE(CashIntraTable[Cash Date])&amp;CashIntraTable[Detail]</f>
        <v>SCBLT2433842.2. Switch-out</v>
      </c>
    </row>
    <row r="372" spans="1:9" x14ac:dyDescent="0.2">
      <c r="A372" t="s">
        <v>445</v>
      </c>
      <c r="B372" t="s">
        <v>23</v>
      </c>
      <c r="C372" s="67">
        <v>43385</v>
      </c>
      <c r="D372" t="s">
        <v>399</v>
      </c>
      <c r="E372">
        <v>-688744.17</v>
      </c>
      <c r="F372" t="s">
        <v>347</v>
      </c>
      <c r="G372" t="s">
        <v>400</v>
      </c>
      <c r="H372">
        <v>181011084158</v>
      </c>
      <c r="I372" t="str">
        <f>CashIntraTable[Portfolio]&amp;VALUE(CashIntraTable[Cash Date])&amp;CashIntraTable[Detail]</f>
        <v>SCBLT2433852.2. Switch-out</v>
      </c>
    </row>
    <row r="373" spans="1:9" x14ac:dyDescent="0.2">
      <c r="A373" t="s">
        <v>445</v>
      </c>
      <c r="B373" t="s">
        <v>23</v>
      </c>
      <c r="C373" s="67">
        <v>43389</v>
      </c>
      <c r="D373" t="s">
        <v>399</v>
      </c>
      <c r="E373">
        <v>-167008.63</v>
      </c>
      <c r="F373" t="s">
        <v>347</v>
      </c>
      <c r="G373" t="s">
        <v>400</v>
      </c>
      <c r="H373">
        <v>181011084158</v>
      </c>
      <c r="I373" t="str">
        <f>CashIntraTable[Portfolio]&amp;VALUE(CashIntraTable[Cash Date])&amp;CashIntraTable[Detail]</f>
        <v>SCBLT2433892.2. Switch-out</v>
      </c>
    </row>
    <row r="374" spans="1:9" x14ac:dyDescent="0.2">
      <c r="A374" t="s">
        <v>446</v>
      </c>
      <c r="B374" t="s">
        <v>23</v>
      </c>
      <c r="C374" s="67">
        <v>43384</v>
      </c>
      <c r="D374" t="s">
        <v>399</v>
      </c>
      <c r="E374">
        <v>648250</v>
      </c>
      <c r="F374" t="s">
        <v>344</v>
      </c>
      <c r="G374" t="s">
        <v>400</v>
      </c>
      <c r="H374">
        <v>181011084158</v>
      </c>
      <c r="I374" t="str">
        <f>CashIntraTable[Portfolio]&amp;VALUE(CashIntraTable[Cash Date])&amp;CashIntraTable[Detail]</f>
        <v>SCBLT3433841.1. Subscription</v>
      </c>
    </row>
    <row r="375" spans="1:9" x14ac:dyDescent="0.2">
      <c r="A375" t="s">
        <v>446</v>
      </c>
      <c r="B375" t="s">
        <v>23</v>
      </c>
      <c r="C375" s="67">
        <v>43385</v>
      </c>
      <c r="D375" t="s">
        <v>399</v>
      </c>
      <c r="E375">
        <v>80500</v>
      </c>
      <c r="F375" t="s">
        <v>344</v>
      </c>
      <c r="G375" t="s">
        <v>400</v>
      </c>
      <c r="H375">
        <v>181011084158</v>
      </c>
      <c r="I375" t="str">
        <f>CashIntraTable[Portfolio]&amp;VALUE(CashIntraTable[Cash Date])&amp;CashIntraTable[Detail]</f>
        <v>SCBLT3433851.1. Subscription</v>
      </c>
    </row>
    <row r="376" spans="1:9" x14ac:dyDescent="0.2">
      <c r="A376" t="s">
        <v>446</v>
      </c>
      <c r="B376" t="s">
        <v>23</v>
      </c>
      <c r="C376" s="67">
        <v>43384</v>
      </c>
      <c r="D376" t="s">
        <v>399</v>
      </c>
      <c r="E376">
        <v>555250</v>
      </c>
      <c r="F376" t="s">
        <v>348</v>
      </c>
      <c r="G376" t="s">
        <v>400</v>
      </c>
      <c r="H376">
        <v>181011084158</v>
      </c>
      <c r="I376" t="str">
        <f>CashIntraTable[Portfolio]&amp;VALUE(CashIntraTable[Cash Date])&amp;CashIntraTable[Detail]</f>
        <v>SCBLT3433841.1. Subscription (Chq)</v>
      </c>
    </row>
    <row r="377" spans="1:9" x14ac:dyDescent="0.2">
      <c r="A377" t="s">
        <v>446</v>
      </c>
      <c r="B377" t="s">
        <v>23</v>
      </c>
      <c r="C377" s="67">
        <v>43385</v>
      </c>
      <c r="D377" t="s">
        <v>399</v>
      </c>
      <c r="E377">
        <v>27000</v>
      </c>
      <c r="F377" t="s">
        <v>348</v>
      </c>
      <c r="G377" t="s">
        <v>400</v>
      </c>
      <c r="H377">
        <v>181011084158</v>
      </c>
      <c r="I377" t="str">
        <f>CashIntraTable[Portfolio]&amp;VALUE(CashIntraTable[Cash Date])&amp;CashIntraTable[Detail]</f>
        <v>SCBLT3433851.1. Subscription (Chq)</v>
      </c>
    </row>
    <row r="378" spans="1:9" x14ac:dyDescent="0.2">
      <c r="A378" t="s">
        <v>446</v>
      </c>
      <c r="B378" t="s">
        <v>23</v>
      </c>
      <c r="C378" s="67">
        <v>43384</v>
      </c>
      <c r="D378" t="s">
        <v>399</v>
      </c>
      <c r="E378">
        <v>185358</v>
      </c>
      <c r="F378" t="s">
        <v>345</v>
      </c>
      <c r="G378" t="s">
        <v>400</v>
      </c>
      <c r="H378">
        <v>181011084158</v>
      </c>
      <c r="I378" t="str">
        <f>CashIntraTable[Portfolio]&amp;VALUE(CashIntraTable[Cash Date])&amp;CashIntraTable[Detail]</f>
        <v>SCBLT3433841.2. Switch-in</v>
      </c>
    </row>
    <row r="379" spans="1:9" x14ac:dyDescent="0.2">
      <c r="A379" t="s">
        <v>446</v>
      </c>
      <c r="B379" t="s">
        <v>23</v>
      </c>
      <c r="C379" s="67">
        <v>43389</v>
      </c>
      <c r="D379" t="s">
        <v>399</v>
      </c>
      <c r="E379">
        <v>136928.48000000001</v>
      </c>
      <c r="F379" t="s">
        <v>345</v>
      </c>
      <c r="G379" t="s">
        <v>400</v>
      </c>
      <c r="H379">
        <v>181011084158</v>
      </c>
      <c r="I379" t="str">
        <f>CashIntraTable[Portfolio]&amp;VALUE(CashIntraTable[Cash Date])&amp;CashIntraTable[Detail]</f>
        <v>SCBLT3433891.2. Switch-in</v>
      </c>
    </row>
    <row r="380" spans="1:9" x14ac:dyDescent="0.2">
      <c r="A380" t="s">
        <v>446</v>
      </c>
      <c r="B380" t="s">
        <v>23</v>
      </c>
      <c r="C380" s="67">
        <v>43384</v>
      </c>
      <c r="D380" t="s">
        <v>399</v>
      </c>
      <c r="E380">
        <v>-852120.86</v>
      </c>
      <c r="F380" t="s">
        <v>346</v>
      </c>
      <c r="G380" t="s">
        <v>400</v>
      </c>
      <c r="H380">
        <v>181011084158</v>
      </c>
      <c r="I380" t="str">
        <f>CashIntraTable[Portfolio]&amp;VALUE(CashIntraTable[Cash Date])&amp;CashIntraTable[Detail]</f>
        <v>SCBLT3433842.1. Redemption</v>
      </c>
    </row>
    <row r="381" spans="1:9" x14ac:dyDescent="0.2">
      <c r="A381" t="s">
        <v>446</v>
      </c>
      <c r="B381" t="s">
        <v>23</v>
      </c>
      <c r="C381" s="67">
        <v>43385</v>
      </c>
      <c r="D381" t="s">
        <v>399</v>
      </c>
      <c r="E381">
        <v>-719719.56</v>
      </c>
      <c r="F381" t="s">
        <v>346</v>
      </c>
      <c r="G381" t="s">
        <v>400</v>
      </c>
      <c r="H381">
        <v>181011084158</v>
      </c>
      <c r="I381" t="str">
        <f>CashIntraTable[Portfolio]&amp;VALUE(CashIntraTable[Cash Date])&amp;CashIntraTable[Detail]</f>
        <v>SCBLT3433852.1. Redemption</v>
      </c>
    </row>
    <row r="382" spans="1:9" x14ac:dyDescent="0.2">
      <c r="A382" t="s">
        <v>446</v>
      </c>
      <c r="B382" t="s">
        <v>23</v>
      </c>
      <c r="C382" s="67">
        <v>43385</v>
      </c>
      <c r="D382" t="s">
        <v>399</v>
      </c>
      <c r="E382">
        <v>-11937.15</v>
      </c>
      <c r="F382" t="s">
        <v>347</v>
      </c>
      <c r="G382" t="s">
        <v>400</v>
      </c>
      <c r="H382">
        <v>181011084158</v>
      </c>
      <c r="I382" t="str">
        <f>CashIntraTable[Portfolio]&amp;VALUE(CashIntraTable[Cash Date])&amp;CashIntraTable[Detail]</f>
        <v>SCBLT3433852.2. Switch-out</v>
      </c>
    </row>
    <row r="383" spans="1:9" x14ac:dyDescent="0.2">
      <c r="A383" t="s">
        <v>447</v>
      </c>
      <c r="B383" t="s">
        <v>23</v>
      </c>
      <c r="C383" s="67">
        <v>43384</v>
      </c>
      <c r="D383" t="s">
        <v>399</v>
      </c>
      <c r="E383">
        <v>166000</v>
      </c>
      <c r="F383" t="s">
        <v>344</v>
      </c>
      <c r="G383" t="s">
        <v>400</v>
      </c>
      <c r="H383">
        <v>181011084158</v>
      </c>
      <c r="I383" t="str">
        <f>CashIntraTable[Portfolio]&amp;VALUE(CashIntraTable[Cash Date])&amp;CashIntraTable[Detail]</f>
        <v>SCBLT4433841.1. Subscription</v>
      </c>
    </row>
    <row r="384" spans="1:9" x14ac:dyDescent="0.2">
      <c r="A384" t="s">
        <v>447</v>
      </c>
      <c r="B384" t="s">
        <v>23</v>
      </c>
      <c r="C384" s="67">
        <v>43385</v>
      </c>
      <c r="D384" t="s">
        <v>399</v>
      </c>
      <c r="E384">
        <v>1000</v>
      </c>
      <c r="F384" t="s">
        <v>344</v>
      </c>
      <c r="G384" t="s">
        <v>400</v>
      </c>
      <c r="H384">
        <v>181011084158</v>
      </c>
      <c r="I384" t="str">
        <f>CashIntraTable[Portfolio]&amp;VALUE(CashIntraTable[Cash Date])&amp;CashIntraTable[Detail]</f>
        <v>SCBLT4433851.1. Subscription</v>
      </c>
    </row>
    <row r="385" spans="1:9" x14ac:dyDescent="0.2">
      <c r="A385" t="s">
        <v>447</v>
      </c>
      <c r="B385" t="s">
        <v>23</v>
      </c>
      <c r="C385" s="67">
        <v>43384</v>
      </c>
      <c r="D385" t="s">
        <v>399</v>
      </c>
      <c r="E385">
        <v>210000</v>
      </c>
      <c r="F385" t="s">
        <v>348</v>
      </c>
      <c r="G385" t="s">
        <v>400</v>
      </c>
      <c r="H385">
        <v>181011084158</v>
      </c>
      <c r="I385" t="str">
        <f>CashIntraTable[Portfolio]&amp;VALUE(CashIntraTable[Cash Date])&amp;CashIntraTable[Detail]</f>
        <v>SCBLT4433841.1. Subscription (Chq)</v>
      </c>
    </row>
    <row r="386" spans="1:9" x14ac:dyDescent="0.2">
      <c r="A386" t="s">
        <v>447</v>
      </c>
      <c r="B386" t="s">
        <v>23</v>
      </c>
      <c r="C386" s="67">
        <v>43385</v>
      </c>
      <c r="D386" t="s">
        <v>399</v>
      </c>
      <c r="E386">
        <v>2500</v>
      </c>
      <c r="F386" t="s">
        <v>348</v>
      </c>
      <c r="G386" t="s">
        <v>400</v>
      </c>
      <c r="H386">
        <v>181011084158</v>
      </c>
      <c r="I386" t="str">
        <f>CashIntraTable[Portfolio]&amp;VALUE(CashIntraTable[Cash Date])&amp;CashIntraTable[Detail]</f>
        <v>SCBLT4433851.1. Subscription (Chq)</v>
      </c>
    </row>
    <row r="387" spans="1:9" x14ac:dyDescent="0.2">
      <c r="A387" t="s">
        <v>447</v>
      </c>
      <c r="B387" t="s">
        <v>23</v>
      </c>
      <c r="C387" s="67">
        <v>43384</v>
      </c>
      <c r="D387" t="s">
        <v>399</v>
      </c>
      <c r="E387">
        <v>110815.29</v>
      </c>
      <c r="F387" t="s">
        <v>345</v>
      </c>
      <c r="G387" t="s">
        <v>400</v>
      </c>
      <c r="H387">
        <v>181011084158</v>
      </c>
      <c r="I387" t="str">
        <f>CashIntraTable[Portfolio]&amp;VALUE(CashIntraTable[Cash Date])&amp;CashIntraTable[Detail]</f>
        <v>SCBLT4433841.2. Switch-in</v>
      </c>
    </row>
    <row r="388" spans="1:9" x14ac:dyDescent="0.2">
      <c r="A388" t="s">
        <v>447</v>
      </c>
      <c r="B388" t="s">
        <v>23</v>
      </c>
      <c r="C388" s="67">
        <v>43385</v>
      </c>
      <c r="D388" t="s">
        <v>399</v>
      </c>
      <c r="E388">
        <v>20000</v>
      </c>
      <c r="F388" t="s">
        <v>345</v>
      </c>
      <c r="G388" t="s">
        <v>400</v>
      </c>
      <c r="H388">
        <v>181011084158</v>
      </c>
      <c r="I388" t="str">
        <f>CashIntraTable[Portfolio]&amp;VALUE(CashIntraTable[Cash Date])&amp;CashIntraTable[Detail]</f>
        <v>SCBLT4433851.2. Switch-in</v>
      </c>
    </row>
    <row r="389" spans="1:9" x14ac:dyDescent="0.2">
      <c r="A389" t="s">
        <v>447</v>
      </c>
      <c r="B389" t="s">
        <v>23</v>
      </c>
      <c r="C389" s="67">
        <v>43384</v>
      </c>
      <c r="D389" t="s">
        <v>399</v>
      </c>
      <c r="E389">
        <v>-124413.05</v>
      </c>
      <c r="F389" t="s">
        <v>346</v>
      </c>
      <c r="G389" t="s">
        <v>400</v>
      </c>
      <c r="H389">
        <v>181011084158</v>
      </c>
      <c r="I389" t="str">
        <f>CashIntraTable[Portfolio]&amp;VALUE(CashIntraTable[Cash Date])&amp;CashIntraTable[Detail]</f>
        <v>SCBLT4433842.1. Redemption</v>
      </c>
    </row>
    <row r="390" spans="1:9" x14ac:dyDescent="0.2">
      <c r="A390" t="s">
        <v>447</v>
      </c>
      <c r="B390" t="s">
        <v>23</v>
      </c>
      <c r="C390" s="67">
        <v>43389</v>
      </c>
      <c r="D390" t="s">
        <v>399</v>
      </c>
      <c r="E390">
        <v>-114360.98</v>
      </c>
      <c r="F390" t="s">
        <v>346</v>
      </c>
      <c r="G390" t="s">
        <v>400</v>
      </c>
      <c r="H390">
        <v>181011084158</v>
      </c>
      <c r="I390" t="str">
        <f>CashIntraTable[Portfolio]&amp;VALUE(CashIntraTable[Cash Date])&amp;CashIntraTable[Detail]</f>
        <v>SCBLT4433892.1. Redemption</v>
      </c>
    </row>
    <row r="391" spans="1:9" x14ac:dyDescent="0.2">
      <c r="A391" t="s">
        <v>447</v>
      </c>
      <c r="B391" t="s">
        <v>23</v>
      </c>
      <c r="C391" s="67">
        <v>43390</v>
      </c>
      <c r="D391" t="s">
        <v>399</v>
      </c>
      <c r="E391">
        <v>-3908.34</v>
      </c>
      <c r="F391" t="s">
        <v>346</v>
      </c>
      <c r="G391" t="s">
        <v>400</v>
      </c>
      <c r="H391">
        <v>181011084158</v>
      </c>
      <c r="I391" t="str">
        <f>CashIntraTable[Portfolio]&amp;VALUE(CashIntraTable[Cash Date])&amp;CashIntraTable[Detail]</f>
        <v>SCBLT4433902.1. Redemption</v>
      </c>
    </row>
    <row r="392" spans="1:9" x14ac:dyDescent="0.2">
      <c r="A392" t="s">
        <v>447</v>
      </c>
      <c r="B392" t="s">
        <v>23</v>
      </c>
      <c r="C392" s="67">
        <v>43384</v>
      </c>
      <c r="D392" t="s">
        <v>399</v>
      </c>
      <c r="E392">
        <v>-125358</v>
      </c>
      <c r="F392" t="s">
        <v>347</v>
      </c>
      <c r="G392" t="s">
        <v>400</v>
      </c>
      <c r="H392">
        <v>181011084158</v>
      </c>
      <c r="I392" t="str">
        <f>CashIntraTable[Portfolio]&amp;VALUE(CashIntraTable[Cash Date])&amp;CashIntraTable[Detail]</f>
        <v>SCBLT4433842.2. Switch-out</v>
      </c>
    </row>
    <row r="393" spans="1:9" x14ac:dyDescent="0.2">
      <c r="A393" t="s">
        <v>447</v>
      </c>
      <c r="B393" t="s">
        <v>23</v>
      </c>
      <c r="C393" s="67">
        <v>43385</v>
      </c>
      <c r="D393" t="s">
        <v>399</v>
      </c>
      <c r="E393">
        <v>-127327.58</v>
      </c>
      <c r="F393" t="s">
        <v>347</v>
      </c>
      <c r="G393" t="s">
        <v>400</v>
      </c>
      <c r="H393">
        <v>181011084158</v>
      </c>
      <c r="I393" t="str">
        <f>CashIntraTable[Portfolio]&amp;VALUE(CashIntraTable[Cash Date])&amp;CashIntraTable[Detail]</f>
        <v>SCBLT4433852.2. Switch-out</v>
      </c>
    </row>
    <row r="394" spans="1:9" x14ac:dyDescent="0.2">
      <c r="A394" t="s">
        <v>447</v>
      </c>
      <c r="B394" t="s">
        <v>23</v>
      </c>
      <c r="C394" s="67">
        <v>43389</v>
      </c>
      <c r="D394" t="s">
        <v>399</v>
      </c>
      <c r="E394">
        <v>-162370.28</v>
      </c>
      <c r="F394" t="s">
        <v>347</v>
      </c>
      <c r="G394" t="s">
        <v>400</v>
      </c>
      <c r="H394">
        <v>181011084158</v>
      </c>
      <c r="I394" t="str">
        <f>CashIntraTable[Portfolio]&amp;VALUE(CashIntraTable[Cash Date])&amp;CashIntraTable[Detail]</f>
        <v>SCBLT4433892.2. Switch-out</v>
      </c>
    </row>
    <row r="395" spans="1:9" x14ac:dyDescent="0.2">
      <c r="A395" t="s">
        <v>447</v>
      </c>
      <c r="B395" t="s">
        <v>23</v>
      </c>
      <c r="C395" s="67">
        <v>43390</v>
      </c>
      <c r="D395" t="s">
        <v>399</v>
      </c>
      <c r="E395">
        <v>-18599.59</v>
      </c>
      <c r="F395" t="s">
        <v>347</v>
      </c>
      <c r="G395" t="s">
        <v>400</v>
      </c>
      <c r="H395">
        <v>181011084158</v>
      </c>
      <c r="I395" t="str">
        <f>CashIntraTable[Portfolio]&amp;VALUE(CashIntraTable[Cash Date])&amp;CashIntraTable[Detail]</f>
        <v>SCBLT4433902.2. Switch-out</v>
      </c>
    </row>
    <row r="396" spans="1:9" x14ac:dyDescent="0.2">
      <c r="A396" t="s">
        <v>448</v>
      </c>
      <c r="B396" t="s">
        <v>23</v>
      </c>
      <c r="C396" s="67">
        <v>43384</v>
      </c>
      <c r="D396" t="s">
        <v>399</v>
      </c>
      <c r="E396">
        <v>-366435.07</v>
      </c>
      <c r="F396" t="s">
        <v>346</v>
      </c>
      <c r="G396" t="s">
        <v>400</v>
      </c>
      <c r="H396">
        <v>181011084158</v>
      </c>
      <c r="I396" t="str">
        <f>CashIntraTable[Portfolio]&amp;VALUE(CashIntraTable[Cash Date])&amp;CashIntraTable[Detail]</f>
        <v>SCBLTS433842.1. Redemption</v>
      </c>
    </row>
    <row r="397" spans="1:9" x14ac:dyDescent="0.2">
      <c r="A397" t="s">
        <v>448</v>
      </c>
      <c r="B397" t="s">
        <v>23</v>
      </c>
      <c r="C397" s="67">
        <v>43385</v>
      </c>
      <c r="D397" t="s">
        <v>399</v>
      </c>
      <c r="E397">
        <v>-680524.34</v>
      </c>
      <c r="F397" t="s">
        <v>346</v>
      </c>
      <c r="G397" t="s">
        <v>400</v>
      </c>
      <c r="H397">
        <v>181011084158</v>
      </c>
      <c r="I397" t="str">
        <f>CashIntraTable[Portfolio]&amp;VALUE(CashIntraTable[Cash Date])&amp;CashIntraTable[Detail]</f>
        <v>SCBLTS433852.1. Redemption</v>
      </c>
    </row>
    <row r="398" spans="1:9" x14ac:dyDescent="0.2">
      <c r="A398" t="s">
        <v>449</v>
      </c>
      <c r="B398" t="s">
        <v>23</v>
      </c>
      <c r="C398" s="67">
        <v>43384</v>
      </c>
      <c r="D398" t="s">
        <v>399</v>
      </c>
      <c r="E398">
        <v>688829</v>
      </c>
      <c r="F398" t="s">
        <v>344</v>
      </c>
      <c r="G398" t="s">
        <v>400</v>
      </c>
      <c r="H398">
        <v>181011084158</v>
      </c>
      <c r="I398" t="str">
        <f>CashIntraTable[Portfolio]&amp;VALUE(CashIntraTable[Cash Date])&amp;CashIntraTable[Detail]</f>
        <v>SCBLTSE433841.1. Subscription</v>
      </c>
    </row>
    <row r="399" spans="1:9" x14ac:dyDescent="0.2">
      <c r="A399" t="s">
        <v>449</v>
      </c>
      <c r="B399" t="s">
        <v>23</v>
      </c>
      <c r="C399" s="67">
        <v>43385</v>
      </c>
      <c r="D399" t="s">
        <v>399</v>
      </c>
      <c r="E399">
        <v>13000</v>
      </c>
      <c r="F399" t="s">
        <v>344</v>
      </c>
      <c r="G399" t="s">
        <v>400</v>
      </c>
      <c r="H399">
        <v>181011084158</v>
      </c>
      <c r="I399" t="str">
        <f>CashIntraTable[Portfolio]&amp;VALUE(CashIntraTable[Cash Date])&amp;CashIntraTable[Detail]</f>
        <v>SCBLTSE433851.1. Subscription</v>
      </c>
    </row>
    <row r="400" spans="1:9" x14ac:dyDescent="0.2">
      <c r="A400" t="s">
        <v>449</v>
      </c>
      <c r="B400" t="s">
        <v>23</v>
      </c>
      <c r="C400" s="67">
        <v>43384</v>
      </c>
      <c r="D400" t="s">
        <v>399</v>
      </c>
      <c r="E400">
        <v>786000</v>
      </c>
      <c r="F400" t="s">
        <v>348</v>
      </c>
      <c r="G400" t="s">
        <v>400</v>
      </c>
      <c r="H400">
        <v>181011084158</v>
      </c>
      <c r="I400" t="str">
        <f>CashIntraTable[Portfolio]&amp;VALUE(CashIntraTable[Cash Date])&amp;CashIntraTable[Detail]</f>
        <v>SCBLTSE433841.1. Subscription (Chq)</v>
      </c>
    </row>
    <row r="401" spans="1:9" x14ac:dyDescent="0.2">
      <c r="A401" t="s">
        <v>449</v>
      </c>
      <c r="B401" t="s">
        <v>23</v>
      </c>
      <c r="C401" s="67">
        <v>43385</v>
      </c>
      <c r="D401" t="s">
        <v>399</v>
      </c>
      <c r="E401">
        <v>7000</v>
      </c>
      <c r="F401" t="s">
        <v>348</v>
      </c>
      <c r="G401" t="s">
        <v>400</v>
      </c>
      <c r="H401">
        <v>181011084158</v>
      </c>
      <c r="I401" t="str">
        <f>CashIntraTable[Portfolio]&amp;VALUE(CashIntraTable[Cash Date])&amp;CashIntraTable[Detail]</f>
        <v>SCBLTSE433851.1. Subscription (Chq)</v>
      </c>
    </row>
    <row r="402" spans="1:9" x14ac:dyDescent="0.2">
      <c r="A402" t="s">
        <v>449</v>
      </c>
      <c r="B402" t="s">
        <v>23</v>
      </c>
      <c r="C402" s="67">
        <v>43384</v>
      </c>
      <c r="D402" t="s">
        <v>399</v>
      </c>
      <c r="E402">
        <v>228605.13</v>
      </c>
      <c r="F402" t="s">
        <v>345</v>
      </c>
      <c r="G402" t="s">
        <v>400</v>
      </c>
      <c r="H402">
        <v>181011084158</v>
      </c>
      <c r="I402" t="str">
        <f>CashIntraTable[Portfolio]&amp;VALUE(CashIntraTable[Cash Date])&amp;CashIntraTable[Detail]</f>
        <v>SCBLTSE433841.2. Switch-in</v>
      </c>
    </row>
    <row r="403" spans="1:9" x14ac:dyDescent="0.2">
      <c r="A403" t="s">
        <v>449</v>
      </c>
      <c r="B403" t="s">
        <v>23</v>
      </c>
      <c r="C403" s="67">
        <v>43385</v>
      </c>
      <c r="D403" t="s">
        <v>399</v>
      </c>
      <c r="E403">
        <v>3735183.39</v>
      </c>
      <c r="F403" t="s">
        <v>345</v>
      </c>
      <c r="G403" t="s">
        <v>400</v>
      </c>
      <c r="H403">
        <v>181011084158</v>
      </c>
      <c r="I403" t="str">
        <f>CashIntraTable[Portfolio]&amp;VALUE(CashIntraTable[Cash Date])&amp;CashIntraTable[Detail]</f>
        <v>SCBLTSE433851.2. Switch-in</v>
      </c>
    </row>
    <row r="404" spans="1:9" x14ac:dyDescent="0.2">
      <c r="A404" t="s">
        <v>449</v>
      </c>
      <c r="B404" t="s">
        <v>23</v>
      </c>
      <c r="C404" s="67">
        <v>43384</v>
      </c>
      <c r="D404" t="s">
        <v>399</v>
      </c>
      <c r="E404">
        <v>-9736.56</v>
      </c>
      <c r="F404" t="s">
        <v>346</v>
      </c>
      <c r="G404" t="s">
        <v>400</v>
      </c>
      <c r="H404">
        <v>181011084158</v>
      </c>
      <c r="I404" t="str">
        <f>CashIntraTable[Portfolio]&amp;VALUE(CashIntraTable[Cash Date])&amp;CashIntraTable[Detail]</f>
        <v>SCBLTSE433842.1. Redemption</v>
      </c>
    </row>
    <row r="405" spans="1:9" x14ac:dyDescent="0.2">
      <c r="A405" t="s">
        <v>449</v>
      </c>
      <c r="B405" t="s">
        <v>23</v>
      </c>
      <c r="C405" s="67">
        <v>43389</v>
      </c>
      <c r="D405" t="s">
        <v>399</v>
      </c>
      <c r="E405">
        <v>-2986.65</v>
      </c>
      <c r="F405" t="s">
        <v>346</v>
      </c>
      <c r="G405" t="s">
        <v>400</v>
      </c>
      <c r="H405">
        <v>181011084158</v>
      </c>
      <c r="I405" t="str">
        <f>CashIntraTable[Portfolio]&amp;VALUE(CashIntraTable[Cash Date])&amp;CashIntraTable[Detail]</f>
        <v>SCBLTSE433892.1. Redemption</v>
      </c>
    </row>
    <row r="406" spans="1:9" x14ac:dyDescent="0.2">
      <c r="A406" t="s">
        <v>449</v>
      </c>
      <c r="B406" t="s">
        <v>23</v>
      </c>
      <c r="C406" s="67">
        <v>43385</v>
      </c>
      <c r="D406" t="s">
        <v>399</v>
      </c>
      <c r="E406">
        <v>-5869.19</v>
      </c>
      <c r="F406" t="s">
        <v>347</v>
      </c>
      <c r="G406" t="s">
        <v>400</v>
      </c>
      <c r="H406">
        <v>181011084158</v>
      </c>
      <c r="I406" t="str">
        <f>CashIntraTable[Portfolio]&amp;VALUE(CashIntraTable[Cash Date])&amp;CashIntraTable[Detail]</f>
        <v>SCBLTSE433852.2. Switch-out</v>
      </c>
    </row>
    <row r="407" spans="1:9" x14ac:dyDescent="0.2">
      <c r="A407" t="s">
        <v>450</v>
      </c>
      <c r="B407" t="s">
        <v>23</v>
      </c>
      <c r="C407" s="67">
        <v>43384</v>
      </c>
      <c r="D407" t="s">
        <v>399</v>
      </c>
      <c r="E407">
        <v>140000</v>
      </c>
      <c r="F407" t="s">
        <v>344</v>
      </c>
      <c r="G407" t="s">
        <v>400</v>
      </c>
      <c r="H407">
        <v>181011084158</v>
      </c>
      <c r="I407" t="str">
        <f>CashIntraTable[Portfolio]&amp;VALUE(CashIntraTable[Cash Date])&amp;CashIntraTable[Detail]</f>
        <v>SCBLTSET433841.1. Subscription</v>
      </c>
    </row>
    <row r="408" spans="1:9" x14ac:dyDescent="0.2">
      <c r="A408" t="s">
        <v>450</v>
      </c>
      <c r="B408" t="s">
        <v>23</v>
      </c>
      <c r="C408" s="67">
        <v>43385</v>
      </c>
      <c r="D408" t="s">
        <v>399</v>
      </c>
      <c r="E408">
        <v>13000</v>
      </c>
      <c r="F408" t="s">
        <v>344</v>
      </c>
      <c r="G408" t="s">
        <v>400</v>
      </c>
      <c r="H408">
        <v>181011084158</v>
      </c>
      <c r="I408" t="str">
        <f>CashIntraTable[Portfolio]&amp;VALUE(CashIntraTable[Cash Date])&amp;CashIntraTable[Detail]</f>
        <v>SCBLTSET433851.1. Subscription</v>
      </c>
    </row>
    <row r="409" spans="1:9" x14ac:dyDescent="0.2">
      <c r="A409" t="s">
        <v>450</v>
      </c>
      <c r="B409" t="s">
        <v>23</v>
      </c>
      <c r="C409" s="67">
        <v>43384</v>
      </c>
      <c r="D409" t="s">
        <v>399</v>
      </c>
      <c r="E409">
        <v>898000</v>
      </c>
      <c r="F409" t="s">
        <v>348</v>
      </c>
      <c r="G409" t="s">
        <v>400</v>
      </c>
      <c r="H409">
        <v>181011084158</v>
      </c>
      <c r="I409" t="str">
        <f>CashIntraTable[Portfolio]&amp;VALUE(CashIntraTable[Cash Date])&amp;CashIntraTable[Detail]</f>
        <v>SCBLTSET433841.1. Subscription (Chq)</v>
      </c>
    </row>
    <row r="410" spans="1:9" x14ac:dyDescent="0.2">
      <c r="A410" t="s">
        <v>450</v>
      </c>
      <c r="B410" t="s">
        <v>23</v>
      </c>
      <c r="C410" s="67">
        <v>43384</v>
      </c>
      <c r="D410" t="s">
        <v>399</v>
      </c>
      <c r="E410">
        <v>164472.66</v>
      </c>
      <c r="F410" t="s">
        <v>345</v>
      </c>
      <c r="G410" t="s">
        <v>400</v>
      </c>
      <c r="H410">
        <v>181011084158</v>
      </c>
      <c r="I410" t="str">
        <f>CashIntraTable[Portfolio]&amp;VALUE(CashIntraTable[Cash Date])&amp;CashIntraTable[Detail]</f>
        <v>SCBLTSET433841.2. Switch-in</v>
      </c>
    </row>
    <row r="411" spans="1:9" x14ac:dyDescent="0.2">
      <c r="A411" t="s">
        <v>450</v>
      </c>
      <c r="B411" t="s">
        <v>23</v>
      </c>
      <c r="C411" s="67">
        <v>43385</v>
      </c>
      <c r="D411" t="s">
        <v>399</v>
      </c>
      <c r="E411">
        <v>1097127.23</v>
      </c>
      <c r="F411" t="s">
        <v>345</v>
      </c>
      <c r="G411" t="s">
        <v>400</v>
      </c>
      <c r="H411">
        <v>181011084158</v>
      </c>
      <c r="I411" t="str">
        <f>CashIntraTable[Portfolio]&amp;VALUE(CashIntraTable[Cash Date])&amp;CashIntraTable[Detail]</f>
        <v>SCBLTSET433851.2. Switch-in</v>
      </c>
    </row>
    <row r="412" spans="1:9" x14ac:dyDescent="0.2">
      <c r="A412" t="s">
        <v>450</v>
      </c>
      <c r="B412" t="s">
        <v>23</v>
      </c>
      <c r="C412" s="67">
        <v>43390</v>
      </c>
      <c r="D412" t="s">
        <v>399</v>
      </c>
      <c r="E412">
        <v>18599.59</v>
      </c>
      <c r="F412" t="s">
        <v>345</v>
      </c>
      <c r="G412" t="s">
        <v>400</v>
      </c>
      <c r="H412">
        <v>181011084158</v>
      </c>
      <c r="I412" t="str">
        <f>CashIntraTable[Portfolio]&amp;VALUE(CashIntraTable[Cash Date])&amp;CashIntraTable[Detail]</f>
        <v>SCBLTSET433901.2. Switch-in</v>
      </c>
    </row>
    <row r="413" spans="1:9" x14ac:dyDescent="0.2">
      <c r="A413" t="s">
        <v>450</v>
      </c>
      <c r="B413" t="s">
        <v>23</v>
      </c>
      <c r="C413" s="67">
        <v>43384</v>
      </c>
      <c r="D413" t="s">
        <v>399</v>
      </c>
      <c r="E413">
        <v>-2001.16</v>
      </c>
      <c r="F413" t="s">
        <v>346</v>
      </c>
      <c r="G413" t="s">
        <v>400</v>
      </c>
      <c r="H413">
        <v>181011084158</v>
      </c>
      <c r="I413" t="str">
        <f>CashIntraTable[Portfolio]&amp;VALUE(CashIntraTable[Cash Date])&amp;CashIntraTable[Detail]</f>
        <v>SCBLTSET433842.1. Redemption</v>
      </c>
    </row>
    <row r="414" spans="1:9" x14ac:dyDescent="0.2">
      <c r="A414" t="s">
        <v>450</v>
      </c>
      <c r="B414" t="s">
        <v>23</v>
      </c>
      <c r="C414" s="67">
        <v>43385</v>
      </c>
      <c r="D414" t="s">
        <v>399</v>
      </c>
      <c r="E414">
        <v>-506776.78</v>
      </c>
      <c r="F414" t="s">
        <v>346</v>
      </c>
      <c r="G414" t="s">
        <v>400</v>
      </c>
      <c r="H414">
        <v>181011084158</v>
      </c>
      <c r="I414" t="str">
        <f>CashIntraTable[Portfolio]&amp;VALUE(CashIntraTable[Cash Date])&amp;CashIntraTable[Detail]</f>
        <v>SCBLTSET433852.1. Redemption</v>
      </c>
    </row>
    <row r="415" spans="1:9" x14ac:dyDescent="0.2">
      <c r="A415" t="s">
        <v>450</v>
      </c>
      <c r="B415" t="s">
        <v>23</v>
      </c>
      <c r="C415" s="67">
        <v>43389</v>
      </c>
      <c r="D415" t="s">
        <v>399</v>
      </c>
      <c r="E415">
        <v>-849192.95</v>
      </c>
      <c r="F415" t="s">
        <v>347</v>
      </c>
      <c r="G415" t="s">
        <v>400</v>
      </c>
      <c r="H415">
        <v>181011084158</v>
      </c>
      <c r="I415" t="str">
        <f>CashIntraTable[Portfolio]&amp;VALUE(CashIntraTable[Cash Date])&amp;CashIntraTable[Detail]</f>
        <v>SCBLTSET433892.2. Switch-out</v>
      </c>
    </row>
    <row r="416" spans="1:9" x14ac:dyDescent="0.2">
      <c r="A416" t="s">
        <v>451</v>
      </c>
      <c r="B416" t="s">
        <v>23</v>
      </c>
      <c r="C416" s="67">
        <v>43384</v>
      </c>
      <c r="D416" t="s">
        <v>399</v>
      </c>
      <c r="E416">
        <v>964450</v>
      </c>
      <c r="F416" t="s">
        <v>344</v>
      </c>
      <c r="G416" t="s">
        <v>400</v>
      </c>
      <c r="H416">
        <v>181011084158</v>
      </c>
      <c r="I416" t="str">
        <f>CashIntraTable[Portfolio]&amp;VALUE(CashIntraTable[Cash Date])&amp;CashIntraTable[Detail]</f>
        <v>SCBLTT433841.1. Subscription</v>
      </c>
    </row>
    <row r="417" spans="1:9" x14ac:dyDescent="0.2">
      <c r="A417" t="s">
        <v>451</v>
      </c>
      <c r="B417" t="s">
        <v>23</v>
      </c>
      <c r="C417" s="67">
        <v>43385</v>
      </c>
      <c r="D417" t="s">
        <v>399</v>
      </c>
      <c r="E417">
        <v>73000</v>
      </c>
      <c r="F417" t="s">
        <v>344</v>
      </c>
      <c r="G417" t="s">
        <v>400</v>
      </c>
      <c r="H417">
        <v>181011084158</v>
      </c>
      <c r="I417" t="str">
        <f>CashIntraTable[Portfolio]&amp;VALUE(CashIntraTable[Cash Date])&amp;CashIntraTable[Detail]</f>
        <v>SCBLTT433851.1. Subscription</v>
      </c>
    </row>
    <row r="418" spans="1:9" x14ac:dyDescent="0.2">
      <c r="A418" t="s">
        <v>451</v>
      </c>
      <c r="B418" t="s">
        <v>23</v>
      </c>
      <c r="C418" s="67">
        <v>43384</v>
      </c>
      <c r="D418" t="s">
        <v>399</v>
      </c>
      <c r="E418">
        <v>929600</v>
      </c>
      <c r="F418" t="s">
        <v>348</v>
      </c>
      <c r="G418" t="s">
        <v>400</v>
      </c>
      <c r="H418">
        <v>181011084158</v>
      </c>
      <c r="I418" t="str">
        <f>CashIntraTable[Portfolio]&amp;VALUE(CashIntraTable[Cash Date])&amp;CashIntraTable[Detail]</f>
        <v>SCBLTT433841.1. Subscription (Chq)</v>
      </c>
    </row>
    <row r="419" spans="1:9" x14ac:dyDescent="0.2">
      <c r="A419" t="s">
        <v>451</v>
      </c>
      <c r="B419" t="s">
        <v>23</v>
      </c>
      <c r="C419" s="67">
        <v>43385</v>
      </c>
      <c r="D419" t="s">
        <v>399</v>
      </c>
      <c r="E419">
        <v>50500</v>
      </c>
      <c r="F419" t="s">
        <v>348</v>
      </c>
      <c r="G419" t="s">
        <v>400</v>
      </c>
      <c r="H419">
        <v>181011084158</v>
      </c>
      <c r="I419" t="str">
        <f>CashIntraTable[Portfolio]&amp;VALUE(CashIntraTable[Cash Date])&amp;CashIntraTable[Detail]</f>
        <v>SCBLTT433851.1. Subscription (Chq)</v>
      </c>
    </row>
    <row r="420" spans="1:9" x14ac:dyDescent="0.2">
      <c r="A420" t="s">
        <v>451</v>
      </c>
      <c r="B420" t="s">
        <v>23</v>
      </c>
      <c r="C420" s="67">
        <v>43384</v>
      </c>
      <c r="D420" t="s">
        <v>399</v>
      </c>
      <c r="E420">
        <v>123586.07</v>
      </c>
      <c r="F420" t="s">
        <v>345</v>
      </c>
      <c r="G420" t="s">
        <v>400</v>
      </c>
      <c r="H420">
        <v>181011084158</v>
      </c>
      <c r="I420" t="str">
        <f>CashIntraTable[Portfolio]&amp;VALUE(CashIntraTable[Cash Date])&amp;CashIntraTable[Detail]</f>
        <v>SCBLTT433841.2. Switch-in</v>
      </c>
    </row>
    <row r="421" spans="1:9" x14ac:dyDescent="0.2">
      <c r="A421" t="s">
        <v>451</v>
      </c>
      <c r="B421" t="s">
        <v>23</v>
      </c>
      <c r="C421" s="67">
        <v>43385</v>
      </c>
      <c r="D421" t="s">
        <v>399</v>
      </c>
      <c r="E421">
        <v>160777.37</v>
      </c>
      <c r="F421" t="s">
        <v>345</v>
      </c>
      <c r="G421" t="s">
        <v>400</v>
      </c>
      <c r="H421">
        <v>181011084158</v>
      </c>
      <c r="I421" t="str">
        <f>CashIntraTable[Portfolio]&amp;VALUE(CashIntraTable[Cash Date])&amp;CashIntraTable[Detail]</f>
        <v>SCBLTT433851.2. Switch-in</v>
      </c>
    </row>
    <row r="422" spans="1:9" x14ac:dyDescent="0.2">
      <c r="A422" t="s">
        <v>451</v>
      </c>
      <c r="B422" t="s">
        <v>23</v>
      </c>
      <c r="C422" s="67">
        <v>43384</v>
      </c>
      <c r="D422" t="s">
        <v>399</v>
      </c>
      <c r="E422">
        <v>-321773.84000000003</v>
      </c>
      <c r="F422" t="s">
        <v>346</v>
      </c>
      <c r="G422" t="s">
        <v>400</v>
      </c>
      <c r="H422">
        <v>181011084158</v>
      </c>
      <c r="I422" t="str">
        <f>CashIntraTable[Portfolio]&amp;VALUE(CashIntraTable[Cash Date])&amp;CashIntraTable[Detail]</f>
        <v>SCBLTT433842.1. Redemption</v>
      </c>
    </row>
    <row r="423" spans="1:9" x14ac:dyDescent="0.2">
      <c r="A423" t="s">
        <v>451</v>
      </c>
      <c r="B423" t="s">
        <v>23</v>
      </c>
      <c r="C423" s="67">
        <v>43385</v>
      </c>
      <c r="D423" t="s">
        <v>399</v>
      </c>
      <c r="E423">
        <v>-433220.8</v>
      </c>
      <c r="F423" t="s">
        <v>346</v>
      </c>
      <c r="G423" t="s">
        <v>400</v>
      </c>
      <c r="H423">
        <v>181011084158</v>
      </c>
      <c r="I423" t="str">
        <f>CashIntraTable[Portfolio]&amp;VALUE(CashIntraTable[Cash Date])&amp;CashIntraTable[Detail]</f>
        <v>SCBLTT433852.1. Redemption</v>
      </c>
    </row>
    <row r="424" spans="1:9" x14ac:dyDescent="0.2">
      <c r="A424" t="s">
        <v>451</v>
      </c>
      <c r="B424" t="s">
        <v>23</v>
      </c>
      <c r="C424" s="67">
        <v>43389</v>
      </c>
      <c r="D424" t="s">
        <v>399</v>
      </c>
      <c r="E424">
        <v>-112222.47</v>
      </c>
      <c r="F424" t="s">
        <v>346</v>
      </c>
      <c r="G424" t="s">
        <v>400</v>
      </c>
      <c r="H424">
        <v>181011084158</v>
      </c>
      <c r="I424" t="str">
        <f>CashIntraTable[Portfolio]&amp;VALUE(CashIntraTable[Cash Date])&amp;CashIntraTable[Detail]</f>
        <v>SCBLTT433892.1. Redemption</v>
      </c>
    </row>
    <row r="425" spans="1:9" x14ac:dyDescent="0.2">
      <c r="A425" t="s">
        <v>451</v>
      </c>
      <c r="B425" t="s">
        <v>23</v>
      </c>
      <c r="C425" s="67">
        <v>43384</v>
      </c>
      <c r="D425" t="s">
        <v>399</v>
      </c>
      <c r="E425">
        <v>-2417783.5699999998</v>
      </c>
      <c r="F425" t="s">
        <v>347</v>
      </c>
      <c r="G425" t="s">
        <v>400</v>
      </c>
      <c r="H425">
        <v>181011084158</v>
      </c>
      <c r="I425" t="str">
        <f>CashIntraTable[Portfolio]&amp;VALUE(CashIntraTable[Cash Date])&amp;CashIntraTable[Detail]</f>
        <v>SCBLTT433842.2. Switch-out</v>
      </c>
    </row>
    <row r="426" spans="1:9" x14ac:dyDescent="0.2">
      <c r="A426" t="s">
        <v>451</v>
      </c>
      <c r="B426" t="s">
        <v>23</v>
      </c>
      <c r="C426" s="67">
        <v>43385</v>
      </c>
      <c r="D426" t="s">
        <v>399</v>
      </c>
      <c r="E426">
        <v>-49568.93</v>
      </c>
      <c r="F426" t="s">
        <v>347</v>
      </c>
      <c r="G426" t="s">
        <v>400</v>
      </c>
      <c r="H426">
        <v>181011084158</v>
      </c>
      <c r="I426" t="str">
        <f>CashIntraTable[Portfolio]&amp;VALUE(CashIntraTable[Cash Date])&amp;CashIntraTable[Detail]</f>
        <v>SCBLTT433852.2. Switch-out</v>
      </c>
    </row>
    <row r="427" spans="1:9" x14ac:dyDescent="0.2">
      <c r="A427" t="s">
        <v>451</v>
      </c>
      <c r="B427" t="s">
        <v>23</v>
      </c>
      <c r="C427" s="67">
        <v>43389</v>
      </c>
      <c r="D427" t="s">
        <v>399</v>
      </c>
      <c r="E427">
        <v>-8777.7999999999993</v>
      </c>
      <c r="F427" t="s">
        <v>347</v>
      </c>
      <c r="G427" t="s">
        <v>400</v>
      </c>
      <c r="H427">
        <v>181011084158</v>
      </c>
      <c r="I427" t="str">
        <f>CashIntraTable[Portfolio]&amp;VALUE(CashIntraTable[Cash Date])&amp;CashIntraTable[Detail]</f>
        <v>SCBLTT433892.2. Switch-out</v>
      </c>
    </row>
    <row r="428" spans="1:9" x14ac:dyDescent="0.2">
      <c r="A428" t="s">
        <v>452</v>
      </c>
      <c r="B428" t="s">
        <v>23</v>
      </c>
      <c r="C428" s="67">
        <v>43384</v>
      </c>
      <c r="D428" t="s">
        <v>399</v>
      </c>
      <c r="E428">
        <v>3065693.26</v>
      </c>
      <c r="F428" t="s">
        <v>344</v>
      </c>
      <c r="G428" t="s">
        <v>400</v>
      </c>
      <c r="H428">
        <v>181011084158</v>
      </c>
      <c r="I428" t="str">
        <f>CashIntraTable[Portfolio]&amp;VALUE(CashIntraTable[Cash Date])&amp;CashIntraTable[Detail]</f>
        <v>SCBMLT433841.1. Subscription</v>
      </c>
    </row>
    <row r="429" spans="1:9" x14ac:dyDescent="0.2">
      <c r="A429" t="s">
        <v>452</v>
      </c>
      <c r="B429" t="s">
        <v>23</v>
      </c>
      <c r="C429" s="67">
        <v>43384</v>
      </c>
      <c r="D429" t="s">
        <v>399</v>
      </c>
      <c r="E429">
        <v>500000</v>
      </c>
      <c r="F429" t="s">
        <v>345</v>
      </c>
      <c r="G429" t="s">
        <v>400</v>
      </c>
      <c r="H429">
        <v>181011084158</v>
      </c>
      <c r="I429" t="str">
        <f>CashIntraTable[Portfolio]&amp;VALUE(CashIntraTable[Cash Date])&amp;CashIntraTable[Detail]</f>
        <v>SCBMLT433841.2. Switch-in</v>
      </c>
    </row>
    <row r="430" spans="1:9" x14ac:dyDescent="0.2">
      <c r="A430" t="s">
        <v>452</v>
      </c>
      <c r="B430" t="s">
        <v>23</v>
      </c>
      <c r="C430" s="67">
        <v>43385</v>
      </c>
      <c r="D430" t="s">
        <v>399</v>
      </c>
      <c r="E430">
        <v>303262.09999999998</v>
      </c>
      <c r="F430" t="s">
        <v>345</v>
      </c>
      <c r="G430" t="s">
        <v>400</v>
      </c>
      <c r="H430">
        <v>181011084158</v>
      </c>
      <c r="I430" t="str">
        <f>CashIntraTable[Portfolio]&amp;VALUE(CashIntraTable[Cash Date])&amp;CashIntraTable[Detail]</f>
        <v>SCBMLT433851.2. Switch-in</v>
      </c>
    </row>
    <row r="431" spans="1:9" x14ac:dyDescent="0.2">
      <c r="A431" t="s">
        <v>452</v>
      </c>
      <c r="B431" t="s">
        <v>23</v>
      </c>
      <c r="C431" s="67">
        <v>43384</v>
      </c>
      <c r="D431" t="s">
        <v>399</v>
      </c>
      <c r="E431">
        <v>-102810.75</v>
      </c>
      <c r="F431" t="s">
        <v>346</v>
      </c>
      <c r="G431" t="s">
        <v>400</v>
      </c>
      <c r="H431">
        <v>181011084158</v>
      </c>
      <c r="I431" t="str">
        <f>CashIntraTable[Portfolio]&amp;VALUE(CashIntraTable[Cash Date])&amp;CashIntraTable[Detail]</f>
        <v>SCBMLT433842.1. Redemption</v>
      </c>
    </row>
    <row r="432" spans="1:9" x14ac:dyDescent="0.2">
      <c r="A432" t="s">
        <v>452</v>
      </c>
      <c r="B432" t="s">
        <v>23</v>
      </c>
      <c r="C432" s="67">
        <v>43385</v>
      </c>
      <c r="D432" t="s">
        <v>399</v>
      </c>
      <c r="E432">
        <v>-400302.52</v>
      </c>
      <c r="F432" t="s">
        <v>346</v>
      </c>
      <c r="G432" t="s">
        <v>400</v>
      </c>
      <c r="H432">
        <v>181011084158</v>
      </c>
      <c r="I432" t="str">
        <f>CashIntraTable[Portfolio]&amp;VALUE(CashIntraTable[Cash Date])&amp;CashIntraTable[Detail]</f>
        <v>SCBMLT433852.1. Redemption</v>
      </c>
    </row>
    <row r="433" spans="1:9" x14ac:dyDescent="0.2">
      <c r="A433" t="s">
        <v>452</v>
      </c>
      <c r="B433" t="s">
        <v>23</v>
      </c>
      <c r="C433" s="67">
        <v>43384</v>
      </c>
      <c r="D433" t="s">
        <v>399</v>
      </c>
      <c r="E433">
        <v>-2775378.87</v>
      </c>
      <c r="F433" t="s">
        <v>347</v>
      </c>
      <c r="G433" t="s">
        <v>400</v>
      </c>
      <c r="H433">
        <v>181011084158</v>
      </c>
      <c r="I433" t="str">
        <f>CashIntraTable[Portfolio]&amp;VALUE(CashIntraTable[Cash Date])&amp;CashIntraTable[Detail]</f>
        <v>SCBMLT433842.2. Switch-out</v>
      </c>
    </row>
    <row r="434" spans="1:9" x14ac:dyDescent="0.2">
      <c r="A434" t="s">
        <v>452</v>
      </c>
      <c r="B434" t="s">
        <v>23</v>
      </c>
      <c r="C434" s="67">
        <v>43385</v>
      </c>
      <c r="D434" t="s">
        <v>399</v>
      </c>
      <c r="E434">
        <v>-4746.51</v>
      </c>
      <c r="F434" t="s">
        <v>347</v>
      </c>
      <c r="G434" t="s">
        <v>400</v>
      </c>
      <c r="H434">
        <v>181011084158</v>
      </c>
      <c r="I434" t="str">
        <f>CashIntraTable[Portfolio]&amp;VALUE(CashIntraTable[Cash Date])&amp;CashIntraTable[Detail]</f>
        <v>SCBMLT433852.2. Switch-out</v>
      </c>
    </row>
    <row r="435" spans="1:9" x14ac:dyDescent="0.2">
      <c r="A435" t="s">
        <v>453</v>
      </c>
      <c r="B435" t="s">
        <v>23</v>
      </c>
      <c r="C435" s="67">
        <v>43384</v>
      </c>
      <c r="D435" t="s">
        <v>399</v>
      </c>
      <c r="E435">
        <v>1936576.61</v>
      </c>
      <c r="F435" t="s">
        <v>344</v>
      </c>
      <c r="G435" t="s">
        <v>400</v>
      </c>
      <c r="H435">
        <v>181011084158</v>
      </c>
      <c r="I435" t="str">
        <f>CashIntraTable[Portfolio]&amp;VALUE(CashIntraTable[Cash Date])&amp;CashIntraTable[Detail]</f>
        <v>SCBMSEFUND433841.1. Subscription</v>
      </c>
    </row>
    <row r="436" spans="1:9" x14ac:dyDescent="0.2">
      <c r="A436" t="s">
        <v>453</v>
      </c>
      <c r="B436" t="s">
        <v>23</v>
      </c>
      <c r="C436" s="67">
        <v>43385</v>
      </c>
      <c r="D436" t="s">
        <v>399</v>
      </c>
      <c r="E436">
        <v>139050</v>
      </c>
      <c r="F436" t="s">
        <v>344</v>
      </c>
      <c r="G436" t="s">
        <v>400</v>
      </c>
      <c r="H436">
        <v>181011084158</v>
      </c>
      <c r="I436" t="str">
        <f>CashIntraTable[Portfolio]&amp;VALUE(CashIntraTable[Cash Date])&amp;CashIntraTable[Detail]</f>
        <v>SCBMSEFUND433851.1. Subscription</v>
      </c>
    </row>
    <row r="437" spans="1:9" x14ac:dyDescent="0.2">
      <c r="A437" t="s">
        <v>453</v>
      </c>
      <c r="B437" t="s">
        <v>23</v>
      </c>
      <c r="C437" s="67">
        <v>43389</v>
      </c>
      <c r="D437" t="s">
        <v>399</v>
      </c>
      <c r="E437">
        <v>1000</v>
      </c>
      <c r="F437" t="s">
        <v>345</v>
      </c>
      <c r="G437" t="s">
        <v>400</v>
      </c>
      <c r="H437">
        <v>181011084158</v>
      </c>
      <c r="I437" t="str">
        <f>CashIntraTable[Portfolio]&amp;VALUE(CashIntraTable[Cash Date])&amp;CashIntraTable[Detail]</f>
        <v>SCBMSEFUND433891.2. Switch-in</v>
      </c>
    </row>
    <row r="438" spans="1:9" x14ac:dyDescent="0.2">
      <c r="A438" t="s">
        <v>453</v>
      </c>
      <c r="B438" t="s">
        <v>23</v>
      </c>
      <c r="C438" s="67">
        <v>43384</v>
      </c>
      <c r="D438" t="s">
        <v>399</v>
      </c>
      <c r="E438">
        <v>-1206.54</v>
      </c>
      <c r="F438" t="s">
        <v>346</v>
      </c>
      <c r="G438" t="s">
        <v>400</v>
      </c>
      <c r="H438">
        <v>181011084158</v>
      </c>
      <c r="I438" t="str">
        <f>CashIntraTable[Portfolio]&amp;VALUE(CashIntraTable[Cash Date])&amp;CashIntraTable[Detail]</f>
        <v>SCBMSEFUND433842.1. Redemption</v>
      </c>
    </row>
    <row r="439" spans="1:9" x14ac:dyDescent="0.2">
      <c r="A439" t="s">
        <v>453</v>
      </c>
      <c r="B439" t="s">
        <v>23</v>
      </c>
      <c r="C439" s="67">
        <v>43385</v>
      </c>
      <c r="D439" t="s">
        <v>399</v>
      </c>
      <c r="E439">
        <v>-51009.59</v>
      </c>
      <c r="F439" t="s">
        <v>346</v>
      </c>
      <c r="G439" t="s">
        <v>400</v>
      </c>
      <c r="H439">
        <v>181011084158</v>
      </c>
      <c r="I439" t="str">
        <f>CashIntraTable[Portfolio]&amp;VALUE(CashIntraTable[Cash Date])&amp;CashIntraTable[Detail]</f>
        <v>SCBMSEFUND433852.1. Redemption</v>
      </c>
    </row>
    <row r="440" spans="1:9" x14ac:dyDescent="0.2">
      <c r="A440" t="s">
        <v>453</v>
      </c>
      <c r="B440" t="s">
        <v>23</v>
      </c>
      <c r="C440" s="67">
        <v>43389</v>
      </c>
      <c r="D440" t="s">
        <v>399</v>
      </c>
      <c r="E440">
        <v>-1928.95</v>
      </c>
      <c r="F440" t="s">
        <v>346</v>
      </c>
      <c r="G440" t="s">
        <v>400</v>
      </c>
      <c r="H440">
        <v>181011084158</v>
      </c>
      <c r="I440" t="str">
        <f>CashIntraTable[Portfolio]&amp;VALUE(CashIntraTable[Cash Date])&amp;CashIntraTable[Detail]</f>
        <v>SCBMSEFUND433892.1. Redemption</v>
      </c>
    </row>
    <row r="441" spans="1:9" x14ac:dyDescent="0.2">
      <c r="A441" t="s">
        <v>453</v>
      </c>
      <c r="B441" t="s">
        <v>23</v>
      </c>
      <c r="C441" s="67">
        <v>43384</v>
      </c>
      <c r="D441" t="s">
        <v>399</v>
      </c>
      <c r="E441">
        <v>-16937.62</v>
      </c>
      <c r="F441" t="s">
        <v>347</v>
      </c>
      <c r="G441" t="s">
        <v>400</v>
      </c>
      <c r="H441">
        <v>181011084158</v>
      </c>
      <c r="I441" t="str">
        <f>CashIntraTable[Portfolio]&amp;VALUE(CashIntraTable[Cash Date])&amp;CashIntraTable[Detail]</f>
        <v>SCBMSEFUND433842.2. Switch-out</v>
      </c>
    </row>
    <row r="442" spans="1:9" x14ac:dyDescent="0.2">
      <c r="A442" t="s">
        <v>453</v>
      </c>
      <c r="B442" t="s">
        <v>23</v>
      </c>
      <c r="C442" s="67">
        <v>43385</v>
      </c>
      <c r="D442" t="s">
        <v>399</v>
      </c>
      <c r="E442">
        <v>-13790.48</v>
      </c>
      <c r="F442" t="s">
        <v>347</v>
      </c>
      <c r="G442" t="s">
        <v>400</v>
      </c>
      <c r="H442">
        <v>181011084158</v>
      </c>
      <c r="I442" t="str">
        <f>CashIntraTable[Portfolio]&amp;VALUE(CashIntraTable[Cash Date])&amp;CashIntraTable[Detail]</f>
        <v>SCBMSEFUND433852.2. Switch-out</v>
      </c>
    </row>
    <row r="443" spans="1:9" x14ac:dyDescent="0.2">
      <c r="A443" t="s">
        <v>454</v>
      </c>
      <c r="B443" t="s">
        <v>23</v>
      </c>
      <c r="C443" s="67">
        <v>43384</v>
      </c>
      <c r="D443" t="s">
        <v>399</v>
      </c>
      <c r="E443">
        <v>1177526.79</v>
      </c>
      <c r="F443" t="s">
        <v>344</v>
      </c>
      <c r="G443" t="s">
        <v>400</v>
      </c>
      <c r="H443">
        <v>181011084158</v>
      </c>
      <c r="I443" t="str">
        <f>CashIntraTable[Portfolio]&amp;VALUE(CashIntraTable[Cash Date])&amp;CashIntraTable[Detail]</f>
        <v>SCBNKY225433841.1. Subscription</v>
      </c>
    </row>
    <row r="444" spans="1:9" x14ac:dyDescent="0.2">
      <c r="A444" t="s">
        <v>454</v>
      </c>
      <c r="B444" t="s">
        <v>23</v>
      </c>
      <c r="C444" s="67">
        <v>43385</v>
      </c>
      <c r="D444" t="s">
        <v>399</v>
      </c>
      <c r="E444">
        <v>636000</v>
      </c>
      <c r="F444" t="s">
        <v>344</v>
      </c>
      <c r="G444" t="s">
        <v>400</v>
      </c>
      <c r="H444">
        <v>181011084158</v>
      </c>
      <c r="I444" t="str">
        <f>CashIntraTable[Portfolio]&amp;VALUE(CashIntraTable[Cash Date])&amp;CashIntraTable[Detail]</f>
        <v>SCBNKY225433851.1. Subscription</v>
      </c>
    </row>
    <row r="445" spans="1:9" x14ac:dyDescent="0.2">
      <c r="A445" t="s">
        <v>454</v>
      </c>
      <c r="B445" t="s">
        <v>23</v>
      </c>
      <c r="C445" s="67">
        <v>43384</v>
      </c>
      <c r="D445" t="s">
        <v>399</v>
      </c>
      <c r="E445">
        <v>5186751.95</v>
      </c>
      <c r="F445" t="s">
        <v>345</v>
      </c>
      <c r="G445" t="s">
        <v>400</v>
      </c>
      <c r="H445">
        <v>181011084158</v>
      </c>
      <c r="I445" t="str">
        <f>CashIntraTable[Portfolio]&amp;VALUE(CashIntraTable[Cash Date])&amp;CashIntraTable[Detail]</f>
        <v>SCBNKY225433841.2. Switch-in</v>
      </c>
    </row>
    <row r="446" spans="1:9" x14ac:dyDescent="0.2">
      <c r="A446" t="s">
        <v>454</v>
      </c>
      <c r="B446" t="s">
        <v>23</v>
      </c>
      <c r="C446" s="67">
        <v>43385</v>
      </c>
      <c r="D446" t="s">
        <v>399</v>
      </c>
      <c r="E446">
        <v>185405.97</v>
      </c>
      <c r="F446" t="s">
        <v>345</v>
      </c>
      <c r="G446" t="s">
        <v>400</v>
      </c>
      <c r="H446">
        <v>181011084158</v>
      </c>
      <c r="I446" t="str">
        <f>CashIntraTable[Portfolio]&amp;VALUE(CashIntraTable[Cash Date])&amp;CashIntraTable[Detail]</f>
        <v>SCBNKY225433851.2. Switch-in</v>
      </c>
    </row>
    <row r="447" spans="1:9" x14ac:dyDescent="0.2">
      <c r="A447" t="s">
        <v>454</v>
      </c>
      <c r="B447" t="s">
        <v>23</v>
      </c>
      <c r="C447" s="67">
        <v>43389</v>
      </c>
      <c r="D447" t="s">
        <v>399</v>
      </c>
      <c r="E447">
        <v>4922.1499999999996</v>
      </c>
      <c r="F447" t="s">
        <v>345</v>
      </c>
      <c r="G447" t="s">
        <v>400</v>
      </c>
      <c r="H447">
        <v>181011084158</v>
      </c>
      <c r="I447" t="str">
        <f>CashIntraTable[Portfolio]&amp;VALUE(CashIntraTable[Cash Date])&amp;CashIntraTable[Detail]</f>
        <v>SCBNKY225433891.2. Switch-in</v>
      </c>
    </row>
    <row r="448" spans="1:9" x14ac:dyDescent="0.2">
      <c r="A448" t="s">
        <v>454</v>
      </c>
      <c r="B448" t="s">
        <v>23</v>
      </c>
      <c r="C448" s="67">
        <v>43384</v>
      </c>
      <c r="D448" t="s">
        <v>399</v>
      </c>
      <c r="E448">
        <v>-3970356.65</v>
      </c>
      <c r="F448" t="s">
        <v>346</v>
      </c>
      <c r="G448" t="s">
        <v>400</v>
      </c>
      <c r="H448">
        <v>181011084158</v>
      </c>
      <c r="I448" t="str">
        <f>CashIntraTable[Portfolio]&amp;VALUE(CashIntraTable[Cash Date])&amp;CashIntraTable[Detail]</f>
        <v>SCBNKY225433842.1. Redemption</v>
      </c>
    </row>
    <row r="449" spans="1:9" x14ac:dyDescent="0.2">
      <c r="A449" t="s">
        <v>454</v>
      </c>
      <c r="B449" t="s">
        <v>23</v>
      </c>
      <c r="C449" s="67">
        <v>43385</v>
      </c>
      <c r="D449" t="s">
        <v>399</v>
      </c>
      <c r="E449">
        <v>-1584305.75</v>
      </c>
      <c r="F449" t="s">
        <v>346</v>
      </c>
      <c r="G449" t="s">
        <v>400</v>
      </c>
      <c r="H449">
        <v>181011084158</v>
      </c>
      <c r="I449" t="str">
        <f>CashIntraTable[Portfolio]&amp;VALUE(CashIntraTable[Cash Date])&amp;CashIntraTable[Detail]</f>
        <v>SCBNKY225433852.1. Redemption</v>
      </c>
    </row>
    <row r="450" spans="1:9" x14ac:dyDescent="0.2">
      <c r="A450" t="s">
        <v>454</v>
      </c>
      <c r="B450" t="s">
        <v>23</v>
      </c>
      <c r="C450" s="67">
        <v>43389</v>
      </c>
      <c r="D450" t="s">
        <v>399</v>
      </c>
      <c r="E450">
        <v>-256015.4</v>
      </c>
      <c r="F450" t="s">
        <v>346</v>
      </c>
      <c r="G450" t="s">
        <v>400</v>
      </c>
      <c r="H450">
        <v>181011084158</v>
      </c>
      <c r="I450" t="str">
        <f>CashIntraTable[Portfolio]&amp;VALUE(CashIntraTable[Cash Date])&amp;CashIntraTable[Detail]</f>
        <v>SCBNKY225433892.1. Redemption</v>
      </c>
    </row>
    <row r="451" spans="1:9" x14ac:dyDescent="0.2">
      <c r="A451" t="s">
        <v>454</v>
      </c>
      <c r="B451" t="s">
        <v>23</v>
      </c>
      <c r="C451" s="67">
        <v>43390</v>
      </c>
      <c r="D451" t="s">
        <v>399</v>
      </c>
      <c r="E451">
        <v>-110874.61</v>
      </c>
      <c r="F451" t="s">
        <v>346</v>
      </c>
      <c r="G451" t="s">
        <v>400</v>
      </c>
      <c r="H451">
        <v>181011084158</v>
      </c>
      <c r="I451" t="str">
        <f>CashIntraTable[Portfolio]&amp;VALUE(CashIntraTable[Cash Date])&amp;CashIntraTable[Detail]</f>
        <v>SCBNKY225433902.1. Redemption</v>
      </c>
    </row>
    <row r="452" spans="1:9" x14ac:dyDescent="0.2">
      <c r="A452" t="s">
        <v>454</v>
      </c>
      <c r="B452" t="s">
        <v>23</v>
      </c>
      <c r="C452" s="67">
        <v>43384</v>
      </c>
      <c r="D452" t="s">
        <v>399</v>
      </c>
      <c r="E452">
        <v>-185077.15</v>
      </c>
      <c r="F452" t="s">
        <v>347</v>
      </c>
      <c r="G452" t="s">
        <v>400</v>
      </c>
      <c r="H452">
        <v>181011084158</v>
      </c>
      <c r="I452" t="str">
        <f>CashIntraTable[Portfolio]&amp;VALUE(CashIntraTable[Cash Date])&amp;CashIntraTable[Detail]</f>
        <v>SCBNKY225433842.2. Switch-out</v>
      </c>
    </row>
    <row r="453" spans="1:9" x14ac:dyDescent="0.2">
      <c r="A453" t="s">
        <v>454</v>
      </c>
      <c r="B453" t="s">
        <v>23</v>
      </c>
      <c r="C453" s="67">
        <v>43385</v>
      </c>
      <c r="D453" t="s">
        <v>399</v>
      </c>
      <c r="E453">
        <v>-6221259.2000000002</v>
      </c>
      <c r="F453" t="s">
        <v>347</v>
      </c>
      <c r="G453" t="s">
        <v>400</v>
      </c>
      <c r="H453">
        <v>181011084158</v>
      </c>
      <c r="I453" t="str">
        <f>CashIntraTable[Portfolio]&amp;VALUE(CashIntraTable[Cash Date])&amp;CashIntraTable[Detail]</f>
        <v>SCBNKY225433852.2. Switch-out</v>
      </c>
    </row>
    <row r="454" spans="1:9" x14ac:dyDescent="0.2">
      <c r="A454" t="s">
        <v>454</v>
      </c>
      <c r="B454" t="s">
        <v>23</v>
      </c>
      <c r="C454" s="67">
        <v>43389</v>
      </c>
      <c r="D454" t="s">
        <v>399</v>
      </c>
      <c r="E454">
        <v>-29780.67</v>
      </c>
      <c r="F454" t="s">
        <v>347</v>
      </c>
      <c r="G454" t="s">
        <v>400</v>
      </c>
      <c r="H454">
        <v>181011084158</v>
      </c>
      <c r="I454" t="str">
        <f>CashIntraTable[Portfolio]&amp;VALUE(CashIntraTable[Cash Date])&amp;CashIntraTable[Detail]</f>
        <v>SCBNKY225433892.2. Switch-out</v>
      </c>
    </row>
    <row r="455" spans="1:9" x14ac:dyDescent="0.2">
      <c r="A455" t="s">
        <v>454</v>
      </c>
      <c r="B455" t="s">
        <v>23</v>
      </c>
      <c r="C455" s="67">
        <v>43390</v>
      </c>
      <c r="D455" t="s">
        <v>399</v>
      </c>
      <c r="E455">
        <v>-9638.48</v>
      </c>
      <c r="F455" t="s">
        <v>347</v>
      </c>
      <c r="G455" t="s">
        <v>400</v>
      </c>
      <c r="H455">
        <v>181011084158</v>
      </c>
      <c r="I455" t="str">
        <f>CashIntraTable[Portfolio]&amp;VALUE(CashIntraTable[Cash Date])&amp;CashIntraTable[Detail]</f>
        <v>SCBNKY225433902.2. Switch-out</v>
      </c>
    </row>
    <row r="456" spans="1:9" x14ac:dyDescent="0.2">
      <c r="A456" t="s">
        <v>455</v>
      </c>
      <c r="B456" t="s">
        <v>23</v>
      </c>
      <c r="C456" s="67">
        <v>43384</v>
      </c>
      <c r="D456" t="s">
        <v>399</v>
      </c>
      <c r="E456">
        <v>322650</v>
      </c>
      <c r="F456" t="s">
        <v>344</v>
      </c>
      <c r="G456" t="s">
        <v>400</v>
      </c>
      <c r="H456">
        <v>181011084158</v>
      </c>
      <c r="I456" t="str">
        <f>CashIntraTable[Portfolio]&amp;VALUE(CashIntraTable[Cash Date])&amp;CashIntraTable[Detail]</f>
        <v>SCBOILFUND433841.1. Subscription</v>
      </c>
    </row>
    <row r="457" spans="1:9" x14ac:dyDescent="0.2">
      <c r="A457" t="s">
        <v>455</v>
      </c>
      <c r="B457" t="s">
        <v>23</v>
      </c>
      <c r="C457" s="67">
        <v>43385</v>
      </c>
      <c r="D457" t="s">
        <v>399</v>
      </c>
      <c r="E457">
        <v>7000</v>
      </c>
      <c r="F457" t="s">
        <v>344</v>
      </c>
      <c r="G457" t="s">
        <v>400</v>
      </c>
      <c r="H457">
        <v>181011084158</v>
      </c>
      <c r="I457" t="str">
        <f>CashIntraTable[Portfolio]&amp;VALUE(CashIntraTable[Cash Date])&amp;CashIntraTable[Detail]</f>
        <v>SCBOILFUND433851.1. Subscription</v>
      </c>
    </row>
    <row r="458" spans="1:9" x14ac:dyDescent="0.2">
      <c r="A458" t="s">
        <v>455</v>
      </c>
      <c r="B458" t="s">
        <v>23</v>
      </c>
      <c r="C458" s="67">
        <v>43384</v>
      </c>
      <c r="D458" t="s">
        <v>399</v>
      </c>
      <c r="E458">
        <v>1741020.11</v>
      </c>
      <c r="F458" t="s">
        <v>345</v>
      </c>
      <c r="G458" t="s">
        <v>400</v>
      </c>
      <c r="H458">
        <v>181011084158</v>
      </c>
      <c r="I458" t="str">
        <f>CashIntraTable[Portfolio]&amp;VALUE(CashIntraTable[Cash Date])&amp;CashIntraTable[Detail]</f>
        <v>SCBOILFUND433841.2. Switch-in</v>
      </c>
    </row>
    <row r="459" spans="1:9" x14ac:dyDescent="0.2">
      <c r="A459" t="s">
        <v>455</v>
      </c>
      <c r="B459" t="s">
        <v>23</v>
      </c>
      <c r="C459" s="67">
        <v>43385</v>
      </c>
      <c r="D459" t="s">
        <v>399</v>
      </c>
      <c r="E459">
        <v>1999.2</v>
      </c>
      <c r="F459" t="s">
        <v>345</v>
      </c>
      <c r="G459" t="s">
        <v>400</v>
      </c>
      <c r="H459">
        <v>181011084158</v>
      </c>
      <c r="I459" t="str">
        <f>CashIntraTable[Portfolio]&amp;VALUE(CashIntraTable[Cash Date])&amp;CashIntraTable[Detail]</f>
        <v>SCBOILFUND433851.2. Switch-in</v>
      </c>
    </row>
    <row r="460" spans="1:9" x14ac:dyDescent="0.2">
      <c r="A460" t="s">
        <v>455</v>
      </c>
      <c r="B460" t="s">
        <v>23</v>
      </c>
      <c r="C460" s="67">
        <v>43389</v>
      </c>
      <c r="D460" t="s">
        <v>399</v>
      </c>
      <c r="E460">
        <v>90367.22</v>
      </c>
      <c r="F460" t="s">
        <v>345</v>
      </c>
      <c r="G460" t="s">
        <v>400</v>
      </c>
      <c r="H460">
        <v>181011084158</v>
      </c>
      <c r="I460" t="str">
        <f>CashIntraTable[Portfolio]&amp;VALUE(CashIntraTable[Cash Date])&amp;CashIntraTable[Detail]</f>
        <v>SCBOILFUND433891.2. Switch-in</v>
      </c>
    </row>
    <row r="461" spans="1:9" x14ac:dyDescent="0.2">
      <c r="A461" t="s">
        <v>455</v>
      </c>
      <c r="B461" t="s">
        <v>23</v>
      </c>
      <c r="C461" s="67">
        <v>43390</v>
      </c>
      <c r="D461" t="s">
        <v>399</v>
      </c>
      <c r="E461">
        <v>2044.22</v>
      </c>
      <c r="F461" t="s">
        <v>345</v>
      </c>
      <c r="G461" t="s">
        <v>400</v>
      </c>
      <c r="H461">
        <v>181011084158</v>
      </c>
      <c r="I461" t="str">
        <f>CashIntraTable[Portfolio]&amp;VALUE(CashIntraTable[Cash Date])&amp;CashIntraTable[Detail]</f>
        <v>SCBOILFUND433901.2. Switch-in</v>
      </c>
    </row>
    <row r="462" spans="1:9" x14ac:dyDescent="0.2">
      <c r="A462" t="s">
        <v>455</v>
      </c>
      <c r="B462" t="s">
        <v>23</v>
      </c>
      <c r="C462" s="67">
        <v>43384</v>
      </c>
      <c r="D462" t="s">
        <v>399</v>
      </c>
      <c r="E462">
        <v>-481134.21</v>
      </c>
      <c r="F462" t="s">
        <v>346</v>
      </c>
      <c r="G462" t="s">
        <v>400</v>
      </c>
      <c r="H462">
        <v>181011084158</v>
      </c>
      <c r="I462" t="str">
        <f>CashIntraTable[Portfolio]&amp;VALUE(CashIntraTable[Cash Date])&amp;CashIntraTable[Detail]</f>
        <v>SCBOILFUND433842.1. Redemption</v>
      </c>
    </row>
    <row r="463" spans="1:9" x14ac:dyDescent="0.2">
      <c r="A463" t="s">
        <v>455</v>
      </c>
      <c r="B463" t="s">
        <v>23</v>
      </c>
      <c r="C463" s="67">
        <v>43385</v>
      </c>
      <c r="D463" t="s">
        <v>399</v>
      </c>
      <c r="E463">
        <v>-1643889.61</v>
      </c>
      <c r="F463" t="s">
        <v>346</v>
      </c>
      <c r="G463" t="s">
        <v>400</v>
      </c>
      <c r="H463">
        <v>181011084158</v>
      </c>
      <c r="I463" t="str">
        <f>CashIntraTable[Portfolio]&amp;VALUE(CashIntraTable[Cash Date])&amp;CashIntraTable[Detail]</f>
        <v>SCBOILFUND433852.1. Redemption</v>
      </c>
    </row>
    <row r="464" spans="1:9" x14ac:dyDescent="0.2">
      <c r="A464" t="s">
        <v>455</v>
      </c>
      <c r="B464" t="s">
        <v>23</v>
      </c>
      <c r="C464" s="67">
        <v>43389</v>
      </c>
      <c r="D464" t="s">
        <v>399</v>
      </c>
      <c r="E464">
        <v>-141682.67000000001</v>
      </c>
      <c r="F464" t="s">
        <v>346</v>
      </c>
      <c r="G464" t="s">
        <v>400</v>
      </c>
      <c r="H464">
        <v>181011084158</v>
      </c>
      <c r="I464" t="str">
        <f>CashIntraTable[Portfolio]&amp;VALUE(CashIntraTable[Cash Date])&amp;CashIntraTable[Detail]</f>
        <v>SCBOILFUND433892.1. Redemption</v>
      </c>
    </row>
    <row r="465" spans="1:9" x14ac:dyDescent="0.2">
      <c r="A465" t="s">
        <v>455</v>
      </c>
      <c r="B465" t="s">
        <v>23</v>
      </c>
      <c r="C465" s="67">
        <v>43390</v>
      </c>
      <c r="D465" t="s">
        <v>399</v>
      </c>
      <c r="E465">
        <v>-15539.69</v>
      </c>
      <c r="F465" t="s">
        <v>346</v>
      </c>
      <c r="G465" t="s">
        <v>400</v>
      </c>
      <c r="H465">
        <v>181011084158</v>
      </c>
      <c r="I465" t="str">
        <f>CashIntraTable[Portfolio]&amp;VALUE(CashIntraTable[Cash Date])&amp;CashIntraTable[Detail]</f>
        <v>SCBOILFUND433902.1. Redemption</v>
      </c>
    </row>
    <row r="466" spans="1:9" x14ac:dyDescent="0.2">
      <c r="A466" t="s">
        <v>455</v>
      </c>
      <c r="B466" t="s">
        <v>23</v>
      </c>
      <c r="C466" s="67">
        <v>43384</v>
      </c>
      <c r="D466" t="s">
        <v>399</v>
      </c>
      <c r="E466">
        <v>-1430584.3200000001</v>
      </c>
      <c r="F466" t="s">
        <v>347</v>
      </c>
      <c r="G466" t="s">
        <v>400</v>
      </c>
      <c r="H466">
        <v>181011084158</v>
      </c>
      <c r="I466" t="str">
        <f>CashIntraTable[Portfolio]&amp;VALUE(CashIntraTable[Cash Date])&amp;CashIntraTable[Detail]</f>
        <v>SCBOILFUND433842.2. Switch-out</v>
      </c>
    </row>
    <row r="467" spans="1:9" x14ac:dyDescent="0.2">
      <c r="A467" t="s">
        <v>455</v>
      </c>
      <c r="B467" t="s">
        <v>23</v>
      </c>
      <c r="C467" s="67">
        <v>43385</v>
      </c>
      <c r="D467" t="s">
        <v>399</v>
      </c>
      <c r="E467">
        <v>-56152.47</v>
      </c>
      <c r="F467" t="s">
        <v>347</v>
      </c>
      <c r="G467" t="s">
        <v>400</v>
      </c>
      <c r="H467">
        <v>181011084158</v>
      </c>
      <c r="I467" t="str">
        <f>CashIntraTable[Portfolio]&amp;VALUE(CashIntraTable[Cash Date])&amp;CashIntraTable[Detail]</f>
        <v>SCBOILFUND433852.2. Switch-out</v>
      </c>
    </row>
    <row r="468" spans="1:9" x14ac:dyDescent="0.2">
      <c r="A468" t="s">
        <v>455</v>
      </c>
      <c r="B468" t="s">
        <v>23</v>
      </c>
      <c r="C468" s="67">
        <v>43389</v>
      </c>
      <c r="D468" t="s">
        <v>399</v>
      </c>
      <c r="E468">
        <v>-1000000</v>
      </c>
      <c r="F468" t="s">
        <v>347</v>
      </c>
      <c r="G468" t="s">
        <v>400</v>
      </c>
      <c r="H468">
        <v>181011084158</v>
      </c>
      <c r="I468" t="str">
        <f>CashIntraTable[Portfolio]&amp;VALUE(CashIntraTable[Cash Date])&amp;CashIntraTable[Detail]</f>
        <v>SCBOILFUND433892.2. Switch-out</v>
      </c>
    </row>
    <row r="469" spans="1:9" x14ac:dyDescent="0.2">
      <c r="A469" t="s">
        <v>456</v>
      </c>
      <c r="B469" t="s">
        <v>23</v>
      </c>
      <c r="C469" s="67">
        <v>43385</v>
      </c>
      <c r="D469" t="s">
        <v>399</v>
      </c>
      <c r="E469">
        <v>1000</v>
      </c>
      <c r="F469" t="s">
        <v>344</v>
      </c>
      <c r="G469" t="s">
        <v>400</v>
      </c>
      <c r="H469">
        <v>181011084158</v>
      </c>
      <c r="I469" t="str">
        <f>CashIntraTable[Portfolio]&amp;VALUE(CashIntraTable[Cash Date])&amp;CashIntraTable[Detail]</f>
        <v>SCBOPP433851.1. Subscription</v>
      </c>
    </row>
    <row r="470" spans="1:9" x14ac:dyDescent="0.2">
      <c r="A470" t="s">
        <v>456</v>
      </c>
      <c r="B470" t="s">
        <v>23</v>
      </c>
      <c r="C470" s="67">
        <v>43385</v>
      </c>
      <c r="D470" t="s">
        <v>399</v>
      </c>
      <c r="E470">
        <v>-1185465.0900000001</v>
      </c>
      <c r="F470" t="s">
        <v>346</v>
      </c>
      <c r="G470" t="s">
        <v>400</v>
      </c>
      <c r="H470">
        <v>181011084158</v>
      </c>
      <c r="I470" t="str">
        <f>CashIntraTable[Portfolio]&amp;VALUE(CashIntraTable[Cash Date])&amp;CashIntraTable[Detail]</f>
        <v>SCBOPP433852.1. Redemption</v>
      </c>
    </row>
    <row r="471" spans="1:9" x14ac:dyDescent="0.2">
      <c r="A471" t="s">
        <v>456</v>
      </c>
      <c r="B471" t="s">
        <v>23</v>
      </c>
      <c r="C471" s="67">
        <v>43389</v>
      </c>
      <c r="D471" t="s">
        <v>399</v>
      </c>
      <c r="E471">
        <v>-946057.03</v>
      </c>
      <c r="F471" t="s">
        <v>346</v>
      </c>
      <c r="G471" t="s">
        <v>400</v>
      </c>
      <c r="H471">
        <v>181011084158</v>
      </c>
      <c r="I471" t="str">
        <f>CashIntraTable[Portfolio]&amp;VALUE(CashIntraTable[Cash Date])&amp;CashIntraTable[Detail]</f>
        <v>SCBOPP433892.1. Redemption</v>
      </c>
    </row>
    <row r="472" spans="1:9" x14ac:dyDescent="0.2">
      <c r="A472" t="s">
        <v>456</v>
      </c>
      <c r="B472" t="s">
        <v>23</v>
      </c>
      <c r="C472" s="67">
        <v>43390</v>
      </c>
      <c r="D472" t="s">
        <v>399</v>
      </c>
      <c r="E472">
        <v>-33315.94</v>
      </c>
      <c r="F472" t="s">
        <v>346</v>
      </c>
      <c r="G472" t="s">
        <v>400</v>
      </c>
      <c r="H472">
        <v>181011084158</v>
      </c>
      <c r="I472" t="str">
        <f>CashIntraTable[Portfolio]&amp;VALUE(CashIntraTable[Cash Date])&amp;CashIntraTable[Detail]</f>
        <v>SCBOPP433902.1. Redemption</v>
      </c>
    </row>
    <row r="473" spans="1:9" x14ac:dyDescent="0.2">
      <c r="A473" t="s">
        <v>456</v>
      </c>
      <c r="B473" t="s">
        <v>23</v>
      </c>
      <c r="C473" s="67">
        <v>43384</v>
      </c>
      <c r="D473" t="s">
        <v>399</v>
      </c>
      <c r="E473">
        <v>-1338283.24</v>
      </c>
      <c r="F473" t="s">
        <v>347</v>
      </c>
      <c r="G473" t="s">
        <v>400</v>
      </c>
      <c r="H473">
        <v>181011084158</v>
      </c>
      <c r="I473" t="str">
        <f>CashIntraTable[Portfolio]&amp;VALUE(CashIntraTable[Cash Date])&amp;CashIntraTable[Detail]</f>
        <v>SCBOPP433842.2. Switch-out</v>
      </c>
    </row>
    <row r="474" spans="1:9" x14ac:dyDescent="0.2">
      <c r="A474" t="s">
        <v>456</v>
      </c>
      <c r="B474" t="s">
        <v>23</v>
      </c>
      <c r="C474" s="67">
        <v>43385</v>
      </c>
      <c r="D474" t="s">
        <v>399</v>
      </c>
      <c r="E474">
        <v>-200000</v>
      </c>
      <c r="F474" t="s">
        <v>347</v>
      </c>
      <c r="G474" t="s">
        <v>400</v>
      </c>
      <c r="H474">
        <v>181011084158</v>
      </c>
      <c r="I474" t="str">
        <f>CashIntraTable[Portfolio]&amp;VALUE(CashIntraTable[Cash Date])&amp;CashIntraTable[Detail]</f>
        <v>SCBOPP433852.2. Switch-out</v>
      </c>
    </row>
    <row r="475" spans="1:9" x14ac:dyDescent="0.2">
      <c r="A475" t="s">
        <v>456</v>
      </c>
      <c r="B475" t="s">
        <v>23</v>
      </c>
      <c r="C475" s="67">
        <v>43389</v>
      </c>
      <c r="D475" t="s">
        <v>399</v>
      </c>
      <c r="E475">
        <v>-3561951.96</v>
      </c>
      <c r="F475" t="s">
        <v>347</v>
      </c>
      <c r="G475" t="s">
        <v>400</v>
      </c>
      <c r="H475">
        <v>181011084158</v>
      </c>
      <c r="I475" t="str">
        <f>CashIntraTable[Portfolio]&amp;VALUE(CashIntraTable[Cash Date])&amp;CashIntraTable[Detail]</f>
        <v>SCBOPP433892.2. Switch-out</v>
      </c>
    </row>
    <row r="476" spans="1:9" x14ac:dyDescent="0.2">
      <c r="A476" t="s">
        <v>456</v>
      </c>
      <c r="B476" t="s">
        <v>23</v>
      </c>
      <c r="C476" s="67">
        <v>43390</v>
      </c>
      <c r="D476" t="s">
        <v>399</v>
      </c>
      <c r="E476">
        <v>-3666114.61</v>
      </c>
      <c r="F476" t="s">
        <v>347</v>
      </c>
      <c r="G476" t="s">
        <v>400</v>
      </c>
      <c r="H476">
        <v>181011084158</v>
      </c>
      <c r="I476" t="str">
        <f>CashIntraTable[Portfolio]&amp;VALUE(CashIntraTable[Cash Date])&amp;CashIntraTable[Detail]</f>
        <v>SCBOPP433902.2. Switch-out</v>
      </c>
    </row>
    <row r="477" spans="1:9" x14ac:dyDescent="0.2">
      <c r="A477" t="s">
        <v>456</v>
      </c>
      <c r="B477" t="s">
        <v>23</v>
      </c>
      <c r="C477" s="67">
        <v>43391</v>
      </c>
      <c r="D477" t="s">
        <v>399</v>
      </c>
      <c r="E477">
        <v>-850000</v>
      </c>
      <c r="F477" t="s">
        <v>347</v>
      </c>
      <c r="G477" t="s">
        <v>400</v>
      </c>
      <c r="H477">
        <v>181011084158</v>
      </c>
      <c r="I477" t="str">
        <f>CashIntraTable[Portfolio]&amp;VALUE(CashIntraTable[Cash Date])&amp;CashIntraTable[Detail]</f>
        <v>SCBOPP433912.2. Switch-out</v>
      </c>
    </row>
    <row r="478" spans="1:9" x14ac:dyDescent="0.2">
      <c r="A478" t="s">
        <v>457</v>
      </c>
      <c r="B478" t="s">
        <v>23</v>
      </c>
      <c r="C478" s="67">
        <v>43385</v>
      </c>
      <c r="D478" t="s">
        <v>399</v>
      </c>
      <c r="E478">
        <v>100000</v>
      </c>
      <c r="F478" t="s">
        <v>344</v>
      </c>
      <c r="G478" t="s">
        <v>400</v>
      </c>
      <c r="H478">
        <v>181011084158</v>
      </c>
      <c r="I478" t="str">
        <f>CashIntraTable[Portfolio]&amp;VALUE(CashIntraTable[Cash Date])&amp;CashIntraTable[Detail]</f>
        <v>SCBPGF433851.1. Subscription</v>
      </c>
    </row>
    <row r="479" spans="1:9" x14ac:dyDescent="0.2">
      <c r="A479" t="s">
        <v>457</v>
      </c>
      <c r="B479" t="s">
        <v>23</v>
      </c>
      <c r="C479" s="67">
        <v>43384</v>
      </c>
      <c r="D479" t="s">
        <v>399</v>
      </c>
      <c r="E479">
        <v>-43841.56</v>
      </c>
      <c r="F479" t="s">
        <v>346</v>
      </c>
      <c r="G479" t="s">
        <v>400</v>
      </c>
      <c r="H479">
        <v>181011084158</v>
      </c>
      <c r="I479" t="str">
        <f>CashIntraTable[Portfolio]&amp;VALUE(CashIntraTable[Cash Date])&amp;CashIntraTable[Detail]</f>
        <v>SCBPGF433842.1. Redemption</v>
      </c>
    </row>
    <row r="480" spans="1:9" x14ac:dyDescent="0.2">
      <c r="A480" t="s">
        <v>457</v>
      </c>
      <c r="B480" t="s">
        <v>23</v>
      </c>
      <c r="C480" s="67">
        <v>43389</v>
      </c>
      <c r="D480" t="s">
        <v>399</v>
      </c>
      <c r="E480">
        <v>-966.72</v>
      </c>
      <c r="F480" t="s">
        <v>346</v>
      </c>
      <c r="G480" t="s">
        <v>400</v>
      </c>
      <c r="H480">
        <v>181011084158</v>
      </c>
      <c r="I480" t="str">
        <f>CashIntraTable[Portfolio]&amp;VALUE(CashIntraTable[Cash Date])&amp;CashIntraTable[Detail]</f>
        <v>SCBPGF433892.1. Redemption</v>
      </c>
    </row>
    <row r="481" spans="1:9" x14ac:dyDescent="0.2">
      <c r="A481" t="s">
        <v>457</v>
      </c>
      <c r="B481" t="s">
        <v>23</v>
      </c>
      <c r="C481" s="67">
        <v>43390</v>
      </c>
      <c r="D481" t="s">
        <v>399</v>
      </c>
      <c r="E481">
        <v>-4833.63</v>
      </c>
      <c r="F481" t="s">
        <v>346</v>
      </c>
      <c r="G481" t="s">
        <v>400</v>
      </c>
      <c r="H481">
        <v>181011084158</v>
      </c>
      <c r="I481" t="str">
        <f>CashIntraTable[Portfolio]&amp;VALUE(CashIntraTable[Cash Date])&amp;CashIntraTable[Detail]</f>
        <v>SCBPGF433902.1. Redemption</v>
      </c>
    </row>
    <row r="482" spans="1:9" x14ac:dyDescent="0.2">
      <c r="A482" t="s">
        <v>458</v>
      </c>
      <c r="B482" t="s">
        <v>23</v>
      </c>
      <c r="C482" s="67">
        <v>43384</v>
      </c>
      <c r="D482" t="s">
        <v>399</v>
      </c>
      <c r="E482">
        <v>37293.910000000003</v>
      </c>
      <c r="F482" t="s">
        <v>344</v>
      </c>
      <c r="G482" t="s">
        <v>400</v>
      </c>
      <c r="H482">
        <v>181011084158</v>
      </c>
      <c r="I482" t="str">
        <f>CashIntraTable[Portfolio]&amp;VALUE(CashIntraTable[Cash Date])&amp;CashIntraTable[Detail]</f>
        <v>SCBPIN433841.1. Subscription</v>
      </c>
    </row>
    <row r="483" spans="1:9" x14ac:dyDescent="0.2">
      <c r="A483" t="s">
        <v>458</v>
      </c>
      <c r="B483" t="s">
        <v>23</v>
      </c>
      <c r="C483" s="67">
        <v>43385</v>
      </c>
      <c r="D483" t="s">
        <v>399</v>
      </c>
      <c r="E483">
        <v>2000</v>
      </c>
      <c r="F483" t="s">
        <v>344</v>
      </c>
      <c r="G483" t="s">
        <v>400</v>
      </c>
      <c r="H483">
        <v>181011084158</v>
      </c>
      <c r="I483" t="str">
        <f>CashIntraTable[Portfolio]&amp;VALUE(CashIntraTable[Cash Date])&amp;CashIntraTable[Detail]</f>
        <v>SCBPIN433851.1. Subscription</v>
      </c>
    </row>
    <row r="484" spans="1:9" x14ac:dyDescent="0.2">
      <c r="A484" t="s">
        <v>458</v>
      </c>
      <c r="B484" t="s">
        <v>23</v>
      </c>
      <c r="C484" s="67">
        <v>43384</v>
      </c>
      <c r="D484" t="s">
        <v>399</v>
      </c>
      <c r="E484">
        <v>540000</v>
      </c>
      <c r="F484" t="s">
        <v>345</v>
      </c>
      <c r="G484" t="s">
        <v>400</v>
      </c>
      <c r="H484">
        <v>181011084158</v>
      </c>
      <c r="I484" t="str">
        <f>CashIntraTable[Portfolio]&amp;VALUE(CashIntraTable[Cash Date])&amp;CashIntraTable[Detail]</f>
        <v>SCBPIN433841.2. Switch-in</v>
      </c>
    </row>
    <row r="485" spans="1:9" x14ac:dyDescent="0.2">
      <c r="A485" t="s">
        <v>458</v>
      </c>
      <c r="B485" t="s">
        <v>23</v>
      </c>
      <c r="C485" s="67">
        <v>43385</v>
      </c>
      <c r="D485" t="s">
        <v>399</v>
      </c>
      <c r="E485">
        <v>60000</v>
      </c>
      <c r="F485" t="s">
        <v>345</v>
      </c>
      <c r="G485" t="s">
        <v>400</v>
      </c>
      <c r="H485">
        <v>181011084158</v>
      </c>
      <c r="I485" t="str">
        <f>CashIntraTable[Portfolio]&amp;VALUE(CashIntraTable[Cash Date])&amp;CashIntraTable[Detail]</f>
        <v>SCBPIN433851.2. Switch-in</v>
      </c>
    </row>
    <row r="486" spans="1:9" x14ac:dyDescent="0.2">
      <c r="A486" t="s">
        <v>458</v>
      </c>
      <c r="B486" t="s">
        <v>23</v>
      </c>
      <c r="C486" s="67">
        <v>43389</v>
      </c>
      <c r="D486" t="s">
        <v>399</v>
      </c>
      <c r="E486">
        <v>512845.7</v>
      </c>
      <c r="F486" t="s">
        <v>345</v>
      </c>
      <c r="G486" t="s">
        <v>400</v>
      </c>
      <c r="H486">
        <v>181011084158</v>
      </c>
      <c r="I486" t="str">
        <f>CashIntraTable[Portfolio]&amp;VALUE(CashIntraTable[Cash Date])&amp;CashIntraTable[Detail]</f>
        <v>SCBPIN433891.2. Switch-in</v>
      </c>
    </row>
    <row r="487" spans="1:9" x14ac:dyDescent="0.2">
      <c r="A487" t="s">
        <v>458</v>
      </c>
      <c r="B487" t="s">
        <v>23</v>
      </c>
      <c r="C487" s="67">
        <v>43384</v>
      </c>
      <c r="D487" t="s">
        <v>399</v>
      </c>
      <c r="E487">
        <v>-1994629.83</v>
      </c>
      <c r="F487" t="s">
        <v>346</v>
      </c>
      <c r="G487" t="s">
        <v>400</v>
      </c>
      <c r="H487">
        <v>181011084158</v>
      </c>
      <c r="I487" t="str">
        <f>CashIntraTable[Portfolio]&amp;VALUE(CashIntraTable[Cash Date])&amp;CashIntraTable[Detail]</f>
        <v>SCBPIN433842.1. Redemption</v>
      </c>
    </row>
    <row r="488" spans="1:9" x14ac:dyDescent="0.2">
      <c r="A488" t="s">
        <v>458</v>
      </c>
      <c r="B488" t="s">
        <v>23</v>
      </c>
      <c r="C488" s="67">
        <v>43385</v>
      </c>
      <c r="D488" t="s">
        <v>399</v>
      </c>
      <c r="E488">
        <v>-10000</v>
      </c>
      <c r="F488" t="s">
        <v>346</v>
      </c>
      <c r="G488" t="s">
        <v>400</v>
      </c>
      <c r="H488">
        <v>181011084158</v>
      </c>
      <c r="I488" t="str">
        <f>CashIntraTable[Portfolio]&amp;VALUE(CashIntraTable[Cash Date])&amp;CashIntraTable[Detail]</f>
        <v>SCBPIN433852.1. Redemption</v>
      </c>
    </row>
    <row r="489" spans="1:9" x14ac:dyDescent="0.2">
      <c r="A489" t="s">
        <v>458</v>
      </c>
      <c r="B489" t="s">
        <v>23</v>
      </c>
      <c r="C489" s="67">
        <v>43385</v>
      </c>
      <c r="D489" t="s">
        <v>399</v>
      </c>
      <c r="E489">
        <v>-50522.46</v>
      </c>
      <c r="F489" t="s">
        <v>347</v>
      </c>
      <c r="G489" t="s">
        <v>400</v>
      </c>
      <c r="H489">
        <v>181011084158</v>
      </c>
      <c r="I489" t="str">
        <f>CashIntraTable[Portfolio]&amp;VALUE(CashIntraTable[Cash Date])&amp;CashIntraTable[Detail]</f>
        <v>SCBPIN433852.2. Switch-out</v>
      </c>
    </row>
    <row r="490" spans="1:9" x14ac:dyDescent="0.2">
      <c r="A490" t="s">
        <v>458</v>
      </c>
      <c r="B490" t="s">
        <v>23</v>
      </c>
      <c r="C490" s="67">
        <v>43389</v>
      </c>
      <c r="D490" t="s">
        <v>399</v>
      </c>
      <c r="E490">
        <v>-504151.37</v>
      </c>
      <c r="F490" t="s">
        <v>347</v>
      </c>
      <c r="G490" t="s">
        <v>400</v>
      </c>
      <c r="H490">
        <v>181011084158</v>
      </c>
      <c r="I490" t="str">
        <f>CashIntraTable[Portfolio]&amp;VALUE(CashIntraTable[Cash Date])&amp;CashIntraTable[Detail]</f>
        <v>SCBPIN433892.2. Switch-out</v>
      </c>
    </row>
    <row r="491" spans="1:9" x14ac:dyDescent="0.2">
      <c r="A491" t="s">
        <v>351</v>
      </c>
      <c r="B491" t="s">
        <v>23</v>
      </c>
      <c r="C491" s="67">
        <v>43384</v>
      </c>
      <c r="D491" t="s">
        <v>399</v>
      </c>
      <c r="E491">
        <v>2814902.77</v>
      </c>
      <c r="F491" t="s">
        <v>344</v>
      </c>
      <c r="G491" t="s">
        <v>400</v>
      </c>
      <c r="H491">
        <v>181011084158</v>
      </c>
      <c r="I491" t="str">
        <f>CashIntraTable[Portfolio]&amp;VALUE(CashIntraTable[Cash Date])&amp;CashIntraTable[Detail]</f>
        <v>SCBPLUS433841.1. Subscription</v>
      </c>
    </row>
    <row r="492" spans="1:9" x14ac:dyDescent="0.2">
      <c r="A492" t="s">
        <v>351</v>
      </c>
      <c r="B492" t="s">
        <v>23</v>
      </c>
      <c r="C492" s="67">
        <v>43385</v>
      </c>
      <c r="D492" t="s">
        <v>399</v>
      </c>
      <c r="E492">
        <v>1000</v>
      </c>
      <c r="F492" t="s">
        <v>344</v>
      </c>
      <c r="G492" t="s">
        <v>400</v>
      </c>
      <c r="H492">
        <v>181011084158</v>
      </c>
      <c r="I492" t="str">
        <f>CashIntraTable[Portfolio]&amp;VALUE(CashIntraTable[Cash Date])&amp;CashIntraTable[Detail]</f>
        <v>SCBPLUS433851.1. Subscription</v>
      </c>
    </row>
    <row r="493" spans="1:9" x14ac:dyDescent="0.2">
      <c r="A493" t="s">
        <v>351</v>
      </c>
      <c r="B493" t="s">
        <v>23</v>
      </c>
      <c r="C493" s="67">
        <v>43384</v>
      </c>
      <c r="D493" t="s">
        <v>399</v>
      </c>
      <c r="E493">
        <v>35719435.159999996</v>
      </c>
      <c r="F493" t="s">
        <v>345</v>
      </c>
      <c r="G493" t="s">
        <v>400</v>
      </c>
      <c r="H493">
        <v>181011084158</v>
      </c>
      <c r="I493" t="str">
        <f>CashIntraTable[Portfolio]&amp;VALUE(CashIntraTable[Cash Date])&amp;CashIntraTable[Detail]</f>
        <v>SCBPLUS433841.2. Switch-in</v>
      </c>
    </row>
    <row r="494" spans="1:9" x14ac:dyDescent="0.2">
      <c r="A494" t="s">
        <v>351</v>
      </c>
      <c r="B494" t="s">
        <v>23</v>
      </c>
      <c r="C494" s="67">
        <v>43385</v>
      </c>
      <c r="D494" t="s">
        <v>399</v>
      </c>
      <c r="E494">
        <v>700000</v>
      </c>
      <c r="F494" t="s">
        <v>345</v>
      </c>
      <c r="G494" t="s">
        <v>400</v>
      </c>
      <c r="H494">
        <v>181011084158</v>
      </c>
      <c r="I494" t="str">
        <f>CashIntraTable[Portfolio]&amp;VALUE(CashIntraTable[Cash Date])&amp;CashIntraTable[Detail]</f>
        <v>SCBPLUS433851.2. Switch-in</v>
      </c>
    </row>
    <row r="495" spans="1:9" x14ac:dyDescent="0.2">
      <c r="A495" t="s">
        <v>351</v>
      </c>
      <c r="B495" t="s">
        <v>23</v>
      </c>
      <c r="C495" s="67">
        <v>43389</v>
      </c>
      <c r="D495" t="s">
        <v>399</v>
      </c>
      <c r="E495">
        <v>2903716.3</v>
      </c>
      <c r="F495" t="s">
        <v>345</v>
      </c>
      <c r="G495" t="s">
        <v>400</v>
      </c>
      <c r="H495">
        <v>181011084158</v>
      </c>
      <c r="I495" t="str">
        <f>CashIntraTable[Portfolio]&amp;VALUE(CashIntraTable[Cash Date])&amp;CashIntraTable[Detail]</f>
        <v>SCBPLUS433891.2. Switch-in</v>
      </c>
    </row>
    <row r="496" spans="1:9" x14ac:dyDescent="0.2">
      <c r="A496" t="s">
        <v>351</v>
      </c>
      <c r="B496" t="s">
        <v>23</v>
      </c>
      <c r="C496" s="67">
        <v>43390</v>
      </c>
      <c r="D496" t="s">
        <v>399</v>
      </c>
      <c r="E496">
        <v>400000</v>
      </c>
      <c r="F496" t="s">
        <v>345</v>
      </c>
      <c r="G496" t="s">
        <v>400</v>
      </c>
      <c r="H496">
        <v>181011084158</v>
      </c>
      <c r="I496" t="str">
        <f>CashIntraTable[Portfolio]&amp;VALUE(CashIntraTable[Cash Date])&amp;CashIntraTable[Detail]</f>
        <v>SCBPLUS433901.2. Switch-in</v>
      </c>
    </row>
    <row r="497" spans="1:9" x14ac:dyDescent="0.2">
      <c r="A497" t="s">
        <v>351</v>
      </c>
      <c r="B497" t="s">
        <v>23</v>
      </c>
      <c r="C497" s="67">
        <v>43391</v>
      </c>
      <c r="D497" t="s">
        <v>399</v>
      </c>
      <c r="E497">
        <v>1078865.07</v>
      </c>
      <c r="F497" t="s">
        <v>345</v>
      </c>
      <c r="G497" t="s">
        <v>400</v>
      </c>
      <c r="H497">
        <v>181011084158</v>
      </c>
      <c r="I497" t="str">
        <f>CashIntraTable[Portfolio]&amp;VALUE(CashIntraTable[Cash Date])&amp;CashIntraTable[Detail]</f>
        <v>SCBPLUS433911.2. Switch-in</v>
      </c>
    </row>
    <row r="498" spans="1:9" x14ac:dyDescent="0.2">
      <c r="A498" t="s">
        <v>459</v>
      </c>
      <c r="B498" t="s">
        <v>23</v>
      </c>
      <c r="C498" s="67">
        <v>43384</v>
      </c>
      <c r="D498" t="s">
        <v>399</v>
      </c>
      <c r="E498">
        <v>1010.58</v>
      </c>
      <c r="F498" t="s">
        <v>344</v>
      </c>
      <c r="G498" t="s">
        <v>400</v>
      </c>
      <c r="H498">
        <v>181011084158</v>
      </c>
      <c r="I498" t="str">
        <f>CashIntraTable[Portfolio]&amp;VALUE(CashIntraTable[Cash Date])&amp;CashIntraTable[Detail]</f>
        <v>SCBPMOFUND433841.1. Subscription</v>
      </c>
    </row>
    <row r="499" spans="1:9" x14ac:dyDescent="0.2">
      <c r="A499" t="s">
        <v>459</v>
      </c>
      <c r="B499" t="s">
        <v>23</v>
      </c>
      <c r="C499" s="67">
        <v>43385</v>
      </c>
      <c r="D499" t="s">
        <v>399</v>
      </c>
      <c r="E499">
        <v>1000</v>
      </c>
      <c r="F499" t="s">
        <v>344</v>
      </c>
      <c r="G499" t="s">
        <v>400</v>
      </c>
      <c r="H499">
        <v>181011084158</v>
      </c>
      <c r="I499" t="str">
        <f>CashIntraTable[Portfolio]&amp;VALUE(CashIntraTable[Cash Date])&amp;CashIntraTable[Detail]</f>
        <v>SCBPMOFUND433851.1. Subscription</v>
      </c>
    </row>
    <row r="500" spans="1:9" x14ac:dyDescent="0.2">
      <c r="A500" t="s">
        <v>459</v>
      </c>
      <c r="B500" t="s">
        <v>23</v>
      </c>
      <c r="C500" s="67">
        <v>43385</v>
      </c>
      <c r="D500" t="s">
        <v>399</v>
      </c>
      <c r="E500">
        <v>942.08</v>
      </c>
      <c r="F500" t="s">
        <v>345</v>
      </c>
      <c r="G500" t="s">
        <v>400</v>
      </c>
      <c r="H500">
        <v>181011084158</v>
      </c>
      <c r="I500" t="str">
        <f>CashIntraTable[Portfolio]&amp;VALUE(CashIntraTable[Cash Date])&amp;CashIntraTable[Detail]</f>
        <v>SCBPMOFUND433851.2. Switch-in</v>
      </c>
    </row>
    <row r="501" spans="1:9" x14ac:dyDescent="0.2">
      <c r="A501" t="s">
        <v>459</v>
      </c>
      <c r="B501" t="s">
        <v>23</v>
      </c>
      <c r="C501" s="67">
        <v>43389</v>
      </c>
      <c r="D501" t="s">
        <v>399</v>
      </c>
      <c r="E501">
        <v>925.73</v>
      </c>
      <c r="F501" t="s">
        <v>345</v>
      </c>
      <c r="G501" t="s">
        <v>400</v>
      </c>
      <c r="H501">
        <v>181011084158</v>
      </c>
      <c r="I501" t="str">
        <f>CashIntraTable[Portfolio]&amp;VALUE(CashIntraTable[Cash Date])&amp;CashIntraTable[Detail]</f>
        <v>SCBPMOFUND433891.2. Switch-in</v>
      </c>
    </row>
    <row r="502" spans="1:9" x14ac:dyDescent="0.2">
      <c r="A502" t="s">
        <v>459</v>
      </c>
      <c r="B502" t="s">
        <v>23</v>
      </c>
      <c r="C502" s="67">
        <v>43384</v>
      </c>
      <c r="D502" t="s">
        <v>399</v>
      </c>
      <c r="E502">
        <v>-909.55</v>
      </c>
      <c r="F502" t="s">
        <v>347</v>
      </c>
      <c r="G502" t="s">
        <v>400</v>
      </c>
      <c r="H502">
        <v>181011084158</v>
      </c>
      <c r="I502" t="str">
        <f>CashIntraTable[Portfolio]&amp;VALUE(CashIntraTable[Cash Date])&amp;CashIntraTable[Detail]</f>
        <v>SCBPMOFUND433842.2. Switch-out</v>
      </c>
    </row>
    <row r="503" spans="1:9" x14ac:dyDescent="0.2">
      <c r="A503" t="s">
        <v>460</v>
      </c>
      <c r="B503" t="s">
        <v>23</v>
      </c>
      <c r="C503" s="67">
        <v>43384</v>
      </c>
      <c r="D503" t="s">
        <v>399</v>
      </c>
      <c r="E503">
        <v>65250</v>
      </c>
      <c r="F503" t="s">
        <v>344</v>
      </c>
      <c r="G503" t="s">
        <v>400</v>
      </c>
      <c r="H503">
        <v>181011084158</v>
      </c>
      <c r="I503" t="str">
        <f>CashIntraTable[Portfolio]&amp;VALUE(CashIntraTable[Cash Date])&amp;CashIntraTable[Detail]</f>
        <v>SCBPOP433841.1. Subscription</v>
      </c>
    </row>
    <row r="504" spans="1:9" x14ac:dyDescent="0.2">
      <c r="A504" t="s">
        <v>460</v>
      </c>
      <c r="B504" t="s">
        <v>23</v>
      </c>
      <c r="C504" s="67">
        <v>43385</v>
      </c>
      <c r="D504" t="s">
        <v>399</v>
      </c>
      <c r="E504">
        <v>10000</v>
      </c>
      <c r="F504" t="s">
        <v>344</v>
      </c>
      <c r="G504" t="s">
        <v>400</v>
      </c>
      <c r="H504">
        <v>181011084158</v>
      </c>
      <c r="I504" t="str">
        <f>CashIntraTable[Portfolio]&amp;VALUE(CashIntraTable[Cash Date])&amp;CashIntraTable[Detail]</f>
        <v>SCBPOP433851.1. Subscription</v>
      </c>
    </row>
    <row r="505" spans="1:9" x14ac:dyDescent="0.2">
      <c r="A505" t="s">
        <v>460</v>
      </c>
      <c r="B505" t="s">
        <v>23</v>
      </c>
      <c r="C505" s="67">
        <v>43384</v>
      </c>
      <c r="D505" t="s">
        <v>399</v>
      </c>
      <c r="E505">
        <v>325442.73</v>
      </c>
      <c r="F505" t="s">
        <v>345</v>
      </c>
      <c r="G505" t="s">
        <v>400</v>
      </c>
      <c r="H505">
        <v>181011084158</v>
      </c>
      <c r="I505" t="str">
        <f>CashIntraTable[Portfolio]&amp;VALUE(CashIntraTable[Cash Date])&amp;CashIntraTable[Detail]</f>
        <v>SCBPOP433841.2. Switch-in</v>
      </c>
    </row>
    <row r="506" spans="1:9" x14ac:dyDescent="0.2">
      <c r="A506" t="s">
        <v>460</v>
      </c>
      <c r="B506" t="s">
        <v>23</v>
      </c>
      <c r="C506" s="67">
        <v>43385</v>
      </c>
      <c r="D506" t="s">
        <v>399</v>
      </c>
      <c r="E506">
        <v>25000</v>
      </c>
      <c r="F506" t="s">
        <v>345</v>
      </c>
      <c r="G506" t="s">
        <v>400</v>
      </c>
      <c r="H506">
        <v>181011084158</v>
      </c>
      <c r="I506" t="str">
        <f>CashIntraTable[Portfolio]&amp;VALUE(CashIntraTable[Cash Date])&amp;CashIntraTable[Detail]</f>
        <v>SCBPOP433851.2. Switch-in</v>
      </c>
    </row>
    <row r="507" spans="1:9" x14ac:dyDescent="0.2">
      <c r="A507" t="s">
        <v>460</v>
      </c>
      <c r="B507" t="s">
        <v>23</v>
      </c>
      <c r="C507" s="67">
        <v>43384</v>
      </c>
      <c r="D507" t="s">
        <v>399</v>
      </c>
      <c r="E507">
        <v>-189285.6</v>
      </c>
      <c r="F507" t="s">
        <v>346</v>
      </c>
      <c r="G507" t="s">
        <v>400</v>
      </c>
      <c r="H507">
        <v>181011084158</v>
      </c>
      <c r="I507" t="str">
        <f>CashIntraTable[Portfolio]&amp;VALUE(CashIntraTable[Cash Date])&amp;CashIntraTable[Detail]</f>
        <v>SCBPOP433842.1. Redemption</v>
      </c>
    </row>
    <row r="508" spans="1:9" x14ac:dyDescent="0.2">
      <c r="A508" t="s">
        <v>460</v>
      </c>
      <c r="B508" t="s">
        <v>23</v>
      </c>
      <c r="C508" s="67">
        <v>43385</v>
      </c>
      <c r="D508" t="s">
        <v>399</v>
      </c>
      <c r="E508">
        <v>-33738.68</v>
      </c>
      <c r="F508" t="s">
        <v>346</v>
      </c>
      <c r="G508" t="s">
        <v>400</v>
      </c>
      <c r="H508">
        <v>181011084158</v>
      </c>
      <c r="I508" t="str">
        <f>CashIntraTable[Portfolio]&amp;VALUE(CashIntraTable[Cash Date])&amp;CashIntraTable[Detail]</f>
        <v>SCBPOP433852.1. Redemption</v>
      </c>
    </row>
    <row r="509" spans="1:9" x14ac:dyDescent="0.2">
      <c r="A509" t="s">
        <v>460</v>
      </c>
      <c r="B509" t="s">
        <v>23</v>
      </c>
      <c r="C509" s="67">
        <v>43389</v>
      </c>
      <c r="D509" t="s">
        <v>399</v>
      </c>
      <c r="E509">
        <v>-2313.1999999999998</v>
      </c>
      <c r="F509" t="s">
        <v>346</v>
      </c>
      <c r="G509" t="s">
        <v>400</v>
      </c>
      <c r="H509">
        <v>181011084158</v>
      </c>
      <c r="I509" t="str">
        <f>CashIntraTable[Portfolio]&amp;VALUE(CashIntraTable[Cash Date])&amp;CashIntraTable[Detail]</f>
        <v>SCBPOP433892.1. Redemption</v>
      </c>
    </row>
    <row r="510" spans="1:9" x14ac:dyDescent="0.2">
      <c r="A510" t="s">
        <v>460</v>
      </c>
      <c r="B510" t="s">
        <v>23</v>
      </c>
      <c r="C510" s="67">
        <v>43390</v>
      </c>
      <c r="D510" t="s">
        <v>399</v>
      </c>
      <c r="E510">
        <v>-4656.9399999999996</v>
      </c>
      <c r="F510" t="s">
        <v>346</v>
      </c>
      <c r="G510" t="s">
        <v>400</v>
      </c>
      <c r="H510">
        <v>181011084158</v>
      </c>
      <c r="I510" t="str">
        <f>CashIntraTable[Portfolio]&amp;VALUE(CashIntraTable[Cash Date])&amp;CashIntraTable[Detail]</f>
        <v>SCBPOP433902.1. Redemption</v>
      </c>
    </row>
    <row r="511" spans="1:9" x14ac:dyDescent="0.2">
      <c r="A511" t="s">
        <v>460</v>
      </c>
      <c r="B511" t="s">
        <v>23</v>
      </c>
      <c r="C511" s="67">
        <v>43384</v>
      </c>
      <c r="D511" t="s">
        <v>399</v>
      </c>
      <c r="E511">
        <v>-1500000</v>
      </c>
      <c r="F511" t="s">
        <v>347</v>
      </c>
      <c r="G511" t="s">
        <v>400</v>
      </c>
      <c r="H511">
        <v>181011084158</v>
      </c>
      <c r="I511" t="str">
        <f>CashIntraTable[Portfolio]&amp;VALUE(CashIntraTable[Cash Date])&amp;CashIntraTable[Detail]</f>
        <v>SCBPOP433842.2. Switch-out</v>
      </c>
    </row>
    <row r="512" spans="1:9" x14ac:dyDescent="0.2">
      <c r="A512" t="s">
        <v>460</v>
      </c>
      <c r="B512" t="s">
        <v>23</v>
      </c>
      <c r="C512" s="67">
        <v>43385</v>
      </c>
      <c r="D512" t="s">
        <v>399</v>
      </c>
      <c r="E512">
        <v>-559569.26</v>
      </c>
      <c r="F512" t="s">
        <v>347</v>
      </c>
      <c r="G512" t="s">
        <v>400</v>
      </c>
      <c r="H512">
        <v>181011084158</v>
      </c>
      <c r="I512" t="str">
        <f>CashIntraTable[Portfolio]&amp;VALUE(CashIntraTable[Cash Date])&amp;CashIntraTable[Detail]</f>
        <v>SCBPOP433852.2. Switch-out</v>
      </c>
    </row>
    <row r="513" spans="1:9" x14ac:dyDescent="0.2">
      <c r="A513" t="s">
        <v>460</v>
      </c>
      <c r="B513" t="s">
        <v>23</v>
      </c>
      <c r="C513" s="67">
        <v>43389</v>
      </c>
      <c r="D513" t="s">
        <v>399</v>
      </c>
      <c r="E513">
        <v>-1998595.03</v>
      </c>
      <c r="F513" t="s">
        <v>347</v>
      </c>
      <c r="G513" t="s">
        <v>400</v>
      </c>
      <c r="H513">
        <v>181011084158</v>
      </c>
      <c r="I513" t="str">
        <f>CashIntraTable[Portfolio]&amp;VALUE(CashIntraTable[Cash Date])&amp;CashIntraTable[Detail]</f>
        <v>SCBPOP433892.2. Switch-out</v>
      </c>
    </row>
    <row r="514" spans="1:9" x14ac:dyDescent="0.2">
      <c r="A514" t="s">
        <v>352</v>
      </c>
      <c r="B514" t="s">
        <v>23</v>
      </c>
      <c r="C514" s="67">
        <v>43384</v>
      </c>
      <c r="D514" t="s">
        <v>399</v>
      </c>
      <c r="E514">
        <v>10600</v>
      </c>
      <c r="F514" t="s">
        <v>344</v>
      </c>
      <c r="G514" t="s">
        <v>400</v>
      </c>
      <c r="H514">
        <v>181011084158</v>
      </c>
      <c r="I514" t="str">
        <f>CashIntraTable[Portfolio]&amp;VALUE(CashIntraTable[Cash Date])&amp;CashIntraTable[Detail]</f>
        <v>SCBRF433841.1. Subscription</v>
      </c>
    </row>
    <row r="515" spans="1:9" x14ac:dyDescent="0.2">
      <c r="A515" t="s">
        <v>352</v>
      </c>
      <c r="B515" t="s">
        <v>23</v>
      </c>
      <c r="C515" s="67">
        <v>43385</v>
      </c>
      <c r="D515" t="s">
        <v>399</v>
      </c>
      <c r="E515">
        <v>2000</v>
      </c>
      <c r="F515" t="s">
        <v>344</v>
      </c>
      <c r="G515" t="s">
        <v>400</v>
      </c>
      <c r="H515">
        <v>181011084158</v>
      </c>
      <c r="I515" t="str">
        <f>CashIntraTable[Portfolio]&amp;VALUE(CashIntraTable[Cash Date])&amp;CashIntraTable[Detail]</f>
        <v>SCBRF433851.1. Subscription</v>
      </c>
    </row>
    <row r="516" spans="1:9" x14ac:dyDescent="0.2">
      <c r="A516" t="s">
        <v>352</v>
      </c>
      <c r="B516" t="s">
        <v>23</v>
      </c>
      <c r="C516" s="67">
        <v>43385</v>
      </c>
      <c r="D516" t="s">
        <v>399</v>
      </c>
      <c r="E516">
        <v>985.68</v>
      </c>
      <c r="F516" t="s">
        <v>345</v>
      </c>
      <c r="G516" t="s">
        <v>400</v>
      </c>
      <c r="H516">
        <v>181011084158</v>
      </c>
      <c r="I516" t="str">
        <f>CashIntraTable[Portfolio]&amp;VALUE(CashIntraTable[Cash Date])&amp;CashIntraTable[Detail]</f>
        <v>SCBRF433851.2. Switch-in</v>
      </c>
    </row>
    <row r="517" spans="1:9" x14ac:dyDescent="0.2">
      <c r="A517" t="s">
        <v>353</v>
      </c>
      <c r="B517" t="s">
        <v>23</v>
      </c>
      <c r="C517" s="67">
        <v>43384</v>
      </c>
      <c r="D517" t="s">
        <v>399</v>
      </c>
      <c r="E517">
        <v>1235200</v>
      </c>
      <c r="F517" t="s">
        <v>344</v>
      </c>
      <c r="G517" t="s">
        <v>400</v>
      </c>
      <c r="H517">
        <v>181011084158</v>
      </c>
      <c r="I517" t="str">
        <f>CashIntraTable[Portfolio]&amp;VALUE(CashIntraTable[Cash Date])&amp;CashIntraTable[Detail]</f>
        <v>SCBRM1433841.1. Subscription</v>
      </c>
    </row>
    <row r="518" spans="1:9" x14ac:dyDescent="0.2">
      <c r="A518" t="s">
        <v>353</v>
      </c>
      <c r="B518" t="s">
        <v>23</v>
      </c>
      <c r="C518" s="67">
        <v>43385</v>
      </c>
      <c r="D518" t="s">
        <v>399</v>
      </c>
      <c r="E518">
        <v>326000</v>
      </c>
      <c r="F518" t="s">
        <v>344</v>
      </c>
      <c r="G518" t="s">
        <v>400</v>
      </c>
      <c r="H518">
        <v>181011084158</v>
      </c>
      <c r="I518" t="str">
        <f>CashIntraTable[Portfolio]&amp;VALUE(CashIntraTable[Cash Date])&amp;CashIntraTable[Detail]</f>
        <v>SCBRM1433851.1. Subscription</v>
      </c>
    </row>
    <row r="519" spans="1:9" x14ac:dyDescent="0.2">
      <c r="A519" t="s">
        <v>353</v>
      </c>
      <c r="B519" t="s">
        <v>23</v>
      </c>
      <c r="C519" s="67">
        <v>43384</v>
      </c>
      <c r="D519" t="s">
        <v>399</v>
      </c>
      <c r="E519">
        <v>2048000</v>
      </c>
      <c r="F519" t="s">
        <v>348</v>
      </c>
      <c r="G519" t="s">
        <v>400</v>
      </c>
      <c r="H519">
        <v>181011084158</v>
      </c>
      <c r="I519" t="str">
        <f>CashIntraTable[Portfolio]&amp;VALUE(CashIntraTable[Cash Date])&amp;CashIntraTable[Detail]</f>
        <v>SCBRM1433841.1. Subscription (Chq)</v>
      </c>
    </row>
    <row r="520" spans="1:9" x14ac:dyDescent="0.2">
      <c r="A520" t="s">
        <v>353</v>
      </c>
      <c r="B520" t="s">
        <v>23</v>
      </c>
      <c r="C520" s="67">
        <v>43385</v>
      </c>
      <c r="D520" t="s">
        <v>399</v>
      </c>
      <c r="E520">
        <v>162000</v>
      </c>
      <c r="F520" t="s">
        <v>348</v>
      </c>
      <c r="G520" t="s">
        <v>400</v>
      </c>
      <c r="H520">
        <v>181011084158</v>
      </c>
      <c r="I520" t="str">
        <f>CashIntraTable[Portfolio]&amp;VALUE(CashIntraTable[Cash Date])&amp;CashIntraTable[Detail]</f>
        <v>SCBRM1433851.1. Subscription (Chq)</v>
      </c>
    </row>
    <row r="521" spans="1:9" x14ac:dyDescent="0.2">
      <c r="A521" t="s">
        <v>353</v>
      </c>
      <c r="B521" t="s">
        <v>23</v>
      </c>
      <c r="C521" s="67">
        <v>43384</v>
      </c>
      <c r="D521" t="s">
        <v>399</v>
      </c>
      <c r="E521">
        <v>1639593.54</v>
      </c>
      <c r="F521" t="s">
        <v>345</v>
      </c>
      <c r="G521" t="s">
        <v>400</v>
      </c>
      <c r="H521">
        <v>181011084158</v>
      </c>
      <c r="I521" t="str">
        <f>CashIntraTable[Portfolio]&amp;VALUE(CashIntraTable[Cash Date])&amp;CashIntraTable[Detail]</f>
        <v>SCBRM1433841.2. Switch-in</v>
      </c>
    </row>
    <row r="522" spans="1:9" x14ac:dyDescent="0.2">
      <c r="A522" t="s">
        <v>353</v>
      </c>
      <c r="B522" t="s">
        <v>23</v>
      </c>
      <c r="C522" s="67">
        <v>43385</v>
      </c>
      <c r="D522" t="s">
        <v>399</v>
      </c>
      <c r="E522">
        <v>10736802.58</v>
      </c>
      <c r="F522" t="s">
        <v>345</v>
      </c>
      <c r="G522" t="s">
        <v>400</v>
      </c>
      <c r="H522">
        <v>181011084158</v>
      </c>
      <c r="I522" t="str">
        <f>CashIntraTable[Portfolio]&amp;VALUE(CashIntraTable[Cash Date])&amp;CashIntraTable[Detail]</f>
        <v>SCBRM1433851.2. Switch-in</v>
      </c>
    </row>
    <row r="523" spans="1:9" x14ac:dyDescent="0.2">
      <c r="A523" t="s">
        <v>353</v>
      </c>
      <c r="B523" t="s">
        <v>23</v>
      </c>
      <c r="C523" s="67">
        <v>43389</v>
      </c>
      <c r="D523" t="s">
        <v>399</v>
      </c>
      <c r="E523">
        <v>3337025.25</v>
      </c>
      <c r="F523" t="s">
        <v>345</v>
      </c>
      <c r="G523" t="s">
        <v>400</v>
      </c>
      <c r="H523">
        <v>181011084158</v>
      </c>
      <c r="I523" t="str">
        <f>CashIntraTable[Portfolio]&amp;VALUE(CashIntraTable[Cash Date])&amp;CashIntraTable[Detail]</f>
        <v>SCBRM1433891.2. Switch-in</v>
      </c>
    </row>
    <row r="524" spans="1:9" x14ac:dyDescent="0.2">
      <c r="A524" t="s">
        <v>353</v>
      </c>
      <c r="B524" t="s">
        <v>23</v>
      </c>
      <c r="C524" s="67">
        <v>43390</v>
      </c>
      <c r="D524" t="s">
        <v>399</v>
      </c>
      <c r="E524">
        <v>199302.97</v>
      </c>
      <c r="F524" t="s">
        <v>345</v>
      </c>
      <c r="G524" t="s">
        <v>400</v>
      </c>
      <c r="H524">
        <v>181011084158</v>
      </c>
      <c r="I524" t="str">
        <f>CashIntraTable[Portfolio]&amp;VALUE(CashIntraTable[Cash Date])&amp;CashIntraTable[Detail]</f>
        <v>SCBRM1433901.2. Switch-in</v>
      </c>
    </row>
    <row r="525" spans="1:9" x14ac:dyDescent="0.2">
      <c r="A525" t="s">
        <v>353</v>
      </c>
      <c r="B525" t="s">
        <v>23</v>
      </c>
      <c r="C525" s="67">
        <v>43384</v>
      </c>
      <c r="D525" t="s">
        <v>399</v>
      </c>
      <c r="E525">
        <v>-4730660.87</v>
      </c>
      <c r="F525" t="s">
        <v>346</v>
      </c>
      <c r="G525" t="s">
        <v>400</v>
      </c>
      <c r="H525">
        <v>181011084158</v>
      </c>
      <c r="I525" t="str">
        <f>CashIntraTable[Portfolio]&amp;VALUE(CashIntraTable[Cash Date])&amp;CashIntraTable[Detail]</f>
        <v>SCBRM1433842.1. Redemption</v>
      </c>
    </row>
    <row r="526" spans="1:9" x14ac:dyDescent="0.2">
      <c r="A526" t="s">
        <v>353</v>
      </c>
      <c r="B526" t="s">
        <v>23</v>
      </c>
      <c r="C526" s="67">
        <v>43385</v>
      </c>
      <c r="D526" t="s">
        <v>399</v>
      </c>
      <c r="E526">
        <v>-17784.27</v>
      </c>
      <c r="F526" t="s">
        <v>346</v>
      </c>
      <c r="G526" t="s">
        <v>400</v>
      </c>
      <c r="H526">
        <v>181011084158</v>
      </c>
      <c r="I526" t="str">
        <f>CashIntraTable[Portfolio]&amp;VALUE(CashIntraTable[Cash Date])&amp;CashIntraTable[Detail]</f>
        <v>SCBRM1433852.1. Redemption</v>
      </c>
    </row>
    <row r="527" spans="1:9" x14ac:dyDescent="0.2">
      <c r="A527" t="s">
        <v>353</v>
      </c>
      <c r="B527" t="s">
        <v>23</v>
      </c>
      <c r="C527" s="67">
        <v>43384</v>
      </c>
      <c r="D527" t="s">
        <v>399</v>
      </c>
      <c r="E527">
        <v>-13691919.57</v>
      </c>
      <c r="F527" t="s">
        <v>347</v>
      </c>
      <c r="G527" t="s">
        <v>400</v>
      </c>
      <c r="H527">
        <v>181011084158</v>
      </c>
      <c r="I527" t="str">
        <f>CashIntraTable[Portfolio]&amp;VALUE(CashIntraTable[Cash Date])&amp;CashIntraTable[Detail]</f>
        <v>SCBRM1433842.2. Switch-out</v>
      </c>
    </row>
    <row r="528" spans="1:9" x14ac:dyDescent="0.2">
      <c r="A528" t="s">
        <v>353</v>
      </c>
      <c r="B528" t="s">
        <v>23</v>
      </c>
      <c r="C528" s="67">
        <v>43385</v>
      </c>
      <c r="D528" t="s">
        <v>399</v>
      </c>
      <c r="E528">
        <v>-1467577.42</v>
      </c>
      <c r="F528" t="s">
        <v>347</v>
      </c>
      <c r="G528" t="s">
        <v>400</v>
      </c>
      <c r="H528">
        <v>181011084158</v>
      </c>
      <c r="I528" t="str">
        <f>CashIntraTable[Portfolio]&amp;VALUE(CashIntraTable[Cash Date])&amp;CashIntraTable[Detail]</f>
        <v>SCBRM1433852.2. Switch-out</v>
      </c>
    </row>
    <row r="529" spans="1:9" x14ac:dyDescent="0.2">
      <c r="A529" t="s">
        <v>354</v>
      </c>
      <c r="B529" t="s">
        <v>23</v>
      </c>
      <c r="C529" s="67">
        <v>43384</v>
      </c>
      <c r="D529" t="s">
        <v>399</v>
      </c>
      <c r="E529">
        <v>816200</v>
      </c>
      <c r="F529" t="s">
        <v>344</v>
      </c>
      <c r="G529" t="s">
        <v>400</v>
      </c>
      <c r="H529">
        <v>181011084158</v>
      </c>
      <c r="I529" t="str">
        <f>CashIntraTable[Portfolio]&amp;VALUE(CashIntraTable[Cash Date])&amp;CashIntraTable[Detail]</f>
        <v>SCBRM2433841.1. Subscription</v>
      </c>
    </row>
    <row r="530" spans="1:9" x14ac:dyDescent="0.2">
      <c r="A530" t="s">
        <v>354</v>
      </c>
      <c r="B530" t="s">
        <v>23</v>
      </c>
      <c r="C530" s="67">
        <v>43385</v>
      </c>
      <c r="D530" t="s">
        <v>399</v>
      </c>
      <c r="E530">
        <v>305000</v>
      </c>
      <c r="F530" t="s">
        <v>344</v>
      </c>
      <c r="G530" t="s">
        <v>400</v>
      </c>
      <c r="H530">
        <v>181011084158</v>
      </c>
      <c r="I530" t="str">
        <f>CashIntraTable[Portfolio]&amp;VALUE(CashIntraTable[Cash Date])&amp;CashIntraTable[Detail]</f>
        <v>SCBRM2433851.1. Subscription</v>
      </c>
    </row>
    <row r="531" spans="1:9" x14ac:dyDescent="0.2">
      <c r="A531" t="s">
        <v>354</v>
      </c>
      <c r="B531" t="s">
        <v>23</v>
      </c>
      <c r="C531" s="67">
        <v>43384</v>
      </c>
      <c r="D531" t="s">
        <v>399</v>
      </c>
      <c r="E531">
        <v>1331000</v>
      </c>
      <c r="F531" t="s">
        <v>348</v>
      </c>
      <c r="G531" t="s">
        <v>400</v>
      </c>
      <c r="H531">
        <v>181011084158</v>
      </c>
      <c r="I531" t="str">
        <f>CashIntraTable[Portfolio]&amp;VALUE(CashIntraTable[Cash Date])&amp;CashIntraTable[Detail]</f>
        <v>SCBRM2433841.1. Subscription (Chq)</v>
      </c>
    </row>
    <row r="532" spans="1:9" x14ac:dyDescent="0.2">
      <c r="A532" t="s">
        <v>354</v>
      </c>
      <c r="B532" t="s">
        <v>23</v>
      </c>
      <c r="C532" s="67">
        <v>43385</v>
      </c>
      <c r="D532" t="s">
        <v>399</v>
      </c>
      <c r="E532">
        <v>51000</v>
      </c>
      <c r="F532" t="s">
        <v>348</v>
      </c>
      <c r="G532" t="s">
        <v>400</v>
      </c>
      <c r="H532">
        <v>181011084158</v>
      </c>
      <c r="I532" t="str">
        <f>CashIntraTable[Portfolio]&amp;VALUE(CashIntraTable[Cash Date])&amp;CashIntraTable[Detail]</f>
        <v>SCBRM2433851.1. Subscription (Chq)</v>
      </c>
    </row>
    <row r="533" spans="1:9" x14ac:dyDescent="0.2">
      <c r="A533" t="s">
        <v>354</v>
      </c>
      <c r="B533" t="s">
        <v>23</v>
      </c>
      <c r="C533" s="67">
        <v>43384</v>
      </c>
      <c r="D533" t="s">
        <v>399</v>
      </c>
      <c r="E533">
        <v>2902217.21</v>
      </c>
      <c r="F533" t="s">
        <v>345</v>
      </c>
      <c r="G533" t="s">
        <v>400</v>
      </c>
      <c r="H533">
        <v>181011084158</v>
      </c>
      <c r="I533" t="str">
        <f>CashIntraTable[Portfolio]&amp;VALUE(CashIntraTable[Cash Date])&amp;CashIntraTable[Detail]</f>
        <v>SCBRM2433841.2. Switch-in</v>
      </c>
    </row>
    <row r="534" spans="1:9" x14ac:dyDescent="0.2">
      <c r="A534" t="s">
        <v>354</v>
      </c>
      <c r="B534" t="s">
        <v>23</v>
      </c>
      <c r="C534" s="67">
        <v>43385</v>
      </c>
      <c r="D534" t="s">
        <v>399</v>
      </c>
      <c r="E534">
        <v>948633.67</v>
      </c>
      <c r="F534" t="s">
        <v>345</v>
      </c>
      <c r="G534" t="s">
        <v>400</v>
      </c>
      <c r="H534">
        <v>181011084158</v>
      </c>
      <c r="I534" t="str">
        <f>CashIntraTable[Portfolio]&amp;VALUE(CashIntraTable[Cash Date])&amp;CashIntraTable[Detail]</f>
        <v>SCBRM2433851.2. Switch-in</v>
      </c>
    </row>
    <row r="535" spans="1:9" x14ac:dyDescent="0.2">
      <c r="A535" t="s">
        <v>354</v>
      </c>
      <c r="B535" t="s">
        <v>23</v>
      </c>
      <c r="C535" s="67">
        <v>43389</v>
      </c>
      <c r="D535" t="s">
        <v>399</v>
      </c>
      <c r="E535">
        <v>75357.3</v>
      </c>
      <c r="F535" t="s">
        <v>345</v>
      </c>
      <c r="G535" t="s">
        <v>400</v>
      </c>
      <c r="H535">
        <v>181011084158</v>
      </c>
      <c r="I535" t="str">
        <f>CashIntraTable[Portfolio]&amp;VALUE(CashIntraTable[Cash Date])&amp;CashIntraTable[Detail]</f>
        <v>SCBRM2433891.2. Switch-in</v>
      </c>
    </row>
    <row r="536" spans="1:9" x14ac:dyDescent="0.2">
      <c r="A536" t="s">
        <v>354</v>
      </c>
      <c r="B536" t="s">
        <v>23</v>
      </c>
      <c r="C536" s="67">
        <v>43390</v>
      </c>
      <c r="D536" t="s">
        <v>399</v>
      </c>
      <c r="E536">
        <v>971.96</v>
      </c>
      <c r="F536" t="s">
        <v>345</v>
      </c>
      <c r="G536" t="s">
        <v>400</v>
      </c>
      <c r="H536">
        <v>181011084158</v>
      </c>
      <c r="I536" t="str">
        <f>CashIntraTable[Portfolio]&amp;VALUE(CashIntraTable[Cash Date])&amp;CashIntraTable[Detail]</f>
        <v>SCBRM2433901.2. Switch-in</v>
      </c>
    </row>
    <row r="537" spans="1:9" x14ac:dyDescent="0.2">
      <c r="A537" t="s">
        <v>354</v>
      </c>
      <c r="B537" t="s">
        <v>23</v>
      </c>
      <c r="C537" s="67">
        <v>43391</v>
      </c>
      <c r="D537" t="s">
        <v>399</v>
      </c>
      <c r="E537">
        <v>10063.31</v>
      </c>
      <c r="F537" t="s">
        <v>345</v>
      </c>
      <c r="G537" t="s">
        <v>400</v>
      </c>
      <c r="H537">
        <v>181011084158</v>
      </c>
      <c r="I537" t="str">
        <f>CashIntraTable[Portfolio]&amp;VALUE(CashIntraTable[Cash Date])&amp;CashIntraTable[Detail]</f>
        <v>SCBRM2433911.2. Switch-in</v>
      </c>
    </row>
    <row r="538" spans="1:9" x14ac:dyDescent="0.2">
      <c r="A538" t="s">
        <v>354</v>
      </c>
      <c r="B538" t="s">
        <v>23</v>
      </c>
      <c r="C538" s="67">
        <v>43384</v>
      </c>
      <c r="D538" t="s">
        <v>399</v>
      </c>
      <c r="E538">
        <v>-331125.2</v>
      </c>
      <c r="F538" t="s">
        <v>346</v>
      </c>
      <c r="G538" t="s">
        <v>400</v>
      </c>
      <c r="H538">
        <v>181011084158</v>
      </c>
      <c r="I538" t="str">
        <f>CashIntraTable[Portfolio]&amp;VALUE(CashIntraTable[Cash Date])&amp;CashIntraTable[Detail]</f>
        <v>SCBRM2433842.1. Redemption</v>
      </c>
    </row>
    <row r="539" spans="1:9" x14ac:dyDescent="0.2">
      <c r="A539" t="s">
        <v>354</v>
      </c>
      <c r="B539" t="s">
        <v>23</v>
      </c>
      <c r="C539" s="67">
        <v>43385</v>
      </c>
      <c r="D539" t="s">
        <v>399</v>
      </c>
      <c r="E539">
        <v>-12443.2</v>
      </c>
      <c r="F539" t="s">
        <v>346</v>
      </c>
      <c r="G539" t="s">
        <v>400</v>
      </c>
      <c r="H539">
        <v>181011084158</v>
      </c>
      <c r="I539" t="str">
        <f>CashIntraTable[Portfolio]&amp;VALUE(CashIntraTable[Cash Date])&amp;CashIntraTable[Detail]</f>
        <v>SCBRM2433852.1. Redemption</v>
      </c>
    </row>
    <row r="540" spans="1:9" x14ac:dyDescent="0.2">
      <c r="A540" t="s">
        <v>354</v>
      </c>
      <c r="B540" t="s">
        <v>23</v>
      </c>
      <c r="C540" s="67">
        <v>43384</v>
      </c>
      <c r="D540" t="s">
        <v>399</v>
      </c>
      <c r="E540">
        <v>-1183888.27</v>
      </c>
      <c r="F540" t="s">
        <v>347</v>
      </c>
      <c r="G540" t="s">
        <v>400</v>
      </c>
      <c r="H540">
        <v>181011084158</v>
      </c>
      <c r="I540" t="str">
        <f>CashIntraTable[Portfolio]&amp;VALUE(CashIntraTable[Cash Date])&amp;CashIntraTable[Detail]</f>
        <v>SCBRM2433842.2. Switch-out</v>
      </c>
    </row>
    <row r="541" spans="1:9" x14ac:dyDescent="0.2">
      <c r="A541" t="s">
        <v>354</v>
      </c>
      <c r="B541" t="s">
        <v>23</v>
      </c>
      <c r="C541" s="67">
        <v>43385</v>
      </c>
      <c r="D541" t="s">
        <v>399</v>
      </c>
      <c r="E541">
        <v>-775319.14</v>
      </c>
      <c r="F541" t="s">
        <v>347</v>
      </c>
      <c r="G541" t="s">
        <v>400</v>
      </c>
      <c r="H541">
        <v>181011084158</v>
      </c>
      <c r="I541" t="str">
        <f>CashIntraTable[Portfolio]&amp;VALUE(CashIntraTable[Cash Date])&amp;CashIntraTable[Detail]</f>
        <v>SCBRM2433852.2. Switch-out</v>
      </c>
    </row>
    <row r="542" spans="1:9" x14ac:dyDescent="0.2">
      <c r="A542" t="s">
        <v>461</v>
      </c>
      <c r="B542" t="s">
        <v>23</v>
      </c>
      <c r="C542" s="67">
        <v>43384</v>
      </c>
      <c r="D542" t="s">
        <v>399</v>
      </c>
      <c r="E542">
        <v>628200</v>
      </c>
      <c r="F542" t="s">
        <v>344</v>
      </c>
      <c r="G542" t="s">
        <v>400</v>
      </c>
      <c r="H542">
        <v>181011084158</v>
      </c>
      <c r="I542" t="str">
        <f>CashIntraTable[Portfolio]&amp;VALUE(CashIntraTable[Cash Date])&amp;CashIntraTable[Detail]</f>
        <v>SCBRM3433841.1. Subscription</v>
      </c>
    </row>
    <row r="543" spans="1:9" x14ac:dyDescent="0.2">
      <c r="A543" t="s">
        <v>461</v>
      </c>
      <c r="B543" t="s">
        <v>23</v>
      </c>
      <c r="C543" s="67">
        <v>43385</v>
      </c>
      <c r="D543" t="s">
        <v>399</v>
      </c>
      <c r="E543">
        <v>35000</v>
      </c>
      <c r="F543" t="s">
        <v>344</v>
      </c>
      <c r="G543" t="s">
        <v>400</v>
      </c>
      <c r="H543">
        <v>181011084158</v>
      </c>
      <c r="I543" t="str">
        <f>CashIntraTable[Portfolio]&amp;VALUE(CashIntraTable[Cash Date])&amp;CashIntraTable[Detail]</f>
        <v>SCBRM3433851.1. Subscription</v>
      </c>
    </row>
    <row r="544" spans="1:9" x14ac:dyDescent="0.2">
      <c r="A544" t="s">
        <v>461</v>
      </c>
      <c r="B544" t="s">
        <v>23</v>
      </c>
      <c r="C544" s="67">
        <v>43384</v>
      </c>
      <c r="D544" t="s">
        <v>399</v>
      </c>
      <c r="E544">
        <v>585500</v>
      </c>
      <c r="F544" t="s">
        <v>348</v>
      </c>
      <c r="G544" t="s">
        <v>400</v>
      </c>
      <c r="H544">
        <v>181011084158</v>
      </c>
      <c r="I544" t="str">
        <f>CashIntraTable[Portfolio]&amp;VALUE(CashIntraTable[Cash Date])&amp;CashIntraTable[Detail]</f>
        <v>SCBRM3433841.1. Subscription (Chq)</v>
      </c>
    </row>
    <row r="545" spans="1:9" x14ac:dyDescent="0.2">
      <c r="A545" t="s">
        <v>461</v>
      </c>
      <c r="B545" t="s">
        <v>23</v>
      </c>
      <c r="C545" s="67">
        <v>43385</v>
      </c>
      <c r="D545" t="s">
        <v>399</v>
      </c>
      <c r="E545">
        <v>48500</v>
      </c>
      <c r="F545" t="s">
        <v>348</v>
      </c>
      <c r="G545" t="s">
        <v>400</v>
      </c>
      <c r="H545">
        <v>181011084158</v>
      </c>
      <c r="I545" t="str">
        <f>CashIntraTable[Portfolio]&amp;VALUE(CashIntraTable[Cash Date])&amp;CashIntraTable[Detail]</f>
        <v>SCBRM3433851.1. Subscription (Chq)</v>
      </c>
    </row>
    <row r="546" spans="1:9" x14ac:dyDescent="0.2">
      <c r="A546" t="s">
        <v>461</v>
      </c>
      <c r="B546" t="s">
        <v>23</v>
      </c>
      <c r="C546" s="67">
        <v>43384</v>
      </c>
      <c r="D546" t="s">
        <v>399</v>
      </c>
      <c r="E546">
        <v>1111671.75</v>
      </c>
      <c r="F546" t="s">
        <v>345</v>
      </c>
      <c r="G546" t="s">
        <v>400</v>
      </c>
      <c r="H546">
        <v>181011084158</v>
      </c>
      <c r="I546" t="str">
        <f>CashIntraTable[Portfolio]&amp;VALUE(CashIntraTable[Cash Date])&amp;CashIntraTable[Detail]</f>
        <v>SCBRM3433841.2. Switch-in</v>
      </c>
    </row>
    <row r="547" spans="1:9" x14ac:dyDescent="0.2">
      <c r="A547" t="s">
        <v>461</v>
      </c>
      <c r="B547" t="s">
        <v>23</v>
      </c>
      <c r="C547" s="67">
        <v>43384</v>
      </c>
      <c r="D547" t="s">
        <v>399</v>
      </c>
      <c r="E547">
        <v>-221678.23</v>
      </c>
      <c r="F547" t="s">
        <v>346</v>
      </c>
      <c r="G547" t="s">
        <v>400</v>
      </c>
      <c r="H547">
        <v>181011084158</v>
      </c>
      <c r="I547" t="str">
        <f>CashIntraTable[Portfolio]&amp;VALUE(CashIntraTable[Cash Date])&amp;CashIntraTable[Detail]</f>
        <v>SCBRM3433842.1. Redemption</v>
      </c>
    </row>
    <row r="548" spans="1:9" x14ac:dyDescent="0.2">
      <c r="A548" t="s">
        <v>461</v>
      </c>
      <c r="B548" t="s">
        <v>23</v>
      </c>
      <c r="C548" s="67">
        <v>43385</v>
      </c>
      <c r="D548" t="s">
        <v>399</v>
      </c>
      <c r="E548">
        <v>-147870.28</v>
      </c>
      <c r="F548" t="s">
        <v>346</v>
      </c>
      <c r="G548" t="s">
        <v>400</v>
      </c>
      <c r="H548">
        <v>181011084158</v>
      </c>
      <c r="I548" t="str">
        <f>CashIntraTable[Portfolio]&amp;VALUE(CashIntraTable[Cash Date])&amp;CashIntraTable[Detail]</f>
        <v>SCBRM3433852.1. Redemption</v>
      </c>
    </row>
    <row r="549" spans="1:9" x14ac:dyDescent="0.2">
      <c r="A549" t="s">
        <v>461</v>
      </c>
      <c r="B549" t="s">
        <v>23</v>
      </c>
      <c r="C549" s="67">
        <v>43384</v>
      </c>
      <c r="D549" t="s">
        <v>399</v>
      </c>
      <c r="E549">
        <v>-106637.17</v>
      </c>
      <c r="F549" t="s">
        <v>347</v>
      </c>
      <c r="G549" t="s">
        <v>400</v>
      </c>
      <c r="H549">
        <v>181011084158</v>
      </c>
      <c r="I549" t="str">
        <f>CashIntraTable[Portfolio]&amp;VALUE(CashIntraTable[Cash Date])&amp;CashIntraTable[Detail]</f>
        <v>SCBRM3433842.2. Switch-out</v>
      </c>
    </row>
    <row r="550" spans="1:9" x14ac:dyDescent="0.2">
      <c r="A550" t="s">
        <v>461</v>
      </c>
      <c r="B550" t="s">
        <v>23</v>
      </c>
      <c r="C550" s="67">
        <v>43385</v>
      </c>
      <c r="D550" t="s">
        <v>399</v>
      </c>
      <c r="E550">
        <v>-923467.36</v>
      </c>
      <c r="F550" t="s">
        <v>347</v>
      </c>
      <c r="G550" t="s">
        <v>400</v>
      </c>
      <c r="H550">
        <v>181011084158</v>
      </c>
      <c r="I550" t="str">
        <f>CashIntraTable[Portfolio]&amp;VALUE(CashIntraTable[Cash Date])&amp;CashIntraTable[Detail]</f>
        <v>SCBRM3433852.2. Switch-out</v>
      </c>
    </row>
    <row r="551" spans="1:9" x14ac:dyDescent="0.2">
      <c r="A551" t="s">
        <v>462</v>
      </c>
      <c r="B551" t="s">
        <v>23</v>
      </c>
      <c r="C551" s="67">
        <v>43384</v>
      </c>
      <c r="D551" t="s">
        <v>399</v>
      </c>
      <c r="E551">
        <v>984353</v>
      </c>
      <c r="F551" t="s">
        <v>344</v>
      </c>
      <c r="G551" t="s">
        <v>400</v>
      </c>
      <c r="H551">
        <v>181011084158</v>
      </c>
      <c r="I551" t="str">
        <f>CashIntraTable[Portfolio]&amp;VALUE(CashIntraTable[Cash Date])&amp;CashIntraTable[Detail]</f>
        <v>SCBRM4433841.1. Subscription</v>
      </c>
    </row>
    <row r="552" spans="1:9" x14ac:dyDescent="0.2">
      <c r="A552" t="s">
        <v>462</v>
      </c>
      <c r="B552" t="s">
        <v>23</v>
      </c>
      <c r="C552" s="67">
        <v>43385</v>
      </c>
      <c r="D552" t="s">
        <v>399</v>
      </c>
      <c r="E552">
        <v>43000</v>
      </c>
      <c r="F552" t="s">
        <v>344</v>
      </c>
      <c r="G552" t="s">
        <v>400</v>
      </c>
      <c r="H552">
        <v>181011084158</v>
      </c>
      <c r="I552" t="str">
        <f>CashIntraTable[Portfolio]&amp;VALUE(CashIntraTable[Cash Date])&amp;CashIntraTable[Detail]</f>
        <v>SCBRM4433851.1. Subscription</v>
      </c>
    </row>
    <row r="553" spans="1:9" x14ac:dyDescent="0.2">
      <c r="A553" t="s">
        <v>462</v>
      </c>
      <c r="B553" t="s">
        <v>23</v>
      </c>
      <c r="C553" s="67">
        <v>43384</v>
      </c>
      <c r="D553" t="s">
        <v>399</v>
      </c>
      <c r="E553">
        <v>1460000</v>
      </c>
      <c r="F553" t="s">
        <v>348</v>
      </c>
      <c r="G553" t="s">
        <v>400</v>
      </c>
      <c r="H553">
        <v>181011084158</v>
      </c>
      <c r="I553" t="str">
        <f>CashIntraTable[Portfolio]&amp;VALUE(CashIntraTable[Cash Date])&amp;CashIntraTable[Detail]</f>
        <v>SCBRM4433841.1. Subscription (Chq)</v>
      </c>
    </row>
    <row r="554" spans="1:9" x14ac:dyDescent="0.2">
      <c r="A554" t="s">
        <v>462</v>
      </c>
      <c r="B554" t="s">
        <v>23</v>
      </c>
      <c r="C554" s="67">
        <v>43385</v>
      </c>
      <c r="D554" t="s">
        <v>399</v>
      </c>
      <c r="E554">
        <v>76000</v>
      </c>
      <c r="F554" t="s">
        <v>348</v>
      </c>
      <c r="G554" t="s">
        <v>400</v>
      </c>
      <c r="H554">
        <v>181011084158</v>
      </c>
      <c r="I554" t="str">
        <f>CashIntraTable[Portfolio]&amp;VALUE(CashIntraTable[Cash Date])&amp;CashIntraTable[Detail]</f>
        <v>SCBRM4433851.1. Subscription (Chq)</v>
      </c>
    </row>
    <row r="555" spans="1:9" x14ac:dyDescent="0.2">
      <c r="A555" t="s">
        <v>462</v>
      </c>
      <c r="B555" t="s">
        <v>23</v>
      </c>
      <c r="C555" s="67">
        <v>43384</v>
      </c>
      <c r="D555" t="s">
        <v>399</v>
      </c>
      <c r="E555">
        <v>15027794.539999999</v>
      </c>
      <c r="F555" t="s">
        <v>345</v>
      </c>
      <c r="G555" t="s">
        <v>400</v>
      </c>
      <c r="H555">
        <v>181011084158</v>
      </c>
      <c r="I555" t="str">
        <f>CashIntraTable[Portfolio]&amp;VALUE(CashIntraTable[Cash Date])&amp;CashIntraTable[Detail]</f>
        <v>SCBRM4433841.2. Switch-in</v>
      </c>
    </row>
    <row r="556" spans="1:9" x14ac:dyDescent="0.2">
      <c r="A556" t="s">
        <v>462</v>
      </c>
      <c r="B556" t="s">
        <v>23</v>
      </c>
      <c r="C556" s="67">
        <v>43385</v>
      </c>
      <c r="D556" t="s">
        <v>399</v>
      </c>
      <c r="E556">
        <v>2460045.54</v>
      </c>
      <c r="F556" t="s">
        <v>345</v>
      </c>
      <c r="G556" t="s">
        <v>400</v>
      </c>
      <c r="H556">
        <v>181011084158</v>
      </c>
      <c r="I556" t="str">
        <f>CashIntraTable[Portfolio]&amp;VALUE(CashIntraTable[Cash Date])&amp;CashIntraTable[Detail]</f>
        <v>SCBRM4433851.2. Switch-in</v>
      </c>
    </row>
    <row r="557" spans="1:9" x14ac:dyDescent="0.2">
      <c r="A557" t="s">
        <v>462</v>
      </c>
      <c r="B557" t="s">
        <v>23</v>
      </c>
      <c r="C557" s="67">
        <v>43389</v>
      </c>
      <c r="D557" t="s">
        <v>399</v>
      </c>
      <c r="E557">
        <v>4048.29</v>
      </c>
      <c r="F557" t="s">
        <v>345</v>
      </c>
      <c r="G557" t="s">
        <v>400</v>
      </c>
      <c r="H557">
        <v>181011084158</v>
      </c>
      <c r="I557" t="str">
        <f>CashIntraTable[Portfolio]&amp;VALUE(CashIntraTable[Cash Date])&amp;CashIntraTable[Detail]</f>
        <v>SCBRM4433891.2. Switch-in</v>
      </c>
    </row>
    <row r="558" spans="1:9" x14ac:dyDescent="0.2">
      <c r="A558" t="s">
        <v>462</v>
      </c>
      <c r="B558" t="s">
        <v>23</v>
      </c>
      <c r="C558" s="67">
        <v>43390</v>
      </c>
      <c r="D558" t="s">
        <v>399</v>
      </c>
      <c r="E558">
        <v>504939.36</v>
      </c>
      <c r="F558" t="s">
        <v>345</v>
      </c>
      <c r="G558" t="s">
        <v>400</v>
      </c>
      <c r="H558">
        <v>181011084158</v>
      </c>
      <c r="I558" t="str">
        <f>CashIntraTable[Portfolio]&amp;VALUE(CashIntraTable[Cash Date])&amp;CashIntraTable[Detail]</f>
        <v>SCBRM4433901.2. Switch-in</v>
      </c>
    </row>
    <row r="559" spans="1:9" x14ac:dyDescent="0.2">
      <c r="A559" t="s">
        <v>462</v>
      </c>
      <c r="B559" t="s">
        <v>23</v>
      </c>
      <c r="C559" s="67">
        <v>43391</v>
      </c>
      <c r="D559" t="s">
        <v>399</v>
      </c>
      <c r="E559">
        <v>5989.09</v>
      </c>
      <c r="F559" t="s">
        <v>345</v>
      </c>
      <c r="G559" t="s">
        <v>400</v>
      </c>
      <c r="H559">
        <v>181011084158</v>
      </c>
      <c r="I559" t="str">
        <f>CashIntraTable[Portfolio]&amp;VALUE(CashIntraTable[Cash Date])&amp;CashIntraTable[Detail]</f>
        <v>SCBRM4433911.2. Switch-in</v>
      </c>
    </row>
    <row r="560" spans="1:9" x14ac:dyDescent="0.2">
      <c r="A560" t="s">
        <v>462</v>
      </c>
      <c r="B560" t="s">
        <v>23</v>
      </c>
      <c r="C560" s="67">
        <v>43384</v>
      </c>
      <c r="D560" t="s">
        <v>399</v>
      </c>
      <c r="E560">
        <v>-1201483.3999999999</v>
      </c>
      <c r="F560" t="s">
        <v>346</v>
      </c>
      <c r="G560" t="s">
        <v>400</v>
      </c>
      <c r="H560">
        <v>181011084158</v>
      </c>
      <c r="I560" t="str">
        <f>CashIntraTable[Portfolio]&amp;VALUE(CashIntraTable[Cash Date])&amp;CashIntraTable[Detail]</f>
        <v>SCBRM4433842.1. Redemption</v>
      </c>
    </row>
    <row r="561" spans="1:9" x14ac:dyDescent="0.2">
      <c r="A561" t="s">
        <v>462</v>
      </c>
      <c r="B561" t="s">
        <v>23</v>
      </c>
      <c r="C561" s="67">
        <v>43385</v>
      </c>
      <c r="D561" t="s">
        <v>399</v>
      </c>
      <c r="E561">
        <v>-127989.68</v>
      </c>
      <c r="F561" t="s">
        <v>346</v>
      </c>
      <c r="G561" t="s">
        <v>400</v>
      </c>
      <c r="H561">
        <v>181011084158</v>
      </c>
      <c r="I561" t="str">
        <f>CashIntraTable[Portfolio]&amp;VALUE(CashIntraTable[Cash Date])&amp;CashIntraTable[Detail]</f>
        <v>SCBRM4433852.1. Redemption</v>
      </c>
    </row>
    <row r="562" spans="1:9" x14ac:dyDescent="0.2">
      <c r="A562" t="s">
        <v>462</v>
      </c>
      <c r="B562" t="s">
        <v>23</v>
      </c>
      <c r="C562" s="67">
        <v>43384</v>
      </c>
      <c r="D562" t="s">
        <v>399</v>
      </c>
      <c r="E562">
        <v>-3087939.94</v>
      </c>
      <c r="F562" t="s">
        <v>347</v>
      </c>
      <c r="G562" t="s">
        <v>400</v>
      </c>
      <c r="H562">
        <v>181011084158</v>
      </c>
      <c r="I562" t="str">
        <f>CashIntraTable[Portfolio]&amp;VALUE(CashIntraTable[Cash Date])&amp;CashIntraTable[Detail]</f>
        <v>SCBRM4433842.2. Switch-out</v>
      </c>
    </row>
    <row r="563" spans="1:9" x14ac:dyDescent="0.2">
      <c r="A563" t="s">
        <v>462</v>
      </c>
      <c r="B563" t="s">
        <v>23</v>
      </c>
      <c r="C563" s="67">
        <v>43385</v>
      </c>
      <c r="D563" t="s">
        <v>399</v>
      </c>
      <c r="E563">
        <v>-10329028.26</v>
      </c>
      <c r="F563" t="s">
        <v>347</v>
      </c>
      <c r="G563" t="s">
        <v>400</v>
      </c>
      <c r="H563">
        <v>181011084158</v>
      </c>
      <c r="I563" t="str">
        <f>CashIntraTable[Portfolio]&amp;VALUE(CashIntraTable[Cash Date])&amp;CashIntraTable[Detail]</f>
        <v>SCBRM4433852.2. Switch-out</v>
      </c>
    </row>
    <row r="564" spans="1:9" x14ac:dyDescent="0.2">
      <c r="A564" t="s">
        <v>462</v>
      </c>
      <c r="B564" t="s">
        <v>23</v>
      </c>
      <c r="C564" s="67">
        <v>43389</v>
      </c>
      <c r="D564" t="s">
        <v>399</v>
      </c>
      <c r="E564">
        <v>-980633.18</v>
      </c>
      <c r="F564" t="s">
        <v>347</v>
      </c>
      <c r="G564" t="s">
        <v>400</v>
      </c>
      <c r="H564">
        <v>181011084158</v>
      </c>
      <c r="I564" t="str">
        <f>CashIntraTable[Portfolio]&amp;VALUE(CashIntraTable[Cash Date])&amp;CashIntraTable[Detail]</f>
        <v>SCBRM4433892.2. Switch-out</v>
      </c>
    </row>
    <row r="565" spans="1:9" x14ac:dyDescent="0.2">
      <c r="A565" t="s">
        <v>463</v>
      </c>
      <c r="B565" t="s">
        <v>23</v>
      </c>
      <c r="C565" s="67">
        <v>43384</v>
      </c>
      <c r="D565" t="s">
        <v>399</v>
      </c>
      <c r="E565">
        <v>1000</v>
      </c>
      <c r="F565" t="s">
        <v>344</v>
      </c>
      <c r="G565" t="s">
        <v>400</v>
      </c>
      <c r="H565">
        <v>181011084158</v>
      </c>
      <c r="I565" t="str">
        <f>CashIntraTable[Portfolio]&amp;VALUE(CashIntraTable[Cash Date])&amp;CashIntraTable[Detail]</f>
        <v>SCBRMEU433841.1. Subscription</v>
      </c>
    </row>
    <row r="566" spans="1:9" x14ac:dyDescent="0.2">
      <c r="A566" t="s">
        <v>463</v>
      </c>
      <c r="B566" t="s">
        <v>23</v>
      </c>
      <c r="C566" s="67">
        <v>43385</v>
      </c>
      <c r="D566" t="s">
        <v>399</v>
      </c>
      <c r="E566">
        <v>95000</v>
      </c>
      <c r="F566" t="s">
        <v>348</v>
      </c>
      <c r="G566" t="s">
        <v>400</v>
      </c>
      <c r="H566">
        <v>181011084158</v>
      </c>
      <c r="I566" t="str">
        <f>CashIntraTable[Portfolio]&amp;VALUE(CashIntraTable[Cash Date])&amp;CashIntraTable[Detail]</f>
        <v>SCBRMEU433851.1. Subscription (Chq)</v>
      </c>
    </row>
    <row r="567" spans="1:9" x14ac:dyDescent="0.2">
      <c r="A567" t="s">
        <v>463</v>
      </c>
      <c r="B567" t="s">
        <v>23</v>
      </c>
      <c r="C567" s="67">
        <v>43384</v>
      </c>
      <c r="D567" t="s">
        <v>399</v>
      </c>
      <c r="E567">
        <v>206270.3</v>
      </c>
      <c r="F567" t="s">
        <v>345</v>
      </c>
      <c r="G567" t="s">
        <v>400</v>
      </c>
      <c r="H567">
        <v>181011084158</v>
      </c>
      <c r="I567" t="str">
        <f>CashIntraTable[Portfolio]&amp;VALUE(CashIntraTable[Cash Date])&amp;CashIntraTable[Detail]</f>
        <v>SCBRMEU433841.2. Switch-in</v>
      </c>
    </row>
    <row r="568" spans="1:9" x14ac:dyDescent="0.2">
      <c r="A568" t="s">
        <v>463</v>
      </c>
      <c r="B568" t="s">
        <v>23</v>
      </c>
      <c r="C568" s="67">
        <v>43385</v>
      </c>
      <c r="D568" t="s">
        <v>399</v>
      </c>
      <c r="E568">
        <v>46015.65</v>
      </c>
      <c r="F568" t="s">
        <v>345</v>
      </c>
      <c r="G568" t="s">
        <v>400</v>
      </c>
      <c r="H568">
        <v>181011084158</v>
      </c>
      <c r="I568" t="str">
        <f>CashIntraTable[Portfolio]&amp;VALUE(CashIntraTable[Cash Date])&amp;CashIntraTable[Detail]</f>
        <v>SCBRMEU433851.2. Switch-in</v>
      </c>
    </row>
    <row r="569" spans="1:9" x14ac:dyDescent="0.2">
      <c r="A569" t="s">
        <v>463</v>
      </c>
      <c r="B569" t="s">
        <v>23</v>
      </c>
      <c r="C569" s="67">
        <v>43389</v>
      </c>
      <c r="D569" t="s">
        <v>399</v>
      </c>
      <c r="E569">
        <v>999.99</v>
      </c>
      <c r="F569" t="s">
        <v>345</v>
      </c>
      <c r="G569" t="s">
        <v>400</v>
      </c>
      <c r="H569">
        <v>181011084158</v>
      </c>
      <c r="I569" t="str">
        <f>CashIntraTable[Portfolio]&amp;VALUE(CashIntraTable[Cash Date])&amp;CashIntraTable[Detail]</f>
        <v>SCBRMEU433891.2. Switch-in</v>
      </c>
    </row>
    <row r="570" spans="1:9" x14ac:dyDescent="0.2">
      <c r="A570" t="s">
        <v>463</v>
      </c>
      <c r="B570" t="s">
        <v>23</v>
      </c>
      <c r="C570" s="67">
        <v>43384</v>
      </c>
      <c r="D570" t="s">
        <v>399</v>
      </c>
      <c r="E570">
        <v>-1938.74</v>
      </c>
      <c r="F570" t="s">
        <v>347</v>
      </c>
      <c r="G570" t="s">
        <v>400</v>
      </c>
      <c r="H570">
        <v>181011084158</v>
      </c>
      <c r="I570" t="str">
        <f>CashIntraTable[Portfolio]&amp;VALUE(CashIntraTable[Cash Date])&amp;CashIntraTable[Detail]</f>
        <v>SCBRMEU433842.2. Switch-out</v>
      </c>
    </row>
    <row r="571" spans="1:9" x14ac:dyDescent="0.2">
      <c r="A571" t="s">
        <v>463</v>
      </c>
      <c r="B571" t="s">
        <v>23</v>
      </c>
      <c r="C571" s="67">
        <v>43385</v>
      </c>
      <c r="D571" t="s">
        <v>399</v>
      </c>
      <c r="E571">
        <v>-9440.34</v>
      </c>
      <c r="F571" t="s">
        <v>347</v>
      </c>
      <c r="G571" t="s">
        <v>400</v>
      </c>
      <c r="H571">
        <v>181011084158</v>
      </c>
      <c r="I571" t="str">
        <f>CashIntraTable[Portfolio]&amp;VALUE(CashIntraTable[Cash Date])&amp;CashIntraTable[Detail]</f>
        <v>SCBRMEU433852.2. Switch-out</v>
      </c>
    </row>
    <row r="572" spans="1:9" x14ac:dyDescent="0.2">
      <c r="A572" t="s">
        <v>464</v>
      </c>
      <c r="B572" t="s">
        <v>23</v>
      </c>
      <c r="C572" s="67">
        <v>43384</v>
      </c>
      <c r="D572" t="s">
        <v>399</v>
      </c>
      <c r="E572">
        <v>97000</v>
      </c>
      <c r="F572" t="s">
        <v>344</v>
      </c>
      <c r="G572" t="s">
        <v>400</v>
      </c>
      <c r="H572">
        <v>181011084158</v>
      </c>
      <c r="I572" t="str">
        <f>CashIntraTable[Portfolio]&amp;VALUE(CashIntraTable[Cash Date])&amp;CashIntraTable[Detail]</f>
        <v>SCBRMGHC433841.1. Subscription</v>
      </c>
    </row>
    <row r="573" spans="1:9" x14ac:dyDescent="0.2">
      <c r="A573" t="s">
        <v>464</v>
      </c>
      <c r="B573" t="s">
        <v>23</v>
      </c>
      <c r="C573" s="67">
        <v>43384</v>
      </c>
      <c r="D573" t="s">
        <v>399</v>
      </c>
      <c r="E573">
        <v>37000</v>
      </c>
      <c r="F573" t="s">
        <v>348</v>
      </c>
      <c r="G573" t="s">
        <v>400</v>
      </c>
      <c r="H573">
        <v>181011084158</v>
      </c>
      <c r="I573" t="str">
        <f>CashIntraTable[Portfolio]&amp;VALUE(CashIntraTable[Cash Date])&amp;CashIntraTable[Detail]</f>
        <v>SCBRMGHC433841.1. Subscription (Chq)</v>
      </c>
    </row>
    <row r="574" spans="1:9" x14ac:dyDescent="0.2">
      <c r="A574" t="s">
        <v>464</v>
      </c>
      <c r="B574" t="s">
        <v>23</v>
      </c>
      <c r="C574" s="67">
        <v>43385</v>
      </c>
      <c r="D574" t="s">
        <v>399</v>
      </c>
      <c r="E574">
        <v>10000</v>
      </c>
      <c r="F574" t="s">
        <v>348</v>
      </c>
      <c r="G574" t="s">
        <v>400</v>
      </c>
      <c r="H574">
        <v>181011084158</v>
      </c>
      <c r="I574" t="str">
        <f>CashIntraTable[Portfolio]&amp;VALUE(CashIntraTable[Cash Date])&amp;CashIntraTable[Detail]</f>
        <v>SCBRMGHC433851.1. Subscription (Chq)</v>
      </c>
    </row>
    <row r="575" spans="1:9" x14ac:dyDescent="0.2">
      <c r="A575" t="s">
        <v>464</v>
      </c>
      <c r="B575" t="s">
        <v>23</v>
      </c>
      <c r="C575" s="67">
        <v>43384</v>
      </c>
      <c r="D575" t="s">
        <v>399</v>
      </c>
      <c r="E575">
        <v>118881.04</v>
      </c>
      <c r="F575" t="s">
        <v>345</v>
      </c>
      <c r="G575" t="s">
        <v>400</v>
      </c>
      <c r="H575">
        <v>181011084158</v>
      </c>
      <c r="I575" t="str">
        <f>CashIntraTable[Portfolio]&amp;VALUE(CashIntraTable[Cash Date])&amp;CashIntraTable[Detail]</f>
        <v>SCBRMGHC433841.2. Switch-in</v>
      </c>
    </row>
    <row r="576" spans="1:9" x14ac:dyDescent="0.2">
      <c r="A576" t="s">
        <v>464</v>
      </c>
      <c r="B576" t="s">
        <v>23</v>
      </c>
      <c r="C576" s="67">
        <v>43385</v>
      </c>
      <c r="D576" t="s">
        <v>399</v>
      </c>
      <c r="E576">
        <v>200000</v>
      </c>
      <c r="F576" t="s">
        <v>345</v>
      </c>
      <c r="G576" t="s">
        <v>400</v>
      </c>
      <c r="H576">
        <v>181011084158</v>
      </c>
      <c r="I576" t="str">
        <f>CashIntraTable[Portfolio]&amp;VALUE(CashIntraTable[Cash Date])&amp;CashIntraTable[Detail]</f>
        <v>SCBRMGHC433851.2. Switch-in</v>
      </c>
    </row>
    <row r="577" spans="1:9" x14ac:dyDescent="0.2">
      <c r="A577" t="s">
        <v>464</v>
      </c>
      <c r="B577" t="s">
        <v>23</v>
      </c>
      <c r="C577" s="67">
        <v>43384</v>
      </c>
      <c r="D577" t="s">
        <v>399</v>
      </c>
      <c r="E577">
        <v>-9933.8799999999992</v>
      </c>
      <c r="F577" t="s">
        <v>346</v>
      </c>
      <c r="G577" t="s">
        <v>400</v>
      </c>
      <c r="H577">
        <v>181011084158</v>
      </c>
      <c r="I577" t="str">
        <f>CashIntraTable[Portfolio]&amp;VALUE(CashIntraTable[Cash Date])&amp;CashIntraTable[Detail]</f>
        <v>SCBRMGHC433842.1. Redemption</v>
      </c>
    </row>
    <row r="578" spans="1:9" x14ac:dyDescent="0.2">
      <c r="A578" t="s">
        <v>464</v>
      </c>
      <c r="B578" t="s">
        <v>23</v>
      </c>
      <c r="C578" s="67">
        <v>43390</v>
      </c>
      <c r="D578" t="s">
        <v>399</v>
      </c>
      <c r="E578">
        <v>-202223.39</v>
      </c>
      <c r="F578" t="s">
        <v>347</v>
      </c>
      <c r="G578" t="s">
        <v>400</v>
      </c>
      <c r="H578">
        <v>181011084158</v>
      </c>
      <c r="I578" t="str">
        <f>CashIntraTable[Portfolio]&amp;VALUE(CashIntraTable[Cash Date])&amp;CashIntraTable[Detail]</f>
        <v>SCBRMGHC433902.2. Switch-out</v>
      </c>
    </row>
    <row r="579" spans="1:9" x14ac:dyDescent="0.2">
      <c r="A579" t="s">
        <v>464</v>
      </c>
      <c r="B579" t="s">
        <v>23</v>
      </c>
      <c r="C579" s="67">
        <v>43391</v>
      </c>
      <c r="D579" t="s">
        <v>399</v>
      </c>
      <c r="E579">
        <v>-290586.18</v>
      </c>
      <c r="F579" t="s">
        <v>347</v>
      </c>
      <c r="G579" t="s">
        <v>400</v>
      </c>
      <c r="H579">
        <v>181011084158</v>
      </c>
      <c r="I579" t="str">
        <f>CashIntraTable[Portfolio]&amp;VALUE(CashIntraTable[Cash Date])&amp;CashIntraTable[Detail]</f>
        <v>SCBRMGHC433912.2. Switch-out</v>
      </c>
    </row>
    <row r="580" spans="1:9" x14ac:dyDescent="0.2">
      <c r="A580" t="s">
        <v>465</v>
      </c>
      <c r="B580" t="s">
        <v>23</v>
      </c>
      <c r="C580" s="67">
        <v>43384</v>
      </c>
      <c r="D580" t="s">
        <v>399</v>
      </c>
      <c r="E580">
        <v>100000</v>
      </c>
      <c r="F580" t="s">
        <v>344</v>
      </c>
      <c r="G580" t="s">
        <v>400</v>
      </c>
      <c r="H580">
        <v>181011084158</v>
      </c>
      <c r="I580" t="str">
        <f>CashIntraTable[Portfolio]&amp;VALUE(CashIntraTable[Cash Date])&amp;CashIntraTable[Detail]</f>
        <v>SCBRMGIF433841.1. Subscription</v>
      </c>
    </row>
    <row r="581" spans="1:9" x14ac:dyDescent="0.2">
      <c r="A581" t="s">
        <v>465</v>
      </c>
      <c r="B581" t="s">
        <v>23</v>
      </c>
      <c r="C581" s="67">
        <v>43384</v>
      </c>
      <c r="D581" t="s">
        <v>399</v>
      </c>
      <c r="E581">
        <v>190000</v>
      </c>
      <c r="F581" t="s">
        <v>348</v>
      </c>
      <c r="G581" t="s">
        <v>400</v>
      </c>
      <c r="H581">
        <v>181011084158</v>
      </c>
      <c r="I581" t="str">
        <f>CashIntraTable[Portfolio]&amp;VALUE(CashIntraTable[Cash Date])&amp;CashIntraTable[Detail]</f>
        <v>SCBRMGIF433841.1. Subscription (Chq)</v>
      </c>
    </row>
    <row r="582" spans="1:9" x14ac:dyDescent="0.2">
      <c r="A582" t="s">
        <v>465</v>
      </c>
      <c r="B582" t="s">
        <v>23</v>
      </c>
      <c r="C582" s="67">
        <v>43384</v>
      </c>
      <c r="D582" t="s">
        <v>399</v>
      </c>
      <c r="E582">
        <v>100000</v>
      </c>
      <c r="F582" t="s">
        <v>345</v>
      </c>
      <c r="G582" t="s">
        <v>400</v>
      </c>
      <c r="H582">
        <v>181011084158</v>
      </c>
      <c r="I582" t="str">
        <f>CashIntraTable[Portfolio]&amp;VALUE(CashIntraTable[Cash Date])&amp;CashIntraTable[Detail]</f>
        <v>SCBRMGIF433841.2. Switch-in</v>
      </c>
    </row>
    <row r="583" spans="1:9" x14ac:dyDescent="0.2">
      <c r="A583" t="s">
        <v>465</v>
      </c>
      <c r="B583" t="s">
        <v>23</v>
      </c>
      <c r="C583" s="67">
        <v>43389</v>
      </c>
      <c r="D583" t="s">
        <v>399</v>
      </c>
      <c r="E583">
        <v>-147439.14000000001</v>
      </c>
      <c r="F583" t="s">
        <v>346</v>
      </c>
      <c r="G583" t="s">
        <v>400</v>
      </c>
      <c r="H583">
        <v>181011084158</v>
      </c>
      <c r="I583" t="str">
        <f>CashIntraTable[Portfolio]&amp;VALUE(CashIntraTable[Cash Date])&amp;CashIntraTable[Detail]</f>
        <v>SCBRMGIF433892.1. Redemption</v>
      </c>
    </row>
    <row r="584" spans="1:9" x14ac:dyDescent="0.2">
      <c r="A584" t="s">
        <v>465</v>
      </c>
      <c r="B584" t="s">
        <v>23</v>
      </c>
      <c r="C584" s="67">
        <v>43390</v>
      </c>
      <c r="D584" t="s">
        <v>399</v>
      </c>
      <c r="E584">
        <v>-505927.81</v>
      </c>
      <c r="F584" t="s">
        <v>347</v>
      </c>
      <c r="G584" t="s">
        <v>400</v>
      </c>
      <c r="H584">
        <v>181011084158</v>
      </c>
      <c r="I584" t="str">
        <f>CashIntraTable[Portfolio]&amp;VALUE(CashIntraTable[Cash Date])&amp;CashIntraTable[Detail]</f>
        <v>SCBRMGIF433902.2. Switch-out</v>
      </c>
    </row>
    <row r="585" spans="1:9" x14ac:dyDescent="0.2">
      <c r="A585" t="s">
        <v>466</v>
      </c>
      <c r="B585" t="s">
        <v>23</v>
      </c>
      <c r="C585" s="67">
        <v>43384</v>
      </c>
      <c r="D585" t="s">
        <v>399</v>
      </c>
      <c r="E585">
        <v>100000</v>
      </c>
      <c r="F585" t="s">
        <v>345</v>
      </c>
      <c r="G585" t="s">
        <v>400</v>
      </c>
      <c r="H585">
        <v>181011084158</v>
      </c>
      <c r="I585" t="str">
        <f>CashIntraTable[Portfolio]&amp;VALUE(CashIntraTable[Cash Date])&amp;CashIntraTable[Detail]</f>
        <v>SCBRMGW433841.2. Switch-in</v>
      </c>
    </row>
    <row r="586" spans="1:9" x14ac:dyDescent="0.2">
      <c r="A586" t="s">
        <v>466</v>
      </c>
      <c r="B586" t="s">
        <v>23</v>
      </c>
      <c r="C586" s="67">
        <v>43391</v>
      </c>
      <c r="D586" t="s">
        <v>399</v>
      </c>
      <c r="E586">
        <v>-34820.33</v>
      </c>
      <c r="F586" t="s">
        <v>346</v>
      </c>
      <c r="G586" t="s">
        <v>400</v>
      </c>
      <c r="H586">
        <v>181011084158</v>
      </c>
      <c r="I586" t="str">
        <f>CashIntraTable[Portfolio]&amp;VALUE(CashIntraTable[Cash Date])&amp;CashIntraTable[Detail]</f>
        <v>SCBRMGW433912.1. Redemption</v>
      </c>
    </row>
    <row r="587" spans="1:9" x14ac:dyDescent="0.2">
      <c r="A587" t="s">
        <v>466</v>
      </c>
      <c r="B587" t="s">
        <v>23</v>
      </c>
      <c r="C587" s="67">
        <v>43391</v>
      </c>
      <c r="D587" t="s">
        <v>399</v>
      </c>
      <c r="E587">
        <v>-5029.9799999999996</v>
      </c>
      <c r="F587" t="s">
        <v>347</v>
      </c>
      <c r="G587" t="s">
        <v>400</v>
      </c>
      <c r="H587">
        <v>181011084158</v>
      </c>
      <c r="I587" t="str">
        <f>CashIntraTable[Portfolio]&amp;VALUE(CashIntraTable[Cash Date])&amp;CashIntraTable[Detail]</f>
        <v>SCBRMGW433912.2. Switch-out</v>
      </c>
    </row>
    <row r="588" spans="1:9" x14ac:dyDescent="0.2">
      <c r="A588" t="s">
        <v>467</v>
      </c>
      <c r="B588" t="s">
        <v>23</v>
      </c>
      <c r="C588" s="67">
        <v>43385</v>
      </c>
      <c r="D588" t="s">
        <v>399</v>
      </c>
      <c r="E588">
        <v>1000</v>
      </c>
      <c r="F588" t="s">
        <v>344</v>
      </c>
      <c r="G588" t="s">
        <v>400</v>
      </c>
      <c r="H588">
        <v>181011084158</v>
      </c>
      <c r="I588" t="str">
        <f>CashIntraTable[Portfolio]&amp;VALUE(CashIntraTable[Cash Date])&amp;CashIntraTable[Detail]</f>
        <v>SCBRMGWP433851.1. Subscription</v>
      </c>
    </row>
    <row r="589" spans="1:9" x14ac:dyDescent="0.2">
      <c r="A589" t="s">
        <v>467</v>
      </c>
      <c r="B589" t="s">
        <v>23</v>
      </c>
      <c r="C589" s="67">
        <v>43384</v>
      </c>
      <c r="D589" t="s">
        <v>399</v>
      </c>
      <c r="E589">
        <v>100000</v>
      </c>
      <c r="F589" t="s">
        <v>345</v>
      </c>
      <c r="G589" t="s">
        <v>400</v>
      </c>
      <c r="H589">
        <v>181011084158</v>
      </c>
      <c r="I589" t="str">
        <f>CashIntraTable[Portfolio]&amp;VALUE(CashIntraTable[Cash Date])&amp;CashIntraTable[Detail]</f>
        <v>SCBRMGWP433841.2. Switch-in</v>
      </c>
    </row>
    <row r="590" spans="1:9" x14ac:dyDescent="0.2">
      <c r="A590" t="s">
        <v>467</v>
      </c>
      <c r="B590" t="s">
        <v>23</v>
      </c>
      <c r="C590" s="67">
        <v>43391</v>
      </c>
      <c r="D590" t="s">
        <v>399</v>
      </c>
      <c r="E590">
        <v>-11022.42</v>
      </c>
      <c r="F590" t="s">
        <v>347</v>
      </c>
      <c r="G590" t="s">
        <v>400</v>
      </c>
      <c r="H590">
        <v>181011084158</v>
      </c>
      <c r="I590" t="str">
        <f>CashIntraTable[Portfolio]&amp;VALUE(CashIntraTable[Cash Date])&amp;CashIntraTable[Detail]</f>
        <v>SCBRMGWP433912.2. Switch-out</v>
      </c>
    </row>
    <row r="591" spans="1:9" x14ac:dyDescent="0.2">
      <c r="A591" t="s">
        <v>468</v>
      </c>
      <c r="B591" t="s">
        <v>23</v>
      </c>
      <c r="C591" s="67">
        <v>43384</v>
      </c>
      <c r="D591" t="s">
        <v>399</v>
      </c>
      <c r="E591">
        <v>72000</v>
      </c>
      <c r="F591" t="s">
        <v>344</v>
      </c>
      <c r="G591" t="s">
        <v>400</v>
      </c>
      <c r="H591">
        <v>181011084158</v>
      </c>
      <c r="I591" t="str">
        <f>CashIntraTable[Portfolio]&amp;VALUE(CashIntraTable[Cash Date])&amp;CashIntraTable[Detail]</f>
        <v>SCBRMJP433841.1. Subscription</v>
      </c>
    </row>
    <row r="592" spans="1:9" x14ac:dyDescent="0.2">
      <c r="A592" t="s">
        <v>468</v>
      </c>
      <c r="B592" t="s">
        <v>23</v>
      </c>
      <c r="C592" s="67">
        <v>43384</v>
      </c>
      <c r="D592" t="s">
        <v>399</v>
      </c>
      <c r="E592">
        <v>119333.5</v>
      </c>
      <c r="F592" t="s">
        <v>348</v>
      </c>
      <c r="G592" t="s">
        <v>400</v>
      </c>
      <c r="H592">
        <v>181011084158</v>
      </c>
      <c r="I592" t="str">
        <f>CashIntraTable[Portfolio]&amp;VALUE(CashIntraTable[Cash Date])&amp;CashIntraTable[Detail]</f>
        <v>SCBRMJP433841.1. Subscription (Chq)</v>
      </c>
    </row>
    <row r="593" spans="1:9" x14ac:dyDescent="0.2">
      <c r="A593" t="s">
        <v>468</v>
      </c>
      <c r="B593" t="s">
        <v>23</v>
      </c>
      <c r="C593" s="67">
        <v>43385</v>
      </c>
      <c r="D593" t="s">
        <v>399</v>
      </c>
      <c r="E593">
        <v>10000</v>
      </c>
      <c r="F593" t="s">
        <v>348</v>
      </c>
      <c r="G593" t="s">
        <v>400</v>
      </c>
      <c r="H593">
        <v>181011084158</v>
      </c>
      <c r="I593" t="str">
        <f>CashIntraTable[Portfolio]&amp;VALUE(CashIntraTable[Cash Date])&amp;CashIntraTable[Detail]</f>
        <v>SCBRMJP433851.1. Subscription (Chq)</v>
      </c>
    </row>
    <row r="594" spans="1:9" x14ac:dyDescent="0.2">
      <c r="A594" t="s">
        <v>468</v>
      </c>
      <c r="B594" t="s">
        <v>23</v>
      </c>
      <c r="C594" s="67">
        <v>43384</v>
      </c>
      <c r="D594" t="s">
        <v>399</v>
      </c>
      <c r="E594">
        <v>808387.63</v>
      </c>
      <c r="F594" t="s">
        <v>345</v>
      </c>
      <c r="G594" t="s">
        <v>400</v>
      </c>
      <c r="H594">
        <v>181011084158</v>
      </c>
      <c r="I594" t="str">
        <f>CashIntraTable[Portfolio]&amp;VALUE(CashIntraTable[Cash Date])&amp;CashIntraTable[Detail]</f>
        <v>SCBRMJP433841.2. Switch-in</v>
      </c>
    </row>
    <row r="595" spans="1:9" x14ac:dyDescent="0.2">
      <c r="A595" t="s">
        <v>468</v>
      </c>
      <c r="B595" t="s">
        <v>23</v>
      </c>
      <c r="C595" s="67">
        <v>43385</v>
      </c>
      <c r="D595" t="s">
        <v>399</v>
      </c>
      <c r="E595">
        <v>710698.21</v>
      </c>
      <c r="F595" t="s">
        <v>345</v>
      </c>
      <c r="G595" t="s">
        <v>400</v>
      </c>
      <c r="H595">
        <v>181011084158</v>
      </c>
      <c r="I595" t="str">
        <f>CashIntraTable[Portfolio]&amp;VALUE(CashIntraTable[Cash Date])&amp;CashIntraTable[Detail]</f>
        <v>SCBRMJP433851.2. Switch-in</v>
      </c>
    </row>
    <row r="596" spans="1:9" x14ac:dyDescent="0.2">
      <c r="A596" t="s">
        <v>468</v>
      </c>
      <c r="B596" t="s">
        <v>23</v>
      </c>
      <c r="C596" s="67">
        <v>43389</v>
      </c>
      <c r="D596" t="s">
        <v>399</v>
      </c>
      <c r="E596">
        <v>999251.91</v>
      </c>
      <c r="F596" t="s">
        <v>345</v>
      </c>
      <c r="G596" t="s">
        <v>400</v>
      </c>
      <c r="H596">
        <v>181011084158</v>
      </c>
      <c r="I596" t="str">
        <f>CashIntraTable[Portfolio]&amp;VALUE(CashIntraTable[Cash Date])&amp;CashIntraTable[Detail]</f>
        <v>SCBRMJP433891.2. Switch-in</v>
      </c>
    </row>
    <row r="597" spans="1:9" x14ac:dyDescent="0.2">
      <c r="A597" t="s">
        <v>468</v>
      </c>
      <c r="B597" t="s">
        <v>23</v>
      </c>
      <c r="C597" s="67">
        <v>43384</v>
      </c>
      <c r="D597" t="s">
        <v>399</v>
      </c>
      <c r="E597">
        <v>-316716.65000000002</v>
      </c>
      <c r="F597" t="s">
        <v>347</v>
      </c>
      <c r="G597" t="s">
        <v>400</v>
      </c>
      <c r="H597">
        <v>181011084158</v>
      </c>
      <c r="I597" t="str">
        <f>CashIntraTable[Portfolio]&amp;VALUE(CashIntraTable[Cash Date])&amp;CashIntraTable[Detail]</f>
        <v>SCBRMJP433842.2. Switch-out</v>
      </c>
    </row>
    <row r="598" spans="1:9" x14ac:dyDescent="0.2">
      <c r="A598" t="s">
        <v>468</v>
      </c>
      <c r="B598" t="s">
        <v>23</v>
      </c>
      <c r="C598" s="67">
        <v>43385</v>
      </c>
      <c r="D598" t="s">
        <v>399</v>
      </c>
      <c r="E598">
        <v>-63025.86</v>
      </c>
      <c r="F598" t="s">
        <v>347</v>
      </c>
      <c r="G598" t="s">
        <v>400</v>
      </c>
      <c r="H598">
        <v>181011084158</v>
      </c>
      <c r="I598" t="str">
        <f>CashIntraTable[Portfolio]&amp;VALUE(CashIntraTable[Cash Date])&amp;CashIntraTable[Detail]</f>
        <v>SCBRMJP433852.2. Switch-out</v>
      </c>
    </row>
    <row r="599" spans="1:9" x14ac:dyDescent="0.2">
      <c r="A599" t="s">
        <v>468</v>
      </c>
      <c r="B599" t="s">
        <v>23</v>
      </c>
      <c r="C599" s="67">
        <v>43389</v>
      </c>
      <c r="D599" t="s">
        <v>399</v>
      </c>
      <c r="E599">
        <v>-105669.21</v>
      </c>
      <c r="F599" t="s">
        <v>347</v>
      </c>
      <c r="G599" t="s">
        <v>400</v>
      </c>
      <c r="H599">
        <v>181011084158</v>
      </c>
      <c r="I599" t="str">
        <f>CashIntraTable[Portfolio]&amp;VALUE(CashIntraTable[Cash Date])&amp;CashIntraTable[Detail]</f>
        <v>SCBRMJP433892.2. Switch-out</v>
      </c>
    </row>
    <row r="600" spans="1:9" x14ac:dyDescent="0.2">
      <c r="A600" t="s">
        <v>468</v>
      </c>
      <c r="B600" t="s">
        <v>23</v>
      </c>
      <c r="C600" s="67">
        <v>43390</v>
      </c>
      <c r="D600" t="s">
        <v>399</v>
      </c>
      <c r="E600">
        <v>-971.96</v>
      </c>
      <c r="F600" t="s">
        <v>347</v>
      </c>
      <c r="G600" t="s">
        <v>400</v>
      </c>
      <c r="H600">
        <v>181011084158</v>
      </c>
      <c r="I600" t="str">
        <f>CashIntraTable[Portfolio]&amp;VALUE(CashIntraTable[Cash Date])&amp;CashIntraTable[Detail]</f>
        <v>SCBRMJP433902.2. Switch-out</v>
      </c>
    </row>
    <row r="601" spans="1:9" x14ac:dyDescent="0.2">
      <c r="A601" t="s">
        <v>469</v>
      </c>
      <c r="B601" t="s">
        <v>23</v>
      </c>
      <c r="C601" s="67">
        <v>43384</v>
      </c>
      <c r="D601" t="s">
        <v>399</v>
      </c>
      <c r="E601">
        <v>9000</v>
      </c>
      <c r="F601" t="s">
        <v>344</v>
      </c>
      <c r="G601" t="s">
        <v>400</v>
      </c>
      <c r="H601">
        <v>181011084158</v>
      </c>
      <c r="I601" t="str">
        <f>CashIntraTable[Portfolio]&amp;VALUE(CashIntraTable[Cash Date])&amp;CashIntraTable[Detail]</f>
        <v>SCBRMPOP433841.1. Subscription</v>
      </c>
    </row>
    <row r="602" spans="1:9" x14ac:dyDescent="0.2">
      <c r="A602" t="s">
        <v>469</v>
      </c>
      <c r="B602" t="s">
        <v>23</v>
      </c>
      <c r="C602" s="67">
        <v>43384</v>
      </c>
      <c r="D602" t="s">
        <v>399</v>
      </c>
      <c r="E602">
        <v>9000</v>
      </c>
      <c r="F602" t="s">
        <v>348</v>
      </c>
      <c r="G602" t="s">
        <v>400</v>
      </c>
      <c r="H602">
        <v>181011084158</v>
      </c>
      <c r="I602" t="str">
        <f>CashIntraTable[Portfolio]&amp;VALUE(CashIntraTable[Cash Date])&amp;CashIntraTable[Detail]</f>
        <v>SCBRMPOP433841.1. Subscription (Chq)</v>
      </c>
    </row>
    <row r="603" spans="1:9" x14ac:dyDescent="0.2">
      <c r="A603" t="s">
        <v>469</v>
      </c>
      <c r="B603" t="s">
        <v>23</v>
      </c>
      <c r="C603" s="67">
        <v>43384</v>
      </c>
      <c r="D603" t="s">
        <v>399</v>
      </c>
      <c r="E603">
        <v>279991.74</v>
      </c>
      <c r="F603" t="s">
        <v>345</v>
      </c>
      <c r="G603" t="s">
        <v>400</v>
      </c>
      <c r="H603">
        <v>181011084158</v>
      </c>
      <c r="I603" t="str">
        <f>CashIntraTable[Portfolio]&amp;VALUE(CashIntraTable[Cash Date])&amp;CashIntraTable[Detail]</f>
        <v>SCBRMPOP433841.2. Switch-in</v>
      </c>
    </row>
    <row r="604" spans="1:9" x14ac:dyDescent="0.2">
      <c r="A604" t="s">
        <v>469</v>
      </c>
      <c r="B604" t="s">
        <v>23</v>
      </c>
      <c r="C604" s="67">
        <v>43385</v>
      </c>
      <c r="D604" t="s">
        <v>399</v>
      </c>
      <c r="E604">
        <v>-50354.5</v>
      </c>
      <c r="F604" t="s">
        <v>346</v>
      </c>
      <c r="G604" t="s">
        <v>400</v>
      </c>
      <c r="H604">
        <v>181011084158</v>
      </c>
      <c r="I604" t="str">
        <f>CashIntraTable[Portfolio]&amp;VALUE(CashIntraTable[Cash Date])&amp;CashIntraTable[Detail]</f>
        <v>SCBRMPOP433852.1. Redemption</v>
      </c>
    </row>
    <row r="605" spans="1:9" x14ac:dyDescent="0.2">
      <c r="A605" t="s">
        <v>469</v>
      </c>
      <c r="B605" t="s">
        <v>23</v>
      </c>
      <c r="C605" s="67">
        <v>43385</v>
      </c>
      <c r="D605" t="s">
        <v>399</v>
      </c>
      <c r="E605">
        <v>-138222.68</v>
      </c>
      <c r="F605" t="s">
        <v>347</v>
      </c>
      <c r="G605" t="s">
        <v>400</v>
      </c>
      <c r="H605">
        <v>181011084158</v>
      </c>
      <c r="I605" t="str">
        <f>CashIntraTable[Portfolio]&amp;VALUE(CashIntraTable[Cash Date])&amp;CashIntraTable[Detail]</f>
        <v>SCBRMPOP433852.2. Switch-out</v>
      </c>
    </row>
    <row r="606" spans="1:9" x14ac:dyDescent="0.2">
      <c r="A606" t="s">
        <v>470</v>
      </c>
      <c r="B606" t="s">
        <v>23</v>
      </c>
      <c r="C606" s="67">
        <v>43384</v>
      </c>
      <c r="D606" t="s">
        <v>399</v>
      </c>
      <c r="E606">
        <v>222750</v>
      </c>
      <c r="F606" t="s">
        <v>344</v>
      </c>
      <c r="G606" t="s">
        <v>400</v>
      </c>
      <c r="H606">
        <v>181011084158</v>
      </c>
      <c r="I606" t="str">
        <f>CashIntraTable[Portfolio]&amp;VALUE(CashIntraTable[Cash Date])&amp;CashIntraTable[Detail]</f>
        <v>SCBRMS50433841.1. Subscription</v>
      </c>
    </row>
    <row r="607" spans="1:9" x14ac:dyDescent="0.2">
      <c r="A607" t="s">
        <v>470</v>
      </c>
      <c r="B607" t="s">
        <v>23</v>
      </c>
      <c r="C607" s="67">
        <v>43385</v>
      </c>
      <c r="D607" t="s">
        <v>399</v>
      </c>
      <c r="E607">
        <v>1000</v>
      </c>
      <c r="F607" t="s">
        <v>344</v>
      </c>
      <c r="G607" t="s">
        <v>400</v>
      </c>
      <c r="H607">
        <v>181011084158</v>
      </c>
      <c r="I607" t="str">
        <f>CashIntraTable[Portfolio]&amp;VALUE(CashIntraTable[Cash Date])&amp;CashIntraTable[Detail]</f>
        <v>SCBRMS50433851.1. Subscription</v>
      </c>
    </row>
    <row r="608" spans="1:9" x14ac:dyDescent="0.2">
      <c r="A608" t="s">
        <v>470</v>
      </c>
      <c r="B608" t="s">
        <v>23</v>
      </c>
      <c r="C608" s="67">
        <v>43384</v>
      </c>
      <c r="D608" t="s">
        <v>399</v>
      </c>
      <c r="E608">
        <v>1204633.1000000001</v>
      </c>
      <c r="F608" t="s">
        <v>348</v>
      </c>
      <c r="G608" t="s">
        <v>400</v>
      </c>
      <c r="H608">
        <v>181011084158</v>
      </c>
      <c r="I608" t="str">
        <f>CashIntraTable[Portfolio]&amp;VALUE(CashIntraTable[Cash Date])&amp;CashIntraTable[Detail]</f>
        <v>SCBRMS50433841.1. Subscription (Chq)</v>
      </c>
    </row>
    <row r="609" spans="1:9" x14ac:dyDescent="0.2">
      <c r="A609" t="s">
        <v>470</v>
      </c>
      <c r="B609" t="s">
        <v>23</v>
      </c>
      <c r="C609" s="67">
        <v>43385</v>
      </c>
      <c r="D609" t="s">
        <v>399</v>
      </c>
      <c r="E609">
        <v>33000</v>
      </c>
      <c r="F609" t="s">
        <v>348</v>
      </c>
      <c r="G609" t="s">
        <v>400</v>
      </c>
      <c r="H609">
        <v>181011084158</v>
      </c>
      <c r="I609" t="str">
        <f>CashIntraTable[Portfolio]&amp;VALUE(CashIntraTable[Cash Date])&amp;CashIntraTable[Detail]</f>
        <v>SCBRMS50433851.1. Subscription (Chq)</v>
      </c>
    </row>
    <row r="610" spans="1:9" x14ac:dyDescent="0.2">
      <c r="A610" t="s">
        <v>470</v>
      </c>
      <c r="B610" t="s">
        <v>23</v>
      </c>
      <c r="C610" s="67">
        <v>43384</v>
      </c>
      <c r="D610" t="s">
        <v>399</v>
      </c>
      <c r="E610">
        <v>5905396.5599999996</v>
      </c>
      <c r="F610" t="s">
        <v>345</v>
      </c>
      <c r="G610" t="s">
        <v>400</v>
      </c>
      <c r="H610">
        <v>181011084158</v>
      </c>
      <c r="I610" t="str">
        <f>CashIntraTable[Portfolio]&amp;VALUE(CashIntraTable[Cash Date])&amp;CashIntraTable[Detail]</f>
        <v>SCBRMS50433841.2. Switch-in</v>
      </c>
    </row>
    <row r="611" spans="1:9" x14ac:dyDescent="0.2">
      <c r="A611" t="s">
        <v>470</v>
      </c>
      <c r="B611" t="s">
        <v>23</v>
      </c>
      <c r="C611" s="67">
        <v>43385</v>
      </c>
      <c r="D611" t="s">
        <v>399</v>
      </c>
      <c r="E611">
        <v>11432358.949999999</v>
      </c>
      <c r="F611" t="s">
        <v>345</v>
      </c>
      <c r="G611" t="s">
        <v>400</v>
      </c>
      <c r="H611">
        <v>181011084158</v>
      </c>
      <c r="I611" t="str">
        <f>CashIntraTable[Portfolio]&amp;VALUE(CashIntraTable[Cash Date])&amp;CashIntraTable[Detail]</f>
        <v>SCBRMS50433851.2. Switch-in</v>
      </c>
    </row>
    <row r="612" spans="1:9" x14ac:dyDescent="0.2">
      <c r="A612" t="s">
        <v>470</v>
      </c>
      <c r="B612" t="s">
        <v>23</v>
      </c>
      <c r="C612" s="67">
        <v>43389</v>
      </c>
      <c r="D612" t="s">
        <v>399</v>
      </c>
      <c r="E612">
        <v>50000</v>
      </c>
      <c r="F612" t="s">
        <v>345</v>
      </c>
      <c r="G612" t="s">
        <v>400</v>
      </c>
      <c r="H612">
        <v>181011084158</v>
      </c>
      <c r="I612" t="str">
        <f>CashIntraTable[Portfolio]&amp;VALUE(CashIntraTable[Cash Date])&amp;CashIntraTable[Detail]</f>
        <v>SCBRMS50433891.2. Switch-in</v>
      </c>
    </row>
    <row r="613" spans="1:9" x14ac:dyDescent="0.2">
      <c r="A613" t="s">
        <v>470</v>
      </c>
      <c r="B613" t="s">
        <v>23</v>
      </c>
      <c r="C613" s="67">
        <v>43390</v>
      </c>
      <c r="D613" t="s">
        <v>399</v>
      </c>
      <c r="E613">
        <v>3908.87</v>
      </c>
      <c r="F613" t="s">
        <v>345</v>
      </c>
      <c r="G613" t="s">
        <v>400</v>
      </c>
      <c r="H613">
        <v>181011084158</v>
      </c>
      <c r="I613" t="str">
        <f>CashIntraTable[Portfolio]&amp;VALUE(CashIntraTable[Cash Date])&amp;CashIntraTable[Detail]</f>
        <v>SCBRMS50433901.2. Switch-in</v>
      </c>
    </row>
    <row r="614" spans="1:9" x14ac:dyDescent="0.2">
      <c r="A614" t="s">
        <v>470</v>
      </c>
      <c r="B614" t="s">
        <v>23</v>
      </c>
      <c r="C614" s="67">
        <v>43391</v>
      </c>
      <c r="D614" t="s">
        <v>399</v>
      </c>
      <c r="E614">
        <v>290586.18</v>
      </c>
      <c r="F614" t="s">
        <v>345</v>
      </c>
      <c r="G614" t="s">
        <v>400</v>
      </c>
      <c r="H614">
        <v>181011084158</v>
      </c>
      <c r="I614" t="str">
        <f>CashIntraTable[Portfolio]&amp;VALUE(CashIntraTable[Cash Date])&amp;CashIntraTable[Detail]</f>
        <v>SCBRMS50433911.2. Switch-in</v>
      </c>
    </row>
    <row r="615" spans="1:9" x14ac:dyDescent="0.2">
      <c r="A615" t="s">
        <v>470</v>
      </c>
      <c r="B615" t="s">
        <v>23</v>
      </c>
      <c r="C615" s="67">
        <v>43384</v>
      </c>
      <c r="D615" t="s">
        <v>399</v>
      </c>
      <c r="E615">
        <v>-119272.6</v>
      </c>
      <c r="F615" t="s">
        <v>346</v>
      </c>
      <c r="G615" t="s">
        <v>400</v>
      </c>
      <c r="H615">
        <v>181011084158</v>
      </c>
      <c r="I615" t="str">
        <f>CashIntraTable[Portfolio]&amp;VALUE(CashIntraTable[Cash Date])&amp;CashIntraTable[Detail]</f>
        <v>SCBRMS50433842.1. Redemption</v>
      </c>
    </row>
    <row r="616" spans="1:9" x14ac:dyDescent="0.2">
      <c r="A616" t="s">
        <v>470</v>
      </c>
      <c r="B616" t="s">
        <v>23</v>
      </c>
      <c r="C616" s="67">
        <v>43385</v>
      </c>
      <c r="D616" t="s">
        <v>399</v>
      </c>
      <c r="E616">
        <v>-391650.99</v>
      </c>
      <c r="F616" t="s">
        <v>346</v>
      </c>
      <c r="G616" t="s">
        <v>400</v>
      </c>
      <c r="H616">
        <v>181011084158</v>
      </c>
      <c r="I616" t="str">
        <f>CashIntraTable[Portfolio]&amp;VALUE(CashIntraTable[Cash Date])&amp;CashIntraTable[Detail]</f>
        <v>SCBRMS50433852.1. Redemption</v>
      </c>
    </row>
    <row r="617" spans="1:9" x14ac:dyDescent="0.2">
      <c r="A617" t="s">
        <v>470</v>
      </c>
      <c r="B617" t="s">
        <v>23</v>
      </c>
      <c r="C617" s="67">
        <v>43389</v>
      </c>
      <c r="D617" t="s">
        <v>399</v>
      </c>
      <c r="E617">
        <v>-30000</v>
      </c>
      <c r="F617" t="s">
        <v>346</v>
      </c>
      <c r="G617" t="s">
        <v>400</v>
      </c>
      <c r="H617">
        <v>181011084158</v>
      </c>
      <c r="I617" t="str">
        <f>CashIntraTable[Portfolio]&amp;VALUE(CashIntraTable[Cash Date])&amp;CashIntraTable[Detail]</f>
        <v>SCBRMS50433892.1. Redemption</v>
      </c>
    </row>
    <row r="618" spans="1:9" x14ac:dyDescent="0.2">
      <c r="A618" t="s">
        <v>470</v>
      </c>
      <c r="B618" t="s">
        <v>23</v>
      </c>
      <c r="C618" s="67">
        <v>43384</v>
      </c>
      <c r="D618" t="s">
        <v>399</v>
      </c>
      <c r="E618">
        <v>-1119381.01</v>
      </c>
      <c r="F618" t="s">
        <v>347</v>
      </c>
      <c r="G618" t="s">
        <v>400</v>
      </c>
      <c r="H618">
        <v>181011084158</v>
      </c>
      <c r="I618" t="str">
        <f>CashIntraTable[Portfolio]&amp;VALUE(CashIntraTable[Cash Date])&amp;CashIntraTable[Detail]</f>
        <v>SCBRMS50433842.2. Switch-out</v>
      </c>
    </row>
    <row r="619" spans="1:9" x14ac:dyDescent="0.2">
      <c r="A619" t="s">
        <v>470</v>
      </c>
      <c r="B619" t="s">
        <v>23</v>
      </c>
      <c r="C619" s="67">
        <v>43385</v>
      </c>
      <c r="D619" t="s">
        <v>399</v>
      </c>
      <c r="E619">
        <v>-1182685.17</v>
      </c>
      <c r="F619" t="s">
        <v>347</v>
      </c>
      <c r="G619" t="s">
        <v>400</v>
      </c>
      <c r="H619">
        <v>181011084158</v>
      </c>
      <c r="I619" t="str">
        <f>CashIntraTable[Portfolio]&amp;VALUE(CashIntraTable[Cash Date])&amp;CashIntraTable[Detail]</f>
        <v>SCBRMS50433852.2. Switch-out</v>
      </c>
    </row>
    <row r="620" spans="1:9" x14ac:dyDescent="0.2">
      <c r="A620" t="s">
        <v>470</v>
      </c>
      <c r="B620" t="s">
        <v>23</v>
      </c>
      <c r="C620" s="67">
        <v>43389</v>
      </c>
      <c r="D620" t="s">
        <v>399</v>
      </c>
      <c r="E620">
        <v>-2301755.4300000002</v>
      </c>
      <c r="F620" t="s">
        <v>347</v>
      </c>
      <c r="G620" t="s">
        <v>400</v>
      </c>
      <c r="H620">
        <v>181011084158</v>
      </c>
      <c r="I620" t="str">
        <f>CashIntraTable[Portfolio]&amp;VALUE(CashIntraTable[Cash Date])&amp;CashIntraTable[Detail]</f>
        <v>SCBRMS50433892.2. Switch-out</v>
      </c>
    </row>
    <row r="621" spans="1:9" x14ac:dyDescent="0.2">
      <c r="A621" t="s">
        <v>471</v>
      </c>
      <c r="B621" t="s">
        <v>23</v>
      </c>
      <c r="C621" s="67">
        <v>43384</v>
      </c>
      <c r="D621" t="s">
        <v>399</v>
      </c>
      <c r="E621">
        <v>797491.75</v>
      </c>
      <c r="F621" t="s">
        <v>344</v>
      </c>
      <c r="G621" t="s">
        <v>400</v>
      </c>
      <c r="H621">
        <v>181011084158</v>
      </c>
      <c r="I621" t="str">
        <f>CashIntraTable[Portfolio]&amp;VALUE(CashIntraTable[Cash Date])&amp;CashIntraTable[Detail]</f>
        <v>SCBROBO433841.1. Subscription</v>
      </c>
    </row>
    <row r="622" spans="1:9" x14ac:dyDescent="0.2">
      <c r="A622" t="s">
        <v>471</v>
      </c>
      <c r="B622" t="s">
        <v>23</v>
      </c>
      <c r="C622" s="67">
        <v>43385</v>
      </c>
      <c r="D622" t="s">
        <v>399</v>
      </c>
      <c r="E622">
        <v>2052700</v>
      </c>
      <c r="F622" t="s">
        <v>344</v>
      </c>
      <c r="G622" t="s">
        <v>400</v>
      </c>
      <c r="H622">
        <v>181011084158</v>
      </c>
      <c r="I622" t="str">
        <f>CashIntraTable[Portfolio]&amp;VALUE(CashIntraTable[Cash Date])&amp;CashIntraTable[Detail]</f>
        <v>SCBROBO433851.1. Subscription</v>
      </c>
    </row>
    <row r="623" spans="1:9" x14ac:dyDescent="0.2">
      <c r="A623" t="s">
        <v>471</v>
      </c>
      <c r="B623" t="s">
        <v>23</v>
      </c>
      <c r="C623" s="67">
        <v>43384</v>
      </c>
      <c r="D623" t="s">
        <v>399</v>
      </c>
      <c r="E623">
        <v>1549999.47</v>
      </c>
      <c r="F623" t="s">
        <v>345</v>
      </c>
      <c r="G623" t="s">
        <v>400</v>
      </c>
      <c r="H623">
        <v>181011084158</v>
      </c>
      <c r="I623" t="str">
        <f>CashIntraTable[Portfolio]&amp;VALUE(CashIntraTable[Cash Date])&amp;CashIntraTable[Detail]</f>
        <v>SCBROBO433841.2. Switch-in</v>
      </c>
    </row>
    <row r="624" spans="1:9" x14ac:dyDescent="0.2">
      <c r="A624" t="s">
        <v>471</v>
      </c>
      <c r="B624" t="s">
        <v>23</v>
      </c>
      <c r="C624" s="67">
        <v>43385</v>
      </c>
      <c r="D624" t="s">
        <v>399</v>
      </c>
      <c r="E624">
        <v>4917.63</v>
      </c>
      <c r="F624" t="s">
        <v>345</v>
      </c>
      <c r="G624" t="s">
        <v>400</v>
      </c>
      <c r="H624">
        <v>181011084158</v>
      </c>
      <c r="I624" t="str">
        <f>CashIntraTable[Portfolio]&amp;VALUE(CashIntraTable[Cash Date])&amp;CashIntraTable[Detail]</f>
        <v>SCBROBO433851.2. Switch-in</v>
      </c>
    </row>
    <row r="625" spans="1:9" x14ac:dyDescent="0.2">
      <c r="A625" t="s">
        <v>471</v>
      </c>
      <c r="B625" t="s">
        <v>23</v>
      </c>
      <c r="C625" s="67">
        <v>43390</v>
      </c>
      <c r="D625" t="s">
        <v>399</v>
      </c>
      <c r="E625">
        <v>7504.85</v>
      </c>
      <c r="F625" t="s">
        <v>345</v>
      </c>
      <c r="G625" t="s">
        <v>400</v>
      </c>
      <c r="H625">
        <v>181011084158</v>
      </c>
      <c r="I625" t="str">
        <f>CashIntraTable[Portfolio]&amp;VALUE(CashIntraTable[Cash Date])&amp;CashIntraTable[Detail]</f>
        <v>SCBROBO433901.2. Switch-in</v>
      </c>
    </row>
    <row r="626" spans="1:9" x14ac:dyDescent="0.2">
      <c r="A626" t="s">
        <v>471</v>
      </c>
      <c r="B626" t="s">
        <v>23</v>
      </c>
      <c r="C626" s="67">
        <v>43384</v>
      </c>
      <c r="D626" t="s">
        <v>399</v>
      </c>
      <c r="E626">
        <v>-4019690.67</v>
      </c>
      <c r="F626" t="s">
        <v>346</v>
      </c>
      <c r="G626" t="s">
        <v>400</v>
      </c>
      <c r="H626">
        <v>181011084158</v>
      </c>
      <c r="I626" t="str">
        <f>CashIntraTable[Portfolio]&amp;VALUE(CashIntraTable[Cash Date])&amp;CashIntraTable[Detail]</f>
        <v>SCBROBO433842.1. Redemption</v>
      </c>
    </row>
    <row r="627" spans="1:9" x14ac:dyDescent="0.2">
      <c r="A627" t="s">
        <v>471</v>
      </c>
      <c r="B627" t="s">
        <v>23</v>
      </c>
      <c r="C627" s="67">
        <v>43385</v>
      </c>
      <c r="D627" t="s">
        <v>399</v>
      </c>
      <c r="E627">
        <v>-6234193.3300000001</v>
      </c>
      <c r="F627" t="s">
        <v>346</v>
      </c>
      <c r="G627" t="s">
        <v>400</v>
      </c>
      <c r="H627">
        <v>181011084158</v>
      </c>
      <c r="I627" t="str">
        <f>CashIntraTable[Portfolio]&amp;VALUE(CashIntraTable[Cash Date])&amp;CashIntraTable[Detail]</f>
        <v>SCBROBO433852.1. Redemption</v>
      </c>
    </row>
    <row r="628" spans="1:9" x14ac:dyDescent="0.2">
      <c r="A628" t="s">
        <v>471</v>
      </c>
      <c r="B628" t="s">
        <v>23</v>
      </c>
      <c r="C628" s="67">
        <v>43389</v>
      </c>
      <c r="D628" t="s">
        <v>399</v>
      </c>
      <c r="E628">
        <v>-18361867.899999999</v>
      </c>
      <c r="F628" t="s">
        <v>346</v>
      </c>
      <c r="G628" t="s">
        <v>400</v>
      </c>
      <c r="H628">
        <v>181011084158</v>
      </c>
      <c r="I628" t="str">
        <f>CashIntraTable[Portfolio]&amp;VALUE(CashIntraTable[Cash Date])&amp;CashIntraTable[Detail]</f>
        <v>SCBROBO433892.1. Redemption</v>
      </c>
    </row>
    <row r="629" spans="1:9" x14ac:dyDescent="0.2">
      <c r="A629" t="s">
        <v>471</v>
      </c>
      <c r="B629" t="s">
        <v>23</v>
      </c>
      <c r="C629" s="67">
        <v>43390</v>
      </c>
      <c r="D629" t="s">
        <v>399</v>
      </c>
      <c r="E629">
        <v>-615917.16</v>
      </c>
      <c r="F629" t="s">
        <v>346</v>
      </c>
      <c r="G629" t="s">
        <v>400</v>
      </c>
      <c r="H629">
        <v>181011084158</v>
      </c>
      <c r="I629" t="str">
        <f>CashIntraTable[Portfolio]&amp;VALUE(CashIntraTable[Cash Date])&amp;CashIntraTable[Detail]</f>
        <v>SCBROBO433902.1. Redemption</v>
      </c>
    </row>
    <row r="630" spans="1:9" x14ac:dyDescent="0.2">
      <c r="A630" t="s">
        <v>471</v>
      </c>
      <c r="B630" t="s">
        <v>23</v>
      </c>
      <c r="C630" s="67">
        <v>43384</v>
      </c>
      <c r="D630" t="s">
        <v>399</v>
      </c>
      <c r="E630">
        <v>-2800345.43</v>
      </c>
      <c r="F630" t="s">
        <v>347</v>
      </c>
      <c r="G630" t="s">
        <v>400</v>
      </c>
      <c r="H630">
        <v>181011084158</v>
      </c>
      <c r="I630" t="str">
        <f>CashIntraTable[Portfolio]&amp;VALUE(CashIntraTable[Cash Date])&amp;CashIntraTable[Detail]</f>
        <v>SCBROBO433842.2. Switch-out</v>
      </c>
    </row>
    <row r="631" spans="1:9" x14ac:dyDescent="0.2">
      <c r="A631" t="s">
        <v>471</v>
      </c>
      <c r="B631" t="s">
        <v>23</v>
      </c>
      <c r="C631" s="67">
        <v>43385</v>
      </c>
      <c r="D631" t="s">
        <v>399</v>
      </c>
      <c r="E631">
        <v>-8909757.3599999994</v>
      </c>
      <c r="F631" t="s">
        <v>347</v>
      </c>
      <c r="G631" t="s">
        <v>400</v>
      </c>
      <c r="H631">
        <v>181011084158</v>
      </c>
      <c r="I631" t="str">
        <f>CashIntraTable[Portfolio]&amp;VALUE(CashIntraTable[Cash Date])&amp;CashIntraTable[Detail]</f>
        <v>SCBROBO433852.2. Switch-out</v>
      </c>
    </row>
    <row r="632" spans="1:9" x14ac:dyDescent="0.2">
      <c r="A632" t="s">
        <v>471</v>
      </c>
      <c r="B632" t="s">
        <v>23</v>
      </c>
      <c r="C632" s="67">
        <v>43389</v>
      </c>
      <c r="D632" t="s">
        <v>399</v>
      </c>
      <c r="E632">
        <v>-2601227.29</v>
      </c>
      <c r="F632" t="s">
        <v>347</v>
      </c>
      <c r="G632" t="s">
        <v>400</v>
      </c>
      <c r="H632">
        <v>181011084158</v>
      </c>
      <c r="I632" t="str">
        <f>CashIntraTable[Portfolio]&amp;VALUE(CashIntraTable[Cash Date])&amp;CashIntraTable[Detail]</f>
        <v>SCBROBO433892.2. Switch-out</v>
      </c>
    </row>
    <row r="633" spans="1:9" x14ac:dyDescent="0.2">
      <c r="A633" t="s">
        <v>471</v>
      </c>
      <c r="B633" t="s">
        <v>23</v>
      </c>
      <c r="C633" s="67">
        <v>43390</v>
      </c>
      <c r="D633" t="s">
        <v>399</v>
      </c>
      <c r="E633">
        <v>-1156058.55</v>
      </c>
      <c r="F633" t="s">
        <v>347</v>
      </c>
      <c r="G633" t="s">
        <v>400</v>
      </c>
      <c r="H633">
        <v>181011084158</v>
      </c>
      <c r="I633" t="str">
        <f>CashIntraTable[Portfolio]&amp;VALUE(CashIntraTable[Cash Date])&amp;CashIntraTable[Detail]</f>
        <v>SCBROBO433902.2. Switch-out</v>
      </c>
    </row>
    <row r="634" spans="1:9" x14ac:dyDescent="0.2">
      <c r="A634" t="s">
        <v>472</v>
      </c>
      <c r="B634" t="s">
        <v>23</v>
      </c>
      <c r="C634" s="67">
        <v>43384</v>
      </c>
      <c r="D634" t="s">
        <v>399</v>
      </c>
      <c r="E634">
        <v>9514130</v>
      </c>
      <c r="F634" t="s">
        <v>344</v>
      </c>
      <c r="G634" t="s">
        <v>400</v>
      </c>
      <c r="H634">
        <v>181011084158</v>
      </c>
      <c r="I634" t="str">
        <f>CashIntraTable[Portfolio]&amp;VALUE(CashIntraTable[Cash Date])&amp;CashIntraTable[Detail]</f>
        <v>SCBS&amp;P500433841.1. Subscription</v>
      </c>
    </row>
    <row r="635" spans="1:9" x14ac:dyDescent="0.2">
      <c r="A635" t="s">
        <v>472</v>
      </c>
      <c r="B635" t="s">
        <v>23</v>
      </c>
      <c r="C635" s="67">
        <v>43385</v>
      </c>
      <c r="D635" t="s">
        <v>399</v>
      </c>
      <c r="E635">
        <v>67500</v>
      </c>
      <c r="F635" t="s">
        <v>344</v>
      </c>
      <c r="G635" t="s">
        <v>400</v>
      </c>
      <c r="H635">
        <v>181011084158</v>
      </c>
      <c r="I635" t="str">
        <f>CashIntraTable[Portfolio]&amp;VALUE(CashIntraTable[Cash Date])&amp;CashIntraTable[Detail]</f>
        <v>SCBS&amp;P500433851.1. Subscription</v>
      </c>
    </row>
    <row r="636" spans="1:9" x14ac:dyDescent="0.2">
      <c r="A636" t="s">
        <v>472</v>
      </c>
      <c r="B636" t="s">
        <v>23</v>
      </c>
      <c r="C636" s="67">
        <v>43384</v>
      </c>
      <c r="D636" t="s">
        <v>399</v>
      </c>
      <c r="E636">
        <v>559810.30000000005</v>
      </c>
      <c r="F636" t="s">
        <v>345</v>
      </c>
      <c r="G636" t="s">
        <v>400</v>
      </c>
      <c r="H636">
        <v>181011084158</v>
      </c>
      <c r="I636" t="str">
        <f>CashIntraTable[Portfolio]&amp;VALUE(CashIntraTable[Cash Date])&amp;CashIntraTable[Detail]</f>
        <v>SCBS&amp;P500433841.2. Switch-in</v>
      </c>
    </row>
    <row r="637" spans="1:9" x14ac:dyDescent="0.2">
      <c r="A637" t="s">
        <v>472</v>
      </c>
      <c r="B637" t="s">
        <v>23</v>
      </c>
      <c r="C637" s="67">
        <v>43385</v>
      </c>
      <c r="D637" t="s">
        <v>399</v>
      </c>
      <c r="E637">
        <v>5075452.63</v>
      </c>
      <c r="F637" t="s">
        <v>345</v>
      </c>
      <c r="G637" t="s">
        <v>400</v>
      </c>
      <c r="H637">
        <v>181011084158</v>
      </c>
      <c r="I637" t="str">
        <f>CashIntraTable[Portfolio]&amp;VALUE(CashIntraTable[Cash Date])&amp;CashIntraTable[Detail]</f>
        <v>SCBS&amp;P500433851.2. Switch-in</v>
      </c>
    </row>
    <row r="638" spans="1:9" x14ac:dyDescent="0.2">
      <c r="A638" t="s">
        <v>472</v>
      </c>
      <c r="B638" t="s">
        <v>23</v>
      </c>
      <c r="C638" s="67">
        <v>43384</v>
      </c>
      <c r="D638" t="s">
        <v>399</v>
      </c>
      <c r="E638">
        <v>-76795.100000000006</v>
      </c>
      <c r="F638" t="s">
        <v>346</v>
      </c>
      <c r="G638" t="s">
        <v>400</v>
      </c>
      <c r="H638">
        <v>181011084158</v>
      </c>
      <c r="I638" t="str">
        <f>CashIntraTable[Portfolio]&amp;VALUE(CashIntraTable[Cash Date])&amp;CashIntraTable[Detail]</f>
        <v>SCBS&amp;P500433842.1. Redemption</v>
      </c>
    </row>
    <row r="639" spans="1:9" x14ac:dyDescent="0.2">
      <c r="A639" t="s">
        <v>472</v>
      </c>
      <c r="B639" t="s">
        <v>23</v>
      </c>
      <c r="C639" s="67">
        <v>43385</v>
      </c>
      <c r="D639" t="s">
        <v>399</v>
      </c>
      <c r="E639">
        <v>-7787475.4100000001</v>
      </c>
      <c r="F639" t="s">
        <v>346</v>
      </c>
      <c r="G639" t="s">
        <v>400</v>
      </c>
      <c r="H639">
        <v>181011084158</v>
      </c>
      <c r="I639" t="str">
        <f>CashIntraTable[Portfolio]&amp;VALUE(CashIntraTable[Cash Date])&amp;CashIntraTable[Detail]</f>
        <v>SCBS&amp;P500433852.1. Redemption</v>
      </c>
    </row>
    <row r="640" spans="1:9" x14ac:dyDescent="0.2">
      <c r="A640" t="s">
        <v>472</v>
      </c>
      <c r="B640" t="s">
        <v>23</v>
      </c>
      <c r="C640" s="67">
        <v>43389</v>
      </c>
      <c r="D640" t="s">
        <v>399</v>
      </c>
      <c r="E640">
        <v>-423041.55</v>
      </c>
      <c r="F640" t="s">
        <v>346</v>
      </c>
      <c r="G640" t="s">
        <v>400</v>
      </c>
      <c r="H640">
        <v>181011084158</v>
      </c>
      <c r="I640" t="str">
        <f>CashIntraTable[Portfolio]&amp;VALUE(CashIntraTable[Cash Date])&amp;CashIntraTable[Detail]</f>
        <v>SCBS&amp;P500433892.1. Redemption</v>
      </c>
    </row>
    <row r="641" spans="1:9" x14ac:dyDescent="0.2">
      <c r="A641" t="s">
        <v>472</v>
      </c>
      <c r="B641" t="s">
        <v>23</v>
      </c>
      <c r="C641" s="67">
        <v>43390</v>
      </c>
      <c r="D641" t="s">
        <v>399</v>
      </c>
      <c r="E641">
        <v>-121680.5</v>
      </c>
      <c r="F641" t="s">
        <v>346</v>
      </c>
      <c r="G641" t="s">
        <v>400</v>
      </c>
      <c r="H641">
        <v>181011084158</v>
      </c>
      <c r="I641" t="str">
        <f>CashIntraTable[Portfolio]&amp;VALUE(CashIntraTable[Cash Date])&amp;CashIntraTable[Detail]</f>
        <v>SCBS&amp;P500433902.1. Redemption</v>
      </c>
    </row>
    <row r="642" spans="1:9" x14ac:dyDescent="0.2">
      <c r="A642" t="s">
        <v>472</v>
      </c>
      <c r="B642" t="s">
        <v>23</v>
      </c>
      <c r="C642" s="67">
        <v>43384</v>
      </c>
      <c r="D642" t="s">
        <v>399</v>
      </c>
      <c r="E642">
        <v>-6178.84</v>
      </c>
      <c r="F642" t="s">
        <v>347</v>
      </c>
      <c r="G642" t="s">
        <v>400</v>
      </c>
      <c r="H642">
        <v>181011084158</v>
      </c>
      <c r="I642" t="str">
        <f>CashIntraTable[Portfolio]&amp;VALUE(CashIntraTable[Cash Date])&amp;CashIntraTable[Detail]</f>
        <v>SCBS&amp;P500433842.2. Switch-out</v>
      </c>
    </row>
    <row r="643" spans="1:9" x14ac:dyDescent="0.2">
      <c r="A643" t="s">
        <v>472</v>
      </c>
      <c r="B643" t="s">
        <v>23</v>
      </c>
      <c r="C643" s="67">
        <v>43385</v>
      </c>
      <c r="D643" t="s">
        <v>399</v>
      </c>
      <c r="E643">
        <v>-101221.78</v>
      </c>
      <c r="F643" t="s">
        <v>347</v>
      </c>
      <c r="G643" t="s">
        <v>400</v>
      </c>
      <c r="H643">
        <v>181011084158</v>
      </c>
      <c r="I643" t="str">
        <f>CashIntraTable[Portfolio]&amp;VALUE(CashIntraTable[Cash Date])&amp;CashIntraTable[Detail]</f>
        <v>SCBS&amp;P500433852.2. Switch-out</v>
      </c>
    </row>
    <row r="644" spans="1:9" x14ac:dyDescent="0.2">
      <c r="A644" t="s">
        <v>473</v>
      </c>
      <c r="B644" t="s">
        <v>23</v>
      </c>
      <c r="C644" s="67">
        <v>43384</v>
      </c>
      <c r="D644" t="s">
        <v>399</v>
      </c>
      <c r="E644">
        <v>7226327.2599999998</v>
      </c>
      <c r="F644" t="s">
        <v>344</v>
      </c>
      <c r="G644" t="s">
        <v>400</v>
      </c>
      <c r="H644">
        <v>181011084158</v>
      </c>
      <c r="I644" t="str">
        <f>CashIntraTable[Portfolio]&amp;VALUE(CashIntraTable[Cash Date])&amp;CashIntraTable[Detail]</f>
        <v>SCBSEFUND433841.1. Subscription</v>
      </c>
    </row>
    <row r="645" spans="1:9" x14ac:dyDescent="0.2">
      <c r="A645" t="s">
        <v>473</v>
      </c>
      <c r="B645" t="s">
        <v>23</v>
      </c>
      <c r="C645" s="67">
        <v>43385</v>
      </c>
      <c r="D645" t="s">
        <v>399</v>
      </c>
      <c r="E645">
        <v>87164</v>
      </c>
      <c r="F645" t="s">
        <v>344</v>
      </c>
      <c r="G645" t="s">
        <v>400</v>
      </c>
      <c r="H645">
        <v>181011084158</v>
      </c>
      <c r="I645" t="str">
        <f>CashIntraTable[Portfolio]&amp;VALUE(CashIntraTable[Cash Date])&amp;CashIntraTable[Detail]</f>
        <v>SCBSEFUND433851.1. Subscription</v>
      </c>
    </row>
    <row r="646" spans="1:9" x14ac:dyDescent="0.2">
      <c r="A646" t="s">
        <v>473</v>
      </c>
      <c r="B646" t="s">
        <v>23</v>
      </c>
      <c r="C646" s="67">
        <v>43384</v>
      </c>
      <c r="D646" t="s">
        <v>399</v>
      </c>
      <c r="E646">
        <v>4765514.6399999997</v>
      </c>
      <c r="F646" t="s">
        <v>345</v>
      </c>
      <c r="G646" t="s">
        <v>400</v>
      </c>
      <c r="H646">
        <v>181011084158</v>
      </c>
      <c r="I646" t="str">
        <f>CashIntraTable[Portfolio]&amp;VALUE(CashIntraTable[Cash Date])&amp;CashIntraTable[Detail]</f>
        <v>SCBSEFUND433841.2. Switch-in</v>
      </c>
    </row>
    <row r="647" spans="1:9" x14ac:dyDescent="0.2">
      <c r="A647" t="s">
        <v>473</v>
      </c>
      <c r="B647" t="s">
        <v>23</v>
      </c>
      <c r="C647" s="67">
        <v>43385</v>
      </c>
      <c r="D647" t="s">
        <v>399</v>
      </c>
      <c r="E647">
        <v>50000</v>
      </c>
      <c r="F647" t="s">
        <v>345</v>
      </c>
      <c r="G647" t="s">
        <v>400</v>
      </c>
      <c r="H647">
        <v>181011084158</v>
      </c>
      <c r="I647" t="str">
        <f>CashIntraTable[Portfolio]&amp;VALUE(CashIntraTable[Cash Date])&amp;CashIntraTable[Detail]</f>
        <v>SCBSEFUND433851.2. Switch-in</v>
      </c>
    </row>
    <row r="648" spans="1:9" x14ac:dyDescent="0.2">
      <c r="A648" t="s">
        <v>473</v>
      </c>
      <c r="B648" t="s">
        <v>23</v>
      </c>
      <c r="C648" s="67">
        <v>43389</v>
      </c>
      <c r="D648" t="s">
        <v>399</v>
      </c>
      <c r="E648">
        <v>1993.42</v>
      </c>
      <c r="F648" t="s">
        <v>345</v>
      </c>
      <c r="G648" t="s">
        <v>400</v>
      </c>
      <c r="H648">
        <v>181011084158</v>
      </c>
      <c r="I648" t="str">
        <f>CashIntraTable[Portfolio]&amp;VALUE(CashIntraTable[Cash Date])&amp;CashIntraTable[Detail]</f>
        <v>SCBSEFUND433891.2. Switch-in</v>
      </c>
    </row>
    <row r="649" spans="1:9" x14ac:dyDescent="0.2">
      <c r="A649" t="s">
        <v>473</v>
      </c>
      <c r="B649" t="s">
        <v>23</v>
      </c>
      <c r="C649" s="67">
        <v>43391</v>
      </c>
      <c r="D649" t="s">
        <v>399</v>
      </c>
      <c r="E649">
        <v>445291.45</v>
      </c>
      <c r="F649" t="s">
        <v>345</v>
      </c>
      <c r="G649" t="s">
        <v>400</v>
      </c>
      <c r="H649">
        <v>181011084158</v>
      </c>
      <c r="I649" t="str">
        <f>CashIntraTable[Portfolio]&amp;VALUE(CashIntraTable[Cash Date])&amp;CashIntraTable[Detail]</f>
        <v>SCBSEFUND433911.2. Switch-in</v>
      </c>
    </row>
    <row r="650" spans="1:9" x14ac:dyDescent="0.2">
      <c r="A650" t="s">
        <v>473</v>
      </c>
      <c r="B650" t="s">
        <v>23</v>
      </c>
      <c r="C650" s="67">
        <v>43384</v>
      </c>
      <c r="D650" t="s">
        <v>399</v>
      </c>
      <c r="E650">
        <v>-1039370.87</v>
      </c>
      <c r="F650" t="s">
        <v>346</v>
      </c>
      <c r="G650" t="s">
        <v>400</v>
      </c>
      <c r="H650">
        <v>181011084158</v>
      </c>
      <c r="I650" t="str">
        <f>CashIntraTable[Portfolio]&amp;VALUE(CashIntraTable[Cash Date])&amp;CashIntraTable[Detail]</f>
        <v>SCBSEFUND433842.1. Redemption</v>
      </c>
    </row>
    <row r="651" spans="1:9" x14ac:dyDescent="0.2">
      <c r="A651" t="s">
        <v>473</v>
      </c>
      <c r="B651" t="s">
        <v>23</v>
      </c>
      <c r="C651" s="67">
        <v>43385</v>
      </c>
      <c r="D651" t="s">
        <v>399</v>
      </c>
      <c r="E651">
        <v>-180458.88</v>
      </c>
      <c r="F651" t="s">
        <v>346</v>
      </c>
      <c r="G651" t="s">
        <v>400</v>
      </c>
      <c r="H651">
        <v>181011084158</v>
      </c>
      <c r="I651" t="str">
        <f>CashIntraTable[Portfolio]&amp;VALUE(CashIntraTable[Cash Date])&amp;CashIntraTable[Detail]</f>
        <v>SCBSEFUND433852.1. Redemption</v>
      </c>
    </row>
    <row r="652" spans="1:9" x14ac:dyDescent="0.2">
      <c r="A652" t="s">
        <v>473</v>
      </c>
      <c r="B652" t="s">
        <v>23</v>
      </c>
      <c r="C652" s="67">
        <v>43389</v>
      </c>
      <c r="D652" t="s">
        <v>399</v>
      </c>
      <c r="E652">
        <v>-20602.87</v>
      </c>
      <c r="F652" t="s">
        <v>346</v>
      </c>
      <c r="G652" t="s">
        <v>400</v>
      </c>
      <c r="H652">
        <v>181011084158</v>
      </c>
      <c r="I652" t="str">
        <f>CashIntraTable[Portfolio]&amp;VALUE(CashIntraTable[Cash Date])&amp;CashIntraTable[Detail]</f>
        <v>SCBSEFUND433892.1. Redemption</v>
      </c>
    </row>
    <row r="653" spans="1:9" x14ac:dyDescent="0.2">
      <c r="A653" t="s">
        <v>473</v>
      </c>
      <c r="B653" t="s">
        <v>23</v>
      </c>
      <c r="C653" s="67">
        <v>43384</v>
      </c>
      <c r="D653" t="s">
        <v>399</v>
      </c>
      <c r="E653">
        <v>-152694.82999999999</v>
      </c>
      <c r="F653" t="s">
        <v>347</v>
      </c>
      <c r="G653" t="s">
        <v>400</v>
      </c>
      <c r="H653">
        <v>181011084158</v>
      </c>
      <c r="I653" t="str">
        <f>CashIntraTable[Portfolio]&amp;VALUE(CashIntraTable[Cash Date])&amp;CashIntraTable[Detail]</f>
        <v>SCBSEFUND433842.2. Switch-out</v>
      </c>
    </row>
    <row r="654" spans="1:9" x14ac:dyDescent="0.2">
      <c r="A654" t="s">
        <v>473</v>
      </c>
      <c r="B654" t="s">
        <v>23</v>
      </c>
      <c r="C654" s="67">
        <v>43385</v>
      </c>
      <c r="D654" t="s">
        <v>399</v>
      </c>
      <c r="E654">
        <v>-882010.09</v>
      </c>
      <c r="F654" t="s">
        <v>347</v>
      </c>
      <c r="G654" t="s">
        <v>400</v>
      </c>
      <c r="H654">
        <v>181011084158</v>
      </c>
      <c r="I654" t="str">
        <f>CashIntraTable[Portfolio]&amp;VALUE(CashIntraTable[Cash Date])&amp;CashIntraTable[Detail]</f>
        <v>SCBSEFUND433852.2. Switch-out</v>
      </c>
    </row>
    <row r="655" spans="1:9" x14ac:dyDescent="0.2">
      <c r="A655" t="s">
        <v>473</v>
      </c>
      <c r="B655" t="s">
        <v>23</v>
      </c>
      <c r="C655" s="67">
        <v>43389</v>
      </c>
      <c r="D655" t="s">
        <v>399</v>
      </c>
      <c r="E655">
        <v>-2000</v>
      </c>
      <c r="F655" t="s">
        <v>347</v>
      </c>
      <c r="G655" t="s">
        <v>400</v>
      </c>
      <c r="H655">
        <v>181011084158</v>
      </c>
      <c r="I655" t="str">
        <f>CashIntraTable[Portfolio]&amp;VALUE(CashIntraTable[Cash Date])&amp;CashIntraTable[Detail]</f>
        <v>SCBSEFUND433892.2. Switch-out</v>
      </c>
    </row>
    <row r="656" spans="1:9" x14ac:dyDescent="0.2">
      <c r="A656" t="s">
        <v>474</v>
      </c>
      <c r="B656" t="s">
        <v>23</v>
      </c>
      <c r="C656" s="67">
        <v>43384</v>
      </c>
      <c r="D656" t="s">
        <v>399</v>
      </c>
      <c r="E656">
        <v>23616549.129999999</v>
      </c>
      <c r="F656" t="s">
        <v>344</v>
      </c>
      <c r="G656" t="s">
        <v>400</v>
      </c>
      <c r="H656">
        <v>181011084158</v>
      </c>
      <c r="I656" t="str">
        <f>CashIntraTable[Portfolio]&amp;VALUE(CashIntraTable[Cash Date])&amp;CashIntraTable[Detail]</f>
        <v>SCBSET50FUND433841.1. Subscription</v>
      </c>
    </row>
    <row r="657" spans="1:9" x14ac:dyDescent="0.2">
      <c r="A657" t="s">
        <v>474</v>
      </c>
      <c r="B657" t="s">
        <v>23</v>
      </c>
      <c r="C657" s="67">
        <v>43385</v>
      </c>
      <c r="D657" t="s">
        <v>399</v>
      </c>
      <c r="E657">
        <v>740300</v>
      </c>
      <c r="F657" t="s">
        <v>344</v>
      </c>
      <c r="G657" t="s">
        <v>400</v>
      </c>
      <c r="H657">
        <v>181011084158</v>
      </c>
      <c r="I657" t="str">
        <f>CashIntraTable[Portfolio]&amp;VALUE(CashIntraTable[Cash Date])&amp;CashIntraTable[Detail]</f>
        <v>SCBSET50FUND433851.1. Subscription</v>
      </c>
    </row>
    <row r="658" spans="1:9" x14ac:dyDescent="0.2">
      <c r="A658" t="s">
        <v>474</v>
      </c>
      <c r="B658" t="s">
        <v>23</v>
      </c>
      <c r="C658" s="67">
        <v>43384</v>
      </c>
      <c r="D658" t="s">
        <v>399</v>
      </c>
      <c r="E658">
        <v>30745365.27</v>
      </c>
      <c r="F658" t="s">
        <v>345</v>
      </c>
      <c r="G658" t="s">
        <v>400</v>
      </c>
      <c r="H658">
        <v>181011084158</v>
      </c>
      <c r="I658" t="str">
        <f>CashIntraTable[Portfolio]&amp;VALUE(CashIntraTable[Cash Date])&amp;CashIntraTable[Detail]</f>
        <v>SCBSET50FUND433841.2. Switch-in</v>
      </c>
    </row>
    <row r="659" spans="1:9" x14ac:dyDescent="0.2">
      <c r="A659" t="s">
        <v>474</v>
      </c>
      <c r="B659" t="s">
        <v>23</v>
      </c>
      <c r="C659" s="67">
        <v>43385</v>
      </c>
      <c r="D659" t="s">
        <v>399</v>
      </c>
      <c r="E659">
        <v>6037819.5800000001</v>
      </c>
      <c r="F659" t="s">
        <v>345</v>
      </c>
      <c r="G659" t="s">
        <v>400</v>
      </c>
      <c r="H659">
        <v>181011084158</v>
      </c>
      <c r="I659" t="str">
        <f>CashIntraTable[Portfolio]&amp;VALUE(CashIntraTable[Cash Date])&amp;CashIntraTable[Detail]</f>
        <v>SCBSET50FUND433851.2. Switch-in</v>
      </c>
    </row>
    <row r="660" spans="1:9" x14ac:dyDescent="0.2">
      <c r="A660" t="s">
        <v>474</v>
      </c>
      <c r="B660" t="s">
        <v>23</v>
      </c>
      <c r="C660" s="67">
        <v>43389</v>
      </c>
      <c r="D660" t="s">
        <v>399</v>
      </c>
      <c r="E660">
        <v>1565704.67</v>
      </c>
      <c r="F660" t="s">
        <v>345</v>
      </c>
      <c r="G660" t="s">
        <v>400</v>
      </c>
      <c r="H660">
        <v>181011084158</v>
      </c>
      <c r="I660" t="str">
        <f>CashIntraTable[Portfolio]&amp;VALUE(CashIntraTable[Cash Date])&amp;CashIntraTable[Detail]</f>
        <v>SCBSET50FUND433891.2. Switch-in</v>
      </c>
    </row>
    <row r="661" spans="1:9" x14ac:dyDescent="0.2">
      <c r="A661" t="s">
        <v>474</v>
      </c>
      <c r="B661" t="s">
        <v>23</v>
      </c>
      <c r="C661" s="67">
        <v>43390</v>
      </c>
      <c r="D661" t="s">
        <v>399</v>
      </c>
      <c r="E661">
        <v>1689476.29</v>
      </c>
      <c r="F661" t="s">
        <v>345</v>
      </c>
      <c r="G661" t="s">
        <v>400</v>
      </c>
      <c r="H661">
        <v>181011084158</v>
      </c>
      <c r="I661" t="str">
        <f>CashIntraTable[Portfolio]&amp;VALUE(CashIntraTable[Cash Date])&amp;CashIntraTable[Detail]</f>
        <v>SCBSET50FUND433901.2. Switch-in</v>
      </c>
    </row>
    <row r="662" spans="1:9" x14ac:dyDescent="0.2">
      <c r="A662" t="s">
        <v>474</v>
      </c>
      <c r="B662" t="s">
        <v>23</v>
      </c>
      <c r="C662" s="67">
        <v>43384</v>
      </c>
      <c r="D662" t="s">
        <v>399</v>
      </c>
      <c r="E662">
        <v>-1758042.71</v>
      </c>
      <c r="F662" t="s">
        <v>346</v>
      </c>
      <c r="G662" t="s">
        <v>400</v>
      </c>
      <c r="H662">
        <v>181011084158</v>
      </c>
      <c r="I662" t="str">
        <f>CashIntraTable[Portfolio]&amp;VALUE(CashIntraTable[Cash Date])&amp;CashIntraTable[Detail]</f>
        <v>SCBSET50FUND433842.1. Redemption</v>
      </c>
    </row>
    <row r="663" spans="1:9" x14ac:dyDescent="0.2">
      <c r="A663" t="s">
        <v>474</v>
      </c>
      <c r="B663" t="s">
        <v>23</v>
      </c>
      <c r="C663" s="67">
        <v>43385</v>
      </c>
      <c r="D663" t="s">
        <v>399</v>
      </c>
      <c r="E663">
        <v>-5436373.2699999996</v>
      </c>
      <c r="F663" t="s">
        <v>346</v>
      </c>
      <c r="G663" t="s">
        <v>400</v>
      </c>
      <c r="H663">
        <v>181011084158</v>
      </c>
      <c r="I663" t="str">
        <f>CashIntraTable[Portfolio]&amp;VALUE(CashIntraTable[Cash Date])&amp;CashIntraTable[Detail]</f>
        <v>SCBSET50FUND433852.1. Redemption</v>
      </c>
    </row>
    <row r="664" spans="1:9" x14ac:dyDescent="0.2">
      <c r="A664" t="s">
        <v>474</v>
      </c>
      <c r="B664" t="s">
        <v>23</v>
      </c>
      <c r="C664" s="67">
        <v>43389</v>
      </c>
      <c r="D664" t="s">
        <v>399</v>
      </c>
      <c r="E664">
        <v>-15523687.640000001</v>
      </c>
      <c r="F664" t="s">
        <v>346</v>
      </c>
      <c r="G664" t="s">
        <v>400</v>
      </c>
      <c r="H664">
        <v>181011084158</v>
      </c>
      <c r="I664" t="str">
        <f>CashIntraTable[Portfolio]&amp;VALUE(CashIntraTable[Cash Date])&amp;CashIntraTable[Detail]</f>
        <v>SCBSET50FUND433892.1. Redemption</v>
      </c>
    </row>
    <row r="665" spans="1:9" x14ac:dyDescent="0.2">
      <c r="A665" t="s">
        <v>474</v>
      </c>
      <c r="B665" t="s">
        <v>23</v>
      </c>
      <c r="C665" s="67">
        <v>43384</v>
      </c>
      <c r="D665" t="s">
        <v>399</v>
      </c>
      <c r="E665">
        <v>-3939552.65</v>
      </c>
      <c r="F665" t="s">
        <v>347</v>
      </c>
      <c r="G665" t="s">
        <v>400</v>
      </c>
      <c r="H665">
        <v>181011084158</v>
      </c>
      <c r="I665" t="str">
        <f>CashIntraTable[Portfolio]&amp;VALUE(CashIntraTable[Cash Date])&amp;CashIntraTable[Detail]</f>
        <v>SCBSET50FUND433842.2. Switch-out</v>
      </c>
    </row>
    <row r="666" spans="1:9" x14ac:dyDescent="0.2">
      <c r="A666" t="s">
        <v>474</v>
      </c>
      <c r="B666" t="s">
        <v>23</v>
      </c>
      <c r="C666" s="67">
        <v>43385</v>
      </c>
      <c r="D666" t="s">
        <v>399</v>
      </c>
      <c r="E666">
        <v>-12848453.77</v>
      </c>
      <c r="F666" t="s">
        <v>347</v>
      </c>
      <c r="G666" t="s">
        <v>400</v>
      </c>
      <c r="H666">
        <v>181011084158</v>
      </c>
      <c r="I666" t="str">
        <f>CashIntraTable[Portfolio]&amp;VALUE(CashIntraTable[Cash Date])&amp;CashIntraTable[Detail]</f>
        <v>SCBSET50FUND433852.2. Switch-out</v>
      </c>
    </row>
    <row r="667" spans="1:9" x14ac:dyDescent="0.2">
      <c r="A667" t="s">
        <v>474</v>
      </c>
      <c r="B667" t="s">
        <v>23</v>
      </c>
      <c r="C667" s="67">
        <v>43389</v>
      </c>
      <c r="D667" t="s">
        <v>399</v>
      </c>
      <c r="E667">
        <v>-4900212.67</v>
      </c>
      <c r="F667" t="s">
        <v>347</v>
      </c>
      <c r="G667" t="s">
        <v>400</v>
      </c>
      <c r="H667">
        <v>181011084158</v>
      </c>
      <c r="I667" t="str">
        <f>CashIntraTable[Portfolio]&amp;VALUE(CashIntraTable[Cash Date])&amp;CashIntraTable[Detail]</f>
        <v>SCBSET50FUND433892.2. Switch-out</v>
      </c>
    </row>
    <row r="668" spans="1:9" x14ac:dyDescent="0.2">
      <c r="A668" t="s">
        <v>475</v>
      </c>
      <c r="B668" t="s">
        <v>23</v>
      </c>
      <c r="C668" s="67">
        <v>43384</v>
      </c>
      <c r="D668" t="s">
        <v>399</v>
      </c>
      <c r="E668">
        <v>23535563.670000002</v>
      </c>
      <c r="F668" t="s">
        <v>344</v>
      </c>
      <c r="G668" t="s">
        <v>400</v>
      </c>
      <c r="H668">
        <v>181011084158</v>
      </c>
      <c r="I668" t="str">
        <f>CashIntraTable[Portfolio]&amp;VALUE(CashIntraTable[Cash Date])&amp;CashIntraTable[Detail]</f>
        <v>SCBSETFUND433841.1. Subscription</v>
      </c>
    </row>
    <row r="669" spans="1:9" x14ac:dyDescent="0.2">
      <c r="A669" t="s">
        <v>475</v>
      </c>
      <c r="B669" t="s">
        <v>23</v>
      </c>
      <c r="C669" s="67">
        <v>43385</v>
      </c>
      <c r="D669" t="s">
        <v>399</v>
      </c>
      <c r="E669">
        <v>531800</v>
      </c>
      <c r="F669" t="s">
        <v>344</v>
      </c>
      <c r="G669" t="s">
        <v>400</v>
      </c>
      <c r="H669">
        <v>181011084158</v>
      </c>
      <c r="I669" t="str">
        <f>CashIntraTable[Portfolio]&amp;VALUE(CashIntraTable[Cash Date])&amp;CashIntraTable[Detail]</f>
        <v>SCBSETFUND433851.1. Subscription</v>
      </c>
    </row>
    <row r="670" spans="1:9" x14ac:dyDescent="0.2">
      <c r="A670" t="s">
        <v>475</v>
      </c>
      <c r="B670" t="s">
        <v>23</v>
      </c>
      <c r="C670" s="67">
        <v>43384</v>
      </c>
      <c r="D670" t="s">
        <v>399</v>
      </c>
      <c r="E670">
        <v>99196494.689999998</v>
      </c>
      <c r="F670" t="s">
        <v>345</v>
      </c>
      <c r="G670" t="s">
        <v>400</v>
      </c>
      <c r="H670">
        <v>181011084158</v>
      </c>
      <c r="I670" t="str">
        <f>CashIntraTable[Portfolio]&amp;VALUE(CashIntraTable[Cash Date])&amp;CashIntraTable[Detail]</f>
        <v>SCBSETFUND433841.2. Switch-in</v>
      </c>
    </row>
    <row r="671" spans="1:9" x14ac:dyDescent="0.2">
      <c r="A671" t="s">
        <v>475</v>
      </c>
      <c r="B671" t="s">
        <v>23</v>
      </c>
      <c r="C671" s="67">
        <v>43385</v>
      </c>
      <c r="D671" t="s">
        <v>399</v>
      </c>
      <c r="E671">
        <v>8688927.4199999999</v>
      </c>
      <c r="F671" t="s">
        <v>345</v>
      </c>
      <c r="G671" t="s">
        <v>400</v>
      </c>
      <c r="H671">
        <v>181011084158</v>
      </c>
      <c r="I671" t="str">
        <f>CashIntraTable[Portfolio]&amp;VALUE(CashIntraTable[Cash Date])&amp;CashIntraTable[Detail]</f>
        <v>SCBSETFUND433851.2. Switch-in</v>
      </c>
    </row>
    <row r="672" spans="1:9" x14ac:dyDescent="0.2">
      <c r="A672" t="s">
        <v>475</v>
      </c>
      <c r="B672" t="s">
        <v>23</v>
      </c>
      <c r="C672" s="67">
        <v>43389</v>
      </c>
      <c r="D672" t="s">
        <v>399</v>
      </c>
      <c r="E672">
        <v>5947724.25</v>
      </c>
      <c r="F672" t="s">
        <v>345</v>
      </c>
      <c r="G672" t="s">
        <v>400</v>
      </c>
      <c r="H672">
        <v>181011084158</v>
      </c>
      <c r="I672" t="str">
        <f>CashIntraTable[Portfolio]&amp;VALUE(CashIntraTable[Cash Date])&amp;CashIntraTable[Detail]</f>
        <v>SCBSETFUND433891.2. Switch-in</v>
      </c>
    </row>
    <row r="673" spans="1:9" x14ac:dyDescent="0.2">
      <c r="A673" t="s">
        <v>475</v>
      </c>
      <c r="B673" t="s">
        <v>23</v>
      </c>
      <c r="C673" s="67">
        <v>43390</v>
      </c>
      <c r="D673" t="s">
        <v>399</v>
      </c>
      <c r="E673">
        <v>16258364.33</v>
      </c>
      <c r="F673" t="s">
        <v>345</v>
      </c>
      <c r="G673" t="s">
        <v>400</v>
      </c>
      <c r="H673">
        <v>181011084158</v>
      </c>
      <c r="I673" t="str">
        <f>CashIntraTable[Portfolio]&amp;VALUE(CashIntraTable[Cash Date])&amp;CashIntraTable[Detail]</f>
        <v>SCBSETFUND433901.2. Switch-in</v>
      </c>
    </row>
    <row r="674" spans="1:9" x14ac:dyDescent="0.2">
      <c r="A674" t="s">
        <v>475</v>
      </c>
      <c r="B674" t="s">
        <v>23</v>
      </c>
      <c r="C674" s="67">
        <v>43391</v>
      </c>
      <c r="D674" t="s">
        <v>399</v>
      </c>
      <c r="E674">
        <v>689176.08</v>
      </c>
      <c r="F674" t="s">
        <v>345</v>
      </c>
      <c r="G674" t="s">
        <v>400</v>
      </c>
      <c r="H674">
        <v>181011084158</v>
      </c>
      <c r="I674" t="str">
        <f>CashIntraTable[Portfolio]&amp;VALUE(CashIntraTable[Cash Date])&amp;CashIntraTable[Detail]</f>
        <v>SCBSETFUND433911.2. Switch-in</v>
      </c>
    </row>
    <row r="675" spans="1:9" x14ac:dyDescent="0.2">
      <c r="A675" t="s">
        <v>475</v>
      </c>
      <c r="B675" t="s">
        <v>23</v>
      </c>
      <c r="C675" s="67">
        <v>43384</v>
      </c>
      <c r="D675" t="s">
        <v>399</v>
      </c>
      <c r="E675">
        <v>-4481381.04</v>
      </c>
      <c r="F675" t="s">
        <v>346</v>
      </c>
      <c r="G675" t="s">
        <v>400</v>
      </c>
      <c r="H675">
        <v>181011084158</v>
      </c>
      <c r="I675" t="str">
        <f>CashIntraTable[Portfolio]&amp;VALUE(CashIntraTable[Cash Date])&amp;CashIntraTable[Detail]</f>
        <v>SCBSETFUND433842.1. Redemption</v>
      </c>
    </row>
    <row r="676" spans="1:9" x14ac:dyDescent="0.2">
      <c r="A676" t="s">
        <v>475</v>
      </c>
      <c r="B676" t="s">
        <v>23</v>
      </c>
      <c r="C676" s="67">
        <v>43385</v>
      </c>
      <c r="D676" t="s">
        <v>399</v>
      </c>
      <c r="E676">
        <v>-15133175.16</v>
      </c>
      <c r="F676" t="s">
        <v>346</v>
      </c>
      <c r="G676" t="s">
        <v>400</v>
      </c>
      <c r="H676">
        <v>181011084158</v>
      </c>
      <c r="I676" t="str">
        <f>CashIntraTable[Portfolio]&amp;VALUE(CashIntraTable[Cash Date])&amp;CashIntraTable[Detail]</f>
        <v>SCBSETFUND433852.1. Redemption</v>
      </c>
    </row>
    <row r="677" spans="1:9" x14ac:dyDescent="0.2">
      <c r="A677" t="s">
        <v>475</v>
      </c>
      <c r="B677" t="s">
        <v>23</v>
      </c>
      <c r="C677" s="67">
        <v>43389</v>
      </c>
      <c r="D677" t="s">
        <v>399</v>
      </c>
      <c r="E677">
        <v>-2069536.96</v>
      </c>
      <c r="F677" t="s">
        <v>346</v>
      </c>
      <c r="G677" t="s">
        <v>400</v>
      </c>
      <c r="H677">
        <v>181011084158</v>
      </c>
      <c r="I677" t="str">
        <f>CashIntraTable[Portfolio]&amp;VALUE(CashIntraTable[Cash Date])&amp;CashIntraTable[Detail]</f>
        <v>SCBSETFUND433892.1. Redemption</v>
      </c>
    </row>
    <row r="678" spans="1:9" x14ac:dyDescent="0.2">
      <c r="A678" t="s">
        <v>475</v>
      </c>
      <c r="B678" t="s">
        <v>23</v>
      </c>
      <c r="C678" s="67">
        <v>43384</v>
      </c>
      <c r="D678" t="s">
        <v>399</v>
      </c>
      <c r="E678">
        <v>-23139068.32</v>
      </c>
      <c r="F678" t="s">
        <v>347</v>
      </c>
      <c r="G678" t="s">
        <v>400</v>
      </c>
      <c r="H678">
        <v>181011084158</v>
      </c>
      <c r="I678" t="str">
        <f>CashIntraTable[Portfolio]&amp;VALUE(CashIntraTable[Cash Date])&amp;CashIntraTable[Detail]</f>
        <v>SCBSETFUND433842.2. Switch-out</v>
      </c>
    </row>
    <row r="679" spans="1:9" x14ac:dyDescent="0.2">
      <c r="A679" t="s">
        <v>475</v>
      </c>
      <c r="B679" t="s">
        <v>23</v>
      </c>
      <c r="C679" s="67">
        <v>43385</v>
      </c>
      <c r="D679" t="s">
        <v>399</v>
      </c>
      <c r="E679">
        <v>-23368168.25</v>
      </c>
      <c r="F679" t="s">
        <v>347</v>
      </c>
      <c r="G679" t="s">
        <v>400</v>
      </c>
      <c r="H679">
        <v>181011084158</v>
      </c>
      <c r="I679" t="str">
        <f>CashIntraTable[Portfolio]&amp;VALUE(CashIntraTable[Cash Date])&amp;CashIntraTable[Detail]</f>
        <v>SCBSETFUND433852.2. Switch-out</v>
      </c>
    </row>
    <row r="680" spans="1:9" x14ac:dyDescent="0.2">
      <c r="A680" t="s">
        <v>475</v>
      </c>
      <c r="B680" t="s">
        <v>23</v>
      </c>
      <c r="C680" s="67">
        <v>43389</v>
      </c>
      <c r="D680" t="s">
        <v>399</v>
      </c>
      <c r="E680">
        <v>-1000000</v>
      </c>
      <c r="F680" t="s">
        <v>347</v>
      </c>
      <c r="G680" t="s">
        <v>400</v>
      </c>
      <c r="H680">
        <v>181011084158</v>
      </c>
      <c r="I680" t="str">
        <f>CashIntraTable[Portfolio]&amp;VALUE(CashIntraTable[Cash Date])&amp;CashIntraTable[Detail]</f>
        <v>SCBSETFUND433892.2. Switch-out</v>
      </c>
    </row>
    <row r="681" spans="1:9" x14ac:dyDescent="0.2">
      <c r="A681" t="s">
        <v>17</v>
      </c>
      <c r="B681" t="s">
        <v>23</v>
      </c>
      <c r="C681" s="67">
        <v>43384</v>
      </c>
      <c r="D681" t="s">
        <v>399</v>
      </c>
      <c r="E681">
        <v>120273683.88</v>
      </c>
      <c r="F681" t="s">
        <v>344</v>
      </c>
      <c r="G681" t="s">
        <v>400</v>
      </c>
      <c r="H681">
        <v>181011084158</v>
      </c>
      <c r="I681" t="str">
        <f>CashIntraTable[Portfolio]&amp;VALUE(CashIntraTable[Cash Date])&amp;CashIntraTable[Detail]</f>
        <v>SCBSFF433841.1. Subscription</v>
      </c>
    </row>
    <row r="682" spans="1:9" x14ac:dyDescent="0.2">
      <c r="A682" t="s">
        <v>17</v>
      </c>
      <c r="B682" t="s">
        <v>23</v>
      </c>
      <c r="C682" s="67">
        <v>43385</v>
      </c>
      <c r="D682" t="s">
        <v>399</v>
      </c>
      <c r="E682">
        <v>5181216</v>
      </c>
      <c r="F682" t="s">
        <v>344</v>
      </c>
      <c r="G682" t="s">
        <v>400</v>
      </c>
      <c r="H682">
        <v>181011084158</v>
      </c>
      <c r="I682" t="str">
        <f>CashIntraTable[Portfolio]&amp;VALUE(CashIntraTable[Cash Date])&amp;CashIntraTable[Detail]</f>
        <v>SCBSFF433851.1. Subscription</v>
      </c>
    </row>
    <row r="683" spans="1:9" x14ac:dyDescent="0.2">
      <c r="A683" t="s">
        <v>17</v>
      </c>
      <c r="B683" t="s">
        <v>23</v>
      </c>
      <c r="C683" s="67">
        <v>43384</v>
      </c>
      <c r="D683" t="s">
        <v>399</v>
      </c>
      <c r="E683">
        <v>3150000</v>
      </c>
      <c r="F683" t="s">
        <v>348</v>
      </c>
      <c r="G683" t="s">
        <v>400</v>
      </c>
      <c r="H683">
        <v>181011084158</v>
      </c>
      <c r="I683" t="str">
        <f>CashIntraTable[Portfolio]&amp;VALUE(CashIntraTable[Cash Date])&amp;CashIntraTable[Detail]</f>
        <v>SCBSFF433841.1. Subscription (Chq)</v>
      </c>
    </row>
    <row r="684" spans="1:9" x14ac:dyDescent="0.2">
      <c r="A684" t="s">
        <v>17</v>
      </c>
      <c r="B684" t="s">
        <v>23</v>
      </c>
      <c r="C684" s="67">
        <v>43384</v>
      </c>
      <c r="D684" t="s">
        <v>399</v>
      </c>
      <c r="E684">
        <v>27915467.170000002</v>
      </c>
      <c r="F684" t="s">
        <v>345</v>
      </c>
      <c r="G684" t="s">
        <v>400</v>
      </c>
      <c r="H684">
        <v>181011084158</v>
      </c>
      <c r="I684" t="str">
        <f>CashIntraTable[Portfolio]&amp;VALUE(CashIntraTable[Cash Date])&amp;CashIntraTable[Detail]</f>
        <v>SCBSFF433841.2. Switch-in</v>
      </c>
    </row>
    <row r="685" spans="1:9" x14ac:dyDescent="0.2">
      <c r="A685" t="s">
        <v>17</v>
      </c>
      <c r="B685" t="s">
        <v>23</v>
      </c>
      <c r="C685" s="67">
        <v>43385</v>
      </c>
      <c r="D685" t="s">
        <v>399</v>
      </c>
      <c r="E685">
        <v>36044416.640000001</v>
      </c>
      <c r="F685" t="s">
        <v>345</v>
      </c>
      <c r="G685" t="s">
        <v>400</v>
      </c>
      <c r="H685">
        <v>181011084158</v>
      </c>
      <c r="I685" t="str">
        <f>CashIntraTable[Portfolio]&amp;VALUE(CashIntraTable[Cash Date])&amp;CashIntraTable[Detail]</f>
        <v>SCBSFF433851.2. Switch-in</v>
      </c>
    </row>
    <row r="686" spans="1:9" x14ac:dyDescent="0.2">
      <c r="A686" t="s">
        <v>17</v>
      </c>
      <c r="B686" t="s">
        <v>23</v>
      </c>
      <c r="C686" s="67">
        <v>43389</v>
      </c>
      <c r="D686" t="s">
        <v>399</v>
      </c>
      <c r="E686">
        <v>9597507.3100000005</v>
      </c>
      <c r="F686" t="s">
        <v>345</v>
      </c>
      <c r="G686" t="s">
        <v>400</v>
      </c>
      <c r="H686">
        <v>181011084158</v>
      </c>
      <c r="I686" t="str">
        <f>CashIntraTable[Portfolio]&amp;VALUE(CashIntraTable[Cash Date])&amp;CashIntraTable[Detail]</f>
        <v>SCBSFF433891.2. Switch-in</v>
      </c>
    </row>
    <row r="687" spans="1:9" x14ac:dyDescent="0.2">
      <c r="A687" t="s">
        <v>17</v>
      </c>
      <c r="B687" t="s">
        <v>23</v>
      </c>
      <c r="C687" s="67">
        <v>43390</v>
      </c>
      <c r="D687" t="s">
        <v>399</v>
      </c>
      <c r="E687">
        <v>20511868.68</v>
      </c>
      <c r="F687" t="s">
        <v>345</v>
      </c>
      <c r="G687" t="s">
        <v>400</v>
      </c>
      <c r="H687">
        <v>181011084158</v>
      </c>
      <c r="I687" t="str">
        <f>CashIntraTable[Portfolio]&amp;VALUE(CashIntraTable[Cash Date])&amp;CashIntraTable[Detail]</f>
        <v>SCBSFF433901.2. Switch-in</v>
      </c>
    </row>
    <row r="688" spans="1:9" x14ac:dyDescent="0.2">
      <c r="A688" t="s">
        <v>17</v>
      </c>
      <c r="B688" t="s">
        <v>23</v>
      </c>
      <c r="C688" s="67">
        <v>43391</v>
      </c>
      <c r="D688" t="s">
        <v>399</v>
      </c>
      <c r="E688">
        <v>249929.87</v>
      </c>
      <c r="F688" t="s">
        <v>345</v>
      </c>
      <c r="G688" t="s">
        <v>400</v>
      </c>
      <c r="H688">
        <v>181011084158</v>
      </c>
      <c r="I688" t="str">
        <f>CashIntraTable[Portfolio]&amp;VALUE(CashIntraTable[Cash Date])&amp;CashIntraTable[Detail]</f>
        <v>SCBSFF433911.2. Switch-in</v>
      </c>
    </row>
    <row r="689" spans="1:9" x14ac:dyDescent="0.2">
      <c r="A689" t="s">
        <v>17</v>
      </c>
      <c r="B689" t="s">
        <v>23</v>
      </c>
      <c r="C689" s="67">
        <v>43392</v>
      </c>
      <c r="D689" t="s">
        <v>399</v>
      </c>
      <c r="E689">
        <v>3407662.81</v>
      </c>
      <c r="F689" t="s">
        <v>345</v>
      </c>
      <c r="G689" t="s">
        <v>400</v>
      </c>
      <c r="H689">
        <v>181011084158</v>
      </c>
      <c r="I689" t="str">
        <f>CashIntraTable[Portfolio]&amp;VALUE(CashIntraTable[Cash Date])&amp;CashIntraTable[Detail]</f>
        <v>SCBSFF433921.2. Switch-in</v>
      </c>
    </row>
    <row r="690" spans="1:9" x14ac:dyDescent="0.2">
      <c r="A690" t="s">
        <v>17</v>
      </c>
      <c r="B690" t="s">
        <v>23</v>
      </c>
      <c r="C690" s="67">
        <v>43384</v>
      </c>
      <c r="D690" t="s">
        <v>399</v>
      </c>
      <c r="E690">
        <v>-173003015.72999999</v>
      </c>
      <c r="F690" t="s">
        <v>346</v>
      </c>
      <c r="G690" t="s">
        <v>400</v>
      </c>
      <c r="H690">
        <v>181011084158</v>
      </c>
      <c r="I690" t="str">
        <f>CashIntraTable[Portfolio]&amp;VALUE(CashIntraTable[Cash Date])&amp;CashIntraTable[Detail]</f>
        <v>SCBSFF433842.1. Redemption</v>
      </c>
    </row>
    <row r="691" spans="1:9" x14ac:dyDescent="0.2">
      <c r="A691" t="s">
        <v>17</v>
      </c>
      <c r="B691" t="s">
        <v>23</v>
      </c>
      <c r="C691" s="67">
        <v>43385</v>
      </c>
      <c r="D691" t="s">
        <v>399</v>
      </c>
      <c r="E691">
        <v>-19982352.280000001</v>
      </c>
      <c r="F691" t="s">
        <v>346</v>
      </c>
      <c r="G691" t="s">
        <v>400</v>
      </c>
      <c r="H691">
        <v>181011084158</v>
      </c>
      <c r="I691" t="str">
        <f>CashIntraTable[Portfolio]&amp;VALUE(CashIntraTable[Cash Date])&amp;CashIntraTable[Detail]</f>
        <v>SCBSFF433852.1. Redemption</v>
      </c>
    </row>
    <row r="692" spans="1:9" x14ac:dyDescent="0.2">
      <c r="A692" t="s">
        <v>17</v>
      </c>
      <c r="B692" t="s">
        <v>23</v>
      </c>
      <c r="C692" s="67">
        <v>43384</v>
      </c>
      <c r="D692" t="s">
        <v>399</v>
      </c>
      <c r="E692">
        <v>-322512733.36000001</v>
      </c>
      <c r="F692" t="s">
        <v>347</v>
      </c>
      <c r="G692" t="s">
        <v>400</v>
      </c>
      <c r="H692">
        <v>181011084158</v>
      </c>
      <c r="I692" t="str">
        <f>CashIntraTable[Portfolio]&amp;VALUE(CashIntraTable[Cash Date])&amp;CashIntraTable[Detail]</f>
        <v>SCBSFF433842.2. Switch-out</v>
      </c>
    </row>
    <row r="693" spans="1:9" x14ac:dyDescent="0.2">
      <c r="A693" t="s">
        <v>17</v>
      </c>
      <c r="B693" t="s">
        <v>23</v>
      </c>
      <c r="C693" s="67">
        <v>43385</v>
      </c>
      <c r="D693" t="s">
        <v>399</v>
      </c>
      <c r="E693">
        <v>-3893837.02</v>
      </c>
      <c r="F693" t="s">
        <v>347</v>
      </c>
      <c r="G693" t="s">
        <v>400</v>
      </c>
      <c r="H693">
        <v>181011084158</v>
      </c>
      <c r="I693" t="str">
        <f>CashIntraTable[Portfolio]&amp;VALUE(CashIntraTable[Cash Date])&amp;CashIntraTable[Detail]</f>
        <v>SCBSFF433852.2. Switch-out</v>
      </c>
    </row>
    <row r="694" spans="1:9" x14ac:dyDescent="0.2">
      <c r="A694" t="s">
        <v>139</v>
      </c>
      <c r="B694" t="s">
        <v>23</v>
      </c>
      <c r="C694" s="67">
        <v>43384</v>
      </c>
      <c r="D694" t="s">
        <v>399</v>
      </c>
      <c r="E694">
        <v>568759889.84000003</v>
      </c>
      <c r="F694" t="s">
        <v>344</v>
      </c>
      <c r="G694" t="s">
        <v>400</v>
      </c>
      <c r="H694">
        <v>181011084158</v>
      </c>
      <c r="I694" t="str">
        <f>CashIntraTable[Portfolio]&amp;VALUE(CashIntraTable[Cash Date])&amp;CashIntraTable[Detail]</f>
        <v>SCBSFFPLUS433841.1. Subscription</v>
      </c>
    </row>
    <row r="695" spans="1:9" x14ac:dyDescent="0.2">
      <c r="A695" t="s">
        <v>139</v>
      </c>
      <c r="B695" t="s">
        <v>23</v>
      </c>
      <c r="C695" s="67">
        <v>43385</v>
      </c>
      <c r="D695" t="s">
        <v>399</v>
      </c>
      <c r="E695">
        <v>12621000</v>
      </c>
      <c r="F695" t="s">
        <v>344</v>
      </c>
      <c r="G695" t="s">
        <v>400</v>
      </c>
      <c r="H695">
        <v>181011084158</v>
      </c>
      <c r="I695" t="str">
        <f>CashIntraTable[Portfolio]&amp;VALUE(CashIntraTable[Cash Date])&amp;CashIntraTable[Detail]</f>
        <v>SCBSFFPLUS433851.1. Subscription</v>
      </c>
    </row>
    <row r="696" spans="1:9" x14ac:dyDescent="0.2">
      <c r="A696" t="s">
        <v>139</v>
      </c>
      <c r="B696" t="s">
        <v>23</v>
      </c>
      <c r="C696" s="67">
        <v>43384</v>
      </c>
      <c r="D696" t="s">
        <v>399</v>
      </c>
      <c r="E696">
        <v>24840680.620000001</v>
      </c>
      <c r="F696" t="s">
        <v>348</v>
      </c>
      <c r="G696" t="s">
        <v>400</v>
      </c>
      <c r="H696">
        <v>181011084158</v>
      </c>
      <c r="I696" t="str">
        <f>CashIntraTable[Portfolio]&amp;VALUE(CashIntraTable[Cash Date])&amp;CashIntraTable[Detail]</f>
        <v>SCBSFFPLUS433841.1. Subscription (Chq)</v>
      </c>
    </row>
    <row r="697" spans="1:9" x14ac:dyDescent="0.2">
      <c r="A697" t="s">
        <v>139</v>
      </c>
      <c r="B697" t="s">
        <v>23</v>
      </c>
      <c r="C697" s="67">
        <v>43384</v>
      </c>
      <c r="D697" t="s">
        <v>399</v>
      </c>
      <c r="E697">
        <v>362774945.19999999</v>
      </c>
      <c r="F697" t="s">
        <v>345</v>
      </c>
      <c r="G697" t="s">
        <v>400</v>
      </c>
      <c r="H697">
        <v>181011084158</v>
      </c>
      <c r="I697" t="str">
        <f>CashIntraTable[Portfolio]&amp;VALUE(CashIntraTable[Cash Date])&amp;CashIntraTable[Detail]</f>
        <v>SCBSFFPLUS433841.2. Switch-in</v>
      </c>
    </row>
    <row r="698" spans="1:9" x14ac:dyDescent="0.2">
      <c r="A698" t="s">
        <v>139</v>
      </c>
      <c r="B698" t="s">
        <v>23</v>
      </c>
      <c r="C698" s="67">
        <v>43385</v>
      </c>
      <c r="D698" t="s">
        <v>399</v>
      </c>
      <c r="E698">
        <v>57171285</v>
      </c>
      <c r="F698" t="s">
        <v>345</v>
      </c>
      <c r="G698" t="s">
        <v>400</v>
      </c>
      <c r="H698">
        <v>181011084158</v>
      </c>
      <c r="I698" t="str">
        <f>CashIntraTable[Portfolio]&amp;VALUE(CashIntraTable[Cash Date])&amp;CashIntraTable[Detail]</f>
        <v>SCBSFFPLUS433851.2. Switch-in</v>
      </c>
    </row>
    <row r="699" spans="1:9" x14ac:dyDescent="0.2">
      <c r="A699" t="s">
        <v>139</v>
      </c>
      <c r="B699" t="s">
        <v>23</v>
      </c>
      <c r="C699" s="67">
        <v>43389</v>
      </c>
      <c r="D699" t="s">
        <v>399</v>
      </c>
      <c r="E699">
        <v>48629676.869999997</v>
      </c>
      <c r="F699" t="s">
        <v>345</v>
      </c>
      <c r="G699" t="s">
        <v>400</v>
      </c>
      <c r="H699">
        <v>181011084158</v>
      </c>
      <c r="I699" t="str">
        <f>CashIntraTable[Portfolio]&amp;VALUE(CashIntraTable[Cash Date])&amp;CashIntraTable[Detail]</f>
        <v>SCBSFFPLUS433891.2. Switch-in</v>
      </c>
    </row>
    <row r="700" spans="1:9" x14ac:dyDescent="0.2">
      <c r="A700" t="s">
        <v>139</v>
      </c>
      <c r="B700" t="s">
        <v>23</v>
      </c>
      <c r="C700" s="67">
        <v>43390</v>
      </c>
      <c r="D700" t="s">
        <v>399</v>
      </c>
      <c r="E700">
        <v>37694039.670000002</v>
      </c>
      <c r="F700" t="s">
        <v>345</v>
      </c>
      <c r="G700" t="s">
        <v>400</v>
      </c>
      <c r="H700">
        <v>181011084158</v>
      </c>
      <c r="I700" t="str">
        <f>CashIntraTable[Portfolio]&amp;VALUE(CashIntraTable[Cash Date])&amp;CashIntraTable[Detail]</f>
        <v>SCBSFFPLUS433901.2. Switch-in</v>
      </c>
    </row>
    <row r="701" spans="1:9" x14ac:dyDescent="0.2">
      <c r="A701" t="s">
        <v>139</v>
      </c>
      <c r="B701" t="s">
        <v>23</v>
      </c>
      <c r="C701" s="67">
        <v>43391</v>
      </c>
      <c r="D701" t="s">
        <v>399</v>
      </c>
      <c r="E701">
        <v>15235838.779999999</v>
      </c>
      <c r="F701" t="s">
        <v>345</v>
      </c>
      <c r="G701" t="s">
        <v>400</v>
      </c>
      <c r="H701">
        <v>181011084158</v>
      </c>
      <c r="I701" t="str">
        <f>CashIntraTable[Portfolio]&amp;VALUE(CashIntraTable[Cash Date])&amp;CashIntraTable[Detail]</f>
        <v>SCBSFFPLUS433911.2. Switch-in</v>
      </c>
    </row>
    <row r="702" spans="1:9" x14ac:dyDescent="0.2">
      <c r="A702" t="s">
        <v>139</v>
      </c>
      <c r="B702" t="s">
        <v>23</v>
      </c>
      <c r="C702" s="67">
        <v>43392</v>
      </c>
      <c r="D702" t="s">
        <v>399</v>
      </c>
      <c r="E702">
        <v>20366177.629999999</v>
      </c>
      <c r="F702" t="s">
        <v>345</v>
      </c>
      <c r="G702" t="s">
        <v>400</v>
      </c>
      <c r="H702">
        <v>181011084158</v>
      </c>
      <c r="I702" t="str">
        <f>CashIntraTable[Portfolio]&amp;VALUE(CashIntraTable[Cash Date])&amp;CashIntraTable[Detail]</f>
        <v>SCBSFFPLUS433921.2. Switch-in</v>
      </c>
    </row>
    <row r="703" spans="1:9" x14ac:dyDescent="0.2">
      <c r="A703" t="s">
        <v>139</v>
      </c>
      <c r="B703" t="s">
        <v>23</v>
      </c>
      <c r="C703" s="67">
        <v>43404</v>
      </c>
      <c r="D703" t="s">
        <v>399</v>
      </c>
      <c r="E703">
        <v>509105.07</v>
      </c>
      <c r="F703" t="s">
        <v>345</v>
      </c>
      <c r="G703" t="s">
        <v>400</v>
      </c>
      <c r="H703">
        <v>181011084158</v>
      </c>
      <c r="I703" t="str">
        <f>CashIntraTable[Portfolio]&amp;VALUE(CashIntraTable[Cash Date])&amp;CashIntraTable[Detail]</f>
        <v>SCBSFFPLUS434041.2. Switch-in</v>
      </c>
    </row>
    <row r="704" spans="1:9" x14ac:dyDescent="0.2">
      <c r="A704" t="s">
        <v>139</v>
      </c>
      <c r="B704" t="s">
        <v>23</v>
      </c>
      <c r="C704" s="67">
        <v>43384</v>
      </c>
      <c r="D704" t="s">
        <v>399</v>
      </c>
      <c r="E704">
        <v>-990574757.03999996</v>
      </c>
      <c r="F704" t="s">
        <v>346</v>
      </c>
      <c r="G704" t="s">
        <v>400</v>
      </c>
      <c r="H704">
        <v>181011084158</v>
      </c>
      <c r="I704" t="str">
        <f>CashIntraTable[Portfolio]&amp;VALUE(CashIntraTable[Cash Date])&amp;CashIntraTable[Detail]</f>
        <v>SCBSFFPLUS433842.1. Redemption</v>
      </c>
    </row>
    <row r="705" spans="1:9" x14ac:dyDescent="0.2">
      <c r="A705" t="s">
        <v>139</v>
      </c>
      <c r="B705" t="s">
        <v>23</v>
      </c>
      <c r="C705" s="67">
        <v>43385</v>
      </c>
      <c r="D705" t="s">
        <v>399</v>
      </c>
      <c r="E705">
        <v>-70265717.439999998</v>
      </c>
      <c r="F705" t="s">
        <v>346</v>
      </c>
      <c r="G705" t="s">
        <v>400</v>
      </c>
      <c r="H705">
        <v>181011084158</v>
      </c>
      <c r="I705" t="str">
        <f>CashIntraTable[Portfolio]&amp;VALUE(CashIntraTable[Cash Date])&amp;CashIntraTable[Detail]</f>
        <v>SCBSFFPLUS433852.1. Redemption</v>
      </c>
    </row>
    <row r="706" spans="1:9" x14ac:dyDescent="0.2">
      <c r="A706" t="s">
        <v>139</v>
      </c>
      <c r="B706" t="s">
        <v>23</v>
      </c>
      <c r="C706" s="67">
        <v>43384</v>
      </c>
      <c r="D706" t="s">
        <v>399</v>
      </c>
      <c r="E706">
        <v>-163551194.99000001</v>
      </c>
      <c r="F706" t="s">
        <v>347</v>
      </c>
      <c r="G706" t="s">
        <v>400</v>
      </c>
      <c r="H706">
        <v>181011084158</v>
      </c>
      <c r="I706" t="str">
        <f>CashIntraTable[Portfolio]&amp;VALUE(CashIntraTable[Cash Date])&amp;CashIntraTable[Detail]</f>
        <v>SCBSFFPLUS433842.2. Switch-out</v>
      </c>
    </row>
    <row r="707" spans="1:9" x14ac:dyDescent="0.2">
      <c r="A707" t="s">
        <v>139</v>
      </c>
      <c r="B707" t="s">
        <v>23</v>
      </c>
      <c r="C707" s="67">
        <v>43385</v>
      </c>
      <c r="D707" t="s">
        <v>399</v>
      </c>
      <c r="E707">
        <v>-4508312.07</v>
      </c>
      <c r="F707" t="s">
        <v>347</v>
      </c>
      <c r="G707" t="s">
        <v>400</v>
      </c>
      <c r="H707">
        <v>181011084158</v>
      </c>
      <c r="I707" t="str">
        <f>CashIntraTable[Portfolio]&amp;VALUE(CashIntraTable[Cash Date])&amp;CashIntraTable[Detail]</f>
        <v>SCBSFFPLUS433852.2. Switch-out</v>
      </c>
    </row>
    <row r="708" spans="1:9" x14ac:dyDescent="0.2">
      <c r="A708" t="s">
        <v>476</v>
      </c>
      <c r="B708" t="s">
        <v>23</v>
      </c>
      <c r="C708" s="67">
        <v>43385</v>
      </c>
      <c r="D708" t="s">
        <v>399</v>
      </c>
      <c r="E708">
        <v>1000</v>
      </c>
      <c r="F708" t="s">
        <v>344</v>
      </c>
      <c r="G708" t="s">
        <v>400</v>
      </c>
      <c r="H708">
        <v>181011084158</v>
      </c>
      <c r="I708" t="str">
        <f>CashIntraTable[Portfolio]&amp;VALUE(CashIntraTable[Cash Date])&amp;CashIntraTable[Detail]</f>
        <v>SCBSMART3433851.1. Subscription</v>
      </c>
    </row>
    <row r="709" spans="1:9" x14ac:dyDescent="0.2">
      <c r="A709" t="s">
        <v>477</v>
      </c>
      <c r="B709" t="s">
        <v>23</v>
      </c>
      <c r="C709" s="67">
        <v>43384</v>
      </c>
      <c r="D709" t="s">
        <v>399</v>
      </c>
      <c r="E709">
        <v>-171732.85</v>
      </c>
      <c r="F709" t="s">
        <v>346</v>
      </c>
      <c r="G709" t="s">
        <v>400</v>
      </c>
      <c r="H709">
        <v>181011084158</v>
      </c>
      <c r="I709" t="str">
        <f>CashIntraTable[Portfolio]&amp;VALUE(CashIntraTable[Cash Date])&amp;CashIntraTable[Detail]</f>
        <v>SCBSMART4433842.1. Redemption</v>
      </c>
    </row>
    <row r="710" spans="1:9" x14ac:dyDescent="0.2">
      <c r="A710" t="s">
        <v>477</v>
      </c>
      <c r="B710" t="s">
        <v>23</v>
      </c>
      <c r="C710" s="67">
        <v>43385</v>
      </c>
      <c r="D710" t="s">
        <v>399</v>
      </c>
      <c r="E710">
        <v>-9000</v>
      </c>
      <c r="F710" t="s">
        <v>346</v>
      </c>
      <c r="G710" t="s">
        <v>400</v>
      </c>
      <c r="H710">
        <v>181011084158</v>
      </c>
      <c r="I710" t="str">
        <f>CashIntraTable[Portfolio]&amp;VALUE(CashIntraTable[Cash Date])&amp;CashIntraTable[Detail]</f>
        <v>SCBSMART4433852.1. Redemption</v>
      </c>
    </row>
    <row r="711" spans="1:9" x14ac:dyDescent="0.2">
      <c r="A711" t="s">
        <v>477</v>
      </c>
      <c r="B711" t="s">
        <v>23</v>
      </c>
      <c r="C711" s="67">
        <v>43391</v>
      </c>
      <c r="D711" t="s">
        <v>399</v>
      </c>
      <c r="E711">
        <v>-980.13</v>
      </c>
      <c r="F711" t="s">
        <v>346</v>
      </c>
      <c r="G711" t="s">
        <v>400</v>
      </c>
      <c r="H711">
        <v>181011084158</v>
      </c>
      <c r="I711" t="str">
        <f>CashIntraTable[Portfolio]&amp;VALUE(CashIntraTable[Cash Date])&amp;CashIntraTable[Detail]</f>
        <v>SCBSMART4433912.1. Redemption</v>
      </c>
    </row>
    <row r="712" spans="1:9" x14ac:dyDescent="0.2">
      <c r="A712" t="s">
        <v>477</v>
      </c>
      <c r="B712" t="s">
        <v>23</v>
      </c>
      <c r="C712" s="67">
        <v>43384</v>
      </c>
      <c r="D712" t="s">
        <v>399</v>
      </c>
      <c r="E712">
        <v>-293741.25</v>
      </c>
      <c r="F712" t="s">
        <v>347</v>
      </c>
      <c r="G712" t="s">
        <v>400</v>
      </c>
      <c r="H712">
        <v>181011084158</v>
      </c>
      <c r="I712" t="str">
        <f>CashIntraTable[Portfolio]&amp;VALUE(CashIntraTable[Cash Date])&amp;CashIntraTable[Detail]</f>
        <v>SCBSMART4433842.2. Switch-out</v>
      </c>
    </row>
    <row r="713" spans="1:9" x14ac:dyDescent="0.2">
      <c r="A713" t="s">
        <v>478</v>
      </c>
      <c r="B713" t="s">
        <v>23</v>
      </c>
      <c r="C713" s="67">
        <v>43385</v>
      </c>
      <c r="D713" t="s">
        <v>399</v>
      </c>
      <c r="E713">
        <v>-487303.75</v>
      </c>
      <c r="F713" t="s">
        <v>347</v>
      </c>
      <c r="G713" t="s">
        <v>400</v>
      </c>
      <c r="H713">
        <v>181011084158</v>
      </c>
      <c r="I713" t="str">
        <f>CashIntraTable[Portfolio]&amp;VALUE(CashIntraTable[Cash Date])&amp;CashIntraTable[Detail]</f>
        <v>SCBST555B433852.2. Switch-out</v>
      </c>
    </row>
    <row r="714" spans="1:9" x14ac:dyDescent="0.2">
      <c r="A714" t="s">
        <v>479</v>
      </c>
      <c r="B714" t="s">
        <v>23</v>
      </c>
      <c r="C714" s="67">
        <v>43384</v>
      </c>
      <c r="D714" t="s">
        <v>399</v>
      </c>
      <c r="E714">
        <v>366942.78</v>
      </c>
      <c r="F714" t="s">
        <v>344</v>
      </c>
      <c r="G714" t="s">
        <v>400</v>
      </c>
      <c r="H714">
        <v>181011084158</v>
      </c>
      <c r="I714" t="str">
        <f>CashIntraTable[Portfolio]&amp;VALUE(CashIntraTable[Cash Date])&amp;CashIntraTable[Detail]</f>
        <v>SCBTEQFUND433841.1. Subscription</v>
      </c>
    </row>
    <row r="715" spans="1:9" x14ac:dyDescent="0.2">
      <c r="A715" t="s">
        <v>479</v>
      </c>
      <c r="B715" t="s">
        <v>23</v>
      </c>
      <c r="C715" s="67">
        <v>43385</v>
      </c>
      <c r="D715" t="s">
        <v>399</v>
      </c>
      <c r="E715">
        <v>20000</v>
      </c>
      <c r="F715" t="s">
        <v>344</v>
      </c>
      <c r="G715" t="s">
        <v>400</v>
      </c>
      <c r="H715">
        <v>181011084158</v>
      </c>
      <c r="I715" t="str">
        <f>CashIntraTable[Portfolio]&amp;VALUE(CashIntraTable[Cash Date])&amp;CashIntraTable[Detail]</f>
        <v>SCBTEQFUND433851.1. Subscription</v>
      </c>
    </row>
    <row r="716" spans="1:9" x14ac:dyDescent="0.2">
      <c r="A716" t="s">
        <v>479</v>
      </c>
      <c r="B716" t="s">
        <v>23</v>
      </c>
      <c r="C716" s="67">
        <v>43384</v>
      </c>
      <c r="D716" t="s">
        <v>399</v>
      </c>
      <c r="E716">
        <v>1000</v>
      </c>
      <c r="F716" t="s">
        <v>345</v>
      </c>
      <c r="G716" t="s">
        <v>400</v>
      </c>
      <c r="H716">
        <v>181011084158</v>
      </c>
      <c r="I716" t="str">
        <f>CashIntraTable[Portfolio]&amp;VALUE(CashIntraTable[Cash Date])&amp;CashIntraTable[Detail]</f>
        <v>SCBTEQFUND433841.2. Switch-in</v>
      </c>
    </row>
    <row r="717" spans="1:9" x14ac:dyDescent="0.2">
      <c r="A717" t="s">
        <v>479</v>
      </c>
      <c r="B717" t="s">
        <v>23</v>
      </c>
      <c r="C717" s="67">
        <v>43384</v>
      </c>
      <c r="D717" t="s">
        <v>399</v>
      </c>
      <c r="E717">
        <v>-202718.53</v>
      </c>
      <c r="F717" t="s">
        <v>346</v>
      </c>
      <c r="G717" t="s">
        <v>400</v>
      </c>
      <c r="H717">
        <v>181011084158</v>
      </c>
      <c r="I717" t="str">
        <f>CashIntraTable[Portfolio]&amp;VALUE(CashIntraTable[Cash Date])&amp;CashIntraTable[Detail]</f>
        <v>SCBTEQFUND433842.1. Redemption</v>
      </c>
    </row>
    <row r="718" spans="1:9" x14ac:dyDescent="0.2">
      <c r="A718" t="s">
        <v>479</v>
      </c>
      <c r="B718" t="s">
        <v>23</v>
      </c>
      <c r="C718" s="67">
        <v>43385</v>
      </c>
      <c r="D718" t="s">
        <v>399</v>
      </c>
      <c r="E718">
        <v>-94714.34</v>
      </c>
      <c r="F718" t="s">
        <v>346</v>
      </c>
      <c r="G718" t="s">
        <v>400</v>
      </c>
      <c r="H718">
        <v>181011084158</v>
      </c>
      <c r="I718" t="str">
        <f>CashIntraTable[Portfolio]&amp;VALUE(CashIntraTable[Cash Date])&amp;CashIntraTable[Detail]</f>
        <v>SCBTEQFUND433852.1. Redemption</v>
      </c>
    </row>
    <row r="719" spans="1:9" x14ac:dyDescent="0.2">
      <c r="A719" t="s">
        <v>876</v>
      </c>
      <c r="B719" t="s">
        <v>23</v>
      </c>
      <c r="C719" s="67">
        <v>43389</v>
      </c>
      <c r="D719" t="s">
        <v>399</v>
      </c>
      <c r="E719">
        <v>3682000</v>
      </c>
      <c r="F719" t="s">
        <v>344</v>
      </c>
      <c r="G719" t="s">
        <v>400</v>
      </c>
      <c r="H719">
        <v>181011084158</v>
      </c>
      <c r="I719" t="str">
        <f>CashIntraTable[Portfolio]&amp;VALUE(CashIntraTable[Cash Date])&amp;CashIntraTable[Detail]</f>
        <v>SCBTG433891.1. Subscription</v>
      </c>
    </row>
    <row r="720" spans="1:9" x14ac:dyDescent="0.2">
      <c r="A720" t="s">
        <v>876</v>
      </c>
      <c r="B720" t="s">
        <v>23</v>
      </c>
      <c r="C720" s="67">
        <v>43384</v>
      </c>
      <c r="D720" t="s">
        <v>399</v>
      </c>
      <c r="E720">
        <v>26850000</v>
      </c>
      <c r="F720" t="s">
        <v>345</v>
      </c>
      <c r="G720" t="s">
        <v>400</v>
      </c>
      <c r="H720">
        <v>181011084158</v>
      </c>
      <c r="I720" t="str">
        <f>CashIntraTable[Portfolio]&amp;VALUE(CashIntraTable[Cash Date])&amp;CashIntraTable[Detail]</f>
        <v>SCBTG433841.2. Switch-in</v>
      </c>
    </row>
    <row r="721" spans="1:9" x14ac:dyDescent="0.2">
      <c r="A721" t="s">
        <v>480</v>
      </c>
      <c r="B721" t="s">
        <v>23</v>
      </c>
      <c r="C721" s="67">
        <v>43384</v>
      </c>
      <c r="D721" t="s">
        <v>399</v>
      </c>
      <c r="E721">
        <v>6971122.1100000003</v>
      </c>
      <c r="F721" t="s">
        <v>344</v>
      </c>
      <c r="G721" t="s">
        <v>400</v>
      </c>
      <c r="H721">
        <v>181011084158</v>
      </c>
      <c r="I721" t="str">
        <f>CashIntraTable[Portfolio]&amp;VALUE(CashIntraTable[Cash Date])&amp;CashIntraTable[Detail]</f>
        <v>SCBTHAICG433841.1. Subscription</v>
      </c>
    </row>
    <row r="722" spans="1:9" x14ac:dyDescent="0.2">
      <c r="A722" t="s">
        <v>480</v>
      </c>
      <c r="B722" t="s">
        <v>23</v>
      </c>
      <c r="C722" s="67">
        <v>43385</v>
      </c>
      <c r="D722" t="s">
        <v>399</v>
      </c>
      <c r="E722">
        <v>237000</v>
      </c>
      <c r="F722" t="s">
        <v>344</v>
      </c>
      <c r="G722" t="s">
        <v>400</v>
      </c>
      <c r="H722">
        <v>181011084158</v>
      </c>
      <c r="I722" t="str">
        <f>CashIntraTable[Portfolio]&amp;VALUE(CashIntraTable[Cash Date])&amp;CashIntraTable[Detail]</f>
        <v>SCBTHAICG433851.1. Subscription</v>
      </c>
    </row>
    <row r="723" spans="1:9" x14ac:dyDescent="0.2">
      <c r="A723" t="s">
        <v>480</v>
      </c>
      <c r="B723" t="s">
        <v>23</v>
      </c>
      <c r="C723" s="67">
        <v>43384</v>
      </c>
      <c r="D723" t="s">
        <v>399</v>
      </c>
      <c r="E723">
        <v>-1700</v>
      </c>
      <c r="F723" t="s">
        <v>346</v>
      </c>
      <c r="G723" t="s">
        <v>400</v>
      </c>
      <c r="H723">
        <v>181011084158</v>
      </c>
      <c r="I723" t="str">
        <f>CashIntraTable[Portfolio]&amp;VALUE(CashIntraTable[Cash Date])&amp;CashIntraTable[Detail]</f>
        <v>SCBTHAICG433842.1. Redemption</v>
      </c>
    </row>
    <row r="724" spans="1:9" x14ac:dyDescent="0.2">
      <c r="A724" t="s">
        <v>140</v>
      </c>
      <c r="B724" t="s">
        <v>23</v>
      </c>
      <c r="C724" s="67">
        <v>43384</v>
      </c>
      <c r="D724" t="s">
        <v>399</v>
      </c>
      <c r="E724">
        <v>1829000</v>
      </c>
      <c r="F724" t="s">
        <v>344</v>
      </c>
      <c r="G724" t="s">
        <v>400</v>
      </c>
      <c r="H724">
        <v>181011084158</v>
      </c>
      <c r="I724" t="str">
        <f>CashIntraTable[Portfolio]&amp;VALUE(CashIntraTable[Cash Date])&amp;CashIntraTable[Detail]</f>
        <v>SCBTMF433841.1. Subscription</v>
      </c>
    </row>
    <row r="725" spans="1:9" x14ac:dyDescent="0.2">
      <c r="A725" t="s">
        <v>140</v>
      </c>
      <c r="B725" t="s">
        <v>23</v>
      </c>
      <c r="C725" s="67">
        <v>43385</v>
      </c>
      <c r="D725" t="s">
        <v>399</v>
      </c>
      <c r="E725">
        <v>901500</v>
      </c>
      <c r="F725" t="s">
        <v>344</v>
      </c>
      <c r="G725" t="s">
        <v>400</v>
      </c>
      <c r="H725">
        <v>181011084158</v>
      </c>
      <c r="I725" t="str">
        <f>CashIntraTable[Portfolio]&amp;VALUE(CashIntraTable[Cash Date])&amp;CashIntraTable[Detail]</f>
        <v>SCBTMF433851.1. Subscription</v>
      </c>
    </row>
    <row r="726" spans="1:9" x14ac:dyDescent="0.2">
      <c r="A726" t="s">
        <v>140</v>
      </c>
      <c r="B726" t="s">
        <v>23</v>
      </c>
      <c r="C726" s="67">
        <v>43384</v>
      </c>
      <c r="D726" t="s">
        <v>399</v>
      </c>
      <c r="E726">
        <v>700000</v>
      </c>
      <c r="F726" t="s">
        <v>345</v>
      </c>
      <c r="G726" t="s">
        <v>400</v>
      </c>
      <c r="H726">
        <v>181011084158</v>
      </c>
      <c r="I726" t="str">
        <f>CashIntraTable[Portfolio]&amp;VALUE(CashIntraTable[Cash Date])&amp;CashIntraTable[Detail]</f>
        <v>SCBTMF433841.2. Switch-in</v>
      </c>
    </row>
    <row r="727" spans="1:9" x14ac:dyDescent="0.2">
      <c r="A727" t="s">
        <v>140</v>
      </c>
      <c r="B727" t="s">
        <v>23</v>
      </c>
      <c r="C727" s="67">
        <v>43385</v>
      </c>
      <c r="D727" t="s">
        <v>399</v>
      </c>
      <c r="E727">
        <v>92347.27</v>
      </c>
      <c r="F727" t="s">
        <v>345</v>
      </c>
      <c r="G727" t="s">
        <v>400</v>
      </c>
      <c r="H727">
        <v>181011084158</v>
      </c>
      <c r="I727" t="str">
        <f>CashIntraTable[Portfolio]&amp;VALUE(CashIntraTable[Cash Date])&amp;CashIntraTable[Detail]</f>
        <v>SCBTMF433851.2. Switch-in</v>
      </c>
    </row>
    <row r="728" spans="1:9" x14ac:dyDescent="0.2">
      <c r="A728" t="s">
        <v>140</v>
      </c>
      <c r="B728" t="s">
        <v>23</v>
      </c>
      <c r="C728" s="67">
        <v>43389</v>
      </c>
      <c r="D728" t="s">
        <v>399</v>
      </c>
      <c r="E728">
        <v>3087.48</v>
      </c>
      <c r="F728" t="s">
        <v>345</v>
      </c>
      <c r="G728" t="s">
        <v>400</v>
      </c>
      <c r="H728">
        <v>181011084158</v>
      </c>
      <c r="I728" t="str">
        <f>CashIntraTable[Portfolio]&amp;VALUE(CashIntraTable[Cash Date])&amp;CashIntraTable[Detail]</f>
        <v>SCBTMF433891.2. Switch-in</v>
      </c>
    </row>
    <row r="729" spans="1:9" x14ac:dyDescent="0.2">
      <c r="A729" t="s">
        <v>140</v>
      </c>
      <c r="B729" t="s">
        <v>23</v>
      </c>
      <c r="C729" s="67">
        <v>43390</v>
      </c>
      <c r="D729" t="s">
        <v>399</v>
      </c>
      <c r="E729">
        <v>12545.35</v>
      </c>
      <c r="F729" t="s">
        <v>345</v>
      </c>
      <c r="G729" t="s">
        <v>400</v>
      </c>
      <c r="H729">
        <v>181011084158</v>
      </c>
      <c r="I729" t="str">
        <f>CashIntraTable[Portfolio]&amp;VALUE(CashIntraTable[Cash Date])&amp;CashIntraTable[Detail]</f>
        <v>SCBTMF433901.2. Switch-in</v>
      </c>
    </row>
    <row r="730" spans="1:9" x14ac:dyDescent="0.2">
      <c r="A730" t="s">
        <v>140</v>
      </c>
      <c r="B730" t="s">
        <v>23</v>
      </c>
      <c r="C730" s="67">
        <v>43384</v>
      </c>
      <c r="D730" t="s">
        <v>399</v>
      </c>
      <c r="E730">
        <v>-13513327.560000001</v>
      </c>
      <c r="F730" t="s">
        <v>346</v>
      </c>
      <c r="G730" t="s">
        <v>400</v>
      </c>
      <c r="H730">
        <v>181011084158</v>
      </c>
      <c r="I730" t="str">
        <f>CashIntraTable[Portfolio]&amp;VALUE(CashIntraTable[Cash Date])&amp;CashIntraTable[Detail]</f>
        <v>SCBTMF433842.1. Redemption</v>
      </c>
    </row>
    <row r="731" spans="1:9" x14ac:dyDescent="0.2">
      <c r="A731" t="s">
        <v>140</v>
      </c>
      <c r="B731" t="s">
        <v>23</v>
      </c>
      <c r="C731" s="67">
        <v>43385</v>
      </c>
      <c r="D731" t="s">
        <v>399</v>
      </c>
      <c r="E731">
        <v>-4748828.63</v>
      </c>
      <c r="F731" t="s">
        <v>346</v>
      </c>
      <c r="G731" t="s">
        <v>400</v>
      </c>
      <c r="H731">
        <v>181011084158</v>
      </c>
      <c r="I731" t="str">
        <f>CashIntraTable[Portfolio]&amp;VALUE(CashIntraTable[Cash Date])&amp;CashIntraTable[Detail]</f>
        <v>SCBTMF433852.1. Redemption</v>
      </c>
    </row>
    <row r="732" spans="1:9" x14ac:dyDescent="0.2">
      <c r="A732" t="s">
        <v>140</v>
      </c>
      <c r="B732" t="s">
        <v>23</v>
      </c>
      <c r="C732" s="67">
        <v>43384</v>
      </c>
      <c r="D732" t="s">
        <v>399</v>
      </c>
      <c r="E732">
        <v>-1145500.93</v>
      </c>
      <c r="F732" t="s">
        <v>347</v>
      </c>
      <c r="G732" t="s">
        <v>400</v>
      </c>
      <c r="H732">
        <v>181011084158</v>
      </c>
      <c r="I732" t="str">
        <f>CashIntraTable[Portfolio]&amp;VALUE(CashIntraTable[Cash Date])&amp;CashIntraTable[Detail]</f>
        <v>SCBTMF433842.2. Switch-out</v>
      </c>
    </row>
    <row r="733" spans="1:9" x14ac:dyDescent="0.2">
      <c r="A733" t="s">
        <v>140</v>
      </c>
      <c r="B733" t="s">
        <v>23</v>
      </c>
      <c r="C733" s="67">
        <v>43385</v>
      </c>
      <c r="D733" t="s">
        <v>399</v>
      </c>
      <c r="E733">
        <v>-3000</v>
      </c>
      <c r="F733" t="s">
        <v>347</v>
      </c>
      <c r="G733" t="s">
        <v>400</v>
      </c>
      <c r="H733">
        <v>181011084158</v>
      </c>
      <c r="I733" t="str">
        <f>CashIntraTable[Portfolio]&amp;VALUE(CashIntraTable[Cash Date])&amp;CashIntraTable[Detail]</f>
        <v>SCBTMF433852.2. Switch-out</v>
      </c>
    </row>
    <row r="734" spans="1:9" x14ac:dyDescent="0.2">
      <c r="A734" t="s">
        <v>141</v>
      </c>
      <c r="B734" t="s">
        <v>23</v>
      </c>
      <c r="C734" s="67">
        <v>43384</v>
      </c>
      <c r="D734" t="s">
        <v>399</v>
      </c>
      <c r="E734">
        <v>6427095.8200000003</v>
      </c>
      <c r="F734" t="s">
        <v>344</v>
      </c>
      <c r="G734" t="s">
        <v>400</v>
      </c>
      <c r="H734">
        <v>181011084158</v>
      </c>
      <c r="I734" t="str">
        <f>CashIntraTable[Portfolio]&amp;VALUE(CashIntraTable[Cash Date])&amp;CashIntraTable[Detail]</f>
        <v>SCBTMFPLUS433841.1. Subscription</v>
      </c>
    </row>
    <row r="735" spans="1:9" x14ac:dyDescent="0.2">
      <c r="A735" t="s">
        <v>141</v>
      </c>
      <c r="B735" t="s">
        <v>23</v>
      </c>
      <c r="C735" s="67">
        <v>43385</v>
      </c>
      <c r="D735" t="s">
        <v>399</v>
      </c>
      <c r="E735">
        <v>110000</v>
      </c>
      <c r="F735" t="s">
        <v>344</v>
      </c>
      <c r="G735" t="s">
        <v>400</v>
      </c>
      <c r="H735">
        <v>181011084158</v>
      </c>
      <c r="I735" t="str">
        <f>CashIntraTable[Portfolio]&amp;VALUE(CashIntraTable[Cash Date])&amp;CashIntraTable[Detail]</f>
        <v>SCBTMFPLUS433851.1. Subscription</v>
      </c>
    </row>
    <row r="736" spans="1:9" x14ac:dyDescent="0.2">
      <c r="A736" t="s">
        <v>141</v>
      </c>
      <c r="B736" t="s">
        <v>23</v>
      </c>
      <c r="C736" s="67">
        <v>43384</v>
      </c>
      <c r="D736" t="s">
        <v>399</v>
      </c>
      <c r="E736">
        <v>7000000</v>
      </c>
      <c r="F736" t="s">
        <v>348</v>
      </c>
      <c r="G736" t="s">
        <v>400</v>
      </c>
      <c r="H736">
        <v>181011084158</v>
      </c>
      <c r="I736" t="str">
        <f>CashIntraTable[Portfolio]&amp;VALUE(CashIntraTable[Cash Date])&amp;CashIntraTable[Detail]</f>
        <v>SCBTMFPLUS433841.1. Subscription (Chq)</v>
      </c>
    </row>
    <row r="737" spans="1:9" x14ac:dyDescent="0.2">
      <c r="A737" t="s">
        <v>141</v>
      </c>
      <c r="B737" t="s">
        <v>23</v>
      </c>
      <c r="C737" s="67">
        <v>43384</v>
      </c>
      <c r="D737" t="s">
        <v>399</v>
      </c>
      <c r="E737">
        <v>1000</v>
      </c>
      <c r="F737" t="s">
        <v>345</v>
      </c>
      <c r="G737" t="s">
        <v>400</v>
      </c>
      <c r="H737">
        <v>181011084158</v>
      </c>
      <c r="I737" t="str">
        <f>CashIntraTable[Portfolio]&amp;VALUE(CashIntraTable[Cash Date])&amp;CashIntraTable[Detail]</f>
        <v>SCBTMFPLUS433841.2. Switch-in</v>
      </c>
    </row>
    <row r="738" spans="1:9" x14ac:dyDescent="0.2">
      <c r="A738" t="s">
        <v>141</v>
      </c>
      <c r="B738" t="s">
        <v>23</v>
      </c>
      <c r="C738" s="67">
        <v>43384</v>
      </c>
      <c r="D738" t="s">
        <v>399</v>
      </c>
      <c r="E738">
        <v>-1235314480.6800001</v>
      </c>
      <c r="F738" t="s">
        <v>346</v>
      </c>
      <c r="G738" t="s">
        <v>400</v>
      </c>
      <c r="H738">
        <v>181011084158</v>
      </c>
      <c r="I738" t="str">
        <f>CashIntraTable[Portfolio]&amp;VALUE(CashIntraTable[Cash Date])&amp;CashIntraTable[Detail]</f>
        <v>SCBTMFPLUS433842.1. Redemption</v>
      </c>
    </row>
    <row r="739" spans="1:9" x14ac:dyDescent="0.2">
      <c r="A739" t="s">
        <v>141</v>
      </c>
      <c r="B739" t="s">
        <v>23</v>
      </c>
      <c r="C739" s="67">
        <v>43385</v>
      </c>
      <c r="D739" t="s">
        <v>399</v>
      </c>
      <c r="E739">
        <v>-10000</v>
      </c>
      <c r="F739" t="s">
        <v>346</v>
      </c>
      <c r="G739" t="s">
        <v>400</v>
      </c>
      <c r="H739">
        <v>181011084158</v>
      </c>
      <c r="I739" t="str">
        <f>CashIntraTable[Portfolio]&amp;VALUE(CashIntraTable[Cash Date])&amp;CashIntraTable[Detail]</f>
        <v>SCBTMFPLUS433852.1. Redemption</v>
      </c>
    </row>
    <row r="740" spans="1:9" x14ac:dyDescent="0.2">
      <c r="A740" t="s">
        <v>141</v>
      </c>
      <c r="B740" t="s">
        <v>23</v>
      </c>
      <c r="C740" s="67">
        <v>43384</v>
      </c>
      <c r="D740" t="s">
        <v>399</v>
      </c>
      <c r="E740">
        <v>-1070501.81</v>
      </c>
      <c r="F740" t="s">
        <v>347</v>
      </c>
      <c r="G740" t="s">
        <v>400</v>
      </c>
      <c r="H740">
        <v>181011084158</v>
      </c>
      <c r="I740" t="str">
        <f>CashIntraTable[Portfolio]&amp;VALUE(CashIntraTable[Cash Date])&amp;CashIntraTable[Detail]</f>
        <v>SCBTMFPLUS433842.2. Switch-out</v>
      </c>
    </row>
    <row r="741" spans="1:9" x14ac:dyDescent="0.2">
      <c r="A741" t="s">
        <v>141</v>
      </c>
      <c r="B741" t="s">
        <v>23</v>
      </c>
      <c r="C741" s="67">
        <v>43385</v>
      </c>
      <c r="D741" t="s">
        <v>399</v>
      </c>
      <c r="E741">
        <v>-20000</v>
      </c>
      <c r="F741" t="s">
        <v>347</v>
      </c>
      <c r="G741" t="s">
        <v>400</v>
      </c>
      <c r="H741">
        <v>181011084158</v>
      </c>
      <c r="I741" t="str">
        <f>CashIntraTable[Portfolio]&amp;VALUE(CashIntraTable[Cash Date])&amp;CashIntraTable[Detail]</f>
        <v>SCBTMFPLUS433852.2. Switch-out</v>
      </c>
    </row>
    <row r="742" spans="1:9" x14ac:dyDescent="0.2">
      <c r="A742" t="s">
        <v>481</v>
      </c>
      <c r="B742" t="s">
        <v>23</v>
      </c>
      <c r="C742" s="67">
        <v>43389</v>
      </c>
      <c r="D742" t="s">
        <v>399</v>
      </c>
      <c r="E742">
        <v>-1002241.29</v>
      </c>
      <c r="F742" t="s">
        <v>347</v>
      </c>
      <c r="G742" t="s">
        <v>400</v>
      </c>
      <c r="H742">
        <v>181011084158</v>
      </c>
      <c r="I742" t="str">
        <f>CashIntraTable[Portfolio]&amp;VALUE(CashIntraTable[Cash Date])&amp;CashIntraTable[Detail]</f>
        <v>SCBUSHY433892.2. Switch-out</v>
      </c>
    </row>
    <row r="743" spans="1:9" x14ac:dyDescent="0.2">
      <c r="A743" t="s">
        <v>482</v>
      </c>
      <c r="B743" t="s">
        <v>23</v>
      </c>
      <c r="C743" s="67">
        <v>43384</v>
      </c>
      <c r="D743" t="s">
        <v>399</v>
      </c>
      <c r="E743">
        <v>2000</v>
      </c>
      <c r="F743" t="s">
        <v>344</v>
      </c>
      <c r="G743" t="s">
        <v>400</v>
      </c>
      <c r="H743">
        <v>181011084158</v>
      </c>
      <c r="I743" t="str">
        <f>CashIntraTable[Portfolio]&amp;VALUE(CashIntraTable[Cash Date])&amp;CashIntraTable[Detail]</f>
        <v>SCBUSSM433841.1. Subscription</v>
      </c>
    </row>
    <row r="744" spans="1:9" x14ac:dyDescent="0.2">
      <c r="A744" t="s">
        <v>482</v>
      </c>
      <c r="B744" t="s">
        <v>23</v>
      </c>
      <c r="C744" s="67">
        <v>43384</v>
      </c>
      <c r="D744" t="s">
        <v>399</v>
      </c>
      <c r="E744">
        <v>10000</v>
      </c>
      <c r="F744" t="s">
        <v>345</v>
      </c>
      <c r="G744" t="s">
        <v>400</v>
      </c>
      <c r="H744">
        <v>181011084158</v>
      </c>
      <c r="I744" t="str">
        <f>CashIntraTable[Portfolio]&amp;VALUE(CashIntraTable[Cash Date])&amp;CashIntraTable[Detail]</f>
        <v>SCBUSSM433841.2. Switch-in</v>
      </c>
    </row>
    <row r="745" spans="1:9" x14ac:dyDescent="0.2">
      <c r="A745" t="s">
        <v>482</v>
      </c>
      <c r="B745" t="s">
        <v>23</v>
      </c>
      <c r="C745" s="67">
        <v>43385</v>
      </c>
      <c r="D745" t="s">
        <v>399</v>
      </c>
      <c r="E745">
        <v>100000</v>
      </c>
      <c r="F745" t="s">
        <v>345</v>
      </c>
      <c r="G745" t="s">
        <v>400</v>
      </c>
      <c r="H745">
        <v>181011084158</v>
      </c>
      <c r="I745" t="str">
        <f>CashIntraTable[Portfolio]&amp;VALUE(CashIntraTable[Cash Date])&amp;CashIntraTable[Detail]</f>
        <v>SCBUSSM433851.2. Switch-in</v>
      </c>
    </row>
    <row r="746" spans="1:9" x14ac:dyDescent="0.2">
      <c r="A746" t="s">
        <v>482</v>
      </c>
      <c r="B746" t="s">
        <v>23</v>
      </c>
      <c r="C746" s="67">
        <v>43392</v>
      </c>
      <c r="D746" t="s">
        <v>399</v>
      </c>
      <c r="E746">
        <v>16792.419999999998</v>
      </c>
      <c r="F746" t="s">
        <v>345</v>
      </c>
      <c r="G746" t="s">
        <v>400</v>
      </c>
      <c r="H746">
        <v>181011084158</v>
      </c>
      <c r="I746" t="str">
        <f>CashIntraTable[Portfolio]&amp;VALUE(CashIntraTable[Cash Date])&amp;CashIntraTable[Detail]</f>
        <v>SCBUSSM433921.2. Switch-in</v>
      </c>
    </row>
    <row r="747" spans="1:9" x14ac:dyDescent="0.2">
      <c r="A747" t="s">
        <v>482</v>
      </c>
      <c r="B747" t="s">
        <v>23</v>
      </c>
      <c r="C747" s="67">
        <v>43389</v>
      </c>
      <c r="D747" t="s">
        <v>399</v>
      </c>
      <c r="E747">
        <v>-6485.3</v>
      </c>
      <c r="F747" t="s">
        <v>346</v>
      </c>
      <c r="G747" t="s">
        <v>400</v>
      </c>
      <c r="H747">
        <v>181011084158</v>
      </c>
      <c r="I747" t="str">
        <f>CashIntraTable[Portfolio]&amp;VALUE(CashIntraTable[Cash Date])&amp;CashIntraTable[Detail]</f>
        <v>SCBUSSM433892.1. Redemption</v>
      </c>
    </row>
    <row r="748" spans="1:9" x14ac:dyDescent="0.2">
      <c r="A748" t="s">
        <v>482</v>
      </c>
      <c r="B748" t="s">
        <v>23</v>
      </c>
      <c r="C748" s="67">
        <v>43390</v>
      </c>
      <c r="D748" t="s">
        <v>399</v>
      </c>
      <c r="E748">
        <v>-259412.28</v>
      </c>
      <c r="F748" t="s">
        <v>346</v>
      </c>
      <c r="G748" t="s">
        <v>400</v>
      </c>
      <c r="H748">
        <v>181011084158</v>
      </c>
      <c r="I748" t="str">
        <f>CashIntraTable[Portfolio]&amp;VALUE(CashIntraTable[Cash Date])&amp;CashIntraTable[Detail]</f>
        <v>SCBUSSM433902.1. Redemption</v>
      </c>
    </row>
    <row r="749" spans="1:9" x14ac:dyDescent="0.2">
      <c r="A749" t="s">
        <v>482</v>
      </c>
      <c r="B749" t="s">
        <v>23</v>
      </c>
      <c r="C749" s="67">
        <v>43385</v>
      </c>
      <c r="D749" t="s">
        <v>399</v>
      </c>
      <c r="E749">
        <v>-470943.03</v>
      </c>
      <c r="F749" t="s">
        <v>347</v>
      </c>
      <c r="G749" t="s">
        <v>400</v>
      </c>
      <c r="H749">
        <v>181011084158</v>
      </c>
      <c r="I749" t="str">
        <f>CashIntraTable[Portfolio]&amp;VALUE(CashIntraTable[Cash Date])&amp;CashIntraTable[Detail]</f>
        <v>SCBUSSM433852.2. Switch-out</v>
      </c>
    </row>
    <row r="750" spans="1:9" x14ac:dyDescent="0.2">
      <c r="A750" t="s">
        <v>482</v>
      </c>
      <c r="B750" t="s">
        <v>23</v>
      </c>
      <c r="C750" s="67">
        <v>43389</v>
      </c>
      <c r="D750" t="s">
        <v>399</v>
      </c>
      <c r="E750">
        <v>-43876.3</v>
      </c>
      <c r="F750" t="s">
        <v>347</v>
      </c>
      <c r="G750" t="s">
        <v>400</v>
      </c>
      <c r="H750">
        <v>181011084158</v>
      </c>
      <c r="I750" t="str">
        <f>CashIntraTable[Portfolio]&amp;VALUE(CashIntraTable[Cash Date])&amp;CashIntraTable[Detail]</f>
        <v>SCBUSSM433892.2. Switch-out</v>
      </c>
    </row>
    <row r="751" spans="1:9" x14ac:dyDescent="0.2">
      <c r="A751" t="s">
        <v>482</v>
      </c>
      <c r="B751" t="s">
        <v>23</v>
      </c>
      <c r="C751" s="67">
        <v>43390</v>
      </c>
      <c r="D751" t="s">
        <v>399</v>
      </c>
      <c r="E751">
        <v>-50000</v>
      </c>
      <c r="F751" t="s">
        <v>347</v>
      </c>
      <c r="G751" t="s">
        <v>400</v>
      </c>
      <c r="H751">
        <v>181011084158</v>
      </c>
      <c r="I751" t="str">
        <f>CashIntraTable[Portfolio]&amp;VALUE(CashIntraTable[Cash Date])&amp;CashIntraTable[Detail]</f>
        <v>SCBUSSM433902.2. Switch-out</v>
      </c>
    </row>
    <row r="752" spans="1:9" x14ac:dyDescent="0.2">
      <c r="A752" t="s">
        <v>483</v>
      </c>
      <c r="B752" t="s">
        <v>23</v>
      </c>
      <c r="C752" s="67">
        <v>43384</v>
      </c>
      <c r="D752" t="s">
        <v>399</v>
      </c>
      <c r="E752">
        <v>1000</v>
      </c>
      <c r="F752" t="s">
        <v>344</v>
      </c>
      <c r="G752" t="s">
        <v>400</v>
      </c>
      <c r="H752">
        <v>181011084158</v>
      </c>
      <c r="I752" t="str">
        <f>CashIntraTable[Portfolio]&amp;VALUE(CashIntraTable[Cash Date])&amp;CashIntraTable[Detail]</f>
        <v>SCBWIN433841.1. Subscription</v>
      </c>
    </row>
    <row r="753" spans="1:9" x14ac:dyDescent="0.2">
      <c r="A753" t="s">
        <v>483</v>
      </c>
      <c r="B753" t="s">
        <v>23</v>
      </c>
      <c r="C753" s="67">
        <v>43385</v>
      </c>
      <c r="D753" t="s">
        <v>399</v>
      </c>
      <c r="E753">
        <v>1000</v>
      </c>
      <c r="F753" t="s">
        <v>344</v>
      </c>
      <c r="G753" t="s">
        <v>400</v>
      </c>
      <c r="H753">
        <v>181011084158</v>
      </c>
      <c r="I753" t="str">
        <f>CashIntraTable[Portfolio]&amp;VALUE(CashIntraTable[Cash Date])&amp;CashIntraTable[Detail]</f>
        <v>SCBWIN433851.1. Subscription</v>
      </c>
    </row>
    <row r="754" spans="1:9" x14ac:dyDescent="0.2">
      <c r="A754" t="s">
        <v>483</v>
      </c>
      <c r="B754" t="s">
        <v>23</v>
      </c>
      <c r="C754" s="67">
        <v>43384</v>
      </c>
      <c r="D754" t="s">
        <v>399</v>
      </c>
      <c r="E754">
        <v>10000000</v>
      </c>
      <c r="F754" t="s">
        <v>345</v>
      </c>
      <c r="G754" t="s">
        <v>400</v>
      </c>
      <c r="H754">
        <v>181011084158</v>
      </c>
      <c r="I754" t="str">
        <f>CashIntraTable[Portfolio]&amp;VALUE(CashIntraTable[Cash Date])&amp;CashIntraTable[Detail]</f>
        <v>SCBWIN433841.2. Switch-in</v>
      </c>
    </row>
    <row r="755" spans="1:9" x14ac:dyDescent="0.2">
      <c r="A755" t="s">
        <v>483</v>
      </c>
      <c r="B755" t="s">
        <v>23</v>
      </c>
      <c r="C755" s="67">
        <v>43384</v>
      </c>
      <c r="D755" t="s">
        <v>399</v>
      </c>
      <c r="E755">
        <v>-98714.29</v>
      </c>
      <c r="F755" t="s">
        <v>346</v>
      </c>
      <c r="G755" t="s">
        <v>400</v>
      </c>
      <c r="H755">
        <v>181011084158</v>
      </c>
      <c r="I755" t="str">
        <f>CashIntraTable[Portfolio]&amp;VALUE(CashIntraTable[Cash Date])&amp;CashIntraTable[Detail]</f>
        <v>SCBWIN433842.1. Redemption</v>
      </c>
    </row>
    <row r="756" spans="1:9" x14ac:dyDescent="0.2">
      <c r="A756" t="s">
        <v>483</v>
      </c>
      <c r="B756" t="s">
        <v>23</v>
      </c>
      <c r="C756" s="67">
        <v>43385</v>
      </c>
      <c r="D756" t="s">
        <v>399</v>
      </c>
      <c r="E756">
        <v>-36871487.93</v>
      </c>
      <c r="F756" t="s">
        <v>346</v>
      </c>
      <c r="G756" t="s">
        <v>400</v>
      </c>
      <c r="H756">
        <v>181011084158</v>
      </c>
      <c r="I756" t="str">
        <f>CashIntraTable[Portfolio]&amp;VALUE(CashIntraTable[Cash Date])&amp;CashIntraTable[Detail]</f>
        <v>SCBWIN433852.1. Redemption</v>
      </c>
    </row>
    <row r="757" spans="1:9" x14ac:dyDescent="0.2">
      <c r="A757" t="s">
        <v>483</v>
      </c>
      <c r="B757" t="s">
        <v>23</v>
      </c>
      <c r="C757" s="67">
        <v>43389</v>
      </c>
      <c r="D757" t="s">
        <v>399</v>
      </c>
      <c r="E757">
        <v>-899076.87</v>
      </c>
      <c r="F757" t="s">
        <v>346</v>
      </c>
      <c r="G757" t="s">
        <v>400</v>
      </c>
      <c r="H757">
        <v>181011084158</v>
      </c>
      <c r="I757" t="str">
        <f>CashIntraTable[Portfolio]&amp;VALUE(CashIntraTable[Cash Date])&amp;CashIntraTable[Detail]</f>
        <v>SCBWIN433892.1. Redemption</v>
      </c>
    </row>
    <row r="758" spans="1:9" x14ac:dyDescent="0.2">
      <c r="A758" t="s">
        <v>483</v>
      </c>
      <c r="B758" t="s">
        <v>23</v>
      </c>
      <c r="C758" s="67">
        <v>43384</v>
      </c>
      <c r="D758" t="s">
        <v>399</v>
      </c>
      <c r="E758">
        <v>-3770747.34</v>
      </c>
      <c r="F758" t="s">
        <v>347</v>
      </c>
      <c r="G758" t="s">
        <v>400</v>
      </c>
      <c r="H758">
        <v>181011084158</v>
      </c>
      <c r="I758" t="str">
        <f>CashIntraTable[Portfolio]&amp;VALUE(CashIntraTable[Cash Date])&amp;CashIntraTable[Detail]</f>
        <v>SCBWIN433842.2. Switch-out</v>
      </c>
    </row>
    <row r="759" spans="1:9" x14ac:dyDescent="0.2">
      <c r="A759" t="s">
        <v>483</v>
      </c>
      <c r="B759" t="s">
        <v>23</v>
      </c>
      <c r="C759" s="67">
        <v>43385</v>
      </c>
      <c r="D759" t="s">
        <v>399</v>
      </c>
      <c r="E759">
        <v>-8814157.6600000001</v>
      </c>
      <c r="F759" t="s">
        <v>347</v>
      </c>
      <c r="G759" t="s">
        <v>400</v>
      </c>
      <c r="H759">
        <v>181011084158</v>
      </c>
      <c r="I759" t="str">
        <f>CashIntraTable[Portfolio]&amp;VALUE(CashIntraTable[Cash Date])&amp;CashIntraTable[Detail]</f>
        <v>SCBWIN433852.2. Switch-out</v>
      </c>
    </row>
    <row r="760" spans="1:9" x14ac:dyDescent="0.2">
      <c r="A760" t="s">
        <v>483</v>
      </c>
      <c r="B760" t="s">
        <v>23</v>
      </c>
      <c r="C760" s="67">
        <v>43389</v>
      </c>
      <c r="D760" t="s">
        <v>399</v>
      </c>
      <c r="E760">
        <v>-2722388.91</v>
      </c>
      <c r="F760" t="s">
        <v>347</v>
      </c>
      <c r="G760" t="s">
        <v>400</v>
      </c>
      <c r="H760">
        <v>181011084158</v>
      </c>
      <c r="I760" t="str">
        <f>CashIntraTable[Portfolio]&amp;VALUE(CashIntraTable[Cash Date])&amp;CashIntraTable[Detail]</f>
        <v>SCBWIN433892.2. Switch-out</v>
      </c>
    </row>
    <row r="761" spans="1:9" x14ac:dyDescent="0.2">
      <c r="A761" t="s">
        <v>483</v>
      </c>
      <c r="B761" t="s">
        <v>23</v>
      </c>
      <c r="C761" s="67">
        <v>43390</v>
      </c>
      <c r="D761" t="s">
        <v>399</v>
      </c>
      <c r="E761">
        <v>-373310.1</v>
      </c>
      <c r="F761" t="s">
        <v>347</v>
      </c>
      <c r="G761" t="s">
        <v>400</v>
      </c>
      <c r="H761">
        <v>181011084158</v>
      </c>
      <c r="I761" t="str">
        <f>CashIntraTable[Portfolio]&amp;VALUE(CashIntraTable[Cash Date])&amp;CashIntraTable[Detail]</f>
        <v>SCBWIN433902.2. Switch-out</v>
      </c>
    </row>
    <row r="777" spans="17:17" x14ac:dyDescent="0.2">
      <c r="Q777" t="e">
        <f>_xlfn.NUMBERVALUE(#REF!)</f>
        <v>#REF!</v>
      </c>
    </row>
    <row r="780" spans="17:17" ht="11.25" customHeight="1" x14ac:dyDescent="0.2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CB546-6FC2-4B3E-9D15-880B29D05C26}">
  <sheetPr codeName="Sheet3"/>
  <dimension ref="A1:AA161"/>
  <sheetViews>
    <sheetView zoomScale="70" zoomScaleNormal="70" workbookViewId="0">
      <selection activeCell="I57" sqref="I57"/>
    </sheetView>
  </sheetViews>
  <sheetFormatPr defaultRowHeight="14.25" x14ac:dyDescent="0.2"/>
  <cols>
    <col min="1" max="1" width="11.375" customWidth="1"/>
    <col min="2" max="2" width="13" customWidth="1"/>
    <col min="3" max="3" width="11.625" style="2" customWidth="1"/>
    <col min="4" max="5" width="11.375" customWidth="1"/>
    <col min="6" max="6" width="15.125" customWidth="1"/>
    <col min="7" max="8" width="14.25" customWidth="1"/>
    <col min="9" max="9" width="18" customWidth="1"/>
    <col min="10" max="10" width="11.375" customWidth="1"/>
    <col min="11" max="11" width="14.25" customWidth="1"/>
    <col min="12" max="12" width="13.625" customWidth="1"/>
    <col min="13" max="13" width="11.375" customWidth="1"/>
    <col min="14" max="14" width="13.25" customWidth="1"/>
    <col min="15" max="15" width="14.125" customWidth="1"/>
    <col min="16" max="16" width="23.5" style="3" customWidth="1"/>
    <col min="17" max="18" width="20.75" customWidth="1"/>
    <col min="19" max="20" width="23.625" customWidth="1"/>
    <col min="21" max="21" width="21.75" customWidth="1"/>
    <col min="22" max="22" width="23" customWidth="1"/>
    <col min="23" max="23" width="21.375" customWidth="1"/>
    <col min="24" max="24" width="22.625" customWidth="1"/>
    <col min="25" max="25" width="15" customWidth="1"/>
    <col min="26" max="26" width="19.25" customWidth="1"/>
    <col min="27" max="27" width="21" customWidth="1"/>
    <col min="30" max="30" width="9" customWidth="1"/>
  </cols>
  <sheetData>
    <row r="1" spans="1:27" x14ac:dyDescent="0.2">
      <c r="A1" t="s">
        <v>318</v>
      </c>
      <c r="B1" t="s">
        <v>319</v>
      </c>
      <c r="C1" s="2" t="s">
        <v>320</v>
      </c>
      <c r="D1" t="s">
        <v>321</v>
      </c>
      <c r="E1" t="s">
        <v>322</v>
      </c>
      <c r="F1" t="s">
        <v>323</v>
      </c>
      <c r="G1" t="s">
        <v>324</v>
      </c>
      <c r="H1" t="s">
        <v>325</v>
      </c>
      <c r="I1" t="s">
        <v>326</v>
      </c>
      <c r="J1" t="s">
        <v>327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s="3" t="s">
        <v>333</v>
      </c>
      <c r="Q1" t="s">
        <v>334</v>
      </c>
      <c r="R1" t="s">
        <v>335</v>
      </c>
      <c r="S1" t="s">
        <v>336</v>
      </c>
      <c r="T1" t="s">
        <v>337</v>
      </c>
      <c r="U1" t="s">
        <v>338</v>
      </c>
      <c r="V1" t="s">
        <v>339</v>
      </c>
      <c r="W1" t="s">
        <v>340</v>
      </c>
      <c r="X1" t="s">
        <v>341</v>
      </c>
      <c r="Y1" t="s">
        <v>342</v>
      </c>
      <c r="Z1" t="s">
        <v>343</v>
      </c>
      <c r="AA1" t="s">
        <v>396</v>
      </c>
    </row>
    <row r="2" spans="1:27" x14ac:dyDescent="0.2">
      <c r="A2" t="s">
        <v>17</v>
      </c>
      <c r="B2" t="s">
        <v>21</v>
      </c>
      <c r="C2" s="46">
        <v>43382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220182799.34</v>
      </c>
      <c r="L2">
        <v>0</v>
      </c>
      <c r="M2">
        <v>21878651.059999999</v>
      </c>
      <c r="N2">
        <v>0</v>
      </c>
      <c r="O2">
        <v>0</v>
      </c>
      <c r="P2" s="3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220182799.34</v>
      </c>
      <c r="X2">
        <v>0</v>
      </c>
      <c r="Y2">
        <v>0</v>
      </c>
      <c r="Z2">
        <v>-21878651.059999999</v>
      </c>
      <c r="AA2" t="str">
        <f>CashProjTable[Portfolio]&amp;CashProjTable[ProjDate]</f>
        <v>SCBSFF43382</v>
      </c>
    </row>
    <row r="3" spans="1:27" x14ac:dyDescent="0.2">
      <c r="A3" t="s">
        <v>17</v>
      </c>
      <c r="B3" t="s">
        <v>21</v>
      </c>
      <c r="C3" s="46">
        <v>43383</v>
      </c>
      <c r="D3">
        <v>0</v>
      </c>
      <c r="E3">
        <v>450695082.70999998</v>
      </c>
      <c r="F3">
        <v>60251.06</v>
      </c>
      <c r="G3">
        <v>0</v>
      </c>
      <c r="H3">
        <v>0</v>
      </c>
      <c r="I3">
        <v>0</v>
      </c>
      <c r="J3">
        <v>0</v>
      </c>
      <c r="K3">
        <v>87167303.459999993</v>
      </c>
      <c r="L3">
        <v>195850446.63999999</v>
      </c>
      <c r="M3">
        <v>13137730.02</v>
      </c>
      <c r="N3">
        <v>261308029.50999999</v>
      </c>
      <c r="O3">
        <v>165448278.87</v>
      </c>
      <c r="P3" s="3">
        <v>416236920968.96002</v>
      </c>
      <c r="Q3">
        <v>0</v>
      </c>
      <c r="R3">
        <v>450695082.70999998</v>
      </c>
      <c r="S3">
        <v>0</v>
      </c>
      <c r="T3">
        <v>0</v>
      </c>
      <c r="U3">
        <v>220182799.34</v>
      </c>
      <c r="V3">
        <v>0</v>
      </c>
      <c r="W3">
        <v>87167303.459999993</v>
      </c>
      <c r="X3">
        <v>0</v>
      </c>
      <c r="Y3">
        <v>43264594.329999998</v>
      </c>
      <c r="Z3">
        <v>130028856.25</v>
      </c>
      <c r="AA3" t="str">
        <f>CashProjTable[Portfolio]&amp;CashProjTable[ProjDate]</f>
        <v>SCBSFF43383</v>
      </c>
    </row>
    <row r="4" spans="1:27" x14ac:dyDescent="0.2">
      <c r="A4" t="s">
        <v>17</v>
      </c>
      <c r="B4" t="s">
        <v>21</v>
      </c>
      <c r="C4" s="46">
        <v>43384</v>
      </c>
      <c r="D4">
        <v>3038224685.6199999</v>
      </c>
      <c r="E4">
        <v>4620000000</v>
      </c>
      <c r="F4">
        <v>0</v>
      </c>
      <c r="G4">
        <v>0</v>
      </c>
      <c r="H4">
        <v>0</v>
      </c>
      <c r="I4">
        <v>0</v>
      </c>
      <c r="J4">
        <v>0</v>
      </c>
      <c r="K4">
        <v>123423683.88</v>
      </c>
      <c r="L4">
        <v>173002666.96000001</v>
      </c>
      <c r="M4">
        <v>25849710.010000002</v>
      </c>
      <c r="N4">
        <v>322512645.07999998</v>
      </c>
      <c r="O4">
        <v>1426831385.1099999</v>
      </c>
      <c r="P4" s="3">
        <v>416236920968.96002</v>
      </c>
      <c r="Q4">
        <v>3038224685.6199999</v>
      </c>
      <c r="R4">
        <v>4620000000</v>
      </c>
      <c r="S4">
        <v>0</v>
      </c>
      <c r="T4">
        <v>0</v>
      </c>
      <c r="U4">
        <v>87167303.459999993</v>
      </c>
      <c r="V4">
        <v>0</v>
      </c>
      <c r="W4">
        <v>123423683.88</v>
      </c>
      <c r="X4">
        <v>0</v>
      </c>
      <c r="Y4">
        <v>1264420261.2</v>
      </c>
      <c r="Z4">
        <v>1250939740.7</v>
      </c>
      <c r="AA4" t="str">
        <f>CashProjTable[Portfolio]&amp;CashProjTable[ProjDate]</f>
        <v>SCBSFF43384</v>
      </c>
    </row>
    <row r="5" spans="1:27" x14ac:dyDescent="0.2">
      <c r="A5" t="s">
        <v>17</v>
      </c>
      <c r="B5" t="s">
        <v>21</v>
      </c>
      <c r="C5" s="46">
        <v>43385</v>
      </c>
      <c r="D5">
        <v>2808019668.7199998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-1381188283.6099999</v>
      </c>
      <c r="P5" s="3">
        <v>416236920968.96002</v>
      </c>
      <c r="Q5">
        <v>2808019668.7199998</v>
      </c>
      <c r="R5">
        <v>0</v>
      </c>
      <c r="S5">
        <v>0</v>
      </c>
      <c r="T5">
        <v>0</v>
      </c>
      <c r="U5">
        <v>123423683.88</v>
      </c>
      <c r="V5">
        <v>0</v>
      </c>
      <c r="W5">
        <v>0</v>
      </c>
      <c r="X5">
        <v>0</v>
      </c>
      <c r="Y5">
        <v>-1407037993.6199999</v>
      </c>
      <c r="Z5">
        <v>-1459080204.1199999</v>
      </c>
      <c r="AA5" t="str">
        <f>CashProjTable[Portfolio]&amp;CashProjTable[ProjDate]</f>
        <v>SCBSFF43385</v>
      </c>
    </row>
    <row r="6" spans="1:27" x14ac:dyDescent="0.2">
      <c r="A6" t="s">
        <v>17</v>
      </c>
      <c r="B6" t="s">
        <v>21</v>
      </c>
      <c r="C6" s="46">
        <v>43386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-1381188283.6099999</v>
      </c>
      <c r="P6" s="3">
        <v>416236920968.96002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-1381188283.6099999</v>
      </c>
      <c r="Z6">
        <v>-1407380784.0999999</v>
      </c>
      <c r="AA6" t="str">
        <f>CashProjTable[Portfolio]&amp;CashProjTable[ProjDate]</f>
        <v>SCBSFF43386</v>
      </c>
    </row>
    <row r="7" spans="1:27" x14ac:dyDescent="0.2">
      <c r="A7" t="s">
        <v>17</v>
      </c>
      <c r="B7" t="s">
        <v>21</v>
      </c>
      <c r="C7" s="46">
        <v>43387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-1381188283.6099999</v>
      </c>
      <c r="P7" s="3">
        <v>416236920968.96002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-1381188283.6099999</v>
      </c>
      <c r="Z7">
        <v>-1407380784.0999999</v>
      </c>
      <c r="AA7" t="str">
        <f>CashProjTable[Portfolio]&amp;CashProjTable[ProjDate]</f>
        <v>SCBSFF43387</v>
      </c>
    </row>
    <row r="8" spans="1:27" x14ac:dyDescent="0.2">
      <c r="A8" t="s">
        <v>17</v>
      </c>
      <c r="B8" t="s">
        <v>21</v>
      </c>
      <c r="C8" s="46">
        <v>43388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-1381188283.6099999</v>
      </c>
      <c r="P8" s="3">
        <v>416236920968.96002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-1381188283.6099999</v>
      </c>
      <c r="Z8">
        <v>-1407380784.0999999</v>
      </c>
      <c r="AA8" t="str">
        <f>CashProjTable[Portfolio]&amp;CashProjTable[ProjDate]</f>
        <v>SCBSFF43388</v>
      </c>
    </row>
    <row r="9" spans="1:27" x14ac:dyDescent="0.2">
      <c r="A9" t="s">
        <v>17</v>
      </c>
      <c r="B9" t="s">
        <v>21</v>
      </c>
      <c r="C9" s="46">
        <v>43389</v>
      </c>
      <c r="D9">
        <v>0</v>
      </c>
      <c r="E9">
        <v>144000000</v>
      </c>
      <c r="F9">
        <v>0</v>
      </c>
      <c r="G9">
        <v>0</v>
      </c>
      <c r="H9">
        <v>2965050000</v>
      </c>
      <c r="I9">
        <v>49628348</v>
      </c>
      <c r="J9">
        <v>0</v>
      </c>
      <c r="K9">
        <v>0</v>
      </c>
      <c r="L9">
        <v>0</v>
      </c>
      <c r="M9">
        <v>0</v>
      </c>
      <c r="N9">
        <v>0</v>
      </c>
      <c r="O9">
        <v>1777490064.3900001</v>
      </c>
      <c r="P9" s="3">
        <v>413271870968.96002</v>
      </c>
      <c r="Q9">
        <v>0</v>
      </c>
      <c r="R9">
        <v>144000000</v>
      </c>
      <c r="S9">
        <v>0</v>
      </c>
      <c r="T9">
        <v>2965050000</v>
      </c>
      <c r="U9">
        <v>0</v>
      </c>
      <c r="V9">
        <v>0</v>
      </c>
      <c r="W9">
        <v>0</v>
      </c>
      <c r="X9">
        <v>0</v>
      </c>
      <c r="Y9">
        <v>1777490064.3900001</v>
      </c>
      <c r="Z9">
        <v>1701669215.9000001</v>
      </c>
      <c r="AA9" t="str">
        <f>CashProjTable[Portfolio]&amp;CashProjTable[ProjDate]</f>
        <v>SCBSFF43389</v>
      </c>
    </row>
    <row r="10" spans="1:27" x14ac:dyDescent="0.2">
      <c r="A10" t="s">
        <v>17</v>
      </c>
      <c r="B10" t="s">
        <v>21</v>
      </c>
      <c r="C10" s="46">
        <v>43390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1777490064.3900001</v>
      </c>
      <c r="P10" s="3">
        <v>413271870968.96002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1777490064.3900001</v>
      </c>
      <c r="Z10">
        <v>1751297563.9000001</v>
      </c>
      <c r="AA10" t="str">
        <f>CashProjTable[Portfolio]&amp;CashProjTable[ProjDate]</f>
        <v>SCBSFF43390</v>
      </c>
    </row>
    <row r="11" spans="1:27" x14ac:dyDescent="0.2">
      <c r="A11" t="s">
        <v>17</v>
      </c>
      <c r="B11" t="s">
        <v>21</v>
      </c>
      <c r="C11" s="46">
        <v>43391</v>
      </c>
      <c r="D11">
        <v>0</v>
      </c>
      <c r="E11">
        <v>3494000000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5271490064.3900003</v>
      </c>
      <c r="P11" s="3">
        <v>413271870968.96002</v>
      </c>
      <c r="Q11">
        <v>0</v>
      </c>
      <c r="R11">
        <v>3494000000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5271490064.3900003</v>
      </c>
      <c r="Z11">
        <v>5245297563.8999996</v>
      </c>
      <c r="AA11" t="str">
        <f>CashProjTable[Portfolio]&amp;CashProjTable[ProjDate]</f>
        <v>SCBSFF43391</v>
      </c>
    </row>
    <row r="12" spans="1:27" x14ac:dyDescent="0.2">
      <c r="A12" t="s">
        <v>17</v>
      </c>
      <c r="B12" t="s">
        <v>21</v>
      </c>
      <c r="C12" s="46">
        <v>43392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5271490064.3900003</v>
      </c>
      <c r="P12" s="3">
        <v>413271870968.96002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5271490064.3900003</v>
      </c>
      <c r="Z12">
        <v>5245297563.8999996</v>
      </c>
      <c r="AA12" t="str">
        <f>CashProjTable[Portfolio]&amp;CashProjTable[ProjDate]</f>
        <v>SCBSFF43392</v>
      </c>
    </row>
    <row r="13" spans="1:27" x14ac:dyDescent="0.2">
      <c r="A13" t="s">
        <v>17</v>
      </c>
      <c r="B13" t="s">
        <v>21</v>
      </c>
      <c r="C13" s="46">
        <v>43393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5271490064.3900003</v>
      </c>
      <c r="P13" s="3">
        <v>413271870968.96002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5271490064.3900003</v>
      </c>
      <c r="Z13">
        <v>5245297563.8999996</v>
      </c>
      <c r="AA13" t="str">
        <f>CashProjTable[Portfolio]&amp;CashProjTable[ProjDate]</f>
        <v>SCBSFF43393</v>
      </c>
    </row>
    <row r="14" spans="1:27" x14ac:dyDescent="0.2">
      <c r="A14" t="s">
        <v>17</v>
      </c>
      <c r="B14" t="s">
        <v>21</v>
      </c>
      <c r="C14" s="46">
        <v>43394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5271490064.3900003</v>
      </c>
      <c r="P14" s="3">
        <v>413271870968.96002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5271490064.3900003</v>
      </c>
      <c r="Z14">
        <v>5245297563.8999996</v>
      </c>
      <c r="AA14" t="str">
        <f>CashProjTable[Portfolio]&amp;CashProjTable[ProjDate]</f>
        <v>SCBSFF43394</v>
      </c>
    </row>
    <row r="15" spans="1:27" x14ac:dyDescent="0.2">
      <c r="A15" t="s">
        <v>17</v>
      </c>
      <c r="B15" t="s">
        <v>21</v>
      </c>
      <c r="C15" s="46">
        <v>43395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5271490064.3900003</v>
      </c>
      <c r="P15" s="3">
        <v>413271870968.96002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5271490064.3900003</v>
      </c>
      <c r="Z15">
        <v>5245297563.8999996</v>
      </c>
      <c r="AA15" t="str">
        <f>CashProjTable[Portfolio]&amp;CashProjTable[ProjDate]</f>
        <v>SCBSFF43395</v>
      </c>
    </row>
    <row r="16" spans="1:27" x14ac:dyDescent="0.2">
      <c r="A16" t="s">
        <v>17</v>
      </c>
      <c r="B16" t="s">
        <v>21</v>
      </c>
      <c r="C16" s="46">
        <v>43396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5271490064.3900003</v>
      </c>
      <c r="P16" s="3">
        <v>413271870968.96002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5271490064.3900003</v>
      </c>
      <c r="Z16">
        <v>5245297563.8999996</v>
      </c>
      <c r="AA16" t="str">
        <f>CashProjTable[Portfolio]&amp;CashProjTable[ProjDate]</f>
        <v>SCBSFF43396</v>
      </c>
    </row>
    <row r="17" spans="1:27" x14ac:dyDescent="0.2">
      <c r="A17" t="s">
        <v>17</v>
      </c>
      <c r="B17" t="s">
        <v>21</v>
      </c>
      <c r="C17" s="46">
        <v>43397</v>
      </c>
      <c r="D17">
        <v>0</v>
      </c>
      <c r="E17">
        <v>2179000000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7450490064.3900003</v>
      </c>
      <c r="P17" s="3">
        <v>413271870968.96002</v>
      </c>
      <c r="Q17">
        <v>0</v>
      </c>
      <c r="R17">
        <v>2179000000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7450490064.3900003</v>
      </c>
      <c r="Z17">
        <v>7424297563.8999996</v>
      </c>
      <c r="AA17" t="str">
        <f>CashProjTable[Portfolio]&amp;CashProjTable[ProjDate]</f>
        <v>SCBSFF43397</v>
      </c>
    </row>
    <row r="18" spans="1:27" x14ac:dyDescent="0.2">
      <c r="A18" t="s">
        <v>139</v>
      </c>
      <c r="B18" t="s">
        <v>21</v>
      </c>
      <c r="C18" s="46">
        <v>43382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871554385.28999996</v>
      </c>
      <c r="L18">
        <v>0</v>
      </c>
      <c r="M18">
        <v>0</v>
      </c>
      <c r="N18">
        <v>0</v>
      </c>
      <c r="O18">
        <v>0</v>
      </c>
      <c r="P18" s="3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871554385.28999996</v>
      </c>
      <c r="X18">
        <v>0</v>
      </c>
      <c r="Y18">
        <v>0</v>
      </c>
      <c r="Z18">
        <v>0</v>
      </c>
      <c r="AA18" t="str">
        <f>CashProjTable[Portfolio]&amp;CashProjTable[ProjDate]</f>
        <v>SCBSFFPLUS43382</v>
      </c>
    </row>
    <row r="19" spans="1:27" x14ac:dyDescent="0.2">
      <c r="A19" t="s">
        <v>139</v>
      </c>
      <c r="B19" t="s">
        <v>21</v>
      </c>
      <c r="C19" s="46">
        <v>43383</v>
      </c>
      <c r="D19">
        <v>0</v>
      </c>
      <c r="E19">
        <v>618684930.78999996</v>
      </c>
      <c r="F19">
        <v>0</v>
      </c>
      <c r="G19">
        <v>40000000</v>
      </c>
      <c r="H19">
        <v>0</v>
      </c>
      <c r="I19">
        <v>0</v>
      </c>
      <c r="J19">
        <v>0</v>
      </c>
      <c r="K19">
        <v>388294896.74000001</v>
      </c>
      <c r="L19">
        <v>892718268.84000003</v>
      </c>
      <c r="M19">
        <v>0</v>
      </c>
      <c r="N19">
        <v>193601706.43000001</v>
      </c>
      <c r="O19">
        <v>6215226.3700000001</v>
      </c>
      <c r="P19" s="3">
        <v>2058354634680.96</v>
      </c>
      <c r="Q19">
        <v>0</v>
      </c>
      <c r="R19">
        <v>618684930.78999996</v>
      </c>
      <c r="S19">
        <v>40000000</v>
      </c>
      <c r="T19">
        <v>0</v>
      </c>
      <c r="U19">
        <v>871554385.28999996</v>
      </c>
      <c r="V19">
        <v>0</v>
      </c>
      <c r="W19">
        <v>388294896.74000001</v>
      </c>
      <c r="X19">
        <v>0</v>
      </c>
      <c r="Y19">
        <v>6215226.3700000001</v>
      </c>
      <c r="Z19">
        <v>6215226.3700000001</v>
      </c>
      <c r="AA19" t="str">
        <f>CashProjTable[Portfolio]&amp;CashProjTable[ProjDate]</f>
        <v>SCBSFFPLUS43383</v>
      </c>
    </row>
    <row r="20" spans="1:27" x14ac:dyDescent="0.2">
      <c r="A20" t="s">
        <v>139</v>
      </c>
      <c r="B20" t="s">
        <v>21</v>
      </c>
      <c r="C20" s="46">
        <v>43384</v>
      </c>
      <c r="D20">
        <v>5385208192.71</v>
      </c>
      <c r="E20">
        <v>5577999999.9799995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199007033.63999999</v>
      </c>
      <c r="P20" s="3">
        <v>2058354634680.96</v>
      </c>
      <c r="Q20">
        <v>5385208192.71</v>
      </c>
      <c r="R20">
        <v>5577999999.9799995</v>
      </c>
      <c r="S20">
        <v>0</v>
      </c>
      <c r="T20">
        <v>0</v>
      </c>
      <c r="U20">
        <v>388294896.74000001</v>
      </c>
      <c r="V20">
        <v>0</v>
      </c>
      <c r="W20">
        <v>0</v>
      </c>
      <c r="X20">
        <v>0</v>
      </c>
      <c r="Y20">
        <v>199007033.63999999</v>
      </c>
      <c r="Z20">
        <v>199007033.63999999</v>
      </c>
      <c r="AA20" t="str">
        <f>CashProjTable[Portfolio]&amp;CashProjTable[ProjDate]</f>
        <v>SCBSFFPLUS43384</v>
      </c>
    </row>
    <row r="21" spans="1:27" x14ac:dyDescent="0.2">
      <c r="A21" t="s">
        <v>139</v>
      </c>
      <c r="B21" t="s">
        <v>21</v>
      </c>
      <c r="C21" s="46">
        <v>43385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199007033.63999999</v>
      </c>
      <c r="P21" s="3">
        <v>2058354634680.96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199007033.63999999</v>
      </c>
      <c r="Z21">
        <v>199007033.63999999</v>
      </c>
      <c r="AA21" t="str">
        <f>CashProjTable[Portfolio]&amp;CashProjTable[ProjDate]</f>
        <v>SCBSFFPLUS43385</v>
      </c>
    </row>
    <row r="22" spans="1:27" x14ac:dyDescent="0.2">
      <c r="A22" t="s">
        <v>139</v>
      </c>
      <c r="B22" t="s">
        <v>21</v>
      </c>
      <c r="C22" s="46">
        <v>43386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199007033.63999999</v>
      </c>
      <c r="P22" s="3">
        <v>2058354634680.96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199007033.63999999</v>
      </c>
      <c r="Z22">
        <v>199007033.63999999</v>
      </c>
      <c r="AA22" t="str">
        <f>CashProjTable[Portfolio]&amp;CashProjTable[ProjDate]</f>
        <v>SCBSFFPLUS43386</v>
      </c>
    </row>
    <row r="23" spans="1:27" x14ac:dyDescent="0.2">
      <c r="A23" t="s">
        <v>139</v>
      </c>
      <c r="B23" t="s">
        <v>21</v>
      </c>
      <c r="C23" s="46">
        <v>43387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199007033.63999999</v>
      </c>
      <c r="P23" s="3">
        <v>2058354634680.96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199007033.63999999</v>
      </c>
      <c r="Z23">
        <v>199007033.63999999</v>
      </c>
      <c r="AA23" t="str">
        <f>CashProjTable[Portfolio]&amp;CashProjTable[ProjDate]</f>
        <v>SCBSFFPLUS43387</v>
      </c>
    </row>
    <row r="24" spans="1:27" x14ac:dyDescent="0.2">
      <c r="A24" t="s">
        <v>139</v>
      </c>
      <c r="B24" t="s">
        <v>21</v>
      </c>
      <c r="C24" s="46">
        <v>43388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199007033.63999999</v>
      </c>
      <c r="P24" s="3">
        <v>2058354634680.96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199007033.63999999</v>
      </c>
      <c r="Z24">
        <v>199007033.63999999</v>
      </c>
      <c r="AA24" t="str">
        <f>CashProjTable[Portfolio]&amp;CashProjTable[ProjDate]</f>
        <v>SCBSFFPLUS43388</v>
      </c>
    </row>
    <row r="25" spans="1:27" x14ac:dyDescent="0.2">
      <c r="A25" t="s">
        <v>139</v>
      </c>
      <c r="B25" t="s">
        <v>21</v>
      </c>
      <c r="C25" s="46">
        <v>43389</v>
      </c>
      <c r="D25">
        <v>0</v>
      </c>
      <c r="E25">
        <v>5281000000</v>
      </c>
      <c r="F25">
        <v>0</v>
      </c>
      <c r="G25">
        <v>0</v>
      </c>
      <c r="H25">
        <v>2965050000</v>
      </c>
      <c r="I25">
        <v>49628348</v>
      </c>
      <c r="J25">
        <v>0</v>
      </c>
      <c r="K25">
        <v>0</v>
      </c>
      <c r="L25">
        <v>0</v>
      </c>
      <c r="M25">
        <v>0</v>
      </c>
      <c r="N25">
        <v>0</v>
      </c>
      <c r="O25">
        <v>8494685381.6400003</v>
      </c>
      <c r="P25" s="3">
        <v>2055389584680.96</v>
      </c>
      <c r="Q25">
        <v>0</v>
      </c>
      <c r="R25">
        <v>5281000000</v>
      </c>
      <c r="S25">
        <v>0</v>
      </c>
      <c r="T25">
        <v>2965050000</v>
      </c>
      <c r="U25">
        <v>0</v>
      </c>
      <c r="V25">
        <v>0</v>
      </c>
      <c r="W25">
        <v>0</v>
      </c>
      <c r="X25">
        <v>0</v>
      </c>
      <c r="Y25">
        <v>8494685381.6400003</v>
      </c>
      <c r="Z25">
        <v>8445057033.6400003</v>
      </c>
      <c r="AA25" t="str">
        <f>CashProjTable[Portfolio]&amp;CashProjTable[ProjDate]</f>
        <v>SCBSFFPLUS43389</v>
      </c>
    </row>
    <row r="26" spans="1:27" x14ac:dyDescent="0.2">
      <c r="A26" t="s">
        <v>139</v>
      </c>
      <c r="B26" t="s">
        <v>21</v>
      </c>
      <c r="C26" s="46">
        <v>43390</v>
      </c>
      <c r="D26">
        <v>0</v>
      </c>
      <c r="E26">
        <v>70000000</v>
      </c>
      <c r="F26">
        <v>1589843.84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8566275225.4799995</v>
      </c>
      <c r="P26" s="3">
        <v>2055389584680.96</v>
      </c>
      <c r="Q26">
        <v>0</v>
      </c>
      <c r="R26">
        <v>70000000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8566275225.4799995</v>
      </c>
      <c r="Z26">
        <v>8564685381.6400003</v>
      </c>
      <c r="AA26" t="str">
        <f>CashProjTable[Portfolio]&amp;CashProjTable[ProjDate]</f>
        <v>SCBSFFPLUS43390</v>
      </c>
    </row>
    <row r="27" spans="1:27" x14ac:dyDescent="0.2">
      <c r="A27" t="s">
        <v>139</v>
      </c>
      <c r="B27" t="s">
        <v>21</v>
      </c>
      <c r="C27" s="46">
        <v>43391</v>
      </c>
      <c r="D27">
        <v>0</v>
      </c>
      <c r="E27">
        <v>6691000000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15257275225.48</v>
      </c>
      <c r="P27" s="3">
        <v>2055389584680.96</v>
      </c>
      <c r="Q27">
        <v>0</v>
      </c>
      <c r="R27">
        <v>6691000000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15257275225.48</v>
      </c>
      <c r="Z27">
        <v>15257275225.48</v>
      </c>
      <c r="AA27" t="str">
        <f>CashProjTable[Portfolio]&amp;CashProjTable[ProjDate]</f>
        <v>SCBSFFPLUS43391</v>
      </c>
    </row>
    <row r="28" spans="1:27" x14ac:dyDescent="0.2">
      <c r="A28" t="s">
        <v>139</v>
      </c>
      <c r="B28" t="s">
        <v>21</v>
      </c>
      <c r="C28" s="46">
        <v>43392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15257275225.48</v>
      </c>
      <c r="P28" s="3">
        <v>2055389584680.96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15257275225.48</v>
      </c>
      <c r="Z28">
        <v>15257275225.48</v>
      </c>
      <c r="AA28" t="str">
        <f>CashProjTable[Portfolio]&amp;CashProjTable[ProjDate]</f>
        <v>SCBSFFPLUS43392</v>
      </c>
    </row>
    <row r="29" spans="1:27" x14ac:dyDescent="0.2">
      <c r="A29" t="s">
        <v>139</v>
      </c>
      <c r="B29" t="s">
        <v>21</v>
      </c>
      <c r="C29" s="46">
        <v>43393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15257275225.48</v>
      </c>
      <c r="P29" s="3">
        <v>2055389584680.96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15257275225.48</v>
      </c>
      <c r="Z29">
        <v>15257275225.48</v>
      </c>
      <c r="AA29" t="str">
        <f>CashProjTable[Portfolio]&amp;CashProjTable[ProjDate]</f>
        <v>SCBSFFPLUS43393</v>
      </c>
    </row>
    <row r="30" spans="1:27" x14ac:dyDescent="0.2">
      <c r="A30" t="s">
        <v>139</v>
      </c>
      <c r="B30" t="s">
        <v>21</v>
      </c>
      <c r="C30" s="46">
        <v>43394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15257275225.48</v>
      </c>
      <c r="P30" s="3">
        <v>2055389584680.96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15257275225.48</v>
      </c>
      <c r="Z30">
        <v>15257275225.48</v>
      </c>
      <c r="AA30" t="str">
        <f>CashProjTable[Portfolio]&amp;CashProjTable[ProjDate]</f>
        <v>SCBSFFPLUS43394</v>
      </c>
    </row>
    <row r="31" spans="1:27" x14ac:dyDescent="0.2">
      <c r="A31" t="s">
        <v>139</v>
      </c>
      <c r="B31" t="s">
        <v>21</v>
      </c>
      <c r="C31" s="46">
        <v>43395</v>
      </c>
      <c r="D31">
        <v>0</v>
      </c>
      <c r="E31">
        <v>0</v>
      </c>
      <c r="F31">
        <v>0</v>
      </c>
      <c r="G31">
        <v>0</v>
      </c>
      <c r="H31">
        <v>1681520000</v>
      </c>
      <c r="I31">
        <v>10219956.08</v>
      </c>
      <c r="J31">
        <v>0</v>
      </c>
      <c r="K31">
        <v>0</v>
      </c>
      <c r="L31">
        <v>0</v>
      </c>
      <c r="M31">
        <v>0</v>
      </c>
      <c r="N31">
        <v>0</v>
      </c>
      <c r="O31">
        <v>16949015181.559999</v>
      </c>
      <c r="P31" s="3">
        <v>2053708064680.96</v>
      </c>
      <c r="Q31">
        <v>0</v>
      </c>
      <c r="R31">
        <v>0</v>
      </c>
      <c r="S31">
        <v>0</v>
      </c>
      <c r="T31">
        <v>1681520000</v>
      </c>
      <c r="U31">
        <v>0</v>
      </c>
      <c r="V31">
        <v>0</v>
      </c>
      <c r="W31">
        <v>0</v>
      </c>
      <c r="X31">
        <v>0</v>
      </c>
      <c r="Y31">
        <v>16949015181.559999</v>
      </c>
      <c r="Z31">
        <v>16938795225.48</v>
      </c>
      <c r="AA31" t="str">
        <f>CashProjTable[Portfolio]&amp;CashProjTable[ProjDate]</f>
        <v>SCBSFFPLUS43395</v>
      </c>
    </row>
    <row r="32" spans="1:27" x14ac:dyDescent="0.2">
      <c r="A32" t="s">
        <v>139</v>
      </c>
      <c r="B32" t="s">
        <v>21</v>
      </c>
      <c r="C32" s="46">
        <v>43396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16949015181.559999</v>
      </c>
      <c r="P32" s="3">
        <v>2053708064680.96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16949015181.559999</v>
      </c>
      <c r="Z32">
        <v>16949015181.559999</v>
      </c>
      <c r="AA32" t="str">
        <f>CashProjTable[Portfolio]&amp;CashProjTable[ProjDate]</f>
        <v>SCBSFFPLUS43396</v>
      </c>
    </row>
    <row r="33" spans="1:27" x14ac:dyDescent="0.2">
      <c r="A33" t="s">
        <v>139</v>
      </c>
      <c r="B33" t="s">
        <v>21</v>
      </c>
      <c r="C33" s="46">
        <v>43397</v>
      </c>
      <c r="D33">
        <v>0</v>
      </c>
      <c r="E33">
        <v>1097000000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18046015181.560001</v>
      </c>
      <c r="P33" s="3">
        <v>2053708064680.96</v>
      </c>
      <c r="Q33">
        <v>0</v>
      </c>
      <c r="R33">
        <v>1097000000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18046015181.560001</v>
      </c>
      <c r="Z33">
        <v>18046015181.560001</v>
      </c>
      <c r="AA33" t="str">
        <f>CashProjTable[Portfolio]&amp;CashProjTable[ProjDate]</f>
        <v>SCBSFFPLUS43397</v>
      </c>
    </row>
    <row r="34" spans="1:27" x14ac:dyDescent="0.2">
      <c r="A34" t="s">
        <v>140</v>
      </c>
      <c r="B34" t="s">
        <v>146</v>
      </c>
      <c r="C34" s="46">
        <v>43382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4731731.43</v>
      </c>
      <c r="L34">
        <v>0</v>
      </c>
      <c r="M34">
        <v>11254.71</v>
      </c>
      <c r="N34">
        <v>0</v>
      </c>
      <c r="O34">
        <v>0</v>
      </c>
      <c r="P34" s="3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4731731.43</v>
      </c>
      <c r="X34">
        <v>0</v>
      </c>
      <c r="Y34">
        <v>-11254.71</v>
      </c>
      <c r="Z34">
        <v>-11254.71</v>
      </c>
      <c r="AA34" t="str">
        <f>CashProjTable[Portfolio]&amp;CashProjTable[ProjDate]</f>
        <v>SCBTMF43382</v>
      </c>
    </row>
    <row r="35" spans="1:27" x14ac:dyDescent="0.2">
      <c r="A35" t="s">
        <v>140</v>
      </c>
      <c r="B35" t="s">
        <v>146</v>
      </c>
      <c r="C35" s="46">
        <v>43383</v>
      </c>
      <c r="D35">
        <v>0</v>
      </c>
      <c r="E35">
        <v>19985364.199999999</v>
      </c>
      <c r="F35">
        <v>0</v>
      </c>
      <c r="G35">
        <v>8000000</v>
      </c>
      <c r="H35">
        <v>0</v>
      </c>
      <c r="I35">
        <v>0</v>
      </c>
      <c r="J35">
        <v>0</v>
      </c>
      <c r="K35">
        <v>8226709.5599999996</v>
      </c>
      <c r="L35">
        <v>20415684.030000001</v>
      </c>
      <c r="M35">
        <v>364437.38</v>
      </c>
      <c r="N35">
        <v>813248.97</v>
      </c>
      <c r="O35">
        <v>2720904.51</v>
      </c>
      <c r="P35" s="3">
        <v>221275021.05000001</v>
      </c>
      <c r="Q35">
        <v>0</v>
      </c>
      <c r="R35">
        <v>19985364.199999999</v>
      </c>
      <c r="S35">
        <v>8000000</v>
      </c>
      <c r="T35">
        <v>0</v>
      </c>
      <c r="U35">
        <v>4731731.43</v>
      </c>
      <c r="V35">
        <v>0</v>
      </c>
      <c r="W35">
        <v>8226709.5599999996</v>
      </c>
      <c r="X35">
        <v>0</v>
      </c>
      <c r="Y35">
        <v>2356467.13</v>
      </c>
      <c r="Z35">
        <v>2345212.42</v>
      </c>
      <c r="AA35" t="str">
        <f>CashProjTable[Portfolio]&amp;CashProjTable[ProjDate]</f>
        <v>SCBTMF43383</v>
      </c>
    </row>
    <row r="36" spans="1:27" x14ac:dyDescent="0.2">
      <c r="A36" t="s">
        <v>140</v>
      </c>
      <c r="B36" t="s">
        <v>146</v>
      </c>
      <c r="C36" s="46">
        <v>43384</v>
      </c>
      <c r="D36">
        <v>199227876.94</v>
      </c>
      <c r="E36">
        <v>238000000</v>
      </c>
      <c r="F36">
        <v>0</v>
      </c>
      <c r="G36">
        <v>0</v>
      </c>
      <c r="H36">
        <v>0</v>
      </c>
      <c r="I36">
        <v>0</v>
      </c>
      <c r="J36">
        <v>0</v>
      </c>
      <c r="K36">
        <v>1829000</v>
      </c>
      <c r="L36">
        <v>13513327.550000001</v>
      </c>
      <c r="M36">
        <v>700000</v>
      </c>
      <c r="N36">
        <v>1145500.93</v>
      </c>
      <c r="O36">
        <v>29363199.09</v>
      </c>
      <c r="P36" s="3">
        <v>221275021.05000001</v>
      </c>
      <c r="Q36">
        <v>199227876.94</v>
      </c>
      <c r="R36">
        <v>238000000</v>
      </c>
      <c r="S36">
        <v>0</v>
      </c>
      <c r="T36">
        <v>0</v>
      </c>
      <c r="U36">
        <v>8226709.5599999996</v>
      </c>
      <c r="V36">
        <v>0</v>
      </c>
      <c r="W36">
        <v>1829000</v>
      </c>
      <c r="X36">
        <v>0</v>
      </c>
      <c r="Y36">
        <v>28663199.09</v>
      </c>
      <c r="Z36">
        <v>28298761.710000001</v>
      </c>
      <c r="AA36" t="str">
        <f>CashProjTable[Portfolio]&amp;CashProjTable[ProjDate]</f>
        <v>SCBTMF43384</v>
      </c>
    </row>
    <row r="37" spans="1:27" x14ac:dyDescent="0.2">
      <c r="A37" t="s">
        <v>140</v>
      </c>
      <c r="B37" t="s">
        <v>146</v>
      </c>
      <c r="C37" s="46">
        <v>43385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29363199.09</v>
      </c>
      <c r="P37" s="3">
        <v>221275021.05000001</v>
      </c>
      <c r="Q37">
        <v>0</v>
      </c>
      <c r="R37">
        <v>0</v>
      </c>
      <c r="S37">
        <v>0</v>
      </c>
      <c r="T37">
        <v>0</v>
      </c>
      <c r="U37">
        <v>1829000</v>
      </c>
      <c r="V37">
        <v>0</v>
      </c>
      <c r="W37">
        <v>0</v>
      </c>
      <c r="X37">
        <v>0</v>
      </c>
      <c r="Y37">
        <v>29363199.09</v>
      </c>
      <c r="Z37">
        <v>28663199.09</v>
      </c>
      <c r="AA37" t="str">
        <f>CashProjTable[Portfolio]&amp;CashProjTable[ProjDate]</f>
        <v>SCBTMF43385</v>
      </c>
    </row>
    <row r="38" spans="1:27" x14ac:dyDescent="0.2">
      <c r="A38" t="s">
        <v>140</v>
      </c>
      <c r="B38" t="s">
        <v>146</v>
      </c>
      <c r="C38" s="46">
        <v>43386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29363199.09</v>
      </c>
      <c r="P38" s="3">
        <v>221275021.05000001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29363199.09</v>
      </c>
      <c r="Z38">
        <v>29363199.09</v>
      </c>
      <c r="AA38" t="str">
        <f>CashProjTable[Portfolio]&amp;CashProjTable[ProjDate]</f>
        <v>SCBTMF43386</v>
      </c>
    </row>
    <row r="39" spans="1:27" x14ac:dyDescent="0.2">
      <c r="A39" t="s">
        <v>140</v>
      </c>
      <c r="B39" t="s">
        <v>146</v>
      </c>
      <c r="C39" s="46">
        <v>43387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29363199.09</v>
      </c>
      <c r="P39" s="3">
        <v>221275021.05000001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29363199.09</v>
      </c>
      <c r="Z39">
        <v>29363199.09</v>
      </c>
      <c r="AA39" t="str">
        <f>CashProjTable[Portfolio]&amp;CashProjTable[ProjDate]</f>
        <v>SCBTMF43387</v>
      </c>
    </row>
    <row r="40" spans="1:27" x14ac:dyDescent="0.2">
      <c r="A40" t="s">
        <v>140</v>
      </c>
      <c r="B40" t="s">
        <v>146</v>
      </c>
      <c r="C40" s="46">
        <v>43388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29363199.09</v>
      </c>
      <c r="P40" s="3">
        <v>221275021.05000001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29363199.09</v>
      </c>
      <c r="Z40">
        <v>29363199.09</v>
      </c>
      <c r="AA40" t="str">
        <f>CashProjTable[Portfolio]&amp;CashProjTable[ProjDate]</f>
        <v>SCBTMF43388</v>
      </c>
    </row>
    <row r="41" spans="1:27" x14ac:dyDescent="0.2">
      <c r="A41" t="s">
        <v>140</v>
      </c>
      <c r="B41" t="s">
        <v>146</v>
      </c>
      <c r="C41" s="46">
        <v>43389</v>
      </c>
      <c r="D41">
        <v>0</v>
      </c>
      <c r="E41">
        <v>580000000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609363199.09000003</v>
      </c>
      <c r="P41" s="3">
        <v>221275021.05000001</v>
      </c>
      <c r="Q41">
        <v>0</v>
      </c>
      <c r="R41">
        <v>580000000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609363199.09000003</v>
      </c>
      <c r="Z41">
        <v>609363199.09000003</v>
      </c>
      <c r="AA41" t="str">
        <f>CashProjTable[Portfolio]&amp;CashProjTable[ProjDate]</f>
        <v>SCBTMF43389</v>
      </c>
    </row>
    <row r="42" spans="1:27" x14ac:dyDescent="0.2">
      <c r="A42" t="s">
        <v>140</v>
      </c>
      <c r="B42" t="s">
        <v>146</v>
      </c>
      <c r="C42" s="46">
        <v>43390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609363199.09000003</v>
      </c>
      <c r="P42" s="3">
        <v>221275021.05000001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609363199.09000003</v>
      </c>
      <c r="Z42">
        <v>609363199.09000003</v>
      </c>
      <c r="AA42" t="str">
        <f>CashProjTable[Portfolio]&amp;CashProjTable[ProjDate]</f>
        <v>SCBTMF43390</v>
      </c>
    </row>
    <row r="43" spans="1:27" x14ac:dyDescent="0.2">
      <c r="A43" t="s">
        <v>140</v>
      </c>
      <c r="B43" t="s">
        <v>146</v>
      </c>
      <c r="C43" s="46">
        <v>43391</v>
      </c>
      <c r="D43">
        <v>0</v>
      </c>
      <c r="E43">
        <v>422000000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1031363199.09</v>
      </c>
      <c r="P43" s="3">
        <v>221275021.05000001</v>
      </c>
      <c r="Q43">
        <v>0</v>
      </c>
      <c r="R43">
        <v>422000000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1031363199.09</v>
      </c>
      <c r="Z43">
        <v>1031363199.09</v>
      </c>
      <c r="AA43" t="str">
        <f>CashProjTable[Portfolio]&amp;CashProjTable[ProjDate]</f>
        <v>SCBTMF43391</v>
      </c>
    </row>
    <row r="44" spans="1:27" x14ac:dyDescent="0.2">
      <c r="A44" t="s">
        <v>140</v>
      </c>
      <c r="B44" t="s">
        <v>146</v>
      </c>
      <c r="C44" s="46">
        <v>43392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1031363199.09</v>
      </c>
      <c r="P44" s="3">
        <v>221275021.05000001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1031363199.09</v>
      </c>
      <c r="Z44">
        <v>1031363199.09</v>
      </c>
      <c r="AA44" t="str">
        <f>CashProjTable[Portfolio]&amp;CashProjTable[ProjDate]</f>
        <v>SCBTMF43392</v>
      </c>
    </row>
    <row r="45" spans="1:27" x14ac:dyDescent="0.2">
      <c r="A45" t="s">
        <v>140</v>
      </c>
      <c r="B45" t="s">
        <v>146</v>
      </c>
      <c r="C45" s="46">
        <v>43393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1031363199.09</v>
      </c>
      <c r="P45" s="3">
        <v>221275021.05000001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1031363199.09</v>
      </c>
      <c r="Z45">
        <v>1031363199.09</v>
      </c>
      <c r="AA45" t="str">
        <f>CashProjTable[Portfolio]&amp;CashProjTable[ProjDate]</f>
        <v>SCBTMF43393</v>
      </c>
    </row>
    <row r="46" spans="1:27" x14ac:dyDescent="0.2">
      <c r="A46" t="s">
        <v>140</v>
      </c>
      <c r="B46" t="s">
        <v>146</v>
      </c>
      <c r="C46" s="46">
        <v>43394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1031363199.09</v>
      </c>
      <c r="P46" s="3">
        <v>221275021.05000001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1031363199.09</v>
      </c>
      <c r="Z46">
        <v>1031363199.09</v>
      </c>
      <c r="AA46" t="str">
        <f>CashProjTable[Portfolio]&amp;CashProjTable[ProjDate]</f>
        <v>SCBTMF43394</v>
      </c>
    </row>
    <row r="47" spans="1:27" x14ac:dyDescent="0.2">
      <c r="A47" t="s">
        <v>140</v>
      </c>
      <c r="B47" t="s">
        <v>146</v>
      </c>
      <c r="C47" s="46">
        <v>43395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1031363199.09</v>
      </c>
      <c r="P47" s="3">
        <v>221275021.05000001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1031363199.09</v>
      </c>
      <c r="Z47">
        <v>1031363199.09</v>
      </c>
      <c r="AA47" t="str">
        <f>CashProjTable[Portfolio]&amp;CashProjTable[ProjDate]</f>
        <v>SCBTMF43395</v>
      </c>
    </row>
    <row r="48" spans="1:27" x14ac:dyDescent="0.2">
      <c r="A48" t="s">
        <v>140</v>
      </c>
      <c r="B48" t="s">
        <v>146</v>
      </c>
      <c r="C48" s="46">
        <v>43396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1031363199.09</v>
      </c>
      <c r="P48" s="3">
        <v>221275021.05000001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1031363199.09</v>
      </c>
      <c r="Z48">
        <v>1031363199.09</v>
      </c>
      <c r="AA48" t="str">
        <f>CashProjTable[Portfolio]&amp;CashProjTable[ProjDate]</f>
        <v>SCBTMF43396</v>
      </c>
    </row>
    <row r="49" spans="1:27" x14ac:dyDescent="0.2">
      <c r="A49" t="s">
        <v>140</v>
      </c>
      <c r="B49" t="s">
        <v>146</v>
      </c>
      <c r="C49" s="46">
        <v>43397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1031363199.09</v>
      </c>
      <c r="P49" s="3">
        <v>221275021.05000001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1031363199.09</v>
      </c>
      <c r="Z49">
        <v>1031363199.09</v>
      </c>
      <c r="AA49" t="str">
        <f>CashProjTable[Portfolio]&amp;CashProjTable[ProjDate]</f>
        <v>SCBTMF43397</v>
      </c>
    </row>
    <row r="50" spans="1:27" x14ac:dyDescent="0.2">
      <c r="A50" t="s">
        <v>141</v>
      </c>
      <c r="B50" t="s">
        <v>146</v>
      </c>
      <c r="C50" s="46">
        <v>43382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86868378.189999998</v>
      </c>
      <c r="L50">
        <v>0</v>
      </c>
      <c r="M50">
        <v>0</v>
      </c>
      <c r="N50">
        <v>0</v>
      </c>
      <c r="O50">
        <v>0</v>
      </c>
      <c r="P50" s="3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86868378.189999998</v>
      </c>
      <c r="X50">
        <v>0</v>
      </c>
      <c r="Y50">
        <v>0</v>
      </c>
      <c r="Z50">
        <v>0</v>
      </c>
      <c r="AA50" t="str">
        <f>CashProjTable[Portfolio]&amp;CashProjTable[ProjDate]</f>
        <v>SCBTMFPLUS43382</v>
      </c>
    </row>
    <row r="51" spans="1:27" x14ac:dyDescent="0.2">
      <c r="A51" t="s">
        <v>141</v>
      </c>
      <c r="B51" t="s">
        <v>146</v>
      </c>
      <c r="C51" s="46">
        <v>43383</v>
      </c>
      <c r="D51">
        <v>0</v>
      </c>
      <c r="E51">
        <v>9992682.0999999996</v>
      </c>
      <c r="F51">
        <v>0</v>
      </c>
      <c r="G51">
        <v>0</v>
      </c>
      <c r="H51">
        <v>27000000</v>
      </c>
      <c r="I51">
        <v>0</v>
      </c>
      <c r="J51">
        <v>0</v>
      </c>
      <c r="K51">
        <v>12260267.41</v>
      </c>
      <c r="L51">
        <v>50645147.710000001</v>
      </c>
      <c r="M51">
        <v>0</v>
      </c>
      <c r="N51">
        <v>201000</v>
      </c>
      <c r="O51">
        <v>2607249.7200000002</v>
      </c>
      <c r="P51" s="3">
        <v>601818769.55999994</v>
      </c>
      <c r="Q51">
        <v>0</v>
      </c>
      <c r="R51">
        <v>9992682.0999999996</v>
      </c>
      <c r="S51">
        <v>0</v>
      </c>
      <c r="T51">
        <v>27000000</v>
      </c>
      <c r="U51">
        <v>86868378.189999998</v>
      </c>
      <c r="V51">
        <v>0</v>
      </c>
      <c r="W51">
        <v>12260267.41</v>
      </c>
      <c r="X51">
        <v>0</v>
      </c>
      <c r="Y51">
        <v>2607249.7200000002</v>
      </c>
      <c r="Z51">
        <v>2607249.7200000002</v>
      </c>
      <c r="AA51" t="str">
        <f>CashProjTable[Portfolio]&amp;CashProjTable[ProjDate]</f>
        <v>SCBTMFPLUS43383</v>
      </c>
    </row>
    <row r="52" spans="1:27" x14ac:dyDescent="0.2">
      <c r="A52" t="s">
        <v>141</v>
      </c>
      <c r="B52" t="s">
        <v>146</v>
      </c>
      <c r="C52" s="46">
        <v>43384</v>
      </c>
      <c r="D52">
        <v>846718364.39999998</v>
      </c>
      <c r="E52">
        <v>2074257120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1230146005.3199999</v>
      </c>
      <c r="P52" s="3">
        <v>601818769.55999994</v>
      </c>
      <c r="Q52">
        <v>846718364.39999998</v>
      </c>
      <c r="R52">
        <v>2074257120</v>
      </c>
      <c r="S52">
        <v>0</v>
      </c>
      <c r="T52">
        <v>0</v>
      </c>
      <c r="U52">
        <v>12260267.41</v>
      </c>
      <c r="V52">
        <v>0</v>
      </c>
      <c r="W52">
        <v>0</v>
      </c>
      <c r="X52">
        <v>0</v>
      </c>
      <c r="Y52">
        <v>1230146005.3199999</v>
      </c>
      <c r="Z52">
        <v>1230146005.3199999</v>
      </c>
      <c r="AA52" t="str">
        <f>CashProjTable[Portfolio]&amp;CashProjTable[ProjDate]</f>
        <v>SCBTMFPLUS43384</v>
      </c>
    </row>
    <row r="53" spans="1:27" x14ac:dyDescent="0.2">
      <c r="A53" t="s">
        <v>141</v>
      </c>
      <c r="B53" t="s">
        <v>146</v>
      </c>
      <c r="C53" s="46">
        <v>43385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1230146005.3199999</v>
      </c>
      <c r="P53" s="3">
        <v>601818769.55999994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1230146005.3199999</v>
      </c>
      <c r="Z53">
        <v>1230146005.3199999</v>
      </c>
      <c r="AA53" t="str">
        <f>CashProjTable[Portfolio]&amp;CashProjTable[ProjDate]</f>
        <v>SCBTMFPLUS43385</v>
      </c>
    </row>
    <row r="54" spans="1:27" x14ac:dyDescent="0.2">
      <c r="A54" t="s">
        <v>141</v>
      </c>
      <c r="B54" t="s">
        <v>146</v>
      </c>
      <c r="C54" s="46">
        <v>43386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1230146005.3199999</v>
      </c>
      <c r="P54" s="3">
        <v>601818769.55999994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1230146005.3199999</v>
      </c>
      <c r="Z54">
        <v>1230146005.3199999</v>
      </c>
      <c r="AA54" t="str">
        <f>CashProjTable[Portfolio]&amp;CashProjTable[ProjDate]</f>
        <v>SCBTMFPLUS43386</v>
      </c>
    </row>
    <row r="55" spans="1:27" x14ac:dyDescent="0.2">
      <c r="A55" t="s">
        <v>141</v>
      </c>
      <c r="B55" t="s">
        <v>146</v>
      </c>
      <c r="C55" s="46">
        <v>43387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1230146005.3199999</v>
      </c>
      <c r="P55" s="3">
        <v>601818769.55999994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1230146005.3199999</v>
      </c>
      <c r="Z55">
        <v>1230146005.3199999</v>
      </c>
      <c r="AA55" t="str">
        <f>CashProjTable[Portfolio]&amp;CashProjTable[ProjDate]</f>
        <v>SCBTMFPLUS43387</v>
      </c>
    </row>
    <row r="56" spans="1:27" x14ac:dyDescent="0.2">
      <c r="A56" t="s">
        <v>141</v>
      </c>
      <c r="B56" t="s">
        <v>146</v>
      </c>
      <c r="C56" s="46">
        <v>43388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1230146005.3199999</v>
      </c>
      <c r="P56" s="3">
        <v>601818769.55999994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1230146005.3199999</v>
      </c>
      <c r="Z56">
        <v>1230146005.3199999</v>
      </c>
      <c r="AA56" t="str">
        <f>CashProjTable[Portfolio]&amp;CashProjTable[ProjDate]</f>
        <v>SCBTMFPLUS43388</v>
      </c>
    </row>
    <row r="57" spans="1:27" x14ac:dyDescent="0.2">
      <c r="A57" t="s">
        <v>141</v>
      </c>
      <c r="B57" t="s">
        <v>146</v>
      </c>
      <c r="C57" s="46">
        <v>43389</v>
      </c>
      <c r="D57">
        <v>0</v>
      </c>
      <c r="E57">
        <v>820000000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2050146005.3199999</v>
      </c>
      <c r="P57" s="3">
        <v>601818769.55999994</v>
      </c>
      <c r="Q57">
        <v>0</v>
      </c>
      <c r="R57">
        <v>820000000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2050146005.3199999</v>
      </c>
      <c r="Z57">
        <v>2050146005.3199999</v>
      </c>
      <c r="AA57" t="str">
        <f>CashProjTable[Portfolio]&amp;CashProjTable[ProjDate]</f>
        <v>SCBTMFPLUS43389</v>
      </c>
    </row>
    <row r="58" spans="1:27" x14ac:dyDescent="0.2">
      <c r="A58" t="s">
        <v>141</v>
      </c>
      <c r="B58" t="s">
        <v>146</v>
      </c>
      <c r="C58" s="46">
        <v>43390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2050146005.3199999</v>
      </c>
      <c r="P58" s="3">
        <v>601818769.55999994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2050146005.3199999</v>
      </c>
      <c r="Z58">
        <v>2050146005.3199999</v>
      </c>
      <c r="AA58" t="str">
        <f>CashProjTable[Portfolio]&amp;CashProjTable[ProjDate]</f>
        <v>SCBTMFPLUS43390</v>
      </c>
    </row>
    <row r="59" spans="1:27" x14ac:dyDescent="0.2">
      <c r="A59" t="s">
        <v>141</v>
      </c>
      <c r="B59" t="s">
        <v>146</v>
      </c>
      <c r="C59" s="46">
        <v>43391</v>
      </c>
      <c r="D59">
        <v>0</v>
      </c>
      <c r="E59">
        <v>532000000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2582146005.3200002</v>
      </c>
      <c r="P59" s="3">
        <v>601818769.55999994</v>
      </c>
      <c r="Q59">
        <v>0</v>
      </c>
      <c r="R59">
        <v>532000000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2582146005.3200002</v>
      </c>
      <c r="Z59">
        <v>2582146005.3200002</v>
      </c>
      <c r="AA59" t="str">
        <f>CashProjTable[Portfolio]&amp;CashProjTable[ProjDate]</f>
        <v>SCBTMFPLUS43391</v>
      </c>
    </row>
    <row r="60" spans="1:27" x14ac:dyDescent="0.2">
      <c r="A60" t="s">
        <v>141</v>
      </c>
      <c r="B60" t="s">
        <v>146</v>
      </c>
      <c r="C60" s="46">
        <v>43392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2582146005.3200002</v>
      </c>
      <c r="P60" s="3">
        <v>601818769.55999994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2582146005.3200002</v>
      </c>
      <c r="Z60">
        <v>2582146005.3200002</v>
      </c>
      <c r="AA60" t="str">
        <f>CashProjTable[Portfolio]&amp;CashProjTable[ProjDate]</f>
        <v>SCBTMFPLUS43392</v>
      </c>
    </row>
    <row r="61" spans="1:27" x14ac:dyDescent="0.2">
      <c r="A61" t="s">
        <v>141</v>
      </c>
      <c r="B61" t="s">
        <v>146</v>
      </c>
      <c r="C61" s="46">
        <v>43393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2582146005.3200002</v>
      </c>
      <c r="P61" s="3">
        <v>601818769.55999994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2582146005.3200002</v>
      </c>
      <c r="Z61">
        <v>2582146005.3200002</v>
      </c>
      <c r="AA61" t="str">
        <f>CashProjTable[Portfolio]&amp;CashProjTable[ProjDate]</f>
        <v>SCBTMFPLUS43393</v>
      </c>
    </row>
    <row r="62" spans="1:27" x14ac:dyDescent="0.2">
      <c r="A62" t="s">
        <v>141</v>
      </c>
      <c r="B62" t="s">
        <v>146</v>
      </c>
      <c r="C62" s="46">
        <v>43394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2582146005.3200002</v>
      </c>
      <c r="P62" s="3">
        <v>601818769.55999994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2582146005.3200002</v>
      </c>
      <c r="Z62">
        <v>2582146005.3200002</v>
      </c>
      <c r="AA62" t="str">
        <f>CashProjTable[Portfolio]&amp;CashProjTable[ProjDate]</f>
        <v>SCBTMFPLUS43394</v>
      </c>
    </row>
    <row r="63" spans="1:27" x14ac:dyDescent="0.2">
      <c r="A63" t="s">
        <v>141</v>
      </c>
      <c r="B63" t="s">
        <v>146</v>
      </c>
      <c r="C63" s="46">
        <v>43395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2582146005.3200002</v>
      </c>
      <c r="P63" s="3">
        <v>601818769.55999994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2582146005.3200002</v>
      </c>
      <c r="Z63">
        <v>2582146005.3200002</v>
      </c>
      <c r="AA63" t="str">
        <f>CashProjTable[Portfolio]&amp;CashProjTable[ProjDate]</f>
        <v>SCBTMFPLUS43395</v>
      </c>
    </row>
    <row r="64" spans="1:27" x14ac:dyDescent="0.2">
      <c r="A64" t="s">
        <v>141</v>
      </c>
      <c r="B64" t="s">
        <v>146</v>
      </c>
      <c r="C64" s="46">
        <v>43396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2582146005.3200002</v>
      </c>
      <c r="P64" s="3">
        <v>601818769.55999994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2582146005.3200002</v>
      </c>
      <c r="Z64">
        <v>2582146005.3200002</v>
      </c>
      <c r="AA64" t="str">
        <f>CashProjTable[Portfolio]&amp;CashProjTable[ProjDate]</f>
        <v>SCBTMFPLUS43396</v>
      </c>
    </row>
    <row r="65" spans="1:27" x14ac:dyDescent="0.2">
      <c r="A65" t="s">
        <v>141</v>
      </c>
      <c r="B65" t="s">
        <v>146</v>
      </c>
      <c r="C65" s="46">
        <v>43397</v>
      </c>
      <c r="D65">
        <v>0</v>
      </c>
      <c r="E65">
        <v>570000000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3152146005.3200002</v>
      </c>
      <c r="P65" s="3">
        <v>601818769.55999994</v>
      </c>
      <c r="Q65">
        <v>0</v>
      </c>
      <c r="R65">
        <v>570000000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3152146005.3200002</v>
      </c>
      <c r="Z65">
        <v>3152146005.3200002</v>
      </c>
      <c r="AA65" t="str">
        <f>CashProjTable[Portfolio]&amp;CashProjTable[ProjDate]</f>
        <v>SCBTMFPLUS43397</v>
      </c>
    </row>
    <row r="66" spans="1:27" x14ac:dyDescent="0.2">
      <c r="A66" t="s">
        <v>352</v>
      </c>
      <c r="B66" t="s">
        <v>21</v>
      </c>
      <c r="C66" s="46">
        <v>43382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4000</v>
      </c>
      <c r="L66">
        <v>0</v>
      </c>
      <c r="M66">
        <v>0</v>
      </c>
      <c r="N66">
        <v>0</v>
      </c>
      <c r="O66">
        <v>0</v>
      </c>
      <c r="P66" s="3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-4000</v>
      </c>
      <c r="Z66">
        <v>-4000</v>
      </c>
      <c r="AA66" t="str">
        <f>CashProjTable[Portfolio]&amp;CashProjTable[ProjDate]</f>
        <v>SCBRF43382</v>
      </c>
    </row>
    <row r="67" spans="1:27" x14ac:dyDescent="0.2">
      <c r="A67" t="s">
        <v>352</v>
      </c>
      <c r="B67" t="s">
        <v>21</v>
      </c>
      <c r="C67" s="46">
        <v>43383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100000</v>
      </c>
      <c r="L67">
        <v>0</v>
      </c>
      <c r="M67">
        <v>0</v>
      </c>
      <c r="N67">
        <v>0</v>
      </c>
      <c r="O67">
        <v>898271.84</v>
      </c>
      <c r="P67" s="3">
        <v>14273968.210000001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4000</v>
      </c>
      <c r="X67">
        <v>0</v>
      </c>
      <c r="Y67">
        <v>798271.84</v>
      </c>
      <c r="Z67">
        <v>794271.84</v>
      </c>
      <c r="AA67" t="str">
        <f>CashProjTable[Portfolio]&amp;CashProjTable[ProjDate]</f>
        <v>SCBRF43383</v>
      </c>
    </row>
    <row r="68" spans="1:27" x14ac:dyDescent="0.2">
      <c r="A68" t="s">
        <v>352</v>
      </c>
      <c r="B68" t="s">
        <v>21</v>
      </c>
      <c r="C68" s="46">
        <v>43384</v>
      </c>
      <c r="D68">
        <v>0</v>
      </c>
      <c r="E68">
        <v>20000000</v>
      </c>
      <c r="F68">
        <v>0</v>
      </c>
      <c r="G68">
        <v>0</v>
      </c>
      <c r="H68">
        <v>0</v>
      </c>
      <c r="I68">
        <v>0</v>
      </c>
      <c r="J68">
        <v>0</v>
      </c>
      <c r="K68">
        <v>10600</v>
      </c>
      <c r="L68">
        <v>0</v>
      </c>
      <c r="M68">
        <v>0</v>
      </c>
      <c r="N68">
        <v>0</v>
      </c>
      <c r="O68">
        <v>20908871.84</v>
      </c>
      <c r="P68" s="3">
        <v>14273968.210000001</v>
      </c>
      <c r="Q68">
        <v>0</v>
      </c>
      <c r="R68">
        <v>20000000</v>
      </c>
      <c r="S68">
        <v>0</v>
      </c>
      <c r="T68">
        <v>0</v>
      </c>
      <c r="U68">
        <v>4000</v>
      </c>
      <c r="V68">
        <v>0</v>
      </c>
      <c r="W68">
        <v>100000</v>
      </c>
      <c r="X68">
        <v>0</v>
      </c>
      <c r="Y68">
        <v>20898271.84</v>
      </c>
      <c r="Z68">
        <v>20798271.84</v>
      </c>
      <c r="AA68" t="str">
        <f>CashProjTable[Portfolio]&amp;CashProjTable[ProjDate]</f>
        <v>SCBRF43384</v>
      </c>
    </row>
    <row r="69" spans="1:27" x14ac:dyDescent="0.2">
      <c r="A69" t="s">
        <v>352</v>
      </c>
      <c r="B69" t="s">
        <v>21</v>
      </c>
      <c r="C69" s="46">
        <v>43385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20908871.84</v>
      </c>
      <c r="P69" s="3">
        <v>14273968.210000001</v>
      </c>
      <c r="Q69">
        <v>0</v>
      </c>
      <c r="R69">
        <v>0</v>
      </c>
      <c r="S69">
        <v>0</v>
      </c>
      <c r="T69">
        <v>0</v>
      </c>
      <c r="U69">
        <v>100000</v>
      </c>
      <c r="V69">
        <v>0</v>
      </c>
      <c r="W69">
        <v>10600</v>
      </c>
      <c r="X69">
        <v>0</v>
      </c>
      <c r="Y69">
        <v>20908871.84</v>
      </c>
      <c r="Z69">
        <v>20898271.84</v>
      </c>
      <c r="AA69" t="str">
        <f>CashProjTable[Portfolio]&amp;CashProjTable[ProjDate]</f>
        <v>SCBRF43385</v>
      </c>
    </row>
    <row r="70" spans="1:27" x14ac:dyDescent="0.2">
      <c r="A70" t="s">
        <v>352</v>
      </c>
      <c r="B70" t="s">
        <v>21</v>
      </c>
      <c r="C70" s="46">
        <v>43386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20908871.84</v>
      </c>
      <c r="P70" s="3">
        <v>14273968.210000001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20908871.84</v>
      </c>
      <c r="Z70">
        <v>20908871.84</v>
      </c>
      <c r="AA70" t="str">
        <f>CashProjTable[Portfolio]&amp;CashProjTable[ProjDate]</f>
        <v>SCBRF43386</v>
      </c>
    </row>
    <row r="71" spans="1:27" x14ac:dyDescent="0.2">
      <c r="A71" t="s">
        <v>352</v>
      </c>
      <c r="B71" t="s">
        <v>21</v>
      </c>
      <c r="C71" s="46">
        <v>43387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20908871.84</v>
      </c>
      <c r="P71" s="3">
        <v>14273968.210000001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20908871.84</v>
      </c>
      <c r="Z71">
        <v>20908871.84</v>
      </c>
      <c r="AA71" t="str">
        <f>CashProjTable[Portfolio]&amp;CashProjTable[ProjDate]</f>
        <v>SCBRF43387</v>
      </c>
    </row>
    <row r="72" spans="1:27" x14ac:dyDescent="0.2">
      <c r="A72" t="s">
        <v>352</v>
      </c>
      <c r="B72" t="s">
        <v>21</v>
      </c>
      <c r="C72" s="46">
        <v>43388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20908871.84</v>
      </c>
      <c r="P72" s="3">
        <v>14273968.210000001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20908871.84</v>
      </c>
      <c r="Z72">
        <v>20908871.84</v>
      </c>
      <c r="AA72" t="str">
        <f>CashProjTable[Portfolio]&amp;CashProjTable[ProjDate]</f>
        <v>SCBRF43388</v>
      </c>
    </row>
    <row r="73" spans="1:27" x14ac:dyDescent="0.2">
      <c r="A73" t="s">
        <v>352</v>
      </c>
      <c r="B73" t="s">
        <v>21</v>
      </c>
      <c r="C73" s="46">
        <v>43389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20908871.84</v>
      </c>
      <c r="P73" s="3">
        <v>14273968.210000001</v>
      </c>
      <c r="Q73">
        <v>0</v>
      </c>
      <c r="R73">
        <v>0</v>
      </c>
      <c r="S73">
        <v>0</v>
      </c>
      <c r="T73">
        <v>0</v>
      </c>
      <c r="U73">
        <v>10600</v>
      </c>
      <c r="V73">
        <v>0</v>
      </c>
      <c r="W73">
        <v>0</v>
      </c>
      <c r="X73">
        <v>0</v>
      </c>
      <c r="Y73">
        <v>20908871.84</v>
      </c>
      <c r="Z73">
        <v>20908871.84</v>
      </c>
      <c r="AA73" t="str">
        <f>CashProjTable[Portfolio]&amp;CashProjTable[ProjDate]</f>
        <v>SCBRF43389</v>
      </c>
    </row>
    <row r="74" spans="1:27" x14ac:dyDescent="0.2">
      <c r="A74" t="s">
        <v>352</v>
      </c>
      <c r="B74" t="s">
        <v>21</v>
      </c>
      <c r="C74" s="46">
        <v>43390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20908871.84</v>
      </c>
      <c r="P74" s="3">
        <v>14273968.210000001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20908871.84</v>
      </c>
      <c r="Z74">
        <v>20908871.84</v>
      </c>
      <c r="AA74" t="str">
        <f>CashProjTable[Portfolio]&amp;CashProjTable[ProjDate]</f>
        <v>SCBRF43390</v>
      </c>
    </row>
    <row r="75" spans="1:27" x14ac:dyDescent="0.2">
      <c r="A75" t="s">
        <v>352</v>
      </c>
      <c r="B75" t="s">
        <v>21</v>
      </c>
      <c r="C75" s="46">
        <v>43391</v>
      </c>
      <c r="D75">
        <v>0</v>
      </c>
      <c r="E75">
        <v>8000000</v>
      </c>
      <c r="F75">
        <v>65972.600000000006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28974844.440000001</v>
      </c>
      <c r="P75" s="3">
        <v>14273968.210000001</v>
      </c>
      <c r="Q75">
        <v>0</v>
      </c>
      <c r="R75">
        <v>8000000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28974844.440000001</v>
      </c>
      <c r="Z75">
        <v>28908871.84</v>
      </c>
      <c r="AA75" t="str">
        <f>CashProjTable[Portfolio]&amp;CashProjTable[ProjDate]</f>
        <v>SCBRF43391</v>
      </c>
    </row>
    <row r="76" spans="1:27" x14ac:dyDescent="0.2">
      <c r="A76" t="s">
        <v>352</v>
      </c>
      <c r="B76" t="s">
        <v>21</v>
      </c>
      <c r="C76" s="46">
        <v>43392</v>
      </c>
      <c r="D76">
        <v>0</v>
      </c>
      <c r="E76">
        <v>4000000</v>
      </c>
      <c r="F76">
        <v>60164.38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33035008.82</v>
      </c>
      <c r="P76" s="3">
        <v>14273968.210000001</v>
      </c>
      <c r="Q76">
        <v>0</v>
      </c>
      <c r="R76">
        <v>4000000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33035008.82</v>
      </c>
      <c r="Z76">
        <v>32974844.440000001</v>
      </c>
      <c r="AA76" t="str">
        <f>CashProjTable[Portfolio]&amp;CashProjTable[ProjDate]</f>
        <v>SCBRF43392</v>
      </c>
    </row>
    <row r="77" spans="1:27" x14ac:dyDescent="0.2">
      <c r="A77" t="s">
        <v>352</v>
      </c>
      <c r="B77" t="s">
        <v>21</v>
      </c>
      <c r="C77" s="46">
        <v>43393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33035008.82</v>
      </c>
      <c r="P77" s="3">
        <v>14273968.210000001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33035008.82</v>
      </c>
      <c r="Z77">
        <v>33035008.82</v>
      </c>
      <c r="AA77" t="str">
        <f>CashProjTable[Portfolio]&amp;CashProjTable[ProjDate]</f>
        <v>SCBRF43393</v>
      </c>
    </row>
    <row r="78" spans="1:27" x14ac:dyDescent="0.2">
      <c r="A78" t="s">
        <v>352</v>
      </c>
      <c r="B78" t="s">
        <v>21</v>
      </c>
      <c r="C78" s="46">
        <v>43394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33035008.82</v>
      </c>
      <c r="P78" s="3">
        <v>14273968.210000001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33035008.82</v>
      </c>
      <c r="Z78">
        <v>33035008.82</v>
      </c>
      <c r="AA78" t="str">
        <f>CashProjTable[Portfolio]&amp;CashProjTable[ProjDate]</f>
        <v>SCBRF43394</v>
      </c>
    </row>
    <row r="79" spans="1:27" x14ac:dyDescent="0.2">
      <c r="A79" t="s">
        <v>352</v>
      </c>
      <c r="B79" t="s">
        <v>21</v>
      </c>
      <c r="C79" s="46">
        <v>43395</v>
      </c>
      <c r="D79">
        <v>0</v>
      </c>
      <c r="E79">
        <v>0</v>
      </c>
      <c r="F79">
        <v>209071.23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33244080.050000001</v>
      </c>
      <c r="P79" s="3">
        <v>14273968.210000001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33244080.050000001</v>
      </c>
      <c r="Z79">
        <v>33035008.82</v>
      </c>
      <c r="AA79" t="str">
        <f>CashProjTable[Portfolio]&amp;CashProjTable[ProjDate]</f>
        <v>SCBRF43395</v>
      </c>
    </row>
    <row r="80" spans="1:27" x14ac:dyDescent="0.2">
      <c r="A80" t="s">
        <v>352</v>
      </c>
      <c r="B80" t="s">
        <v>21</v>
      </c>
      <c r="C80" s="46">
        <v>43396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33244080.050000001</v>
      </c>
      <c r="P80" s="3">
        <v>14273968.210000001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33244080.050000001</v>
      </c>
      <c r="Z80">
        <v>33244080.050000001</v>
      </c>
      <c r="AA80" t="str">
        <f>CashProjTable[Portfolio]&amp;CashProjTable[ProjDate]</f>
        <v>SCBRF43396</v>
      </c>
    </row>
    <row r="81" spans="1:27" x14ac:dyDescent="0.2">
      <c r="A81" t="s">
        <v>352</v>
      </c>
      <c r="B81" t="s">
        <v>21</v>
      </c>
      <c r="C81" s="46">
        <v>43397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33244080.050000001</v>
      </c>
      <c r="P81" s="3">
        <v>14273968.210000001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33244080.050000001</v>
      </c>
      <c r="Z81">
        <v>33244080.050000001</v>
      </c>
      <c r="AA81" t="str">
        <f>CashProjTable[Portfolio]&amp;CashProjTable[ProjDate]</f>
        <v>SCBRF43397</v>
      </c>
    </row>
    <row r="82" spans="1:27" x14ac:dyDescent="0.2">
      <c r="A82" t="s">
        <v>353</v>
      </c>
      <c r="B82" t="s">
        <v>21</v>
      </c>
      <c r="C82" s="46">
        <v>43382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6004200</v>
      </c>
      <c r="L82">
        <v>0</v>
      </c>
      <c r="M82">
        <v>62036.6</v>
      </c>
      <c r="N82">
        <v>0</v>
      </c>
      <c r="O82">
        <v>0</v>
      </c>
      <c r="P82" s="3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-6066236.5999999996</v>
      </c>
      <c r="Z82">
        <v>-6066236.5999999996</v>
      </c>
      <c r="AA82" t="str">
        <f>CashProjTable[Portfolio]&amp;CashProjTable[ProjDate]</f>
        <v>SCBRM143382</v>
      </c>
    </row>
    <row r="83" spans="1:27" x14ac:dyDescent="0.2">
      <c r="A83" t="s">
        <v>353</v>
      </c>
      <c r="B83" t="s">
        <v>21</v>
      </c>
      <c r="C83" s="46">
        <v>43383</v>
      </c>
      <c r="D83">
        <v>0</v>
      </c>
      <c r="E83">
        <v>0</v>
      </c>
      <c r="F83">
        <v>0</v>
      </c>
      <c r="G83">
        <v>0</v>
      </c>
      <c r="H83">
        <v>5000000</v>
      </c>
      <c r="I83">
        <v>0</v>
      </c>
      <c r="J83">
        <v>0</v>
      </c>
      <c r="K83">
        <v>4732500</v>
      </c>
      <c r="L83">
        <v>5383293.29</v>
      </c>
      <c r="M83">
        <v>500000</v>
      </c>
      <c r="N83">
        <v>17717695.969999999</v>
      </c>
      <c r="O83">
        <v>2877942.19</v>
      </c>
      <c r="P83" s="3">
        <v>407412384.37</v>
      </c>
      <c r="Q83">
        <v>0</v>
      </c>
      <c r="R83">
        <v>0</v>
      </c>
      <c r="S83">
        <v>0</v>
      </c>
      <c r="T83">
        <v>5000000</v>
      </c>
      <c r="U83">
        <v>0</v>
      </c>
      <c r="V83">
        <v>0</v>
      </c>
      <c r="W83">
        <v>6004200</v>
      </c>
      <c r="X83">
        <v>0</v>
      </c>
      <c r="Y83">
        <v>-2354557.81</v>
      </c>
      <c r="Z83">
        <v>-8420794.4100000001</v>
      </c>
      <c r="AA83" t="str">
        <f>CashProjTable[Portfolio]&amp;CashProjTable[ProjDate]</f>
        <v>SCBRM143383</v>
      </c>
    </row>
    <row r="84" spans="1:27" x14ac:dyDescent="0.2">
      <c r="A84" t="s">
        <v>353</v>
      </c>
      <c r="B84" t="s">
        <v>21</v>
      </c>
      <c r="C84" s="46">
        <v>43384</v>
      </c>
      <c r="D84">
        <v>199227844.96000001</v>
      </c>
      <c r="E84">
        <v>234000000</v>
      </c>
      <c r="F84">
        <v>137174.79</v>
      </c>
      <c r="G84">
        <v>0</v>
      </c>
      <c r="H84">
        <v>0</v>
      </c>
      <c r="I84">
        <v>0</v>
      </c>
      <c r="J84">
        <v>0</v>
      </c>
      <c r="K84">
        <v>3283200</v>
      </c>
      <c r="L84">
        <v>4738667.0599999996</v>
      </c>
      <c r="M84">
        <v>2000</v>
      </c>
      <c r="N84">
        <v>13691776.609999999</v>
      </c>
      <c r="O84">
        <v>22642028.350000001</v>
      </c>
      <c r="P84" s="3">
        <v>407412384.37</v>
      </c>
      <c r="Q84">
        <v>199227844.96000001</v>
      </c>
      <c r="R84">
        <v>234000000</v>
      </c>
      <c r="S84">
        <v>0</v>
      </c>
      <c r="T84">
        <v>0</v>
      </c>
      <c r="U84">
        <v>6004200</v>
      </c>
      <c r="V84">
        <v>0</v>
      </c>
      <c r="W84">
        <v>4732500</v>
      </c>
      <c r="X84">
        <v>0</v>
      </c>
      <c r="Y84">
        <v>19356828.350000001</v>
      </c>
      <c r="Z84">
        <v>13987153.560000001</v>
      </c>
      <c r="AA84" t="str">
        <f>CashProjTable[Portfolio]&amp;CashProjTable[ProjDate]</f>
        <v>SCBRM143384</v>
      </c>
    </row>
    <row r="85" spans="1:27" x14ac:dyDescent="0.2">
      <c r="A85" t="s">
        <v>353</v>
      </c>
      <c r="B85" t="s">
        <v>21</v>
      </c>
      <c r="C85" s="46">
        <v>43385</v>
      </c>
      <c r="D85">
        <v>0</v>
      </c>
      <c r="E85">
        <v>0</v>
      </c>
      <c r="F85">
        <v>3086432.88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25728461.23</v>
      </c>
      <c r="P85" s="3">
        <v>407412384.37</v>
      </c>
      <c r="Q85">
        <v>0</v>
      </c>
      <c r="R85">
        <v>0</v>
      </c>
      <c r="S85">
        <v>0</v>
      </c>
      <c r="T85">
        <v>0</v>
      </c>
      <c r="U85">
        <v>4732500</v>
      </c>
      <c r="V85">
        <v>0</v>
      </c>
      <c r="W85">
        <v>3283200</v>
      </c>
      <c r="X85">
        <v>0</v>
      </c>
      <c r="Y85">
        <v>25728461.23</v>
      </c>
      <c r="Z85">
        <v>19356828.350000001</v>
      </c>
      <c r="AA85" t="str">
        <f>CashProjTable[Portfolio]&amp;CashProjTable[ProjDate]</f>
        <v>SCBRM143385</v>
      </c>
    </row>
    <row r="86" spans="1:27" x14ac:dyDescent="0.2">
      <c r="A86" t="s">
        <v>353</v>
      </c>
      <c r="B86" t="s">
        <v>21</v>
      </c>
      <c r="C86" s="46">
        <v>43386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25728461.23</v>
      </c>
      <c r="P86" s="3">
        <v>407412384.37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25728461.23</v>
      </c>
      <c r="Z86">
        <v>25728461.23</v>
      </c>
      <c r="AA86" t="str">
        <f>CashProjTable[Portfolio]&amp;CashProjTable[ProjDate]</f>
        <v>SCBRM143386</v>
      </c>
    </row>
    <row r="87" spans="1:27" x14ac:dyDescent="0.2">
      <c r="A87" t="s">
        <v>353</v>
      </c>
      <c r="B87" t="s">
        <v>21</v>
      </c>
      <c r="C87" s="46">
        <v>43387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25728461.23</v>
      </c>
      <c r="P87" s="3">
        <v>407412384.37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25728461.23</v>
      </c>
      <c r="Z87">
        <v>25728461.23</v>
      </c>
      <c r="AA87" t="str">
        <f>CashProjTable[Portfolio]&amp;CashProjTable[ProjDate]</f>
        <v>SCBRM143387</v>
      </c>
    </row>
    <row r="88" spans="1:27" x14ac:dyDescent="0.2">
      <c r="A88" t="s">
        <v>353</v>
      </c>
      <c r="B88" t="s">
        <v>21</v>
      </c>
      <c r="C88" s="46">
        <v>43388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25728461.23</v>
      </c>
      <c r="P88" s="3">
        <v>407412384.37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25728461.23</v>
      </c>
      <c r="Z88">
        <v>25728461.23</v>
      </c>
      <c r="AA88" t="str">
        <f>CashProjTable[Portfolio]&amp;CashProjTable[ProjDate]</f>
        <v>SCBRM143388</v>
      </c>
    </row>
    <row r="89" spans="1:27" x14ac:dyDescent="0.2">
      <c r="A89" t="s">
        <v>353</v>
      </c>
      <c r="B89" t="s">
        <v>21</v>
      </c>
      <c r="C89" s="46">
        <v>43389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25728461.23</v>
      </c>
      <c r="P89" s="3">
        <v>407412384.37</v>
      </c>
      <c r="Q89">
        <v>0</v>
      </c>
      <c r="R89">
        <v>0</v>
      </c>
      <c r="S89">
        <v>0</v>
      </c>
      <c r="T89">
        <v>0</v>
      </c>
      <c r="U89">
        <v>3283200</v>
      </c>
      <c r="V89">
        <v>0</v>
      </c>
      <c r="W89">
        <v>0</v>
      </c>
      <c r="X89">
        <v>0</v>
      </c>
      <c r="Y89">
        <v>25728461.23</v>
      </c>
      <c r="Z89">
        <v>25728461.23</v>
      </c>
      <c r="AA89" t="str">
        <f>CashProjTable[Portfolio]&amp;CashProjTable[ProjDate]</f>
        <v>SCBRM143389</v>
      </c>
    </row>
    <row r="90" spans="1:27" x14ac:dyDescent="0.2">
      <c r="A90" t="s">
        <v>353</v>
      </c>
      <c r="B90" t="s">
        <v>21</v>
      </c>
      <c r="C90" s="46">
        <v>43390</v>
      </c>
      <c r="D90">
        <v>0</v>
      </c>
      <c r="E90">
        <v>95017000</v>
      </c>
      <c r="F90">
        <v>2158031.31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122903492.54000001</v>
      </c>
      <c r="P90" s="3">
        <v>407412384.37</v>
      </c>
      <c r="Q90">
        <v>0</v>
      </c>
      <c r="R90">
        <v>95017000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122903492.54000001</v>
      </c>
      <c r="Z90">
        <v>120745461.23</v>
      </c>
      <c r="AA90" t="str">
        <f>CashProjTable[Portfolio]&amp;CashProjTable[ProjDate]</f>
        <v>SCBRM143390</v>
      </c>
    </row>
    <row r="91" spans="1:27" x14ac:dyDescent="0.2">
      <c r="A91" t="s">
        <v>353</v>
      </c>
      <c r="B91" t="s">
        <v>21</v>
      </c>
      <c r="C91" s="46">
        <v>43391</v>
      </c>
      <c r="D91">
        <v>0</v>
      </c>
      <c r="E91">
        <v>280000000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402903492.54000002</v>
      </c>
      <c r="P91" s="3">
        <v>407412384.37</v>
      </c>
      <c r="Q91">
        <v>0</v>
      </c>
      <c r="R91">
        <v>280000000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402903492.54000002</v>
      </c>
      <c r="Z91">
        <v>402903492.54000002</v>
      </c>
      <c r="AA91" t="str">
        <f>CashProjTable[Portfolio]&amp;CashProjTable[ProjDate]</f>
        <v>SCBRM143391</v>
      </c>
    </row>
    <row r="92" spans="1:27" x14ac:dyDescent="0.2">
      <c r="A92" t="s">
        <v>353</v>
      </c>
      <c r="B92" t="s">
        <v>21</v>
      </c>
      <c r="C92" s="46">
        <v>43392</v>
      </c>
      <c r="D92">
        <v>0</v>
      </c>
      <c r="E92">
        <v>10000000</v>
      </c>
      <c r="F92">
        <v>150410.96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413053903.5</v>
      </c>
      <c r="P92" s="3">
        <v>407412384.37</v>
      </c>
      <c r="Q92">
        <v>0</v>
      </c>
      <c r="R92">
        <v>10000000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413053903.5</v>
      </c>
      <c r="Z92">
        <v>412903492.54000002</v>
      </c>
      <c r="AA92" t="str">
        <f>CashProjTable[Portfolio]&amp;CashProjTable[ProjDate]</f>
        <v>SCBRM143392</v>
      </c>
    </row>
    <row r="93" spans="1:27" x14ac:dyDescent="0.2">
      <c r="A93" t="s">
        <v>353</v>
      </c>
      <c r="B93" t="s">
        <v>21</v>
      </c>
      <c r="C93" s="46">
        <v>43393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413053903.5</v>
      </c>
      <c r="P93" s="3">
        <v>407412384.37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413053903.5</v>
      </c>
      <c r="Z93">
        <v>413053903.5</v>
      </c>
      <c r="AA93" t="str">
        <f>CashProjTable[Portfolio]&amp;CashProjTable[ProjDate]</f>
        <v>SCBRM143393</v>
      </c>
    </row>
    <row r="94" spans="1:27" x14ac:dyDescent="0.2">
      <c r="A94" t="s">
        <v>353</v>
      </c>
      <c r="B94" t="s">
        <v>21</v>
      </c>
      <c r="C94" s="46">
        <v>43394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413053903.5</v>
      </c>
      <c r="P94" s="3">
        <v>407412384.37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413053903.5</v>
      </c>
      <c r="Z94">
        <v>413053903.5</v>
      </c>
      <c r="AA94" t="str">
        <f>CashProjTable[Portfolio]&amp;CashProjTable[ProjDate]</f>
        <v>SCBRM143394</v>
      </c>
    </row>
    <row r="95" spans="1:27" x14ac:dyDescent="0.2">
      <c r="A95" t="s">
        <v>353</v>
      </c>
      <c r="B95" t="s">
        <v>21</v>
      </c>
      <c r="C95" s="46">
        <v>43395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413053903.5</v>
      </c>
      <c r="P95" s="3">
        <v>407412384.37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413053903.5</v>
      </c>
      <c r="Z95">
        <v>413053903.5</v>
      </c>
      <c r="AA95" t="str">
        <f>CashProjTable[Portfolio]&amp;CashProjTable[ProjDate]</f>
        <v>SCBRM143395</v>
      </c>
    </row>
    <row r="96" spans="1:27" x14ac:dyDescent="0.2">
      <c r="A96" t="s">
        <v>353</v>
      </c>
      <c r="B96" t="s">
        <v>21</v>
      </c>
      <c r="C96" s="46">
        <v>43396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413053903.5</v>
      </c>
      <c r="P96" s="3">
        <v>407412384.37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413053903.5</v>
      </c>
      <c r="Z96">
        <v>413053903.5</v>
      </c>
      <c r="AA96" t="str">
        <f>CashProjTable[Portfolio]&amp;CashProjTable[ProjDate]</f>
        <v>SCBRM143396</v>
      </c>
    </row>
    <row r="97" spans="1:27" x14ac:dyDescent="0.2">
      <c r="A97" t="s">
        <v>353</v>
      </c>
      <c r="B97" t="s">
        <v>21</v>
      </c>
      <c r="C97" s="46">
        <v>43397</v>
      </c>
      <c r="D97">
        <v>0</v>
      </c>
      <c r="E97">
        <v>320000000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733053903.5</v>
      </c>
      <c r="P97" s="3">
        <v>407412384.37</v>
      </c>
      <c r="Q97">
        <v>0</v>
      </c>
      <c r="R97">
        <v>320000000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733053903.5</v>
      </c>
      <c r="Z97">
        <v>733053903.5</v>
      </c>
      <c r="AA97" t="str">
        <f>CashProjTable[Portfolio]&amp;CashProjTable[ProjDate]</f>
        <v>SCBRM143397</v>
      </c>
    </row>
    <row r="98" spans="1:27" x14ac:dyDescent="0.2">
      <c r="A98" t="s">
        <v>354</v>
      </c>
      <c r="B98" t="s">
        <v>21</v>
      </c>
      <c r="C98" s="46">
        <v>43382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1074700</v>
      </c>
      <c r="L98">
        <v>0</v>
      </c>
      <c r="M98">
        <v>15000</v>
      </c>
      <c r="N98">
        <v>0</v>
      </c>
      <c r="O98">
        <v>0</v>
      </c>
      <c r="P98" s="3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-1089700</v>
      </c>
      <c r="Z98">
        <v>-1089700</v>
      </c>
      <c r="AA98" t="str">
        <f>CashProjTable[Portfolio]&amp;CashProjTable[ProjDate]</f>
        <v>SCBRM243382</v>
      </c>
    </row>
    <row r="99" spans="1:27" x14ac:dyDescent="0.2">
      <c r="A99" t="s">
        <v>354</v>
      </c>
      <c r="B99" t="s">
        <v>21</v>
      </c>
      <c r="C99" s="46">
        <v>43383</v>
      </c>
      <c r="D99">
        <v>0</v>
      </c>
      <c r="E99">
        <v>0</v>
      </c>
      <c r="F99">
        <v>2007986.3</v>
      </c>
      <c r="G99">
        <v>0</v>
      </c>
      <c r="H99">
        <v>0</v>
      </c>
      <c r="I99">
        <v>0</v>
      </c>
      <c r="J99">
        <v>0</v>
      </c>
      <c r="K99">
        <v>3176000</v>
      </c>
      <c r="L99">
        <v>455820.47</v>
      </c>
      <c r="M99">
        <v>0</v>
      </c>
      <c r="N99">
        <v>5807432.6699999999</v>
      </c>
      <c r="O99">
        <v>2576583.0299999998</v>
      </c>
      <c r="P99" s="3">
        <v>14128950.960000001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1074700</v>
      </c>
      <c r="X99">
        <v>0</v>
      </c>
      <c r="Y99">
        <v>-599416.97</v>
      </c>
      <c r="Z99">
        <v>-3697103.27</v>
      </c>
      <c r="AA99" t="str">
        <f>CashProjTable[Portfolio]&amp;CashProjTable[ProjDate]</f>
        <v>SCBRM243383</v>
      </c>
    </row>
    <row r="100" spans="1:27" x14ac:dyDescent="0.2">
      <c r="A100" t="s">
        <v>354</v>
      </c>
      <c r="B100" t="s">
        <v>21</v>
      </c>
      <c r="C100" s="46">
        <v>43384</v>
      </c>
      <c r="D100">
        <v>78038050.709999993</v>
      </c>
      <c r="E100">
        <v>74000000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2147200</v>
      </c>
      <c r="L100">
        <v>332171.27</v>
      </c>
      <c r="M100">
        <v>0</v>
      </c>
      <c r="N100">
        <v>1183888.27</v>
      </c>
      <c r="O100">
        <v>-830327.22000000905</v>
      </c>
      <c r="P100" s="3">
        <v>14128950.960000001</v>
      </c>
      <c r="Q100">
        <v>78038050.709999993</v>
      </c>
      <c r="R100">
        <v>74000000</v>
      </c>
      <c r="S100">
        <v>0</v>
      </c>
      <c r="T100">
        <v>0</v>
      </c>
      <c r="U100">
        <v>1074700</v>
      </c>
      <c r="V100">
        <v>0</v>
      </c>
      <c r="W100">
        <v>3176000</v>
      </c>
      <c r="X100">
        <v>0</v>
      </c>
      <c r="Y100">
        <v>-2977527.22000001</v>
      </c>
      <c r="Z100">
        <v>-6153527.22000001</v>
      </c>
      <c r="AA100" t="str">
        <f>CashProjTable[Portfolio]&amp;CashProjTable[ProjDate]</f>
        <v>SCBRM243384</v>
      </c>
    </row>
    <row r="101" spans="1:27" x14ac:dyDescent="0.2">
      <c r="A101" t="s">
        <v>354</v>
      </c>
      <c r="B101" t="s">
        <v>21</v>
      </c>
      <c r="C101" s="46">
        <v>43385</v>
      </c>
      <c r="D101">
        <v>0</v>
      </c>
      <c r="E101">
        <v>0</v>
      </c>
      <c r="F101">
        <v>857492.88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27165.6599999914</v>
      </c>
      <c r="P101" s="3">
        <v>14128950.960000001</v>
      </c>
      <c r="Q101">
        <v>0</v>
      </c>
      <c r="R101">
        <v>0</v>
      </c>
      <c r="S101">
        <v>0</v>
      </c>
      <c r="T101">
        <v>0</v>
      </c>
      <c r="U101">
        <v>3176000</v>
      </c>
      <c r="V101">
        <v>0</v>
      </c>
      <c r="W101">
        <v>2147200</v>
      </c>
      <c r="X101">
        <v>0</v>
      </c>
      <c r="Y101">
        <v>27165.6599999914</v>
      </c>
      <c r="Z101">
        <v>-2977527.22000001</v>
      </c>
      <c r="AA101" t="str">
        <f>CashProjTable[Portfolio]&amp;CashProjTable[ProjDate]</f>
        <v>SCBRM243385</v>
      </c>
    </row>
    <row r="102" spans="1:27" x14ac:dyDescent="0.2">
      <c r="A102" t="s">
        <v>354</v>
      </c>
      <c r="B102" t="s">
        <v>21</v>
      </c>
      <c r="C102" s="46">
        <v>43386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27165.6599999914</v>
      </c>
      <c r="P102" s="3">
        <v>14128950.960000001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27165.6599999914</v>
      </c>
      <c r="Z102">
        <v>27165.6599999914</v>
      </c>
      <c r="AA102" t="str">
        <f>CashProjTable[Portfolio]&amp;CashProjTable[ProjDate]</f>
        <v>SCBRM243386</v>
      </c>
    </row>
    <row r="103" spans="1:27" x14ac:dyDescent="0.2">
      <c r="A103" t="s">
        <v>354</v>
      </c>
      <c r="B103" t="s">
        <v>21</v>
      </c>
      <c r="C103" s="46">
        <v>43387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27165.6599999914</v>
      </c>
      <c r="P103" s="3">
        <v>14128950.960000001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27165.6599999914</v>
      </c>
      <c r="Z103">
        <v>27165.6599999914</v>
      </c>
      <c r="AA103" t="str">
        <f>CashProjTable[Portfolio]&amp;CashProjTable[ProjDate]</f>
        <v>SCBRM243387</v>
      </c>
    </row>
    <row r="104" spans="1:27" x14ac:dyDescent="0.2">
      <c r="A104" t="s">
        <v>354</v>
      </c>
      <c r="B104" t="s">
        <v>21</v>
      </c>
      <c r="C104" s="46">
        <v>43388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27165.6599999914</v>
      </c>
      <c r="P104" s="3">
        <v>14128950.960000001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27165.6599999914</v>
      </c>
      <c r="Z104">
        <v>27165.6599999914</v>
      </c>
      <c r="AA104" t="str">
        <f>CashProjTable[Portfolio]&amp;CashProjTable[ProjDate]</f>
        <v>SCBRM243388</v>
      </c>
    </row>
    <row r="105" spans="1:27" x14ac:dyDescent="0.2">
      <c r="A105" t="s">
        <v>354</v>
      </c>
      <c r="B105" t="s">
        <v>21</v>
      </c>
      <c r="C105" s="46">
        <v>43389</v>
      </c>
      <c r="D105">
        <v>0</v>
      </c>
      <c r="E105">
        <v>150000000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150027165.66</v>
      </c>
      <c r="P105" s="3">
        <v>14128950.960000001</v>
      </c>
      <c r="Q105">
        <v>0</v>
      </c>
      <c r="R105">
        <v>150000000</v>
      </c>
      <c r="S105">
        <v>0</v>
      </c>
      <c r="T105">
        <v>0</v>
      </c>
      <c r="U105">
        <v>2147200</v>
      </c>
      <c r="V105">
        <v>0</v>
      </c>
      <c r="W105">
        <v>0</v>
      </c>
      <c r="X105">
        <v>0</v>
      </c>
      <c r="Y105">
        <v>150027165.66</v>
      </c>
      <c r="Z105">
        <v>150027165.66</v>
      </c>
      <c r="AA105" t="str">
        <f>CashProjTable[Portfolio]&amp;CashProjTable[ProjDate]</f>
        <v>SCBRM243389</v>
      </c>
    </row>
    <row r="106" spans="1:27" x14ac:dyDescent="0.2">
      <c r="A106" t="s">
        <v>354</v>
      </c>
      <c r="B106" t="s">
        <v>21</v>
      </c>
      <c r="C106" s="46">
        <v>43390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150027165.66</v>
      </c>
      <c r="P106" s="3">
        <v>14128950.960000001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150027165.66</v>
      </c>
      <c r="Z106">
        <v>150027165.66</v>
      </c>
      <c r="AA106" t="str">
        <f>CashProjTable[Portfolio]&amp;CashProjTable[ProjDate]</f>
        <v>SCBRM243390</v>
      </c>
    </row>
    <row r="107" spans="1:27" x14ac:dyDescent="0.2">
      <c r="A107" t="s">
        <v>354</v>
      </c>
      <c r="B107" t="s">
        <v>21</v>
      </c>
      <c r="C107" s="46">
        <v>43391</v>
      </c>
      <c r="D107">
        <v>0</v>
      </c>
      <c r="E107">
        <v>60000000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210027165.66</v>
      </c>
      <c r="P107" s="3">
        <v>14128950.960000001</v>
      </c>
      <c r="Q107">
        <v>0</v>
      </c>
      <c r="R107">
        <v>60000000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210027165.66</v>
      </c>
      <c r="Z107">
        <v>210027165.66</v>
      </c>
      <c r="AA107" t="str">
        <f>CashProjTable[Portfolio]&amp;CashProjTable[ProjDate]</f>
        <v>SCBRM243391</v>
      </c>
    </row>
    <row r="108" spans="1:27" x14ac:dyDescent="0.2">
      <c r="A108" t="s">
        <v>354</v>
      </c>
      <c r="B108" t="s">
        <v>21</v>
      </c>
      <c r="C108" s="46">
        <v>43392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210027165.66</v>
      </c>
      <c r="P108" s="3">
        <v>14128950.960000001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210027165.66</v>
      </c>
      <c r="Z108">
        <v>210027165.66</v>
      </c>
      <c r="AA108" t="str">
        <f>CashProjTable[Portfolio]&amp;CashProjTable[ProjDate]</f>
        <v>SCBRM243392</v>
      </c>
    </row>
    <row r="109" spans="1:27" x14ac:dyDescent="0.2">
      <c r="A109" t="s">
        <v>354</v>
      </c>
      <c r="B109" t="s">
        <v>21</v>
      </c>
      <c r="C109" s="46">
        <v>43393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210027165.66</v>
      </c>
      <c r="P109" s="3">
        <v>14128950.960000001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210027165.66</v>
      </c>
      <c r="Z109">
        <v>210027165.66</v>
      </c>
      <c r="AA109" t="str">
        <f>CashProjTable[Portfolio]&amp;CashProjTable[ProjDate]</f>
        <v>SCBRM243393</v>
      </c>
    </row>
    <row r="110" spans="1:27" x14ac:dyDescent="0.2">
      <c r="A110" t="s">
        <v>354</v>
      </c>
      <c r="B110" t="s">
        <v>21</v>
      </c>
      <c r="C110" s="46">
        <v>43394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210027165.66</v>
      </c>
      <c r="P110" s="3">
        <v>14128950.960000001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210027165.66</v>
      </c>
      <c r="Z110">
        <v>210027165.66</v>
      </c>
      <c r="AA110" t="str">
        <f>CashProjTable[Portfolio]&amp;CashProjTable[ProjDate]</f>
        <v>SCBRM243394</v>
      </c>
    </row>
    <row r="111" spans="1:27" x14ac:dyDescent="0.2">
      <c r="A111" t="s">
        <v>354</v>
      </c>
      <c r="B111" t="s">
        <v>21</v>
      </c>
      <c r="C111" s="46">
        <v>43395</v>
      </c>
      <c r="D111">
        <v>0</v>
      </c>
      <c r="E111">
        <v>0</v>
      </c>
      <c r="F111">
        <v>1582824.66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211609990.31999999</v>
      </c>
      <c r="P111" s="3">
        <v>14128950.960000001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211609990.31999999</v>
      </c>
      <c r="Z111">
        <v>210027165.66</v>
      </c>
      <c r="AA111" t="str">
        <f>CashProjTable[Portfolio]&amp;CashProjTable[ProjDate]</f>
        <v>SCBRM243395</v>
      </c>
    </row>
    <row r="112" spans="1:27" x14ac:dyDescent="0.2">
      <c r="A112" t="s">
        <v>354</v>
      </c>
      <c r="B112" t="s">
        <v>21</v>
      </c>
      <c r="C112" s="46">
        <v>43396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211609990.31999999</v>
      </c>
      <c r="P112" s="3">
        <v>14128950.960000001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211609990.31999999</v>
      </c>
      <c r="Z112">
        <v>211609990.31999999</v>
      </c>
      <c r="AA112" t="str">
        <f>CashProjTable[Portfolio]&amp;CashProjTable[ProjDate]</f>
        <v>SCBRM243396</v>
      </c>
    </row>
    <row r="113" spans="1:27" x14ac:dyDescent="0.2">
      <c r="A113" t="s">
        <v>354</v>
      </c>
      <c r="B113" t="s">
        <v>21</v>
      </c>
      <c r="C113" s="46">
        <v>43397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211609990.31999999</v>
      </c>
      <c r="P113" s="3">
        <v>14128950.960000001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211609990.31999999</v>
      </c>
      <c r="Z113">
        <v>211609990.31999999</v>
      </c>
      <c r="AA113" t="str">
        <f>CashProjTable[Portfolio]&amp;CashProjTable[ProjDate]</f>
        <v>SCBRM243397</v>
      </c>
    </row>
    <row r="114" spans="1:27" x14ac:dyDescent="0.2">
      <c r="A114" t="s">
        <v>350</v>
      </c>
      <c r="B114" t="s">
        <v>146</v>
      </c>
      <c r="C114" s="46">
        <v>43382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13933176.68</v>
      </c>
      <c r="L114">
        <v>0</v>
      </c>
      <c r="M114">
        <v>0</v>
      </c>
      <c r="N114">
        <v>0</v>
      </c>
      <c r="O114">
        <v>0</v>
      </c>
      <c r="P114" s="3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-13933176.68</v>
      </c>
      <c r="Z114">
        <v>-13933176.68</v>
      </c>
      <c r="AA114" t="str">
        <f>CashProjTable[Portfolio]&amp;CashProjTable[ProjDate]</f>
        <v>SCBFPFUND43382</v>
      </c>
    </row>
    <row r="115" spans="1:27" x14ac:dyDescent="0.2">
      <c r="A115" t="s">
        <v>350</v>
      </c>
      <c r="B115" t="s">
        <v>146</v>
      </c>
      <c r="C115" s="46">
        <v>43383</v>
      </c>
      <c r="D115">
        <v>0</v>
      </c>
      <c r="E115">
        <v>129180351.3</v>
      </c>
      <c r="F115">
        <v>0</v>
      </c>
      <c r="G115">
        <v>90000000</v>
      </c>
      <c r="H115">
        <v>0</v>
      </c>
      <c r="I115">
        <v>0</v>
      </c>
      <c r="J115">
        <v>0</v>
      </c>
      <c r="K115">
        <v>21081516.309999999</v>
      </c>
      <c r="L115">
        <v>35929571.909999996</v>
      </c>
      <c r="M115">
        <v>0</v>
      </c>
      <c r="N115">
        <v>29441005.920000002</v>
      </c>
      <c r="O115">
        <v>3876174.24</v>
      </c>
      <c r="P115" s="3">
        <v>254665293469.06</v>
      </c>
      <c r="Q115">
        <v>0</v>
      </c>
      <c r="R115">
        <v>129180351.3</v>
      </c>
      <c r="S115">
        <v>90000000</v>
      </c>
      <c r="T115">
        <v>0</v>
      </c>
      <c r="U115">
        <v>0</v>
      </c>
      <c r="V115">
        <v>0</v>
      </c>
      <c r="W115">
        <v>13933176.68</v>
      </c>
      <c r="X115">
        <v>0</v>
      </c>
      <c r="Y115">
        <v>-17205342.07</v>
      </c>
      <c r="Z115">
        <v>-31138518.75</v>
      </c>
      <c r="AA115" t="str">
        <f>CashProjTable[Portfolio]&amp;CashProjTable[ProjDate]</f>
        <v>SCBFPFUND43383</v>
      </c>
    </row>
    <row r="116" spans="1:27" x14ac:dyDescent="0.2">
      <c r="A116" t="s">
        <v>350</v>
      </c>
      <c r="B116" t="s">
        <v>146</v>
      </c>
      <c r="C116" s="46">
        <v>43384</v>
      </c>
      <c r="D116">
        <v>166245100.86000001</v>
      </c>
      <c r="E116">
        <v>297832353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135463426.38</v>
      </c>
      <c r="P116" s="3">
        <v>254665293469.06</v>
      </c>
      <c r="Q116">
        <v>166245100.86000001</v>
      </c>
      <c r="R116">
        <v>297832353</v>
      </c>
      <c r="S116">
        <v>0</v>
      </c>
      <c r="T116">
        <v>0</v>
      </c>
      <c r="U116">
        <v>13933176.68</v>
      </c>
      <c r="V116">
        <v>0</v>
      </c>
      <c r="W116">
        <v>21081516.309999999</v>
      </c>
      <c r="X116">
        <v>0</v>
      </c>
      <c r="Y116">
        <v>135463426.38</v>
      </c>
      <c r="Z116">
        <v>114381910.06999999</v>
      </c>
      <c r="AA116" t="str">
        <f>CashProjTable[Portfolio]&amp;CashProjTable[ProjDate]</f>
        <v>SCBFPFUND43384</v>
      </c>
    </row>
    <row r="117" spans="1:27" x14ac:dyDescent="0.2">
      <c r="A117" t="s">
        <v>350</v>
      </c>
      <c r="B117" t="s">
        <v>146</v>
      </c>
      <c r="C117" s="46">
        <v>43385</v>
      </c>
      <c r="D117">
        <v>0</v>
      </c>
      <c r="E117">
        <v>0</v>
      </c>
      <c r="F117">
        <v>2795738.63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138259165.00999999</v>
      </c>
      <c r="P117" s="3">
        <v>254665293469.06</v>
      </c>
      <c r="Q117">
        <v>0</v>
      </c>
      <c r="R117">
        <v>0</v>
      </c>
      <c r="S117">
        <v>0</v>
      </c>
      <c r="T117">
        <v>0</v>
      </c>
      <c r="U117">
        <v>21081516.309999999</v>
      </c>
      <c r="V117">
        <v>0</v>
      </c>
      <c r="W117">
        <v>0</v>
      </c>
      <c r="X117">
        <v>0</v>
      </c>
      <c r="Y117">
        <v>138259165.00999999</v>
      </c>
      <c r="Z117">
        <v>135463426.38</v>
      </c>
      <c r="AA117" t="str">
        <f>CashProjTable[Portfolio]&amp;CashProjTable[ProjDate]</f>
        <v>SCBFPFUND43385</v>
      </c>
    </row>
    <row r="118" spans="1:27" x14ac:dyDescent="0.2">
      <c r="A118" t="s">
        <v>350</v>
      </c>
      <c r="B118" t="s">
        <v>146</v>
      </c>
      <c r="C118" s="46">
        <v>43386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138259165.00999999</v>
      </c>
      <c r="P118" s="3">
        <v>254665293469.06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138259165.00999999</v>
      </c>
      <c r="Z118">
        <v>138259165.00999999</v>
      </c>
      <c r="AA118" t="str">
        <f>CashProjTable[Portfolio]&amp;CashProjTable[ProjDate]</f>
        <v>SCBFPFUND43386</v>
      </c>
    </row>
    <row r="119" spans="1:27" x14ac:dyDescent="0.2">
      <c r="A119" t="s">
        <v>350</v>
      </c>
      <c r="B119" t="s">
        <v>146</v>
      </c>
      <c r="C119" s="46">
        <v>43387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138259165.00999999</v>
      </c>
      <c r="P119" s="3">
        <v>254665293469.06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138259165.00999999</v>
      </c>
      <c r="Z119">
        <v>138259165.00999999</v>
      </c>
      <c r="AA119" t="str">
        <f>CashProjTable[Portfolio]&amp;CashProjTable[ProjDate]</f>
        <v>SCBFPFUND43387</v>
      </c>
    </row>
    <row r="120" spans="1:27" x14ac:dyDescent="0.2">
      <c r="A120" t="s">
        <v>350</v>
      </c>
      <c r="B120" t="s">
        <v>146</v>
      </c>
      <c r="C120" s="46">
        <v>43388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138259165.00999999</v>
      </c>
      <c r="P120" s="3">
        <v>254665293469.06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138259165.00999999</v>
      </c>
      <c r="Z120">
        <v>138259165.00999999</v>
      </c>
      <c r="AA120" t="str">
        <f>CashProjTable[Portfolio]&amp;CashProjTable[ProjDate]</f>
        <v>SCBFPFUND43388</v>
      </c>
    </row>
    <row r="121" spans="1:27" x14ac:dyDescent="0.2">
      <c r="A121" t="s">
        <v>350</v>
      </c>
      <c r="B121" t="s">
        <v>146</v>
      </c>
      <c r="C121" s="46">
        <v>43389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138259165.00999999</v>
      </c>
      <c r="P121" s="3">
        <v>254665293469.06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138259165.00999999</v>
      </c>
      <c r="Z121">
        <v>138259165.00999999</v>
      </c>
      <c r="AA121" t="str">
        <f>CashProjTable[Portfolio]&amp;CashProjTable[ProjDate]</f>
        <v>SCBFPFUND43389</v>
      </c>
    </row>
    <row r="122" spans="1:27" x14ac:dyDescent="0.2">
      <c r="A122" t="s">
        <v>350</v>
      </c>
      <c r="B122" t="s">
        <v>146</v>
      </c>
      <c r="C122" s="46">
        <v>43390</v>
      </c>
      <c r="D122">
        <v>0</v>
      </c>
      <c r="E122">
        <v>0</v>
      </c>
      <c r="F122">
        <v>503375.34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138762540.34999999</v>
      </c>
      <c r="P122" s="3">
        <v>254665293469.06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138762540.34999999</v>
      </c>
      <c r="Z122">
        <v>138259165.00999999</v>
      </c>
      <c r="AA122" t="str">
        <f>CashProjTable[Portfolio]&amp;CashProjTable[ProjDate]</f>
        <v>SCBFPFUND43390</v>
      </c>
    </row>
    <row r="123" spans="1:27" x14ac:dyDescent="0.2">
      <c r="A123" t="s">
        <v>350</v>
      </c>
      <c r="B123" t="s">
        <v>146</v>
      </c>
      <c r="C123" s="46">
        <v>43391</v>
      </c>
      <c r="D123">
        <v>0</v>
      </c>
      <c r="E123">
        <v>692000000</v>
      </c>
      <c r="F123">
        <v>5385013.7000000002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836147554.04999995</v>
      </c>
      <c r="P123" s="3">
        <v>254665293469.06</v>
      </c>
      <c r="Q123">
        <v>0</v>
      </c>
      <c r="R123">
        <v>692000000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836147554.04999995</v>
      </c>
      <c r="Z123">
        <v>830762540.35000002</v>
      </c>
      <c r="AA123" t="str">
        <f>CashProjTable[Portfolio]&amp;CashProjTable[ProjDate]</f>
        <v>SCBFPFUND43391</v>
      </c>
    </row>
    <row r="124" spans="1:27" x14ac:dyDescent="0.2">
      <c r="A124" t="s">
        <v>350</v>
      </c>
      <c r="B124" t="s">
        <v>146</v>
      </c>
      <c r="C124" s="46">
        <v>43392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836147554.04999995</v>
      </c>
      <c r="P124" s="3">
        <v>254665293469.06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836147554.04999995</v>
      </c>
      <c r="Z124">
        <v>836147554.04999995</v>
      </c>
      <c r="AA124" t="str">
        <f>CashProjTable[Portfolio]&amp;CashProjTable[ProjDate]</f>
        <v>SCBFPFUND43392</v>
      </c>
    </row>
    <row r="125" spans="1:27" x14ac:dyDescent="0.2">
      <c r="A125" t="s">
        <v>350</v>
      </c>
      <c r="B125" t="s">
        <v>146</v>
      </c>
      <c r="C125" s="46">
        <v>43393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836147554.04999995</v>
      </c>
      <c r="P125" s="3">
        <v>254665293469.06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836147554.04999995</v>
      </c>
      <c r="Z125">
        <v>836147554.04999995</v>
      </c>
      <c r="AA125" t="str">
        <f>CashProjTable[Portfolio]&amp;CashProjTable[ProjDate]</f>
        <v>SCBFPFUND43393</v>
      </c>
    </row>
    <row r="126" spans="1:27" x14ac:dyDescent="0.2">
      <c r="A126" t="s">
        <v>350</v>
      </c>
      <c r="B126" t="s">
        <v>146</v>
      </c>
      <c r="C126" s="46">
        <v>43394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836147554.04999995</v>
      </c>
      <c r="P126" s="3">
        <v>254665293469.06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836147554.04999995</v>
      </c>
      <c r="Z126">
        <v>836147554.04999995</v>
      </c>
      <c r="AA126" t="str">
        <f>CashProjTable[Portfolio]&amp;CashProjTable[ProjDate]</f>
        <v>SCBFPFUND43394</v>
      </c>
    </row>
    <row r="127" spans="1:27" x14ac:dyDescent="0.2">
      <c r="A127" t="s">
        <v>350</v>
      </c>
      <c r="B127" t="s">
        <v>146</v>
      </c>
      <c r="C127" s="46">
        <v>43395</v>
      </c>
      <c r="D127">
        <v>0</v>
      </c>
      <c r="E127">
        <v>0</v>
      </c>
      <c r="F127">
        <v>3480008.22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839627562.26999998</v>
      </c>
      <c r="P127" s="3">
        <v>254665293469.06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839627562.26999998</v>
      </c>
      <c r="Z127">
        <v>836147554.04999995</v>
      </c>
      <c r="AA127" t="str">
        <f>CashProjTable[Portfolio]&amp;CashProjTable[ProjDate]</f>
        <v>SCBFPFUND43395</v>
      </c>
    </row>
    <row r="128" spans="1:27" x14ac:dyDescent="0.2">
      <c r="A128" t="s">
        <v>350</v>
      </c>
      <c r="B128" t="s">
        <v>146</v>
      </c>
      <c r="C128" s="46">
        <v>43396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839627562.26999998</v>
      </c>
      <c r="P128" s="3">
        <v>254665293469.06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839627562.26999998</v>
      </c>
      <c r="Z128">
        <v>839627562.26999998</v>
      </c>
      <c r="AA128" t="str">
        <f>CashProjTable[Portfolio]&amp;CashProjTable[ProjDate]</f>
        <v>SCBFPFUND43396</v>
      </c>
    </row>
    <row r="129" spans="1:27" x14ac:dyDescent="0.2">
      <c r="A129" t="s">
        <v>350</v>
      </c>
      <c r="B129" t="s">
        <v>146</v>
      </c>
      <c r="C129" s="46">
        <v>43397</v>
      </c>
      <c r="D129">
        <v>0</v>
      </c>
      <c r="E129">
        <v>0</v>
      </c>
      <c r="F129">
        <v>0</v>
      </c>
      <c r="G129">
        <v>0</v>
      </c>
      <c r="H129">
        <v>1153075000</v>
      </c>
      <c r="I129">
        <v>17584393.75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2010286956.02</v>
      </c>
      <c r="P129" s="3">
        <v>253512218469.06</v>
      </c>
      <c r="Q129">
        <v>0</v>
      </c>
      <c r="R129">
        <v>0</v>
      </c>
      <c r="S129">
        <v>0</v>
      </c>
      <c r="T129">
        <v>1153075000</v>
      </c>
      <c r="U129">
        <v>0</v>
      </c>
      <c r="V129">
        <v>0</v>
      </c>
      <c r="W129">
        <v>0</v>
      </c>
      <c r="X129">
        <v>0</v>
      </c>
      <c r="Y129">
        <v>2010286956.02</v>
      </c>
      <c r="Z129">
        <v>1992702562.27</v>
      </c>
      <c r="AA129" t="str">
        <f>CashProjTable[Portfolio]&amp;CashProjTable[ProjDate]</f>
        <v>SCBFPFUND43397</v>
      </c>
    </row>
    <row r="130" spans="1:27" x14ac:dyDescent="0.2">
      <c r="A130" t="s">
        <v>351</v>
      </c>
      <c r="B130" t="s">
        <v>146</v>
      </c>
      <c r="C130" s="46">
        <v>43382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6990636.3499999996</v>
      </c>
      <c r="L130">
        <v>0</v>
      </c>
      <c r="M130">
        <v>2084940.57</v>
      </c>
      <c r="N130">
        <v>0</v>
      </c>
      <c r="O130">
        <v>0</v>
      </c>
      <c r="P130" s="3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-9075576.9199999999</v>
      </c>
      <c r="Z130">
        <v>-9075576.9199999999</v>
      </c>
      <c r="AA130" t="str">
        <f>CashProjTable[Portfolio]&amp;CashProjTable[ProjDate]</f>
        <v>SCBPLUS43382</v>
      </c>
    </row>
    <row r="131" spans="1:27" x14ac:dyDescent="0.2">
      <c r="A131" t="s">
        <v>351</v>
      </c>
      <c r="B131" t="s">
        <v>146</v>
      </c>
      <c r="C131" s="46">
        <v>43383</v>
      </c>
      <c r="D131">
        <v>36092432.380000003</v>
      </c>
      <c r="E131">
        <v>0</v>
      </c>
      <c r="F131">
        <v>0</v>
      </c>
      <c r="G131">
        <v>0</v>
      </c>
      <c r="H131">
        <v>2000000</v>
      </c>
      <c r="I131">
        <v>0</v>
      </c>
      <c r="J131">
        <v>0</v>
      </c>
      <c r="K131">
        <v>10910652.74</v>
      </c>
      <c r="L131">
        <v>0</v>
      </c>
      <c r="M131">
        <v>11247941.08</v>
      </c>
      <c r="N131">
        <v>0</v>
      </c>
      <c r="O131">
        <v>3307744.37</v>
      </c>
      <c r="P131" s="3">
        <v>27724227712.610001</v>
      </c>
      <c r="Q131">
        <v>36092432.380000003</v>
      </c>
      <c r="R131">
        <v>0</v>
      </c>
      <c r="S131">
        <v>0</v>
      </c>
      <c r="T131">
        <v>2000000</v>
      </c>
      <c r="U131">
        <v>0</v>
      </c>
      <c r="V131">
        <v>0</v>
      </c>
      <c r="W131">
        <v>6990636.3499999996</v>
      </c>
      <c r="X131">
        <v>0</v>
      </c>
      <c r="Y131">
        <v>-18850849.449999999</v>
      </c>
      <c r="Z131">
        <v>-25841485.800000001</v>
      </c>
      <c r="AA131" t="str">
        <f>CashProjTable[Portfolio]&amp;CashProjTable[ProjDate]</f>
        <v>SCBPLUS43383</v>
      </c>
    </row>
    <row r="132" spans="1:27" x14ac:dyDescent="0.2">
      <c r="A132" t="s">
        <v>351</v>
      </c>
      <c r="B132" t="s">
        <v>146</v>
      </c>
      <c r="C132" s="46">
        <v>43384</v>
      </c>
      <c r="D132">
        <v>376432019.64999998</v>
      </c>
      <c r="E132">
        <v>342628000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2800000</v>
      </c>
      <c r="L132">
        <v>0</v>
      </c>
      <c r="M132">
        <v>9177699.6500000004</v>
      </c>
      <c r="N132">
        <v>0</v>
      </c>
      <c r="O132">
        <v>-18518575.629999999</v>
      </c>
      <c r="P132" s="3">
        <v>27724227712.610001</v>
      </c>
      <c r="Q132">
        <v>376432019.64999998</v>
      </c>
      <c r="R132">
        <v>342628000</v>
      </c>
      <c r="S132">
        <v>0</v>
      </c>
      <c r="T132">
        <v>0</v>
      </c>
      <c r="U132">
        <v>6990636.3499999996</v>
      </c>
      <c r="V132">
        <v>0</v>
      </c>
      <c r="W132">
        <v>10910652.74</v>
      </c>
      <c r="X132">
        <v>0</v>
      </c>
      <c r="Y132">
        <v>-30496275.280000001</v>
      </c>
      <c r="Z132">
        <v>-41406928.020000003</v>
      </c>
      <c r="AA132" t="str">
        <f>CashProjTable[Portfolio]&amp;CashProjTable[ProjDate]</f>
        <v>SCBPLUS43384</v>
      </c>
    </row>
    <row r="133" spans="1:27" x14ac:dyDescent="0.2">
      <c r="A133" t="s">
        <v>351</v>
      </c>
      <c r="B133" t="s">
        <v>146</v>
      </c>
      <c r="C133" s="46">
        <v>43385</v>
      </c>
      <c r="D133">
        <v>63197613.920000002</v>
      </c>
      <c r="E133">
        <v>0</v>
      </c>
      <c r="F133">
        <v>12723563.84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-68992625.709999993</v>
      </c>
      <c r="P133" s="3">
        <v>27724227712.610001</v>
      </c>
      <c r="Q133">
        <v>63197613.920000002</v>
      </c>
      <c r="R133">
        <v>0</v>
      </c>
      <c r="S133">
        <v>0</v>
      </c>
      <c r="T133">
        <v>0</v>
      </c>
      <c r="U133">
        <v>10910652.74</v>
      </c>
      <c r="V133">
        <v>0</v>
      </c>
      <c r="W133">
        <v>2800000</v>
      </c>
      <c r="X133">
        <v>0</v>
      </c>
      <c r="Y133">
        <v>-68992625.709999993</v>
      </c>
      <c r="Z133">
        <v>-84516189.549999997</v>
      </c>
      <c r="AA133" t="str">
        <f>CashProjTable[Portfolio]&amp;CashProjTable[ProjDate]</f>
        <v>SCBPLUS43385</v>
      </c>
    </row>
    <row r="134" spans="1:27" x14ac:dyDescent="0.2">
      <c r="A134" t="s">
        <v>351</v>
      </c>
      <c r="B134" t="s">
        <v>146</v>
      </c>
      <c r="C134" s="46">
        <v>43386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-68992625.709999993</v>
      </c>
      <c r="P134" s="3">
        <v>27724227712.610001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-68992625.709999993</v>
      </c>
      <c r="Z134">
        <v>-68992625.709999993</v>
      </c>
      <c r="AA134" t="str">
        <f>CashProjTable[Portfolio]&amp;CashProjTable[ProjDate]</f>
        <v>SCBPLUS43386</v>
      </c>
    </row>
    <row r="135" spans="1:27" x14ac:dyDescent="0.2">
      <c r="A135" t="s">
        <v>351</v>
      </c>
      <c r="B135" t="s">
        <v>146</v>
      </c>
      <c r="C135" s="46">
        <v>43387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-68992625.709999993</v>
      </c>
      <c r="P135" s="3">
        <v>27724227712.610001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-68992625.709999993</v>
      </c>
      <c r="Z135">
        <v>-68992625.709999993</v>
      </c>
      <c r="AA135" t="str">
        <f>CashProjTable[Portfolio]&amp;CashProjTable[ProjDate]</f>
        <v>SCBPLUS43387</v>
      </c>
    </row>
    <row r="136" spans="1:27" x14ac:dyDescent="0.2">
      <c r="A136" t="s">
        <v>351</v>
      </c>
      <c r="B136" t="s">
        <v>146</v>
      </c>
      <c r="C136" s="46">
        <v>43388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-68992625.709999993</v>
      </c>
      <c r="P136" s="3">
        <v>27724227712.610001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-68992625.709999993</v>
      </c>
      <c r="Z136">
        <v>-68992625.709999993</v>
      </c>
      <c r="AA136" t="str">
        <f>CashProjTable[Portfolio]&amp;CashProjTable[ProjDate]</f>
        <v>SCBPLUS43388</v>
      </c>
    </row>
    <row r="137" spans="1:27" x14ac:dyDescent="0.2">
      <c r="A137" t="s">
        <v>351</v>
      </c>
      <c r="B137" t="s">
        <v>146</v>
      </c>
      <c r="C137" s="46">
        <v>43389</v>
      </c>
      <c r="D137">
        <v>0</v>
      </c>
      <c r="E137">
        <v>50000000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-18992625.710000001</v>
      </c>
      <c r="P137" s="3">
        <v>27724227712.610001</v>
      </c>
      <c r="Q137">
        <v>0</v>
      </c>
      <c r="R137">
        <v>50000000</v>
      </c>
      <c r="S137">
        <v>0</v>
      </c>
      <c r="T137">
        <v>0</v>
      </c>
      <c r="U137">
        <v>2800000</v>
      </c>
      <c r="V137">
        <v>0</v>
      </c>
      <c r="W137">
        <v>0</v>
      </c>
      <c r="X137">
        <v>0</v>
      </c>
      <c r="Y137">
        <v>-18992625.710000001</v>
      </c>
      <c r="Z137">
        <v>-18992625.710000001</v>
      </c>
      <c r="AA137" t="str">
        <f>CashProjTable[Portfolio]&amp;CashProjTable[ProjDate]</f>
        <v>SCBPLUS43389</v>
      </c>
    </row>
    <row r="138" spans="1:27" x14ac:dyDescent="0.2">
      <c r="A138" t="s">
        <v>351</v>
      </c>
      <c r="B138" t="s">
        <v>146</v>
      </c>
      <c r="C138" s="46">
        <v>43390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-18992625.710000001</v>
      </c>
      <c r="P138" s="3">
        <v>27724227712.610001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-18992625.710000001</v>
      </c>
      <c r="Z138">
        <v>-18992625.710000001</v>
      </c>
      <c r="AA138" t="str">
        <f>CashProjTable[Portfolio]&amp;CashProjTable[ProjDate]</f>
        <v>SCBPLUS43390</v>
      </c>
    </row>
    <row r="139" spans="1:27" x14ac:dyDescent="0.2">
      <c r="A139" t="s">
        <v>351</v>
      </c>
      <c r="B139" t="s">
        <v>146</v>
      </c>
      <c r="C139" s="46">
        <v>43391</v>
      </c>
      <c r="D139">
        <v>0</v>
      </c>
      <c r="E139">
        <v>269000000</v>
      </c>
      <c r="F139">
        <v>1954438.36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251961812.65000001</v>
      </c>
      <c r="P139" s="3">
        <v>27724227712.610001</v>
      </c>
      <c r="Q139">
        <v>0</v>
      </c>
      <c r="R139">
        <v>269000000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251961812.65000001</v>
      </c>
      <c r="Z139">
        <v>250007374.28999999</v>
      </c>
      <c r="AA139" t="str">
        <f>CashProjTable[Portfolio]&amp;CashProjTable[ProjDate]</f>
        <v>SCBPLUS43391</v>
      </c>
    </row>
    <row r="140" spans="1:27" x14ac:dyDescent="0.2">
      <c r="A140" t="s">
        <v>351</v>
      </c>
      <c r="B140" t="s">
        <v>146</v>
      </c>
      <c r="C140" s="46">
        <v>43392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251961812.65000001</v>
      </c>
      <c r="P140" s="3">
        <v>27724227712.610001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251961812.65000001</v>
      </c>
      <c r="Z140">
        <v>251961812.65000001</v>
      </c>
      <c r="AA140" t="str">
        <f>CashProjTable[Portfolio]&amp;CashProjTable[ProjDate]</f>
        <v>SCBPLUS43392</v>
      </c>
    </row>
    <row r="141" spans="1:27" x14ac:dyDescent="0.2">
      <c r="A141" t="s">
        <v>351</v>
      </c>
      <c r="B141" t="s">
        <v>146</v>
      </c>
      <c r="C141" s="46">
        <v>43393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251961812.65000001</v>
      </c>
      <c r="P141" s="3">
        <v>27724227712.610001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251961812.65000001</v>
      </c>
      <c r="Z141">
        <v>251961812.65000001</v>
      </c>
      <c r="AA141" t="str">
        <f>CashProjTable[Portfolio]&amp;CashProjTable[ProjDate]</f>
        <v>SCBPLUS43393</v>
      </c>
    </row>
    <row r="142" spans="1:27" x14ac:dyDescent="0.2">
      <c r="A142" t="s">
        <v>351</v>
      </c>
      <c r="B142" t="s">
        <v>146</v>
      </c>
      <c r="C142" s="46">
        <v>43394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251961812.65000001</v>
      </c>
      <c r="P142" s="3">
        <v>27724227712.610001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251961812.65000001</v>
      </c>
      <c r="Z142">
        <v>251961812.65000001</v>
      </c>
      <c r="AA142" t="str">
        <f>CashProjTable[Portfolio]&amp;CashProjTable[ProjDate]</f>
        <v>SCBPLUS43394</v>
      </c>
    </row>
    <row r="143" spans="1:27" x14ac:dyDescent="0.2">
      <c r="A143" t="s">
        <v>351</v>
      </c>
      <c r="B143" t="s">
        <v>146</v>
      </c>
      <c r="C143" s="46">
        <v>43395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251961812.65000001</v>
      </c>
      <c r="P143" s="3">
        <v>27724227712.610001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251961812.65000001</v>
      </c>
      <c r="Z143">
        <v>251961812.65000001</v>
      </c>
      <c r="AA143" t="str">
        <f>CashProjTable[Portfolio]&amp;CashProjTable[ProjDate]</f>
        <v>SCBPLUS43395</v>
      </c>
    </row>
    <row r="144" spans="1:27" x14ac:dyDescent="0.2">
      <c r="A144" t="s">
        <v>351</v>
      </c>
      <c r="B144" t="s">
        <v>146</v>
      </c>
      <c r="C144" s="46">
        <v>43396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251961812.65000001</v>
      </c>
      <c r="P144" s="3">
        <v>27724227712.610001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251961812.65000001</v>
      </c>
      <c r="Z144">
        <v>251961812.65000001</v>
      </c>
      <c r="AA144" t="str">
        <f>CashProjTable[Portfolio]&amp;CashProjTable[ProjDate]</f>
        <v>SCBPLUS43396</v>
      </c>
    </row>
    <row r="145" spans="1:27" x14ac:dyDescent="0.2">
      <c r="A145" t="s">
        <v>351</v>
      </c>
      <c r="B145" t="s">
        <v>146</v>
      </c>
      <c r="C145" s="46">
        <v>43397</v>
      </c>
      <c r="D145">
        <v>0</v>
      </c>
      <c r="E145">
        <v>120000000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371961812.64999998</v>
      </c>
      <c r="P145" s="3">
        <v>27724227712.610001</v>
      </c>
      <c r="Q145">
        <v>0</v>
      </c>
      <c r="R145">
        <v>120000000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371961812.64999998</v>
      </c>
      <c r="Z145">
        <v>371961812.64999998</v>
      </c>
      <c r="AA145" t="str">
        <f>CashProjTable[Portfolio]&amp;CashProjTable[ProjDate]</f>
        <v>SCBPLUS43397</v>
      </c>
    </row>
    <row r="146" spans="1:27" x14ac:dyDescent="0.2">
      <c r="A146" t="s">
        <v>349</v>
      </c>
      <c r="B146" t="s">
        <v>146</v>
      </c>
      <c r="C146" s="46">
        <v>43382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6221000</v>
      </c>
      <c r="L146">
        <v>0</v>
      </c>
      <c r="M146">
        <v>0</v>
      </c>
      <c r="N146">
        <v>0</v>
      </c>
      <c r="O146">
        <v>0</v>
      </c>
      <c r="P146" s="3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-6221000</v>
      </c>
      <c r="Z146">
        <v>-6221000</v>
      </c>
      <c r="AA146" t="str">
        <f>CashProjTable[Portfolio]&amp;CashProjTable[ProjDate]</f>
        <v>SCBFIXED43382</v>
      </c>
    </row>
    <row r="147" spans="1:27" x14ac:dyDescent="0.2">
      <c r="A147" t="s">
        <v>349</v>
      </c>
      <c r="B147" t="s">
        <v>146</v>
      </c>
      <c r="C147" s="46">
        <v>43383</v>
      </c>
      <c r="D147">
        <v>0</v>
      </c>
      <c r="E147">
        <v>0</v>
      </c>
      <c r="F147">
        <v>0</v>
      </c>
      <c r="G147">
        <v>0</v>
      </c>
      <c r="H147">
        <v>2000000</v>
      </c>
      <c r="I147">
        <v>0</v>
      </c>
      <c r="J147">
        <v>0</v>
      </c>
      <c r="K147">
        <v>623500</v>
      </c>
      <c r="L147">
        <v>2114009.54</v>
      </c>
      <c r="M147">
        <v>0</v>
      </c>
      <c r="N147">
        <v>1999.88</v>
      </c>
      <c r="O147">
        <v>2750830.41</v>
      </c>
      <c r="P147" s="3">
        <v>2880523409.5500002</v>
      </c>
      <c r="Q147">
        <v>0</v>
      </c>
      <c r="R147">
        <v>0</v>
      </c>
      <c r="S147">
        <v>0</v>
      </c>
      <c r="T147">
        <v>2000000</v>
      </c>
      <c r="U147">
        <v>0</v>
      </c>
      <c r="V147">
        <v>0</v>
      </c>
      <c r="W147">
        <v>6221000</v>
      </c>
      <c r="X147">
        <v>0</v>
      </c>
      <c r="Y147">
        <v>2127330.41</v>
      </c>
      <c r="Z147">
        <v>-4093669.59</v>
      </c>
      <c r="AA147" t="str">
        <f>CashProjTable[Portfolio]&amp;CashProjTable[ProjDate]</f>
        <v>SCBFIXED43383</v>
      </c>
    </row>
    <row r="148" spans="1:27" x14ac:dyDescent="0.2">
      <c r="A148" t="s">
        <v>349</v>
      </c>
      <c r="B148" t="s">
        <v>146</v>
      </c>
      <c r="C148" s="46">
        <v>43384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2750830.41</v>
      </c>
      <c r="P148" s="3">
        <v>2880523409.5500002</v>
      </c>
      <c r="Q148">
        <v>0</v>
      </c>
      <c r="R148">
        <v>0</v>
      </c>
      <c r="S148">
        <v>0</v>
      </c>
      <c r="T148">
        <v>0</v>
      </c>
      <c r="U148">
        <v>6221000</v>
      </c>
      <c r="V148">
        <v>0</v>
      </c>
      <c r="W148">
        <v>623500</v>
      </c>
      <c r="X148">
        <v>0</v>
      </c>
      <c r="Y148">
        <v>2750830.41</v>
      </c>
      <c r="Z148">
        <v>2127330.41</v>
      </c>
      <c r="AA148" t="str">
        <f>CashProjTable[Portfolio]&amp;CashProjTable[ProjDate]</f>
        <v>SCBFIXED43384</v>
      </c>
    </row>
    <row r="149" spans="1:27" x14ac:dyDescent="0.2">
      <c r="A149" t="s">
        <v>349</v>
      </c>
      <c r="B149" t="s">
        <v>146</v>
      </c>
      <c r="C149" s="46">
        <v>43385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2750830.41</v>
      </c>
      <c r="P149" s="3">
        <v>2880523409.5500002</v>
      </c>
      <c r="Q149">
        <v>0</v>
      </c>
      <c r="R149">
        <v>0</v>
      </c>
      <c r="S149">
        <v>0</v>
      </c>
      <c r="T149">
        <v>0</v>
      </c>
      <c r="U149">
        <v>623500</v>
      </c>
      <c r="V149">
        <v>0</v>
      </c>
      <c r="W149">
        <v>0</v>
      </c>
      <c r="X149">
        <v>0</v>
      </c>
      <c r="Y149">
        <v>2750830.41</v>
      </c>
      <c r="Z149">
        <v>2750830.41</v>
      </c>
      <c r="AA149" t="str">
        <f>CashProjTable[Portfolio]&amp;CashProjTable[ProjDate]</f>
        <v>SCBFIXED43385</v>
      </c>
    </row>
    <row r="150" spans="1:27" x14ac:dyDescent="0.2">
      <c r="A150" t="s">
        <v>349</v>
      </c>
      <c r="B150" t="s">
        <v>146</v>
      </c>
      <c r="C150" s="46">
        <v>43386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2750830.41</v>
      </c>
      <c r="P150" s="3">
        <v>2880523409.5500002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2750830.41</v>
      </c>
      <c r="Z150">
        <v>2750830.41</v>
      </c>
      <c r="AA150" t="str">
        <f>CashProjTable[Portfolio]&amp;CashProjTable[ProjDate]</f>
        <v>SCBFIXED43386</v>
      </c>
    </row>
    <row r="151" spans="1:27" x14ac:dyDescent="0.2">
      <c r="A151" t="s">
        <v>349</v>
      </c>
      <c r="B151" t="s">
        <v>146</v>
      </c>
      <c r="C151" s="46">
        <v>43387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2750830.41</v>
      </c>
      <c r="P151" s="3">
        <v>2880523409.5500002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2750830.41</v>
      </c>
      <c r="Z151">
        <v>2750830.41</v>
      </c>
      <c r="AA151" t="str">
        <f>CashProjTable[Portfolio]&amp;CashProjTable[ProjDate]</f>
        <v>SCBFIXED43387</v>
      </c>
    </row>
    <row r="152" spans="1:27" x14ac:dyDescent="0.2">
      <c r="A152" t="s">
        <v>349</v>
      </c>
      <c r="B152" t="s">
        <v>146</v>
      </c>
      <c r="C152" s="46">
        <v>43388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2750830.41</v>
      </c>
      <c r="P152" s="3">
        <v>2880523409.5500002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2750830.41</v>
      </c>
      <c r="Z152">
        <v>2750830.41</v>
      </c>
      <c r="AA152" t="str">
        <f>CashProjTable[Portfolio]&amp;CashProjTable[ProjDate]</f>
        <v>SCBFIXED43388</v>
      </c>
    </row>
    <row r="153" spans="1:27" x14ac:dyDescent="0.2">
      <c r="A153" t="s">
        <v>349</v>
      </c>
      <c r="B153" t="s">
        <v>146</v>
      </c>
      <c r="C153" s="46">
        <v>43389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2750830.41</v>
      </c>
      <c r="P153" s="3">
        <v>2880523409.5500002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2750830.41</v>
      </c>
      <c r="Z153">
        <v>2750830.41</v>
      </c>
      <c r="AA153" t="str">
        <f>CashProjTable[Portfolio]&amp;CashProjTable[ProjDate]</f>
        <v>SCBFIXED43389</v>
      </c>
    </row>
    <row r="154" spans="1:27" x14ac:dyDescent="0.2">
      <c r="A154" t="s">
        <v>349</v>
      </c>
      <c r="B154" t="s">
        <v>146</v>
      </c>
      <c r="C154" s="46">
        <v>43390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2750830.41</v>
      </c>
      <c r="P154" s="3">
        <v>2880523409.5500002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2750830.41</v>
      </c>
      <c r="Z154">
        <v>2750830.41</v>
      </c>
      <c r="AA154" t="str">
        <f>CashProjTable[Portfolio]&amp;CashProjTable[ProjDate]</f>
        <v>SCBFIXED43390</v>
      </c>
    </row>
    <row r="155" spans="1:27" x14ac:dyDescent="0.2">
      <c r="A155" t="s">
        <v>349</v>
      </c>
      <c r="B155" t="s">
        <v>146</v>
      </c>
      <c r="C155" s="46">
        <v>43391</v>
      </c>
      <c r="D155">
        <v>0</v>
      </c>
      <c r="E155">
        <v>65000000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67750830.409999996</v>
      </c>
      <c r="P155" s="3">
        <v>2880523409.5500002</v>
      </c>
      <c r="Q155">
        <v>0</v>
      </c>
      <c r="R155">
        <v>65000000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67750830.409999996</v>
      </c>
      <c r="Z155">
        <v>67750830.409999996</v>
      </c>
      <c r="AA155" t="str">
        <f>CashProjTable[Portfolio]&amp;CashProjTable[ProjDate]</f>
        <v>SCBFIXED43391</v>
      </c>
    </row>
    <row r="156" spans="1:27" x14ac:dyDescent="0.2">
      <c r="A156" t="s">
        <v>349</v>
      </c>
      <c r="B156" t="s">
        <v>146</v>
      </c>
      <c r="C156" s="46">
        <v>43392</v>
      </c>
      <c r="D156">
        <v>0</v>
      </c>
      <c r="E156">
        <v>40000000</v>
      </c>
      <c r="F156">
        <v>601643.84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108352474.25</v>
      </c>
      <c r="P156" s="3">
        <v>2880523409.5500002</v>
      </c>
      <c r="Q156">
        <v>0</v>
      </c>
      <c r="R156">
        <v>40000000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108352474.25</v>
      </c>
      <c r="Z156">
        <v>107750830.41</v>
      </c>
      <c r="AA156" t="str">
        <f>CashProjTable[Portfolio]&amp;CashProjTable[ProjDate]</f>
        <v>SCBFIXED43392</v>
      </c>
    </row>
    <row r="157" spans="1:27" x14ac:dyDescent="0.2">
      <c r="A157" t="s">
        <v>349</v>
      </c>
      <c r="B157" t="s">
        <v>146</v>
      </c>
      <c r="C157" s="46">
        <v>43393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108352474.25</v>
      </c>
      <c r="P157" s="3">
        <v>2880523409.5500002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108352474.25</v>
      </c>
      <c r="Z157">
        <v>108352474.25</v>
      </c>
      <c r="AA157" t="str">
        <f>CashProjTable[Portfolio]&amp;CashProjTable[ProjDate]</f>
        <v>SCBFIXED43393</v>
      </c>
    </row>
    <row r="158" spans="1:27" x14ac:dyDescent="0.2">
      <c r="A158" t="s">
        <v>349</v>
      </c>
      <c r="B158" t="s">
        <v>146</v>
      </c>
      <c r="C158" s="46">
        <v>43394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108352474.25</v>
      </c>
      <c r="P158" s="3">
        <v>2880523409.5500002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108352474.25</v>
      </c>
      <c r="Z158">
        <v>108352474.25</v>
      </c>
      <c r="AA158" t="str">
        <f>CashProjTable[Portfolio]&amp;CashProjTable[ProjDate]</f>
        <v>SCBFIXED43394</v>
      </c>
    </row>
    <row r="159" spans="1:27" x14ac:dyDescent="0.2">
      <c r="A159" t="s">
        <v>349</v>
      </c>
      <c r="B159" t="s">
        <v>146</v>
      </c>
      <c r="C159" s="46">
        <v>43395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108352474.25</v>
      </c>
      <c r="P159" s="3">
        <v>2880523409.5500002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108352474.25</v>
      </c>
      <c r="Z159">
        <v>108352474.25</v>
      </c>
      <c r="AA159" t="str">
        <f>CashProjTable[Portfolio]&amp;CashProjTable[ProjDate]</f>
        <v>SCBFIXED43395</v>
      </c>
    </row>
    <row r="160" spans="1:27" x14ac:dyDescent="0.2">
      <c r="A160" t="s">
        <v>349</v>
      </c>
      <c r="B160" t="s">
        <v>146</v>
      </c>
      <c r="C160" s="46">
        <v>43396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108352474.25</v>
      </c>
      <c r="P160" s="3">
        <v>2880523409.5500002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108352474.25</v>
      </c>
      <c r="Z160">
        <v>108352474.25</v>
      </c>
      <c r="AA160" t="str">
        <f>CashProjTable[Portfolio]&amp;CashProjTable[ProjDate]</f>
        <v>SCBFIXED43396</v>
      </c>
    </row>
    <row r="161" spans="1:27" x14ac:dyDescent="0.2">
      <c r="A161" t="s">
        <v>349</v>
      </c>
      <c r="B161" t="s">
        <v>146</v>
      </c>
      <c r="C161" s="46">
        <v>43397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108352474.25</v>
      </c>
      <c r="P161" s="3">
        <v>2880523409.5500002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108352474.25</v>
      </c>
      <c r="Z161">
        <v>108352474.25</v>
      </c>
      <c r="AA161" t="str">
        <f>CashProjTable[Portfolio]&amp;CashProjTable[ProjDate]</f>
        <v>SCBFIXED43397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25CDB-3522-4889-945A-9DD361E7AE06}">
  <sheetPr codeName="Sheet8">
    <tabColor rgb="FF92D050"/>
  </sheetPr>
  <dimension ref="A1:AG62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8" sqref="C8"/>
    </sheetView>
  </sheetViews>
  <sheetFormatPr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TODAY()</f>
        <v>43384</v>
      </c>
    </row>
    <row r="3" spans="1:33" x14ac:dyDescent="0.2">
      <c r="A3" s="14" t="s">
        <v>17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 t="shared" ref="D5:J5" si="0">[1]!SCBAM_NextBusinessDay(C5)</f>
        <v>43384</v>
      </c>
      <c r="E5" s="16">
        <f t="shared" si="0"/>
        <v>43385</v>
      </c>
      <c r="F5" s="16">
        <f t="shared" si="0"/>
        <v>43389</v>
      </c>
      <c r="G5" s="16">
        <f t="shared" si="0"/>
        <v>43390</v>
      </c>
      <c r="H5" s="16">
        <f t="shared" si="0"/>
        <v>43391</v>
      </c>
      <c r="I5" s="16">
        <f t="shared" si="0"/>
        <v>43392</v>
      </c>
      <c r="J5" s="16">
        <f t="shared" si="0"/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680634442.10000002</v>
      </c>
      <c r="C6" s="21">
        <v>67339335.709999993</v>
      </c>
      <c r="D6" s="21">
        <f ca="1">IF(AND(ISNUMBER(C48),ISNUMBER(C49)),IF(D5&lt;=TODAY(),C49,C48),INDEX(CashProjTable[CashBal],MATCH($A$3&amp;[1]!SCBAM_PreviousBusinessDay(D$5),CashProjTable[RefRng],0)))</f>
        <v>174353393.44999999</v>
      </c>
      <c r="E6" s="21">
        <f ca="1">IF(AND(ISNUMBER(D48),ISNUMBER(D49)),IF(E5&lt;=TODAY(),D49,D48),INDEX(CashProjTable[CashBal],MATCH($A$3&amp;[1]!SCBAM_PreviousBusinessDay(E$5),CashProjTable[RefRng],0)))</f>
        <v>1411952109.79</v>
      </c>
      <c r="F6" s="21">
        <f ca="1">IF(AND(ISNUMBER(E48),ISNUMBER(E49)),IF(F5&lt;=TODAY(),E49,E48),INDEX(CashProjTable[CashBal],MATCH($A$3&amp;[1]!SCBAM_PreviousBusinessDay(F$5),CashProjTable[RefRng],0)))</f>
        <v>-2178351706.3899994</v>
      </c>
      <c r="G6" s="21">
        <f ca="1">IF(AND(ISNUMBER(F48),ISNUMBER(F49)),IF(G5&lt;=TODAY(),F49,F48),INDEX(CashProjTable[CashBal],MATCH($A$3&amp;[1]!SCBAM_PreviousBusinessDay(G$5),CashProjTable[RefRng],0)))</f>
        <v>-1975125851.0799994</v>
      </c>
      <c r="H6" s="21">
        <f ca="1">IF(AND(ISNUMBER(G48),ISNUMBER(G49)),IF(H5&lt;=TODAY(),G49,G48),INDEX(CashProjTable[CashBal],MATCH($A$3&amp;[1]!SCBAM_PreviousBusinessDay(H$5),CashProjTable[RefRng],0)))</f>
        <v>-1954613982.3999994</v>
      </c>
      <c r="I6" s="21">
        <f ca="1">IF(AND(ISNUMBER(H48),ISNUMBER(H49)),IF(I5&lt;=TODAY(),H49,H48),INDEX(CashProjTable[CashBal],MATCH($A$3&amp;[1]!SCBAM_PreviousBusinessDay(I$5),CashProjTable[RefRng],0)))</f>
        <v>1539635947.4700005</v>
      </c>
      <c r="J6" s="21">
        <f ca="1">IF(AND(ISNUMBER(I48),ISNUMBER(I49)),IF(J5&lt;=TODAY(),I49,I48),INDEX(CashProjTable[CashBal],MATCH($A$3&amp;[1]!SCBAM_PreviousBusinessDay(J$5),CashProjTable[RefRng],0)))</f>
        <v>1543043610.2800004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881</v>
      </c>
      <c r="B9" s="24">
        <v>342790.48</v>
      </c>
      <c r="C9" s="24">
        <v>342790.48</v>
      </c>
      <c r="D9" s="24">
        <f ca="1">IF(D5&gt;TODAY(),C$11,[1]!SCBAM_GetSecDtl($A$3,"-SACON SFF",D$5,"MarketVal"))</f>
        <v>0</v>
      </c>
      <c r="E9" s="24">
        <f ca="1">IF(E5&gt;TODAY(),D$11,[1]!SCBAM_GetSecDtl($A$3,"-SACON SFF",E$5,"MarketVal"))</f>
        <v>0</v>
      </c>
      <c r="F9" s="24">
        <f ca="1">IF(F5&gt;TODAY(),E$11,[1]!SCBAM_GetSecDtl($A$3,"-SACON SFF",F$5,"MarketVal"))</f>
        <v>0</v>
      </c>
      <c r="G9" s="24">
        <f ca="1">IF(G5&gt;TODAY(),F$11,[1]!SCBAM_GetSecDtl($A$3,"-SACON SFF",G$5,"MarketVal"))</f>
        <v>0</v>
      </c>
      <c r="H9" s="24">
        <f ca="1">IF(H5&gt;TODAY(),G$11,[1]!SCBAM_GetSecDtl($A$3,"-SACON SFF",H$5,"MarketVal"))</f>
        <v>0</v>
      </c>
      <c r="I9" s="24">
        <f ca="1">IF(I5&gt;TODAY(),H$11,[1]!SCBAM_GetSecDtl($A$3,"-SACON SFF",I$5,"MarketVal"))</f>
        <v>0</v>
      </c>
      <c r="J9" s="24">
        <f ca="1">IF(J5&gt;TODAY(),I$11,[1]!SCBAM_GetSecDtl($A$3,"-SACON SFF",J$5,"MarketVal"))</f>
        <v>0</v>
      </c>
      <c r="K9" s="24"/>
      <c r="L9" s="24"/>
    </row>
    <row r="10" spans="1:33" s="28" customFormat="1" hidden="1" outlineLevel="1" x14ac:dyDescent="0.2">
      <c r="A10" s="27" t="s">
        <v>882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</row>
    <row r="11" spans="1:33" s="53" customFormat="1" hidden="1" outlineLevel="1" x14ac:dyDescent="0.2">
      <c r="A11" s="51" t="s">
        <v>880</v>
      </c>
      <c r="B11" s="52">
        <v>342790.48</v>
      </c>
      <c r="C11" s="52">
        <v>342790.48</v>
      </c>
      <c r="D11" s="52">
        <f t="shared" ref="D11:J11" ca="1" si="1">D9+D10</f>
        <v>0</v>
      </c>
      <c r="E11" s="52">
        <f t="shared" ca="1" si="1"/>
        <v>0</v>
      </c>
      <c r="F11" s="52">
        <f t="shared" ref="F11:H11" ca="1" si="2">F9+F10</f>
        <v>0</v>
      </c>
      <c r="G11" s="52">
        <f t="shared" ca="1" si="2"/>
        <v>0</v>
      </c>
      <c r="H11" s="52">
        <f t="shared" ca="1" si="2"/>
        <v>0</v>
      </c>
      <c r="I11" s="52">
        <f t="shared" ca="1" si="1"/>
        <v>0</v>
      </c>
      <c r="J11" s="52">
        <f t="shared" ca="1" si="1"/>
        <v>0</v>
      </c>
      <c r="K11" s="52"/>
      <c r="L11" s="52"/>
    </row>
    <row r="12" spans="1:33" s="28" customFormat="1" hidden="1" outlineLevel="1" x14ac:dyDescent="0.2">
      <c r="A12" s="27" t="s">
        <v>883</v>
      </c>
      <c r="B12" s="24">
        <v>66996545.229999997</v>
      </c>
      <c r="C12" s="24">
        <v>165105488.38999999</v>
      </c>
      <c r="D12" s="24">
        <f ca="1">IF(D5&gt;=TODAY(),C$14,[1]!SCBAM_GetSecDtl($A$3,"CASH",D$5,"MarketVal"))</f>
        <v>165105488.38999999</v>
      </c>
      <c r="E12" s="24">
        <f ca="1">IF(E5&gt;=TODAY(),D$14,[1]!SCBAM_GetSecDtl($A$3,"CASH",E$5-1,"MarketVal"))</f>
        <v>165105488.38999999</v>
      </c>
      <c r="F12" s="24">
        <f ca="1">IF(F5&gt;=TODAY(),E$14,[1]!SCBAM_GetSecDtl($A$3,"CASH",F$5-1,"MarketVal"))</f>
        <v>165105488.38999999</v>
      </c>
      <c r="G12" s="24">
        <f ca="1">IF(G5&gt;=TODAY(),F$14,[1]!SCBAM_GetSecDtl($A$3,"CASH",G$5-1,"MarketVal"))</f>
        <v>165105488.38999999</v>
      </c>
      <c r="H12" s="24">
        <f ca="1">IF(H5&gt;=TODAY(),G$14,[1]!SCBAM_GetSecDtl($A$3,"CASH",H$5-1,"MarketVal"))</f>
        <v>165105488.38999999</v>
      </c>
      <c r="I12" s="24">
        <f ca="1">IF(I5&gt;=TODAY(),H$14,[1]!SCBAM_GetSecDtl($A$3,"CASH",I$5-1,"MarketVal"))</f>
        <v>165105488.38999999</v>
      </c>
      <c r="J12" s="24">
        <f ca="1">IF(J5&gt;=TODAY(),I$14,[1]!SCBAM_GetSecDtl($A$3,"CASH",J$5-1,"MarketVal"))</f>
        <v>165105488.38999999</v>
      </c>
      <c r="K12" s="24"/>
      <c r="L12" s="24"/>
    </row>
    <row r="13" spans="1:33" s="28" customFormat="1" hidden="1" outlineLevel="1" x14ac:dyDescent="0.2">
      <c r="A13" s="27" t="s">
        <v>884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</row>
    <row r="14" spans="1:33" s="56" customFormat="1" hidden="1" outlineLevel="1" x14ac:dyDescent="0.2">
      <c r="A14" s="54" t="s">
        <v>885</v>
      </c>
      <c r="B14" s="55">
        <v>66996545.229999997</v>
      </c>
      <c r="C14" s="55">
        <v>165105488.38999999</v>
      </c>
      <c r="D14" s="55">
        <f t="shared" ref="D14:J14" ca="1" si="3">D12+D13</f>
        <v>165105488.38999999</v>
      </c>
      <c r="E14" s="55">
        <f t="shared" ca="1" si="3"/>
        <v>165105488.38999999</v>
      </c>
      <c r="F14" s="55">
        <f t="shared" ref="F14:H14" ca="1" si="4">F12+F13</f>
        <v>165105488.38999999</v>
      </c>
      <c r="G14" s="55">
        <f t="shared" ca="1" si="4"/>
        <v>165105488.38999999</v>
      </c>
      <c r="H14" s="55">
        <f t="shared" ca="1" si="4"/>
        <v>165105488.38999999</v>
      </c>
      <c r="I14" s="55">
        <f t="shared" ca="1" si="3"/>
        <v>165105488.38999999</v>
      </c>
      <c r="J14" s="55">
        <f t="shared" ca="1" si="3"/>
        <v>165105488.38999999</v>
      </c>
      <c r="K14" s="55"/>
      <c r="L14" s="55"/>
    </row>
    <row r="15" spans="1:33" s="28" customFormat="1" hidden="1" outlineLevel="1" x14ac:dyDescent="0.2">
      <c r="A15" s="27" t="s">
        <v>886</v>
      </c>
      <c r="B15" s="24">
        <v>497966.31</v>
      </c>
      <c r="C15" s="24">
        <v>497966.31</v>
      </c>
      <c r="D15" s="24">
        <f ca="1">IF(D5&gt;=TODAY(),C$17,[1]!SCBAM_GetSecDtl($A$3,"INVSUOBTsff",D$5,"MarketVal"))</f>
        <v>497966.31</v>
      </c>
      <c r="E15" s="24">
        <f ca="1">IF(E5&gt;=TODAY(),D$17,[1]!SCBAM_GetSecDtl($A$3,"INVSUOBTsff",E$5,"MarketVal"))</f>
        <v>497966.31</v>
      </c>
      <c r="F15" s="24">
        <f ca="1">IF(F5&gt;=TODAY(),E$17,[1]!SCBAM_GetSecDtl($A$3,"INVSUOBTsff",F$5,"MarketVal"))</f>
        <v>497966.31</v>
      </c>
      <c r="G15" s="24">
        <f ca="1">IF(G5&gt;=TODAY(),F$17,[1]!SCBAM_GetSecDtl($A$3,"INVSUOBTsff",G$5,"MarketVal"))</f>
        <v>497966.31</v>
      </c>
      <c r="H15" s="24">
        <f ca="1">IF(H5&gt;=TODAY(),G$17,[1]!SCBAM_GetSecDtl($A$3,"INVSUOBTsff",H$5,"MarketVal"))</f>
        <v>497966.31</v>
      </c>
      <c r="I15" s="24">
        <f ca="1">IF(I5&gt;=TODAY(),H$17,[1]!SCBAM_GetSecDtl($A$3,"INVSUOBTsff",I$5,"MarketVal"))</f>
        <v>497966.31</v>
      </c>
      <c r="J15" s="24">
        <f ca="1">IF(J5&gt;=TODAY(),I$17,[1]!SCBAM_GetSecDtl($A$3,"INVSUOBTsff",J$5,"MarketVal"))</f>
        <v>497966.31</v>
      </c>
      <c r="K15" s="24"/>
      <c r="L15" s="24"/>
    </row>
    <row r="16" spans="1:33" s="28" customFormat="1" hidden="1" outlineLevel="1" x14ac:dyDescent="0.2">
      <c r="A16" s="27" t="s">
        <v>887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</row>
    <row r="17" spans="1:12" s="59" customFormat="1" hidden="1" outlineLevel="1" x14ac:dyDescent="0.2">
      <c r="A17" s="57" t="s">
        <v>888</v>
      </c>
      <c r="B17" s="58">
        <v>497966.31</v>
      </c>
      <c r="C17" s="58">
        <v>497966.31</v>
      </c>
      <c r="D17" s="58">
        <f t="shared" ref="D17:J17" ca="1" si="5">D15+D16</f>
        <v>497966.31</v>
      </c>
      <c r="E17" s="58">
        <f t="shared" ca="1" si="5"/>
        <v>497966.31</v>
      </c>
      <c r="F17" s="58">
        <f t="shared" ref="F17:H17" ca="1" si="6">F15+F16</f>
        <v>497966.31</v>
      </c>
      <c r="G17" s="58">
        <f t="shared" ca="1" si="6"/>
        <v>497966.31</v>
      </c>
      <c r="H17" s="58">
        <f t="shared" ca="1" si="6"/>
        <v>497966.31</v>
      </c>
      <c r="I17" s="58">
        <f t="shared" ca="1" si="5"/>
        <v>497966.31</v>
      </c>
      <c r="J17" s="58">
        <f t="shared" ca="1" si="5"/>
        <v>497966.31</v>
      </c>
      <c r="K17" s="58"/>
      <c r="L17" s="58"/>
    </row>
    <row r="18" spans="1:12" s="31" customFormat="1" ht="13.5" collapsed="1" thickBot="1" x14ac:dyDescent="0.25">
      <c r="A18" s="29" t="s">
        <v>362</v>
      </c>
      <c r="B18" s="30">
        <v>67837302.019999996</v>
      </c>
      <c r="C18" s="30">
        <v>165946245.17999998</v>
      </c>
      <c r="D18" s="30">
        <f t="shared" ref="D18:J18" ca="1" si="7">D11+D14+D17</f>
        <v>165603454.69999999</v>
      </c>
      <c r="E18" s="30">
        <f t="shared" ca="1" si="7"/>
        <v>165603454.69999999</v>
      </c>
      <c r="F18" s="30">
        <f t="shared" ref="F18:H18" ca="1" si="8">F11+F14+F17</f>
        <v>165603454.69999999</v>
      </c>
      <c r="G18" s="30">
        <f t="shared" ca="1" si="8"/>
        <v>165603454.69999999</v>
      </c>
      <c r="H18" s="30">
        <f t="shared" ca="1" si="8"/>
        <v>165603454.69999999</v>
      </c>
      <c r="I18" s="30">
        <f t="shared" ca="1" si="7"/>
        <v>165603454.69999999</v>
      </c>
      <c r="J18" s="30">
        <f t="shared" ca="1" si="7"/>
        <v>165603454.69999999</v>
      </c>
      <c r="K18" s="30"/>
      <c r="L18" s="30"/>
    </row>
    <row r="19" spans="1:12" s="23" customFormat="1" ht="13.15" hidden="1" customHeight="1" outlineLevel="1" x14ac:dyDescent="0.2"/>
    <row r="20" spans="1:12" s="32" customFormat="1" hidden="1" outlineLevel="1" x14ac:dyDescent="0.2">
      <c r="A20" s="32" t="s">
        <v>364</v>
      </c>
    </row>
    <row r="21" spans="1:12" collapsed="1" x14ac:dyDescent="0.2"/>
    <row r="22" spans="1:12" s="26" customFormat="1" x14ac:dyDescent="0.2">
      <c r="A22" s="25" t="s">
        <v>363</v>
      </c>
    </row>
    <row r="23" spans="1:12" s="23" customFormat="1" x14ac:dyDescent="0.2">
      <c r="A23" s="33" t="s">
        <v>365</v>
      </c>
      <c r="B23" s="34">
        <v>196620299.34</v>
      </c>
      <c r="C23" s="34">
        <v>72067303.459999993</v>
      </c>
      <c r="D23" s="64">
        <f>IFERROR(INDEX(CashIntraTable[Amount],MATCH($A$3&amp;D$5&amp;$A58,CashIntraTable[RefRng],0)),0)</f>
        <v>120273683.88</v>
      </c>
      <c r="E23" s="65">
        <f>IFERROR(INDEX(CashIntraTable[Amount],MATCH($A$3&amp;E$5&amp;$A58,CashIntraTable[RefRng],0)),0)</f>
        <v>5181216</v>
      </c>
      <c r="F23" s="34">
        <f>IFERROR(INDEX(CashIntraTable[Amount],MATCH($A$3&amp;F$5&amp;$A58,CashIntraTable[RefRng],0)),0)</f>
        <v>0</v>
      </c>
      <c r="G23" s="34">
        <f>IFERROR(INDEX(CashIntraTable[Amount],MATCH($A$3&amp;G$5&amp;$A58,CashIntraTable[RefRng],0)),0)</f>
        <v>0</v>
      </c>
      <c r="H23" s="34">
        <f>IFERROR(INDEX(CashIntraTable[Amount],MATCH($A$3&amp;H$5&amp;$A58,CashIntraTable[RefRng],0)),0)</f>
        <v>0</v>
      </c>
      <c r="I23" s="34">
        <f>IFERROR(INDEX(CashIntraTable[Amount],MATCH($A$3&amp;I$5&amp;$A58,CashIntraTable[RefRng],0)),0)</f>
        <v>0</v>
      </c>
      <c r="J23" s="34">
        <f>IFERROR(INDEX(CashIntraTable[Amount],MATCH($A$3&amp;J$5&amp;$A58,CashIntraTable[RefRng],0)),0)</f>
        <v>0</v>
      </c>
      <c r="K23" s="34"/>
      <c r="L23" s="34"/>
    </row>
    <row r="24" spans="1:12" s="23" customFormat="1" x14ac:dyDescent="0.2">
      <c r="A24" s="33" t="s">
        <v>367</v>
      </c>
      <c r="B24" s="34">
        <v>23562500</v>
      </c>
      <c r="C24" s="34">
        <v>15100000</v>
      </c>
      <c r="D24" s="64">
        <f>IFERROR(INDEX(CashIntraTable[Amount],MATCH($A$3&amp;D$5&amp;$A59,CashIntraTable[RefRng],0)),0)</f>
        <v>3150000</v>
      </c>
      <c r="E24" s="65">
        <f>IFERROR(INDEX(CashIntraTable[Amount],MATCH($A$3&amp;E$5&amp;$A59,CashIntraTable[RefRng],0)),0)</f>
        <v>0</v>
      </c>
      <c r="F24" s="34">
        <f>IFERROR(INDEX(CashIntraTable[Amount],MATCH($A$3&amp;F$5&amp;$A59,CashIntraTable[RefRng],0)),0)</f>
        <v>0</v>
      </c>
      <c r="G24" s="34">
        <f>IFERROR(INDEX(CashIntraTable[Amount],MATCH($A$3&amp;G$5&amp;$A59,CashIntraTable[RefRng],0)),0)</f>
        <v>0</v>
      </c>
      <c r="H24" s="34">
        <f>IFERROR(INDEX(CashIntraTable[Amount],MATCH($A$3&amp;H$5&amp;$A59,CashIntraTable[RefRng],0)),0)</f>
        <v>0</v>
      </c>
      <c r="I24" s="34">
        <f>IFERROR(INDEX(CashIntraTable[Amount],MATCH($A$3&amp;I$5&amp;$A59,CashIntraTable[RefRng],0)),0)</f>
        <v>0</v>
      </c>
      <c r="J24" s="34">
        <f>IFERROR(INDEX(CashIntraTable[Amount],MATCH($A$3&amp;J$5&amp;$A59,CashIntraTable[RefRng],0)),0)</f>
        <v>0</v>
      </c>
      <c r="K24" s="34"/>
      <c r="L24" s="34"/>
    </row>
    <row r="25" spans="1:12" s="23" customFormat="1" x14ac:dyDescent="0.2">
      <c r="A25" s="33" t="s">
        <v>366</v>
      </c>
      <c r="B25" s="34">
        <v>48194687.659999996</v>
      </c>
      <c r="C25" s="34">
        <v>17405878.710000001</v>
      </c>
      <c r="D25" s="64">
        <f>IFERROR(INDEX(CashIntraTable[Amount],MATCH($A$3&amp;D$5&amp;$A60,CashIntraTable[RefRng],0)),0)</f>
        <v>27915467.170000002</v>
      </c>
      <c r="E25" s="65">
        <f>IFERROR(INDEX(CashIntraTable[Amount],MATCH($A$3&amp;E$5&amp;$A60,CashIntraTable[RefRng],0)),0)</f>
        <v>36044416.640000001</v>
      </c>
      <c r="F25" s="34">
        <f>IFERROR(INDEX(CashIntraTable[Amount],MATCH($A$3&amp;F$5&amp;$A60,CashIntraTable[RefRng],0)),0)</f>
        <v>9597507.3100000005</v>
      </c>
      <c r="G25" s="34">
        <f>IFERROR(INDEX(CashIntraTable[Amount],MATCH($A$3&amp;G$5&amp;$A60,CashIntraTable[RefRng],0)),0)</f>
        <v>20511868.68</v>
      </c>
      <c r="H25" s="34">
        <f>IFERROR(INDEX(CashIntraTable[Amount],MATCH($A$3&amp;H$5&amp;$A60,CashIntraTable[RefRng],0)),0)</f>
        <v>249929.87</v>
      </c>
      <c r="I25" s="34">
        <f>IFERROR(INDEX(CashIntraTable[Amount],MATCH($A$3&amp;I$5&amp;$A60,CashIntraTable[RefRng],0)),0)</f>
        <v>3407662.81</v>
      </c>
      <c r="J25" s="34">
        <f>IFERROR(INDEX(CashIntraTable[Amount],MATCH($A$3&amp;J$5&amp;$A60,CashIntraTable[RefRng],0)),0)</f>
        <v>0</v>
      </c>
      <c r="K25" s="34"/>
      <c r="L25" s="34"/>
    </row>
    <row r="26" spans="1:12" s="23" customFormat="1" x14ac:dyDescent="0.2">
      <c r="A26" s="33" t="s">
        <v>368</v>
      </c>
      <c r="B26" s="34">
        <v>0</v>
      </c>
      <c r="C26" s="34">
        <v>0</v>
      </c>
      <c r="D26" s="64">
        <v>0</v>
      </c>
      <c r="E26" s="65">
        <v>0</v>
      </c>
      <c r="F26" s="34">
        <v>0</v>
      </c>
      <c r="G26" s="34">
        <v>0</v>
      </c>
      <c r="H26" s="34">
        <v>0</v>
      </c>
      <c r="I26" s="34">
        <v>0</v>
      </c>
      <c r="J26" s="34">
        <v>0</v>
      </c>
      <c r="K26" s="34"/>
      <c r="L26" s="34"/>
    </row>
    <row r="27" spans="1:12" s="23" customFormat="1" x14ac:dyDescent="0.2">
      <c r="A27" s="27" t="s">
        <v>369</v>
      </c>
      <c r="B27" s="34">
        <v>1282000000</v>
      </c>
      <c r="C27" s="34">
        <v>450695082.70999998</v>
      </c>
      <c r="D27" s="34">
        <f>IFERROR(INDEX(CashProjTable[DebtSell_BahtNet],MATCH($A$3&amp;D$5,CashProjTable[RefRng],0))+SUMIFS(IntraTrans[Net Settlement],IntraTrans[Portfolio],$A$3,IntraTrans[B/S],"S",IntraTrans[Settle Date],D$5,IntraTrans[Payment],"BAHTNET"),0)</f>
        <v>4620000000</v>
      </c>
      <c r="E27" s="34">
        <f>IFERROR(INDEX(CashProjTable[DebtSell_BahtNet],MATCH($A$3&amp;E$5,CashProjTable[RefRng],0))+SUMIFS(IntraTrans[Net Settlement],IntraTrans[Portfolio],$A$3,IntraTrans[B/S],"S",IntraTrans[Settle Date],E$5,IntraTrans[Payment],"BAHTNET"),0)</f>
        <v>0</v>
      </c>
      <c r="F27" s="34">
        <f>IFERROR(INDEX(CashProjTable[DebtSell_BahtNet],MATCH($A$3&amp;F$5,CashProjTable[RefRng],0))+SUMIFS(IntraTrans[Net Settlement],IntraTrans[Portfolio],$A$3,IntraTrans[B/S],"S",IntraTrans[Settle Date],F$5,IntraTrans[Payment],"BAHTNET"),0)</f>
        <v>144000000</v>
      </c>
      <c r="G27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7" s="34">
        <f>IFERROR(INDEX(CashProjTable[DebtSell_BahtNet],MATCH($A$3&amp;H$5,CashProjTable[RefRng],0))+SUMIFS(IntraTrans[Net Settlement],IntraTrans[Portfolio],$A$3,IntraTrans[B/S],"S",IntraTrans[Settle Date],H$5,IntraTrans[Payment],"BAHTNET"),0)</f>
        <v>3494000000</v>
      </c>
      <c r="I27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7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7" s="34"/>
      <c r="L27" s="34"/>
    </row>
    <row r="28" spans="1:12" s="23" customFormat="1" x14ac:dyDescent="0.2">
      <c r="A28" s="27" t="s">
        <v>370</v>
      </c>
      <c r="B28" s="34">
        <v>1700000000</v>
      </c>
      <c r="C28" s="34">
        <v>0</v>
      </c>
      <c r="D28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8" s="34">
        <f>IFERROR((INDEX(CashProjTable[DebtSell],MATCH($A$3&amp;E$5,CashProjTable[RefRng],0))-INDEX(CashProjTable[DebtSell_BahtNet],MATCH($A$3&amp;E$5,CashProjTable[RefRng],0)))+SUMIFS(IntraTrans[Net Settlement],IntraTrans[Portfolio],$A$3,IntraTrans[B/S],"S",IntraTrans[Settle Date],E$5,IntraTrans[Payment],"CHEQUE"),0)</f>
        <v>0</v>
      </c>
      <c r="F28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8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8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8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8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8" s="34"/>
      <c r="L28" s="34"/>
    </row>
    <row r="29" spans="1:12" s="23" customFormat="1" x14ac:dyDescent="0.2">
      <c r="A29" s="27" t="s">
        <v>371</v>
      </c>
      <c r="B29" s="34">
        <v>0</v>
      </c>
      <c r="C29" s="34">
        <v>0</v>
      </c>
      <c r="D29" s="34">
        <f t="shared" ref="D29:J29" si="9">IF(D$13&lt;0,-D$13,0)+IF(D$16&lt;0,-D$16,0)+IF(D$10&lt;0,-D$10,0)</f>
        <v>0</v>
      </c>
      <c r="E29" s="34">
        <f t="shared" si="9"/>
        <v>0</v>
      </c>
      <c r="F29" s="34">
        <f t="shared" si="9"/>
        <v>0</v>
      </c>
      <c r="G29" s="34">
        <f t="shared" si="9"/>
        <v>0</v>
      </c>
      <c r="H29" s="34">
        <f t="shared" si="9"/>
        <v>0</v>
      </c>
      <c r="I29" s="34">
        <f t="shared" si="9"/>
        <v>0</v>
      </c>
      <c r="J29" s="34">
        <f t="shared" si="9"/>
        <v>0</v>
      </c>
      <c r="K29" s="34"/>
      <c r="L29" s="34"/>
    </row>
    <row r="30" spans="1:12" s="23" customFormat="1" x14ac:dyDescent="0.2">
      <c r="A30" s="27" t="s">
        <v>372</v>
      </c>
      <c r="B30" s="34">
        <v>0</v>
      </c>
      <c r="C30" s="34">
        <v>0</v>
      </c>
      <c r="D30" s="34">
        <v>0</v>
      </c>
      <c r="E30" s="34">
        <v>0</v>
      </c>
      <c r="F30" s="34">
        <v>0</v>
      </c>
      <c r="G30" s="34">
        <v>0</v>
      </c>
      <c r="H30" s="34">
        <v>0</v>
      </c>
      <c r="I30" s="34">
        <v>0</v>
      </c>
      <c r="J30" s="34">
        <v>0</v>
      </c>
      <c r="K30" s="34"/>
      <c r="L30" s="34"/>
    </row>
    <row r="31" spans="1:12" s="23" customFormat="1" x14ac:dyDescent="0.2">
      <c r="A31" s="27" t="s">
        <v>373</v>
      </c>
      <c r="B31" s="34">
        <v>68458.73</v>
      </c>
      <c r="C31" s="34">
        <v>34230.410000000003</v>
      </c>
      <c r="D31" s="34">
        <f>IFERROR(INDEX(CashProjTable[DebtInterest],MATCH($A$3&amp;D$5,CashProjTable[RefRng],0)),0)</f>
        <v>0</v>
      </c>
      <c r="E31" s="34">
        <f>IFERROR(INDEX(CashProjTable[DebtInterest],MATCH($A$3&amp;E$5,CashProjTable[RefRng],0)),0)</f>
        <v>0</v>
      </c>
      <c r="F31" s="34">
        <f>IFERROR(INDEX(CashProjTable[DebtInterest],MATCH($A$3&amp;F$5,CashProjTable[RefRng],0)),0)</f>
        <v>0</v>
      </c>
      <c r="G31" s="34">
        <f>IFERROR(INDEX(CashProjTable[DebtInterest],MATCH($A$3&amp;G$5,CashProjTable[RefRng],0)),0)</f>
        <v>0</v>
      </c>
      <c r="H31" s="34">
        <f>IFERROR(INDEX(CashProjTable[DebtInterest],MATCH($A$3&amp;H$5,CashProjTable[RefRng],0)),0)</f>
        <v>0</v>
      </c>
      <c r="I31" s="34">
        <f>IFERROR(INDEX(CashProjTable[DebtInterest],MATCH($A$3&amp;I$5,CashProjTable[RefRng],0)),0)</f>
        <v>0</v>
      </c>
      <c r="J31" s="34">
        <f>IFERROR(INDEX(CashProjTable[DebtInterest],MATCH($A$3&amp;J$5,CashProjTable[RefRng],0)),0)</f>
        <v>0</v>
      </c>
      <c r="K31" s="34"/>
      <c r="L31" s="34"/>
    </row>
    <row r="32" spans="1:12" s="23" customFormat="1" x14ac:dyDescent="0.2">
      <c r="A32" s="27" t="s">
        <v>374</v>
      </c>
      <c r="B32" s="34">
        <v>0</v>
      </c>
      <c r="C32" s="34">
        <v>0</v>
      </c>
      <c r="D32" s="34">
        <f>IFERROR(INDEX(CashProjTable[CashEqInterest],MATCH($A$3&amp;D$5,CashProjTable[RefRng],0)),0)</f>
        <v>0</v>
      </c>
      <c r="E32" s="34">
        <f>IFERROR(INDEX(CashProjTable[CashEqInterest],MATCH($A$3&amp;E$5,CashProjTable[RefRng],0)),0)</f>
        <v>0</v>
      </c>
      <c r="F32" s="34">
        <f>IFERROR(INDEX(CashProjTable[CashEqInterest],MATCH($A$3&amp;F$5,CashProjTable[RefRng],0)),0)</f>
        <v>49628348</v>
      </c>
      <c r="G32" s="34">
        <f>IFERROR(INDEX(CashProjTable[CashEqInterest],MATCH($A$3&amp;G$5,CashProjTable[RefRng],0)),0)</f>
        <v>0</v>
      </c>
      <c r="H32" s="34">
        <f>IFERROR(INDEX(CashProjTable[CashEqInterest],MATCH($A$3&amp;H$5,CashProjTable[RefRng],0)),0)</f>
        <v>0</v>
      </c>
      <c r="I32" s="34">
        <f>IFERROR(INDEX(CashProjTable[CashEqInterest],MATCH($A$3&amp;I$5,CashProjTable[RefRng],0)),0)</f>
        <v>0</v>
      </c>
      <c r="J32" s="34">
        <f>IFERROR(INDEX(CashProjTable[CashEqInterest],MATCH($A$3&amp;J$5,CashProjTable[RefRng],0)),0)</f>
        <v>0</v>
      </c>
      <c r="K32" s="34"/>
      <c r="L32" s="34"/>
    </row>
    <row r="33" spans="1:12" s="37" customFormat="1" x14ac:dyDescent="0.2">
      <c r="A33" s="35" t="s">
        <v>375</v>
      </c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</row>
    <row r="34" spans="1:12" s="39" customFormat="1" ht="13.5" thickBot="1" x14ac:dyDescent="0.25">
      <c r="A34" s="29" t="s">
        <v>376</v>
      </c>
      <c r="B34" s="38">
        <v>3250445945.73</v>
      </c>
      <c r="C34" s="38">
        <v>555302495.28999996</v>
      </c>
      <c r="D34" s="38">
        <f t="shared" ref="D34:J34" si="10">SUM(D23:D33)</f>
        <v>4771339151.0500002</v>
      </c>
      <c r="E34" s="38">
        <f t="shared" si="10"/>
        <v>41225632.640000001</v>
      </c>
      <c r="F34" s="38">
        <f t="shared" ref="F34:H34" si="11">SUM(F23:F33)</f>
        <v>203225855.31</v>
      </c>
      <c r="G34" s="38">
        <f t="shared" si="11"/>
        <v>20511868.68</v>
      </c>
      <c r="H34" s="38">
        <f t="shared" si="11"/>
        <v>3494249929.8699999</v>
      </c>
      <c r="I34" s="38">
        <f t="shared" si="10"/>
        <v>3407662.81</v>
      </c>
      <c r="J34" s="38">
        <f t="shared" si="10"/>
        <v>0</v>
      </c>
      <c r="K34" s="38"/>
      <c r="L34" s="38"/>
    </row>
    <row r="35" spans="1:12" s="23" customFormat="1" x14ac:dyDescent="0.2"/>
    <row r="36" spans="1:12" s="26" customFormat="1" x14ac:dyDescent="0.2">
      <c r="A36" s="25" t="s">
        <v>377</v>
      </c>
    </row>
    <row r="37" spans="1:12" s="23" customFormat="1" x14ac:dyDescent="0.2">
      <c r="A37" s="33" t="s">
        <v>378</v>
      </c>
      <c r="B37" s="34">
        <v>543764526.00999999</v>
      </c>
      <c r="C37" s="34">
        <v>195849263.49000001</v>
      </c>
      <c r="D37" s="64">
        <f>IFERROR(ABS(INDEX(CashIntraTable[Amount],MATCH($A$3&amp;D$5&amp;$A61,CashIntraTable[RefRng],0))),0)</f>
        <v>173003015.72999999</v>
      </c>
      <c r="E37" s="65">
        <f>IFERROR(ABS(INDEX(CashIntraTable[Amount],MATCH($A$3&amp;E$5&amp;$A61,CashIntraTable[RefRng],0))),0)</f>
        <v>19982352.280000001</v>
      </c>
      <c r="F37" s="34">
        <f>IFERROR(ABS(INDEX(CashIntraTable[Amount],MATCH($A$3&amp;F$5&amp;$A61,CashIntraTable[RefRng],0))),0)</f>
        <v>0</v>
      </c>
      <c r="G37" s="34">
        <f>IFERROR(ABS(INDEX(CashIntraTable[Amount],MATCH($A$3&amp;G$5&amp;$A61,CashIntraTable[RefRng],0))),0)</f>
        <v>0</v>
      </c>
      <c r="H37" s="34">
        <f>IFERROR(ABS(INDEX(CashIntraTable[Amount],MATCH($A$3&amp;H$5&amp;$A61,CashIntraTable[RefRng],0))),0)</f>
        <v>0</v>
      </c>
      <c r="I37" s="34">
        <f>IFERROR(ABS(INDEX(CashIntraTable[Amount],MATCH($A$3&amp;I$5&amp;$A61,CashIntraTable[RefRng],0))),0)</f>
        <v>0</v>
      </c>
      <c r="J37" s="34">
        <f>IFERROR(ABS(INDEX(CashIntraTable[Amount],MATCH($A$3&amp;J$5&amp;$A61,CashIntraTable[RefRng],0))),0)</f>
        <v>0</v>
      </c>
      <c r="K37" s="34"/>
      <c r="L37" s="34"/>
    </row>
    <row r="38" spans="1:12" s="23" customFormat="1" x14ac:dyDescent="0.2">
      <c r="A38" s="33" t="s">
        <v>379</v>
      </c>
      <c r="B38" s="34">
        <v>1853544785.1700001</v>
      </c>
      <c r="C38" s="34">
        <v>261306959.31999999</v>
      </c>
      <c r="D38" s="64">
        <f>IFERROR(ABS(INDEX(CashIntraTable[Amount],MATCH($A$3&amp;D$5&amp;$A62,CashIntraTable[RefRng],0))),0)</f>
        <v>322512733.36000001</v>
      </c>
      <c r="E38" s="65">
        <f>IFERROR(ABS(INDEX(CashIntraTable[Amount],MATCH($A$3&amp;E$5&amp;$A62,CashIntraTable[RefRng],0))),0)</f>
        <v>3893837.02</v>
      </c>
      <c r="F38" s="34">
        <f>IFERROR(ABS(INDEX(CashIntraTable[Amount],MATCH($A$3&amp;F$5&amp;$A62,CashIntraTable[RefRng],0))),0)</f>
        <v>0</v>
      </c>
      <c r="G38" s="34">
        <f>IFERROR(ABS(INDEX(CashIntraTable[Amount],MATCH($A$3&amp;G$5&amp;$A62,CashIntraTable[RefRng],0))),0)</f>
        <v>0</v>
      </c>
      <c r="H38" s="34">
        <f>IFERROR(ABS(INDEX(CashIntraTable[Amount],MATCH($A$3&amp;H$5&amp;$A62,CashIntraTable[RefRng],0))),0)</f>
        <v>0</v>
      </c>
      <c r="I38" s="34">
        <f>IFERROR(ABS(INDEX(CashIntraTable[Amount],MATCH($A$3&amp;I$5&amp;$A62,CashIntraTable[RefRng],0))),0)</f>
        <v>0</v>
      </c>
      <c r="J38" s="34">
        <f>IFERROR(ABS(INDEX(CashIntraTable[Amount],MATCH($A$3&amp;J$5&amp;$A62,CashIntraTable[RefRng],0))),0)</f>
        <v>0</v>
      </c>
      <c r="K38" s="34"/>
      <c r="L38" s="34"/>
    </row>
    <row r="39" spans="1:12" s="23" customFormat="1" x14ac:dyDescent="0.2">
      <c r="A39" s="27" t="s">
        <v>380</v>
      </c>
      <c r="B39" s="34">
        <v>1466314289.8</v>
      </c>
      <c r="C39" s="34">
        <v>0</v>
      </c>
      <c r="D39" s="34">
        <f>IFERROR(INDEX(CashProjTable[DebtBuy_BahtNet],MATCH($A$3&amp;D$5,CashProjTable[RefRng],0))+SUMIFS(IntraTrans[Net Settlement],IntraTrans[Portfolio],$A$3,IntraTrans[B/S],"B",IntraTrans[Settle Date],D$5,IntraTrans[Payment],"BAHTNET"),0)</f>
        <v>3038224685.6199999</v>
      </c>
      <c r="E39" s="34">
        <f>IFERROR(INDEX(CashProjTable[DebtBuy_BahtNet],MATCH($A$3&amp;E$5,CashProjTable[RefRng],0))+SUMIFS(IntraTrans[Net Settlement],IntraTrans[Portfolio],$A$3,IntraTrans[B/S],"B",IntraTrans[Settle Date],E$5,IntraTrans[Payment],"BAHTNET"),0)</f>
        <v>3607653259.5199995</v>
      </c>
      <c r="F39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9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9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9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9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9" s="34"/>
      <c r="L39" s="34"/>
    </row>
    <row r="40" spans="1:12" s="23" customFormat="1" x14ac:dyDescent="0.2">
      <c r="A40" s="27" t="s">
        <v>381</v>
      </c>
      <c r="B40" s="34">
        <v>0</v>
      </c>
      <c r="C40" s="34">
        <v>0</v>
      </c>
      <c r="D40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40" s="34">
        <f>IFERROR((INDEX(CashProjTable[DebtBuy],MATCH($A$3&amp;E$5,CashProjTable[RefRng],0))-INDEX(CashProjTable[DebtBuy_BahtNet],MATCH($A$3&amp;E$5,CashProjTable[RefRng],0)))+SUMIFS(IntraTrans[Net Settlement],IntraTrans[Portfolio],$A$3,IntraTrans[B/S],"B",IntraTrans[Settle Date],E$5,IntraTrans[Payment],"CHEQUE"),0)</f>
        <v>0</v>
      </c>
      <c r="F40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40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40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40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40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40" s="34"/>
      <c r="L40" s="34"/>
    </row>
    <row r="41" spans="1:12" s="23" customFormat="1" x14ac:dyDescent="0.2">
      <c r="A41" s="27" t="s">
        <v>371</v>
      </c>
      <c r="B41" s="34">
        <v>0</v>
      </c>
      <c r="C41" s="34">
        <v>0</v>
      </c>
      <c r="D41" s="34">
        <f t="shared" ref="D41:J41" si="12">IF(D$10&gt;0,D$10,0)+IF(D$13&gt;0,D$13,0)+IF(D$16&gt;0,D$16,0)</f>
        <v>0</v>
      </c>
      <c r="E41" s="34">
        <f t="shared" si="12"/>
        <v>0</v>
      </c>
      <c r="F41" s="34">
        <f t="shared" si="12"/>
        <v>0</v>
      </c>
      <c r="G41" s="34">
        <f t="shared" si="12"/>
        <v>0</v>
      </c>
      <c r="H41" s="34">
        <f t="shared" si="12"/>
        <v>0</v>
      </c>
      <c r="I41" s="34">
        <f t="shared" si="12"/>
        <v>0</v>
      </c>
      <c r="J41" s="34">
        <f t="shared" si="12"/>
        <v>0</v>
      </c>
      <c r="K41" s="34"/>
      <c r="L41" s="34"/>
    </row>
    <row r="42" spans="1:12" s="23" customFormat="1" x14ac:dyDescent="0.2">
      <c r="A42" s="27" t="s">
        <v>372</v>
      </c>
      <c r="B42" s="34">
        <v>0</v>
      </c>
      <c r="C42" s="34">
        <v>0</v>
      </c>
      <c r="D42" s="34">
        <v>0</v>
      </c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/>
      <c r="L42" s="34"/>
    </row>
    <row r="43" spans="1:12" s="23" customFormat="1" x14ac:dyDescent="0.2">
      <c r="A43" s="27" t="s">
        <v>382</v>
      </c>
      <c r="B43" s="34">
        <v>0</v>
      </c>
      <c r="C43" s="34">
        <v>0</v>
      </c>
      <c r="D43" s="34">
        <f>IFERROR(INDEX(CashProjTable[Expense],MATCH($A$3&amp;D$5,CashProjTable[RefRng],0)),0)</f>
        <v>0</v>
      </c>
      <c r="E43" s="34">
        <f>IFERROR(INDEX(CashProjTable[Expense],MATCH($A$3&amp;E$5,CashProjTable[RefRng],0)),0)</f>
        <v>0</v>
      </c>
      <c r="F43" s="34">
        <f>IFERROR(INDEX(CashProjTable[Expense],MATCH($A$3&amp;F$5,CashProjTable[RefRng],0)),0)</f>
        <v>0</v>
      </c>
      <c r="G43" s="34">
        <f>IFERROR(INDEX(CashProjTable[Expense],MATCH($A$3&amp;G$5,CashProjTable[RefRng],0)),0)</f>
        <v>0</v>
      </c>
      <c r="H43" s="34">
        <f>IFERROR(INDEX(CashProjTable[Expense],MATCH($A$3&amp;H$5,CashProjTable[RefRng],0)),0)</f>
        <v>0</v>
      </c>
      <c r="I43" s="34">
        <f>IFERROR(INDEX(CashProjTable[Expense],MATCH($A$3&amp;I$5,CashProjTable[RefRng],0)),0)</f>
        <v>0</v>
      </c>
      <c r="J43" s="34">
        <f>IFERROR(INDEX(CashProjTable[Expense],MATCH($A$3&amp;J$5,CashProjTable[RefRng],0)),0)</f>
        <v>0</v>
      </c>
      <c r="K43" s="34"/>
      <c r="L43" s="34"/>
    </row>
    <row r="44" spans="1:12" s="37" customFormat="1" x14ac:dyDescent="0.2">
      <c r="A44" s="35" t="s">
        <v>375</v>
      </c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</row>
    <row r="45" spans="1:12" s="39" customFormat="1" ht="13.5" thickBot="1" x14ac:dyDescent="0.25">
      <c r="A45" s="29" t="s">
        <v>383</v>
      </c>
      <c r="B45" s="38">
        <v>3863623600.9800005</v>
      </c>
      <c r="C45" s="38">
        <v>457156222.81</v>
      </c>
      <c r="D45" s="38">
        <f t="shared" ref="D45:J45" si="13">SUM(D37:D44)</f>
        <v>3533740434.71</v>
      </c>
      <c r="E45" s="38">
        <f t="shared" si="13"/>
        <v>3631529448.8199997</v>
      </c>
      <c r="F45" s="38">
        <f t="shared" ref="F45:H45" si="14">SUM(F37:F44)</f>
        <v>0</v>
      </c>
      <c r="G45" s="38">
        <f t="shared" si="14"/>
        <v>0</v>
      </c>
      <c r="H45" s="38">
        <f t="shared" si="14"/>
        <v>0</v>
      </c>
      <c r="I45" s="38">
        <f t="shared" si="13"/>
        <v>0</v>
      </c>
      <c r="J45" s="38">
        <f t="shared" si="13"/>
        <v>0</v>
      </c>
      <c r="K45" s="38"/>
      <c r="L45" s="38"/>
    </row>
    <row r="46" spans="1:12" s="23" customFormat="1" x14ac:dyDescent="0.2">
      <c r="D46" s="88"/>
    </row>
    <row r="47" spans="1:12" s="26" customFormat="1" x14ac:dyDescent="0.2">
      <c r="A47" s="25" t="s">
        <v>384</v>
      </c>
    </row>
    <row r="48" spans="1:12" s="23" customFormat="1" x14ac:dyDescent="0.2">
      <c r="A48" s="27" t="s">
        <v>385</v>
      </c>
      <c r="B48" s="34">
        <v>67456786.849999428</v>
      </c>
      <c r="C48" s="34">
        <v>165485608.19</v>
      </c>
      <c r="D48" s="34">
        <f t="shared" ref="D48:J48" ca="1" si="15">D$6+D$34-D$45</f>
        <v>1411952109.79</v>
      </c>
      <c r="E48" s="34">
        <f t="shared" ca="1" si="15"/>
        <v>-2178351706.3899994</v>
      </c>
      <c r="F48" s="34">
        <f t="shared" ca="1" si="15"/>
        <v>-1975125851.0799994</v>
      </c>
      <c r="G48" s="34">
        <f t="shared" ca="1" si="15"/>
        <v>-1954613982.3999994</v>
      </c>
      <c r="H48" s="34">
        <f t="shared" ca="1" si="15"/>
        <v>1539635947.4700005</v>
      </c>
      <c r="I48" s="34">
        <f t="shared" ca="1" si="15"/>
        <v>1543043610.2800004</v>
      </c>
      <c r="J48" s="34">
        <f t="shared" ca="1" si="15"/>
        <v>1543043610.2800004</v>
      </c>
      <c r="K48" s="34"/>
      <c r="L48" s="34"/>
    </row>
    <row r="49" spans="1:33" s="23" customFormat="1" x14ac:dyDescent="0.2">
      <c r="A49" s="27" t="s">
        <v>893</v>
      </c>
      <c r="B49" s="34">
        <v>67339335.709999993</v>
      </c>
      <c r="C49" s="34">
        <v>174353393.44999999</v>
      </c>
      <c r="D49" s="34">
        <f>IFERROR(INDEX(CashProjTable[CashBal],MATCH($A$3&amp;D$5,CashProjTable[RefRng],0)),0)</f>
        <v>1426831385.1099999</v>
      </c>
      <c r="E49" s="34">
        <f>IFERROR(INDEX(CashProjTable[CashBal],MATCH($A$3&amp;E$5,CashProjTable[RefRng],0)),0)</f>
        <v>-1381188283.6099999</v>
      </c>
      <c r="F49" s="34">
        <f>IFERROR(INDEX(CashProjTable[CashBal],MATCH($A$3&amp;F$5,CashProjTable[RefRng],0)),0)</f>
        <v>1777490064.3900001</v>
      </c>
      <c r="G49" s="34">
        <f>IFERROR(INDEX(CashProjTable[CashBal],MATCH($A$3&amp;G$5,CashProjTable[RefRng],0)),0)</f>
        <v>1777490064.3900001</v>
      </c>
      <c r="H49" s="34">
        <f>IFERROR(INDEX(CashProjTable[CashBal],MATCH($A$3&amp;H$5,CashProjTable[RefRng],0)),0)</f>
        <v>5271490064.3900003</v>
      </c>
      <c r="I49" s="34">
        <f>IFERROR(INDEX(CashProjTable[CashBal],MATCH($A$3&amp;I$5,CashProjTable[RefRng],0)),0)</f>
        <v>5271490064.3900003</v>
      </c>
      <c r="J49" s="34">
        <f>IFERROR(INDEX(CashProjTable[CashBal],MATCH($A$3&amp;J$5,CashProjTable[RefRng],0)),0)</f>
        <v>5271490064.3900003</v>
      </c>
      <c r="K49" s="34"/>
      <c r="L49" s="34"/>
    </row>
    <row r="50" spans="1:33" s="42" customFormat="1" x14ac:dyDescent="0.2">
      <c r="A50" s="40" t="s">
        <v>386</v>
      </c>
      <c r="B50" s="41">
        <v>-117451.13999943435</v>
      </c>
      <c r="C50" s="41">
        <v>8867785.2599999905</v>
      </c>
      <c r="D50" s="41">
        <f t="shared" ref="D50:J50" ca="1" si="16">D49-D48</f>
        <v>14879275.319999933</v>
      </c>
      <c r="E50" s="41">
        <f t="shared" ca="1" si="16"/>
        <v>797163422.77999949</v>
      </c>
      <c r="F50" s="41">
        <f t="shared" ref="F50:H50" ca="1" si="17">F49-F48</f>
        <v>3752615915.4699993</v>
      </c>
      <c r="G50" s="41">
        <f t="shared" ca="1" si="17"/>
        <v>3732104046.7899995</v>
      </c>
      <c r="H50" s="41">
        <f t="shared" ca="1" si="17"/>
        <v>3731854116.9200001</v>
      </c>
      <c r="I50" s="41">
        <f t="shared" ca="1" si="16"/>
        <v>3728446454.1099997</v>
      </c>
      <c r="J50" s="41">
        <f t="shared" ca="1" si="16"/>
        <v>3728446454.1099997</v>
      </c>
      <c r="K50" s="41"/>
      <c r="L50" s="41"/>
    </row>
    <row r="51" spans="1:33" s="23" customFormat="1" x14ac:dyDescent="0.2">
      <c r="A51" s="27" t="s">
        <v>894</v>
      </c>
      <c r="B51" s="34">
        <v>74441114841.619995</v>
      </c>
      <c r="C51" s="34">
        <v>74072507153.12001</v>
      </c>
      <c r="D51" s="34">
        <f t="shared" ref="D51:J51" ca="1" si="18">IF(D5&gt;TODAY(),C51,C52)+SUM(D23:D26)-SUM(D37:D38)</f>
        <v>73729645384.490005</v>
      </c>
      <c r="E51" s="34">
        <f t="shared" ca="1" si="18"/>
        <v>73746994827.830002</v>
      </c>
      <c r="F51" s="34">
        <f t="shared" ref="F51" ca="1" si="19">IF(F5&gt;TODAY(),E51,E52)+SUM(F23:F26)-SUM(F37:F38)</f>
        <v>73756592335.139999</v>
      </c>
      <c r="G51" s="34">
        <f t="shared" ref="G51" ca="1" si="20">IF(G5&gt;TODAY(),F51,F52)+SUM(G23:G26)-SUM(G37:G38)</f>
        <v>73777104203.819992</v>
      </c>
      <c r="H51" s="34">
        <f t="shared" ref="H51" ca="1" si="21">IF(H5&gt;TODAY(),G51,G52)+SUM(H23:H26)-SUM(H37:H38)</f>
        <v>73777354133.689987</v>
      </c>
      <c r="I51" s="34">
        <f t="shared" ca="1" si="18"/>
        <v>73780761796.499985</v>
      </c>
      <c r="J51" s="34">
        <f t="shared" ca="1" si="18"/>
        <v>73780761796.499985</v>
      </c>
      <c r="K51" s="34"/>
      <c r="L51" s="34"/>
    </row>
    <row r="52" spans="1:33" s="23" customFormat="1" x14ac:dyDescent="0.2">
      <c r="A52" s="27" t="s">
        <v>895</v>
      </c>
      <c r="B52" s="34">
        <v>74425090193.76001</v>
      </c>
      <c r="C52" s="34">
        <v>74073821982.529999</v>
      </c>
      <c r="D52" s="34">
        <f>[1]!SCBAM_GetGroup1Dtl($A$3,"NET ASSET VALUE",D$5,"MarketVal")+[1]!SCBAM_GetGroup1Dtl($A$3,"NET ASSET VALUE",D$5,"ai")</f>
        <v>0</v>
      </c>
      <c r="E52" s="34">
        <f>[1]!SCBAM_GetGroup1Dtl($A$3,"NET ASSET VALUE",E$5,"MarketVal")+[1]!SCBAM_GetGroup1Dtl($A$3,"NET ASSET VALUE",E$5,"ai")</f>
        <v>0</v>
      </c>
      <c r="F52" s="34">
        <f>[1]!SCBAM_GetGroup1Dtl($A$3,"NET ASSET VALUE",F$5,"MarketVal")+[1]!SCBAM_GetGroup1Dtl($A$3,"NET ASSET VALUE",F$5,"ai")</f>
        <v>0</v>
      </c>
      <c r="G52" s="34">
        <f>[1]!SCBAM_GetGroup1Dtl($A$3,"NET ASSET VALUE",G$5,"MarketVal")+[1]!SCBAM_GetGroup1Dtl($A$3,"NET ASSET VALUE",G$5,"ai")</f>
        <v>0</v>
      </c>
      <c r="H52" s="34">
        <f>[1]!SCBAM_GetGroup1Dtl($A$3,"NET ASSET VALUE",H$5,"MarketVal")+[1]!SCBAM_GetGroup1Dtl($A$3,"NET ASSET VALUE",H$5,"ai")</f>
        <v>0</v>
      </c>
      <c r="I52" s="34">
        <f>[1]!SCBAM_GetGroup1Dtl($A$3,"NET ASSET VALUE",I$5,"MarketVal")+[1]!SCBAM_GetGroup1Dtl($A$3,"NET ASSET VALUE",I$5,"ai")</f>
        <v>0</v>
      </c>
      <c r="J52" s="34">
        <f>[1]!SCBAM_GetGroup1Dtl($A$3,"NET ASSET VALUE",J$5,"MarketVal")+[1]!SCBAM_GetGroup1Dtl($A$3,"NET ASSET VALUE",J$5,"ai")</f>
        <v>0</v>
      </c>
      <c r="K52" s="34"/>
      <c r="L52" s="34"/>
    </row>
    <row r="53" spans="1:33" s="22" customFormat="1" x14ac:dyDescent="0.2">
      <c r="A53" s="20" t="s">
        <v>879</v>
      </c>
      <c r="B53" s="21">
        <v>-352585293.98000002</v>
      </c>
      <c r="C53" s="21">
        <v>-344172734.59999996</v>
      </c>
      <c r="D53" s="21">
        <f t="shared" ref="D53:J53" si="22">SUM(E23:E26)-SUM(E37:E38)</f>
        <v>17349443.34</v>
      </c>
      <c r="E53" s="21">
        <f t="shared" si="22"/>
        <v>9597507.3100000005</v>
      </c>
      <c r="F53" s="21">
        <f t="shared" ref="F53" si="23">SUM(G23:G26)-SUM(G37:G38)</f>
        <v>20511868.68</v>
      </c>
      <c r="G53" s="21">
        <f t="shared" ref="G53" si="24">SUM(H23:H26)-SUM(H37:H38)</f>
        <v>249929.87</v>
      </c>
      <c r="H53" s="21">
        <f t="shared" ref="H53" si="25">SUM(I23:I26)-SUM(I37:I38)</f>
        <v>3407662.81</v>
      </c>
      <c r="I53" s="21">
        <f t="shared" si="22"/>
        <v>0</v>
      </c>
      <c r="J53" s="21">
        <f t="shared" si="22"/>
        <v>0</v>
      </c>
      <c r="K53" s="21"/>
      <c r="L53" s="21"/>
    </row>
    <row r="54" spans="1:33" s="49" customFormat="1" x14ac:dyDescent="0.2">
      <c r="A54" s="47" t="s">
        <v>387</v>
      </c>
      <c r="B54" s="50">
        <v>9.0637158348590326E-4</v>
      </c>
      <c r="C54" s="50">
        <v>2.2340633136093487E-3</v>
      </c>
      <c r="D54" s="50">
        <f t="shared" ref="D54:J54" ca="1" si="26">D48/IF(D5&lt;TODAY(),D52,D51)</f>
        <v>1.9150398763304273E-2</v>
      </c>
      <c r="E54" s="50">
        <f t="shared" ca="1" si="26"/>
        <v>-2.9538175914497766E-2</v>
      </c>
      <c r="F54" s="50">
        <f t="shared" ref="F54:H54" ca="1" si="27">F48/IF(F5&lt;TODAY(),F52,F51)</f>
        <v>-2.677897376420665E-2</v>
      </c>
      <c r="G54" s="50">
        <f t="shared" ca="1" si="27"/>
        <v>-2.6493503689167492E-2</v>
      </c>
      <c r="H54" s="50">
        <f t="shared" ca="1" si="27"/>
        <v>2.0868679360336873E-2</v>
      </c>
      <c r="I54" s="50">
        <f t="shared" ca="1" si="26"/>
        <v>2.0913901845253099E-2</v>
      </c>
      <c r="J54" s="50">
        <f t="shared" ca="1" si="26"/>
        <v>2.0913901845253099E-2</v>
      </c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</row>
    <row r="55" spans="1:33" s="43" customFormat="1" x14ac:dyDescent="0.2">
      <c r="A55" s="43" t="s">
        <v>388</v>
      </c>
      <c r="B55" s="44">
        <v>-209082222.83000001</v>
      </c>
      <c r="C55" s="44">
        <v>52169708.909999996</v>
      </c>
      <c r="D55" s="44">
        <f>IFERROR(INDEX(CashProjTable[CashForUse],MATCH($A$3&amp;D$5,CashProjTable[RefRng],0)),0)</f>
        <v>1264420261.2</v>
      </c>
      <c r="E55" s="44">
        <f>IFERROR(INDEX(CashProjTable[CashForUse],MATCH($A$3&amp;E$5,CashProjTable[RefRng],0)),0)</f>
        <v>-1407037993.6199999</v>
      </c>
      <c r="F55" s="44">
        <f>IFERROR(INDEX(CashProjTable[CashForUse],MATCH($A$3&amp;F$5,CashProjTable[RefRng],0)),0)</f>
        <v>1777490064.3900001</v>
      </c>
      <c r="G55" s="44">
        <f>IFERROR(INDEX(CashProjTable[CashForUse],MATCH($A$3&amp;G$5,CashProjTable[RefRng],0)),0)</f>
        <v>1777490064.3900001</v>
      </c>
      <c r="H55" s="44">
        <f>IFERROR(INDEX(CashProjTable[CashForUse],MATCH($A$3&amp;H$5,CashProjTable[RefRng],0)),0)</f>
        <v>5271490064.3900003</v>
      </c>
      <c r="I55" s="44">
        <f>IFERROR(INDEX(CashProjTable[CashForUse],MATCH($A$3&amp;I$5,CashProjTable[RefRng],0)),0)</f>
        <v>5271490064.3900003</v>
      </c>
      <c r="J55" s="44">
        <f>IFERROR(INDEX(CashProjTable[CashForUse],MATCH($A$3&amp;J$5,CashProjTable[RefRng],0)),0)</f>
        <v>5271490064.3900003</v>
      </c>
      <c r="K55" s="44"/>
      <c r="L55" s="44"/>
    </row>
    <row r="56" spans="1:33" s="43" customFormat="1" x14ac:dyDescent="0.2">
      <c r="A56" s="43" t="s">
        <v>389</v>
      </c>
      <c r="B56" s="44">
        <v>-1689310672.7</v>
      </c>
      <c r="C56" s="44">
        <v>29914036.960000001</v>
      </c>
      <c r="D56" s="44">
        <f>IFERROR(INDEX(CashProjTable[CashForBahtNet],MATCH($A$3&amp;D$5,CashProjTable[RefRng],0)),0)</f>
        <v>1250939740.7</v>
      </c>
      <c r="E56" s="44">
        <f>IFERROR(INDEX(CashProjTable[CashForBahtNet],MATCH($A$3&amp;E$5,CashProjTable[RefRng],0)),0)</f>
        <v>-1459080204.1199999</v>
      </c>
      <c r="F56" s="44">
        <f>IFERROR(INDEX(CashProjTable[CashForBahtNet],MATCH($A$3&amp;F$5,CashProjTable[RefRng],0)),0)</f>
        <v>1701669215.9000001</v>
      </c>
      <c r="G56" s="44">
        <f>IFERROR(INDEX(CashProjTable[CashForBahtNet],MATCH($A$3&amp;G$5,CashProjTable[RefRng],0)),0)</f>
        <v>1751297563.9000001</v>
      </c>
      <c r="H56" s="44">
        <f>IFERROR(INDEX(CashProjTable[CashForBahtNet],MATCH($A$3&amp;H$5,CashProjTable[RefRng],0)),0)</f>
        <v>5245297563.8999996</v>
      </c>
      <c r="I56" s="44">
        <f>IFERROR(INDEX(CashProjTable[CashForBahtNet],MATCH($A$3&amp;I$5,CashProjTable[RefRng],0)),0)</f>
        <v>5245297563.8999996</v>
      </c>
      <c r="J56" s="44">
        <f>IFERROR(INDEX(CashProjTable[CashForBahtNet],MATCH($A$3&amp;J$5,CashProjTable[RefRng],0)),0)</f>
        <v>5245297563.8999996</v>
      </c>
      <c r="K56" s="44"/>
      <c r="L56" s="44"/>
    </row>
    <row r="58" spans="1:33" x14ac:dyDescent="0.2">
      <c r="A58" s="12" t="s">
        <v>344</v>
      </c>
      <c r="B58" s="60"/>
    </row>
    <row r="59" spans="1:33" x14ac:dyDescent="0.2">
      <c r="A59" s="12" t="s">
        <v>348</v>
      </c>
    </row>
    <row r="60" spans="1:33" x14ac:dyDescent="0.2">
      <c r="A60" s="12" t="s">
        <v>345</v>
      </c>
    </row>
    <row r="61" spans="1:33" x14ac:dyDescent="0.2">
      <c r="A61" s="12" t="s">
        <v>346</v>
      </c>
    </row>
    <row r="62" spans="1:33" x14ac:dyDescent="0.2">
      <c r="A62" s="12" t="s">
        <v>347</v>
      </c>
    </row>
  </sheetData>
  <conditionalFormatting sqref="A5:C5 M5:XFD5 E5 I5:J5">
    <cfRule type="cellIs" dxfId="186" priority="49" operator="equal">
      <formula>TODAY()</formula>
    </cfRule>
  </conditionalFormatting>
  <conditionalFormatting sqref="B9:E9 I9:J9">
    <cfRule type="cellIs" dxfId="185" priority="48" operator="greaterThan">
      <formula>"&lt;0"</formula>
    </cfRule>
  </conditionalFormatting>
  <conditionalFormatting sqref="B10:E10 I10:J10">
    <cfRule type="cellIs" dxfId="184" priority="47" operator="greaterThan">
      <formula>"&lt;0"</formula>
    </cfRule>
  </conditionalFormatting>
  <conditionalFormatting sqref="B18:E18 I18:J18">
    <cfRule type="cellIs" dxfId="183" priority="46" operator="greaterThan">
      <formula>"&lt;0"</formula>
    </cfRule>
  </conditionalFormatting>
  <conditionalFormatting sqref="B7">
    <cfRule type="cellIs" dxfId="182" priority="42" operator="greaterThan">
      <formula>"&lt;0"</formula>
    </cfRule>
  </conditionalFormatting>
  <conditionalFormatting sqref="D5">
    <cfRule type="cellIs" dxfId="181" priority="33" operator="equal">
      <formula>TODAY()</formula>
    </cfRule>
  </conditionalFormatting>
  <conditionalFormatting sqref="K5:L5">
    <cfRule type="cellIs" dxfId="180" priority="37" operator="equal">
      <formula>TODAY()</formula>
    </cfRule>
  </conditionalFormatting>
  <conditionalFormatting sqref="K9:L9">
    <cfRule type="cellIs" dxfId="179" priority="36" operator="greaterThan">
      <formula>"&lt;0"</formula>
    </cfRule>
  </conditionalFormatting>
  <conditionalFormatting sqref="K10:L10">
    <cfRule type="cellIs" dxfId="178" priority="35" operator="greaterThan">
      <formula>"&lt;0"</formula>
    </cfRule>
  </conditionalFormatting>
  <conditionalFormatting sqref="K18:L18">
    <cfRule type="cellIs" dxfId="177" priority="34" operator="greaterThan">
      <formula>"&lt;0"</formula>
    </cfRule>
  </conditionalFormatting>
  <conditionalFormatting sqref="B11:E11 B13:E13 B15:E15 I15:J15 I13:J13 I11:J11">
    <cfRule type="cellIs" dxfId="176" priority="29" operator="greaterThan">
      <formula>"&lt;0"</formula>
    </cfRule>
  </conditionalFormatting>
  <conditionalFormatting sqref="B14:E14 B16:E16 I16:J16 I14:J14">
    <cfRule type="cellIs" dxfId="175" priority="28" operator="greaterThan">
      <formula>"&lt;0"</formula>
    </cfRule>
  </conditionalFormatting>
  <conditionalFormatting sqref="K11:L11 K13:L13 K15:L15">
    <cfRule type="cellIs" dxfId="174" priority="25" operator="greaterThan">
      <formula>"&lt;0"</formula>
    </cfRule>
  </conditionalFormatting>
  <conditionalFormatting sqref="K12:L12 K14:L14 K16:L16">
    <cfRule type="cellIs" dxfId="173" priority="24" operator="greaterThan">
      <formula>"&lt;0"</formula>
    </cfRule>
  </conditionalFormatting>
  <conditionalFormatting sqref="B17:E17 I17:J17">
    <cfRule type="cellIs" dxfId="172" priority="21" operator="greaterThan">
      <formula>"&lt;0"</formula>
    </cfRule>
  </conditionalFormatting>
  <conditionalFormatting sqref="K17:L17">
    <cfRule type="cellIs" dxfId="171" priority="19" operator="greaterThan">
      <formula>"&lt;0"</formula>
    </cfRule>
  </conditionalFormatting>
  <conditionalFormatting sqref="B12:E12 I12:J12">
    <cfRule type="cellIs" dxfId="170" priority="17" operator="greaterThan">
      <formula>"&lt;0"</formula>
    </cfRule>
  </conditionalFormatting>
  <conditionalFormatting sqref="F5:H5">
    <cfRule type="cellIs" dxfId="169" priority="8" operator="equal">
      <formula>TODAY()</formula>
    </cfRule>
  </conditionalFormatting>
  <conditionalFormatting sqref="F9:H9">
    <cfRule type="cellIs" dxfId="168" priority="7" operator="greaterThan">
      <formula>"&lt;0"</formula>
    </cfRule>
  </conditionalFormatting>
  <conditionalFormatting sqref="F10:H10">
    <cfRule type="cellIs" dxfId="167" priority="6" operator="greaterThan">
      <formula>"&lt;0"</formula>
    </cfRule>
  </conditionalFormatting>
  <conditionalFormatting sqref="F18:H18">
    <cfRule type="cellIs" dxfId="166" priority="5" operator="greaterThan">
      <formula>"&lt;0"</formula>
    </cfRule>
  </conditionalFormatting>
  <conditionalFormatting sqref="F11:H11 F13:H13 F15:H15">
    <cfRule type="cellIs" dxfId="165" priority="4" operator="greaterThan">
      <formula>"&lt;0"</formula>
    </cfRule>
  </conditionalFormatting>
  <conditionalFormatting sqref="F14:H14 F16:H16">
    <cfRule type="cellIs" dxfId="164" priority="3" operator="greaterThan">
      <formula>"&lt;0"</formula>
    </cfRule>
  </conditionalFormatting>
  <conditionalFormatting sqref="F17:H17">
    <cfRule type="cellIs" dxfId="163" priority="2" operator="greaterThan">
      <formula>"&lt;0"</formula>
    </cfRule>
  </conditionalFormatting>
  <conditionalFormatting sqref="F12:H12">
    <cfRule type="cellIs" dxfId="162" priority="1" operator="greaterThan">
      <formula>"&lt;0"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0F6F6-9638-4B00-921D-1BF7B9831B0D}">
  <sheetPr codeName="Sheet7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24" sqref="F24"/>
    </sheetView>
  </sheetViews>
  <sheetFormatPr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TODAY()</f>
        <v>43384</v>
      </c>
    </row>
    <row r="3" spans="1:33" x14ac:dyDescent="0.2">
      <c r="A3" s="14" t="s">
        <v>353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>[1]!SCBAM_NextBusinessDay(C5)</f>
        <v>43384</v>
      </c>
      <c r="E5" s="16">
        <f>[1]!SCBAM_NextBusinessDay(D5)</f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3104031.18</v>
      </c>
      <c r="C6" s="21">
        <v>2267192.94</v>
      </c>
      <c r="D6" s="21">
        <f ca="1">IF(AND(ISNUMBER(C41),ISNUMBER(C42)),IF(D5&lt;=TODAY(),C42,C41),INDEX(CashProjTable[CashBal],MATCH($A$3&amp;[1]!SCBAM_PreviousBusinessDay(D$5),CashProjTable[RefRng],0)))</f>
        <v>-15609107.289999999</v>
      </c>
      <c r="E6" s="21">
        <f ca="1">IF(AND(ISNUMBER(D41),ISNUMBER(D42)),IF(E5&lt;=TODAY(),D42,D41),INDEX(CashProjTable[CashBal],MATCH($A$3&amp;[1]!SCBAM_PreviousBusinessDay(E$5),CashProjTable[RefRng],0)))</f>
        <v>5800435.6399999857</v>
      </c>
      <c r="F6" s="21">
        <f ca="1">IF(AND(ISNUMBER(E41),ISNUMBER(E42)),IF(F5&lt;=TODAY(),E42,E41),INDEX(CashProjTable[CashBal],MATCH($A$3&amp;[1]!SCBAM_PreviousBusinessDay(F$5),CashProjTable[RefRng],0)))</f>
        <v>18626309.409999985</v>
      </c>
      <c r="G6" s="21">
        <f ca="1">IF(AND(ISNUMBER(F41),ISNUMBER(F42)),IF(G5&lt;=TODAY(),F42,F41),INDEX(CashProjTable[CashBal],MATCH($A$3&amp;[1]!SCBAM_PreviousBusinessDay(G$5),CashProjTable[RefRng],0)))</f>
        <v>21963334.659999985</v>
      </c>
      <c r="H6" s="21">
        <f ca="1">IF(AND(ISNUMBER(G41),ISNUMBER(G42)),IF(H5&lt;=TODAY(),G42,G41),INDEX(CashProjTable[CashBal],MATCH($A$3&amp;[1]!SCBAM_PreviousBusinessDay(H$5),CashProjTable[RefRng],0)))</f>
        <v>119337668.93999998</v>
      </c>
      <c r="I6" s="21">
        <f ca="1">IF(AND(ISNUMBER(H41),ISNUMBER(H42)),IF(I5&lt;=TODAY(),H42,H41),INDEX(CashProjTable[CashBal],MATCH($A$3&amp;[1]!SCBAM_PreviousBusinessDay(I$5),CashProjTable[RefRng],0)))</f>
        <v>399337668.94</v>
      </c>
      <c r="J6" s="21">
        <f ca="1">IF(AND(ISNUMBER(I41),ISNUMBER(I42)),IF(J5&lt;=TODAY(),I42,I41),INDEX(CashProjTable[CashBal],MATCH($A$3&amp;[1]!SCBAM_PreviousBusinessDay(J$5),CashProjTable[RefRng],0)))</f>
        <v>409488079.89999998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10310271.09</v>
      </c>
      <c r="C9" s="24">
        <v>10310271.09</v>
      </c>
      <c r="D9" s="24">
        <f>IF(ISNUMBER(C$5),C$11,[1]!SCBAM_GetSecDtl($A$3,"INVSUOBTrm1",D$5-1,"MarketVal"))</f>
        <v>5310271.09</v>
      </c>
      <c r="E9" s="24">
        <f>IF(ISNUMBER(D$5),D$11,[1]!SCBAM_GetSecDtl($A$3,"INVSUOBTrm1",E$5-1,"MarketVal"))</f>
        <v>5310271.09</v>
      </c>
      <c r="F9" s="24">
        <f>IF(ISNUMBER(E$5),E$11,[1]!SCBAM_GetSecDtl($A$3,"INVSUOBTrm1",F$5-1,"MarketVal"))</f>
        <v>5310271.09</v>
      </c>
      <c r="G9" s="24">
        <f>IF(ISNUMBER(F$5),F$11,[1]!SCBAM_GetSecDtl($A$3,"INVSUOBTrm1",G$5-1,"MarketVal"))</f>
        <v>5310271.09</v>
      </c>
      <c r="H9" s="24">
        <f>IF(ISNUMBER(G$5),G$11,[1]!SCBAM_GetSecDtl($A$3,"INVSUOBTrm1",H$5-1,"MarketVal"))</f>
        <v>5310271.09</v>
      </c>
      <c r="I9" s="24">
        <f>IF(ISNUMBER(H$5),H$11,[1]!SCBAM_GetSecDtl($A$3,"INVSUOBTrm1",I$5-1,"MarketVal"))</f>
        <v>5310271.09</v>
      </c>
      <c r="J9" s="24">
        <f>IF(ISNUMBER(I$5),I$11,[1]!SCBAM_GetSecDtl($A$3,"INVSUOBTrm1",J$5-1,"MarketVal"))</f>
        <v>5310271.09</v>
      </c>
      <c r="K9" s="24"/>
      <c r="L9" s="24"/>
    </row>
    <row r="10" spans="1:33" s="63" customFormat="1" ht="14.25" x14ac:dyDescent="0.2">
      <c r="A10" s="61" t="s">
        <v>361</v>
      </c>
      <c r="B10" s="62">
        <v>0</v>
      </c>
      <c r="C10" s="62">
        <v>-5000000</v>
      </c>
      <c r="D10" s="62"/>
      <c r="E10" s="62"/>
      <c r="F10" s="62"/>
      <c r="G10" s="62"/>
      <c r="H10" s="62"/>
      <c r="I10" s="62"/>
      <c r="J10" s="62"/>
      <c r="K10" s="62"/>
      <c r="L10" s="62"/>
    </row>
    <row r="11" spans="1:33" s="31" customFormat="1" ht="13.5" thickBot="1" x14ac:dyDescent="0.25">
      <c r="A11" s="29" t="s">
        <v>362</v>
      </c>
      <c r="B11" s="30">
        <v>10310271.09</v>
      </c>
      <c r="C11" s="30">
        <v>5310271.09</v>
      </c>
      <c r="D11" s="30">
        <f t="shared" ref="D11:J11" si="0">SUM(D9:D10)</f>
        <v>5310271.09</v>
      </c>
      <c r="E11" s="30">
        <f t="shared" si="0"/>
        <v>5310271.09</v>
      </c>
      <c r="F11" s="30">
        <f t="shared" ref="F11" si="1">SUM(F9:F10)</f>
        <v>5310271.09</v>
      </c>
      <c r="G11" s="30">
        <f t="shared" ref="G11" si="2">SUM(G9:G10)</f>
        <v>5310271.09</v>
      </c>
      <c r="H11" s="30">
        <f t="shared" ref="H11" si="3">SUM(H9:H10)</f>
        <v>5310271.09</v>
      </c>
      <c r="I11" s="30">
        <f t="shared" si="0"/>
        <v>5310271.09</v>
      </c>
      <c r="J11" s="30">
        <f t="shared" si="0"/>
        <v>5310271.09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2344200</v>
      </c>
      <c r="C16" s="34">
        <v>2117000</v>
      </c>
      <c r="D16" s="64">
        <f>IFERROR(INDEX(CashIntraTable[Amount],MATCH($A$3&amp;D$5&amp;$A51,CashIntraTable[RefRng],0)),0)</f>
        <v>1235200</v>
      </c>
      <c r="E16" s="65">
        <f>IFERROR(INDEX(CashIntraTable[Amount],MATCH($A$3&amp;E$5&amp;$A51,CashIntraTable[RefRng],0)),0)</f>
        <v>326000</v>
      </c>
      <c r="F16" s="34">
        <f>IFERROR(INDEX(CashIntraTable[Amount],MATCH($A$3&amp;F$5&amp;$A51,CashIntraTable[RefRng],0)),0)</f>
        <v>0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3660000</v>
      </c>
      <c r="C17" s="34">
        <v>2615500</v>
      </c>
      <c r="D17" s="64">
        <f>IFERROR(INDEX(CashIntraTable[Amount],MATCH($A$3&amp;D$5&amp;$A52,CashIntraTable[RefRng],0)),0)</f>
        <v>2048000</v>
      </c>
      <c r="E17" s="65">
        <f>IFERROR(INDEX(CashIntraTable[Amount],MATCH($A$3&amp;E$5&amp;$A52,CashIntraTable[RefRng],0)),0)</f>
        <v>162000</v>
      </c>
      <c r="F17" s="34">
        <f>IFERROR(INDEX(CashIntraTable[Amount],MATCH($A$3&amp;F$5&amp;$A52,CashIntraTable[RefRng],0)),0)</f>
        <v>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3572816.12</v>
      </c>
      <c r="C18" s="34">
        <v>13926669.27</v>
      </c>
      <c r="D18" s="64">
        <f>IFERROR(INDEX(CashIntraTable[Amount],MATCH($A$3&amp;D$5&amp;$A53,CashIntraTable[RefRng],0)),0)</f>
        <v>1639593.54</v>
      </c>
      <c r="E18" s="65">
        <f>IFERROR(INDEX(CashIntraTable[Amount],MATCH($A$3&amp;E$5&amp;$A53,CashIntraTable[RefRng],0)),0)</f>
        <v>10736802.58</v>
      </c>
      <c r="F18" s="34">
        <f>IFERROR(INDEX(CashIntraTable[Amount],MATCH($A$3&amp;F$5&amp;$A53,CashIntraTable[RefRng],0)),0)</f>
        <v>3337025.25</v>
      </c>
      <c r="G18" s="34">
        <f>IFERROR(INDEX(CashIntraTable[Amount],MATCH($A$3&amp;G$5&amp;$A53,CashIntraTable[RefRng],0)),0)</f>
        <v>199302.97</v>
      </c>
      <c r="H18" s="34">
        <f>IFERROR(INDEX(CashIntraTable[Amount],MATCH($A$3&amp;H$5&amp;$A53,CashIntraTable[RefRng],0)),0)</f>
        <v>0</v>
      </c>
      <c r="I18" s="34">
        <f>IFERROR(INDEX(CashIntraTable[Amount],MATCH($A$3&amp;I$5&amp;$A53,CashIntraTable[RefRng],0)),0)</f>
        <v>0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4">
        <v>0</v>
      </c>
      <c r="E19" s="65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335976105.19999999</v>
      </c>
      <c r="C20" s="34">
        <v>0</v>
      </c>
      <c r="D20" s="34">
        <f>IFERROR(INDEX(CashProjTable[DebtSell_BahtNet],MATCH($A$3&amp;D$5,CashProjTable[RefRng],0))+SUMIFS(IntraTrans[Net Settlement],IntraTrans[Portfolio],$A$3,IntraTrans[B/S],"S",IntraTrans[Settle Date],D$5,IntraTrans[Payment],"BAHTNET"),0)</f>
        <v>234000000</v>
      </c>
      <c r="E20" s="34">
        <f>IFERROR(INDEX(CashProjTable[DebtSell_BahtNet],MATCH($A$3&amp;E$5,CashProjTable[RefRng],0))+SUMIFS(IntraTrans[Net Settlement],IntraTrans[Portfolio],$A$3,IntraTrans[B/S],"S",IntraTrans[Settle Date],E$5,IntraTrans[Payment],"BAHTNET"),0)</f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95017000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280000000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10000000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1" s="34">
        <f>IFERROR((INDEX(CashProjTable[DebtSell],MATCH($A$3&amp;E$5,CashProjTable[RefRng],0))-INDEX(CashProjTable[DebtSell_BahtNet],MATCH($A$3&amp;E$5,CashProjTable[RefRng],0)))+SUMIFS(IntraTrans[Net Settlement],IntraTrans[Portfolio],$A$3,IntraTrans[B/S],"S",IntraTrans[Settle Date],E$5,IntraTrans[Payment],"CHEQUE"),0)</f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0</v>
      </c>
      <c r="C22" s="34">
        <v>5000000</v>
      </c>
      <c r="D22" s="34">
        <f t="shared" ref="D22:J22" si="4">IF(D$10&lt;0,-D$10,0)</f>
        <v>0</v>
      </c>
      <c r="E22" s="34">
        <f t="shared" si="4"/>
        <v>0</v>
      </c>
      <c r="F22" s="34">
        <f t="shared" si="4"/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f>IFERROR(INDEX(CashProjTable[DebtInterest],MATCH($A$3&amp;D$5,CashProjTable[RefRng],0)),0)</f>
        <v>137174.79</v>
      </c>
      <c r="E24" s="34">
        <f>IFERROR(INDEX(CashProjTable[DebtInterest],MATCH($A$3&amp;E$5,CashProjTable[RefRng],0)),0)</f>
        <v>3086432.88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2158031.31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150410.96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f>IFERROR(INDEX(CashProjTable[CashEqInterest],MATCH($A$3&amp;D$5,CashProjTable[RefRng],0)),0)</f>
        <v>0</v>
      </c>
      <c r="E25" s="34">
        <f>IFERROR(INDEX(CashProjTable[CashEqInterest],MATCH($A$3&amp;E$5,CashProjTable[RefRng],0)),0)</f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345553121.31999999</v>
      </c>
      <c r="C27" s="38">
        <v>23659169.27</v>
      </c>
      <c r="D27" s="38">
        <f t="shared" ref="D27:J27" si="5">SUM(D16:D26)</f>
        <v>239059968.32999998</v>
      </c>
      <c r="E27" s="38">
        <f t="shared" si="5"/>
        <v>14311235.460000001</v>
      </c>
      <c r="F27" s="38">
        <f t="shared" ref="F27:H27" si="6">SUM(F16:F26)</f>
        <v>3337025.25</v>
      </c>
      <c r="G27" s="38">
        <f t="shared" si="6"/>
        <v>97374334.280000001</v>
      </c>
      <c r="H27" s="38">
        <f t="shared" si="6"/>
        <v>280000000</v>
      </c>
      <c r="I27" s="38">
        <f t="shared" si="5"/>
        <v>10150410.960000001</v>
      </c>
      <c r="J27" s="38">
        <f t="shared" si="5"/>
        <v>0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4604586.12</v>
      </c>
      <c r="C30" s="34">
        <v>5391707.8700000001</v>
      </c>
      <c r="D30" s="64">
        <f>IFERROR(ABS(INDEX(CashIntraTable[Amount],MATCH($A$3&amp;D$5&amp;$A54,CashIntraTable[RefRng],0))),0)</f>
        <v>4730660.87</v>
      </c>
      <c r="E30" s="65">
        <f>IFERROR(ABS(INDEX(CashIntraTable[Amount],MATCH($A$3&amp;E$5&amp;$A54,CashIntraTable[RefRng],0))),0)</f>
        <v>17784.27</v>
      </c>
      <c r="F30" s="34">
        <f>IFERROR(ABS(INDEX(CashIntraTable[Amount],MATCH($A$3&amp;F$5&amp;$A54,CashIntraTable[RefRng],0))),0)</f>
        <v>0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21933215.010000002</v>
      </c>
      <c r="C31" s="34">
        <v>17719807.190000001</v>
      </c>
      <c r="D31" s="64">
        <f>IFERROR(ABS(INDEX(CashIntraTable[Amount],MATCH($A$3&amp;D$5&amp;$A55,CashIntraTable[RefRng],0))),0)</f>
        <v>13691919.57</v>
      </c>
      <c r="E31" s="65">
        <f>IFERROR(ABS(INDEX(CashIntraTable[Amount],MATCH($A$3&amp;E$5&amp;$A55,CashIntraTable[RefRng],0))),0)</f>
        <v>1467577.42</v>
      </c>
      <c r="F31" s="34">
        <f>IFERROR(ABS(INDEX(CashIntraTable[Amount],MATCH($A$3&amp;F$5&amp;$A55,CashIntraTable[RefRng],0))),0)</f>
        <v>0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319850430.75999999</v>
      </c>
      <c r="C32" s="34">
        <v>0</v>
      </c>
      <c r="D32" s="34">
        <f>IFERROR(INDEX(CashProjTable[DebtBuy_BahtNet],MATCH($A$3&amp;D$5,CashProjTable[RefRng],0))+SUMIFS(IntraTrans[Net Settlement],IntraTrans[Portfolio],$A$3,IntraTrans[B/S],"B",IntraTrans[Settle Date],D$5,IntraTrans[Payment],"BAHTNET"),0)</f>
        <v>199227844.96000001</v>
      </c>
      <c r="E32" s="34">
        <f>IFERROR(INDEX(CashProjTable[DebtBuy_BahtNet],MATCH($A$3&amp;E$5,CashProjTable[RefRng],0))+SUMIFS(IntraTrans[Net Settlement],IntraTrans[Portfolio],$A$3,IntraTrans[B/S],"B",IntraTrans[Settle Date],E$5,IntraTrans[Payment],"BAHTNET"),0)</f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3" s="34">
        <f>IFERROR((INDEX(CashProjTable[DebtBuy],MATCH($A$3&amp;E$5,CashProjTable[RefRng],0))-INDEX(CashProjTable[DebtBuy_BahtNet],MATCH($A$3&amp;E$5,CashProjTable[RefRng],0)))+SUMIFS(IntraTrans[Net Settlement],IntraTrans[Portfolio],$A$3,IntraTrans[B/S],"B",IntraTrans[Settle Date],E$5,IntraTrans[Payment],"CHEQUE"),0)</f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0</v>
      </c>
      <c r="D34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4" s="34">
        <f t="shared" ref="D34:J34" si="7">IF(E$10&gt;0,E$10,0)</f>
        <v>0</v>
      </c>
      <c r="F34" s="34">
        <f t="shared" si="7"/>
        <v>0</v>
      </c>
      <c r="G34" s="34">
        <f t="shared" si="7"/>
        <v>0</v>
      </c>
      <c r="H34" s="34">
        <f t="shared" si="7"/>
        <v>0</v>
      </c>
      <c r="I34" s="34">
        <f t="shared" si="7"/>
        <v>0</v>
      </c>
      <c r="J34" s="34">
        <f t="shared" si="7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6" s="34">
        <f>IFERROR(INDEX(CashProjTable[Expense],MATCH($A$3&amp;E$5,CashProjTable[RefRng],0)),0)</f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346388231.88999999</v>
      </c>
      <c r="C38" s="38">
        <v>23111515.060000002</v>
      </c>
      <c r="D38" s="38">
        <f t="shared" ref="D38:J38" si="8">SUM(D30:D37)</f>
        <v>217650425.40000001</v>
      </c>
      <c r="E38" s="38">
        <f t="shared" si="8"/>
        <v>1485361.69</v>
      </c>
      <c r="F38" s="38">
        <f t="shared" ref="F38:H38" si="9">SUM(F30:F37)</f>
        <v>0</v>
      </c>
      <c r="G38" s="38">
        <f t="shared" si="9"/>
        <v>0</v>
      </c>
      <c r="H38" s="38">
        <f t="shared" si="9"/>
        <v>0</v>
      </c>
      <c r="I38" s="38">
        <f t="shared" si="8"/>
        <v>0</v>
      </c>
      <c r="J38" s="38">
        <f t="shared" si="8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878</v>
      </c>
    </row>
    <row r="41" spans="1:33" s="23" customFormat="1" x14ac:dyDescent="0.2">
      <c r="A41" s="27" t="s">
        <v>385</v>
      </c>
      <c r="B41" s="34">
        <v>2268920.6100000143</v>
      </c>
      <c r="C41" s="34">
        <v>2814847.1499999985</v>
      </c>
      <c r="D41" s="34">
        <f t="shared" ref="D41:J41" ca="1" si="10">D$6+D$27-D$38</f>
        <v>5800435.6399999857</v>
      </c>
      <c r="E41" s="34">
        <f t="shared" ca="1" si="10"/>
        <v>18626309.409999985</v>
      </c>
      <c r="F41" s="34">
        <f t="shared" ca="1" si="10"/>
        <v>21963334.659999985</v>
      </c>
      <c r="G41" s="34">
        <f t="shared" ca="1" si="10"/>
        <v>119337668.93999998</v>
      </c>
      <c r="H41" s="34">
        <f t="shared" ca="1" si="10"/>
        <v>399337668.94</v>
      </c>
      <c r="I41" s="34">
        <f t="shared" ca="1" si="10"/>
        <v>409488079.89999998</v>
      </c>
      <c r="J41" s="34">
        <f t="shared" ca="1" si="10"/>
        <v>409488079.89999998</v>
      </c>
      <c r="K41" s="34"/>
      <c r="L41" s="34"/>
    </row>
    <row r="42" spans="1:33" s="23" customFormat="1" x14ac:dyDescent="0.2">
      <c r="A42" s="27" t="s">
        <v>893</v>
      </c>
      <c r="B42" s="34">
        <v>2267192.94</v>
      </c>
      <c r="C42" s="34">
        <v>-15609107.289999999</v>
      </c>
      <c r="D42" s="34">
        <f>IFERROR(INDEX(CashProjTable[CashBal],MATCH($A$3&amp;D$5,CashProjTable[RefRng],0)),0)</f>
        <v>22642028.350000001</v>
      </c>
      <c r="E42" s="34">
        <f>IFERROR(INDEX(CashProjTable[CashBal],MATCH($A$3&amp;E$5,CashProjTable[RefRng],0)),0)</f>
        <v>25728461.23</v>
      </c>
      <c r="F42" s="34">
        <f>IFERROR(INDEX(CashProjTable[CashBal],MATCH($A$3&amp;F$5,CashProjTable[RefRng],0)),0)</f>
        <v>25728461.23</v>
      </c>
      <c r="G42" s="34">
        <f>IFERROR(INDEX(CashProjTable[CashBal],MATCH($A$3&amp;G$5,CashProjTable[RefRng],0)),0)</f>
        <v>122903492.54000001</v>
      </c>
      <c r="H42" s="34">
        <f>IFERROR(INDEX(CashProjTable[CashBal],MATCH($A$3&amp;H$5,CashProjTable[RefRng],0)),0)</f>
        <v>402903492.54000002</v>
      </c>
      <c r="I42" s="34">
        <f>IFERROR(INDEX(CashProjTable[CashBal],MATCH($A$3&amp;I$5,CashProjTable[RefRng],0)),0)</f>
        <v>413053903.5</v>
      </c>
      <c r="J42" s="34">
        <f>IFERROR(INDEX(CashProjTable[CashBal],MATCH($A$3&amp;J$5,CashProjTable[RefRng],0)),0)</f>
        <v>413053903.5</v>
      </c>
      <c r="K42" s="34"/>
      <c r="L42" s="34"/>
    </row>
    <row r="43" spans="1:33" s="42" customFormat="1" x14ac:dyDescent="0.2">
      <c r="A43" s="40" t="s">
        <v>386</v>
      </c>
      <c r="B43" s="41">
        <v>-1727.670000014361</v>
      </c>
      <c r="C43" s="41">
        <v>-18423954.439999998</v>
      </c>
      <c r="D43" s="41">
        <f t="shared" ref="D43:J43" ca="1" si="11">D42-D41</f>
        <v>16841592.710000016</v>
      </c>
      <c r="E43" s="41">
        <f t="shared" ca="1" si="11"/>
        <v>7102151.8200000152</v>
      </c>
      <c r="F43" s="41">
        <f t="shared" ref="F43:H43" ca="1" si="12">F42-F41</f>
        <v>3765126.5700000152</v>
      </c>
      <c r="G43" s="41">
        <f t="shared" ca="1" si="12"/>
        <v>3565823.6000000238</v>
      </c>
      <c r="H43" s="41">
        <f t="shared" ca="1" si="12"/>
        <v>3565823.6000000238</v>
      </c>
      <c r="I43" s="41">
        <f t="shared" ca="1" si="11"/>
        <v>3565823.6000000238</v>
      </c>
      <c r="J43" s="41">
        <f t="shared" ca="1" si="11"/>
        <v>3565823.6000000238</v>
      </c>
      <c r="K43" s="41"/>
      <c r="L43" s="41"/>
    </row>
    <row r="44" spans="1:33" s="23" customFormat="1" x14ac:dyDescent="0.2">
      <c r="A44" s="27" t="s">
        <v>894</v>
      </c>
      <c r="B44" s="34">
        <v>9794408136.4700012</v>
      </c>
      <c r="C44" s="34">
        <v>9797992587.7600021</v>
      </c>
      <c r="D44" s="34">
        <f t="shared" ref="D44:J44" ca="1" si="13">IF(D$5&gt;TODAY(),C44,C45)+SUM(D16:D19)-SUM(D30:D31)</f>
        <v>9773091943.0499992</v>
      </c>
      <c r="E44" s="34">
        <f t="shared" ca="1" si="13"/>
        <v>9782831383.9399986</v>
      </c>
      <c r="F44" s="34">
        <f t="shared" ref="F44" ca="1" si="14">IF(F$5&gt;TODAY(),E44,E45)+SUM(F16:F19)-SUM(F30:F31)</f>
        <v>9786168409.1899986</v>
      </c>
      <c r="G44" s="34">
        <f t="shared" ref="G44" ca="1" si="15">IF(G$5&gt;TODAY(),F44,F45)+SUM(G16:G19)-SUM(G30:G31)</f>
        <v>9786367712.1599979</v>
      </c>
      <c r="H44" s="34">
        <f t="shared" ref="H44" ca="1" si="16">IF(H$5&gt;TODAY(),G44,G45)+SUM(H16:H19)-SUM(H30:H31)</f>
        <v>9786367712.1599979</v>
      </c>
      <c r="I44" s="34">
        <f t="shared" ca="1" si="13"/>
        <v>9786367712.1599979</v>
      </c>
      <c r="J44" s="34">
        <f t="shared" ca="1" si="13"/>
        <v>9786367712.1599979</v>
      </c>
      <c r="K44" s="34"/>
      <c r="L44" s="34"/>
    </row>
    <row r="45" spans="1:33" s="23" customFormat="1" x14ac:dyDescent="0.2">
      <c r="A45" s="27" t="s">
        <v>895</v>
      </c>
      <c r="B45" s="34">
        <v>9802444933.5500011</v>
      </c>
      <c r="C45" s="34">
        <v>9786591729.9499989</v>
      </c>
      <c r="D45" s="34">
        <f>[1]!SCBAM_GetGroup1Dtl($A$3,"NET ASSET VALUE",D$5,"MarketVal")+[1]!SCBAM_GetGroup1Dtl($A$3,"NET ASSET VALUE",D$5,"ai")</f>
        <v>0</v>
      </c>
      <c r="E45" s="34">
        <f>[1]!SCBAM_GetGroup1Dtl($A$3,"NET ASSET VALUE",E$5,"MarketVal")+[1]!SCBAM_GetGroup1Dtl($A$3,"NET ASSET VALUE",E$5,"ai")</f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879</v>
      </c>
      <c r="B46" s="21">
        <v>-4452345.7900000028</v>
      </c>
      <c r="C46" s="21">
        <v>-13499094.300000001</v>
      </c>
      <c r="D46" s="21">
        <f t="shared" ref="D46:J46" si="17">SUM(E16:E19)-SUM(E30:E31)</f>
        <v>9739440.8900000006</v>
      </c>
      <c r="E46" s="21">
        <f t="shared" si="17"/>
        <v>3337025.25</v>
      </c>
      <c r="F46" s="21">
        <f t="shared" ref="F46" si="18">SUM(G16:G19)-SUM(G30:G31)</f>
        <v>199302.97</v>
      </c>
      <c r="G46" s="21">
        <f t="shared" ref="G46" si="19">SUM(H16:H19)-SUM(H30:H31)</f>
        <v>0</v>
      </c>
      <c r="H46" s="21">
        <f t="shared" ref="H46" si="20">SUM(I16:I19)-SUM(I30:I31)</f>
        <v>0</v>
      </c>
      <c r="I46" s="21">
        <f t="shared" si="17"/>
        <v>0</v>
      </c>
      <c r="J46" s="21">
        <f t="shared" si="17"/>
        <v>0</v>
      </c>
      <c r="K46" s="21"/>
      <c r="L46" s="21"/>
    </row>
    <row r="47" spans="1:33" s="49" customFormat="1" x14ac:dyDescent="0.2">
      <c r="A47" s="47" t="s">
        <v>387</v>
      </c>
      <c r="B47" s="50">
        <v>2.3146476469705749E-4</v>
      </c>
      <c r="C47" s="50">
        <v>2.8762282392813987E-4</v>
      </c>
      <c r="D47" s="50">
        <f t="shared" ref="D47:J47" ca="1" si="21">D41/IF(D5&lt;TODAY(),D45,D44)</f>
        <v>5.9351080229270601E-4</v>
      </c>
      <c r="E47" s="50">
        <f t="shared" ca="1" si="21"/>
        <v>1.9039793980889722E-3</v>
      </c>
      <c r="F47" s="50">
        <f t="shared" ref="F47:H47" ca="1" si="22">F41/IF(F5&lt;TODAY(),F45,F44)</f>
        <v>2.2443242075595848E-3</v>
      </c>
      <c r="G47" s="50">
        <f t="shared" ca="1" si="22"/>
        <v>1.2194276002087844E-2</v>
      </c>
      <c r="H47" s="50">
        <f t="shared" ca="1" si="22"/>
        <v>4.0805504216217543E-2</v>
      </c>
      <c r="I47" s="50">
        <f t="shared" ca="1" si="21"/>
        <v>4.1842703232088121E-2</v>
      </c>
      <c r="J47" s="50">
        <f t="shared" ca="1" si="21"/>
        <v>4.1842703232088121E-2</v>
      </c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</row>
    <row r="48" spans="1:33" s="43" customFormat="1" x14ac:dyDescent="0.2">
      <c r="A48" s="43" t="s">
        <v>388</v>
      </c>
      <c r="B48" s="44">
        <v>-3799043.66</v>
      </c>
      <c r="C48" s="44">
        <v>-20841607.289999999</v>
      </c>
      <c r="D48" s="44">
        <f>IFERROR(INDEX(CashProjTable[CashForUse],MATCH($A$3&amp;D$5,CashProjTable[RefRng],0)),0)</f>
        <v>19356828.350000001</v>
      </c>
      <c r="E48" s="44">
        <f>IFERROR(INDEX(CashProjTable[CashForUse],MATCH($A$3&amp;E$5,CashProjTable[RefRng],0)),0)</f>
        <v>25728461.23</v>
      </c>
      <c r="F48" s="44">
        <f>IFERROR(INDEX(CashProjTable[CashForUse],MATCH($A$3&amp;F$5,CashProjTable[RefRng],0)),0)</f>
        <v>25728461.23</v>
      </c>
      <c r="G48" s="44">
        <f>IFERROR(INDEX(CashProjTable[CashForUse],MATCH($A$3&amp;G$5,CashProjTable[RefRng],0)),0)</f>
        <v>122903492.54000001</v>
      </c>
      <c r="H48" s="44">
        <f>IFERROR(INDEX(CashProjTable[CashForUse],MATCH($A$3&amp;H$5,CashProjTable[RefRng],0)),0)</f>
        <v>402903492.54000002</v>
      </c>
      <c r="I48" s="44">
        <f>IFERROR(INDEX(CashProjTable[CashForUse],MATCH($A$3&amp;I$5,CashProjTable[RefRng],0)),0)</f>
        <v>413053903.5</v>
      </c>
      <c r="J48" s="44">
        <f>IFERROR(INDEX(CashProjTable[CashForUse],MATCH($A$3&amp;J$5,CashProjTable[RefRng],0)),0)</f>
        <v>413053903.5</v>
      </c>
      <c r="K48" s="44"/>
      <c r="L48" s="44"/>
    </row>
    <row r="49" spans="1:12" s="43" customFormat="1" x14ac:dyDescent="0.2">
      <c r="A49" s="43" t="s">
        <v>389</v>
      </c>
      <c r="B49" s="44">
        <v>-7438502.4900000002</v>
      </c>
      <c r="C49" s="44">
        <v>-26907843.890000001</v>
      </c>
      <c r="D49" s="44">
        <f>IFERROR(INDEX(CashProjTable[CashForBahtNet],MATCH($A$3&amp;D$5,CashProjTable[RefRng],0)),0)</f>
        <v>13987153.560000001</v>
      </c>
      <c r="E49" s="44">
        <f>IFERROR(INDEX(CashProjTable[CashForBahtNet],MATCH($A$3&amp;E$5,CashProjTable[RefRng],0)),0)</f>
        <v>19356828.350000001</v>
      </c>
      <c r="F49" s="44">
        <f>IFERROR(INDEX(CashProjTable[CashForBahtNet],MATCH($A$3&amp;F$5,CashProjTable[RefRng],0)),0)</f>
        <v>25728461.23</v>
      </c>
      <c r="G49" s="44">
        <f>IFERROR(INDEX(CashProjTable[CashForBahtNet],MATCH($A$3&amp;G$5,CashProjTable[RefRng],0)),0)</f>
        <v>120745461.23</v>
      </c>
      <c r="H49" s="44">
        <f>IFERROR(INDEX(CashProjTable[CashForBahtNet],MATCH($A$3&amp;H$5,CashProjTable[RefRng],0)),0)</f>
        <v>402903492.54000002</v>
      </c>
      <c r="I49" s="44">
        <f>IFERROR(INDEX(CashProjTable[CashForBahtNet],MATCH($A$3&amp;I$5,CashProjTable[RefRng],0)),0)</f>
        <v>412903492.54000002</v>
      </c>
      <c r="J49" s="44">
        <f>IFERROR(INDEX(CashProjTable[CashForBahtNet],MATCH($A$3&amp;J$5,CashProjTable[RefRng],0)),0)</f>
        <v>413053903.5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161" priority="12" operator="equal">
      <formula>TODAY()</formula>
    </cfRule>
  </conditionalFormatting>
  <conditionalFormatting sqref="K9:L9">
    <cfRule type="cellIs" dxfId="160" priority="11" operator="greaterThan">
      <formula>"&lt;0"</formula>
    </cfRule>
  </conditionalFormatting>
  <conditionalFormatting sqref="K10:L10">
    <cfRule type="cellIs" dxfId="159" priority="10" operator="greaterThan">
      <formula>"&lt;0"</formula>
    </cfRule>
  </conditionalFormatting>
  <conditionalFormatting sqref="K11:L11">
    <cfRule type="cellIs" dxfId="158" priority="9" operator="greaterThan">
      <formula>"&lt;0"</formula>
    </cfRule>
  </conditionalFormatting>
  <conditionalFormatting sqref="D10">
    <cfRule type="cellIs" dxfId="157" priority="6" operator="greaterThan">
      <formula>"&lt;0"</formula>
    </cfRule>
  </conditionalFormatting>
  <conditionalFormatting sqref="D11">
    <cfRule type="cellIs" dxfId="156" priority="5" operator="greaterThan">
      <formula>"&lt;0"</formula>
    </cfRule>
  </conditionalFormatting>
  <conditionalFormatting sqref="A5:C5 M5:XFD5 E5 I5:J5">
    <cfRule type="cellIs" dxfId="155" priority="20" operator="equal">
      <formula>TODAY()</formula>
    </cfRule>
  </conditionalFormatting>
  <conditionalFormatting sqref="B9:E9 I9:J9">
    <cfRule type="cellIs" dxfId="154" priority="19" operator="greaterThan">
      <formula>"&lt;0"</formula>
    </cfRule>
  </conditionalFormatting>
  <conditionalFormatting sqref="B10">
    <cfRule type="cellIs" dxfId="153" priority="18" operator="greaterThan">
      <formula>"&lt;0"</formula>
    </cfRule>
  </conditionalFormatting>
  <conditionalFormatting sqref="B11">
    <cfRule type="cellIs" dxfId="152" priority="17" operator="greaterThan">
      <formula>"&lt;0"</formula>
    </cfRule>
  </conditionalFormatting>
  <conditionalFormatting sqref="C10 E10 I10:J10">
    <cfRule type="cellIs" dxfId="151" priority="15" operator="greaterThan">
      <formula>"&lt;0"</formula>
    </cfRule>
  </conditionalFormatting>
  <conditionalFormatting sqref="C11 E11 I11:J11">
    <cfRule type="cellIs" dxfId="150" priority="14" operator="greaterThan">
      <formula>"&lt;0"</formula>
    </cfRule>
  </conditionalFormatting>
  <conditionalFormatting sqref="B7">
    <cfRule type="cellIs" dxfId="149" priority="13" operator="greaterThan">
      <formula>"&lt;0"</formula>
    </cfRule>
  </conditionalFormatting>
  <conditionalFormatting sqref="D5">
    <cfRule type="cellIs" dxfId="148" priority="8" operator="equal">
      <formula>TODAY()</formula>
    </cfRule>
  </conditionalFormatting>
  <conditionalFormatting sqref="F5:H5">
    <cfRule type="cellIs" dxfId="147" priority="4" operator="equal">
      <formula>TODAY()</formula>
    </cfRule>
  </conditionalFormatting>
  <conditionalFormatting sqref="F9:H9">
    <cfRule type="cellIs" dxfId="146" priority="3" operator="greaterThan">
      <formula>"&lt;0"</formula>
    </cfRule>
  </conditionalFormatting>
  <conditionalFormatting sqref="F10:H10">
    <cfRule type="cellIs" dxfId="145" priority="2" operator="greaterThan">
      <formula>"&lt;0"</formula>
    </cfRule>
  </conditionalFormatting>
  <conditionalFormatting sqref="F11:H11">
    <cfRule type="cellIs" dxfId="144" priority="1" operator="greaterThan">
      <formula>"&lt;0"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4DB09-B1DD-4E32-A393-E7AF585888EC}">
  <sheetPr codeName="Sheet5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4" sqref="B4"/>
    </sheetView>
  </sheetViews>
  <sheetFormatPr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TODAY()</f>
        <v>43384</v>
      </c>
    </row>
    <row r="3" spans="1:33" x14ac:dyDescent="0.2">
      <c r="A3" s="14" t="s">
        <v>354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>[1]!SCBAM_NextBusinessDay(C5)</f>
        <v>43384</v>
      </c>
      <c r="E5" s="16">
        <f>[1]!SCBAM_NextBusinessDay(D5)</f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6592007.9299999997</v>
      </c>
      <c r="C6" s="21">
        <v>2767519.53</v>
      </c>
      <c r="D6" s="21">
        <f ca="1">IF(AND(ISNUMBER(C41),ISNUMBER(C42)),IF(D5&lt;=TODAY(),C42,C41),INDEX(CashProjTable[CashBal],MATCH($A$3&amp;[1]!SCBAM_PreviousBusinessDay(D$5),CashProjTable[RefRng],0)))</f>
        <v>1687206.61</v>
      </c>
      <c r="E6" s="21">
        <f ca="1">IF(AND(ISNUMBER(D41),ISNUMBER(D42)),IF(E5&lt;=TODAY(),D42,D41),INDEX(CashProjTable[CashBal],MATCH($A$3&amp;[1]!SCBAM_PreviousBusinessDay(E$5),CashProjTable[RefRng],0)))</f>
        <v>1183559.6400000006</v>
      </c>
      <c r="F6" s="21">
        <f ca="1">IF(AND(ISNUMBER(E41),ISNUMBER(E42)),IF(F5&lt;=TODAY(),E42,E41),INDEX(CashProjTable[CashBal],MATCH($A$3&amp;[1]!SCBAM_PreviousBusinessDay(F$5),CashProjTable[RefRng],0)))</f>
        <v>2557923.8500000006</v>
      </c>
      <c r="G6" s="21">
        <f ca="1">IF(AND(ISNUMBER(F41),ISNUMBER(F42)),IF(G5&lt;=TODAY(),F42,F41),INDEX(CashProjTable[CashBal],MATCH($A$3&amp;[1]!SCBAM_PreviousBusinessDay(G$5),CashProjTable[RefRng],0)))</f>
        <v>152633281.15000001</v>
      </c>
      <c r="H6" s="21">
        <f ca="1">IF(AND(ISNUMBER(G41),ISNUMBER(G42)),IF(H5&lt;=TODAY(),G42,G41),INDEX(CashProjTable[CashBal],MATCH($A$3&amp;[1]!SCBAM_PreviousBusinessDay(H$5),CashProjTable[RefRng],0)))</f>
        <v>152634253.11000001</v>
      </c>
      <c r="I6" s="21">
        <f ca="1">IF(AND(ISNUMBER(H41),ISNUMBER(H42)),IF(I5&lt;=TODAY(),H42,H41),INDEX(CashProjTable[CashBal],MATCH($A$3&amp;[1]!SCBAM_PreviousBusinessDay(I$5),CashProjTable[RefRng],0)))</f>
        <v>212644316.42000002</v>
      </c>
      <c r="J6" s="21">
        <f ca="1">IF(AND(ISNUMBER(I41),ISNUMBER(I42)),IF(J5&lt;=TODAY(),I42,I41),INDEX(CashProjTable[CashBal],MATCH($A$3&amp;[1]!SCBAM_PreviousBusinessDay(J$5),CashProjTable[RefRng],0)))</f>
        <v>212644316.42000002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14128950.960000001</v>
      </c>
      <c r="C9" s="24">
        <v>14128950.960000001</v>
      </c>
      <c r="D9" s="24">
        <f>IF(ISNUMBER(C$5),C$11,[1]!SCBAM_GetSecDtl($A$3,"INVSUOBTrm2",D$5,"MarketVal"))</f>
        <v>14128950.960000001</v>
      </c>
      <c r="E9" s="24">
        <f>IF(ISNUMBER(D$5),D$11,[1]!SCBAM_GetSecDtl($A$3,"INVSUOBTrm2",E$5,"MarketVal"))</f>
        <v>14128950.960000001</v>
      </c>
      <c r="F9" s="24">
        <f>IF(ISNUMBER(E$5),E$11,[1]!SCBAM_GetSecDtl($A$3,"INVSUOBTrm2",F$5,"MarketVal"))</f>
        <v>14128950.960000001</v>
      </c>
      <c r="G9" s="24">
        <f>IF(ISNUMBER(F$5),F$11,[1]!SCBAM_GetSecDtl($A$3,"INVSUOBTrm2",G$5,"MarketVal"))</f>
        <v>14128950.960000001</v>
      </c>
      <c r="H9" s="24">
        <f>IF(ISNUMBER(G$5),G$11,[1]!SCBAM_GetSecDtl($A$3,"INVSUOBTrm2",H$5,"MarketVal"))</f>
        <v>14128950.960000001</v>
      </c>
      <c r="I9" s="24">
        <f>IF(ISNUMBER(H$5),H$11,[1]!SCBAM_GetSecDtl($A$3,"INVSUOBTrm2",I$5,"MarketVal"))</f>
        <v>14128950.960000001</v>
      </c>
      <c r="J9" s="24">
        <f>IF(ISNUMBER(I$5),I$11,[1]!SCBAM_GetSecDtl($A$3,"INVSUOBTrm2",J$5,"MarketVal"))</f>
        <v>14128950.960000001</v>
      </c>
      <c r="K9" s="24"/>
      <c r="L9" s="24"/>
    </row>
    <row r="10" spans="1:33" s="63" customFormat="1" ht="14.25" x14ac:dyDescent="0.2">
      <c r="A10" s="61" t="s">
        <v>361</v>
      </c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</row>
    <row r="11" spans="1:33" s="31" customFormat="1" ht="13.5" thickBot="1" x14ac:dyDescent="0.25">
      <c r="A11" s="29" t="s">
        <v>362</v>
      </c>
      <c r="B11" s="30">
        <v>14128950.960000001</v>
      </c>
      <c r="C11" s="30">
        <v>14128950.960000001</v>
      </c>
      <c r="D11" s="30">
        <f t="shared" ref="D11:J11" si="0">SUM(D9:D10)</f>
        <v>14128950.960000001</v>
      </c>
      <c r="E11" s="30">
        <f t="shared" si="0"/>
        <v>14128950.960000001</v>
      </c>
      <c r="F11" s="30">
        <f t="shared" ref="F11" si="1">SUM(F9:F10)</f>
        <v>14128950.960000001</v>
      </c>
      <c r="G11" s="30">
        <f t="shared" ref="G11" si="2">SUM(G9:G10)</f>
        <v>14128950.960000001</v>
      </c>
      <c r="H11" s="30">
        <f t="shared" ref="H11" si="3">SUM(H9:H10)</f>
        <v>14128950.960000001</v>
      </c>
      <c r="I11" s="30">
        <f t="shared" si="0"/>
        <v>14128950.960000001</v>
      </c>
      <c r="J11" s="30">
        <f t="shared" si="0"/>
        <v>14128950.960000001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415700</v>
      </c>
      <c r="C16" s="34">
        <v>1951000</v>
      </c>
      <c r="D16" s="64">
        <f>IFERROR(INDEX(CashIntraTable[Amount],MATCH($A$3&amp;D$5&amp;$A51,CashIntraTable[RefRng],0)),0)</f>
        <v>816200</v>
      </c>
      <c r="E16" s="65">
        <f>IFERROR(INDEX(CashIntraTable[Amount],MATCH($A$3&amp;E$5&amp;$A51,CashIntraTable[RefRng],0)),0)</f>
        <v>305000</v>
      </c>
      <c r="F16" s="34">
        <f>IFERROR(INDEX(CashIntraTable[Amount],MATCH($A$3&amp;F$5&amp;$A51,CashIntraTable[RefRng],0)),0)</f>
        <v>0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659000</v>
      </c>
      <c r="C17" s="34">
        <v>1225000</v>
      </c>
      <c r="D17" s="64">
        <f>IFERROR(INDEX(CashIntraTable[Amount],MATCH($A$3&amp;D$5&amp;$A52,CashIntraTable[RefRng],0)),0)</f>
        <v>1331000</v>
      </c>
      <c r="E17" s="65">
        <f>IFERROR(INDEX(CashIntraTable[Amount],MATCH($A$3&amp;E$5&amp;$A52,CashIntraTable[RefRng],0)),0)</f>
        <v>51000</v>
      </c>
      <c r="F17" s="34">
        <f>IFERROR(INDEX(CashIntraTable[Amount],MATCH($A$3&amp;F$5&amp;$A52,CashIntraTable[RefRng],0)),0)</f>
        <v>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887446.51</v>
      </c>
      <c r="C18" s="34">
        <v>887778.5</v>
      </c>
      <c r="D18" s="64">
        <f>IFERROR(INDEX(CashIntraTable[Amount],MATCH($A$3&amp;D$5&amp;$A53,CashIntraTable[RefRng],0)),0)</f>
        <v>2902217.21</v>
      </c>
      <c r="E18" s="65">
        <f>IFERROR(INDEX(CashIntraTable[Amount],MATCH($A$3&amp;E$5&amp;$A53,CashIntraTable[RefRng],0)),0)</f>
        <v>948633.67</v>
      </c>
      <c r="F18" s="34">
        <f>IFERROR(INDEX(CashIntraTable[Amount],MATCH($A$3&amp;F$5&amp;$A53,CashIntraTable[RefRng],0)),0)</f>
        <v>75357.3</v>
      </c>
      <c r="G18" s="34">
        <f>IFERROR(INDEX(CashIntraTable[Amount],MATCH($A$3&amp;G$5&amp;$A53,CashIntraTable[RefRng],0)),0)</f>
        <v>971.96</v>
      </c>
      <c r="H18" s="34">
        <f>IFERROR(INDEX(CashIntraTable[Amount],MATCH($A$3&amp;H$5&amp;$A53,CashIntraTable[RefRng],0)),0)</f>
        <v>10063.31</v>
      </c>
      <c r="I18" s="34">
        <f>IFERROR(INDEX(CashIntraTable[Amount],MATCH($A$3&amp;I$5&amp;$A53,CashIntraTable[RefRng],0)),0)</f>
        <v>0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4">
        <v>0</v>
      </c>
      <c r="E19" s="65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/>
      <c r="C20" s="34">
        <v>0</v>
      </c>
      <c r="D20" s="34">
        <f>IFERROR(INDEX(CashProjTable[DebtSell_BahtNet],MATCH($A$3&amp;D$5,CashProjTable[RefRng],0))+SUMIFS(IntraTrans[Net Settlement],IntraTrans[Portfolio],$A$3,IntraTrans[B/S],"S",IntraTrans[Settle Date],D$5,IntraTrans[Payment],"BAHTNET"),0)</f>
        <v>74000000</v>
      </c>
      <c r="E20" s="34">
        <f>IFERROR(INDEX(CashProjTable[DebtSell_BahtNet],MATCH($A$3&amp;E$5,CashProjTable[RefRng],0))+SUMIFS(IntraTrans[Net Settlement],IntraTrans[Portfolio],$A$3,IntraTrans[B/S],"S",IntraTrans[Settle Date],E$5,IntraTrans[Payment],"BAHTNET"),0)</f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150000000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60000000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1" s="34">
        <f>IFERROR((INDEX(CashProjTable[DebtSell],MATCH($A$3&amp;E$5,CashProjTable[RefRng],0))-INDEX(CashProjTable[DebtSell_BahtNet],MATCH($A$3&amp;E$5,CashProjTable[RefRng],0)))+SUMIFS(IntraTrans[Net Settlement],IntraTrans[Portfolio],$A$3,IntraTrans[B/S],"S",IntraTrans[Settle Date],E$5,IntraTrans[Payment],"CHEQUE"),0)</f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0</v>
      </c>
      <c r="C22" s="34">
        <v>0</v>
      </c>
      <c r="D22" s="34">
        <f t="shared" ref="D22:J22" si="4">IF(D$10&lt;0,-D$10,0)</f>
        <v>0</v>
      </c>
      <c r="E22" s="34">
        <f t="shared" si="4"/>
        <v>0</v>
      </c>
      <c r="F22" s="34">
        <f t="shared" si="4"/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2007986.3</v>
      </c>
      <c r="D24" s="34">
        <f>IFERROR(INDEX(CashProjTable[DebtInterest],MATCH($A$3&amp;D$5,CashProjTable[RefRng],0)),0)</f>
        <v>0</v>
      </c>
      <c r="E24" s="34">
        <f>IFERROR(INDEX(CashProjTable[DebtInterest],MATCH($A$3&amp;E$5,CashProjTable[RefRng],0)),0)</f>
        <v>857492.88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1582824.66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f>IFERROR(INDEX(CashProjTable[CashEqInterest],MATCH($A$3&amp;D$5,CashProjTable[RefRng],0)),0)</f>
        <v>0</v>
      </c>
      <c r="E25" s="34">
        <f>IFERROR(INDEX(CashProjTable[CashEqInterest],MATCH($A$3&amp;E$5,CashProjTable[RefRng],0)),0)</f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1962146.51</v>
      </c>
      <c r="C27" s="38">
        <v>6071764.7999999998</v>
      </c>
      <c r="D27" s="38">
        <f t="shared" ref="D27:J27" si="5">SUM(D16:D26)</f>
        <v>79049417.209999993</v>
      </c>
      <c r="E27" s="38">
        <f t="shared" si="5"/>
        <v>2162126.5499999998</v>
      </c>
      <c r="F27" s="38">
        <f t="shared" ref="F27:H27" si="6">SUM(F16:F26)</f>
        <v>150075357.30000001</v>
      </c>
      <c r="G27" s="38">
        <f t="shared" si="6"/>
        <v>971.96</v>
      </c>
      <c r="H27" s="38">
        <f t="shared" si="6"/>
        <v>60010063.310000002</v>
      </c>
      <c r="I27" s="38">
        <f t="shared" si="5"/>
        <v>0</v>
      </c>
      <c r="J27" s="38">
        <f t="shared" si="5"/>
        <v>1582824.66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3098270.51</v>
      </c>
      <c r="C30" s="34">
        <v>455292.3</v>
      </c>
      <c r="D30" s="64">
        <f>IFERROR(ABS(INDEX(CashIntraTable[Amount],MATCH($A$3&amp;D$5&amp;$A54,CashIntraTable[RefRng],0))),0)</f>
        <v>331125.2</v>
      </c>
      <c r="E30" s="65">
        <f>IFERROR(ABS(INDEX(CashIntraTable[Amount],MATCH($A$3&amp;E$5&amp;$A54,CashIntraTable[RefRng],0))),0)</f>
        <v>12443.2</v>
      </c>
      <c r="F30" s="34">
        <f>IFERROR(ABS(INDEX(CashIntraTable[Amount],MATCH($A$3&amp;F$5&amp;$A54,CashIntraTable[RefRng],0))),0)</f>
        <v>0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3092018.34</v>
      </c>
      <c r="C31" s="34">
        <v>5807299.1500000004</v>
      </c>
      <c r="D31" s="64">
        <f>IFERROR(ABS(INDEX(CashIntraTable[Amount],MATCH($A$3&amp;D$5&amp;$A55,CashIntraTable[RefRng],0))),0)</f>
        <v>1183888.27</v>
      </c>
      <c r="E31" s="65">
        <f>IFERROR(ABS(INDEX(CashIntraTable[Amount],MATCH($A$3&amp;E$5&amp;$A55,CashIntraTable[RefRng],0))),0)</f>
        <v>775319.14</v>
      </c>
      <c r="F31" s="34">
        <f>IFERROR(ABS(INDEX(CashIntraTable[Amount],MATCH($A$3&amp;F$5&amp;$A55,CashIntraTable[RefRng],0))),0)</f>
        <v>0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0</v>
      </c>
      <c r="C32" s="34">
        <v>0</v>
      </c>
      <c r="D32" s="34">
        <f>IFERROR(INDEX(CashProjTable[DebtBuy_BahtNet],MATCH($A$3&amp;D$5,CashProjTable[RefRng],0))+SUMIFS(IntraTrans[Net Settlement],IntraTrans[Portfolio],$A$3,IntraTrans[B/S],"B",IntraTrans[Settle Date],D$5,IntraTrans[Payment],"BAHTNET"),0)</f>
        <v>78038050.709999993</v>
      </c>
      <c r="E32" s="34">
        <f>IFERROR(INDEX(CashProjTable[DebtBuy_BahtNet],MATCH($A$3&amp;E$5,CashProjTable[RefRng],0))+SUMIFS(IntraTrans[Net Settlement],IntraTrans[Portfolio],$A$3,IntraTrans[B/S],"B",IntraTrans[Settle Date],E$5,IntraTrans[Payment],"BAHTNET"),0)</f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3" s="34">
        <f>IFERROR((INDEX(CashProjTable[DebtBuy],MATCH($A$3&amp;E$5,CashProjTable[RefRng],0))-INDEX(CashProjTable[DebtBuy_BahtNet],MATCH($A$3&amp;E$5,CashProjTable[RefRng],0)))+SUMIFS(IntraTrans[Net Settlement],IntraTrans[Portfolio],$A$3,IntraTrans[B/S],"B",IntraTrans[Settle Date],E$5,IntraTrans[Payment],"CHEQUE"),0)</f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0</v>
      </c>
      <c r="D34" s="34">
        <f t="shared" ref="D34:J34" si="7">IF(D$10&gt;0,D$10,0)</f>
        <v>0</v>
      </c>
      <c r="E34" s="34">
        <f t="shared" si="7"/>
        <v>0</v>
      </c>
      <c r="F34" s="34">
        <f t="shared" si="7"/>
        <v>0</v>
      </c>
      <c r="G34" s="34">
        <f t="shared" si="7"/>
        <v>0</v>
      </c>
      <c r="H34" s="34">
        <f t="shared" si="7"/>
        <v>0</v>
      </c>
      <c r="I34" s="34">
        <f t="shared" si="7"/>
        <v>0</v>
      </c>
      <c r="J34" s="34">
        <f t="shared" si="7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f>IFERROR(INDEX(CashProjTable[Expense],MATCH($A$3&amp;D$5,CashProjTable[RefRng],0)),0)</f>
        <v>0</v>
      </c>
      <c r="E36" s="34">
        <f>IFERROR(INDEX(CashProjTable[Expense],MATCH($A$3&amp;E$5,CashProjTable[RefRng],0)),0)</f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6190288.8499999996</v>
      </c>
      <c r="C38" s="38">
        <v>6262591.4500000002</v>
      </c>
      <c r="D38" s="38">
        <f t="shared" ref="D38:J38" si="8">SUM(D30:D37)</f>
        <v>79553064.179999992</v>
      </c>
      <c r="E38" s="38">
        <f t="shared" si="8"/>
        <v>787762.34</v>
      </c>
      <c r="F38" s="38">
        <f t="shared" ref="F38:H38" si="9">SUM(F30:F37)</f>
        <v>0</v>
      </c>
      <c r="G38" s="38">
        <f t="shared" si="9"/>
        <v>0</v>
      </c>
      <c r="H38" s="38">
        <f t="shared" si="9"/>
        <v>0</v>
      </c>
      <c r="I38" s="38">
        <f t="shared" si="8"/>
        <v>0</v>
      </c>
      <c r="J38" s="38">
        <f t="shared" si="8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878</v>
      </c>
    </row>
    <row r="41" spans="1:33" s="23" customFormat="1" x14ac:dyDescent="0.2">
      <c r="A41" s="27" t="s">
        <v>385</v>
      </c>
      <c r="B41" s="34">
        <v>2363865.59</v>
      </c>
      <c r="C41" s="34">
        <v>2576692.88</v>
      </c>
      <c r="D41" s="34">
        <f t="shared" ref="D41:J41" ca="1" si="10">D$6+D$27-D$38</f>
        <v>1183559.6400000006</v>
      </c>
      <c r="E41" s="34">
        <f t="shared" ca="1" si="10"/>
        <v>2557923.8500000006</v>
      </c>
      <c r="F41" s="34">
        <f t="shared" ca="1" si="10"/>
        <v>152633281.15000001</v>
      </c>
      <c r="G41" s="34">
        <f t="shared" ca="1" si="10"/>
        <v>152634253.11000001</v>
      </c>
      <c r="H41" s="34">
        <f t="shared" ca="1" si="10"/>
        <v>212644316.42000002</v>
      </c>
      <c r="I41" s="34">
        <f t="shared" ca="1" si="10"/>
        <v>212644316.42000002</v>
      </c>
      <c r="J41" s="34">
        <f t="shared" ca="1" si="10"/>
        <v>214227141.08000001</v>
      </c>
      <c r="K41" s="34"/>
      <c r="L41" s="34"/>
    </row>
    <row r="42" spans="1:33" s="23" customFormat="1" x14ac:dyDescent="0.2">
      <c r="A42" s="27" t="s">
        <v>893</v>
      </c>
      <c r="B42" s="34">
        <v>2767519.53</v>
      </c>
      <c r="C42" s="34">
        <v>1687206.61</v>
      </c>
      <c r="D42" s="34">
        <f>IFERROR(INDEX(CashProjTable[CashBal],MATCH($A$3&amp;D$5,CashProjTable[RefRng],0)),0)</f>
        <v>-830327.22000000905</v>
      </c>
      <c r="E42" s="34">
        <f>IFERROR(INDEX(CashProjTable[CashBal],MATCH($A$3&amp;E$5,CashProjTable[RefRng],0)),0)</f>
        <v>27165.6599999914</v>
      </c>
      <c r="F42" s="34">
        <f>IFERROR(INDEX(CashProjTable[CashBal],MATCH($A$3&amp;F$5,CashProjTable[RefRng],0)),0)</f>
        <v>150027165.66</v>
      </c>
      <c r="G42" s="34">
        <f>IFERROR(INDEX(CashProjTable[CashBal],MATCH($A$3&amp;G$5,CashProjTable[RefRng],0)),0)</f>
        <v>150027165.66</v>
      </c>
      <c r="H42" s="34">
        <f>IFERROR(INDEX(CashProjTable[CashBal],MATCH($A$3&amp;H$5,CashProjTable[RefRng],0)),0)</f>
        <v>210027165.66</v>
      </c>
      <c r="I42" s="34">
        <f>IFERROR(INDEX(CashProjTable[CashBal],MATCH($A$3&amp;I$5,CashProjTable[RefRng],0)),0)</f>
        <v>210027165.66</v>
      </c>
      <c r="J42" s="34">
        <f>IFERROR(INDEX(CashProjTable[CashBal],MATCH($A$3&amp;J$5,CashProjTable[RefRng],0)),0)</f>
        <v>211609990.31999999</v>
      </c>
      <c r="K42" s="34"/>
      <c r="L42" s="34"/>
    </row>
    <row r="43" spans="1:33" s="42" customFormat="1" x14ac:dyDescent="0.2">
      <c r="A43" s="40" t="s">
        <v>386</v>
      </c>
      <c r="B43" s="41">
        <v>403653.93999999994</v>
      </c>
      <c r="C43" s="41">
        <v>-889486.26999999979</v>
      </c>
      <c r="D43" s="41">
        <f t="shared" ref="D43:J43" ca="1" si="11">D42-D41</f>
        <v>-2013886.8600000096</v>
      </c>
      <c r="E43" s="41">
        <f t="shared" ca="1" si="11"/>
        <v>-2530758.1900000093</v>
      </c>
      <c r="F43" s="41">
        <f t="shared" ref="F43:H43" ca="1" si="12">F42-F41</f>
        <v>-2606115.4900000095</v>
      </c>
      <c r="G43" s="41">
        <f t="shared" ca="1" si="12"/>
        <v>-2607087.4500000179</v>
      </c>
      <c r="H43" s="41">
        <f t="shared" ca="1" si="12"/>
        <v>-2617150.7600000203</v>
      </c>
      <c r="I43" s="41">
        <f t="shared" ca="1" si="11"/>
        <v>-2617150.7600000203</v>
      </c>
      <c r="J43" s="41">
        <f t="shared" ca="1" si="11"/>
        <v>-2617150.7600000203</v>
      </c>
      <c r="K43" s="41"/>
      <c r="L43" s="41"/>
    </row>
    <row r="44" spans="1:33" s="23" customFormat="1" x14ac:dyDescent="0.2">
      <c r="A44" s="27" t="s">
        <v>894</v>
      </c>
      <c r="B44" s="34">
        <v>6155199938.6999998</v>
      </c>
      <c r="C44" s="34">
        <v>6153192926.6100006</v>
      </c>
      <c r="D44" s="34">
        <f t="shared" ref="D44:J44" ca="1" si="13">IF(D$5&gt;TODAY(),C44,C45)+SUM(D16:D19)-SUM(D30:D31)</f>
        <v>6158268549.6300001</v>
      </c>
      <c r="E44" s="34">
        <f t="shared" ca="1" si="13"/>
        <v>6158785420.96</v>
      </c>
      <c r="F44" s="34">
        <f t="shared" ref="F44" ca="1" si="14">IF(F$5&gt;TODAY(),E44,E45)+SUM(F16:F19)-SUM(F30:F31)</f>
        <v>6158860778.2600002</v>
      </c>
      <c r="G44" s="34">
        <f t="shared" ref="G44" ca="1" si="15">IF(G$5&gt;TODAY(),F44,F45)+SUM(G16:G19)-SUM(G30:G31)</f>
        <v>6158861750.2200003</v>
      </c>
      <c r="H44" s="34">
        <f t="shared" ref="H44" ca="1" si="16">IF(H$5&gt;TODAY(),G44,G45)+SUM(H16:H19)-SUM(H30:H31)</f>
        <v>6158871813.5300007</v>
      </c>
      <c r="I44" s="34">
        <f t="shared" ca="1" si="13"/>
        <v>6158871813.5300007</v>
      </c>
      <c r="J44" s="34">
        <f t="shared" ca="1" si="13"/>
        <v>6158871813.5300007</v>
      </c>
      <c r="K44" s="34"/>
      <c r="L44" s="34"/>
    </row>
    <row r="45" spans="1:33" s="23" customFormat="1" x14ac:dyDescent="0.2">
      <c r="A45" s="27" t="s">
        <v>895</v>
      </c>
      <c r="B45" s="34">
        <v>6155391739.5600004</v>
      </c>
      <c r="C45" s="34">
        <v>6154734145.8900003</v>
      </c>
      <c r="D45" s="34">
        <f>[1]!SCBAM_GetGroup1Dtl($A$3,"NET ASSET VALUE",D$5,"MarketVal")+[1]!SCBAM_GetGroup1Dtl($A$3,"NET ASSET VALUE",D$5,"ai")</f>
        <v>0</v>
      </c>
      <c r="E45" s="34">
        <f>[1]!SCBAM_GetGroup1Dtl($A$3,"NET ASSET VALUE",E$5,"MarketVal")+[1]!SCBAM_GetGroup1Dtl($A$3,"NET ASSET VALUE",E$5,"ai")</f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879</v>
      </c>
      <c r="B46" s="21">
        <v>-2198812.9500000002</v>
      </c>
      <c r="C46" s="21">
        <v>3534365.44</v>
      </c>
      <c r="D46" s="21">
        <f t="shared" ref="D46:J46" si="17">SUM(E16:E19)-SUM(E30:E31)</f>
        <v>516871.32999999996</v>
      </c>
      <c r="E46" s="21">
        <f t="shared" si="17"/>
        <v>75357.3</v>
      </c>
      <c r="F46" s="21">
        <f t="shared" ref="F46" si="18">SUM(G16:G19)-SUM(G30:G31)</f>
        <v>971.96</v>
      </c>
      <c r="G46" s="21">
        <f t="shared" ref="G46" si="19">SUM(H16:H19)-SUM(H30:H31)</f>
        <v>10063.31</v>
      </c>
      <c r="H46" s="21">
        <f t="shared" ref="H46" si="20">SUM(I16:I19)-SUM(I30:I31)</f>
        <v>0</v>
      </c>
      <c r="I46" s="21">
        <f t="shared" si="17"/>
        <v>0</v>
      </c>
      <c r="J46" s="21">
        <f t="shared" si="17"/>
        <v>0</v>
      </c>
      <c r="K46" s="21"/>
      <c r="L46" s="21"/>
    </row>
    <row r="47" spans="1:33" s="49" customFormat="1" x14ac:dyDescent="0.2">
      <c r="A47" s="47" t="s">
        <v>387</v>
      </c>
      <c r="B47" s="50">
        <v>3.8403170586328493E-4</v>
      </c>
      <c r="C47" s="50">
        <v>4.1865218203139776E-4</v>
      </c>
      <c r="D47" s="50">
        <f t="shared" ref="D47:J47" ca="1" si="21">D41/IF(D5&lt;TODAY(),D45,D44)</f>
        <v>1.9219032597581523E-4</v>
      </c>
      <c r="E47" s="50">
        <f t="shared" ca="1" si="21"/>
        <v>4.1532926951711927E-4</v>
      </c>
      <c r="F47" s="50">
        <f t="shared" ref="F47:H47" ca="1" si="22">F41/IF(F5&lt;TODAY(),F45,F44)</f>
        <v>2.4782713336982089E-2</v>
      </c>
      <c r="G47" s="50">
        <f t="shared" ca="1" si="22"/>
        <v>2.4782867240776718E-2</v>
      </c>
      <c r="H47" s="50">
        <f t="shared" ca="1" si="22"/>
        <v>3.452650466808814E-2</v>
      </c>
      <c r="I47" s="50">
        <f t="shared" ca="1" si="21"/>
        <v>3.452650466808814E-2</v>
      </c>
      <c r="J47" s="50">
        <f t="shared" ca="1" si="21"/>
        <v>3.478350379194111E-2</v>
      </c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</row>
    <row r="48" spans="1:33" s="43" customFormat="1" x14ac:dyDescent="0.2">
      <c r="A48" s="43" t="s">
        <v>388</v>
      </c>
      <c r="B48" s="44">
        <v>1677819.53</v>
      </c>
      <c r="C48" s="44">
        <v>-1488793.39</v>
      </c>
      <c r="D48" s="44">
        <f>IFERROR(INDEX(CashProjTable[CashForUse],MATCH($A$3&amp;D$5,CashProjTable[RefRng],0)),0)</f>
        <v>-2977527.22000001</v>
      </c>
      <c r="E48" s="44">
        <f>IFERROR(INDEX(CashProjTable[CashForUse],MATCH($A$3&amp;E$5,CashProjTable[RefRng],0)),0)</f>
        <v>27165.6599999914</v>
      </c>
      <c r="F48" s="44">
        <f>IFERROR(INDEX(CashProjTable[CashForUse],MATCH($A$3&amp;F$5,CashProjTable[RefRng],0)),0)</f>
        <v>150027165.66</v>
      </c>
      <c r="G48" s="44">
        <f>IFERROR(INDEX(CashProjTable[CashForUse],MATCH($A$3&amp;G$5,CashProjTable[RefRng],0)),0)</f>
        <v>150027165.66</v>
      </c>
      <c r="H48" s="44">
        <f>IFERROR(INDEX(CashProjTable[CashForUse],MATCH($A$3&amp;H$5,CashProjTable[RefRng],0)),0)</f>
        <v>210027165.66</v>
      </c>
      <c r="I48" s="44">
        <f>IFERROR(INDEX(CashProjTable[CashForUse],MATCH($A$3&amp;I$5,CashProjTable[RefRng],0)),0)</f>
        <v>210027165.66</v>
      </c>
      <c r="J48" s="44">
        <f>IFERROR(INDEX(CashProjTable[CashForUse],MATCH($A$3&amp;J$5,CashProjTable[RefRng],0)),0)</f>
        <v>211609990.31999999</v>
      </c>
      <c r="K48" s="44"/>
      <c r="L48" s="44"/>
    </row>
    <row r="49" spans="1:12" s="43" customFormat="1" x14ac:dyDescent="0.2">
      <c r="A49" s="43" t="s">
        <v>389</v>
      </c>
      <c r="B49" s="44">
        <v>-1390130.47</v>
      </c>
      <c r="C49" s="44">
        <v>-4586479.6900000004</v>
      </c>
      <c r="D49" s="44">
        <f>IFERROR(INDEX(CashProjTable[CashForBahtNet],MATCH($A$3&amp;D$5,CashProjTable[RefRng],0)),0)</f>
        <v>-6153527.22000001</v>
      </c>
      <c r="E49" s="44">
        <f>IFERROR(INDEX(CashProjTable[CashForBahtNet],MATCH($A$3&amp;E$5,CashProjTable[RefRng],0)),0)</f>
        <v>-2977527.22000001</v>
      </c>
      <c r="F49" s="44">
        <f>IFERROR(INDEX(CashProjTable[CashForBahtNet],MATCH($A$3&amp;F$5,CashProjTable[RefRng],0)),0)</f>
        <v>150027165.66</v>
      </c>
      <c r="G49" s="44">
        <f>IFERROR(INDEX(CashProjTable[CashForBahtNet],MATCH($A$3&amp;G$5,CashProjTable[RefRng],0)),0)</f>
        <v>150027165.66</v>
      </c>
      <c r="H49" s="44">
        <f>IFERROR(INDEX(CashProjTable[CashForBahtNet],MATCH($A$3&amp;H$5,CashProjTable[RefRng],0)),0)</f>
        <v>210027165.66</v>
      </c>
      <c r="I49" s="44">
        <f>IFERROR(INDEX(CashProjTable[CashForBahtNet],MATCH($A$3&amp;I$5,CashProjTable[RefRng],0)),0)</f>
        <v>210027165.66</v>
      </c>
      <c r="J49" s="44">
        <f>IFERROR(INDEX(CashProjTable[CashForBahtNet],MATCH($A$3&amp;J$5,CashProjTable[RefRng],0)),0)</f>
        <v>210027165.66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143" priority="11" operator="equal">
      <formula>TODAY()</formula>
    </cfRule>
  </conditionalFormatting>
  <conditionalFormatting sqref="K9:L9">
    <cfRule type="cellIs" dxfId="142" priority="10" operator="greaterThan">
      <formula>"&lt;0"</formula>
    </cfRule>
  </conditionalFormatting>
  <conditionalFormatting sqref="K10:L10">
    <cfRule type="cellIs" dxfId="141" priority="9" operator="greaterThan">
      <formula>"&lt;0"</formula>
    </cfRule>
  </conditionalFormatting>
  <conditionalFormatting sqref="K11:L11">
    <cfRule type="cellIs" dxfId="140" priority="8" operator="greaterThan">
      <formula>"&lt;0"</formula>
    </cfRule>
  </conditionalFormatting>
  <conditionalFormatting sqref="D10">
    <cfRule type="cellIs" dxfId="139" priority="6" operator="greaterThan">
      <formula>"&lt;0"</formula>
    </cfRule>
  </conditionalFormatting>
  <conditionalFormatting sqref="D11">
    <cfRule type="cellIs" dxfId="138" priority="5" operator="greaterThan">
      <formula>"&lt;0"</formula>
    </cfRule>
  </conditionalFormatting>
  <conditionalFormatting sqref="A5:C5 M5:XFD5 E5 I5:J5">
    <cfRule type="cellIs" dxfId="137" priority="18" operator="equal">
      <formula>TODAY()</formula>
    </cfRule>
  </conditionalFormatting>
  <conditionalFormatting sqref="B9:E9 I9:J9">
    <cfRule type="cellIs" dxfId="136" priority="17" operator="greaterThan">
      <formula>"&lt;0"</formula>
    </cfRule>
  </conditionalFormatting>
  <conditionalFormatting sqref="B10">
    <cfRule type="cellIs" dxfId="135" priority="16" operator="greaterThan">
      <formula>"&lt;0"</formula>
    </cfRule>
  </conditionalFormatting>
  <conditionalFormatting sqref="B11">
    <cfRule type="cellIs" dxfId="134" priority="15" operator="greaterThan">
      <formula>"&lt;0"</formula>
    </cfRule>
  </conditionalFormatting>
  <conditionalFormatting sqref="C10 E10 I10:J10">
    <cfRule type="cellIs" dxfId="133" priority="14" operator="greaterThan">
      <formula>"&lt;0"</formula>
    </cfRule>
  </conditionalFormatting>
  <conditionalFormatting sqref="C11 E11 I11:J11">
    <cfRule type="cellIs" dxfId="132" priority="13" operator="greaterThan">
      <formula>"&lt;0"</formula>
    </cfRule>
  </conditionalFormatting>
  <conditionalFormatting sqref="B7">
    <cfRule type="cellIs" dxfId="131" priority="12" operator="greaterThan">
      <formula>"&lt;0"</formula>
    </cfRule>
  </conditionalFormatting>
  <conditionalFormatting sqref="D5">
    <cfRule type="cellIs" dxfId="130" priority="7" operator="equal">
      <formula>TODAY()</formula>
    </cfRule>
  </conditionalFormatting>
  <conditionalFormatting sqref="F5:H5">
    <cfRule type="cellIs" dxfId="129" priority="4" operator="equal">
      <formula>TODAY()</formula>
    </cfRule>
  </conditionalFormatting>
  <conditionalFormatting sqref="F9:H9">
    <cfRule type="cellIs" dxfId="128" priority="3" operator="greaterThan">
      <formula>"&lt;0"</formula>
    </cfRule>
  </conditionalFormatting>
  <conditionalFormatting sqref="F10:H10">
    <cfRule type="cellIs" dxfId="127" priority="2" operator="greaterThan">
      <formula>"&lt;0"</formula>
    </cfRule>
  </conditionalFormatting>
  <conditionalFormatting sqref="F11:H11">
    <cfRule type="cellIs" dxfId="126" priority="1" operator="greaterThan">
      <formula>"&lt;0"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7EBEE-D8DA-44C5-91F0-949B720B7C1C}">
  <sheetPr codeName="Sheet9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4" sqref="B4"/>
    </sheetView>
  </sheetViews>
  <sheetFormatPr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TODAY()</f>
        <v>43384</v>
      </c>
    </row>
    <row r="3" spans="1:33" x14ac:dyDescent="0.2">
      <c r="A3" s="14" t="s">
        <v>352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>[1]!SCBAM_NextBusinessDay(C5)</f>
        <v>43384</v>
      </c>
      <c r="E5" s="16">
        <f>[1]!SCBAM_NextBusinessDay(D5)</f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794271.84</v>
      </c>
      <c r="C6" s="21">
        <v>798271.84</v>
      </c>
      <c r="D6" s="21">
        <f ca="1">IF(AND(ISNUMBER(C41),ISNUMBER(C42)),IF(D5&lt;=TODAY(),C42,C41),INDEX(CashProjTable[CashBal],MATCH($A$3&amp;[1]!SCBAM_PreviousBusinessDay(D$5),CashProjTable[RefRng],0)))</f>
        <v>898271.84</v>
      </c>
      <c r="E6" s="21">
        <f ca="1">IF(AND(ISNUMBER(D41),ISNUMBER(D42)),IF(E5&lt;=TODAY(),D42,D41),INDEX(CashProjTable[CashBal],MATCH($A$3&amp;[1]!SCBAM_PreviousBusinessDay(E$5),CashProjTable[RefRng],0)))</f>
        <v>908871.83999999985</v>
      </c>
      <c r="F6" s="21">
        <f ca="1">IF(AND(ISNUMBER(E41),ISNUMBER(E42)),IF(F5&lt;=TODAY(),E42,E41),INDEX(CashProjTable[CashBal],MATCH($A$3&amp;[1]!SCBAM_PreviousBusinessDay(F$5),CashProjTable[RefRng],0)))</f>
        <v>911857.5199999999</v>
      </c>
      <c r="G6" s="21">
        <f ca="1">IF(AND(ISNUMBER(F41),ISNUMBER(F42)),IF(G5&lt;=TODAY(),F42,F41),INDEX(CashProjTable[CashBal],MATCH($A$3&amp;[1]!SCBAM_PreviousBusinessDay(G$5),CashProjTable[RefRng],0)))</f>
        <v>911857.5199999999</v>
      </c>
      <c r="H6" s="21">
        <f ca="1">IF(AND(ISNUMBER(G41),ISNUMBER(G42)),IF(H5&lt;=TODAY(),G42,G41),INDEX(CashProjTable[CashBal],MATCH($A$3&amp;[1]!SCBAM_PreviousBusinessDay(H$5),CashProjTable[RefRng],0)))</f>
        <v>911857.5199999999</v>
      </c>
      <c r="I6" s="21">
        <f ca="1">IF(AND(ISNUMBER(H41),ISNUMBER(H42)),IF(I5&lt;=TODAY(),H42,H41),INDEX(CashProjTable[CashBal],MATCH($A$3&amp;[1]!SCBAM_PreviousBusinessDay(I$5),CashProjTable[RefRng],0)))</f>
        <v>8977830.1199999992</v>
      </c>
      <c r="J6" s="21">
        <f ca="1">IF(AND(ISNUMBER(I41),ISNUMBER(I42)),IF(J5&lt;=TODAY(),I42,I41),INDEX(CashProjTable[CashBal],MATCH($A$3&amp;[1]!SCBAM_PreviousBusinessDay(J$5),CashProjTable[RefRng],0)))</f>
        <v>13037994.5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14128950.960000001</v>
      </c>
      <c r="C9" s="24">
        <v>14128950.960000001</v>
      </c>
      <c r="D9" s="24">
        <f>IF(ISNUMBER(C$5),C$11,[1]!SCBAM_GetSecDtl($A$3,"INVSUOBTrf",D$5,"MarketVal"))</f>
        <v>14128950.960000001</v>
      </c>
      <c r="E9" s="24">
        <f>IF(ISNUMBER(D$5),D$11,[1]!SCBAM_GetSecDtl($A$3,"INVSUOBTrf",E$5,"MarketVal"))</f>
        <v>34128950.960000001</v>
      </c>
      <c r="F9" s="24">
        <f>IF(ISNUMBER(E$5),E$11,[1]!SCBAM_GetSecDtl($A$3,"INVSUOBTrf",F$5,"MarketVal"))</f>
        <v>34128950.960000001</v>
      </c>
      <c r="G9" s="24">
        <f>IF(ISNUMBER(F$5),F$11,[1]!SCBAM_GetSecDtl($A$3,"INVSUOBTrf",G$5,"MarketVal"))</f>
        <v>34128950.960000001</v>
      </c>
      <c r="H9" s="24">
        <f>IF(ISNUMBER(G$5),G$11,[1]!SCBAM_GetSecDtl($A$3,"INVSUOBTrf",H$5,"MarketVal"))</f>
        <v>34128950.960000001</v>
      </c>
      <c r="I9" s="24">
        <f>IF(ISNUMBER(H$5),H$11,[1]!SCBAM_GetSecDtl($A$3,"INVSUOBTrf",I$5,"MarketVal"))</f>
        <v>34128950.960000001</v>
      </c>
      <c r="J9" s="24">
        <f>IF(ISNUMBER(I$5),I$11,[1]!SCBAM_GetSecDtl($A$3,"INVSUOBTrf",J$5,"MarketVal"))</f>
        <v>34128950.960000001</v>
      </c>
      <c r="K9" s="24"/>
      <c r="L9" s="24"/>
    </row>
    <row r="10" spans="1:33" s="63" customFormat="1" ht="14.25" x14ac:dyDescent="0.2">
      <c r="A10" s="61" t="s">
        <v>361</v>
      </c>
      <c r="B10" s="62"/>
      <c r="C10" s="62"/>
      <c r="D10" s="62">
        <f>20*10^6</f>
        <v>20000000</v>
      </c>
      <c r="E10" s="62"/>
      <c r="F10" s="62"/>
      <c r="G10" s="62"/>
      <c r="H10" s="62"/>
      <c r="I10" s="62"/>
      <c r="J10" s="62"/>
      <c r="K10" s="62"/>
      <c r="L10" s="62"/>
    </row>
    <row r="11" spans="1:33" s="31" customFormat="1" ht="13.5" thickBot="1" x14ac:dyDescent="0.25">
      <c r="A11" s="29" t="s">
        <v>362</v>
      </c>
      <c r="B11" s="30">
        <v>14128950.960000001</v>
      </c>
      <c r="C11" s="30">
        <v>14128950.960000001</v>
      </c>
      <c r="D11" s="30">
        <f t="shared" ref="D11:J11" si="0">SUM(D9:D10)</f>
        <v>34128950.960000001</v>
      </c>
      <c r="E11" s="30">
        <f t="shared" si="0"/>
        <v>34128950.960000001</v>
      </c>
      <c r="F11" s="30">
        <f t="shared" ref="F11" si="1">SUM(F9:F10)</f>
        <v>34128950.960000001</v>
      </c>
      <c r="G11" s="30">
        <f t="shared" ref="G11" si="2">SUM(G9:G10)</f>
        <v>34128950.960000001</v>
      </c>
      <c r="H11" s="30">
        <f t="shared" ref="H11" si="3">SUM(H9:H10)</f>
        <v>34128950.960000001</v>
      </c>
      <c r="I11" s="30">
        <f t="shared" si="0"/>
        <v>34128950.960000001</v>
      </c>
      <c r="J11" s="30">
        <f t="shared" si="0"/>
        <v>34128950.960000001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4000</v>
      </c>
      <c r="C16" s="34">
        <v>100000</v>
      </c>
      <c r="D16" s="64">
        <f>IFERROR(INDEX(CashIntraTable[Amount],MATCH($A$3&amp;D$5&amp;$A51,CashIntraTable[RefRng],0)),0)</f>
        <v>10600</v>
      </c>
      <c r="E16" s="65">
        <f>IFERROR(INDEX(CashIntraTable[Amount],MATCH($A$3&amp;E$5&amp;$A51,CashIntraTable[RefRng],0)),0)</f>
        <v>2000</v>
      </c>
      <c r="F16" s="34">
        <f>IFERROR(INDEX(CashIntraTable[Amount],MATCH($A$3&amp;F$5&amp;$A51,CashIntraTable[RefRng],0)),0)</f>
        <v>0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0</v>
      </c>
      <c r="C17" s="34">
        <v>0</v>
      </c>
      <c r="D17" s="64">
        <f>IFERROR(INDEX(CashIntraTable[Amount],MATCH($A$3&amp;D$5&amp;$A52,CashIntraTable[RefRng],0)),0)</f>
        <v>0</v>
      </c>
      <c r="E17" s="65">
        <f>IFERROR(INDEX(CashIntraTable[Amount],MATCH($A$3&amp;E$5&amp;$A52,CashIntraTable[RefRng],0)),0)</f>
        <v>0</v>
      </c>
      <c r="F17" s="34">
        <f>IFERROR(INDEX(CashIntraTable[Amount],MATCH($A$3&amp;F$5&amp;$A52,CashIntraTable[RefRng],0)),0)</f>
        <v>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0</v>
      </c>
      <c r="C18" s="34">
        <v>0</v>
      </c>
      <c r="D18" s="64">
        <f>IFERROR(INDEX(CashIntraTable[Amount],MATCH($A$3&amp;D$5&amp;$A53,CashIntraTable[RefRng],0)),0)</f>
        <v>0</v>
      </c>
      <c r="E18" s="65">
        <f>IFERROR(INDEX(CashIntraTable[Amount],MATCH($A$3&amp;E$5&amp;$A53,CashIntraTable[RefRng],0)),0)</f>
        <v>985.68</v>
      </c>
      <c r="F18" s="34">
        <f>IFERROR(INDEX(CashIntraTable[Amount],MATCH($A$3&amp;F$5&amp;$A53,CashIntraTable[RefRng],0)),0)</f>
        <v>0</v>
      </c>
      <c r="G18" s="34">
        <f>IFERROR(INDEX(CashIntraTable[Amount],MATCH($A$3&amp;G$5&amp;$A53,CashIntraTable[RefRng],0)),0)</f>
        <v>0</v>
      </c>
      <c r="H18" s="34">
        <f>IFERROR(INDEX(CashIntraTable[Amount],MATCH($A$3&amp;H$5&amp;$A53,CashIntraTable[RefRng],0)),0)</f>
        <v>0</v>
      </c>
      <c r="I18" s="34">
        <f>IFERROR(INDEX(CashIntraTable[Amount],MATCH($A$3&amp;I$5&amp;$A53,CashIntraTable[RefRng],0)),0)</f>
        <v>0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4">
        <v>0</v>
      </c>
      <c r="E19" s="65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0</v>
      </c>
      <c r="C20" s="34">
        <v>0</v>
      </c>
      <c r="D20" s="34">
        <f>IFERROR(INDEX(CashProjTable[DebtSell_BahtNet],MATCH($A$3&amp;D$5,CashProjTable[RefRng],0))+SUMIFS(IntraTrans[Net Settlement],IntraTrans[Portfolio],$A$3,IntraTrans[B/S],"S",IntraTrans[Settle Date],D$5,IntraTrans[Payment],"BAHTNET"),0)</f>
        <v>20000000</v>
      </c>
      <c r="E20" s="34">
        <f>IFERROR(INDEX(CashProjTable[DebtSell_BahtNet],MATCH($A$3&amp;E$5,CashProjTable[RefRng],0))+SUMIFS(IntraTrans[Net Settlement],IntraTrans[Portfolio],$A$3,IntraTrans[B/S],"S",IntraTrans[Settle Date],E$5,IntraTrans[Payment],"BAHTNET"),0)</f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8000000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4000000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1" s="34">
        <f>IFERROR((INDEX(CashProjTable[DebtSell],MATCH($A$3&amp;E$5,CashProjTable[RefRng],0))-INDEX(CashProjTable[DebtSell_BahtNet],MATCH($A$3&amp;E$5,CashProjTable[RefRng],0)))+SUMIFS(IntraTrans[Net Settlement],IntraTrans[Portfolio],$A$3,IntraTrans[B/S],"S",IntraTrans[Settle Date],E$5,IntraTrans[Payment],"CHEQUE"),0)</f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0</v>
      </c>
      <c r="C22" s="34">
        <v>0</v>
      </c>
      <c r="D22" s="34">
        <f t="shared" ref="D22:J22" si="4">IF(D$10&lt;0,-D$10,0)</f>
        <v>0</v>
      </c>
      <c r="E22" s="34">
        <f t="shared" si="4"/>
        <v>0</v>
      </c>
      <c r="F22" s="34">
        <f t="shared" si="4"/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f>IFERROR(INDEX(CashProjTable[DebtInterest],MATCH($A$3&amp;D$5,CashProjTable[RefRng],0)),0)</f>
        <v>0</v>
      </c>
      <c r="E24" s="34">
        <f>IFERROR(INDEX(CashProjTable[DebtInterest],MATCH($A$3&amp;E$5,CashProjTable[RefRng],0)),0)</f>
        <v>0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65972.600000000006</v>
      </c>
      <c r="I24" s="34">
        <f>IFERROR(INDEX(CashProjTable[DebtInterest],MATCH($A$3&amp;I$5,CashProjTable[RefRng],0)),0)</f>
        <v>60164.38</v>
      </c>
      <c r="J24" s="34">
        <f>IFERROR(INDEX(CashProjTable[DebtInterest],MATCH($A$3&amp;J$5,CashProjTable[RefRng],0)),0)</f>
        <v>209071.23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f>IFERROR(INDEX(CashProjTable[CashEqInterest],MATCH($A$3&amp;D$5,CashProjTable[RefRng],0)),0)</f>
        <v>0</v>
      </c>
      <c r="E25" s="34">
        <f>IFERROR(INDEX(CashProjTable[CashEqInterest],MATCH($A$3&amp;E$5,CashProjTable[RefRng],0)),0)</f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4000</v>
      </c>
      <c r="C27" s="38">
        <v>100000</v>
      </c>
      <c r="D27" s="38">
        <f t="shared" ref="D27:J27" si="5">SUM(D16:D26)</f>
        <v>20010600</v>
      </c>
      <c r="E27" s="38">
        <f t="shared" si="5"/>
        <v>2985.68</v>
      </c>
      <c r="F27" s="38">
        <f t="shared" ref="F27:H27" si="6">SUM(F16:F26)</f>
        <v>0</v>
      </c>
      <c r="G27" s="38">
        <f t="shared" si="6"/>
        <v>0</v>
      </c>
      <c r="H27" s="38">
        <f t="shared" si="6"/>
        <v>8065972.5999999996</v>
      </c>
      <c r="I27" s="38">
        <f t="shared" si="5"/>
        <v>4060164.38</v>
      </c>
      <c r="J27" s="38">
        <f t="shared" si="5"/>
        <v>209071.23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0</v>
      </c>
      <c r="C30" s="34">
        <v>0</v>
      </c>
      <c r="D30" s="64">
        <f>IFERROR(ABS(INDEX(CashIntraTable[Amount],MATCH($A$3&amp;D$5&amp;$A54,CashIntraTable[RefRng],0))),0)</f>
        <v>0</v>
      </c>
      <c r="E30" s="65">
        <f>IFERROR(ABS(INDEX(CashIntraTable[Amount],MATCH($A$3&amp;E$5&amp;$A54,CashIntraTable[RefRng],0))),0)</f>
        <v>0</v>
      </c>
      <c r="F30" s="34">
        <f>IFERROR(ABS(INDEX(CashIntraTable[Amount],MATCH($A$3&amp;F$5&amp;$A54,CashIntraTable[RefRng],0))),0)</f>
        <v>0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0</v>
      </c>
      <c r="C31" s="34">
        <v>0</v>
      </c>
      <c r="D31" s="64">
        <f>IFERROR(ABS(INDEX(CashIntraTable[Amount],MATCH($A$3&amp;D$5&amp;$A55,CashIntraTable[RefRng],0))),0)</f>
        <v>0</v>
      </c>
      <c r="E31" s="65">
        <f>IFERROR(ABS(INDEX(CashIntraTable[Amount],MATCH($A$3&amp;E$5&amp;$A55,CashIntraTable[RefRng],0))),0)</f>
        <v>0</v>
      </c>
      <c r="F31" s="34">
        <f>IFERROR(ABS(INDEX(CashIntraTable[Amount],MATCH($A$3&amp;F$5&amp;$A55,CashIntraTable[RefRng],0))),0)</f>
        <v>0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0</v>
      </c>
      <c r="C32" s="34">
        <v>0</v>
      </c>
      <c r="D32" s="34">
        <f>IFERROR(INDEX(CashProjTable[DebtBuy_BahtNet],MATCH($A$3&amp;D$5,CashProjTable[RefRng],0))+SUMIFS(IntraTrans[Net Settlement],IntraTrans[Portfolio],$A$3,IntraTrans[B/S],"B",IntraTrans[Settle Date],D$5,IntraTrans[Payment],"BAHTNET"),0)</f>
        <v>0</v>
      </c>
      <c r="E32" s="34">
        <f>IFERROR(INDEX(CashProjTable[DebtBuy_BahtNet],MATCH($A$3&amp;E$5,CashProjTable[RefRng],0))+SUMIFS(IntraTrans[Net Settlement],IntraTrans[Portfolio],$A$3,IntraTrans[B/S],"B",IntraTrans[Settle Date],E$5,IntraTrans[Payment],"BAHTNET"),0)</f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3" s="34">
        <f>IFERROR((INDEX(CashProjTable[DebtBuy],MATCH($A$3&amp;E$5,CashProjTable[RefRng],0))-INDEX(CashProjTable[DebtBuy_BahtNet],MATCH($A$3&amp;E$5,CashProjTable[RefRng],0)))+SUMIFS(IntraTrans[Net Settlement],IntraTrans[Portfolio],$A$3,IntraTrans[B/S],"B",IntraTrans[Settle Date],E$5,IntraTrans[Payment],"CHEQUE"),0)</f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0</v>
      </c>
      <c r="D34" s="34">
        <f t="shared" ref="D34:J34" si="7">IF(D$10&gt;0,D$10,0)</f>
        <v>20000000</v>
      </c>
      <c r="E34" s="34">
        <f t="shared" si="7"/>
        <v>0</v>
      </c>
      <c r="F34" s="34">
        <f t="shared" si="7"/>
        <v>0</v>
      </c>
      <c r="G34" s="34">
        <f t="shared" si="7"/>
        <v>0</v>
      </c>
      <c r="H34" s="34">
        <f t="shared" si="7"/>
        <v>0</v>
      </c>
      <c r="I34" s="34">
        <f t="shared" si="7"/>
        <v>0</v>
      </c>
      <c r="J34" s="34">
        <f t="shared" si="7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f>IFERROR(INDEX(CashProjTable[Expense],MATCH($A$3&amp;D$5,CashProjTable[RefRng],0)),0)</f>
        <v>0</v>
      </c>
      <c r="E36" s="34">
        <f>IFERROR(INDEX(CashProjTable[Expense],MATCH($A$3&amp;E$5,CashProjTable[RefRng],0)),0)</f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0</v>
      </c>
      <c r="C38" s="38">
        <v>0</v>
      </c>
      <c r="D38" s="38">
        <f t="shared" ref="D38:J38" si="8">SUM(D30:D37)</f>
        <v>20000000</v>
      </c>
      <c r="E38" s="38">
        <f t="shared" si="8"/>
        <v>0</v>
      </c>
      <c r="F38" s="38">
        <f t="shared" ref="F38:H38" si="9">SUM(F30:F37)</f>
        <v>0</v>
      </c>
      <c r="G38" s="38">
        <f t="shared" si="9"/>
        <v>0</v>
      </c>
      <c r="H38" s="38">
        <f t="shared" si="9"/>
        <v>0</v>
      </c>
      <c r="I38" s="38">
        <f t="shared" si="8"/>
        <v>0</v>
      </c>
      <c r="J38" s="38">
        <f t="shared" si="8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878</v>
      </c>
    </row>
    <row r="41" spans="1:33" s="23" customFormat="1" x14ac:dyDescent="0.2">
      <c r="A41" s="27" t="s">
        <v>385</v>
      </c>
      <c r="B41" s="34">
        <v>798271.84</v>
      </c>
      <c r="C41" s="34">
        <v>898271.84</v>
      </c>
      <c r="D41" s="34">
        <f t="shared" ref="D41:J41" ca="1" si="10">D$6+D$27-D$38</f>
        <v>908871.83999999985</v>
      </c>
      <c r="E41" s="34">
        <f t="shared" ca="1" si="10"/>
        <v>911857.5199999999</v>
      </c>
      <c r="F41" s="34">
        <f t="shared" ca="1" si="10"/>
        <v>911857.5199999999</v>
      </c>
      <c r="G41" s="34">
        <f t="shared" ca="1" si="10"/>
        <v>911857.5199999999</v>
      </c>
      <c r="H41" s="34">
        <f t="shared" ca="1" si="10"/>
        <v>8977830.1199999992</v>
      </c>
      <c r="I41" s="34">
        <f t="shared" ca="1" si="10"/>
        <v>13037994.5</v>
      </c>
      <c r="J41" s="34">
        <f t="shared" ca="1" si="10"/>
        <v>13247065.73</v>
      </c>
      <c r="K41" s="34"/>
      <c r="L41" s="34"/>
    </row>
    <row r="42" spans="1:33" s="23" customFormat="1" x14ac:dyDescent="0.2">
      <c r="A42" s="27" t="s">
        <v>893</v>
      </c>
      <c r="B42" s="34">
        <v>798271.84</v>
      </c>
      <c r="C42" s="34">
        <v>898271.84</v>
      </c>
      <c r="D42" s="34">
        <f>IFERROR(INDEX(CashProjTable[CashBal],MATCH($A$3&amp;D$5,CashProjTable[RefRng],0)),0)</f>
        <v>20908871.84</v>
      </c>
      <c r="E42" s="34">
        <f>IFERROR(INDEX(CashProjTable[CashBal],MATCH($A$3&amp;E$5,CashProjTable[RefRng],0)),0)</f>
        <v>20908871.84</v>
      </c>
      <c r="F42" s="34">
        <f>IFERROR(INDEX(CashProjTable[CashBal],MATCH($A$3&amp;F$5,CashProjTable[RefRng],0)),0)</f>
        <v>20908871.84</v>
      </c>
      <c r="G42" s="34">
        <f>IFERROR(INDEX(CashProjTable[CashBal],MATCH($A$3&amp;G$5,CashProjTable[RefRng],0)),0)</f>
        <v>20908871.84</v>
      </c>
      <c r="H42" s="34">
        <f>IFERROR(INDEX(CashProjTable[CashBal],MATCH($A$3&amp;H$5,CashProjTable[RefRng],0)),0)</f>
        <v>28974844.440000001</v>
      </c>
      <c r="I42" s="34">
        <f>IFERROR(INDEX(CashProjTable[CashBal],MATCH($A$3&amp;I$5,CashProjTable[RefRng],0)),0)</f>
        <v>33035008.82</v>
      </c>
      <c r="J42" s="34">
        <f>IFERROR(INDEX(CashProjTable[CashBal],MATCH($A$3&amp;J$5,CashProjTable[RefRng],0)),0)</f>
        <v>33244080.050000001</v>
      </c>
      <c r="K42" s="34"/>
      <c r="L42" s="34"/>
    </row>
    <row r="43" spans="1:33" s="42" customFormat="1" x14ac:dyDescent="0.2">
      <c r="A43" s="40" t="s">
        <v>386</v>
      </c>
      <c r="B43" s="41">
        <v>0</v>
      </c>
      <c r="C43" s="41">
        <v>0</v>
      </c>
      <c r="D43" s="41">
        <f t="shared" ref="D43:J43" ca="1" si="11">D42-D41</f>
        <v>20000000</v>
      </c>
      <c r="E43" s="41">
        <f t="shared" ca="1" si="11"/>
        <v>19997014.32</v>
      </c>
      <c r="F43" s="41">
        <f t="shared" ref="F43:H43" ca="1" si="12">F42-F41</f>
        <v>19997014.32</v>
      </c>
      <c r="G43" s="41">
        <f t="shared" ca="1" si="12"/>
        <v>19997014.32</v>
      </c>
      <c r="H43" s="41">
        <f t="shared" ca="1" si="12"/>
        <v>19997014.32</v>
      </c>
      <c r="I43" s="41">
        <f t="shared" ca="1" si="11"/>
        <v>19997014.32</v>
      </c>
      <c r="J43" s="41">
        <f t="shared" ca="1" si="11"/>
        <v>19997014.32</v>
      </c>
      <c r="K43" s="41"/>
      <c r="L43" s="41"/>
    </row>
    <row r="44" spans="1:33" s="23" customFormat="1" x14ac:dyDescent="0.2">
      <c r="A44" s="27" t="s">
        <v>894</v>
      </c>
      <c r="B44" s="34">
        <v>641612395.14999998</v>
      </c>
      <c r="C44" s="34">
        <v>641517017.38999999</v>
      </c>
      <c r="D44" s="34">
        <f t="shared" ref="D44:J44" ca="1" si="13">IF(D$5&gt;TODAY(),C44,C45)+SUM(D16:D19)-SUM(D30:D31)</f>
        <v>641681472.37</v>
      </c>
      <c r="E44" s="34">
        <f t="shared" ca="1" si="13"/>
        <v>641684458.04999995</v>
      </c>
      <c r="F44" s="34">
        <f t="shared" ref="F44" ca="1" si="14">IF(F$5&gt;TODAY(),E44,E45)+SUM(F16:F19)-SUM(F30:F31)</f>
        <v>641684458.04999995</v>
      </c>
      <c r="G44" s="34">
        <f t="shared" ref="G44" ca="1" si="15">IF(G$5&gt;TODAY(),F44,F45)+SUM(G16:G19)-SUM(G30:G31)</f>
        <v>641684458.04999995</v>
      </c>
      <c r="H44" s="34">
        <f t="shared" ref="H44" ca="1" si="16">IF(H$5&gt;TODAY(),G44,G45)+SUM(H16:H19)-SUM(H30:H31)</f>
        <v>641684458.04999995</v>
      </c>
      <c r="I44" s="34">
        <f t="shared" ca="1" si="13"/>
        <v>641684458.04999995</v>
      </c>
      <c r="J44" s="34">
        <f t="shared" ca="1" si="13"/>
        <v>641684458.04999995</v>
      </c>
      <c r="K44" s="34"/>
      <c r="L44" s="34"/>
    </row>
    <row r="45" spans="1:33" s="23" customFormat="1" x14ac:dyDescent="0.2">
      <c r="A45" s="27" t="s">
        <v>895</v>
      </c>
      <c r="B45" s="34">
        <v>641417017.38999999</v>
      </c>
      <c r="C45" s="34">
        <v>641670872.37</v>
      </c>
      <c r="D45" s="34">
        <f>[1]!SCBAM_GetGroup1Dtl($A$3,"NET ASSET VALUE",D$5,"MarketVal")+[1]!SCBAM_GetGroup1Dtl($A$3,"NET ASSET VALUE",D$5,"ai")</f>
        <v>0</v>
      </c>
      <c r="E45" s="34">
        <f>[1]!SCBAM_GetGroup1Dtl($A$3,"NET ASSET VALUE",E$5,"MarketVal")+[1]!SCBAM_GetGroup1Dtl($A$3,"NET ASSET VALUE",E$5,"ai")</f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879</v>
      </c>
      <c r="B46" s="21">
        <v>100000</v>
      </c>
      <c r="C46" s="21">
        <v>10600</v>
      </c>
      <c r="D46" s="21">
        <f t="shared" ref="D46:J46" si="17">SUM(E16:E19)-SUM(E30:E31)</f>
        <v>2985.68</v>
      </c>
      <c r="E46" s="21">
        <f t="shared" si="17"/>
        <v>0</v>
      </c>
      <c r="F46" s="21">
        <f t="shared" ref="F46" si="18">SUM(G16:G19)-SUM(G30:G31)</f>
        <v>0</v>
      </c>
      <c r="G46" s="21">
        <f t="shared" ref="G46" si="19">SUM(H16:H19)-SUM(H30:H31)</f>
        <v>0</v>
      </c>
      <c r="H46" s="21">
        <f t="shared" ref="H46" si="20">SUM(I16:I19)-SUM(I30:I31)</f>
        <v>0</v>
      </c>
      <c r="I46" s="21">
        <f t="shared" si="17"/>
        <v>0</v>
      </c>
      <c r="J46" s="21">
        <f t="shared" si="17"/>
        <v>0</v>
      </c>
      <c r="K46" s="21"/>
      <c r="L46" s="21"/>
    </row>
    <row r="47" spans="1:33" s="49" customFormat="1" x14ac:dyDescent="0.2">
      <c r="A47" s="47" t="s">
        <v>387</v>
      </c>
      <c r="B47" s="50">
        <v>1.2445442175018375E-3</v>
      </c>
      <c r="C47" s="50">
        <v>1.3998949908420322E-3</v>
      </c>
      <c r="D47" s="50">
        <f t="shared" ref="D47:J47" ca="1" si="21">D41/IF(D5&lt;TODAY(),D45,D44)</f>
        <v>1.4163909651982833E-3</v>
      </c>
      <c r="E47" s="50">
        <f t="shared" ca="1" si="21"/>
        <v>1.421037253685437E-3</v>
      </c>
      <c r="F47" s="50">
        <f t="shared" ref="F47:H47" ca="1" si="22">F41/IF(F5&lt;TODAY(),F45,F44)</f>
        <v>1.421037253685437E-3</v>
      </c>
      <c r="G47" s="50">
        <f t="shared" ca="1" si="22"/>
        <v>1.421037253685437E-3</v>
      </c>
      <c r="H47" s="50">
        <f t="shared" ca="1" si="22"/>
        <v>1.3991035636553392E-2</v>
      </c>
      <c r="I47" s="50">
        <f t="shared" ca="1" si="21"/>
        <v>2.0318389102988187E-2</v>
      </c>
      <c r="J47" s="50">
        <f t="shared" ca="1" si="21"/>
        <v>2.0644205362642259E-2</v>
      </c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</row>
    <row r="48" spans="1:33" s="43" customFormat="1" x14ac:dyDescent="0.2">
      <c r="A48" s="43" t="s">
        <v>388</v>
      </c>
      <c r="B48" s="44">
        <v>794271.84</v>
      </c>
      <c r="C48" s="44">
        <v>798271.84</v>
      </c>
      <c r="D48" s="44">
        <f>IFERROR(INDEX(CashProjTable[CashForUse],MATCH($A$3&amp;D$5,CashProjTable[RefRng],0)),0)</f>
        <v>20898271.84</v>
      </c>
      <c r="E48" s="44">
        <f>IFERROR(INDEX(CashProjTable[CashForUse],MATCH($A$3&amp;E$5,CashProjTable[RefRng],0)),0)</f>
        <v>20908871.84</v>
      </c>
      <c r="F48" s="44">
        <f>IFERROR(INDEX(CashProjTable[CashForUse],MATCH($A$3&amp;F$5,CashProjTable[RefRng],0)),0)</f>
        <v>20908871.84</v>
      </c>
      <c r="G48" s="44">
        <f>IFERROR(INDEX(CashProjTable[CashForUse],MATCH($A$3&amp;G$5,CashProjTable[RefRng],0)),0)</f>
        <v>20908871.84</v>
      </c>
      <c r="H48" s="44">
        <f>IFERROR(INDEX(CashProjTable[CashForUse],MATCH($A$3&amp;H$5,CashProjTable[RefRng],0)),0)</f>
        <v>28974844.440000001</v>
      </c>
      <c r="I48" s="44">
        <f>IFERROR(INDEX(CashProjTable[CashForUse],MATCH($A$3&amp;I$5,CashProjTable[RefRng],0)),0)</f>
        <v>33035008.82</v>
      </c>
      <c r="J48" s="44">
        <f>IFERROR(INDEX(CashProjTable[CashForUse],MATCH($A$3&amp;J$5,CashProjTable[RefRng],0)),0)</f>
        <v>33244080.050000001</v>
      </c>
      <c r="K48" s="44"/>
      <c r="L48" s="44"/>
    </row>
    <row r="49" spans="1:12" s="43" customFormat="1" x14ac:dyDescent="0.2">
      <c r="A49" s="43" t="s">
        <v>389</v>
      </c>
      <c r="B49" s="44">
        <v>750271.84</v>
      </c>
      <c r="C49" s="44">
        <v>794271.84</v>
      </c>
      <c r="D49" s="44">
        <f>IFERROR(INDEX(CashProjTable[CashForBahtNet],MATCH($A$3&amp;D$5,CashProjTable[RefRng],0)),0)</f>
        <v>20798271.84</v>
      </c>
      <c r="E49" s="44">
        <f>IFERROR(INDEX(CashProjTable[CashForBahtNet],MATCH($A$3&amp;E$5,CashProjTable[RefRng],0)),0)</f>
        <v>20898271.84</v>
      </c>
      <c r="F49" s="44">
        <f>IFERROR(INDEX(CashProjTable[CashForBahtNet],MATCH($A$3&amp;F$5,CashProjTable[RefRng],0)),0)</f>
        <v>20908871.84</v>
      </c>
      <c r="G49" s="44">
        <f>IFERROR(INDEX(CashProjTable[CashForBahtNet],MATCH($A$3&amp;G$5,CashProjTable[RefRng],0)),0)</f>
        <v>20908871.84</v>
      </c>
      <c r="H49" s="44">
        <f>IFERROR(INDEX(CashProjTable[CashForBahtNet],MATCH($A$3&amp;H$5,CashProjTable[RefRng],0)),0)</f>
        <v>28908871.84</v>
      </c>
      <c r="I49" s="44">
        <f>IFERROR(INDEX(CashProjTable[CashForBahtNet],MATCH($A$3&amp;I$5,CashProjTable[RefRng],0)),0)</f>
        <v>32974844.440000001</v>
      </c>
      <c r="J49" s="44">
        <f>IFERROR(INDEX(CashProjTable[CashForBahtNet],MATCH($A$3&amp;J$5,CashProjTable[RefRng],0)),0)</f>
        <v>33035008.82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125" priority="11" operator="equal">
      <formula>TODAY()</formula>
    </cfRule>
  </conditionalFormatting>
  <conditionalFormatting sqref="K9:L9">
    <cfRule type="cellIs" dxfId="124" priority="10" operator="greaterThan">
      <formula>"&lt;0"</formula>
    </cfRule>
  </conditionalFormatting>
  <conditionalFormatting sqref="K10:L10">
    <cfRule type="cellIs" dxfId="123" priority="9" operator="greaterThan">
      <formula>"&lt;0"</formula>
    </cfRule>
  </conditionalFormatting>
  <conditionalFormatting sqref="K11:L11">
    <cfRule type="cellIs" dxfId="122" priority="8" operator="greaterThan">
      <formula>"&lt;0"</formula>
    </cfRule>
  </conditionalFormatting>
  <conditionalFormatting sqref="D10">
    <cfRule type="cellIs" dxfId="121" priority="6" operator="greaterThan">
      <formula>"&lt;0"</formula>
    </cfRule>
  </conditionalFormatting>
  <conditionalFormatting sqref="D11">
    <cfRule type="cellIs" dxfId="120" priority="5" operator="greaterThan">
      <formula>"&lt;0"</formula>
    </cfRule>
  </conditionalFormatting>
  <conditionalFormatting sqref="A5:C5 M5:XFD5 E5 I5:J5">
    <cfRule type="cellIs" dxfId="119" priority="18" operator="equal">
      <formula>TODAY()</formula>
    </cfRule>
  </conditionalFormatting>
  <conditionalFormatting sqref="B9:E9 I9:J9">
    <cfRule type="cellIs" dxfId="118" priority="17" operator="greaterThan">
      <formula>"&lt;0"</formula>
    </cfRule>
  </conditionalFormatting>
  <conditionalFormatting sqref="B10">
    <cfRule type="cellIs" dxfId="117" priority="16" operator="greaterThan">
      <formula>"&lt;0"</formula>
    </cfRule>
  </conditionalFormatting>
  <conditionalFormatting sqref="B11">
    <cfRule type="cellIs" dxfId="116" priority="15" operator="greaterThan">
      <formula>"&lt;0"</formula>
    </cfRule>
  </conditionalFormatting>
  <conditionalFormatting sqref="C10 E10 I10:J10">
    <cfRule type="cellIs" dxfId="115" priority="14" operator="greaterThan">
      <formula>"&lt;0"</formula>
    </cfRule>
  </conditionalFormatting>
  <conditionalFormatting sqref="C11 E11 I11:J11">
    <cfRule type="cellIs" dxfId="114" priority="13" operator="greaterThan">
      <formula>"&lt;0"</formula>
    </cfRule>
  </conditionalFormatting>
  <conditionalFormatting sqref="B7">
    <cfRule type="cellIs" dxfId="113" priority="12" operator="greaterThan">
      <formula>"&lt;0"</formula>
    </cfRule>
  </conditionalFormatting>
  <conditionalFormatting sqref="D5">
    <cfRule type="cellIs" dxfId="112" priority="7" operator="equal">
      <formula>TODAY()</formula>
    </cfRule>
  </conditionalFormatting>
  <conditionalFormatting sqref="F5:H5">
    <cfRule type="cellIs" dxfId="111" priority="4" operator="equal">
      <formula>TODAY()</formula>
    </cfRule>
  </conditionalFormatting>
  <conditionalFormatting sqref="F9:H9">
    <cfRule type="cellIs" dxfId="110" priority="3" operator="greaterThan">
      <formula>"&lt;0"</formula>
    </cfRule>
  </conditionalFormatting>
  <conditionalFormatting sqref="F10:H10">
    <cfRule type="cellIs" dxfId="109" priority="2" operator="greaterThan">
      <formula>"&lt;0"</formula>
    </cfRule>
  </conditionalFormatting>
  <conditionalFormatting sqref="F11:H11">
    <cfRule type="cellIs" dxfId="108" priority="1" operator="greaterThan">
      <formula>"&lt;0"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13AAC-E448-41D0-AC37-DFC647B8E38A}">
  <sheetPr codeName="Sheet10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23" sqref="E23"/>
    </sheetView>
  </sheetViews>
  <sheetFormatPr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TODAY()</f>
        <v>43384</v>
      </c>
    </row>
    <row r="3" spans="1:33" x14ac:dyDescent="0.2">
      <c r="A3" s="14" t="s">
        <v>139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>[1]!SCBAM_NextBusinessDay(C5)</f>
        <v>43384</v>
      </c>
      <c r="E5" s="16">
        <f>[1]!SCBAM_NextBusinessDay(D5)</f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10648845.939999999</v>
      </c>
      <c r="C6" s="21">
        <v>9318373.9100000001</v>
      </c>
      <c r="D6" s="21">
        <f ca="1">IF(AND(ISNUMBER(C41),ISNUMBER(C42)),IF(D5&lt;=TODAY(),C42,C41),INDEX(CashProjTable[CashBal],MATCH($A$3&amp;[1]!SCBAM_PreviousBusinessDay(D$5),CashProjTable[RefRng],0)))</f>
        <v>628003304.70000005</v>
      </c>
      <c r="E6" s="21">
        <f ca="1">IF(AND(ISNUMBER(D41),ISNUMBER(D42)),IF(E5&lt;=TODAY(),D42,D41),INDEX(CashProjTable[CashBal],MATCH($A$3&amp;[1]!SCBAM_PreviousBusinessDay(E$5),CashProjTable[RefRng],0)))</f>
        <v>228505549.99999905</v>
      </c>
      <c r="F6" s="21">
        <f ca="1">IF(AND(ISNUMBER(E41),ISNUMBER(E42)),IF(F5&lt;=TODAY(),E42,E41),INDEX(CashProjTable[CashBal],MATCH($A$3&amp;[1]!SCBAM_PreviousBusinessDay(F$5),CashProjTable[RefRng],0)))</f>
        <v>223523805.48999906</v>
      </c>
      <c r="G6" s="21">
        <f ca="1">IF(AND(ISNUMBER(F41),ISNUMBER(F42)),IF(G5&lt;=TODAY(),F42,F41),INDEX(CashProjTable[CashBal],MATCH($A$3&amp;[1]!SCBAM_PreviousBusinessDay(G$5),CashProjTable[RefRng],0)))</f>
        <v>5602781830.3599987</v>
      </c>
      <c r="H6" s="21">
        <f ca="1">IF(AND(ISNUMBER(G41),ISNUMBER(G42)),IF(H5&lt;=TODAY(),G42,G41),INDEX(CashProjTable[CashBal],MATCH($A$3&amp;[1]!SCBAM_PreviousBusinessDay(H$5),CashProjTable[RefRng],0)))</f>
        <v>5712065713.8699989</v>
      </c>
      <c r="I6" s="21">
        <f ca="1">IF(AND(ISNUMBER(H41),ISNUMBER(H42)),IF(I5&lt;=TODAY(),H42,H41),INDEX(CashProjTable[CashBal],MATCH($A$3&amp;[1]!SCBAM_PreviousBusinessDay(I$5),CashProjTable[RefRng],0)))</f>
        <v>12418301552.649998</v>
      </c>
      <c r="J6" s="21">
        <f ca="1">IF(AND(ISNUMBER(I41),ISNUMBER(I42)),IF(J5&lt;=TODAY(),I42,I41),INDEX(CashProjTable[CashBal],MATCH($A$3&amp;[1]!SCBAM_PreviousBusinessDay(J$5),CashProjTable[RefRng],0)))</f>
        <v>12438667730.279997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857730392.33000004</v>
      </c>
      <c r="C9" s="24">
        <v>17730392.330000043</v>
      </c>
      <c r="D9" s="24">
        <f>IF(ISNUMBER(C$5),C$11,[1]!SCBAM_GetSecDtl($A$3,"INVSUOBTsffplus",D$5,"MarketVal"))</f>
        <v>57730392.330000043</v>
      </c>
      <c r="E9" s="24">
        <f>IF(ISNUMBER(D$5),D$11,[1]!SCBAM_GetSecDtl($A$3,"INVSUOBTsffplus",E$5,"MarketVal"))</f>
        <v>47730392.330000043</v>
      </c>
      <c r="F9" s="24">
        <f>IF(ISNUMBER(E$5),E$11,[1]!SCBAM_GetSecDtl($A$3,"INVSUOBTsffplus",F$5,"MarketVal"))</f>
        <v>47730392.330000043</v>
      </c>
      <c r="G9" s="24">
        <f>IF(ISNUMBER(F$5),F$11,[1]!SCBAM_GetSecDtl($A$3,"INVSUOBTsffplus",G$5,"MarketVal"))</f>
        <v>47730392.330000043</v>
      </c>
      <c r="H9" s="24">
        <f>IF(ISNUMBER(G$5),G$11,[1]!SCBAM_GetSecDtl($A$3,"INVSUOBTsffplus",H$5,"MarketVal"))</f>
        <v>47730392.330000043</v>
      </c>
      <c r="I9" s="24">
        <f>IF(ISNUMBER(H$5),H$11,[1]!SCBAM_GetSecDtl($A$3,"INVSUOBTsffplus",I$5,"MarketVal"))</f>
        <v>47730392.330000043</v>
      </c>
      <c r="J9" s="24">
        <f>IF(ISNUMBER(I$5),I$11,[1]!SCBAM_GetSecDtl($A$3,"INVSUOBTsffplus",J$5,"MarketVal"))</f>
        <v>47730392.330000043</v>
      </c>
      <c r="K9" s="24"/>
      <c r="L9" s="24"/>
    </row>
    <row r="10" spans="1:33" s="63" customFormat="1" ht="14.25" x14ac:dyDescent="0.2">
      <c r="A10" s="61" t="s">
        <v>361</v>
      </c>
      <c r="B10" s="62">
        <v>-840000000</v>
      </c>
      <c r="C10" s="62">
        <v>40000000</v>
      </c>
      <c r="D10" s="62">
        <f>-10*10^6</f>
        <v>-10000000</v>
      </c>
      <c r="E10" s="62"/>
      <c r="F10" s="62"/>
      <c r="G10" s="62"/>
      <c r="H10" s="62"/>
      <c r="I10" s="62"/>
      <c r="J10" s="62"/>
      <c r="K10" s="62"/>
      <c r="L10" s="62"/>
    </row>
    <row r="11" spans="1:33" s="31" customFormat="1" ht="13.5" thickBot="1" x14ac:dyDescent="0.25">
      <c r="A11" s="29" t="s">
        <v>362</v>
      </c>
      <c r="B11" s="30">
        <v>17730392.330000043</v>
      </c>
      <c r="C11" s="30">
        <v>57730392.330000043</v>
      </c>
      <c r="D11" s="30">
        <f t="shared" ref="D11:J11" si="0">SUM(D9:D10)</f>
        <v>47730392.330000043</v>
      </c>
      <c r="E11" s="30">
        <f t="shared" si="0"/>
        <v>47730392.330000043</v>
      </c>
      <c r="F11" s="30">
        <f t="shared" ref="F11" si="1">SUM(F9:F10)</f>
        <v>47730392.330000043</v>
      </c>
      <c r="G11" s="30">
        <f t="shared" ref="G11" si="2">SUM(G9:G10)</f>
        <v>47730392.330000043</v>
      </c>
      <c r="H11" s="30">
        <f t="shared" ref="H11" si="3">SUM(H9:H10)</f>
        <v>47730392.330000043</v>
      </c>
      <c r="I11" s="30">
        <f t="shared" si="0"/>
        <v>47730392.330000043</v>
      </c>
      <c r="J11" s="30">
        <f t="shared" si="0"/>
        <v>47730392.330000043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749262471.69000006</v>
      </c>
      <c r="C16" s="34">
        <v>317496396.74000001</v>
      </c>
      <c r="D16" s="64">
        <f>IFERROR(INDEX(CashIntraTable[Amount],MATCH($A$3&amp;D$5&amp;$A51,CashIntraTable[RefRng],0)),0)</f>
        <v>568759889.84000003</v>
      </c>
      <c r="E16" s="65">
        <f>IFERROR(INDEX(CashIntraTable[Amount],MATCH($A$3&amp;E$5&amp;$A51,CashIntraTable[RefRng],0)),0)</f>
        <v>12621000</v>
      </c>
      <c r="F16" s="34">
        <f>IFERROR(INDEX(CashIntraTable[Amount],MATCH($A$3&amp;F$5&amp;$A51,CashIntraTable[RefRng],0)),0)</f>
        <v>0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122291913.59999999</v>
      </c>
      <c r="C17" s="34">
        <v>70798500</v>
      </c>
      <c r="D17" s="64">
        <f>IFERROR(INDEX(CashIntraTable[Amount],MATCH($A$3&amp;D$5&amp;$A52,CashIntraTable[RefRng],0)),0)</f>
        <v>24840680.620000001</v>
      </c>
      <c r="E17" s="65">
        <f>IFERROR(INDEX(CashIntraTable[Amount],MATCH($A$3&amp;E$5&amp;$A52,CashIntraTable[RefRng],0)),0)</f>
        <v>0</v>
      </c>
      <c r="F17" s="34">
        <f>IFERROR(INDEX(CashIntraTable[Amount],MATCH($A$3&amp;F$5&amp;$A52,CashIntraTable[RefRng],0)),0)</f>
        <v>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234997421.22</v>
      </c>
      <c r="C18" s="34">
        <v>116239167.38</v>
      </c>
      <c r="D18" s="64">
        <f>IFERROR(INDEX(CashIntraTable[Amount],MATCH($A$3&amp;D$5&amp;$A53,CashIntraTable[RefRng],0)),0)</f>
        <v>362774945.19999999</v>
      </c>
      <c r="E18" s="65">
        <f>IFERROR(INDEX(CashIntraTable[Amount],MATCH($A$3&amp;E$5&amp;$A53,CashIntraTable[RefRng],0)),0)</f>
        <v>57171285</v>
      </c>
      <c r="F18" s="34">
        <f>IFERROR(INDEX(CashIntraTable[Amount],MATCH($A$3&amp;F$5&amp;$A53,CashIntraTable[RefRng],0)),0)</f>
        <v>48629676.869999997</v>
      </c>
      <c r="G18" s="34">
        <f>IFERROR(INDEX(CashIntraTable[Amount],MATCH($A$3&amp;G$5&amp;$A53,CashIntraTable[RefRng],0)),0)</f>
        <v>37694039.670000002</v>
      </c>
      <c r="H18" s="34">
        <f>IFERROR(INDEX(CashIntraTable[Amount],MATCH($A$3&amp;H$5&amp;$A53,CashIntraTable[RefRng],0)),0)</f>
        <v>15235838.779999999</v>
      </c>
      <c r="I18" s="34">
        <f>IFERROR(INDEX(CashIntraTable[Amount],MATCH($A$3&amp;I$5&amp;$A53,CashIntraTable[RefRng],0)),0)</f>
        <v>20366177.629999999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4">
        <v>0</v>
      </c>
      <c r="E19" s="65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1931165337.3499999</v>
      </c>
      <c r="C20" s="34">
        <v>618684930.78999996</v>
      </c>
      <c r="D20" s="34">
        <f>IFERROR(INDEX(CashProjTable[DebtSell_BahtNet],MATCH($A$3&amp;D$5,CashProjTable[RefRng],0))+SUMIFS(IntraTrans[Net Settlement],IntraTrans[Portfolio],$A$3,IntraTrans[B/S],"S",IntraTrans[Settle Date],D$5,IntraTrans[Payment],"BAHTNET"),0)</f>
        <v>5577999999.9799995</v>
      </c>
      <c r="E20" s="34">
        <f>IFERROR(INDEX(CashProjTable[DebtSell_BahtNet],MATCH($A$3&amp;E$5,CashProjTable[RefRng],0))+SUMIFS(IntraTrans[Net Settlement],IntraTrans[Portfolio],$A$3,IntraTrans[B/S],"S",IntraTrans[Settle Date],E$5,IntraTrans[Payment],"BAHTNET"),0)</f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5281000000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70000000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6691000000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1200000000</v>
      </c>
      <c r="C21" s="34">
        <v>0</v>
      </c>
      <c r="D21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1" s="34">
        <f>IFERROR((INDEX(CashProjTable[DebtSell],MATCH($A$3&amp;E$5,CashProjTable[RefRng],0))-INDEX(CashProjTable[DebtSell_BahtNet],MATCH($A$3&amp;E$5,CashProjTable[RefRng],0)))+SUMIFS(IntraTrans[Net Settlement],IntraTrans[Portfolio],$A$3,IntraTrans[B/S],"S",IntraTrans[Settle Date],E$5,IntraTrans[Payment],"CHEQUE"),0)</f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840000000</v>
      </c>
      <c r="C22" s="34">
        <v>0</v>
      </c>
      <c r="D22" s="34">
        <f t="shared" ref="D22:J22" si="4">IF(D$10&lt;0,-D$10,0)</f>
        <v>10000000</v>
      </c>
      <c r="E22" s="34">
        <f t="shared" si="4"/>
        <v>0</v>
      </c>
      <c r="F22" s="34">
        <f t="shared" si="4"/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f>IFERROR(INDEX(CashProjTable[DebtInterest],MATCH($A$3&amp;D$5,CashProjTable[RefRng],0)),0)</f>
        <v>0</v>
      </c>
      <c r="E24" s="34">
        <f>IFERROR(INDEX(CashProjTable[DebtInterest],MATCH($A$3&amp;E$5,CashProjTable[RefRng],0)),0)</f>
        <v>0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1589843.84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f>IFERROR(INDEX(CashProjTable[CashEqInterest],MATCH($A$3&amp;D$5,CashProjTable[RefRng],0)),0)</f>
        <v>0</v>
      </c>
      <c r="E25" s="34">
        <f>IFERROR(INDEX(CashProjTable[CashEqInterest],MATCH($A$3&amp;E$5,CashProjTable[RefRng],0)),0)</f>
        <v>0</v>
      </c>
      <c r="F25" s="34">
        <f>IFERROR(INDEX(CashProjTable[CashEqInterest],MATCH($A$3&amp;F$5,CashProjTable[RefRng],0)),0)</f>
        <v>49628348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10219956.08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5077717143.8599997</v>
      </c>
      <c r="C27" s="38">
        <v>1123218994.9099998</v>
      </c>
      <c r="D27" s="38">
        <f t="shared" ref="D27:J27" si="5">SUM(D16:D26)</f>
        <v>6544375515.6399994</v>
      </c>
      <c r="E27" s="38">
        <f t="shared" si="5"/>
        <v>69792285</v>
      </c>
      <c r="F27" s="38">
        <f t="shared" ref="F27:H27" si="6">SUM(F16:F26)</f>
        <v>5379258024.8699999</v>
      </c>
      <c r="G27" s="38">
        <f t="shared" si="6"/>
        <v>109283883.51000001</v>
      </c>
      <c r="H27" s="38">
        <f t="shared" si="6"/>
        <v>6706235838.7799997</v>
      </c>
      <c r="I27" s="38">
        <f t="shared" si="5"/>
        <v>20366177.629999999</v>
      </c>
      <c r="J27" s="38">
        <f t="shared" si="5"/>
        <v>10219956.08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905880195.55999994</v>
      </c>
      <c r="C30" s="34">
        <v>892716817.12</v>
      </c>
      <c r="D30" s="64">
        <f>IFERROR(ABS(INDEX(CashIntraTable[Amount],MATCH($A$3&amp;D$5&amp;$A54,CashIntraTable[RefRng],0))),0)</f>
        <v>990574757.03999996</v>
      </c>
      <c r="E30" s="65">
        <f>IFERROR(ABS(INDEX(CashIntraTable[Amount],MATCH($A$3&amp;E$5&amp;$A54,CashIntraTable[RefRng],0))),0)</f>
        <v>70265717.439999998</v>
      </c>
      <c r="F30" s="34">
        <f>IFERROR(ABS(INDEX(CashIntraTable[Amount],MATCH($A$3&amp;F$5&amp;$A54,CashIntraTable[RefRng],0))),0)</f>
        <v>0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1338597903.01</v>
      </c>
      <c r="C31" s="34">
        <v>193601544.80000001</v>
      </c>
      <c r="D31" s="64">
        <f>IFERROR(ABS(INDEX(CashIntraTable[Amount],MATCH($A$3&amp;D$5&amp;$A55,CashIntraTable[RefRng],0))),0)</f>
        <v>163551194.99000001</v>
      </c>
      <c r="E31" s="65">
        <f>IFERROR(ABS(INDEX(CashIntraTable[Amount],MATCH($A$3&amp;E$5&amp;$A55,CashIntraTable[RefRng],0))),0)</f>
        <v>4508312.07</v>
      </c>
      <c r="F31" s="34">
        <f>IFERROR(ABS(INDEX(CashIntraTable[Amount],MATCH($A$3&amp;F$5&amp;$A55,CashIntraTable[RefRng],0))),0)</f>
        <v>0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2834533582.5500002</v>
      </c>
      <c r="C32" s="34">
        <v>0</v>
      </c>
      <c r="D32" s="34">
        <f>IFERROR(INDEX(CashProjTable[DebtBuy_BahtNet],MATCH($A$3&amp;D$5,CashProjTable[RefRng],0))+SUMIFS(IntraTrans[Net Settlement],IntraTrans[Portfolio],$A$3,IntraTrans[B/S],"B",IntraTrans[Settle Date],D$5,IntraTrans[Payment],"BAHTNET"),0)</f>
        <v>5789747318.3100004</v>
      </c>
      <c r="E32" s="34">
        <f>IFERROR(INDEX(CashProjTable[DebtBuy_BahtNet],MATCH($A$3&amp;E$5,CashProjTable[RefRng],0))+SUMIFS(IntraTrans[Net Settlement],IntraTrans[Portfolio],$A$3,IntraTrans[B/S],"B",IntraTrans[Settle Date],E$5,IntraTrans[Payment],"BAHTNET"),0)</f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3" s="34">
        <f>IFERROR((INDEX(CashProjTable[DebtBuy],MATCH($A$3&amp;E$5,CashProjTable[RefRng],0))-INDEX(CashProjTable[DebtBuy_BahtNet],MATCH($A$3&amp;E$5,CashProjTable[RefRng],0)))+SUMIFS(IntraTrans[Net Settlement],IntraTrans[Portfolio],$A$3,IntraTrans[B/S],"B",IntraTrans[Settle Date],E$5,IntraTrans[Payment],"CHEQUE"),0)</f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40000000</v>
      </c>
      <c r="D34" s="34">
        <f t="shared" ref="D34:J34" si="7">IF(D$10&gt;0,D$10,0)</f>
        <v>0</v>
      </c>
      <c r="E34" s="34">
        <f t="shared" si="7"/>
        <v>0</v>
      </c>
      <c r="F34" s="34">
        <f t="shared" si="7"/>
        <v>0</v>
      </c>
      <c r="G34" s="34">
        <f t="shared" si="7"/>
        <v>0</v>
      </c>
      <c r="H34" s="34">
        <f t="shared" si="7"/>
        <v>0</v>
      </c>
      <c r="I34" s="34">
        <f t="shared" si="7"/>
        <v>0</v>
      </c>
      <c r="J34" s="34">
        <f t="shared" si="7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f>IFERROR(INDEX(CashProjTable[Expense],MATCH($A$3&amp;D$5,CashProjTable[RefRng],0)),0)</f>
        <v>0</v>
      </c>
      <c r="E36" s="34">
        <f>IFERROR(INDEX(CashProjTable[Expense],MATCH($A$3&amp;E$5,CashProjTable[RefRng],0)),0)</f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5079011681.1199999</v>
      </c>
      <c r="C38" s="38">
        <v>1126318361.9200001</v>
      </c>
      <c r="D38" s="38">
        <f t="shared" ref="D38:J38" si="8">SUM(D30:D37)</f>
        <v>6943873270.3400002</v>
      </c>
      <c r="E38" s="38">
        <f t="shared" si="8"/>
        <v>74774029.50999999</v>
      </c>
      <c r="F38" s="38">
        <f t="shared" ref="F38:H38" si="9">SUM(F30:F37)</f>
        <v>0</v>
      </c>
      <c r="G38" s="38">
        <f t="shared" si="9"/>
        <v>0</v>
      </c>
      <c r="H38" s="38">
        <f t="shared" si="9"/>
        <v>0</v>
      </c>
      <c r="I38" s="38">
        <f t="shared" si="8"/>
        <v>0</v>
      </c>
      <c r="J38" s="38">
        <f t="shared" si="8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878</v>
      </c>
    </row>
    <row r="41" spans="1:33" s="23" customFormat="1" x14ac:dyDescent="0.2">
      <c r="A41" s="27" t="s">
        <v>385</v>
      </c>
      <c r="B41" s="34">
        <v>9354308.6799993515</v>
      </c>
      <c r="C41" s="34">
        <v>6219006.8999998569</v>
      </c>
      <c r="D41" s="34">
        <f t="shared" ref="D41:J41" ca="1" si="10">D$6+D$27-D$38</f>
        <v>228505549.99999905</v>
      </c>
      <c r="E41" s="34">
        <f t="shared" ca="1" si="10"/>
        <v>223523805.48999906</v>
      </c>
      <c r="F41" s="34">
        <f t="shared" ca="1" si="10"/>
        <v>5602781830.3599987</v>
      </c>
      <c r="G41" s="34">
        <f t="shared" ca="1" si="10"/>
        <v>5712065713.8699989</v>
      </c>
      <c r="H41" s="34">
        <f t="shared" ca="1" si="10"/>
        <v>12418301552.649998</v>
      </c>
      <c r="I41" s="34">
        <f t="shared" ca="1" si="10"/>
        <v>12438667730.279997</v>
      </c>
      <c r="J41" s="34">
        <f t="shared" ca="1" si="10"/>
        <v>12448887686.359997</v>
      </c>
      <c r="K41" s="34"/>
      <c r="L41" s="34"/>
    </row>
    <row r="42" spans="1:33" s="23" customFormat="1" x14ac:dyDescent="0.2">
      <c r="A42" s="27" t="s">
        <v>893</v>
      </c>
      <c r="B42" s="34">
        <v>9318373.9100000001</v>
      </c>
      <c r="C42" s="34">
        <v>628003304.70000005</v>
      </c>
      <c r="D42" s="34">
        <f>IFERROR(INDEX(CashProjTable[CashBal],MATCH($A$3&amp;D$5,CashProjTable[RefRng],0)),0)</f>
        <v>199007033.63999999</v>
      </c>
      <c r="E42" s="34">
        <f>IFERROR(INDEX(CashProjTable[CashBal],MATCH($A$3&amp;E$5,CashProjTable[RefRng],0)),0)</f>
        <v>199007033.63999999</v>
      </c>
      <c r="F42" s="34">
        <f>IFERROR(INDEX(CashProjTable[CashBal],MATCH($A$3&amp;F$5,CashProjTable[RefRng],0)),0)</f>
        <v>8494685381.6400003</v>
      </c>
      <c r="G42" s="34">
        <f>IFERROR(INDEX(CashProjTable[CashBal],MATCH($A$3&amp;G$5,CashProjTable[RefRng],0)),0)</f>
        <v>8566275225.4799995</v>
      </c>
      <c r="H42" s="34">
        <f>IFERROR(INDEX(CashProjTable[CashBal],MATCH($A$3&amp;H$5,CashProjTable[RefRng],0)),0)</f>
        <v>15257275225.48</v>
      </c>
      <c r="I42" s="34">
        <f>IFERROR(INDEX(CashProjTable[CashBal],MATCH($A$3&amp;I$5,CashProjTable[RefRng],0)),0)</f>
        <v>15257275225.48</v>
      </c>
      <c r="J42" s="34">
        <f>IFERROR(INDEX(CashProjTable[CashBal],MATCH($A$3&amp;J$5,CashProjTable[RefRng],0)),0)</f>
        <v>16949015181.559999</v>
      </c>
      <c r="K42" s="34"/>
      <c r="L42" s="34"/>
    </row>
    <row r="43" spans="1:33" s="42" customFormat="1" x14ac:dyDescent="0.2">
      <c r="A43" s="40" t="s">
        <v>386</v>
      </c>
      <c r="B43" s="41">
        <v>-35934.769999351352</v>
      </c>
      <c r="C43" s="41">
        <v>621784297.80000019</v>
      </c>
      <c r="D43" s="41">
        <f t="shared" ref="D43:J43" ca="1" si="11">D42-D41</f>
        <v>-29498516.359999061</v>
      </c>
      <c r="E43" s="41">
        <f t="shared" ca="1" si="11"/>
        <v>-24516771.84999907</v>
      </c>
      <c r="F43" s="41">
        <f t="shared" ref="F43:H43" ca="1" si="12">F42-F41</f>
        <v>2891903551.2800016</v>
      </c>
      <c r="G43" s="41">
        <f t="shared" ca="1" si="12"/>
        <v>2854209511.6100006</v>
      </c>
      <c r="H43" s="41">
        <f t="shared" ca="1" si="12"/>
        <v>2838973672.8300018</v>
      </c>
      <c r="I43" s="41">
        <f t="shared" ca="1" si="11"/>
        <v>2818607495.2000027</v>
      </c>
      <c r="J43" s="41">
        <f t="shared" ca="1" si="11"/>
        <v>4500127495.2000027</v>
      </c>
      <c r="K43" s="41"/>
      <c r="L43" s="41"/>
    </row>
    <row r="44" spans="1:33" s="23" customFormat="1" x14ac:dyDescent="0.2">
      <c r="A44" s="27" t="s">
        <v>894</v>
      </c>
      <c r="B44" s="45">
        <v>214735959917.92999</v>
      </c>
      <c r="C44" s="34">
        <v>214119766953.74997</v>
      </c>
      <c r="D44" s="34">
        <f t="shared" ref="D44:J44" ca="1" si="13">IF(D$5&gt;TODAY(),C44,C45)+SUM(D16:D19)-SUM(D30:D31)</f>
        <v>213928044495.12003</v>
      </c>
      <c r="E44" s="34">
        <f t="shared" ca="1" si="13"/>
        <v>213923062750.61002</v>
      </c>
      <c r="F44" s="34">
        <f t="shared" ref="F44" ca="1" si="14">IF(F$5&gt;TODAY(),E44,E45)+SUM(F16:F19)-SUM(F30:F31)</f>
        <v>213971692427.48001</v>
      </c>
      <c r="G44" s="34">
        <f t="shared" ref="G44" ca="1" si="15">IF(G$5&gt;TODAY(),F44,F45)+SUM(G16:G19)-SUM(G30:G31)</f>
        <v>214009386467.15002</v>
      </c>
      <c r="H44" s="34">
        <f t="shared" ref="H44" ca="1" si="16">IF(H$5&gt;TODAY(),G44,G45)+SUM(H16:H19)-SUM(H30:H31)</f>
        <v>214024622305.93002</v>
      </c>
      <c r="I44" s="34">
        <f t="shared" ca="1" si="13"/>
        <v>214044988483.56003</v>
      </c>
      <c r="J44" s="34">
        <f t="shared" ca="1" si="13"/>
        <v>214044988483.56003</v>
      </c>
      <c r="K44" s="34"/>
      <c r="L44" s="34"/>
    </row>
    <row r="45" spans="1:33" s="23" customFormat="1" x14ac:dyDescent="0.2">
      <c r="A45" s="27" t="s">
        <v>895</v>
      </c>
      <c r="B45" s="34">
        <v>214701551251.54999</v>
      </c>
      <c r="C45" s="34">
        <v>214125794931.49002</v>
      </c>
      <c r="D45" s="34">
        <f>[1]!SCBAM_GetGroup1Dtl($A$3,"NET ASSET VALUE",D$5,"MarketVal")+[1]!SCBAM_GetGroup1Dtl($A$3,"NET ASSET VALUE",D$5,"ai")</f>
        <v>0</v>
      </c>
      <c r="E45" s="34">
        <f>[1]!SCBAM_GetGroup1Dtl($A$3,"NET ASSET VALUE",E$5,"MarketVal")+[1]!SCBAM_GetGroup1Dtl($A$3,"NET ASSET VALUE",E$5,"ai")</f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879</v>
      </c>
      <c r="B46" s="21">
        <v>-621784297.80000007</v>
      </c>
      <c r="C46" s="21">
        <v>-197835355.13999999</v>
      </c>
      <c r="D46" s="21">
        <f t="shared" ref="D46:J46" si="17">SUM(E16:E19)-SUM(E30:E31)</f>
        <v>-4981744.5099999905</v>
      </c>
      <c r="E46" s="21">
        <f t="shared" si="17"/>
        <v>48629676.869999997</v>
      </c>
      <c r="F46" s="21">
        <f t="shared" ref="F46" si="18">SUM(G16:G19)-SUM(G30:G31)</f>
        <v>37694039.670000002</v>
      </c>
      <c r="G46" s="21">
        <f t="shared" ref="G46" si="19">SUM(H16:H19)-SUM(H30:H31)</f>
        <v>15235838.779999999</v>
      </c>
      <c r="H46" s="21">
        <f t="shared" ref="H46" si="20">SUM(I16:I19)-SUM(I30:I31)</f>
        <v>20366177.629999999</v>
      </c>
      <c r="I46" s="21">
        <f t="shared" si="17"/>
        <v>0</v>
      </c>
      <c r="J46" s="21">
        <f t="shared" si="17"/>
        <v>0</v>
      </c>
      <c r="K46" s="21"/>
      <c r="L46" s="21"/>
    </row>
    <row r="47" spans="1:33" s="49" customFormat="1" x14ac:dyDescent="0.2">
      <c r="A47" s="47" t="s">
        <v>387</v>
      </c>
      <c r="B47" s="50">
        <v>4.3568891912846951E-5</v>
      </c>
      <c r="C47" s="50">
        <v>2.9043707237559308E-5</v>
      </c>
      <c r="D47" s="50">
        <f t="shared" ref="D47:J47" ca="1" si="21">D41/IF(D5&lt;TODAY(),D45,D44)</f>
        <v>1.0681420967469815E-3</v>
      </c>
      <c r="E47" s="50">
        <f t="shared" ca="1" si="21"/>
        <v>1.0448794188711739E-3</v>
      </c>
      <c r="F47" s="50">
        <f t="shared" ref="F47:H47" ca="1" si="22">F41/IF(F5&lt;TODAY(),F45,F44)</f>
        <v>2.6184687174257464E-2</v>
      </c>
      <c r="G47" s="50">
        <f t="shared" ca="1" si="22"/>
        <v>2.6690725150725052E-2</v>
      </c>
      <c r="H47" s="50">
        <f t="shared" ca="1" si="22"/>
        <v>5.8022770552535262E-2</v>
      </c>
      <c r="I47" s="50">
        <f t="shared" ca="1" si="21"/>
        <v>5.8112398792440602E-2</v>
      </c>
      <c r="J47" s="50">
        <f t="shared" ca="1" si="21"/>
        <v>5.8160145558914349E-2</v>
      </c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</row>
    <row r="48" spans="1:33" s="43" customFormat="1" x14ac:dyDescent="0.2">
      <c r="A48" s="43" t="s">
        <v>388</v>
      </c>
      <c r="B48" s="44">
        <v>9318373.9100000001</v>
      </c>
      <c r="C48" s="44">
        <v>628003304.70000005</v>
      </c>
      <c r="D48" s="44">
        <f>IFERROR(INDEX(CashProjTable[CashForUse],MATCH($A$3&amp;D$5,CashProjTable[RefRng],0)),0)</f>
        <v>199007033.63999999</v>
      </c>
      <c r="E48" s="44">
        <f>IFERROR(INDEX(CashProjTable[CashForUse],MATCH($A$3&amp;E$5,CashProjTable[RefRng],0)),0)</f>
        <v>199007033.63999999</v>
      </c>
      <c r="F48" s="44">
        <f>IFERROR(INDEX(CashProjTable[CashForUse],MATCH($A$3&amp;F$5,CashProjTable[RefRng],0)),0)</f>
        <v>8494685381.6400003</v>
      </c>
      <c r="G48" s="44">
        <f>IFERROR(INDEX(CashProjTable[CashForUse],MATCH($A$3&amp;G$5,CashProjTable[RefRng],0)),0)</f>
        <v>8566275225.4799995</v>
      </c>
      <c r="H48" s="44">
        <f>IFERROR(INDEX(CashProjTable[CashForUse],MATCH($A$3&amp;H$5,CashProjTable[RefRng],0)),0)</f>
        <v>15257275225.48</v>
      </c>
      <c r="I48" s="44">
        <f>IFERROR(INDEX(CashProjTable[CashForUse],MATCH($A$3&amp;I$5,CashProjTable[RefRng],0)),0)</f>
        <v>15257275225.48</v>
      </c>
      <c r="J48" s="44">
        <f>IFERROR(INDEX(CashProjTable[CashForUse],MATCH($A$3&amp;J$5,CashProjTable[RefRng],0)),0)</f>
        <v>16949015181.559999</v>
      </c>
      <c r="K48" s="44"/>
      <c r="L48" s="44"/>
    </row>
    <row r="49" spans="1:12" s="43" customFormat="1" x14ac:dyDescent="0.2">
      <c r="A49" s="43" t="s">
        <v>389</v>
      </c>
      <c r="B49" s="44">
        <v>-1190681626.0899999</v>
      </c>
      <c r="C49" s="44">
        <v>628003304.70000005</v>
      </c>
      <c r="D49" s="44">
        <f>IFERROR(INDEX(CashProjTable[CashForBahtNet],MATCH($A$3&amp;D$5,CashProjTable[RefRng],0)),0)</f>
        <v>199007033.63999999</v>
      </c>
      <c r="E49" s="44">
        <f>IFERROR(INDEX(CashProjTable[CashForBahtNet],MATCH($A$3&amp;E$5,CashProjTable[RefRng],0)),0)</f>
        <v>199007033.63999999</v>
      </c>
      <c r="F49" s="44">
        <f>IFERROR(INDEX(CashProjTable[CashForBahtNet],MATCH($A$3&amp;F$5,CashProjTable[RefRng],0)),0)</f>
        <v>8445057033.6400003</v>
      </c>
      <c r="G49" s="44">
        <f>IFERROR(INDEX(CashProjTable[CashForBahtNet],MATCH($A$3&amp;G$5,CashProjTable[RefRng],0)),0)</f>
        <v>8564685381.6400003</v>
      </c>
      <c r="H49" s="44">
        <f>IFERROR(INDEX(CashProjTable[CashForBahtNet],MATCH($A$3&amp;H$5,CashProjTable[RefRng],0)),0)</f>
        <v>15257275225.48</v>
      </c>
      <c r="I49" s="44">
        <f>IFERROR(INDEX(CashProjTable[CashForBahtNet],MATCH($A$3&amp;I$5,CashProjTable[RefRng],0)),0)</f>
        <v>15257275225.48</v>
      </c>
      <c r="J49" s="44">
        <f>IFERROR(INDEX(CashProjTable[CashForBahtNet],MATCH($A$3&amp;J$5,CashProjTable[RefRng],0)),0)</f>
        <v>16938795225.48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107" priority="11" operator="equal">
      <formula>TODAY()</formula>
    </cfRule>
  </conditionalFormatting>
  <conditionalFormatting sqref="K9:L9">
    <cfRule type="cellIs" dxfId="106" priority="10" operator="greaterThan">
      <formula>"&lt;0"</formula>
    </cfRule>
  </conditionalFormatting>
  <conditionalFormatting sqref="K10:L10">
    <cfRule type="cellIs" dxfId="105" priority="9" operator="greaterThan">
      <formula>"&lt;0"</formula>
    </cfRule>
  </conditionalFormatting>
  <conditionalFormatting sqref="K11:L11">
    <cfRule type="cellIs" dxfId="104" priority="8" operator="greaterThan">
      <formula>"&lt;0"</formula>
    </cfRule>
  </conditionalFormatting>
  <conditionalFormatting sqref="D10">
    <cfRule type="cellIs" dxfId="103" priority="6" operator="greaterThan">
      <formula>"&lt;0"</formula>
    </cfRule>
  </conditionalFormatting>
  <conditionalFormatting sqref="D11">
    <cfRule type="cellIs" dxfId="102" priority="5" operator="greaterThan">
      <formula>"&lt;0"</formula>
    </cfRule>
  </conditionalFormatting>
  <conditionalFormatting sqref="A5:C5 M5:XFD5 E5 I5:J5">
    <cfRule type="cellIs" dxfId="101" priority="18" operator="equal">
      <formula>TODAY()</formula>
    </cfRule>
  </conditionalFormatting>
  <conditionalFormatting sqref="B9:E9 I9:J9">
    <cfRule type="cellIs" dxfId="100" priority="17" operator="greaterThan">
      <formula>"&lt;0"</formula>
    </cfRule>
  </conditionalFormatting>
  <conditionalFormatting sqref="B10">
    <cfRule type="cellIs" dxfId="99" priority="16" operator="greaterThan">
      <formula>"&lt;0"</formula>
    </cfRule>
  </conditionalFormatting>
  <conditionalFormatting sqref="B11">
    <cfRule type="cellIs" dxfId="98" priority="15" operator="greaterThan">
      <formula>"&lt;0"</formula>
    </cfRule>
  </conditionalFormatting>
  <conditionalFormatting sqref="C10 E10 I10:J10">
    <cfRule type="cellIs" dxfId="97" priority="14" operator="greaterThan">
      <formula>"&lt;0"</formula>
    </cfRule>
  </conditionalFormatting>
  <conditionalFormatting sqref="C11 E11 I11:J11">
    <cfRule type="cellIs" dxfId="96" priority="13" operator="greaterThan">
      <formula>"&lt;0"</formula>
    </cfRule>
  </conditionalFormatting>
  <conditionalFormatting sqref="B7">
    <cfRule type="cellIs" dxfId="95" priority="12" operator="greaterThan">
      <formula>"&lt;0"</formula>
    </cfRule>
  </conditionalFormatting>
  <conditionalFormatting sqref="D5">
    <cfRule type="cellIs" dxfId="94" priority="7" operator="equal">
      <formula>TODAY()</formula>
    </cfRule>
  </conditionalFormatting>
  <conditionalFormatting sqref="F5:H5">
    <cfRule type="cellIs" dxfId="93" priority="4" operator="equal">
      <formula>TODAY()</formula>
    </cfRule>
  </conditionalFormatting>
  <conditionalFormatting sqref="F9:H9">
    <cfRule type="cellIs" dxfId="92" priority="3" operator="greaterThan">
      <formula>"&lt;0"</formula>
    </cfRule>
  </conditionalFormatting>
  <conditionalFormatting sqref="F10:H10">
    <cfRule type="cellIs" dxfId="91" priority="2" operator="greaterThan">
      <formula>"&lt;0"</formula>
    </cfRule>
  </conditionalFormatting>
  <conditionalFormatting sqref="F11:H11">
    <cfRule type="cellIs" dxfId="90" priority="1" operator="greaterThan">
      <formula>"&lt;0"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60167-CA04-4BB2-A5AD-E37E735896D6}">
  <sheetPr codeName="Sheet11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51" sqref="G51"/>
    </sheetView>
  </sheetViews>
  <sheetFormatPr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TODAY()</f>
        <v>43384</v>
      </c>
    </row>
    <row r="3" spans="1:33" x14ac:dyDescent="0.2">
      <c r="A3" s="14" t="s">
        <v>140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>[1]!SCBAM_NextBusinessDay(C5)</f>
        <v>43384</v>
      </c>
      <c r="E5" s="16">
        <f>[1]!SCBAM_NextBusinessDay(D5)</f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1876711.2</v>
      </c>
      <c r="C6" s="21">
        <v>3373326.37</v>
      </c>
      <c r="D6" s="21">
        <f ca="1">IF(AND(ISNUMBER(C41),ISNUMBER(C42)),IF(D5&lt;=TODAY(),C42,C41),INDEX(CashProjTable[CashBal],MATCH($A$3&amp;[1]!SCBAM_PreviousBusinessDay(D$5),CashProjTable[RefRng],0)))</f>
        <v>10720904.550000001</v>
      </c>
      <c r="E6" s="21">
        <f ca="1">IF(AND(ISNUMBER(D41),ISNUMBER(D42)),IF(E5&lt;=TODAY(),D42,D41),INDEX(CashProjTable[CashBal],MATCH($A$3&amp;[1]!SCBAM_PreviousBusinessDay(E$5),CashProjTable[RefRng],0)))</f>
        <v>10363199.120000005</v>
      </c>
      <c r="F6" s="21">
        <f ca="1">IF(AND(ISNUMBER(E41),ISNUMBER(E42)),IF(F5&lt;=TODAY(),E42,E41),INDEX(CashProjTable[CashBal],MATCH($A$3&amp;[1]!SCBAM_PreviousBusinessDay(F$5),CashProjTable[RefRng],0)))</f>
        <v>6605217.7600000044</v>
      </c>
      <c r="G6" s="21">
        <f ca="1">IF(AND(ISNUMBER(F41),ISNUMBER(F42)),IF(G5&lt;=TODAY(),F42,F41),INDEX(CashProjTable[CashBal],MATCH($A$3&amp;[1]!SCBAM_PreviousBusinessDay(G$5),CashProjTable[RefRng],0)))</f>
        <v>586608305.24000001</v>
      </c>
      <c r="H6" s="21">
        <f ca="1">IF(AND(ISNUMBER(G41),ISNUMBER(G42)),IF(H5&lt;=TODAY(),G42,G41),INDEX(CashProjTable[CashBal],MATCH($A$3&amp;[1]!SCBAM_PreviousBusinessDay(H$5),CashProjTable[RefRng],0)))</f>
        <v>586620850.59000003</v>
      </c>
      <c r="I6" s="21">
        <f ca="1">IF(AND(ISNUMBER(H41),ISNUMBER(H42)),IF(I5&lt;=TODAY(),H42,H41),INDEX(CashProjTable[CashBal],MATCH($A$3&amp;[1]!SCBAM_PreviousBusinessDay(I$5),CashProjTable[RefRng],0)))</f>
        <v>1008620850.59</v>
      </c>
      <c r="J6" s="21">
        <f ca="1">IF(AND(ISNUMBER(I41),ISNUMBER(I42)),IF(J5&lt;=TODAY(),I42,I41),INDEX(CashProjTable[CashBal],MATCH($A$3&amp;[1]!SCBAM_PreviousBusinessDay(J$5),CashProjTable[RefRng],0)))</f>
        <v>1008620850.59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3275021.05</v>
      </c>
      <c r="C9" s="24">
        <v>3275021.05</v>
      </c>
      <c r="D9" s="24">
        <f>IF(ISNUMBER(C$5),C$11,[1]!SCBAM_GetSecDtl($A$3,"INVSUOBTtmf",D$5,"MarketVal"))</f>
        <v>11275021.050000001</v>
      </c>
      <c r="E9" s="24">
        <f>IF(ISNUMBER(D$5),D$11,[1]!SCBAM_GetSecDtl($A$3,"INVSUOBTtmf",E$5,"MarketVal"))</f>
        <v>38275021.049999997</v>
      </c>
      <c r="F9" s="24">
        <f>IF(ISNUMBER(E$5),E$11,[1]!SCBAM_GetSecDtl($A$3,"INVSUOBTtmf",F$5,"MarketVal"))</f>
        <v>38275021.049999997</v>
      </c>
      <c r="G9" s="24">
        <f>IF(ISNUMBER(F$5),F$11,[1]!SCBAM_GetSecDtl($A$3,"INVSUOBTtmf",G$5,"MarketVal"))</f>
        <v>38275021.049999997</v>
      </c>
      <c r="H9" s="24">
        <f>IF(ISNUMBER(G$5),G$11,[1]!SCBAM_GetSecDtl($A$3,"INVSUOBTtmf",H$5,"MarketVal"))</f>
        <v>38275021.049999997</v>
      </c>
      <c r="I9" s="24">
        <f>IF(ISNUMBER(H$5),H$11,[1]!SCBAM_GetSecDtl($A$3,"INVSUOBTtmf",I$5,"MarketVal"))</f>
        <v>38275021.049999997</v>
      </c>
      <c r="J9" s="24">
        <f>IF(ISNUMBER(I$5),I$11,[1]!SCBAM_GetSecDtl($A$3,"INVSUOBTtmf",J$5,"MarketVal"))</f>
        <v>38275021.049999997</v>
      </c>
      <c r="K9" s="24"/>
      <c r="L9" s="24"/>
    </row>
    <row r="10" spans="1:33" s="63" customFormat="1" ht="14.25" x14ac:dyDescent="0.2">
      <c r="A10" s="61" t="s">
        <v>361</v>
      </c>
      <c r="B10" s="62"/>
      <c r="C10" s="62">
        <v>8000000</v>
      </c>
      <c r="D10" s="62">
        <f>27*10^6</f>
        <v>27000000</v>
      </c>
      <c r="E10" s="62"/>
      <c r="F10" s="62"/>
      <c r="G10" s="62"/>
      <c r="H10" s="62"/>
      <c r="I10" s="62"/>
      <c r="J10" s="62"/>
      <c r="K10" s="62"/>
      <c r="L10" s="62"/>
    </row>
    <row r="11" spans="1:33" s="31" customFormat="1" ht="13.5" thickBot="1" x14ac:dyDescent="0.25">
      <c r="A11" s="29" t="s">
        <v>362</v>
      </c>
      <c r="B11" s="30">
        <v>3275021.05</v>
      </c>
      <c r="C11" s="30">
        <v>11275021.050000001</v>
      </c>
      <c r="D11" s="30">
        <f t="shared" ref="D11:J11" si="0">SUM(D9:D10)</f>
        <v>38275021.049999997</v>
      </c>
      <c r="E11" s="30">
        <f t="shared" si="0"/>
        <v>38275021.049999997</v>
      </c>
      <c r="F11" s="30">
        <f t="shared" ref="F11" si="1">SUM(F9:F10)</f>
        <v>38275021.049999997</v>
      </c>
      <c r="G11" s="30">
        <f t="shared" ref="G11" si="2">SUM(G9:G10)</f>
        <v>38275021.049999997</v>
      </c>
      <c r="H11" s="30">
        <f t="shared" ref="H11" si="3">SUM(H9:H10)</f>
        <v>38275021.049999997</v>
      </c>
      <c r="I11" s="30">
        <f t="shared" si="0"/>
        <v>38275021.049999997</v>
      </c>
      <c r="J11" s="30">
        <f t="shared" si="0"/>
        <v>38275021.049999997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2633173.7400000002</v>
      </c>
      <c r="C16" s="34">
        <v>8226709.5599999996</v>
      </c>
      <c r="D16" s="64">
        <f>IFERROR(INDEX(CashIntraTable[Amount],MATCH($A$3&amp;D$5&amp;$A51,CashIntraTable[RefRng],0)),0)</f>
        <v>1829000</v>
      </c>
      <c r="E16" s="65">
        <f>IFERROR(INDEX(CashIntraTable[Amount],MATCH($A$3&amp;E$5&amp;$A51,CashIntraTable[RefRng],0)),0)</f>
        <v>901500</v>
      </c>
      <c r="F16" s="34">
        <f>IFERROR(INDEX(CashIntraTable[Amount],MATCH($A$3&amp;F$5&amp;$A51,CashIntraTable[RefRng],0)),0)</f>
        <v>0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2098557.69</v>
      </c>
      <c r="C17" s="34">
        <v>0</v>
      </c>
      <c r="D17" s="64">
        <f>IFERROR(INDEX(CashIntraTable[Amount],MATCH($A$3&amp;D$5&amp;$A52,CashIntraTable[RefRng],0)),0)</f>
        <v>0</v>
      </c>
      <c r="E17" s="65">
        <f>IFERROR(INDEX(CashIntraTable[Amount],MATCH($A$3&amp;E$5&amp;$A52,CashIntraTable[RefRng],0)),0)</f>
        <v>0</v>
      </c>
      <c r="F17" s="34">
        <f>IFERROR(INDEX(CashIntraTable[Amount],MATCH($A$3&amp;F$5&amp;$A52,CashIntraTable[RefRng],0)),0)</f>
        <v>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11254.71</v>
      </c>
      <c r="C18" s="34">
        <v>364437.38</v>
      </c>
      <c r="D18" s="64">
        <f>IFERROR(INDEX(CashIntraTable[Amount],MATCH($A$3&amp;D$5&amp;$A53,CashIntraTable[RefRng],0)),0)</f>
        <v>700000</v>
      </c>
      <c r="E18" s="65">
        <f>IFERROR(INDEX(CashIntraTable[Amount],MATCH($A$3&amp;E$5&amp;$A53,CashIntraTable[RefRng],0)),0)</f>
        <v>92347.27</v>
      </c>
      <c r="F18" s="34">
        <f>IFERROR(INDEX(CashIntraTable[Amount],MATCH($A$3&amp;F$5&amp;$A53,CashIntraTable[RefRng],0)),0)</f>
        <v>3087.48</v>
      </c>
      <c r="G18" s="34">
        <f>IFERROR(INDEX(CashIntraTable[Amount],MATCH($A$3&amp;G$5&amp;$A53,CashIntraTable[RefRng],0)),0)</f>
        <v>12545.35</v>
      </c>
      <c r="H18" s="34">
        <f>IFERROR(INDEX(CashIntraTable[Amount],MATCH($A$3&amp;H$5&amp;$A53,CashIntraTable[RefRng],0)),0)</f>
        <v>0</v>
      </c>
      <c r="I18" s="34">
        <f>IFERROR(INDEX(CashIntraTable[Amount],MATCH($A$3&amp;I$5&amp;$A53,CashIntraTable[RefRng],0)),0)</f>
        <v>0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4">
        <v>0</v>
      </c>
      <c r="E19" s="65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44948798.950000003</v>
      </c>
      <c r="C20" s="34">
        <v>19985364.199999999</v>
      </c>
      <c r="D20" s="34">
        <f>IFERROR(INDEX(CashProjTable[DebtSell_BahtNet],MATCH($A$3&amp;D$5,CashProjTable[RefRng],0))+SUMIFS(IntraTrans[Net Settlement],IntraTrans[Portfolio],$A$3,IntraTrans[B/S],"S",IntraTrans[Settle Date],D$5,IntraTrans[Payment],"BAHTNET"),0)</f>
        <v>238000000</v>
      </c>
      <c r="E20" s="34">
        <f>IFERROR(INDEX(CashProjTable[DebtSell_BahtNet],MATCH($A$3&amp;E$5,CashProjTable[RefRng],0))+SUMIFS(IntraTrans[Net Settlement],IntraTrans[Portfolio],$A$3,IntraTrans[B/S],"S",IntraTrans[Settle Date],E$5,IntraTrans[Payment],"BAHTNET"),0)</f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580000000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422000000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1" s="34">
        <f>IFERROR((INDEX(CashProjTable[DebtSell],MATCH($A$3&amp;E$5,CashProjTable[RefRng],0))-INDEX(CashProjTable[DebtSell_BahtNet],MATCH($A$3&amp;E$5,CashProjTable[RefRng],0)))+SUMIFS(IntraTrans[Net Settlement],IntraTrans[Portfolio],$A$3,IntraTrans[B/S],"S",IntraTrans[Settle Date],E$5,IntraTrans[Payment],"CHEQUE"),0)</f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0</v>
      </c>
      <c r="C22" s="34">
        <v>0</v>
      </c>
      <c r="D22" s="34">
        <f t="shared" ref="D22:J22" si="4">IF(D$10&lt;0,-D$10,0)</f>
        <v>0</v>
      </c>
      <c r="E22" s="34">
        <f t="shared" si="4"/>
        <v>0</v>
      </c>
      <c r="F22" s="34">
        <f t="shared" si="4"/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f>IFERROR(INDEX(CashProjTable[DebtInterest],MATCH($A$3&amp;D$5,CashProjTable[RefRng],0)),0)</f>
        <v>0</v>
      </c>
      <c r="E24" s="34">
        <f>IFERROR(INDEX(CashProjTable[DebtInterest],MATCH($A$3&amp;E$5,CashProjTable[RefRng],0)),0)</f>
        <v>0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f>IFERROR(INDEX(CashProjTable[CashEqInterest],MATCH($A$3&amp;D$5,CashProjTable[RefRng],0)),0)</f>
        <v>0</v>
      </c>
      <c r="E25" s="34">
        <f>IFERROR(INDEX(CashProjTable[CashEqInterest],MATCH($A$3&amp;E$5,CashProjTable[RefRng],0)),0)</f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49691785.090000004</v>
      </c>
      <c r="C27" s="38">
        <v>28576511.140000001</v>
      </c>
      <c r="D27" s="38">
        <f t="shared" ref="D27:J27" si="5">SUM(D16:D26)</f>
        <v>240529000</v>
      </c>
      <c r="E27" s="38">
        <f t="shared" si="5"/>
        <v>993847.27</v>
      </c>
      <c r="F27" s="38">
        <f t="shared" ref="F27:H27" si="6">SUM(F16:F26)</f>
        <v>580003087.48000002</v>
      </c>
      <c r="G27" s="38">
        <f t="shared" si="6"/>
        <v>12545.35</v>
      </c>
      <c r="H27" s="38">
        <f t="shared" si="6"/>
        <v>422000000</v>
      </c>
      <c r="I27" s="38">
        <f t="shared" si="5"/>
        <v>0</v>
      </c>
      <c r="J27" s="38">
        <f t="shared" si="5"/>
        <v>0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44548109.719999999</v>
      </c>
      <c r="C30" s="34">
        <v>20415637.039999999</v>
      </c>
      <c r="D30" s="64">
        <f>IFERROR(ABS(INDEX(CashIntraTable[Amount],MATCH($A$3&amp;D$5&amp;$A54,CashIntraTable[RefRng],0))),0)</f>
        <v>13513327.560000001</v>
      </c>
      <c r="E30" s="65">
        <f>IFERROR(ABS(INDEX(CashIntraTable[Amount],MATCH($A$3&amp;E$5&amp;$A54,CashIntraTable[RefRng],0))),0)</f>
        <v>4748828.63</v>
      </c>
      <c r="F30" s="34">
        <f>IFERROR(ABS(INDEX(CashIntraTable[Amount],MATCH($A$3&amp;F$5&amp;$A54,CashIntraTable[RefRng],0))),0)</f>
        <v>0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3646961.84</v>
      </c>
      <c r="C31" s="34">
        <v>813242.48</v>
      </c>
      <c r="D31" s="64">
        <f>IFERROR(ABS(INDEX(CashIntraTable[Amount],MATCH($A$3&amp;D$5&amp;$A55,CashIntraTable[RefRng],0))),0)</f>
        <v>1145500.93</v>
      </c>
      <c r="E31" s="65">
        <f>IFERROR(ABS(INDEX(CashIntraTable[Amount],MATCH($A$3&amp;E$5&amp;$A55,CashIntraTable[RefRng],0))),0)</f>
        <v>3000</v>
      </c>
      <c r="F31" s="34">
        <f>IFERROR(ABS(INDEX(CashIntraTable[Amount],MATCH($A$3&amp;F$5&amp;$A55,CashIntraTable[RefRng],0))),0)</f>
        <v>0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0</v>
      </c>
      <c r="C32" s="34">
        <v>0</v>
      </c>
      <c r="D32" s="34">
        <f>IFERROR(INDEX(CashProjTable[DebtBuy_BahtNet],MATCH($A$3&amp;D$5,CashProjTable[RefRng],0))+SUMIFS(IntraTrans[Net Settlement],IntraTrans[Portfolio],$A$3,IntraTrans[B/S],"B",IntraTrans[Settle Date],D$5,IntraTrans[Payment],"BAHTNET"),0)</f>
        <v>199227876.94</v>
      </c>
      <c r="E32" s="34">
        <f>IFERROR(INDEX(CashProjTable[DebtBuy_BahtNet],MATCH($A$3&amp;E$5,CashProjTable[RefRng],0))+SUMIFS(IntraTrans[Net Settlement],IntraTrans[Portfolio],$A$3,IntraTrans[B/S],"B",IntraTrans[Settle Date],E$5,IntraTrans[Payment],"BAHTNET"),0)</f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3" s="34">
        <f>IFERROR((INDEX(CashProjTable[DebtBuy],MATCH($A$3&amp;E$5,CashProjTable[RefRng],0))-INDEX(CashProjTable[DebtBuy_BahtNet],MATCH($A$3&amp;E$5,CashProjTable[RefRng],0)))+SUMIFS(IntraTrans[Net Settlement],IntraTrans[Portfolio],$A$3,IntraTrans[B/S],"B",IntraTrans[Settle Date],E$5,IntraTrans[Payment],"CHEQUE"),0)</f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8000000</v>
      </c>
      <c r="D34" s="34">
        <f t="shared" ref="D34:J34" si="7">IF(D$10&gt;0,D$10,0)</f>
        <v>27000000</v>
      </c>
      <c r="E34" s="34">
        <f t="shared" si="7"/>
        <v>0</v>
      </c>
      <c r="F34" s="34">
        <f t="shared" si="7"/>
        <v>0</v>
      </c>
      <c r="G34" s="34">
        <f t="shared" si="7"/>
        <v>0</v>
      </c>
      <c r="H34" s="34">
        <f t="shared" si="7"/>
        <v>0</v>
      </c>
      <c r="I34" s="34">
        <f t="shared" si="7"/>
        <v>0</v>
      </c>
      <c r="J34" s="34">
        <f t="shared" si="7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f>IFERROR(INDEX(CashProjTable[Expense],MATCH($A$3&amp;D$5,CashProjTable[RefRng],0)),0)</f>
        <v>0</v>
      </c>
      <c r="E36" s="34">
        <f>IFERROR(INDEX(CashProjTable[Expense],MATCH($A$3&amp;E$5,CashProjTable[RefRng],0)),0)</f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48195071.560000002</v>
      </c>
      <c r="C38" s="38">
        <v>29228879.52</v>
      </c>
      <c r="D38" s="38">
        <f t="shared" ref="D38:J38" si="8">SUM(D30:D37)</f>
        <v>240886705.43000001</v>
      </c>
      <c r="E38" s="38">
        <f t="shared" si="8"/>
        <v>4751828.63</v>
      </c>
      <c r="F38" s="38">
        <f t="shared" ref="F38:H38" si="9">SUM(F30:F37)</f>
        <v>0</v>
      </c>
      <c r="G38" s="38">
        <f t="shared" si="9"/>
        <v>0</v>
      </c>
      <c r="H38" s="38">
        <f t="shared" si="9"/>
        <v>0</v>
      </c>
      <c r="I38" s="38">
        <f t="shared" si="8"/>
        <v>0</v>
      </c>
      <c r="J38" s="38">
        <f t="shared" si="8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878</v>
      </c>
    </row>
    <row r="41" spans="1:33" s="23" customFormat="1" x14ac:dyDescent="0.2">
      <c r="A41" s="27" t="s">
        <v>385</v>
      </c>
      <c r="B41" s="34">
        <v>3373424.7300000042</v>
      </c>
      <c r="C41" s="34">
        <v>2720957.9900000021</v>
      </c>
      <c r="D41" s="34">
        <f t="shared" ref="D41:J41" ca="1" si="10">D$6+D$27-D$38</f>
        <v>10363199.120000005</v>
      </c>
      <c r="E41" s="34">
        <f t="shared" ca="1" si="10"/>
        <v>6605217.7600000044</v>
      </c>
      <c r="F41" s="34">
        <f t="shared" ca="1" si="10"/>
        <v>586608305.24000001</v>
      </c>
      <c r="G41" s="34">
        <f t="shared" ca="1" si="10"/>
        <v>586620850.59000003</v>
      </c>
      <c r="H41" s="34">
        <f t="shared" ca="1" si="10"/>
        <v>1008620850.59</v>
      </c>
      <c r="I41" s="34">
        <f t="shared" ca="1" si="10"/>
        <v>1008620850.59</v>
      </c>
      <c r="J41" s="34">
        <f t="shared" ca="1" si="10"/>
        <v>1008620850.59</v>
      </c>
      <c r="K41" s="34"/>
      <c r="L41" s="34"/>
    </row>
    <row r="42" spans="1:33" s="23" customFormat="1" x14ac:dyDescent="0.2">
      <c r="A42" s="27" t="s">
        <v>893</v>
      </c>
      <c r="B42" s="34">
        <v>3373326.37</v>
      </c>
      <c r="C42" s="34">
        <v>10720904.550000001</v>
      </c>
      <c r="D42" s="34">
        <f>IFERROR(INDEX(CashProjTable[CashBal],MATCH($A$3&amp;D$5,CashProjTable[RefRng],0)),0)</f>
        <v>29363199.09</v>
      </c>
      <c r="E42" s="34">
        <f>IFERROR(INDEX(CashProjTable[CashBal],MATCH($A$3&amp;E$5,CashProjTable[RefRng],0)),0)</f>
        <v>29363199.09</v>
      </c>
      <c r="F42" s="34">
        <f>IFERROR(INDEX(CashProjTable[CashBal],MATCH($A$3&amp;F$5,CashProjTable[RefRng],0)),0)</f>
        <v>609363199.09000003</v>
      </c>
      <c r="G42" s="34">
        <f>IFERROR(INDEX(CashProjTable[CashBal],MATCH($A$3&amp;G$5,CashProjTable[RefRng],0)),0)</f>
        <v>609363199.09000003</v>
      </c>
      <c r="H42" s="34">
        <f>IFERROR(INDEX(CashProjTable[CashBal],MATCH($A$3&amp;H$5,CashProjTable[RefRng],0)),0)</f>
        <v>1031363199.09</v>
      </c>
      <c r="I42" s="34">
        <f>IFERROR(INDEX(CashProjTable[CashBal],MATCH($A$3&amp;I$5,CashProjTable[RefRng],0)),0)</f>
        <v>1031363199.09</v>
      </c>
      <c r="J42" s="34">
        <f>IFERROR(INDEX(CashProjTable[CashBal],MATCH($A$3&amp;J$5,CashProjTable[RefRng],0)),0)</f>
        <v>1031363199.09</v>
      </c>
      <c r="K42" s="34"/>
      <c r="L42" s="34"/>
    </row>
    <row r="43" spans="1:33" s="42" customFormat="1" x14ac:dyDescent="0.2">
      <c r="A43" s="40" t="s">
        <v>386</v>
      </c>
      <c r="B43" s="41">
        <v>-98.360000004060566</v>
      </c>
      <c r="C43" s="41">
        <v>7999946.5599999987</v>
      </c>
      <c r="D43" s="41">
        <f t="shared" ref="D43:J43" ca="1" si="11">D42-D41</f>
        <v>18999999.969999995</v>
      </c>
      <c r="E43" s="41">
        <f t="shared" ca="1" si="11"/>
        <v>22757981.329999994</v>
      </c>
      <c r="F43" s="41">
        <f t="shared" ref="F43:H43" ca="1" si="12">F42-F41</f>
        <v>22754893.850000024</v>
      </c>
      <c r="G43" s="41">
        <f t="shared" ca="1" si="12"/>
        <v>22742348.5</v>
      </c>
      <c r="H43" s="41">
        <f t="shared" ca="1" si="12"/>
        <v>22742348.5</v>
      </c>
      <c r="I43" s="41">
        <f t="shared" ca="1" si="11"/>
        <v>22742348.5</v>
      </c>
      <c r="J43" s="41">
        <f t="shared" ca="1" si="11"/>
        <v>22742348.5</v>
      </c>
      <c r="K43" s="41"/>
      <c r="L43" s="41"/>
    </row>
    <row r="44" spans="1:33" s="23" customFormat="1" x14ac:dyDescent="0.2">
      <c r="A44" s="27" t="s">
        <v>894</v>
      </c>
      <c r="B44" s="45">
        <v>3722778945.6799998</v>
      </c>
      <c r="C44" s="34">
        <v>3710187010.5700002</v>
      </c>
      <c r="D44" s="34">
        <f t="shared" ref="D44:J44" ca="1" si="13">IF(D$5&gt;TODAY(),C44,C45)+SUM(D16:D19)-SUM(D30:D31)</f>
        <v>3698101864.0700002</v>
      </c>
      <c r="E44" s="34">
        <f t="shared" ca="1" si="13"/>
        <v>3694343882.71</v>
      </c>
      <c r="F44" s="34">
        <f t="shared" ref="F44" ca="1" si="14">IF(F$5&gt;TODAY(),E44,E45)+SUM(F16:F19)-SUM(F30:F31)</f>
        <v>3694346970.1900001</v>
      </c>
      <c r="G44" s="34">
        <f t="shared" ref="G44" ca="1" si="15">IF(G$5&gt;TODAY(),F44,F45)+SUM(G16:G19)-SUM(G30:G31)</f>
        <v>3694359515.54</v>
      </c>
      <c r="H44" s="34">
        <f t="shared" ref="H44" ca="1" si="16">IF(H$5&gt;TODAY(),G44,G45)+SUM(H16:H19)-SUM(H30:H31)</f>
        <v>3694359515.54</v>
      </c>
      <c r="I44" s="34">
        <f t="shared" ca="1" si="13"/>
        <v>3694359515.54</v>
      </c>
      <c r="J44" s="34">
        <f t="shared" ca="1" si="13"/>
        <v>3694359515.54</v>
      </c>
      <c r="K44" s="34"/>
      <c r="L44" s="34"/>
    </row>
    <row r="45" spans="1:33" s="23" customFormat="1" x14ac:dyDescent="0.2">
      <c r="A45" s="27" t="s">
        <v>895</v>
      </c>
      <c r="B45" s="34">
        <v>3722824743.1500001</v>
      </c>
      <c r="C45" s="34">
        <v>3710231692.5599999</v>
      </c>
      <c r="D45" s="34">
        <f>[1]!SCBAM_GetGroup1Dtl($A$3,"NET ASSET VALUE",D$5,"MarketVal")+[1]!SCBAM_GetGroup1Dtl($A$3,"NET ASSET VALUE",D$5,"ai")</f>
        <v>0</v>
      </c>
      <c r="E45" s="34">
        <f>[1]!SCBAM_GetGroup1Dtl($A$3,"NET ASSET VALUE",E$5,"MarketVal")+[1]!SCBAM_GetGroup1Dtl($A$3,"NET ASSET VALUE",E$5,"ai")</f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879</v>
      </c>
      <c r="B46" s="21">
        <v>-12637732.58</v>
      </c>
      <c r="C46" s="21">
        <v>-12129828.23</v>
      </c>
      <c r="D46" s="21">
        <f t="shared" ref="D46:J46" si="17">SUM(E16:E19)-SUM(E30:E31)</f>
        <v>-3757981.36</v>
      </c>
      <c r="E46" s="21">
        <f t="shared" si="17"/>
        <v>3087.48</v>
      </c>
      <c r="F46" s="21">
        <f t="shared" ref="F46" si="18">SUM(G16:G19)-SUM(G30:G31)</f>
        <v>12545.35</v>
      </c>
      <c r="G46" s="21">
        <f t="shared" ref="G46" si="19">SUM(H16:H19)-SUM(H30:H31)</f>
        <v>0</v>
      </c>
      <c r="H46" s="21">
        <f t="shared" ref="H46" si="20">SUM(I16:I19)-SUM(I30:I31)</f>
        <v>0</v>
      </c>
      <c r="I46" s="21">
        <f t="shared" si="17"/>
        <v>0</v>
      </c>
      <c r="J46" s="21">
        <f t="shared" si="17"/>
        <v>0</v>
      </c>
      <c r="K46" s="21"/>
      <c r="L46" s="21"/>
    </row>
    <row r="47" spans="1:33" s="49" customFormat="1" x14ac:dyDescent="0.2">
      <c r="A47" s="47" t="s">
        <v>387</v>
      </c>
      <c r="B47" s="50">
        <v>9.061465319330726E-4</v>
      </c>
      <c r="C47" s="50">
        <v>7.3336605782766762E-4</v>
      </c>
      <c r="D47" s="50">
        <f t="shared" ref="D47:J47" ca="1" si="21">D41/IF(D5&lt;TODAY(),D45,D44)</f>
        <v>2.8023022352863568E-3</v>
      </c>
      <c r="E47" s="50">
        <f t="shared" ca="1" si="21"/>
        <v>1.7879271583009001E-3</v>
      </c>
      <c r="F47" s="50">
        <f t="shared" ref="F47:H47" ca="1" si="22">F41/IF(F5&lt;TODAY(),F45,F44)</f>
        <v>0.15878538479828569</v>
      </c>
      <c r="G47" s="50">
        <f t="shared" ca="1" si="22"/>
        <v>0.15878824140488515</v>
      </c>
      <c r="H47" s="50">
        <f t="shared" ca="1" si="22"/>
        <v>0.27301643122368702</v>
      </c>
      <c r="I47" s="50">
        <f t="shared" ca="1" si="21"/>
        <v>0.27301643122368702</v>
      </c>
      <c r="J47" s="50">
        <f t="shared" ca="1" si="21"/>
        <v>0.27301643122368702</v>
      </c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</row>
    <row r="48" spans="1:33" s="43" customFormat="1" x14ac:dyDescent="0.2">
      <c r="A48" s="43" t="s">
        <v>388</v>
      </c>
      <c r="B48" s="44">
        <v>3362071.66</v>
      </c>
      <c r="C48" s="44">
        <v>10356467.17</v>
      </c>
      <c r="D48" s="44">
        <f>IFERROR(INDEX(CashProjTable[CashForUse],MATCH($A$3&amp;D$5,CashProjTable[RefRng],0)),0)</f>
        <v>28663199.09</v>
      </c>
      <c r="E48" s="44">
        <f>IFERROR(INDEX(CashProjTable[CashForUse],MATCH($A$3&amp;E$5,CashProjTable[RefRng],0)),0)</f>
        <v>29363199.09</v>
      </c>
      <c r="F48" s="44">
        <f>IFERROR(INDEX(CashProjTable[CashForUse],MATCH($A$3&amp;F$5,CashProjTable[RefRng],0)),0)</f>
        <v>609363199.09000003</v>
      </c>
      <c r="G48" s="44">
        <f>IFERROR(INDEX(CashProjTable[CashForUse],MATCH($A$3&amp;G$5,CashProjTable[RefRng],0)),0)</f>
        <v>609363199.09000003</v>
      </c>
      <c r="H48" s="44">
        <f>IFERROR(INDEX(CashProjTable[CashForUse],MATCH($A$3&amp;H$5,CashProjTable[RefRng],0)),0)</f>
        <v>1031363199.09</v>
      </c>
      <c r="I48" s="44">
        <f>IFERROR(INDEX(CashProjTable[CashForUse],MATCH($A$3&amp;I$5,CashProjTable[RefRng],0)),0)</f>
        <v>1031363199.09</v>
      </c>
      <c r="J48" s="44">
        <f>IFERROR(INDEX(CashProjTable[CashForUse],MATCH($A$3&amp;J$5,CashProjTable[RefRng],0)),0)</f>
        <v>1031363199.09</v>
      </c>
      <c r="K48" s="44"/>
      <c r="L48" s="44"/>
    </row>
    <row r="49" spans="1:12" s="43" customFormat="1" x14ac:dyDescent="0.2">
      <c r="A49" s="43" t="s">
        <v>389</v>
      </c>
      <c r="B49" s="44">
        <v>209713.55</v>
      </c>
      <c r="C49" s="44">
        <v>10345212.460000001</v>
      </c>
      <c r="D49" s="44">
        <f>IFERROR(INDEX(CashProjTable[CashForBahtNet],MATCH($A$3&amp;D$5,CashProjTable[RefRng],0)),0)</f>
        <v>28298761.710000001</v>
      </c>
      <c r="E49" s="44">
        <f>IFERROR(INDEX(CashProjTable[CashForBahtNet],MATCH($A$3&amp;E$5,CashProjTable[RefRng],0)),0)</f>
        <v>28663199.09</v>
      </c>
      <c r="F49" s="44">
        <f>IFERROR(INDEX(CashProjTable[CashForBahtNet],MATCH($A$3&amp;F$5,CashProjTable[RefRng],0)),0)</f>
        <v>609363199.09000003</v>
      </c>
      <c r="G49" s="44">
        <f>IFERROR(INDEX(CashProjTable[CashForBahtNet],MATCH($A$3&amp;G$5,CashProjTable[RefRng],0)),0)</f>
        <v>609363199.09000003</v>
      </c>
      <c r="H49" s="44">
        <f>IFERROR(INDEX(CashProjTable[CashForBahtNet],MATCH($A$3&amp;H$5,CashProjTable[RefRng],0)),0)</f>
        <v>1031363199.09</v>
      </c>
      <c r="I49" s="44">
        <f>IFERROR(INDEX(CashProjTable[CashForBahtNet],MATCH($A$3&amp;I$5,CashProjTable[RefRng],0)),0)</f>
        <v>1031363199.09</v>
      </c>
      <c r="J49" s="44">
        <f>IFERROR(INDEX(CashProjTable[CashForBahtNet],MATCH($A$3&amp;J$5,CashProjTable[RefRng],0)),0)</f>
        <v>1031363199.09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89" priority="11" operator="equal">
      <formula>TODAY()</formula>
    </cfRule>
  </conditionalFormatting>
  <conditionalFormatting sqref="K9:L9">
    <cfRule type="cellIs" dxfId="88" priority="10" operator="greaterThan">
      <formula>"&lt;0"</formula>
    </cfRule>
  </conditionalFormatting>
  <conditionalFormatting sqref="K10:L10">
    <cfRule type="cellIs" dxfId="87" priority="9" operator="greaterThan">
      <formula>"&lt;0"</formula>
    </cfRule>
  </conditionalFormatting>
  <conditionalFormatting sqref="K11:L11">
    <cfRule type="cellIs" dxfId="86" priority="8" operator="greaterThan">
      <formula>"&lt;0"</formula>
    </cfRule>
  </conditionalFormatting>
  <conditionalFormatting sqref="D10">
    <cfRule type="cellIs" dxfId="85" priority="6" operator="greaterThan">
      <formula>"&lt;0"</formula>
    </cfRule>
  </conditionalFormatting>
  <conditionalFormatting sqref="D11">
    <cfRule type="cellIs" dxfId="84" priority="5" operator="greaterThan">
      <formula>"&lt;0"</formula>
    </cfRule>
  </conditionalFormatting>
  <conditionalFormatting sqref="A5:C5 M5:XFD5 E5 I5:J5">
    <cfRule type="cellIs" dxfId="83" priority="18" operator="equal">
      <formula>TODAY()</formula>
    </cfRule>
  </conditionalFormatting>
  <conditionalFormatting sqref="B9:E9 I9:J9">
    <cfRule type="cellIs" dxfId="82" priority="17" operator="greaterThan">
      <formula>"&lt;0"</formula>
    </cfRule>
  </conditionalFormatting>
  <conditionalFormatting sqref="B10">
    <cfRule type="cellIs" dxfId="81" priority="16" operator="greaterThan">
      <formula>"&lt;0"</formula>
    </cfRule>
  </conditionalFormatting>
  <conditionalFormatting sqref="B11">
    <cfRule type="cellIs" dxfId="80" priority="15" operator="greaterThan">
      <formula>"&lt;0"</formula>
    </cfRule>
  </conditionalFormatting>
  <conditionalFormatting sqref="C10 E10 I10:J10">
    <cfRule type="cellIs" dxfId="79" priority="14" operator="greaterThan">
      <formula>"&lt;0"</formula>
    </cfRule>
  </conditionalFormatting>
  <conditionalFormatting sqref="C11 E11 I11:J11">
    <cfRule type="cellIs" dxfId="78" priority="13" operator="greaterThan">
      <formula>"&lt;0"</formula>
    </cfRule>
  </conditionalFormatting>
  <conditionalFormatting sqref="B7">
    <cfRule type="cellIs" dxfId="77" priority="12" operator="greaterThan">
      <formula>"&lt;0"</formula>
    </cfRule>
  </conditionalFormatting>
  <conditionalFormatting sqref="D5">
    <cfRule type="cellIs" dxfId="76" priority="7" operator="equal">
      <formula>TODAY()</formula>
    </cfRule>
  </conditionalFormatting>
  <conditionalFormatting sqref="F5:H5">
    <cfRule type="cellIs" dxfId="75" priority="4" operator="equal">
      <formula>TODAY()</formula>
    </cfRule>
  </conditionalFormatting>
  <conditionalFormatting sqref="F9:H9">
    <cfRule type="cellIs" dxfId="74" priority="3" operator="greaterThan">
      <formula>"&lt;0"</formula>
    </cfRule>
  </conditionalFormatting>
  <conditionalFormatting sqref="F10:H10">
    <cfRule type="cellIs" dxfId="73" priority="2" operator="greaterThan">
      <formula>"&lt;0"</formula>
    </cfRule>
  </conditionalFormatting>
  <conditionalFormatting sqref="F11:H11">
    <cfRule type="cellIs" dxfId="72" priority="1" operator="greaterThan">
      <formula>"&lt;0"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B50B8-BF2B-4FFE-9445-F993469CFC7D}">
  <sheetPr codeName="Sheet12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29" sqref="G29"/>
    </sheetView>
  </sheetViews>
  <sheetFormatPr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TODAY()</f>
        <v>43384</v>
      </c>
    </row>
    <row r="3" spans="1:33" x14ac:dyDescent="0.2">
      <c r="A3" s="14" t="s">
        <v>141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>[1]!SCBAM_NextBusinessDay(C5)</f>
        <v>43384</v>
      </c>
      <c r="E5" s="16">
        <f>[1]!SCBAM_NextBusinessDay(D5)</f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2752722.41</v>
      </c>
      <c r="C6" s="21">
        <v>2268790.71</v>
      </c>
      <c r="D6" s="21">
        <f ca="1">IF(AND(ISNUMBER(C41),ISNUMBER(C42)),IF(D5&lt;=TODAY(),C42,C41),INDEX(CashProjTable[CashBal],MATCH($A$3&amp;[1]!SCBAM_PreviousBusinessDay(D$5),CashProjTable[RefRng],0)))</f>
        <v>12261472.810000001</v>
      </c>
      <c r="E6" s="21">
        <f ca="1">IF(AND(ISNUMBER(D41),ISNUMBER(D42)),IF(E5&lt;=TODAY(),D42,D41),INDEX(CashProjTable[CashBal],MATCH($A$3&amp;[1]!SCBAM_PreviousBusinessDay(E$5),CashProjTable[RefRng],0)))</f>
        <v>1211291269.7400002</v>
      </c>
      <c r="F6" s="21">
        <f ca="1">IF(AND(ISNUMBER(E41),ISNUMBER(E42)),IF(F5&lt;=TODAY(),E42,E41),INDEX(CashProjTable[CashBal],MATCH($A$3&amp;[1]!SCBAM_PreviousBusinessDay(F$5),CashProjTable[RefRng],0)))</f>
        <v>1211371269.7400002</v>
      </c>
      <c r="G6" s="21">
        <f ca="1">IF(AND(ISNUMBER(F41),ISNUMBER(F42)),IF(G5&lt;=TODAY(),F42,F41),INDEX(CashProjTable[CashBal],MATCH($A$3&amp;[1]!SCBAM_PreviousBusinessDay(G$5),CashProjTable[RefRng],0)))</f>
        <v>2031371269.7400002</v>
      </c>
      <c r="H6" s="21">
        <f ca="1">IF(AND(ISNUMBER(G41),ISNUMBER(G42)),IF(H5&lt;=TODAY(),G42,G41),INDEX(CashProjTable[CashBal],MATCH($A$3&amp;[1]!SCBAM_PreviousBusinessDay(H$5),CashProjTable[RefRng],0)))</f>
        <v>2031371269.7400002</v>
      </c>
      <c r="I6" s="21">
        <f ca="1">IF(AND(ISNUMBER(H41),ISNUMBER(H42)),IF(I5&lt;=TODAY(),H42,H41),INDEX(CashProjTable[CashBal],MATCH($A$3&amp;[1]!SCBAM_PreviousBusinessDay(I$5),CashProjTable[RefRng],0)))</f>
        <v>2563371269.7400002</v>
      </c>
      <c r="J6" s="21">
        <f ca="1">IF(AND(ISNUMBER(I41),ISNUMBER(I42)),IF(J5&lt;=TODAY(),I42,I41),INDEX(CashProjTable[CashBal],MATCH($A$3&amp;[1]!SCBAM_PreviousBusinessDay(J$5),CashProjTable[RefRng],0)))</f>
        <v>2563371269.7400002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114816728.56</v>
      </c>
      <c r="C9" s="24">
        <v>48816728.560000002</v>
      </c>
      <c r="D9" s="24">
        <f>IF(ISNUMBER(C$5),C$11,[1]!SCBAM_GetSecDtl($A$3,"INVSUOBTtmf",D$5,"MarketVal"))</f>
        <v>21816728.560000002</v>
      </c>
      <c r="E9" s="24">
        <f>IF(ISNUMBER(D$5),D$11,[1]!SCBAM_GetSecDtl($A$3,"INVSUOBTtmf",E$5,"MarketVal"))</f>
        <v>26816728.560000002</v>
      </c>
      <c r="F9" s="24">
        <f>IF(ISNUMBER(E$5),E$11,[1]!SCBAM_GetSecDtl($A$3,"INVSUOBTtmf",F$5,"MarketVal"))</f>
        <v>26816728.560000002</v>
      </c>
      <c r="G9" s="24">
        <f>IF(ISNUMBER(F$5),F$11,[1]!SCBAM_GetSecDtl($A$3,"INVSUOBTtmf",G$5,"MarketVal"))</f>
        <v>26816728.560000002</v>
      </c>
      <c r="H9" s="24">
        <f>IF(ISNUMBER(G$5),G$11,[1]!SCBAM_GetSecDtl($A$3,"INVSUOBTtmf",H$5,"MarketVal"))</f>
        <v>26816728.560000002</v>
      </c>
      <c r="I9" s="24">
        <f>IF(ISNUMBER(H$5),H$11,[1]!SCBAM_GetSecDtl($A$3,"INVSUOBTtmf",I$5,"MarketVal"))</f>
        <v>26816728.560000002</v>
      </c>
      <c r="J9" s="24">
        <f>IF(ISNUMBER(I$5),I$11,[1]!SCBAM_GetSecDtl($A$3,"INVSUOBTtmf",J$5,"MarketVal"))</f>
        <v>26816728.560000002</v>
      </c>
      <c r="K9" s="24"/>
      <c r="L9" s="24"/>
    </row>
    <row r="10" spans="1:33" s="63" customFormat="1" ht="14.25" x14ac:dyDescent="0.2">
      <c r="A10" s="61" t="s">
        <v>361</v>
      </c>
      <c r="B10" s="62">
        <v>-66000000</v>
      </c>
      <c r="C10" s="62">
        <v>-27000000</v>
      </c>
      <c r="D10" s="62">
        <f>5*10^6</f>
        <v>5000000</v>
      </c>
      <c r="E10" s="62"/>
      <c r="F10" s="62"/>
      <c r="G10" s="62"/>
      <c r="H10" s="62"/>
      <c r="I10" s="62"/>
      <c r="J10" s="62"/>
      <c r="K10" s="62"/>
      <c r="L10" s="62"/>
    </row>
    <row r="11" spans="1:33" s="31" customFormat="1" ht="13.5" thickBot="1" x14ac:dyDescent="0.25">
      <c r="A11" s="29" t="s">
        <v>362</v>
      </c>
      <c r="B11" s="30">
        <v>48816728.560000002</v>
      </c>
      <c r="C11" s="30">
        <v>21816728.560000002</v>
      </c>
      <c r="D11" s="30">
        <f t="shared" ref="D11:J11" si="0">SUM(D9:D10)</f>
        <v>26816728.560000002</v>
      </c>
      <c r="E11" s="30">
        <f t="shared" si="0"/>
        <v>26816728.560000002</v>
      </c>
      <c r="F11" s="30">
        <f t="shared" ref="F11" si="1">SUM(F9:F10)</f>
        <v>26816728.560000002</v>
      </c>
      <c r="G11" s="30">
        <f t="shared" ref="G11" si="2">SUM(G9:G10)</f>
        <v>26816728.560000002</v>
      </c>
      <c r="H11" s="30">
        <f t="shared" ref="H11" si="3">SUM(H9:H10)</f>
        <v>26816728.560000002</v>
      </c>
      <c r="I11" s="30">
        <f t="shared" si="0"/>
        <v>26816728.560000002</v>
      </c>
      <c r="J11" s="30">
        <f t="shared" si="0"/>
        <v>26816728.560000002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16418378.189999999</v>
      </c>
      <c r="C16" s="34">
        <v>12260267.41</v>
      </c>
      <c r="D16" s="64">
        <f>IFERROR(INDEX(CashIntraTable[Amount],MATCH($A$3&amp;D$5&amp;$A51,CashIntraTable[RefRng],0)),0)</f>
        <v>6427095.8200000003</v>
      </c>
      <c r="E16" s="65">
        <f>IFERROR(INDEX(CashIntraTable[Amount],MATCH($A$3&amp;E$5&amp;$A51,CashIntraTable[RefRng],0)),0)</f>
        <v>110000</v>
      </c>
      <c r="F16" s="34">
        <f>IFERROR(INDEX(CashIntraTable[Amount],MATCH($A$3&amp;F$5&amp;$A51,CashIntraTable[RefRng],0)),0)</f>
        <v>0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70450000</v>
      </c>
      <c r="C17" s="34">
        <v>0</v>
      </c>
      <c r="D17" s="64">
        <f>IFERROR(INDEX(CashIntraTable[Amount],MATCH($A$3&amp;D$5&amp;$A52,CashIntraTable[RefRng],0)),0)</f>
        <v>7000000</v>
      </c>
      <c r="E17" s="65">
        <f>IFERROR(INDEX(CashIntraTable[Amount],MATCH($A$3&amp;E$5&amp;$A52,CashIntraTable[RefRng],0)),0)</f>
        <v>0</v>
      </c>
      <c r="F17" s="34">
        <f>IFERROR(INDEX(CashIntraTable[Amount],MATCH($A$3&amp;F$5&amp;$A52,CashIntraTable[RefRng],0)),0)</f>
        <v>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30000</v>
      </c>
      <c r="C18" s="34">
        <v>1931657.21</v>
      </c>
      <c r="D18" s="64">
        <f>IFERROR(INDEX(CashIntraTable[Amount],MATCH($A$3&amp;D$5&amp;$A53,CashIntraTable[RefRng],0)),0)</f>
        <v>1000</v>
      </c>
      <c r="E18" s="65">
        <f>IFERROR(INDEX(CashIntraTable[Amount],MATCH($A$3&amp;E$5&amp;$A53,CashIntraTable[RefRng],0)),0)</f>
        <v>0</v>
      </c>
      <c r="F18" s="34">
        <f>IFERROR(INDEX(CashIntraTable[Amount],MATCH($A$3&amp;F$5&amp;$A53,CashIntraTable[RefRng],0)),0)</f>
        <v>0</v>
      </c>
      <c r="G18" s="34">
        <f>IFERROR(INDEX(CashIntraTable[Amount],MATCH($A$3&amp;G$5&amp;$A53,CashIntraTable[RefRng],0)),0)</f>
        <v>0</v>
      </c>
      <c r="H18" s="34">
        <f>IFERROR(INDEX(CashIntraTable[Amount],MATCH($A$3&amp;H$5&amp;$A53,CashIntraTable[RefRng],0)),0)</f>
        <v>0</v>
      </c>
      <c r="I18" s="34">
        <f>IFERROR(INDEX(CashIntraTable[Amount],MATCH($A$3&amp;I$5&amp;$A53,CashIntraTable[RefRng],0)),0)</f>
        <v>0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4">
        <v>0</v>
      </c>
      <c r="E19" s="65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474000000</v>
      </c>
      <c r="C20" s="34">
        <v>9992682.0999999996</v>
      </c>
      <c r="D20" s="34">
        <f>IFERROR(INDEX(CashProjTable[DebtSell_BahtNet],MATCH($A$3&amp;D$5,CashProjTable[RefRng],0))+SUMIFS(IntraTrans[Net Settlement],IntraTrans[Portfolio],$A$3,IntraTrans[B/S],"S",IntraTrans[Settle Date],D$5,IntraTrans[Payment],"BAHTNET"),0)</f>
        <v>3273705048</v>
      </c>
      <c r="E20" s="34">
        <f>IFERROR(INDEX(CashProjTable[DebtSell_BahtNet],MATCH($A$3&amp;E$5,CashProjTable[RefRng],0))+SUMIFS(IntraTrans[Net Settlement],IntraTrans[Portfolio],$A$3,IntraTrans[B/S],"S",IntraTrans[Settle Date],E$5,IntraTrans[Payment],"BAHTNET"),0)</f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820000000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532000000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1" s="34">
        <f>IFERROR((INDEX(CashProjTable[DebtSell],MATCH($A$3&amp;E$5,CashProjTable[RefRng],0))-INDEX(CashProjTable[DebtSell_BahtNet],MATCH($A$3&amp;E$5,CashProjTable[RefRng],0)))+SUMIFS(IntraTrans[Net Settlement],IntraTrans[Portfolio],$A$3,IntraTrans[B/S],"S",IntraTrans[Settle Date],E$5,IntraTrans[Payment],"CHEQUE"),0)</f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66000000</v>
      </c>
      <c r="C22" s="34">
        <v>27000000</v>
      </c>
      <c r="D22" s="34">
        <f t="shared" ref="D22:J22" si="4">IF(D$10&lt;0,-D$10,0)</f>
        <v>0</v>
      </c>
      <c r="E22" s="34">
        <f t="shared" si="4"/>
        <v>0</v>
      </c>
      <c r="F22" s="34">
        <f t="shared" si="4"/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f>IFERROR(INDEX(CashProjTable[DebtInterest],MATCH($A$3&amp;D$5,CashProjTable[RefRng],0)),0)</f>
        <v>0</v>
      </c>
      <c r="E24" s="34">
        <f>IFERROR(INDEX(CashProjTable[DebtInterest],MATCH($A$3&amp;E$5,CashProjTable[RefRng],0)),0)</f>
        <v>0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f>IFERROR(INDEX(CashProjTable[CashEqInterest],MATCH($A$3&amp;D$5,CashProjTable[RefRng],0)),0)</f>
        <v>0</v>
      </c>
      <c r="E25" s="34">
        <f>IFERROR(INDEX(CashProjTable[CashEqInterest],MATCH($A$3&amp;E$5,CashProjTable[RefRng],0)),0)</f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626898378.19000006</v>
      </c>
      <c r="C27" s="38">
        <v>51184606.719999999</v>
      </c>
      <c r="D27" s="38">
        <f t="shared" ref="D27:J27" si="5">SUM(D16:D26)</f>
        <v>3287133143.8200002</v>
      </c>
      <c r="E27" s="38">
        <f t="shared" si="5"/>
        <v>110000</v>
      </c>
      <c r="F27" s="38">
        <f t="shared" ref="F27:H27" si="6">SUM(F16:F26)</f>
        <v>820000000</v>
      </c>
      <c r="G27" s="38">
        <f t="shared" si="6"/>
        <v>0</v>
      </c>
      <c r="H27" s="38">
        <f t="shared" si="6"/>
        <v>532000000</v>
      </c>
      <c r="I27" s="38">
        <f t="shared" si="5"/>
        <v>0</v>
      </c>
      <c r="J27" s="38">
        <f t="shared" si="5"/>
        <v>0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57393587.789999999</v>
      </c>
      <c r="C30" s="34">
        <v>50645120.630000003</v>
      </c>
      <c r="D30" s="64">
        <f>IFERROR(ABS(INDEX(CashIntraTable[Amount],MATCH($A$3&amp;D$5&amp;$A54,CashIntraTable[RefRng],0))),0)</f>
        <v>1235314480.6800001</v>
      </c>
      <c r="E30" s="65">
        <f>IFERROR(ABS(INDEX(CashIntraTable[Amount],MATCH($A$3&amp;E$5&amp;$A54,CashIntraTable[RefRng],0))),0)</f>
        <v>10000</v>
      </c>
      <c r="F30" s="34">
        <f>IFERROR(ABS(INDEX(CashIntraTable[Amount],MATCH($A$3&amp;F$5&amp;$A54,CashIntraTable[RefRng],0))),0)</f>
        <v>0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255009.36</v>
      </c>
      <c r="C31" s="34">
        <v>201000</v>
      </c>
      <c r="D31" s="64">
        <f>IFERROR(ABS(INDEX(CashIntraTable[Amount],MATCH($A$3&amp;D$5&amp;$A55,CashIntraTable[RefRng],0))),0)</f>
        <v>1070501.81</v>
      </c>
      <c r="E31" s="65">
        <f>IFERROR(ABS(INDEX(CashIntraTable[Amount],MATCH($A$3&amp;E$5&amp;$A55,CashIntraTable[RefRng],0))),0)</f>
        <v>20000</v>
      </c>
      <c r="F31" s="34">
        <f>IFERROR(ABS(INDEX(CashIntraTable[Amount],MATCH($A$3&amp;F$5&amp;$A55,CashIntraTable[RefRng],0))),0)</f>
        <v>0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569733661.33000004</v>
      </c>
      <c r="C32" s="34">
        <v>0</v>
      </c>
      <c r="D32" s="34">
        <f>IFERROR(INDEX(CashProjTable[DebtBuy_BahtNet],MATCH($A$3&amp;D$5,CashProjTable[RefRng],0))+SUMIFS(IntraTrans[Net Settlement],IntraTrans[Portfolio],$A$3,IntraTrans[B/S],"B",IntraTrans[Settle Date],D$5,IntraTrans[Payment],"BAHTNET"),0)</f>
        <v>846718364.39999998</v>
      </c>
      <c r="E32" s="34">
        <f>IFERROR(INDEX(CashProjTable[DebtBuy_BahtNet],MATCH($A$3&amp;E$5,CashProjTable[RefRng],0))+SUMIFS(IntraTrans[Net Settlement],IntraTrans[Portfolio],$A$3,IntraTrans[B/S],"B",IntraTrans[Settle Date],E$5,IntraTrans[Payment],"BAHTNET"),0)</f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3" s="34">
        <f>IFERROR((INDEX(CashProjTable[DebtBuy],MATCH($A$3&amp;E$5,CashProjTable[RefRng],0))-INDEX(CashProjTable[DebtBuy_BahtNet],MATCH($A$3&amp;E$5,CashProjTable[RefRng],0)))+SUMIFS(IntraTrans[Net Settlement],IntraTrans[Portfolio],$A$3,IntraTrans[B/S],"B",IntraTrans[Settle Date],E$5,IntraTrans[Payment],"CHEQUE"),0)</f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0</v>
      </c>
      <c r="D34" s="34">
        <f t="shared" ref="D34:J34" si="7">IF(D$10&gt;0,D$10,0)</f>
        <v>5000000</v>
      </c>
      <c r="E34" s="34">
        <f t="shared" si="7"/>
        <v>0</v>
      </c>
      <c r="F34" s="34">
        <f t="shared" si="7"/>
        <v>0</v>
      </c>
      <c r="G34" s="34">
        <f t="shared" si="7"/>
        <v>0</v>
      </c>
      <c r="H34" s="34">
        <f t="shared" si="7"/>
        <v>0</v>
      </c>
      <c r="I34" s="34">
        <f t="shared" si="7"/>
        <v>0</v>
      </c>
      <c r="J34" s="34">
        <f t="shared" si="7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f>IFERROR(INDEX(CashProjTable[Expense],MATCH($A$3&amp;D$5,CashProjTable[RefRng],0)),0)</f>
        <v>0</v>
      </c>
      <c r="E36" s="34">
        <f>IFERROR(INDEX(CashProjTable[Expense],MATCH($A$3&amp;E$5,CashProjTable[RefRng],0)),0)</f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627382258.48000002</v>
      </c>
      <c r="C38" s="38">
        <v>50846120.630000003</v>
      </c>
      <c r="D38" s="38">
        <f t="shared" ref="D38:J38" si="8">SUM(D30:D37)</f>
        <v>2088103346.8899999</v>
      </c>
      <c r="E38" s="38">
        <f t="shared" si="8"/>
        <v>30000</v>
      </c>
      <c r="F38" s="38">
        <f t="shared" ref="F38:H38" si="9">SUM(F30:F37)</f>
        <v>0</v>
      </c>
      <c r="G38" s="38">
        <f t="shared" si="9"/>
        <v>0</v>
      </c>
      <c r="H38" s="38">
        <f t="shared" si="9"/>
        <v>0</v>
      </c>
      <c r="I38" s="38">
        <f t="shared" si="8"/>
        <v>0</v>
      </c>
      <c r="J38" s="38">
        <f t="shared" si="8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878</v>
      </c>
    </row>
    <row r="41" spans="1:33" s="23" customFormat="1" x14ac:dyDescent="0.2">
      <c r="A41" s="27" t="s">
        <v>385</v>
      </c>
      <c r="B41" s="34">
        <v>2268842.1200000048</v>
      </c>
      <c r="C41" s="34">
        <v>2607276.799999997</v>
      </c>
      <c r="D41" s="34">
        <f t="shared" ref="D41:J41" ca="1" si="10">D$6+D$27-D$38</f>
        <v>1211291269.7400002</v>
      </c>
      <c r="E41" s="34">
        <f t="shared" ca="1" si="10"/>
        <v>1211371269.7400002</v>
      </c>
      <c r="F41" s="34">
        <f t="shared" ca="1" si="10"/>
        <v>2031371269.7400002</v>
      </c>
      <c r="G41" s="34">
        <f t="shared" ca="1" si="10"/>
        <v>2031371269.7400002</v>
      </c>
      <c r="H41" s="34">
        <f t="shared" ca="1" si="10"/>
        <v>2563371269.7400002</v>
      </c>
      <c r="I41" s="34">
        <f t="shared" ca="1" si="10"/>
        <v>2563371269.7400002</v>
      </c>
      <c r="J41" s="34">
        <f t="shared" ca="1" si="10"/>
        <v>2563371269.7400002</v>
      </c>
      <c r="K41" s="34"/>
      <c r="L41" s="34"/>
    </row>
    <row r="42" spans="1:33" s="23" customFormat="1" x14ac:dyDescent="0.2">
      <c r="A42" s="27" t="s">
        <v>893</v>
      </c>
      <c r="B42" s="34">
        <v>2268790.71</v>
      </c>
      <c r="C42" s="34">
        <v>12261472.810000001</v>
      </c>
      <c r="D42" s="34">
        <f>IFERROR(INDEX(CashProjTable[CashBal],MATCH($A$3&amp;D$5,CashProjTable[RefRng],0)),0)</f>
        <v>1230146005.3199999</v>
      </c>
      <c r="E42" s="34">
        <f>IFERROR(INDEX(CashProjTable[CashBal],MATCH($A$3&amp;E$5,CashProjTable[RefRng],0)),0)</f>
        <v>1230146005.3199999</v>
      </c>
      <c r="F42" s="34">
        <f>IFERROR(INDEX(CashProjTable[CashBal],MATCH($A$3&amp;F$5,CashProjTable[RefRng],0)),0)</f>
        <v>2050146005.3199999</v>
      </c>
      <c r="G42" s="34">
        <f>IFERROR(INDEX(CashProjTable[CashBal],MATCH($A$3&amp;G$5,CashProjTable[RefRng],0)),0)</f>
        <v>2050146005.3199999</v>
      </c>
      <c r="H42" s="34">
        <f>IFERROR(INDEX(CashProjTable[CashBal],MATCH($A$3&amp;H$5,CashProjTable[RefRng],0)),0)</f>
        <v>2582146005.3200002</v>
      </c>
      <c r="I42" s="34">
        <f>IFERROR(INDEX(CashProjTable[CashBal],MATCH($A$3&amp;I$5,CashProjTable[RefRng],0)),0)</f>
        <v>2582146005.3200002</v>
      </c>
      <c r="J42" s="34">
        <f>IFERROR(INDEX(CashProjTable[CashBal],MATCH($A$3&amp;J$5,CashProjTable[RefRng],0)),0)</f>
        <v>2582146005.3200002</v>
      </c>
      <c r="K42" s="34"/>
      <c r="L42" s="34"/>
    </row>
    <row r="43" spans="1:33" s="42" customFormat="1" x14ac:dyDescent="0.2">
      <c r="A43" s="40" t="s">
        <v>386</v>
      </c>
      <c r="B43" s="41">
        <v>-51.410000004805624</v>
      </c>
      <c r="C43" s="41">
        <v>9654196.0100000035</v>
      </c>
      <c r="D43" s="41">
        <f t="shared" ref="D43:J43" ca="1" si="11">D42-D41</f>
        <v>18854735.579999685</v>
      </c>
      <c r="E43" s="41">
        <f t="shared" ca="1" si="11"/>
        <v>18774735.579999685</v>
      </c>
      <c r="F43" s="41">
        <f t="shared" ref="F43:H43" ca="1" si="12">F42-F41</f>
        <v>18774735.579999685</v>
      </c>
      <c r="G43" s="41">
        <f t="shared" ca="1" si="12"/>
        <v>18774735.579999685</v>
      </c>
      <c r="H43" s="41">
        <f t="shared" ca="1" si="12"/>
        <v>18774735.579999924</v>
      </c>
      <c r="I43" s="41">
        <f t="shared" ca="1" si="11"/>
        <v>18774735.579999924</v>
      </c>
      <c r="J43" s="41">
        <f t="shared" ca="1" si="11"/>
        <v>18774735.579999924</v>
      </c>
      <c r="K43" s="41"/>
      <c r="L43" s="41"/>
    </row>
    <row r="44" spans="1:33" s="23" customFormat="1" x14ac:dyDescent="0.2">
      <c r="A44" s="27" t="s">
        <v>894</v>
      </c>
      <c r="B44" s="45">
        <v>13306514864.389999</v>
      </c>
      <c r="C44" s="34">
        <v>13270233390.68</v>
      </c>
      <c r="D44" s="34">
        <f t="shared" ref="D44:J44" ca="1" si="13">IF(D$5&gt;TODAY(),C44,C45)+SUM(D16:D19)-SUM(D30:D31)</f>
        <v>12047655955.66</v>
      </c>
      <c r="E44" s="34">
        <f t="shared" ca="1" si="13"/>
        <v>12047735955.66</v>
      </c>
      <c r="F44" s="34">
        <f t="shared" ref="F44" ca="1" si="14">IF(F$5&gt;TODAY(),E44,E45)+SUM(F16:F19)-SUM(F30:F31)</f>
        <v>12047735955.66</v>
      </c>
      <c r="G44" s="34">
        <f t="shared" ref="G44" ca="1" si="15">IF(G$5&gt;TODAY(),F44,F45)+SUM(G16:G19)-SUM(G30:G31)</f>
        <v>12047735955.66</v>
      </c>
      <c r="H44" s="34">
        <f t="shared" ref="H44" ca="1" si="16">IF(H$5&gt;TODAY(),G44,G45)+SUM(H16:H19)-SUM(H30:H31)</f>
        <v>12047735955.66</v>
      </c>
      <c r="I44" s="34">
        <f t="shared" ca="1" si="13"/>
        <v>12047735955.66</v>
      </c>
      <c r="J44" s="34">
        <f t="shared" ca="1" si="13"/>
        <v>12047735955.66</v>
      </c>
      <c r="K44" s="34"/>
      <c r="L44" s="34"/>
    </row>
    <row r="45" spans="1:33" s="23" customFormat="1" x14ac:dyDescent="0.2">
      <c r="A45" s="27" t="s">
        <v>895</v>
      </c>
      <c r="B45" s="34">
        <v>13306887586.689999</v>
      </c>
      <c r="C45" s="34">
        <v>13270612842.33</v>
      </c>
      <c r="D45" s="34">
        <f>[1]!SCBAM_GetGroup1Dtl($A$3,"NET ASSET VALUE",D$5,"MarketVal")+[1]!SCBAM_GetGroup1Dtl($A$3,"NET ASSET VALUE",D$5,"ai")</f>
        <v>0</v>
      </c>
      <c r="E45" s="34">
        <f>[1]!SCBAM_GetGroup1Dtl($A$3,"NET ASSET VALUE",E$5,"MarketVal")+[1]!SCBAM_GetGroup1Dtl($A$3,"NET ASSET VALUE",E$5,"ai")</f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879</v>
      </c>
      <c r="B46" s="21">
        <v>-36654196.010000005</v>
      </c>
      <c r="C46" s="21">
        <v>-1222956846.5</v>
      </c>
      <c r="D46" s="21">
        <f t="shared" ref="D46:J46" si="17">SUM(E16:E19)-SUM(E30:E31)</f>
        <v>80000</v>
      </c>
      <c r="E46" s="21">
        <f t="shared" si="17"/>
        <v>0</v>
      </c>
      <c r="F46" s="21">
        <f t="shared" ref="F46" si="18">SUM(G16:G19)-SUM(G30:G31)</f>
        <v>0</v>
      </c>
      <c r="G46" s="21">
        <f t="shared" ref="G46" si="19">SUM(H16:H19)-SUM(H30:H31)</f>
        <v>0</v>
      </c>
      <c r="H46" s="21">
        <f t="shared" ref="H46" si="20">SUM(I16:I19)-SUM(I30:I31)</f>
        <v>0</v>
      </c>
      <c r="I46" s="21">
        <f t="shared" si="17"/>
        <v>0</v>
      </c>
      <c r="J46" s="21">
        <f t="shared" si="17"/>
        <v>0</v>
      </c>
      <c r="K46" s="21"/>
      <c r="L46" s="21"/>
    </row>
    <row r="47" spans="1:33" s="49" customFormat="1" x14ac:dyDescent="0.2">
      <c r="A47" s="47" t="s">
        <v>387</v>
      </c>
      <c r="B47" s="50">
        <v>1.7050133663632793E-4</v>
      </c>
      <c r="C47" s="50">
        <v>1.9646996193600219E-4</v>
      </c>
      <c r="D47" s="50">
        <f t="shared" ref="D47:J47" ca="1" si="21">D41/IF(D5&lt;TODAY(),D45,D44)</f>
        <v>0.10054165509025301</v>
      </c>
      <c r="E47" s="50">
        <f t="shared" ca="1" si="21"/>
        <v>0.10054762772011953</v>
      </c>
      <c r="F47" s="50">
        <f t="shared" ref="F47:H47" ca="1" si="22">F41/IF(F5&lt;TODAY(),F45,F44)</f>
        <v>0.16861020835916199</v>
      </c>
      <c r="G47" s="50">
        <f t="shared" ca="1" si="22"/>
        <v>0.16861020835916199</v>
      </c>
      <c r="H47" s="50">
        <f t="shared" ca="1" si="22"/>
        <v>0.2127678826274188</v>
      </c>
      <c r="I47" s="50">
        <f t="shared" ca="1" si="21"/>
        <v>0.2127678826274188</v>
      </c>
      <c r="J47" s="50">
        <f t="shared" ca="1" si="21"/>
        <v>0.2127678826274188</v>
      </c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</row>
    <row r="48" spans="1:33" s="43" customFormat="1" x14ac:dyDescent="0.2">
      <c r="A48" s="43" t="s">
        <v>388</v>
      </c>
      <c r="B48" s="44">
        <v>2268790.71</v>
      </c>
      <c r="C48" s="44">
        <v>12261472.810000001</v>
      </c>
      <c r="D48" s="44">
        <f>IFERROR(INDEX(CashProjTable[CashForUse],MATCH($A$3&amp;D$5,CashProjTable[RefRng],0)),0)</f>
        <v>1230146005.3199999</v>
      </c>
      <c r="E48" s="44">
        <f>IFERROR(INDEX(CashProjTable[CashForUse],MATCH($A$3&amp;E$5,CashProjTable[RefRng],0)),0)</f>
        <v>1230146005.3199999</v>
      </c>
      <c r="F48" s="44">
        <f>IFERROR(INDEX(CashProjTable[CashForUse],MATCH($A$3&amp;F$5,CashProjTable[RefRng],0)),0)</f>
        <v>2050146005.3199999</v>
      </c>
      <c r="G48" s="44">
        <f>IFERROR(INDEX(CashProjTable[CashForUse],MATCH($A$3&amp;G$5,CashProjTable[RefRng],0)),0)</f>
        <v>2050146005.3199999</v>
      </c>
      <c r="H48" s="44">
        <f>IFERROR(INDEX(CashProjTable[CashForUse],MATCH($A$3&amp;H$5,CashProjTable[RefRng],0)),0)</f>
        <v>2582146005.3200002</v>
      </c>
      <c r="I48" s="44">
        <f>IFERROR(INDEX(CashProjTable[CashForUse],MATCH($A$3&amp;I$5,CashProjTable[RefRng],0)),0)</f>
        <v>2582146005.3200002</v>
      </c>
      <c r="J48" s="44">
        <f>IFERROR(INDEX(CashProjTable[CashForUse],MATCH($A$3&amp;J$5,CashProjTable[RefRng],0)),0)</f>
        <v>2582146005.3200002</v>
      </c>
      <c r="K48" s="44"/>
      <c r="L48" s="44"/>
    </row>
    <row r="49" spans="1:12" s="43" customFormat="1" x14ac:dyDescent="0.2">
      <c r="A49" s="43" t="s">
        <v>389</v>
      </c>
      <c r="B49" s="44">
        <v>2268790.71</v>
      </c>
      <c r="C49" s="44">
        <v>12261472.810000001</v>
      </c>
      <c r="D49" s="44">
        <f>IFERROR(INDEX(CashProjTable[CashForBahtNet],MATCH($A$3&amp;D$5,CashProjTable[RefRng],0)),0)</f>
        <v>1230146005.3199999</v>
      </c>
      <c r="E49" s="44">
        <f>IFERROR(INDEX(CashProjTable[CashForBahtNet],MATCH($A$3&amp;E$5,CashProjTable[RefRng],0)),0)</f>
        <v>1230146005.3199999</v>
      </c>
      <c r="F49" s="44">
        <f>IFERROR(INDEX(CashProjTable[CashForBahtNet],MATCH($A$3&amp;F$5,CashProjTable[RefRng],0)),0)</f>
        <v>2050146005.3199999</v>
      </c>
      <c r="G49" s="44">
        <f>IFERROR(INDEX(CashProjTable[CashForBahtNet],MATCH($A$3&amp;G$5,CashProjTable[RefRng],0)),0)</f>
        <v>2050146005.3199999</v>
      </c>
      <c r="H49" s="44">
        <f>IFERROR(INDEX(CashProjTable[CashForBahtNet],MATCH($A$3&amp;H$5,CashProjTable[RefRng],0)),0)</f>
        <v>2582146005.3200002</v>
      </c>
      <c r="I49" s="44">
        <f>IFERROR(INDEX(CashProjTable[CashForBahtNet],MATCH($A$3&amp;I$5,CashProjTable[RefRng],0)),0)</f>
        <v>2582146005.3200002</v>
      </c>
      <c r="J49" s="44">
        <f>IFERROR(INDEX(CashProjTable[CashForBahtNet],MATCH($A$3&amp;J$5,CashProjTable[RefRng],0)),0)</f>
        <v>2582146005.3200002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71" priority="11" operator="equal">
      <formula>TODAY()</formula>
    </cfRule>
  </conditionalFormatting>
  <conditionalFormatting sqref="K9:L9">
    <cfRule type="cellIs" dxfId="70" priority="10" operator="greaterThan">
      <formula>"&lt;0"</formula>
    </cfRule>
  </conditionalFormatting>
  <conditionalFormatting sqref="K10:L10">
    <cfRule type="cellIs" dxfId="69" priority="9" operator="greaterThan">
      <formula>"&lt;0"</formula>
    </cfRule>
  </conditionalFormatting>
  <conditionalFormatting sqref="K11:L11">
    <cfRule type="cellIs" dxfId="68" priority="8" operator="greaterThan">
      <formula>"&lt;0"</formula>
    </cfRule>
  </conditionalFormatting>
  <conditionalFormatting sqref="D10">
    <cfRule type="cellIs" dxfId="67" priority="6" operator="greaterThan">
      <formula>"&lt;0"</formula>
    </cfRule>
  </conditionalFormatting>
  <conditionalFormatting sqref="D11">
    <cfRule type="cellIs" dxfId="66" priority="5" operator="greaterThan">
      <formula>"&lt;0"</formula>
    </cfRule>
  </conditionalFormatting>
  <conditionalFormatting sqref="A5:C5 M5:XFD5 E5 I5:J5">
    <cfRule type="cellIs" dxfId="65" priority="18" operator="equal">
      <formula>TODAY()</formula>
    </cfRule>
  </conditionalFormatting>
  <conditionalFormatting sqref="B9:E9 I9:J9">
    <cfRule type="cellIs" dxfId="64" priority="17" operator="greaterThan">
      <formula>"&lt;0"</formula>
    </cfRule>
  </conditionalFormatting>
  <conditionalFormatting sqref="B10">
    <cfRule type="cellIs" dxfId="63" priority="16" operator="greaterThan">
      <formula>"&lt;0"</formula>
    </cfRule>
  </conditionalFormatting>
  <conditionalFormatting sqref="B11">
    <cfRule type="cellIs" dxfId="62" priority="15" operator="greaterThan">
      <formula>"&lt;0"</formula>
    </cfRule>
  </conditionalFormatting>
  <conditionalFormatting sqref="C10 E10 I10:J10">
    <cfRule type="cellIs" dxfId="61" priority="14" operator="greaterThan">
      <formula>"&lt;0"</formula>
    </cfRule>
  </conditionalFormatting>
  <conditionalFormatting sqref="C11 E11 I11:J11">
    <cfRule type="cellIs" dxfId="60" priority="13" operator="greaterThan">
      <formula>"&lt;0"</formula>
    </cfRule>
  </conditionalFormatting>
  <conditionalFormatting sqref="B7">
    <cfRule type="cellIs" dxfId="59" priority="12" operator="greaterThan">
      <formula>"&lt;0"</formula>
    </cfRule>
  </conditionalFormatting>
  <conditionalFormatting sqref="D5">
    <cfRule type="cellIs" dxfId="58" priority="7" operator="equal">
      <formula>TODAY()</formula>
    </cfRule>
  </conditionalFormatting>
  <conditionalFormatting sqref="F5:H5">
    <cfRule type="cellIs" dxfId="57" priority="4" operator="equal">
      <formula>TODAY()</formula>
    </cfRule>
  </conditionalFormatting>
  <conditionalFormatting sqref="F9:H9">
    <cfRule type="cellIs" dxfId="56" priority="3" operator="greaterThan">
      <formula>"&lt;0"</formula>
    </cfRule>
  </conditionalFormatting>
  <conditionalFormatting sqref="F10:H10">
    <cfRule type="cellIs" dxfId="55" priority="2" operator="greaterThan">
      <formula>"&lt;0"</formula>
    </cfRule>
  </conditionalFormatting>
  <conditionalFormatting sqref="F11:H11">
    <cfRule type="cellIs" dxfId="54" priority="1" operator="greaterThan">
      <formula>"&lt;0"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EE520-92D6-4324-8C2F-7FF8078D71DD}">
  <sheetPr codeName="Sheet13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3" sqref="A3"/>
    </sheetView>
  </sheetViews>
  <sheetFormatPr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TODAY()</f>
        <v>43384</v>
      </c>
    </row>
    <row r="3" spans="1:33" x14ac:dyDescent="0.2">
      <c r="A3" s="14" t="s">
        <v>350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>[1]!SCBAM_NextBusinessDay(C5)</f>
        <v>43384</v>
      </c>
      <c r="E5" s="16">
        <f>[1]!SCBAM_NextBusinessDay(D5)</f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12733576.08</v>
      </c>
      <c r="C6" s="21">
        <v>8945803.4800000004</v>
      </c>
      <c r="D6" s="21">
        <f ca="1">IF(AND(ISNUMBER(C41),ISNUMBER(C42)),IF(D5&lt;=TODAY(),C42,C41),INDEX(CashProjTable[CashBal],MATCH($A$3&amp;[1]!SCBAM_PreviousBusinessDay(D$5),CashProjTable[RefRng],0)))</f>
        <v>138126154.78</v>
      </c>
      <c r="E6" s="21">
        <f ca="1">IF(AND(ISNUMBER(D41),ISNUMBER(D42)),IF(E5&lt;=TODAY(),D42,D41),INDEX(CashProjTable[CashBal],MATCH($A$3&amp;[1]!SCBAM_PreviousBusinessDay(E$5),CashProjTable[RefRng],0)))</f>
        <v>144696026.90999997</v>
      </c>
      <c r="F6" s="21">
        <f ca="1">IF(AND(ISNUMBER(E41),ISNUMBER(E42)),IF(F5&lt;=TODAY(),E42,E41),INDEX(CashProjTable[CashBal],MATCH($A$3&amp;[1]!SCBAM_PreviousBusinessDay(F$5),CashProjTable[RefRng],0)))</f>
        <v>134823980.79999995</v>
      </c>
      <c r="G6" s="21">
        <f ca="1">IF(AND(ISNUMBER(F41),ISNUMBER(F42)),IF(G5&lt;=TODAY(),F42,F41),INDEX(CashProjTable[CashBal],MATCH($A$3&amp;[1]!SCBAM_PreviousBusinessDay(G$5),CashProjTable[RefRng],0)))</f>
        <v>134894980.79999995</v>
      </c>
      <c r="H6" s="21">
        <f ca="1">IF(AND(ISNUMBER(G41),ISNUMBER(G42)),IF(H5&lt;=TODAY(),G42,G41),INDEX(CashProjTable[CashBal],MATCH($A$3&amp;[1]!SCBAM_PreviousBusinessDay(H$5),CashProjTable[RefRng],0)))</f>
        <v>135398356.13999996</v>
      </c>
      <c r="I6" s="21">
        <f ca="1">IF(AND(ISNUMBER(H41),ISNUMBER(H42)),IF(I5&lt;=TODAY(),H42,H41),INDEX(CashProjTable[CashBal],MATCH($A$3&amp;[1]!SCBAM_PreviousBusinessDay(I$5),CashProjTable[RefRng],0)))</f>
        <v>832783369.84000003</v>
      </c>
      <c r="J6" s="21">
        <f ca="1">IF(AND(ISNUMBER(I41),ISNUMBER(I42)),IF(J5&lt;=TODAY(),I42,I41),INDEX(CashProjTable[CashBal],MATCH($A$3&amp;[1]!SCBAM_PreviousBusinessDay(J$5),CashProjTable[RefRng],0)))</f>
        <v>832803358.83000004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47640424.210000001</v>
      </c>
      <c r="C9" s="24">
        <v>42640424.210000001</v>
      </c>
      <c r="D9" s="24">
        <f>IF(ISNUMBER(C$5),C$11,[1]!SCBAM_GetSecDtl($A$3,"INVSUOBTtmf",D$5,"MarketVal"))</f>
        <v>132640424.21000001</v>
      </c>
      <c r="E9" s="24">
        <f>IF(ISNUMBER(D$5),D$11,[1]!SCBAM_GetSecDtl($A$3,"INVSUOBTtmf",E$5,"MarketVal"))</f>
        <v>37640424.210000008</v>
      </c>
      <c r="F9" s="24">
        <f>IF(ISNUMBER(E$5),E$11,[1]!SCBAM_GetSecDtl($A$3,"INVSUOBTtmf",F$5,"MarketVal"))</f>
        <v>37640424.210000008</v>
      </c>
      <c r="G9" s="24">
        <f>IF(ISNUMBER(F$5),F$11,[1]!SCBAM_GetSecDtl($A$3,"INVSUOBTtmf",G$5,"MarketVal"))</f>
        <v>37640424.210000008</v>
      </c>
      <c r="H9" s="24">
        <f>IF(ISNUMBER(G$5),G$11,[1]!SCBAM_GetSecDtl($A$3,"INVSUOBTtmf",H$5,"MarketVal"))</f>
        <v>37640424.210000008</v>
      </c>
      <c r="I9" s="24">
        <f>IF(ISNUMBER(H$5),H$11,[1]!SCBAM_GetSecDtl($A$3,"INVSUOBTtmf",I$5,"MarketVal"))</f>
        <v>37640424.210000008</v>
      </c>
      <c r="J9" s="24">
        <f>IF(ISNUMBER(I$5),I$11,[1]!SCBAM_GetSecDtl($A$3,"INVSUOBTtmf",J$5,"MarketVal"))</f>
        <v>37640424.210000008</v>
      </c>
      <c r="K9" s="24"/>
      <c r="L9" s="24"/>
    </row>
    <row r="10" spans="1:33" s="63" customFormat="1" ht="14.25" x14ac:dyDescent="0.2">
      <c r="A10" s="61" t="s">
        <v>361</v>
      </c>
      <c r="B10" s="62">
        <v>-5000000</v>
      </c>
      <c r="C10" s="62">
        <v>90000000</v>
      </c>
      <c r="D10" s="62">
        <f>-95*10^6</f>
        <v>-95000000</v>
      </c>
      <c r="E10" s="62"/>
      <c r="F10" s="62"/>
      <c r="G10" s="62"/>
      <c r="H10" s="62"/>
      <c r="I10" s="62"/>
      <c r="J10" s="62"/>
      <c r="K10" s="62"/>
      <c r="L10" s="62"/>
    </row>
    <row r="11" spans="1:33" s="31" customFormat="1" ht="13.5" thickBot="1" x14ac:dyDescent="0.25">
      <c r="A11" s="29" t="s">
        <v>362</v>
      </c>
      <c r="B11" s="30">
        <v>42640424.210000001</v>
      </c>
      <c r="C11" s="30">
        <v>132640424.21000001</v>
      </c>
      <c r="D11" s="30">
        <f t="shared" ref="D11:J11" si="0">SUM(D9:D10)</f>
        <v>37640424.210000008</v>
      </c>
      <c r="E11" s="30">
        <f t="shared" si="0"/>
        <v>37640424.210000008</v>
      </c>
      <c r="F11" s="30">
        <f t="shared" ref="F11" si="1">SUM(F9:F10)</f>
        <v>37640424.210000008</v>
      </c>
      <c r="G11" s="30">
        <f t="shared" ref="G11" si="2">SUM(G9:G10)</f>
        <v>37640424.210000008</v>
      </c>
      <c r="H11" s="30">
        <f t="shared" ref="H11" si="3">SUM(H9:H10)</f>
        <v>37640424.210000008</v>
      </c>
      <c r="I11" s="30">
        <f t="shared" si="0"/>
        <v>37640424.210000008</v>
      </c>
      <c r="J11" s="30">
        <f t="shared" si="0"/>
        <v>37640424.210000008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13933176.68</v>
      </c>
      <c r="C16" s="34">
        <v>21081516.309999999</v>
      </c>
      <c r="D16" s="64">
        <f>IFERROR(INDEX(CashIntraTable[Amount],MATCH($A$3&amp;D$5&amp;$A51,CashIntraTable[RefRng],0)),0)</f>
        <v>78968760.030000001</v>
      </c>
      <c r="E16" s="65">
        <f>IFERROR(INDEX(CashIntraTable[Amount],MATCH($A$3&amp;E$5&amp;$A51,CashIntraTable[RefRng],0)),0)</f>
        <v>104000</v>
      </c>
      <c r="F16" s="34">
        <f>IFERROR(INDEX(CashIntraTable[Amount],MATCH($A$3&amp;F$5&amp;$A51,CashIntraTable[RefRng],0)),0)</f>
        <v>0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0</v>
      </c>
      <c r="C17" s="34">
        <v>0</v>
      </c>
      <c r="D17" s="64">
        <f>IFERROR(INDEX(CashIntraTable[Amount],MATCH($A$3&amp;D$5&amp;$A52,CashIntraTable[RefRng],0)),0)</f>
        <v>0</v>
      </c>
      <c r="E17" s="65">
        <f>IFERROR(INDEX(CashIntraTable[Amount],MATCH($A$3&amp;E$5&amp;$A52,CashIntraTable[RefRng],0)),0)</f>
        <v>0</v>
      </c>
      <c r="F17" s="34">
        <f>IFERROR(INDEX(CashIntraTable[Amount],MATCH($A$3&amp;F$5&amp;$A52,CashIntraTable[RefRng],0)),0)</f>
        <v>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32524283.690000001</v>
      </c>
      <c r="C18" s="34">
        <v>39080.980000000003</v>
      </c>
      <c r="D18" s="64">
        <f>IFERROR(INDEX(CashIntraTable[Amount],MATCH($A$3&amp;D$5&amp;$A53,CashIntraTable[RefRng],0)),0)</f>
        <v>652795.68000000005</v>
      </c>
      <c r="E18" s="65">
        <f>IFERROR(INDEX(CashIntraTable[Amount],MATCH($A$3&amp;E$5&amp;$A53,CashIntraTable[RefRng],0)),0)</f>
        <v>111719.62</v>
      </c>
      <c r="F18" s="34">
        <f>IFERROR(INDEX(CashIntraTable[Amount],MATCH($A$3&amp;F$5&amp;$A53,CashIntraTable[RefRng],0)),0)</f>
        <v>71000</v>
      </c>
      <c r="G18" s="34">
        <f>IFERROR(INDEX(CashIntraTable[Amount],MATCH($A$3&amp;G$5&amp;$A53,CashIntraTable[RefRng],0)),0)</f>
        <v>0</v>
      </c>
      <c r="H18" s="34">
        <f>IFERROR(INDEX(CashIntraTable[Amount],MATCH($A$3&amp;H$5&amp;$A53,CashIntraTable[RefRng],0)),0)</f>
        <v>0</v>
      </c>
      <c r="I18" s="34">
        <f>IFERROR(INDEX(CashIntraTable[Amount],MATCH($A$3&amp;I$5&amp;$A53,CashIntraTable[RefRng],0)),0)</f>
        <v>19988.990000000002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4">
        <v>0</v>
      </c>
      <c r="E19" s="65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118263848.15000001</v>
      </c>
      <c r="C20" s="34">
        <v>129180351.3</v>
      </c>
      <c r="D20" s="34">
        <f>IFERROR(INDEX(CashProjTable[DebtSell_BahtNet],MATCH($A$3&amp;D$5,CashProjTable[RefRng],0))+SUMIFS(IntraTrans[Net Settlement],IntraTrans[Portfolio],$A$3,IntraTrans[B/S],"S",IntraTrans[Settle Date],D$5,IntraTrans[Payment],"BAHTNET"),0)</f>
        <v>297832353</v>
      </c>
      <c r="E20" s="34">
        <f>IFERROR(INDEX(CashProjTable[DebtSell_BahtNet],MATCH($A$3&amp;E$5,CashProjTable[RefRng],0))+SUMIFS(IntraTrans[Net Settlement],IntraTrans[Portfolio],$A$3,IntraTrans[B/S],"S",IntraTrans[Settle Date],E$5,IntraTrans[Payment],"BAHTNET"),0)</f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692000000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1" s="34">
        <f>IFERROR((INDEX(CashProjTable[DebtSell],MATCH($A$3&amp;E$5,CashProjTable[RefRng],0))-INDEX(CashProjTable[DebtSell_BahtNet],MATCH($A$3&amp;E$5,CashProjTable[RefRng],0)))+SUMIFS(IntraTrans[Net Settlement],IntraTrans[Portfolio],$A$3,IntraTrans[B/S],"S",IntraTrans[Settle Date],E$5,IntraTrans[Payment],"CHEQUE"),0)</f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5000000</v>
      </c>
      <c r="C22" s="34">
        <v>0</v>
      </c>
      <c r="D22" s="34">
        <f t="shared" ref="D22:J22" si="4">IF(D$10&lt;0,-D$10,0)</f>
        <v>95000000</v>
      </c>
      <c r="E22" s="34">
        <f t="shared" si="4"/>
        <v>0</v>
      </c>
      <c r="F22" s="34">
        <f t="shared" si="4"/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f>IFERROR(INDEX(CashProjTable[DebtInterest],MATCH($A$3&amp;D$5,CashProjTable[RefRng],0)),0)</f>
        <v>0</v>
      </c>
      <c r="E24" s="34">
        <f>IFERROR(INDEX(CashProjTable[DebtInterest],MATCH($A$3&amp;E$5,CashProjTable[RefRng],0)),0)</f>
        <v>2795738.63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503375.34</v>
      </c>
      <c r="H24" s="34">
        <f>IFERROR(INDEX(CashProjTable[DebtInterest],MATCH($A$3&amp;H$5,CashProjTable[RefRng],0)),0)</f>
        <v>5385013.7000000002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3480008.22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f>IFERROR(INDEX(CashProjTable[CashEqInterest],MATCH($A$3&amp;D$5,CashProjTable[RefRng],0)),0)</f>
        <v>0</v>
      </c>
      <c r="E25" s="34">
        <f>IFERROR(INDEX(CashProjTable[CashEqInterest],MATCH($A$3&amp;E$5,CashProjTable[RefRng],0)),0)</f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169721308.52000001</v>
      </c>
      <c r="C27" s="38">
        <v>150300948.59</v>
      </c>
      <c r="D27" s="38">
        <f t="shared" ref="D27:J27" si="5">SUM(D16:D26)</f>
        <v>472453908.71000004</v>
      </c>
      <c r="E27" s="38">
        <f t="shared" si="5"/>
        <v>3011458.25</v>
      </c>
      <c r="F27" s="38">
        <f t="shared" ref="F27:H27" si="6">SUM(F16:F26)</f>
        <v>71000</v>
      </c>
      <c r="G27" s="38">
        <f t="shared" si="6"/>
        <v>503375.34</v>
      </c>
      <c r="H27" s="38">
        <f t="shared" si="6"/>
        <v>697385013.70000005</v>
      </c>
      <c r="I27" s="38">
        <f t="shared" si="5"/>
        <v>19988.990000000002</v>
      </c>
      <c r="J27" s="38">
        <f t="shared" si="5"/>
        <v>3480008.22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72287450.400000006</v>
      </c>
      <c r="C30" s="34">
        <v>35934639.030000001</v>
      </c>
      <c r="D30" s="64">
        <f>IFERROR(ABS(INDEX(CashIntraTable[Amount],MATCH($A$3&amp;D$5&amp;$A54,CashIntraTable[RefRng],0))),0)</f>
        <v>74377659.599999994</v>
      </c>
      <c r="E30" s="65">
        <f>IFERROR(ABS(INDEX(CashIntraTable[Amount],MATCH($A$3&amp;E$5&amp;$A54,CashIntraTable[RefRng],0))),0)</f>
        <v>5777848.0800000001</v>
      </c>
      <c r="F30" s="34">
        <f>IFERROR(ABS(INDEX(CashIntraTable[Amount],MATCH($A$3&amp;F$5&amp;$A54,CashIntraTable[RefRng],0))),0)</f>
        <v>0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101221631.55</v>
      </c>
      <c r="C31" s="34">
        <v>29444340.420000002</v>
      </c>
      <c r="D31" s="64">
        <f>IFERROR(ABS(INDEX(CashIntraTable[Amount],MATCH($A$3&amp;D$5&amp;$A55,CashIntraTable[RefRng],0))),0)</f>
        <v>225261276.12</v>
      </c>
      <c r="E31" s="65">
        <f>IFERROR(ABS(INDEX(CashIntraTable[Amount],MATCH($A$3&amp;E$5&amp;$A55,CashIntraTable[RefRng],0))),0)</f>
        <v>7105656.2800000003</v>
      </c>
      <c r="F31" s="34">
        <f>IFERROR(ABS(INDEX(CashIntraTable[Amount],MATCH($A$3&amp;F$5&amp;$A55,CashIntraTable[RefRng],0))),0)</f>
        <v>0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0</v>
      </c>
      <c r="C32" s="34">
        <v>0</v>
      </c>
      <c r="D32" s="34">
        <f>IFERROR(INDEX(CashProjTable[DebtBuy_BahtNet],MATCH($A$3&amp;D$5,CashProjTable[RefRng],0))+SUMIFS(IntraTrans[Net Settlement],IntraTrans[Portfolio],$A$3,IntraTrans[B/S],"B",IntraTrans[Settle Date],D$5,IntraTrans[Payment],"BAHTNET"),0)</f>
        <v>166245100.86000001</v>
      </c>
      <c r="E32" s="34">
        <f>IFERROR(INDEX(CashProjTable[DebtBuy_BahtNet],MATCH($A$3&amp;E$5,CashProjTable[RefRng],0))+SUMIFS(IntraTrans[Net Settlement],IntraTrans[Portfolio],$A$3,IntraTrans[B/S],"B",IntraTrans[Settle Date],E$5,IntraTrans[Payment],"BAHTNET"),0)</f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3" s="34">
        <f>IFERROR((INDEX(CashProjTable[DebtBuy],MATCH($A$3&amp;E$5,CashProjTable[RefRng],0))-INDEX(CashProjTable[DebtBuy_BahtNet],MATCH($A$3&amp;E$5,CashProjTable[RefRng],0)))+SUMIFS(IntraTrans[Net Settlement],IntraTrans[Portfolio],$A$3,IntraTrans[B/S],"B",IntraTrans[Settle Date],E$5,IntraTrans[Payment],"CHEQUE"),0)</f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90000000</v>
      </c>
      <c r="D34" s="34">
        <f>IF(D$10&gt;0,D$10,0)</f>
        <v>0</v>
      </c>
      <c r="E34" s="34">
        <f t="shared" ref="E34:J34" si="7">IF(E$10&gt;0,E$10,0)</f>
        <v>0</v>
      </c>
      <c r="F34" s="34">
        <f t="shared" si="7"/>
        <v>0</v>
      </c>
      <c r="G34" s="34">
        <f t="shared" si="7"/>
        <v>0</v>
      </c>
      <c r="H34" s="34">
        <f t="shared" si="7"/>
        <v>0</v>
      </c>
      <c r="I34" s="34">
        <f t="shared" si="7"/>
        <v>0</v>
      </c>
      <c r="J34" s="34">
        <f t="shared" si="7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f>IFERROR(INDEX(CashProjTable[Expense],MATCH($A$3&amp;D$5,CashProjTable[RefRng],0)),0)</f>
        <v>0</v>
      </c>
      <c r="E36" s="34">
        <f>IFERROR(INDEX(CashProjTable[Expense],MATCH($A$3&amp;E$5,CashProjTable[RefRng],0)),0)</f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173509081.94999999</v>
      </c>
      <c r="C38" s="38">
        <v>155378979.44999999</v>
      </c>
      <c r="D38" s="38">
        <f t="shared" ref="D38:J38" si="8">SUM(D30:D37)</f>
        <v>465884036.58000004</v>
      </c>
      <c r="E38" s="38">
        <f t="shared" si="8"/>
        <v>12883504.359999999</v>
      </c>
      <c r="F38" s="38">
        <f t="shared" ref="F38:H38" si="9">SUM(F30:F37)</f>
        <v>0</v>
      </c>
      <c r="G38" s="38">
        <f t="shared" si="9"/>
        <v>0</v>
      </c>
      <c r="H38" s="38">
        <f t="shared" si="9"/>
        <v>0</v>
      </c>
      <c r="I38" s="38">
        <f t="shared" si="8"/>
        <v>0</v>
      </c>
      <c r="J38" s="38">
        <f t="shared" si="8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878</v>
      </c>
    </row>
    <row r="41" spans="1:33" s="23" customFormat="1" x14ac:dyDescent="0.2">
      <c r="A41" s="27" t="s">
        <v>385</v>
      </c>
      <c r="B41" s="34">
        <v>8945802.6500000358</v>
      </c>
      <c r="C41" s="34">
        <v>3867772.6200000048</v>
      </c>
      <c r="D41" s="34">
        <f t="shared" ref="D41:J41" ca="1" si="10">D$6+D$27-D$38</f>
        <v>144696026.90999997</v>
      </c>
      <c r="E41" s="34">
        <f t="shared" ca="1" si="10"/>
        <v>134823980.79999995</v>
      </c>
      <c r="F41" s="34">
        <f t="shared" ca="1" si="10"/>
        <v>134894980.79999995</v>
      </c>
      <c r="G41" s="34">
        <f t="shared" ca="1" si="10"/>
        <v>135398356.13999996</v>
      </c>
      <c r="H41" s="34">
        <f t="shared" ca="1" si="10"/>
        <v>832783369.84000003</v>
      </c>
      <c r="I41" s="34">
        <f t="shared" ca="1" si="10"/>
        <v>832803358.83000004</v>
      </c>
      <c r="J41" s="34">
        <f t="shared" ca="1" si="10"/>
        <v>836283367.05000007</v>
      </c>
      <c r="K41" s="34"/>
      <c r="L41" s="34"/>
    </row>
    <row r="42" spans="1:33" s="23" customFormat="1" x14ac:dyDescent="0.2">
      <c r="A42" s="27" t="s">
        <v>893</v>
      </c>
      <c r="B42" s="34">
        <v>8945803.4800000004</v>
      </c>
      <c r="C42" s="34">
        <v>138126154.78</v>
      </c>
      <c r="D42" s="34">
        <f>IFERROR(INDEX(CashProjTable[CashBal],MATCH($A$3&amp;D$5,CashProjTable[RefRng],0)),0)</f>
        <v>135463426.38</v>
      </c>
      <c r="E42" s="34">
        <f>IFERROR(INDEX(CashProjTable[CashBal],MATCH($A$3&amp;E$5,CashProjTable[RefRng],0)),0)</f>
        <v>138259165.00999999</v>
      </c>
      <c r="F42" s="34">
        <f>IFERROR(INDEX(CashProjTable[CashBal],MATCH($A$3&amp;F$5,CashProjTable[RefRng],0)),0)</f>
        <v>138259165.00999999</v>
      </c>
      <c r="G42" s="34">
        <f>IFERROR(INDEX(CashProjTable[CashBal],MATCH($A$3&amp;G$5,CashProjTable[RefRng],0)),0)</f>
        <v>138762540.34999999</v>
      </c>
      <c r="H42" s="34">
        <f>IFERROR(INDEX(CashProjTable[CashBal],MATCH($A$3&amp;H$5,CashProjTable[RefRng],0)),0)</f>
        <v>836147554.04999995</v>
      </c>
      <c r="I42" s="34">
        <f>IFERROR(INDEX(CashProjTable[CashBal],MATCH($A$3&amp;I$5,CashProjTable[RefRng],0)),0)</f>
        <v>836147554.04999995</v>
      </c>
      <c r="J42" s="34">
        <f>IFERROR(INDEX(CashProjTable[CashBal],MATCH($A$3&amp;J$5,CashProjTable[RefRng],0)),0)</f>
        <v>839627562.26999998</v>
      </c>
      <c r="K42" s="34"/>
      <c r="L42" s="34"/>
    </row>
    <row r="43" spans="1:33" s="42" customFormat="1" x14ac:dyDescent="0.2">
      <c r="A43" s="40" t="s">
        <v>386</v>
      </c>
      <c r="B43" s="41">
        <v>0.82999996468424797</v>
      </c>
      <c r="C43" s="41">
        <v>134258382.16</v>
      </c>
      <c r="D43" s="41">
        <f t="shared" ref="D43:J43" ca="1" si="11">D42-D41</f>
        <v>-9232600.5299999714</v>
      </c>
      <c r="E43" s="41">
        <f t="shared" ca="1" si="11"/>
        <v>3435184.2100000381</v>
      </c>
      <c r="F43" s="41">
        <f t="shared" ref="F43:H43" ca="1" si="12">F42-F41</f>
        <v>3364184.2100000381</v>
      </c>
      <c r="G43" s="41">
        <f t="shared" ca="1" si="12"/>
        <v>3364184.2100000381</v>
      </c>
      <c r="H43" s="41">
        <f t="shared" ca="1" si="12"/>
        <v>3364184.2099999189</v>
      </c>
      <c r="I43" s="41">
        <f t="shared" ca="1" si="11"/>
        <v>3344195.2199999094</v>
      </c>
      <c r="J43" s="41">
        <f t="shared" ca="1" si="11"/>
        <v>3344195.2199999094</v>
      </c>
      <c r="K43" s="41"/>
      <c r="L43" s="41"/>
    </row>
    <row r="44" spans="1:33" s="23" customFormat="1" x14ac:dyDescent="0.2">
      <c r="A44" s="27" t="s">
        <v>894</v>
      </c>
      <c r="B44" s="45">
        <v>57257707827.890007</v>
      </c>
      <c r="C44" s="34">
        <v>57199718753.990005</v>
      </c>
      <c r="D44" s="34">
        <f t="shared" ref="D44:J44" ca="1" si="13">IF(D$5&gt;TODAY(),C44,C45)+SUM(D16:D19)-SUM(D30:D31)</f>
        <v>56979128112.139999</v>
      </c>
      <c r="E44" s="34">
        <f t="shared" ca="1" si="13"/>
        <v>56966460327.400002</v>
      </c>
      <c r="F44" s="34">
        <f t="shared" ref="F44" ca="1" si="14">IF(F$5&gt;TODAY(),E44,E45)+SUM(F16:F19)-SUM(F30:F31)</f>
        <v>56966531327.400002</v>
      </c>
      <c r="G44" s="34">
        <f t="shared" ref="G44" ca="1" si="15">IF(G$5&gt;TODAY(),F44,F45)+SUM(G16:G19)-SUM(G30:G31)</f>
        <v>56966531327.400002</v>
      </c>
      <c r="H44" s="34">
        <f t="shared" ref="H44" ca="1" si="16">IF(H$5&gt;TODAY(),G44,G45)+SUM(H16:H19)-SUM(H30:H31)</f>
        <v>56966531327.400002</v>
      </c>
      <c r="I44" s="34">
        <f t="shared" ca="1" si="13"/>
        <v>56966551316.389999</v>
      </c>
      <c r="J44" s="34">
        <f t="shared" ca="1" si="13"/>
        <v>56966551316.389999</v>
      </c>
      <c r="K44" s="34"/>
      <c r="L44" s="34"/>
    </row>
    <row r="45" spans="1:33" s="23" customFormat="1" x14ac:dyDescent="0.2">
      <c r="A45" s="27" t="s">
        <v>895</v>
      </c>
      <c r="B45" s="34">
        <v>57243977136.150002</v>
      </c>
      <c r="C45" s="34">
        <v>57199145492.150002</v>
      </c>
      <c r="D45" s="34">
        <f>[1]!SCBAM_GetGroup1Dtl($A$3,"NET ASSET VALUE",D$5,"MarketVal")+[1]!SCBAM_GetGroup1Dtl($A$3,"NET ASSET VALUE",D$5,"ai")</f>
        <v>0</v>
      </c>
      <c r="E45" s="34">
        <f>[1]!SCBAM_GetGroup1Dtl($A$3,"NET ASSET VALUE",E$5,"MarketVal")+[1]!SCBAM_GetGroup1Dtl($A$3,"NET ASSET VALUE",E$5,"ai")</f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879</v>
      </c>
      <c r="B46" s="21">
        <v>-44258382.160000004</v>
      </c>
      <c r="C46" s="21">
        <v>-220021442.39000005</v>
      </c>
      <c r="D46" s="21">
        <f t="shared" ref="D46:J46" si="17">SUM(E16:E19)-SUM(E30:E31)</f>
        <v>-12667784.74</v>
      </c>
      <c r="E46" s="21">
        <f t="shared" si="17"/>
        <v>71000</v>
      </c>
      <c r="F46" s="21">
        <f t="shared" ref="F46" si="18">SUM(G16:G19)-SUM(G30:G31)</f>
        <v>0</v>
      </c>
      <c r="G46" s="21">
        <f t="shared" ref="G46" si="19">SUM(H16:H19)-SUM(H30:H31)</f>
        <v>0</v>
      </c>
      <c r="H46" s="21">
        <f t="shared" ref="H46" si="20">SUM(I16:I19)-SUM(I30:I31)</f>
        <v>19988.990000000002</v>
      </c>
      <c r="I46" s="21">
        <f t="shared" si="17"/>
        <v>0</v>
      </c>
      <c r="J46" s="21">
        <f t="shared" si="17"/>
        <v>0</v>
      </c>
      <c r="K46" s="21"/>
      <c r="L46" s="21"/>
    </row>
    <row r="47" spans="1:33" s="49" customFormat="1" x14ac:dyDescent="0.2">
      <c r="A47" s="47" t="s">
        <v>387</v>
      </c>
      <c r="B47" s="50">
        <v>1.5627500214953957E-4</v>
      </c>
      <c r="C47" s="50">
        <v>6.7619412610470155E-5</v>
      </c>
      <c r="D47" s="50">
        <f t="shared" ref="D47:J47" ca="1" si="21">D41/IF(D5&lt;TODAY(),D45,D44)</f>
        <v>2.5394566695584619E-3</v>
      </c>
      <c r="E47" s="50">
        <f t="shared" ca="1" si="21"/>
        <v>2.3667256140742113E-3</v>
      </c>
      <c r="F47" s="50">
        <f t="shared" ref="F47:H47" ca="1" si="22">F41/IF(F5&lt;TODAY(),F45,F44)</f>
        <v>2.3679690101671611E-3</v>
      </c>
      <c r="G47" s="50">
        <f t="shared" ca="1" si="22"/>
        <v>2.3768053449109245E-3</v>
      </c>
      <c r="H47" s="50">
        <f t="shared" ca="1" si="22"/>
        <v>1.4618818285666699E-2</v>
      </c>
      <c r="I47" s="50">
        <f t="shared" ca="1" si="21"/>
        <v>1.4619164046014349E-2</v>
      </c>
      <c r="J47" s="50">
        <f t="shared" ca="1" si="21"/>
        <v>1.468025266976958E-2</v>
      </c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</row>
    <row r="48" spans="1:33" s="43" customFormat="1" x14ac:dyDescent="0.2">
      <c r="A48" s="43" t="s">
        <v>388</v>
      </c>
      <c r="B48" s="44">
        <v>-4987373.2</v>
      </c>
      <c r="C48" s="44">
        <v>138126154.78</v>
      </c>
      <c r="D48" s="44">
        <f>IFERROR(INDEX(CashProjTable[CashForUse],MATCH($A$3&amp;D$5,CashProjTable[RefRng],0)),0)</f>
        <v>135463426.38</v>
      </c>
      <c r="E48" s="44">
        <f>IFERROR(INDEX(CashProjTable[CashForUse],MATCH($A$3&amp;E$5,CashProjTable[RefRng],0)),0)</f>
        <v>138259165.00999999</v>
      </c>
      <c r="F48" s="44">
        <f>IFERROR(INDEX(CashProjTable[CashForUse],MATCH($A$3&amp;F$5,CashProjTable[RefRng],0)),0)</f>
        <v>138259165.00999999</v>
      </c>
      <c r="G48" s="44">
        <f>IFERROR(INDEX(CashProjTable[CashForUse],MATCH($A$3&amp;G$5,CashProjTable[RefRng],0)),0)</f>
        <v>138762540.34999999</v>
      </c>
      <c r="H48" s="44">
        <f>IFERROR(INDEX(CashProjTable[CashForUse],MATCH($A$3&amp;H$5,CashProjTable[RefRng],0)),0)</f>
        <v>836147554.04999995</v>
      </c>
      <c r="I48" s="44">
        <f>IFERROR(INDEX(CashProjTable[CashForUse],MATCH($A$3&amp;I$5,CashProjTable[RefRng],0)),0)</f>
        <v>836147554.04999995</v>
      </c>
      <c r="J48" s="44">
        <f>IFERROR(INDEX(CashProjTable[CashForUse],MATCH($A$3&amp;J$5,CashProjTable[RefRng],0)),0)</f>
        <v>839627562.26999998</v>
      </c>
      <c r="K48" s="44"/>
      <c r="L48" s="44"/>
    </row>
    <row r="49" spans="1:12" s="43" customFormat="1" x14ac:dyDescent="0.2">
      <c r="A49" s="43" t="s">
        <v>389</v>
      </c>
      <c r="B49" s="44">
        <v>-13960444.689999999</v>
      </c>
      <c r="C49" s="44">
        <v>124192978.09999999</v>
      </c>
      <c r="D49" s="44">
        <f>IFERROR(INDEX(CashProjTable[CashForBahtNet],MATCH($A$3&amp;D$5,CashProjTable[RefRng],0)),0)</f>
        <v>114381910.06999999</v>
      </c>
      <c r="E49" s="44">
        <f>IFERROR(INDEX(CashProjTable[CashForBahtNet],MATCH($A$3&amp;E$5,CashProjTable[RefRng],0)),0)</f>
        <v>135463426.38</v>
      </c>
      <c r="F49" s="44">
        <f>IFERROR(INDEX(CashProjTable[CashForBahtNet],MATCH($A$3&amp;F$5,CashProjTable[RefRng],0)),0)</f>
        <v>138259165.00999999</v>
      </c>
      <c r="G49" s="44">
        <f>IFERROR(INDEX(CashProjTable[CashForBahtNet],MATCH($A$3&amp;G$5,CashProjTable[RefRng],0)),0)</f>
        <v>138259165.00999999</v>
      </c>
      <c r="H49" s="44">
        <f>IFERROR(INDEX(CashProjTable[CashForBahtNet],MATCH($A$3&amp;H$5,CashProjTable[RefRng],0)),0)</f>
        <v>830762540.35000002</v>
      </c>
      <c r="I49" s="44">
        <f>IFERROR(INDEX(CashProjTable[CashForBahtNet],MATCH($A$3&amp;I$5,CashProjTable[RefRng],0)),0)</f>
        <v>836147554.04999995</v>
      </c>
      <c r="J49" s="44">
        <f>IFERROR(INDEX(CashProjTable[CashForBahtNet],MATCH($A$3&amp;J$5,CashProjTable[RefRng],0)),0)</f>
        <v>836147554.04999995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53" priority="11" operator="equal">
      <formula>TODAY()</formula>
    </cfRule>
  </conditionalFormatting>
  <conditionalFormatting sqref="K9:L9">
    <cfRule type="cellIs" dxfId="52" priority="10" operator="greaterThan">
      <formula>"&lt;0"</formula>
    </cfRule>
  </conditionalFormatting>
  <conditionalFormatting sqref="K10:L10">
    <cfRule type="cellIs" dxfId="51" priority="9" operator="greaterThan">
      <formula>"&lt;0"</formula>
    </cfRule>
  </conditionalFormatting>
  <conditionalFormatting sqref="K11:L11">
    <cfRule type="cellIs" dxfId="50" priority="8" operator="greaterThan">
      <formula>"&lt;0"</formula>
    </cfRule>
  </conditionalFormatting>
  <conditionalFormatting sqref="D10">
    <cfRule type="cellIs" dxfId="49" priority="6" operator="greaterThan">
      <formula>"&lt;0"</formula>
    </cfRule>
  </conditionalFormatting>
  <conditionalFormatting sqref="D11">
    <cfRule type="cellIs" dxfId="48" priority="5" operator="greaterThan">
      <formula>"&lt;0"</formula>
    </cfRule>
  </conditionalFormatting>
  <conditionalFormatting sqref="A5:C5 M5:XFD5 E5 I5:J5">
    <cfRule type="cellIs" dxfId="47" priority="18" operator="equal">
      <formula>TODAY()</formula>
    </cfRule>
  </conditionalFormatting>
  <conditionalFormatting sqref="B9:E9 I9:J9">
    <cfRule type="cellIs" dxfId="46" priority="17" operator="greaterThan">
      <formula>"&lt;0"</formula>
    </cfRule>
  </conditionalFormatting>
  <conditionalFormatting sqref="B10">
    <cfRule type="cellIs" dxfId="45" priority="16" operator="greaterThan">
      <formula>"&lt;0"</formula>
    </cfRule>
  </conditionalFormatting>
  <conditionalFormatting sqref="B11">
    <cfRule type="cellIs" dxfId="44" priority="15" operator="greaterThan">
      <formula>"&lt;0"</formula>
    </cfRule>
  </conditionalFormatting>
  <conditionalFormatting sqref="C10 E10 I10:J10">
    <cfRule type="cellIs" dxfId="43" priority="14" operator="greaterThan">
      <formula>"&lt;0"</formula>
    </cfRule>
  </conditionalFormatting>
  <conditionalFormatting sqref="C11 E11 I11:J11">
    <cfRule type="cellIs" dxfId="42" priority="13" operator="greaterThan">
      <formula>"&lt;0"</formula>
    </cfRule>
  </conditionalFormatting>
  <conditionalFormatting sqref="B7">
    <cfRule type="cellIs" dxfId="41" priority="12" operator="greaterThan">
      <formula>"&lt;0"</formula>
    </cfRule>
  </conditionalFormatting>
  <conditionalFormatting sqref="D5">
    <cfRule type="cellIs" dxfId="40" priority="7" operator="equal">
      <formula>TODAY()</formula>
    </cfRule>
  </conditionalFormatting>
  <conditionalFormatting sqref="F5:H5">
    <cfRule type="cellIs" dxfId="39" priority="4" operator="equal">
      <formula>TODAY()</formula>
    </cfRule>
  </conditionalFormatting>
  <conditionalFormatting sqref="F9:H9">
    <cfRule type="cellIs" dxfId="38" priority="3" operator="greaterThan">
      <formula>"&lt;0"</formula>
    </cfRule>
  </conditionalFormatting>
  <conditionalFormatting sqref="F10:H10">
    <cfRule type="cellIs" dxfId="37" priority="2" operator="greaterThan">
      <formula>"&lt;0"</formula>
    </cfRule>
  </conditionalFormatting>
  <conditionalFormatting sqref="F11:H11">
    <cfRule type="cellIs" dxfId="36" priority="1" operator="greaterThan">
      <formula>"&lt;0"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F580-DB59-4F3A-9079-DC214144B501}">
  <sheetPr codeName="Sheet14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2" sqref="A2"/>
    </sheetView>
  </sheetViews>
  <sheetFormatPr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TODAY()</f>
        <v>43384</v>
      </c>
    </row>
    <row r="3" spans="1:33" x14ac:dyDescent="0.2">
      <c r="A3" s="14" t="s">
        <v>349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>[1]!SCBAM_NextBusinessDay(C5)</f>
        <v>43384</v>
      </c>
      <c r="E5" s="16">
        <f>[1]!SCBAM_NextBusinessDay(D5)</f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2282205.56</v>
      </c>
      <c r="C6" s="21">
        <v>2233339.83</v>
      </c>
      <c r="D6" s="21">
        <f ca="1">IF(AND(ISNUMBER(C41),ISNUMBER(C42)),IF(D5&lt;=TODAY(),C42,C41),INDEX(CashProjTable[CashBal],MATCH($A$3&amp;[1]!SCBAM_PreviousBusinessDay(D$5),CashProjTable[RefRng],0)))</f>
        <v>2233339.83</v>
      </c>
      <c r="E6" s="21">
        <f ca="1">IF(AND(ISNUMBER(D41),ISNUMBER(D42)),IF(E5&lt;=TODAY(),D42,D41),INDEX(CashProjTable[CashBal],MATCH($A$3&amp;[1]!SCBAM_PreviousBusinessDay(E$5),CashProjTable[RefRng],0)))</f>
        <v>2326335.5</v>
      </c>
      <c r="F6" s="21">
        <f ca="1">IF(AND(ISNUMBER(E41),ISNUMBER(E42)),IF(F5&lt;=TODAY(),E42,E41),INDEX(CashProjTable[CashBal],MATCH($A$3&amp;[1]!SCBAM_PreviousBusinessDay(F$5),CashProjTable[RefRng],0)))</f>
        <v>2325333.2999999998</v>
      </c>
      <c r="G6" s="21">
        <f ca="1">IF(AND(ISNUMBER(F41),ISNUMBER(F42)),IF(G5&lt;=TODAY(),F42,F41),INDEX(CashProjTable[CashBal],MATCH($A$3&amp;[1]!SCBAM_PreviousBusinessDay(G$5),CashProjTable[RefRng],0)))</f>
        <v>2325333.2999999998</v>
      </c>
      <c r="H6" s="21">
        <f ca="1">IF(AND(ISNUMBER(G41),ISNUMBER(G42)),IF(H5&lt;=TODAY(),G42,G41),INDEX(CashProjTable[CashBal],MATCH($A$3&amp;[1]!SCBAM_PreviousBusinessDay(H$5),CashProjTable[RefRng],0)))</f>
        <v>2325333.2999999998</v>
      </c>
      <c r="I6" s="21">
        <f ca="1">IF(AND(ISNUMBER(H41),ISNUMBER(H42)),IF(I5&lt;=TODAY(),H42,H41),INDEX(CashProjTable[CashBal],MATCH($A$3&amp;[1]!SCBAM_PreviousBusinessDay(I$5),CashProjTable[RefRng],0)))</f>
        <v>67325333.299999997</v>
      </c>
      <c r="J6" s="21">
        <f ca="1">IF(AND(ISNUMBER(I41),ISNUMBER(I42)),IF(J5&lt;=TODAY(),I42,I41),INDEX(CashProjTable[CashBal],MATCH($A$3&amp;[1]!SCBAM_PreviousBusinessDay(J$5),CashProjTable[RefRng],0)))</f>
        <v>107926977.14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1007009.58</v>
      </c>
      <c r="C9" s="24">
        <v>6007009.5800000001</v>
      </c>
      <c r="D9" s="24">
        <f>IF(ISNUMBER(C$5),C$11,[1]!SCBAM_GetSecDtl($A$3,"INVSUOBTtmf",D$5,"MarketVal"))</f>
        <v>4007009.58</v>
      </c>
      <c r="E9" s="24">
        <f>IF(ISNUMBER(D$5),D$11,[1]!SCBAM_GetSecDtl($A$3,"INVSUOBTtmf",E$5,"MarketVal"))</f>
        <v>4007009.58</v>
      </c>
      <c r="F9" s="24">
        <f>IF(ISNUMBER(E$5),E$11,[1]!SCBAM_GetSecDtl($A$3,"INVSUOBTtmf",F$5,"MarketVal"))</f>
        <v>4007009.58</v>
      </c>
      <c r="G9" s="24">
        <f>IF(ISNUMBER(F$5),F$11,[1]!SCBAM_GetSecDtl($A$3,"INVSUOBTtmf",G$5,"MarketVal"))</f>
        <v>4007009.58</v>
      </c>
      <c r="H9" s="24">
        <f>IF(ISNUMBER(G$5),G$11,[1]!SCBAM_GetSecDtl($A$3,"INVSUOBTtmf",H$5,"MarketVal"))</f>
        <v>4007009.58</v>
      </c>
      <c r="I9" s="24">
        <f>IF(ISNUMBER(H$5),H$11,[1]!SCBAM_GetSecDtl($A$3,"INVSUOBTtmf",I$5,"MarketVal"))</f>
        <v>4007009.58</v>
      </c>
      <c r="J9" s="24">
        <f>IF(ISNUMBER(I$5),I$11,[1]!SCBAM_GetSecDtl($A$3,"INVSUOBTtmf",J$5,"MarketVal"))</f>
        <v>4007009.58</v>
      </c>
      <c r="K9" s="24"/>
      <c r="L9" s="24"/>
    </row>
    <row r="10" spans="1:33" s="63" customFormat="1" ht="14.25" x14ac:dyDescent="0.2">
      <c r="A10" s="61" t="s">
        <v>361</v>
      </c>
      <c r="B10" s="62">
        <v>5000000</v>
      </c>
      <c r="C10" s="62">
        <v>-2000000</v>
      </c>
      <c r="D10" s="62"/>
      <c r="E10" s="62"/>
      <c r="F10" s="62"/>
      <c r="G10" s="62"/>
      <c r="H10" s="62"/>
      <c r="I10" s="62"/>
      <c r="J10" s="62"/>
      <c r="K10" s="62"/>
      <c r="L10" s="62"/>
    </row>
    <row r="11" spans="1:33" s="31" customFormat="1" ht="13.5" thickBot="1" x14ac:dyDescent="0.25">
      <c r="A11" s="29" t="s">
        <v>362</v>
      </c>
      <c r="B11" s="30">
        <v>6007009.5800000001</v>
      </c>
      <c r="C11" s="30">
        <v>4007009.58</v>
      </c>
      <c r="D11" s="30">
        <f t="shared" ref="D11:J11" si="0">SUM(D9:D10)</f>
        <v>4007009.58</v>
      </c>
      <c r="E11" s="30">
        <f t="shared" si="0"/>
        <v>4007009.58</v>
      </c>
      <c r="F11" s="30">
        <f t="shared" ref="F11" si="1">SUM(F9:F10)</f>
        <v>4007009.58</v>
      </c>
      <c r="G11" s="30">
        <f t="shared" ref="G11" si="2">SUM(G9:G10)</f>
        <v>4007009.58</v>
      </c>
      <c r="H11" s="30">
        <f t="shared" ref="H11" si="3">SUM(H9:H10)</f>
        <v>4007009.58</v>
      </c>
      <c r="I11" s="30">
        <f t="shared" si="0"/>
        <v>4007009.58</v>
      </c>
      <c r="J11" s="30">
        <f t="shared" si="0"/>
        <v>4007009.58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6221000</v>
      </c>
      <c r="C16" s="34">
        <v>623500</v>
      </c>
      <c r="D16" s="64">
        <f>IFERROR(INDEX(CashIntraTable[Amount],MATCH($A$3&amp;D$5&amp;$A51,CashIntraTable[RefRng],0)),0)</f>
        <v>1108000</v>
      </c>
      <c r="E16" s="65">
        <f>IFERROR(INDEX(CashIntraTable[Amount],MATCH($A$3&amp;E$5&amp;$A51,CashIntraTable[RefRng],0)),0)</f>
        <v>6000</v>
      </c>
      <c r="F16" s="34">
        <f>IFERROR(INDEX(CashIntraTable[Amount],MATCH($A$3&amp;F$5&amp;$A51,CashIntraTable[RefRng],0)),0)</f>
        <v>0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0</v>
      </c>
      <c r="C17" s="34">
        <v>0</v>
      </c>
      <c r="D17" s="64">
        <f>IFERROR(INDEX(CashIntraTable[Amount],MATCH($A$3&amp;D$5&amp;$A52,CashIntraTable[RefRng],0)),0)</f>
        <v>0</v>
      </c>
      <c r="E17" s="65">
        <f>IFERROR(INDEX(CashIntraTable[Amount],MATCH($A$3&amp;E$5&amp;$A52,CashIntraTable[RefRng],0)),0)</f>
        <v>0</v>
      </c>
      <c r="F17" s="34">
        <f>IFERROR(INDEX(CashIntraTable[Amount],MATCH($A$3&amp;F$5&amp;$A52,CashIntraTable[RefRng],0)),0)</f>
        <v>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0</v>
      </c>
      <c r="C18" s="34">
        <v>10000</v>
      </c>
      <c r="D18" s="64">
        <f>IFERROR(INDEX(CashIntraTable[Amount],MATCH($A$3&amp;D$5&amp;$A53,CashIntraTable[RefRng],0)),0)</f>
        <v>0</v>
      </c>
      <c r="E18" s="65">
        <f>IFERROR(INDEX(CashIntraTable[Amount],MATCH($A$3&amp;E$5&amp;$A53,CashIntraTable[RefRng],0)),0)</f>
        <v>0</v>
      </c>
      <c r="F18" s="34">
        <f>IFERROR(INDEX(CashIntraTable[Amount],MATCH($A$3&amp;F$5&amp;$A53,CashIntraTable[RefRng],0)),0)</f>
        <v>0</v>
      </c>
      <c r="G18" s="34">
        <f>IFERROR(INDEX(CashIntraTable[Amount],MATCH($A$3&amp;G$5&amp;$A53,CashIntraTable[RefRng],0)),0)</f>
        <v>0</v>
      </c>
      <c r="H18" s="34">
        <f>IFERROR(INDEX(CashIntraTable[Amount],MATCH($A$3&amp;H$5&amp;$A53,CashIntraTable[RefRng],0)),0)</f>
        <v>0</v>
      </c>
      <c r="I18" s="34">
        <f>IFERROR(INDEX(CashIntraTable[Amount],MATCH($A$3&amp;I$5&amp;$A53,CashIntraTable[RefRng],0)),0)</f>
        <v>0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4">
        <v>0</v>
      </c>
      <c r="E19" s="65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0</v>
      </c>
      <c r="C20" s="34">
        <v>0</v>
      </c>
      <c r="D20" s="34">
        <f>IFERROR(INDEX(CashProjTable[DebtSell_BahtNet],MATCH($A$3&amp;D$5,CashProjTable[RefRng],0))+SUMIFS(IntraTrans[Net Settlement],IntraTrans[Portfolio],$A$3,IntraTrans[B/S],"S",IntraTrans[Settle Date],D$5,IntraTrans[Payment],"BAHTNET"),0)</f>
        <v>0</v>
      </c>
      <c r="E20" s="34">
        <f>IFERROR(INDEX(CashProjTable[DebtSell_BahtNet],MATCH($A$3&amp;E$5,CashProjTable[RefRng],0))+SUMIFS(IntraTrans[Net Settlement],IntraTrans[Portfolio],$A$3,IntraTrans[B/S],"S",IntraTrans[Settle Date],E$5,IntraTrans[Payment],"BAHTNET"),0)</f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65000000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40000000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1" s="34">
        <f>IFERROR((INDEX(CashProjTable[DebtSell],MATCH($A$3&amp;E$5,CashProjTable[RefRng],0))-INDEX(CashProjTable[DebtSell_BahtNet],MATCH($A$3&amp;E$5,CashProjTable[RefRng],0)))+SUMIFS(IntraTrans[Net Settlement],IntraTrans[Portfolio],$A$3,IntraTrans[B/S],"S",IntraTrans[Settle Date],E$5,IntraTrans[Payment],"CHEQUE"),0)</f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0</v>
      </c>
      <c r="C22" s="34">
        <v>2000000</v>
      </c>
      <c r="D22" s="34">
        <f t="shared" ref="D22:J22" si="4">IF(D$10&lt;0,-D$10,0)</f>
        <v>0</v>
      </c>
      <c r="E22" s="34">
        <f t="shared" si="4"/>
        <v>0</v>
      </c>
      <c r="F22" s="34">
        <f t="shared" si="4"/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f>IFERROR(INDEX(CashProjTable[DebtInterest],MATCH($A$3&amp;D$5,CashProjTable[RefRng],0)),0)</f>
        <v>0</v>
      </c>
      <c r="E24" s="34">
        <f>IFERROR(INDEX(CashProjTable[DebtInterest],MATCH($A$3&amp;E$5,CashProjTable[RefRng],0)),0)</f>
        <v>0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601643.84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f>IFERROR(INDEX(CashProjTable[CashEqInterest],MATCH($A$3&amp;D$5,CashProjTable[RefRng],0)),0)</f>
        <v>0</v>
      </c>
      <c r="E25" s="34">
        <f>IFERROR(INDEX(CashProjTable[CashEqInterest],MATCH($A$3&amp;E$5,CashProjTable[RefRng],0)),0)</f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6221000</v>
      </c>
      <c r="C27" s="38">
        <v>2633500</v>
      </c>
      <c r="D27" s="38">
        <f t="shared" ref="D27:J27" si="5">SUM(D16:D26)</f>
        <v>1108000</v>
      </c>
      <c r="E27" s="38">
        <f t="shared" si="5"/>
        <v>6000</v>
      </c>
      <c r="F27" s="38">
        <f t="shared" ref="F27:H27" si="6">SUM(F16:F26)</f>
        <v>0</v>
      </c>
      <c r="G27" s="38">
        <f t="shared" si="6"/>
        <v>0</v>
      </c>
      <c r="H27" s="38">
        <f t="shared" si="6"/>
        <v>65000000</v>
      </c>
      <c r="I27" s="38">
        <f t="shared" si="5"/>
        <v>40601643.840000004</v>
      </c>
      <c r="J27" s="38">
        <f t="shared" si="5"/>
        <v>0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1259840.42</v>
      </c>
      <c r="C30" s="34">
        <v>2114012.1600000001</v>
      </c>
      <c r="D30" s="64">
        <f>IFERROR(ABS(INDEX(CashIntraTable[Amount],MATCH($A$3&amp;D$5&amp;$A54,CashIntraTable[RefRng],0))),0)</f>
        <v>14004.36</v>
      </c>
      <c r="E30" s="65">
        <f>IFERROR(ABS(INDEX(CashIntraTable[Amount],MATCH($A$3&amp;E$5&amp;$A54,CashIntraTable[RefRng],0))),0)</f>
        <v>5002.28</v>
      </c>
      <c r="F30" s="34">
        <f>IFERROR(ABS(INDEX(CashIntraTable[Amount],MATCH($A$3&amp;F$5&amp;$A54,CashIntraTable[RefRng],0))),0)</f>
        <v>0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10000</v>
      </c>
      <c r="C31" s="34">
        <v>2000.09</v>
      </c>
      <c r="D31" s="64">
        <f>IFERROR(ABS(INDEX(CashIntraTable[Amount],MATCH($A$3&amp;D$5&amp;$A55,CashIntraTable[RefRng],0))),0)</f>
        <v>1000999.97</v>
      </c>
      <c r="E31" s="65">
        <f>IFERROR(ABS(INDEX(CashIntraTable[Amount],MATCH($A$3&amp;E$5&amp;$A55,CashIntraTable[RefRng],0))),0)</f>
        <v>1999.92</v>
      </c>
      <c r="F31" s="34">
        <f>IFERROR(ABS(INDEX(CashIntraTable[Amount],MATCH($A$3&amp;F$5&amp;$A55,CashIntraTable[RefRng],0))),0)</f>
        <v>0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0</v>
      </c>
      <c r="C32" s="34">
        <v>0</v>
      </c>
      <c r="D32" s="34">
        <f>IFERROR(INDEX(CashProjTable[DebtBuy_BahtNet],MATCH($A$3&amp;D$5,CashProjTable[RefRng],0))+SUMIFS(IntraTrans[Net Settlement],IntraTrans[Portfolio],$A$3,IntraTrans[B/S],"B",IntraTrans[Settle Date],D$5,IntraTrans[Payment],"BAHTNET"),0)</f>
        <v>0</v>
      </c>
      <c r="E32" s="34">
        <f>IFERROR(INDEX(CashProjTable[DebtBuy_BahtNet],MATCH($A$3&amp;E$5,CashProjTable[RefRng],0))+SUMIFS(IntraTrans[Net Settlement],IntraTrans[Portfolio],$A$3,IntraTrans[B/S],"B",IntraTrans[Settle Date],E$5,IntraTrans[Payment],"BAHTNET"),0)</f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3" s="34">
        <f>IFERROR((INDEX(CashProjTable[DebtBuy],MATCH($A$3&amp;E$5,CashProjTable[RefRng],0))-INDEX(CashProjTable[DebtBuy_BahtNet],MATCH($A$3&amp;E$5,CashProjTable[RefRng],0)))+SUMIFS(IntraTrans[Net Settlement],IntraTrans[Portfolio],$A$3,IntraTrans[B/S],"B",IntraTrans[Settle Date],E$5,IntraTrans[Payment],"CHEQUE"),0)</f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5000000</v>
      </c>
      <c r="C34" s="34">
        <v>0</v>
      </c>
      <c r="D34" s="34">
        <f>IF(D$10&gt;0,D$10,0)</f>
        <v>0</v>
      </c>
      <c r="E34" s="34">
        <f t="shared" ref="E34:J34" si="7">IF(E$10&gt;0,E$10,0)</f>
        <v>0</v>
      </c>
      <c r="F34" s="34">
        <f t="shared" si="7"/>
        <v>0</v>
      </c>
      <c r="G34" s="34">
        <f t="shared" si="7"/>
        <v>0</v>
      </c>
      <c r="H34" s="34">
        <f t="shared" si="7"/>
        <v>0</v>
      </c>
      <c r="I34" s="34">
        <f t="shared" si="7"/>
        <v>0</v>
      </c>
      <c r="J34" s="34">
        <f t="shared" si="7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f>IFERROR(INDEX(CashProjTable[Expense],MATCH($A$3&amp;D$5,CashProjTable[RefRng],0)),0)</f>
        <v>0</v>
      </c>
      <c r="E36" s="34">
        <f>IFERROR(INDEX(CashProjTable[Expense],MATCH($A$3&amp;E$5,CashProjTable[RefRng],0)),0)</f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6269840.4199999999</v>
      </c>
      <c r="C38" s="38">
        <v>2116012.25</v>
      </c>
      <c r="D38" s="38">
        <f t="shared" ref="D38:J38" si="8">SUM(D30:D37)</f>
        <v>1015004.33</v>
      </c>
      <c r="E38" s="38">
        <f t="shared" si="8"/>
        <v>7002.2</v>
      </c>
      <c r="F38" s="38">
        <f t="shared" ref="F38:H38" si="9">SUM(F30:F37)</f>
        <v>0</v>
      </c>
      <c r="G38" s="38">
        <f t="shared" si="9"/>
        <v>0</v>
      </c>
      <c r="H38" s="38">
        <f t="shared" si="9"/>
        <v>0</v>
      </c>
      <c r="I38" s="38">
        <f t="shared" si="8"/>
        <v>0</v>
      </c>
      <c r="J38" s="38">
        <f t="shared" si="8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878</v>
      </c>
    </row>
    <row r="41" spans="1:33" s="23" customFormat="1" x14ac:dyDescent="0.2">
      <c r="A41" s="27" t="s">
        <v>385</v>
      </c>
      <c r="B41" s="34">
        <v>2233365.1400000006</v>
      </c>
      <c r="C41" s="34">
        <v>2750827.58</v>
      </c>
      <c r="D41" s="34">
        <f t="shared" ref="D41:J41" ca="1" si="10">D$6+D$27-D$38</f>
        <v>2326335.5</v>
      </c>
      <c r="E41" s="34">
        <f t="shared" ca="1" si="10"/>
        <v>2325333.2999999998</v>
      </c>
      <c r="F41" s="34">
        <f t="shared" ca="1" si="10"/>
        <v>2325333.2999999998</v>
      </c>
      <c r="G41" s="34">
        <f t="shared" ca="1" si="10"/>
        <v>2325333.2999999998</v>
      </c>
      <c r="H41" s="34">
        <f t="shared" ca="1" si="10"/>
        <v>67325333.299999997</v>
      </c>
      <c r="I41" s="34">
        <f t="shared" ca="1" si="10"/>
        <v>107926977.14</v>
      </c>
      <c r="J41" s="34">
        <f t="shared" ca="1" si="10"/>
        <v>107926977.14</v>
      </c>
      <c r="K41" s="34"/>
      <c r="L41" s="34"/>
    </row>
    <row r="42" spans="1:33" s="23" customFormat="1" x14ac:dyDescent="0.2">
      <c r="A42" s="27" t="s">
        <v>893</v>
      </c>
      <c r="B42" s="34">
        <v>2233339.83</v>
      </c>
      <c r="C42" s="34">
        <v>2233339.83</v>
      </c>
      <c r="D42" s="34">
        <f>IFERROR(INDEX(CashProjTable[CashBal],MATCH($A$3&amp;D$5,CashProjTable[RefRng],0)),0)</f>
        <v>2750830.41</v>
      </c>
      <c r="E42" s="34">
        <f>IFERROR(INDEX(CashProjTable[CashBal],MATCH($A$3&amp;E$5,CashProjTable[RefRng],0)),0)</f>
        <v>2750830.41</v>
      </c>
      <c r="F42" s="34">
        <f>IFERROR(INDEX(CashProjTable[CashBal],MATCH($A$3&amp;F$5,CashProjTable[RefRng],0)),0)</f>
        <v>2750830.41</v>
      </c>
      <c r="G42" s="34">
        <f>IFERROR(INDEX(CashProjTable[CashBal],MATCH($A$3&amp;G$5,CashProjTable[RefRng],0)),0)</f>
        <v>2750830.41</v>
      </c>
      <c r="H42" s="34">
        <f>IFERROR(INDEX(CashProjTable[CashBal],MATCH($A$3&amp;H$5,CashProjTable[RefRng],0)),0)</f>
        <v>67750830.409999996</v>
      </c>
      <c r="I42" s="34">
        <f>IFERROR(INDEX(CashProjTable[CashBal],MATCH($A$3&amp;I$5,CashProjTable[RefRng],0)),0)</f>
        <v>108352474.25</v>
      </c>
      <c r="J42" s="34">
        <f>IFERROR(INDEX(CashProjTable[CashBal],MATCH($A$3&amp;J$5,CashProjTable[RefRng],0)),0)</f>
        <v>108352474.25</v>
      </c>
      <c r="K42" s="34"/>
      <c r="L42" s="34"/>
    </row>
    <row r="43" spans="1:33" s="42" customFormat="1" x14ac:dyDescent="0.2">
      <c r="A43" s="40" t="s">
        <v>386</v>
      </c>
      <c r="B43" s="41">
        <v>-25.310000000521541</v>
      </c>
      <c r="C43" s="41">
        <v>-517487.75</v>
      </c>
      <c r="D43" s="41">
        <f t="shared" ref="D43:J43" ca="1" si="11">D42-D41</f>
        <v>424494.91000000015</v>
      </c>
      <c r="E43" s="41">
        <f t="shared" ca="1" si="11"/>
        <v>425497.11000000034</v>
      </c>
      <c r="F43" s="41">
        <f t="shared" ref="F43:H43" ca="1" si="12">F42-F41</f>
        <v>425497.11000000034</v>
      </c>
      <c r="G43" s="41">
        <f t="shared" ca="1" si="12"/>
        <v>425497.11000000034</v>
      </c>
      <c r="H43" s="41">
        <f t="shared" ca="1" si="12"/>
        <v>425497.1099999994</v>
      </c>
      <c r="I43" s="41">
        <f t="shared" ca="1" si="11"/>
        <v>425497.1099999994</v>
      </c>
      <c r="J43" s="41">
        <f t="shared" ca="1" si="11"/>
        <v>425497.1099999994</v>
      </c>
      <c r="K43" s="41"/>
      <c r="L43" s="41"/>
    </row>
    <row r="44" spans="1:33" s="23" customFormat="1" x14ac:dyDescent="0.2">
      <c r="A44" s="27" t="s">
        <v>894</v>
      </c>
      <c r="B44" s="45">
        <v>1518723209.0299997</v>
      </c>
      <c r="C44" s="34">
        <v>1517083633.02</v>
      </c>
      <c r="D44" s="34">
        <f t="shared" ref="D44:J44" ca="1" si="13">IF(D$5&gt;TODAY(),C44,C45)+SUM(D16:D19)-SUM(D30:D31)</f>
        <v>1517143249.8700001</v>
      </c>
      <c r="E44" s="34">
        <f t="shared" ca="1" si="13"/>
        <v>1517142247.6700001</v>
      </c>
      <c r="F44" s="34">
        <f t="shared" ref="F44" ca="1" si="14">IF(F$5&gt;TODAY(),E44,E45)+SUM(F16:F19)-SUM(F30:F31)</f>
        <v>1517142247.6700001</v>
      </c>
      <c r="G44" s="34">
        <f t="shared" ref="G44" ca="1" si="15">IF(G$5&gt;TODAY(),F44,F45)+SUM(G16:G19)-SUM(G30:G31)</f>
        <v>1517142247.6700001</v>
      </c>
      <c r="H44" s="34">
        <f t="shared" ref="H44" ca="1" si="16">IF(H$5&gt;TODAY(),G44,G45)+SUM(H16:H19)-SUM(H30:H31)</f>
        <v>1517142247.6700001</v>
      </c>
      <c r="I44" s="34">
        <f t="shared" ca="1" si="13"/>
        <v>1517142247.6700001</v>
      </c>
      <c r="J44" s="34">
        <f t="shared" ca="1" si="13"/>
        <v>1517142247.6700001</v>
      </c>
      <c r="K44" s="34"/>
      <c r="L44" s="34"/>
    </row>
    <row r="45" spans="1:33" s="23" customFormat="1" x14ac:dyDescent="0.2">
      <c r="A45" s="27" t="s">
        <v>895</v>
      </c>
      <c r="B45" s="34">
        <v>1518566145.27</v>
      </c>
      <c r="C45" s="34">
        <v>1517050254.2</v>
      </c>
      <c r="D45" s="34">
        <f>[1]!SCBAM_GetGroup1Dtl($A$3,"NET ASSET VALUE",D$5,"MarketVal")+[1]!SCBAM_GetGroup1Dtl($A$3,"NET ASSET VALUE",D$5,"ai")</f>
        <v>0</v>
      </c>
      <c r="E45" s="34">
        <f>[1]!SCBAM_GetGroup1Dtl($A$3,"NET ASSET VALUE",E$5,"MarketVal")+[1]!SCBAM_GetGroup1Dtl($A$3,"NET ASSET VALUE",E$5,"ai")</f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879</v>
      </c>
      <c r="B46" s="21">
        <v>-1482512.25</v>
      </c>
      <c r="C46" s="21">
        <v>92995.550000000047</v>
      </c>
      <c r="D46" s="21">
        <f t="shared" ref="D46:J46" si="17">SUM(E16:E19)-SUM(E30:E31)</f>
        <v>-1002.1999999999998</v>
      </c>
      <c r="E46" s="21">
        <f t="shared" si="17"/>
        <v>0</v>
      </c>
      <c r="F46" s="21">
        <f t="shared" ref="F46" si="18">SUM(G16:G19)-SUM(G30:G31)</f>
        <v>0</v>
      </c>
      <c r="G46" s="21">
        <f t="shared" ref="G46" si="19">SUM(H16:H19)-SUM(H30:H31)</f>
        <v>0</v>
      </c>
      <c r="H46" s="21">
        <f t="shared" ref="H46" si="20">SUM(I16:I19)-SUM(I30:I31)</f>
        <v>0</v>
      </c>
      <c r="I46" s="21">
        <f t="shared" si="17"/>
        <v>0</v>
      </c>
      <c r="J46" s="21">
        <f t="shared" si="17"/>
        <v>0</v>
      </c>
      <c r="K46" s="21"/>
      <c r="L46" s="21"/>
    </row>
    <row r="47" spans="1:33" s="49" customFormat="1" x14ac:dyDescent="0.2">
      <c r="A47" s="47" t="s">
        <v>387</v>
      </c>
      <c r="B47" s="50">
        <v>1.4707065259925902E-3</v>
      </c>
      <c r="C47" s="50">
        <v>1.8132738664287816E-3</v>
      </c>
      <c r="D47" s="50">
        <f t="shared" ref="D47:J47" ca="1" si="21">D41/IF(D5&lt;TODAY(),D45,D44)</f>
        <v>1.533365751849298E-3</v>
      </c>
      <c r="E47" s="50">
        <f t="shared" ca="1" si="21"/>
        <v>1.5327061806967707E-3</v>
      </c>
      <c r="F47" s="50">
        <f t="shared" ref="F47:H47" ca="1" si="22">F41/IF(F5&lt;TODAY(),F45,F44)</f>
        <v>1.5327061806967707E-3</v>
      </c>
      <c r="G47" s="50">
        <f t="shared" ca="1" si="22"/>
        <v>1.5327061806967707E-3</v>
      </c>
      <c r="H47" s="50">
        <f t="shared" ca="1" si="22"/>
        <v>4.4376414540823077E-2</v>
      </c>
      <c r="I47" s="50">
        <f t="shared" ca="1" si="21"/>
        <v>7.1138337427325823E-2</v>
      </c>
      <c r="J47" s="50">
        <f t="shared" ca="1" si="21"/>
        <v>7.1138337427325823E-2</v>
      </c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</row>
    <row r="48" spans="1:33" s="43" customFormat="1" x14ac:dyDescent="0.2">
      <c r="A48" s="43" t="s">
        <v>388</v>
      </c>
      <c r="B48" s="44">
        <v>-3987660.17</v>
      </c>
      <c r="C48" s="44">
        <v>2233339.83</v>
      </c>
      <c r="D48" s="44">
        <f>IFERROR(INDEX(CashProjTable[CashForUse],MATCH($A$3&amp;D$5,CashProjTable[RefRng],0)),0)</f>
        <v>2750830.41</v>
      </c>
      <c r="E48" s="44">
        <f>IFERROR(INDEX(CashProjTable[CashForUse],MATCH($A$3&amp;E$5,CashProjTable[RefRng],0)),0)</f>
        <v>2750830.41</v>
      </c>
      <c r="F48" s="44">
        <f>IFERROR(INDEX(CashProjTable[CashForUse],MATCH($A$3&amp;F$5,CashProjTable[RefRng],0)),0)</f>
        <v>2750830.41</v>
      </c>
      <c r="G48" s="44">
        <f>IFERROR(INDEX(CashProjTable[CashForUse],MATCH($A$3&amp;G$5,CashProjTable[RefRng],0)),0)</f>
        <v>2750830.41</v>
      </c>
      <c r="H48" s="44">
        <f>IFERROR(INDEX(CashProjTable[CashForUse],MATCH($A$3&amp;H$5,CashProjTable[RefRng],0)),0)</f>
        <v>67750830.409999996</v>
      </c>
      <c r="I48" s="44">
        <f>IFERROR(INDEX(CashProjTable[CashForUse],MATCH($A$3&amp;I$5,CashProjTable[RefRng],0)),0)</f>
        <v>108352474.25</v>
      </c>
      <c r="J48" s="44">
        <f>IFERROR(INDEX(CashProjTable[CashForUse],MATCH($A$3&amp;J$5,CashProjTable[RefRng],0)),0)</f>
        <v>108352474.25</v>
      </c>
      <c r="K48" s="44"/>
      <c r="L48" s="44"/>
    </row>
    <row r="49" spans="1:12" s="43" customFormat="1" x14ac:dyDescent="0.2">
      <c r="A49" s="43" t="s">
        <v>389</v>
      </c>
      <c r="B49" s="44">
        <v>-4008497.17</v>
      </c>
      <c r="C49" s="44">
        <v>-3987660.17</v>
      </c>
      <c r="D49" s="44">
        <f>IFERROR(INDEX(CashProjTable[CashForBahtNet],MATCH($A$3&amp;D$5,CashProjTable[RefRng],0)),0)</f>
        <v>2127330.41</v>
      </c>
      <c r="E49" s="44">
        <f>IFERROR(INDEX(CashProjTable[CashForBahtNet],MATCH($A$3&amp;E$5,CashProjTable[RefRng],0)),0)</f>
        <v>2750830.41</v>
      </c>
      <c r="F49" s="44">
        <f>IFERROR(INDEX(CashProjTable[CashForBahtNet],MATCH($A$3&amp;F$5,CashProjTable[RefRng],0)),0)</f>
        <v>2750830.41</v>
      </c>
      <c r="G49" s="44">
        <f>IFERROR(INDEX(CashProjTable[CashForBahtNet],MATCH($A$3&amp;G$5,CashProjTable[RefRng],0)),0)</f>
        <v>2750830.41</v>
      </c>
      <c r="H49" s="44">
        <f>IFERROR(INDEX(CashProjTable[CashForBahtNet],MATCH($A$3&amp;H$5,CashProjTable[RefRng],0)),0)</f>
        <v>67750830.409999996</v>
      </c>
      <c r="I49" s="44">
        <f>IFERROR(INDEX(CashProjTable[CashForBahtNet],MATCH($A$3&amp;I$5,CashProjTable[RefRng],0)),0)</f>
        <v>107750830.41</v>
      </c>
      <c r="J49" s="44">
        <f>IFERROR(INDEX(CashProjTable[CashForBahtNet],MATCH($A$3&amp;J$5,CashProjTable[RefRng],0)),0)</f>
        <v>108352474.25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35" priority="11" operator="equal">
      <formula>TODAY()</formula>
    </cfRule>
  </conditionalFormatting>
  <conditionalFormatting sqref="K9:L9">
    <cfRule type="cellIs" dxfId="34" priority="10" operator="greaterThan">
      <formula>"&lt;0"</formula>
    </cfRule>
  </conditionalFormatting>
  <conditionalFormatting sqref="K10:L10">
    <cfRule type="cellIs" dxfId="33" priority="9" operator="greaterThan">
      <formula>"&lt;0"</formula>
    </cfRule>
  </conditionalFormatting>
  <conditionalFormatting sqref="K11:L11">
    <cfRule type="cellIs" dxfId="32" priority="8" operator="greaterThan">
      <formula>"&lt;0"</formula>
    </cfRule>
  </conditionalFormatting>
  <conditionalFormatting sqref="D10">
    <cfRule type="cellIs" dxfId="31" priority="6" operator="greaterThan">
      <formula>"&lt;0"</formula>
    </cfRule>
  </conditionalFormatting>
  <conditionalFormatting sqref="D11">
    <cfRule type="cellIs" dxfId="30" priority="5" operator="greaterThan">
      <formula>"&lt;0"</formula>
    </cfRule>
  </conditionalFormatting>
  <conditionalFormatting sqref="A5:C5 M5:XFD5 E5 I5:J5">
    <cfRule type="cellIs" dxfId="29" priority="18" operator="equal">
      <formula>TODAY()</formula>
    </cfRule>
  </conditionalFormatting>
  <conditionalFormatting sqref="B9:E9 I9:J9">
    <cfRule type="cellIs" dxfId="28" priority="17" operator="greaterThan">
      <formula>"&lt;0"</formula>
    </cfRule>
  </conditionalFormatting>
  <conditionalFormatting sqref="B10">
    <cfRule type="cellIs" dxfId="27" priority="16" operator="greaterThan">
      <formula>"&lt;0"</formula>
    </cfRule>
  </conditionalFormatting>
  <conditionalFormatting sqref="B11">
    <cfRule type="cellIs" dxfId="26" priority="15" operator="greaterThan">
      <formula>"&lt;0"</formula>
    </cfRule>
  </conditionalFormatting>
  <conditionalFormatting sqref="C10 E10 I10:J10">
    <cfRule type="cellIs" dxfId="25" priority="14" operator="greaterThan">
      <formula>"&lt;0"</formula>
    </cfRule>
  </conditionalFormatting>
  <conditionalFormatting sqref="C11 E11 I11:J11">
    <cfRule type="cellIs" dxfId="24" priority="13" operator="greaterThan">
      <formula>"&lt;0"</formula>
    </cfRule>
  </conditionalFormatting>
  <conditionalFormatting sqref="B7">
    <cfRule type="cellIs" dxfId="23" priority="12" operator="greaterThan">
      <formula>"&lt;0"</formula>
    </cfRule>
  </conditionalFormatting>
  <conditionalFormatting sqref="D5">
    <cfRule type="cellIs" dxfId="22" priority="7" operator="equal">
      <formula>TODAY()</formula>
    </cfRule>
  </conditionalFormatting>
  <conditionalFormatting sqref="F5:H5">
    <cfRule type="cellIs" dxfId="21" priority="4" operator="equal">
      <formula>TODAY()</formula>
    </cfRule>
  </conditionalFormatting>
  <conditionalFormatting sqref="F9:H9">
    <cfRule type="cellIs" dxfId="20" priority="3" operator="greaterThan">
      <formula>"&lt;0"</formula>
    </cfRule>
  </conditionalFormatting>
  <conditionalFormatting sqref="F10:H10">
    <cfRule type="cellIs" dxfId="19" priority="2" operator="greaterThan">
      <formula>"&lt;0"</formula>
    </cfRule>
  </conditionalFormatting>
  <conditionalFormatting sqref="F11:H11">
    <cfRule type="cellIs" dxfId="18" priority="1" operator="greaterThan">
      <formula>"&lt;0"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BEBDD-55CC-4437-BA1D-D2DF0CD5F9A5}">
  <sheetPr codeName="Sheet15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9" sqref="G19"/>
    </sheetView>
  </sheetViews>
  <sheetFormatPr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TODAY()</f>
        <v>43384</v>
      </c>
    </row>
    <row r="3" spans="1:33" x14ac:dyDescent="0.2">
      <c r="A3" s="14" t="s">
        <v>351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>[1]!SCBAM_NextBusinessDay(C5)</f>
        <v>43384</v>
      </c>
      <c r="E5" s="16">
        <f>[1]!SCBAM_NextBusinessDay(D5)</f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4534915.28</v>
      </c>
      <c r="C6" s="21">
        <v>5344816.45</v>
      </c>
      <c r="D6" s="21">
        <f ca="1">IF(AND(ISNUMBER(C41),ISNUMBER(C42)),IF(D5&lt;=TODAY(),C42,C41),INDEX(CashProjTable[CashBal],MATCH($A$3&amp;[1]!SCBAM_PreviousBusinessDay(D$5),CashProjTable[RefRng],0)))</f>
        <v>-8530674.8499999996</v>
      </c>
      <c r="E6" s="21">
        <f ca="1">IF(AND(ISNUMBER(D41),ISNUMBER(D42)),IF(E5&lt;=TODAY(),D42,D41),INDEX(CashProjTable[CashBal],MATCH($A$3&amp;[1]!SCBAM_PreviousBusinessDay(E$5),CashProjTable[RefRng],0)))</f>
        <v>-383487343.31999999</v>
      </c>
      <c r="F6" s="21">
        <f ca="1">IF(AND(ISNUMBER(E41),ISNUMBER(E42)),IF(F5&lt;=TODAY(),E42,E41),INDEX(CashProjTable[CashBal],MATCH($A$3&amp;[1]!SCBAM_PreviousBusinessDay(F$5),CashProjTable[RefRng],0)))</f>
        <v>-433260393.40000004</v>
      </c>
      <c r="G6" s="21">
        <f ca="1">IF(AND(ISNUMBER(F41),ISNUMBER(F42)),IF(G5&lt;=TODAY(),F42,F41),INDEX(CashProjTable[CashBal],MATCH($A$3&amp;[1]!SCBAM_PreviousBusinessDay(G$5),CashProjTable[RefRng],0)))</f>
        <v>-380356677.10000002</v>
      </c>
      <c r="H6" s="21">
        <f ca="1">IF(AND(ISNUMBER(G41),ISNUMBER(G42)),IF(H5&lt;=TODAY(),G42,G41),INDEX(CashProjTable[CashBal],MATCH($A$3&amp;[1]!SCBAM_PreviousBusinessDay(H$5),CashProjTable[RefRng],0)))</f>
        <v>-379956677.10000002</v>
      </c>
      <c r="I6" s="21">
        <f ca="1">IF(AND(ISNUMBER(H41),ISNUMBER(H42)),IF(I5&lt;=TODAY(),H42,H41),INDEX(CashProjTable[CashBal],MATCH($A$3&amp;[1]!SCBAM_PreviousBusinessDay(I$5),CashProjTable[RefRng],0)))</f>
        <v>-107923373.67000002</v>
      </c>
      <c r="J6" s="21">
        <f ca="1">IF(AND(ISNUMBER(I41),ISNUMBER(I42)),IF(J5&lt;=TODAY(),I42,I41),INDEX(CashProjTable[CashBal],MATCH($A$3&amp;[1]!SCBAM_PreviousBusinessDay(J$5),CashProjTable[RefRng],0)))</f>
        <v>-107923373.67000002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36153570.5</v>
      </c>
      <c r="C9" s="24">
        <v>21153570.5</v>
      </c>
      <c r="D9" s="24">
        <f>IF(ISNUMBER(C$5),C$11,[1]!SCBAM_GetSecDtl($A$3,"INVSUOBTtmf",D$5,"MarketVal"))</f>
        <v>19153570.5</v>
      </c>
      <c r="E9" s="24">
        <f>IF(ISNUMBER(D$5),D$11,[1]!SCBAM_GetSecDtl($A$3,"INVSUOBTtmf",E$5,"MarketVal"))</f>
        <v>22153570.5</v>
      </c>
      <c r="F9" s="24">
        <f>IF(ISNUMBER(E$5),E$11,[1]!SCBAM_GetSecDtl($A$3,"INVSUOBTtmf",F$5,"MarketVal"))</f>
        <v>22153570.5</v>
      </c>
      <c r="G9" s="24">
        <f>IF(ISNUMBER(F$5),F$11,[1]!SCBAM_GetSecDtl($A$3,"INVSUOBTtmf",G$5,"MarketVal"))</f>
        <v>22153570.5</v>
      </c>
      <c r="H9" s="24">
        <f>IF(ISNUMBER(G$5),G$11,[1]!SCBAM_GetSecDtl($A$3,"INVSUOBTtmf",H$5,"MarketVal"))</f>
        <v>22153570.5</v>
      </c>
      <c r="I9" s="24">
        <f>IF(ISNUMBER(H$5),H$11,[1]!SCBAM_GetSecDtl($A$3,"INVSUOBTtmf",I$5,"MarketVal"))</f>
        <v>22153570.5</v>
      </c>
      <c r="J9" s="24">
        <f>IF(ISNUMBER(I$5),I$11,[1]!SCBAM_GetSecDtl($A$3,"INVSUOBTtmf",J$5,"MarketVal"))</f>
        <v>22153570.5</v>
      </c>
      <c r="K9" s="24"/>
      <c r="L9" s="24"/>
    </row>
    <row r="10" spans="1:33" s="63" customFormat="1" ht="14.25" x14ac:dyDescent="0.2">
      <c r="A10" s="61" t="s">
        <v>361</v>
      </c>
      <c r="B10" s="62">
        <v>-15000000</v>
      </c>
      <c r="C10" s="62">
        <v>-2000000</v>
      </c>
      <c r="D10" s="62">
        <f>3*10^6</f>
        <v>3000000</v>
      </c>
      <c r="E10" s="62"/>
      <c r="F10" s="62"/>
      <c r="G10" s="62"/>
      <c r="H10" s="62"/>
      <c r="I10" s="62"/>
      <c r="J10" s="62"/>
      <c r="K10" s="62"/>
      <c r="L10" s="62"/>
    </row>
    <row r="11" spans="1:33" s="31" customFormat="1" ht="13.5" thickBot="1" x14ac:dyDescent="0.25">
      <c r="A11" s="29" t="s">
        <v>362</v>
      </c>
      <c r="B11" s="30">
        <v>21153570.5</v>
      </c>
      <c r="C11" s="30">
        <v>19153570.5</v>
      </c>
      <c r="D11" s="30">
        <f t="shared" ref="D11:J11" si="0">SUM(D9:D10)</f>
        <v>22153570.5</v>
      </c>
      <c r="E11" s="30">
        <f t="shared" si="0"/>
        <v>22153570.5</v>
      </c>
      <c r="F11" s="30">
        <f t="shared" ref="F11" si="1">SUM(F9:F10)</f>
        <v>22153570.5</v>
      </c>
      <c r="G11" s="30">
        <f t="shared" ref="G11" si="2">SUM(G9:G10)</f>
        <v>22153570.5</v>
      </c>
      <c r="H11" s="30">
        <f t="shared" ref="H11" si="3">SUM(H9:H10)</f>
        <v>22153570.5</v>
      </c>
      <c r="I11" s="30">
        <f t="shared" si="0"/>
        <v>22153570.5</v>
      </c>
      <c r="J11" s="30">
        <f t="shared" si="0"/>
        <v>22153570.5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9028005</v>
      </c>
      <c r="C16" s="34">
        <v>10969000</v>
      </c>
      <c r="D16" s="64">
        <f>IFERROR(INDEX(CashIntraTable[Amount],MATCH($A$3&amp;D$5&amp;$A51,CashIntraTable[RefRng],0)),0)</f>
        <v>2814902.77</v>
      </c>
      <c r="E16" s="65">
        <f>IFERROR(INDEX(CashIntraTable[Amount],MATCH($A$3&amp;E$5&amp;$A51,CashIntraTable[RefRng],0)),0)</f>
        <v>1000</v>
      </c>
      <c r="F16" s="34">
        <f>IFERROR(INDEX(CashIntraTable[Amount],MATCH($A$3&amp;F$5&amp;$A51,CashIntraTable[RefRng],0)),0)</f>
        <v>0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0</v>
      </c>
      <c r="C17" s="34">
        <v>0</v>
      </c>
      <c r="D17" s="64">
        <f>IFERROR(INDEX(CashIntraTable[Amount],MATCH($A$3&amp;D$5&amp;$A52,CashIntraTable[RefRng],0)),0)</f>
        <v>0</v>
      </c>
      <c r="E17" s="65">
        <f>IFERROR(INDEX(CashIntraTable[Amount],MATCH($A$3&amp;E$5&amp;$A52,CashIntraTable[RefRng],0)),0)</f>
        <v>0</v>
      </c>
      <c r="F17" s="34">
        <f>IFERROR(INDEX(CashIntraTable[Amount],MATCH($A$3&amp;F$5&amp;$A52,CashIntraTable[RefRng],0)),0)</f>
        <v>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63098775.770000003</v>
      </c>
      <c r="C18" s="34">
        <v>21258192.859999999</v>
      </c>
      <c r="D18" s="64">
        <f>IFERROR(INDEX(CashIntraTable[Amount],MATCH($A$3&amp;D$5&amp;$A53,CashIntraTable[RefRng],0)),0)</f>
        <v>35719435.159999996</v>
      </c>
      <c r="E18" s="65">
        <f>IFERROR(INDEX(CashIntraTable[Amount],MATCH($A$3&amp;E$5&amp;$A53,CashIntraTable[RefRng],0)),0)</f>
        <v>700000</v>
      </c>
      <c r="F18" s="34">
        <f>IFERROR(INDEX(CashIntraTable[Amount],MATCH($A$3&amp;F$5&amp;$A53,CashIntraTable[RefRng],0)),0)</f>
        <v>2903716.3</v>
      </c>
      <c r="G18" s="34">
        <f>IFERROR(INDEX(CashIntraTable[Amount],MATCH($A$3&amp;G$5&amp;$A53,CashIntraTable[RefRng],0)),0)</f>
        <v>400000</v>
      </c>
      <c r="H18" s="34">
        <f>IFERROR(INDEX(CashIntraTable[Amount],MATCH($A$3&amp;H$5&amp;$A53,CashIntraTable[RefRng],0)),0)</f>
        <v>1078865.07</v>
      </c>
      <c r="I18" s="34">
        <f>IFERROR(INDEX(CashIntraTable[Amount],MATCH($A$3&amp;I$5&amp;$A53,CashIntraTable[RefRng],0)),0)</f>
        <v>0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4">
        <v>0</v>
      </c>
      <c r="E19" s="65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36000000</v>
      </c>
      <c r="C20" s="34">
        <v>0</v>
      </c>
      <c r="D20" s="34">
        <f>IFERROR(INDEX(CashProjTable[DebtSell_BahtNet],MATCH($A$3&amp;D$5,CashProjTable[RefRng],0))+SUMIFS(IntraTrans[Net Settlement],IntraTrans[Portfolio],$A$3,IntraTrans[B/S],"S",IntraTrans[Settle Date],D$5,IntraTrans[Payment],"BAHTNET"),0)</f>
        <v>342628000</v>
      </c>
      <c r="E20" s="34">
        <f>IFERROR(INDEX(CashProjTable[DebtSell_BahtNet],MATCH($A$3&amp;E$5,CashProjTable[RefRng],0))+SUMIFS(IntraTrans[Net Settlement],IntraTrans[Portfolio],$A$3,IntraTrans[B/S],"S",IntraTrans[Settle Date],E$5,IntraTrans[Payment],"BAHTNET"),0)</f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50000000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269000000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1" s="34">
        <f>IFERROR((INDEX(CashProjTable[DebtSell],MATCH($A$3&amp;E$5,CashProjTable[RefRng],0))-INDEX(CashProjTable[DebtSell_BahtNet],MATCH($A$3&amp;E$5,CashProjTable[RefRng],0)))+SUMIFS(IntraTrans[Net Settlement],IntraTrans[Portfolio],$A$3,IntraTrans[B/S],"S",IntraTrans[Settle Date],E$5,IntraTrans[Payment],"CHEQUE"),0)</f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15000000</v>
      </c>
      <c r="C22" s="34">
        <v>2000000</v>
      </c>
      <c r="D22" s="34">
        <f t="shared" ref="D22:J22" si="4">IF(D$10&lt;0,-D$10,0)</f>
        <v>0</v>
      </c>
      <c r="E22" s="34">
        <f t="shared" si="4"/>
        <v>0</v>
      </c>
      <c r="F22" s="34">
        <f t="shared" si="4"/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f>IFERROR(INDEX(CashProjTable[DebtInterest],MATCH($A$3&amp;D$5,CashProjTable[RefRng],0)),0)</f>
        <v>0</v>
      </c>
      <c r="E24" s="34">
        <f>IFERROR(INDEX(CashProjTable[DebtInterest],MATCH($A$3&amp;E$5,CashProjTable[RefRng],0)),0)</f>
        <v>12723563.84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1954438.36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f>IFERROR(INDEX(CashProjTable[CashEqInterest],MATCH($A$3&amp;D$5,CashProjTable[RefRng],0)),0)</f>
        <v>0</v>
      </c>
      <c r="E25" s="34">
        <f>IFERROR(INDEX(CashProjTable[CashEqInterest],MATCH($A$3&amp;E$5,CashProjTable[RefRng],0)),0)</f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123126780.77000001</v>
      </c>
      <c r="C27" s="38">
        <v>34227192.859999999</v>
      </c>
      <c r="D27" s="38">
        <f t="shared" ref="D27:J27" si="5">SUM(D16:D26)</f>
        <v>381162337.93000001</v>
      </c>
      <c r="E27" s="38">
        <f t="shared" si="5"/>
        <v>13424563.84</v>
      </c>
      <c r="F27" s="38">
        <f t="shared" ref="F27:H27" si="6">SUM(F16:F26)</f>
        <v>52903716.299999997</v>
      </c>
      <c r="G27" s="38">
        <f t="shared" si="6"/>
        <v>400000</v>
      </c>
      <c r="H27" s="38">
        <f t="shared" si="6"/>
        <v>272033303.43000001</v>
      </c>
      <c r="I27" s="38">
        <f t="shared" si="5"/>
        <v>0</v>
      </c>
      <c r="J27" s="38">
        <f t="shared" si="5"/>
        <v>0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0</v>
      </c>
      <c r="C30" s="34">
        <v>0</v>
      </c>
      <c r="D30" s="64">
        <f>IFERROR(ABS(INDEX(CashIntraTable[Amount],MATCH($A$3&amp;D$5&amp;$A54,CashIntraTable[RefRng],0))),0)</f>
        <v>0</v>
      </c>
      <c r="E30" s="65">
        <f>IFERROR(ABS(INDEX(CashIntraTable[Amount],MATCH($A$3&amp;E$5&amp;$A54,CashIntraTable[RefRng],0))),0)</f>
        <v>0</v>
      </c>
      <c r="F30" s="34">
        <f>IFERROR(ABS(INDEX(CashIntraTable[Amount],MATCH($A$3&amp;F$5&amp;$A54,CashIntraTable[RefRng],0))),0)</f>
        <v>0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0</v>
      </c>
      <c r="C31" s="34">
        <v>0</v>
      </c>
      <c r="D31" s="64">
        <f>IFERROR(ABS(INDEX(CashIntraTable[Amount],MATCH($A$3&amp;D$5&amp;$A55,CashIntraTable[RefRng],0))),0)</f>
        <v>0</v>
      </c>
      <c r="E31" s="65">
        <f>IFERROR(ABS(INDEX(CashIntraTable[Amount],MATCH($A$3&amp;E$5&amp;$A55,CashIntraTable[RefRng],0))),0)</f>
        <v>0</v>
      </c>
      <c r="F31" s="34">
        <f>IFERROR(ABS(INDEX(CashIntraTable[Amount],MATCH($A$3&amp;F$5&amp;$A55,CashIntraTable[RefRng],0))),0)</f>
        <v>0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119944053.59999999</v>
      </c>
      <c r="C32" s="34">
        <v>36092432.380000003</v>
      </c>
      <c r="D32" s="34">
        <f>IFERROR(INDEX(CashProjTable[DebtBuy_BahtNet],MATCH($A$3&amp;D$5,CashProjTable[RefRng],0))+SUMIFS(IntraTrans[Net Settlement],IntraTrans[Portfolio],$A$3,IntraTrans[B/S],"B",IntraTrans[Settle Date],D$5,IntraTrans[Payment],"BAHTNET"),0)</f>
        <v>753119006.39999998</v>
      </c>
      <c r="E32" s="34">
        <f>IFERROR(INDEX(CashProjTable[DebtBuy_BahtNet],MATCH($A$3&amp;E$5,CashProjTable[RefRng],0))+SUMIFS(IntraTrans[Net Settlement],IntraTrans[Portfolio],$A$3,IntraTrans[B/S],"B",IntraTrans[Settle Date],E$5,IntraTrans[Payment],"BAHTNET"),0)</f>
        <v>63197613.920000002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f>IFERROR((INDEX(CashProjTable[DebtBuy],MATCH($A$3&amp;D$5,CashProjTable[RefRng],0))-INDEX(CashProjTable[DebtBuy_BahtNet],MATCH($A$3&amp;D$5,CashProjTable[RefRng],0)))+SUMIFS(IntraTrans[Net Settlement],IntraTrans[Portfolio],$A$3,IntraTrans[B/S],"B",IntraTrans[Settle Date],D$5,IntraTrans[Payment],"CHEQUE"),0)</f>
        <v>0</v>
      </c>
      <c r="E33" s="34">
        <f>IFERROR((INDEX(CashProjTable[DebtBuy],MATCH($A$3&amp;E$5,CashProjTable[RefRng],0))-INDEX(CashProjTable[DebtBuy_BahtNet],MATCH($A$3&amp;E$5,CashProjTable[RefRng],0)))+SUMIFS(IntraTrans[Net Settlement],IntraTrans[Portfolio],$A$3,IntraTrans[B/S],"B",IntraTrans[Settle Date],E$5,IntraTrans[Payment],"CHEQUE"),0)</f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0</v>
      </c>
      <c r="D34" s="34">
        <f>IF(D$10&gt;0,D$10,0)</f>
        <v>3000000</v>
      </c>
      <c r="E34" s="34">
        <f t="shared" ref="E34:J34" si="7">IF(E$10&gt;0,E$10,0)</f>
        <v>0</v>
      </c>
      <c r="F34" s="34">
        <f t="shared" si="7"/>
        <v>0</v>
      </c>
      <c r="G34" s="34">
        <f t="shared" si="7"/>
        <v>0</v>
      </c>
      <c r="H34" s="34">
        <f t="shared" si="7"/>
        <v>0</v>
      </c>
      <c r="I34" s="34">
        <f t="shared" si="7"/>
        <v>0</v>
      </c>
      <c r="J34" s="34">
        <f t="shared" si="7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f>IFERROR(INDEX(CashProjTable[Expense],MATCH($A$3&amp;D$5,CashProjTable[RefRng],0)),0)</f>
        <v>0</v>
      </c>
      <c r="E36" s="34">
        <f>IFERROR(INDEX(CashProjTable[Expense],MATCH($A$3&amp;E$5,CashProjTable[RefRng],0)),0)</f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119944053.59999999</v>
      </c>
      <c r="C38" s="38">
        <v>36092432.380000003</v>
      </c>
      <c r="D38" s="38">
        <f t="shared" ref="D38:J38" si="8">SUM(D30:D37)</f>
        <v>756119006.39999998</v>
      </c>
      <c r="E38" s="38">
        <f t="shared" si="8"/>
        <v>63197613.920000002</v>
      </c>
      <c r="F38" s="38">
        <f t="shared" ref="F38:H38" si="9">SUM(F30:F37)</f>
        <v>0</v>
      </c>
      <c r="G38" s="38">
        <f t="shared" si="9"/>
        <v>0</v>
      </c>
      <c r="H38" s="38">
        <f t="shared" si="9"/>
        <v>0</v>
      </c>
      <c r="I38" s="38">
        <f t="shared" si="8"/>
        <v>0</v>
      </c>
      <c r="J38" s="38">
        <f t="shared" si="8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878</v>
      </c>
    </row>
    <row r="41" spans="1:33" s="23" customFormat="1" x14ac:dyDescent="0.2">
      <c r="A41" s="27" t="s">
        <v>385</v>
      </c>
      <c r="B41" s="34">
        <v>7717642.4500000179</v>
      </c>
      <c r="C41" s="34">
        <v>3479576.9299999997</v>
      </c>
      <c r="D41" s="34">
        <f t="shared" ref="D41:J41" ca="1" si="10">D$6+D$27-D$38</f>
        <v>-383487343.31999999</v>
      </c>
      <c r="E41" s="34">
        <f t="shared" ca="1" si="10"/>
        <v>-433260393.40000004</v>
      </c>
      <c r="F41" s="34">
        <f t="shared" ca="1" si="10"/>
        <v>-380356677.10000002</v>
      </c>
      <c r="G41" s="34">
        <f t="shared" ca="1" si="10"/>
        <v>-379956677.10000002</v>
      </c>
      <c r="H41" s="34">
        <f t="shared" ca="1" si="10"/>
        <v>-107923373.67000002</v>
      </c>
      <c r="I41" s="34">
        <f t="shared" ca="1" si="10"/>
        <v>-107923373.67000002</v>
      </c>
      <c r="J41" s="34">
        <f t="shared" ca="1" si="10"/>
        <v>-107923373.67000002</v>
      </c>
      <c r="K41" s="34"/>
      <c r="L41" s="34"/>
    </row>
    <row r="42" spans="1:33" s="23" customFormat="1" x14ac:dyDescent="0.2">
      <c r="A42" s="27" t="s">
        <v>893</v>
      </c>
      <c r="B42" s="34">
        <v>5344816.45</v>
      </c>
      <c r="C42" s="34">
        <v>-8530674.8499999996</v>
      </c>
      <c r="D42" s="34">
        <f>IFERROR(INDEX(CashProjTable[CashBal],MATCH($A$3&amp;D$5,CashProjTable[RefRng],0)),0)</f>
        <v>-18518575.629999999</v>
      </c>
      <c r="E42" s="34">
        <f>IFERROR(INDEX(CashProjTable[CashBal],MATCH($A$3&amp;E$5,CashProjTable[RefRng],0)),0)</f>
        <v>-68992625.709999993</v>
      </c>
      <c r="F42" s="34">
        <f>IFERROR(INDEX(CashProjTable[CashBal],MATCH($A$3&amp;F$5,CashProjTable[RefRng],0)),0)</f>
        <v>-18992625.710000001</v>
      </c>
      <c r="G42" s="34">
        <f>IFERROR(INDEX(CashProjTable[CashBal],MATCH($A$3&amp;G$5,CashProjTable[RefRng],0)),0)</f>
        <v>-18992625.710000001</v>
      </c>
      <c r="H42" s="34">
        <f>IFERROR(INDEX(CashProjTable[CashBal],MATCH($A$3&amp;H$5,CashProjTable[RefRng],0)),0)</f>
        <v>251961812.65000001</v>
      </c>
      <c r="I42" s="34">
        <f>IFERROR(INDEX(CashProjTable[CashBal],MATCH($A$3&amp;I$5,CashProjTable[RefRng],0)),0)</f>
        <v>251961812.65000001</v>
      </c>
      <c r="J42" s="34">
        <f>IFERROR(INDEX(CashProjTable[CashBal],MATCH($A$3&amp;J$5,CashProjTable[RefRng],0)),0)</f>
        <v>251961812.65000001</v>
      </c>
      <c r="K42" s="34"/>
      <c r="L42" s="34"/>
    </row>
    <row r="43" spans="1:33" s="42" customFormat="1" x14ac:dyDescent="0.2">
      <c r="A43" s="40" t="s">
        <v>386</v>
      </c>
      <c r="B43" s="41">
        <v>-2372826.0000000177</v>
      </c>
      <c r="C43" s="41">
        <v>-12010251.779999999</v>
      </c>
      <c r="D43" s="41">
        <f t="shared" ref="D43:J43" ca="1" si="11">D42-D41</f>
        <v>364968767.69</v>
      </c>
      <c r="E43" s="41">
        <f t="shared" ca="1" si="11"/>
        <v>364267767.69000006</v>
      </c>
      <c r="F43" s="41">
        <f t="shared" ref="F43:H43" ca="1" si="12">F42-F41</f>
        <v>361364051.39000005</v>
      </c>
      <c r="G43" s="41">
        <f t="shared" ca="1" si="12"/>
        <v>360964051.39000005</v>
      </c>
      <c r="H43" s="41">
        <f t="shared" ca="1" si="12"/>
        <v>359885186.32000005</v>
      </c>
      <c r="I43" s="41">
        <f t="shared" ca="1" si="11"/>
        <v>359885186.32000005</v>
      </c>
      <c r="J43" s="41">
        <f t="shared" ca="1" si="11"/>
        <v>359885186.32000005</v>
      </c>
      <c r="K43" s="41"/>
      <c r="L43" s="41"/>
    </row>
    <row r="44" spans="1:33" s="23" customFormat="1" x14ac:dyDescent="0.2">
      <c r="A44" s="27" t="s">
        <v>894</v>
      </c>
      <c r="B44" s="45">
        <v>20856336187.580002</v>
      </c>
      <c r="C44" s="34">
        <v>20877480273.040001</v>
      </c>
      <c r="D44" s="34">
        <f t="shared" ref="D44:J44" ca="1" si="13">IF(D$5&gt;TODAY(),C44,C45)+SUM(D16:D19)-SUM(D30:D31)</f>
        <v>20939183253.120003</v>
      </c>
      <c r="E44" s="34">
        <f t="shared" ca="1" si="13"/>
        <v>20939884253.120003</v>
      </c>
      <c r="F44" s="34">
        <f t="shared" ref="F44" ca="1" si="14">IF(F$5&gt;TODAY(),E44,E45)+SUM(F16:F19)-SUM(F30:F31)</f>
        <v>20942787969.420002</v>
      </c>
      <c r="G44" s="34">
        <f t="shared" ref="G44" ca="1" si="15">IF(G$5&gt;TODAY(),F44,F45)+SUM(G16:G19)-SUM(G30:G31)</f>
        <v>20943187969.420002</v>
      </c>
      <c r="H44" s="34">
        <f t="shared" ref="H44" ca="1" si="16">IF(H$5&gt;TODAY(),G44,G45)+SUM(H16:H19)-SUM(H30:H31)</f>
        <v>20944266834.490002</v>
      </c>
      <c r="I44" s="34">
        <f t="shared" ca="1" si="13"/>
        <v>20944266834.490002</v>
      </c>
      <c r="J44" s="34">
        <f t="shared" ca="1" si="13"/>
        <v>20944266834.490002</v>
      </c>
      <c r="K44" s="34"/>
      <c r="L44" s="34"/>
    </row>
    <row r="45" spans="1:33" s="23" customFormat="1" x14ac:dyDescent="0.2">
      <c r="A45" s="27" t="s">
        <v>895</v>
      </c>
      <c r="B45" s="34">
        <v>20845253080.18</v>
      </c>
      <c r="C45" s="34">
        <v>20900648915.190002</v>
      </c>
      <c r="D45" s="34">
        <f>[1]!SCBAM_GetGroup1Dtl($A$3,"NET ASSET VALUE",D$5,"MarketVal")+[1]!SCBAM_GetGroup1Dtl($A$3,"NET ASSET VALUE",D$5,"ai")</f>
        <v>0</v>
      </c>
      <c r="E45" s="34">
        <f>[1]!SCBAM_GetGroup1Dtl($A$3,"NET ASSET VALUE",E$5,"MarketVal")+[1]!SCBAM_GetGroup1Dtl($A$3,"NET ASSET VALUE",E$5,"ai")</f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879</v>
      </c>
      <c r="B46" s="21">
        <v>32227192.859999999</v>
      </c>
      <c r="C46" s="21">
        <v>38519458.460000001</v>
      </c>
      <c r="D46" s="21">
        <f t="shared" ref="D46:J46" si="17">SUM(E16:E19)-SUM(E30:E31)</f>
        <v>701000</v>
      </c>
      <c r="E46" s="21">
        <f t="shared" si="17"/>
        <v>2903716.3</v>
      </c>
      <c r="F46" s="21">
        <f t="shared" ref="F46" si="18">SUM(G16:G19)-SUM(G30:G31)</f>
        <v>400000</v>
      </c>
      <c r="G46" s="21">
        <f t="shared" ref="G46" si="19">SUM(H16:H19)-SUM(H30:H31)</f>
        <v>1078865.07</v>
      </c>
      <c r="H46" s="21">
        <f t="shared" ref="H46" si="20">SUM(I16:I19)-SUM(I30:I31)</f>
        <v>0</v>
      </c>
      <c r="I46" s="21">
        <f t="shared" si="17"/>
        <v>0</v>
      </c>
      <c r="J46" s="21">
        <f t="shared" si="17"/>
        <v>0</v>
      </c>
      <c r="K46" s="21"/>
      <c r="L46" s="21"/>
    </row>
    <row r="47" spans="1:33" s="49" customFormat="1" x14ac:dyDescent="0.2">
      <c r="A47" s="47" t="s">
        <v>387</v>
      </c>
      <c r="B47" s="50">
        <v>3.7023500843643271E-4</v>
      </c>
      <c r="C47" s="50">
        <v>1.6648176542839976E-4</v>
      </c>
      <c r="D47" s="50">
        <f t="shared" ref="D47:J47" ca="1" si="21">D41/IF(D5&lt;TODAY(),D45,D44)</f>
        <v>-1.8314341045888655E-2</v>
      </c>
      <c r="E47" s="50">
        <f t="shared" ca="1" si="21"/>
        <v>-2.069067756835595E-2</v>
      </c>
      <c r="F47" s="50">
        <f t="shared" ref="F47:H47" ca="1" si="22">F41/IF(F5&lt;TODAY(),F45,F44)</f>
        <v>-1.8161702140869918E-2</v>
      </c>
      <c r="G47" s="50">
        <f t="shared" ca="1" si="22"/>
        <v>-1.8142255976253002E-2</v>
      </c>
      <c r="H47" s="50">
        <f t="shared" ca="1" si="22"/>
        <v>-5.1528838188920059E-3</v>
      </c>
      <c r="I47" s="50">
        <f t="shared" ca="1" si="21"/>
        <v>-5.1528838188920059E-3</v>
      </c>
      <c r="J47" s="50">
        <f t="shared" ca="1" si="21"/>
        <v>-5.1528838188920059E-3</v>
      </c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</row>
    <row r="48" spans="1:33" s="43" customFormat="1" x14ac:dyDescent="0.2">
      <c r="A48" s="43" t="s">
        <v>388</v>
      </c>
      <c r="B48" s="44">
        <v>-3730760.47</v>
      </c>
      <c r="C48" s="44">
        <v>-30747615.93</v>
      </c>
      <c r="D48" s="44">
        <f>IFERROR(INDEX(CashProjTable[CashForUse],MATCH($A$3&amp;D$5,CashProjTable[RefRng],0)),0)</f>
        <v>-30496275.280000001</v>
      </c>
      <c r="E48" s="44">
        <f>IFERROR(INDEX(CashProjTable[CashForUse],MATCH($A$3&amp;E$5,CashProjTable[RefRng],0)),0)</f>
        <v>-68992625.709999993</v>
      </c>
      <c r="F48" s="44">
        <f>IFERROR(INDEX(CashProjTable[CashForUse],MATCH($A$3&amp;F$5,CashProjTable[RefRng],0)),0)</f>
        <v>-18992625.710000001</v>
      </c>
      <c r="G48" s="44">
        <f>IFERROR(INDEX(CashProjTable[CashForUse],MATCH($A$3&amp;G$5,CashProjTable[RefRng],0)),0)</f>
        <v>-18992625.710000001</v>
      </c>
      <c r="H48" s="44">
        <f>IFERROR(INDEX(CashProjTable[CashForUse],MATCH($A$3&amp;H$5,CashProjTable[RefRng],0)),0)</f>
        <v>251961812.65000001</v>
      </c>
      <c r="I48" s="44">
        <f>IFERROR(INDEX(CashProjTable[CashForUse],MATCH($A$3&amp;I$5,CashProjTable[RefRng],0)),0)</f>
        <v>251961812.65000001</v>
      </c>
      <c r="J48" s="44">
        <f>IFERROR(INDEX(CashProjTable[CashForUse],MATCH($A$3&amp;J$5,CashProjTable[RefRng],0)),0)</f>
        <v>251961812.65000001</v>
      </c>
      <c r="K48" s="44"/>
      <c r="L48" s="44"/>
    </row>
    <row r="49" spans="1:12" s="43" customFormat="1" x14ac:dyDescent="0.2">
      <c r="A49" s="43" t="s">
        <v>389</v>
      </c>
      <c r="B49" s="44">
        <v>-7746277.7400000002</v>
      </c>
      <c r="C49" s="44">
        <v>-37738252.280000001</v>
      </c>
      <c r="D49" s="44">
        <f>IFERROR(INDEX(CashProjTable[CashForBahtNet],MATCH($A$3&amp;D$5,CashProjTable[RefRng],0)),0)</f>
        <v>-41406928.020000003</v>
      </c>
      <c r="E49" s="44">
        <f>IFERROR(INDEX(CashProjTable[CashForBahtNet],MATCH($A$3&amp;E$5,CashProjTable[RefRng],0)),0)</f>
        <v>-84516189.549999997</v>
      </c>
      <c r="F49" s="44">
        <f>IFERROR(INDEX(CashProjTable[CashForBahtNet],MATCH($A$3&amp;F$5,CashProjTable[RefRng],0)),0)</f>
        <v>-18992625.710000001</v>
      </c>
      <c r="G49" s="44">
        <f>IFERROR(INDEX(CashProjTable[CashForBahtNet],MATCH($A$3&amp;G$5,CashProjTable[RefRng],0)),0)</f>
        <v>-18992625.710000001</v>
      </c>
      <c r="H49" s="44">
        <f>IFERROR(INDEX(CashProjTable[CashForBahtNet],MATCH($A$3&amp;H$5,CashProjTable[RefRng],0)),0)</f>
        <v>250007374.28999999</v>
      </c>
      <c r="I49" s="44">
        <f>IFERROR(INDEX(CashProjTable[CashForBahtNet],MATCH($A$3&amp;I$5,CashProjTable[RefRng],0)),0)</f>
        <v>251961812.65000001</v>
      </c>
      <c r="J49" s="44">
        <f>IFERROR(INDEX(CashProjTable[CashForBahtNet],MATCH($A$3&amp;J$5,CashProjTable[RefRng],0)),0)</f>
        <v>251961812.65000001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17" priority="11" operator="equal">
      <formula>TODAY()</formula>
    </cfRule>
  </conditionalFormatting>
  <conditionalFormatting sqref="K9:L9">
    <cfRule type="cellIs" dxfId="16" priority="10" operator="greaterThan">
      <formula>"&lt;0"</formula>
    </cfRule>
  </conditionalFormatting>
  <conditionalFormatting sqref="K10:L10">
    <cfRule type="cellIs" dxfId="15" priority="9" operator="greaterThan">
      <formula>"&lt;0"</formula>
    </cfRule>
  </conditionalFormatting>
  <conditionalFormatting sqref="K11:L11">
    <cfRule type="cellIs" dxfId="14" priority="8" operator="greaterThan">
      <formula>"&lt;0"</formula>
    </cfRule>
  </conditionalFormatting>
  <conditionalFormatting sqref="D10">
    <cfRule type="cellIs" dxfId="13" priority="6" operator="greaterThan">
      <formula>"&lt;0"</formula>
    </cfRule>
  </conditionalFormatting>
  <conditionalFormatting sqref="D11">
    <cfRule type="cellIs" dxfId="12" priority="5" operator="greaterThan">
      <formula>"&lt;0"</formula>
    </cfRule>
  </conditionalFormatting>
  <conditionalFormatting sqref="A5:C5 M5:XFD5 E5 I5:J5">
    <cfRule type="cellIs" dxfId="11" priority="18" operator="equal">
      <formula>TODAY()</formula>
    </cfRule>
  </conditionalFormatting>
  <conditionalFormatting sqref="B9:E9 I9:J9">
    <cfRule type="cellIs" dxfId="10" priority="17" operator="greaterThan">
      <formula>"&lt;0"</formula>
    </cfRule>
  </conditionalFormatting>
  <conditionalFormatting sqref="B10">
    <cfRule type="cellIs" dxfId="9" priority="16" operator="greaterThan">
      <formula>"&lt;0"</formula>
    </cfRule>
  </conditionalFormatting>
  <conditionalFormatting sqref="B11">
    <cfRule type="cellIs" dxfId="8" priority="15" operator="greaterThan">
      <formula>"&lt;0"</formula>
    </cfRule>
  </conditionalFormatting>
  <conditionalFormatting sqref="C10 E10 I10:J10">
    <cfRule type="cellIs" dxfId="7" priority="14" operator="greaterThan">
      <formula>"&lt;0"</formula>
    </cfRule>
  </conditionalFormatting>
  <conditionalFormatting sqref="C11 E11 I11:J11">
    <cfRule type="cellIs" dxfId="6" priority="13" operator="greaterThan">
      <formula>"&lt;0"</formula>
    </cfRule>
  </conditionalFormatting>
  <conditionalFormatting sqref="B7">
    <cfRule type="cellIs" dxfId="5" priority="12" operator="greaterThan">
      <formula>"&lt;0"</formula>
    </cfRule>
  </conditionalFormatting>
  <conditionalFormatting sqref="D5">
    <cfRule type="cellIs" dxfId="4" priority="7" operator="equal">
      <formula>TODAY()</formula>
    </cfRule>
  </conditionalFormatting>
  <conditionalFormatting sqref="F5:H5">
    <cfRule type="cellIs" dxfId="3" priority="4" operator="equal">
      <formula>TODAY()</formula>
    </cfRule>
  </conditionalFormatting>
  <conditionalFormatting sqref="F9:H9">
    <cfRule type="cellIs" dxfId="2" priority="3" operator="greaterThan">
      <formula>"&lt;0"</formula>
    </cfRule>
  </conditionalFormatting>
  <conditionalFormatting sqref="F10:H10">
    <cfRule type="cellIs" dxfId="1" priority="2" operator="greaterThan">
      <formula>"&lt;0"</formula>
    </cfRule>
  </conditionalFormatting>
  <conditionalFormatting sqref="F11:H11">
    <cfRule type="cellIs" dxfId="0" priority="1" operator="greaterThan">
      <formula>"&lt;0"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8CC4-2D17-4A5A-A049-413B3AF8984E}">
  <sheetPr codeName="Sheet1"/>
  <dimension ref="A1:DI187"/>
  <sheetViews>
    <sheetView workbookViewId="0">
      <selection activeCell="E19" sqref="E19"/>
    </sheetView>
  </sheetViews>
  <sheetFormatPr defaultRowHeight="14.25" x14ac:dyDescent="0.2"/>
  <cols>
    <col min="1" max="1" width="10.625" bestFit="1" customWidth="1"/>
    <col min="2" max="2" width="14.625" bestFit="1" customWidth="1"/>
    <col min="3" max="3" width="17.25" bestFit="1" customWidth="1"/>
    <col min="4" max="4" width="23.375" bestFit="1" customWidth="1"/>
    <col min="5" max="6" width="16.875" bestFit="1" customWidth="1"/>
    <col min="7" max="7" width="15.875" bestFit="1" customWidth="1"/>
    <col min="8" max="8" width="12.25" bestFit="1" customWidth="1"/>
    <col min="9" max="9" width="14.875" bestFit="1" customWidth="1"/>
    <col min="10" max="10" width="17.375" bestFit="1" customWidth="1"/>
    <col min="11" max="11" width="12.375" bestFit="1" customWidth="1"/>
    <col min="12" max="12" width="15.875" bestFit="1" customWidth="1"/>
    <col min="13" max="13" width="15.125" bestFit="1" customWidth="1"/>
    <col min="14" max="14" width="18.875" bestFit="1" customWidth="1"/>
    <col min="15" max="15" width="13.875" bestFit="1" customWidth="1"/>
    <col min="16" max="16" width="17.75" bestFit="1" customWidth="1"/>
    <col min="17" max="17" width="11.125" bestFit="1" customWidth="1"/>
    <col min="18" max="18" width="14.5" bestFit="1" customWidth="1"/>
    <col min="19" max="19" width="11.125" bestFit="1" customWidth="1"/>
    <col min="20" max="20" width="18.375" bestFit="1" customWidth="1"/>
    <col min="21" max="21" width="9.875" bestFit="1" customWidth="1"/>
    <col min="22" max="22" width="11.875" bestFit="1" customWidth="1"/>
    <col min="23" max="23" width="18.5" bestFit="1" customWidth="1"/>
    <col min="24" max="24" width="14.75" bestFit="1" customWidth="1"/>
    <col min="25" max="25" width="13.625" bestFit="1" customWidth="1"/>
    <col min="26" max="27" width="15.375" bestFit="1" customWidth="1"/>
    <col min="28" max="28" width="13" bestFit="1" customWidth="1"/>
    <col min="29" max="29" width="16.875" bestFit="1" customWidth="1"/>
    <col min="30" max="30" width="11.875" bestFit="1" customWidth="1"/>
    <col min="31" max="31" width="79.125" bestFit="1" customWidth="1"/>
    <col min="32" max="32" width="93.125" bestFit="1" customWidth="1"/>
    <col min="33" max="33" width="118" bestFit="1" customWidth="1"/>
    <col min="34" max="34" width="11" bestFit="1" customWidth="1"/>
    <col min="35" max="35" width="12" bestFit="1" customWidth="1"/>
    <col min="36" max="36" width="14" bestFit="1" customWidth="1"/>
    <col min="37" max="37" width="18" bestFit="1" customWidth="1"/>
    <col min="38" max="38" width="19.25" bestFit="1" customWidth="1"/>
    <col min="39" max="39" width="17.375" bestFit="1" customWidth="1"/>
    <col min="40" max="40" width="19.875" bestFit="1" customWidth="1"/>
    <col min="41" max="41" width="16.375" bestFit="1" customWidth="1"/>
    <col min="42" max="42" width="15" bestFit="1" customWidth="1"/>
    <col min="43" max="43" width="14.625" bestFit="1" customWidth="1"/>
    <col min="44" max="44" width="14.125" bestFit="1" customWidth="1"/>
    <col min="45" max="45" width="16.625" bestFit="1" customWidth="1"/>
    <col min="46" max="46" width="23.875" bestFit="1" customWidth="1"/>
    <col min="47" max="47" width="19" bestFit="1" customWidth="1"/>
    <col min="48" max="48" width="17.5" bestFit="1" customWidth="1"/>
    <col min="49" max="49" width="12.125" bestFit="1" customWidth="1"/>
    <col min="50" max="50" width="17.5" bestFit="1" customWidth="1"/>
    <col min="51" max="51" width="79.125" bestFit="1" customWidth="1"/>
    <col min="52" max="52" width="64.5" bestFit="1" customWidth="1"/>
    <col min="53" max="53" width="18.25" bestFit="1" customWidth="1"/>
    <col min="54" max="54" width="23" bestFit="1" customWidth="1"/>
    <col min="55" max="55" width="24.125" bestFit="1" customWidth="1"/>
    <col min="56" max="56" width="24.875" bestFit="1" customWidth="1"/>
    <col min="57" max="57" width="22" bestFit="1" customWidth="1"/>
    <col min="58" max="58" width="24.5" bestFit="1" customWidth="1"/>
    <col min="59" max="59" width="19.875" bestFit="1" customWidth="1"/>
    <col min="60" max="60" width="25.125" bestFit="1" customWidth="1"/>
    <col min="61" max="62" width="16.625" bestFit="1" customWidth="1"/>
    <col min="63" max="64" width="13.25" bestFit="1" customWidth="1"/>
    <col min="65" max="66" width="43.5" bestFit="1" customWidth="1"/>
    <col min="67" max="67" width="14.75" bestFit="1" customWidth="1"/>
    <col min="68" max="68" width="19.5" bestFit="1" customWidth="1"/>
    <col min="69" max="69" width="20.625" bestFit="1" customWidth="1"/>
    <col min="70" max="70" width="21.5" bestFit="1" customWidth="1"/>
    <col min="71" max="71" width="18.5" bestFit="1" customWidth="1"/>
    <col min="72" max="72" width="21" bestFit="1" customWidth="1"/>
    <col min="73" max="73" width="16.375" bestFit="1" customWidth="1"/>
    <col min="74" max="75" width="21.75" bestFit="1" customWidth="1"/>
    <col min="76" max="77" width="17.125" bestFit="1" customWidth="1"/>
    <col min="78" max="78" width="22.25" bestFit="1" customWidth="1"/>
    <col min="79" max="79" width="21" bestFit="1" customWidth="1"/>
    <col min="80" max="80" width="18.75" bestFit="1" customWidth="1"/>
    <col min="81" max="81" width="23.5" bestFit="1" customWidth="1"/>
    <col min="82" max="82" width="24.625" bestFit="1" customWidth="1"/>
    <col min="83" max="83" width="25.375" bestFit="1" customWidth="1"/>
    <col min="84" max="84" width="22.5" bestFit="1" customWidth="1"/>
    <col min="85" max="85" width="25" bestFit="1" customWidth="1"/>
    <col min="86" max="86" width="20.375" bestFit="1" customWidth="1"/>
    <col min="87" max="88" width="25.75" bestFit="1" customWidth="1"/>
    <col min="89" max="89" width="27.375" bestFit="1" customWidth="1"/>
    <col min="90" max="90" width="20.75" bestFit="1" customWidth="1"/>
    <col min="91" max="91" width="15" bestFit="1" customWidth="1"/>
    <col min="92" max="92" width="16.875" bestFit="1" customWidth="1"/>
    <col min="93" max="93" width="15.875" bestFit="1" customWidth="1"/>
    <col min="94" max="94" width="12.75" bestFit="1" customWidth="1"/>
    <col min="95" max="95" width="19.5" bestFit="1" customWidth="1"/>
    <col min="96" max="96" width="24.5" bestFit="1" customWidth="1"/>
    <col min="97" max="97" width="21.75" bestFit="1" customWidth="1"/>
    <col min="98" max="98" width="16.875" bestFit="1" customWidth="1"/>
    <col min="99" max="99" width="13.375" bestFit="1" customWidth="1"/>
    <col min="100" max="100" width="18.25" bestFit="1" customWidth="1"/>
    <col min="101" max="101" width="19.5" bestFit="1" customWidth="1"/>
    <col min="102" max="102" width="24.5" bestFit="1" customWidth="1"/>
    <col min="103" max="103" width="7.875" bestFit="1" customWidth="1"/>
    <col min="104" max="104" width="7.75" bestFit="1" customWidth="1"/>
    <col min="105" max="105" width="14.5" bestFit="1" customWidth="1"/>
    <col min="106" max="106" width="9.75" bestFit="1" customWidth="1"/>
    <col min="107" max="107" width="14" bestFit="1" customWidth="1"/>
    <col min="108" max="108" width="9.25" bestFit="1" customWidth="1"/>
    <col min="109" max="109" width="11.75" bestFit="1" customWidth="1"/>
    <col min="110" max="110" width="16.75" bestFit="1" customWidth="1"/>
    <col min="111" max="111" width="20.375" bestFit="1" customWidth="1"/>
    <col min="112" max="112" width="18.5" bestFit="1" customWidth="1"/>
    <col min="113" max="113" width="18.25" bestFit="1" customWidth="1"/>
  </cols>
  <sheetData>
    <row r="1" spans="1:1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898</v>
      </c>
      <c r="H1" s="1" t="s">
        <v>6</v>
      </c>
      <c r="I1" s="1" t="s">
        <v>899</v>
      </c>
      <c r="J1" s="1" t="s">
        <v>900</v>
      </c>
      <c r="K1" s="1" t="s">
        <v>7</v>
      </c>
      <c r="L1" s="1" t="s">
        <v>901</v>
      </c>
      <c r="M1" s="1" t="s">
        <v>902</v>
      </c>
      <c r="N1" s="1" t="s">
        <v>8</v>
      </c>
      <c r="O1" s="1" t="s">
        <v>903</v>
      </c>
      <c r="P1" s="1" t="s">
        <v>904</v>
      </c>
      <c r="Q1" s="1" t="s">
        <v>905</v>
      </c>
      <c r="R1" s="1" t="s">
        <v>906</v>
      </c>
      <c r="S1" s="1" t="s">
        <v>907</v>
      </c>
      <c r="T1" s="1" t="s">
        <v>9</v>
      </c>
      <c r="U1" s="1" t="s">
        <v>10</v>
      </c>
      <c r="V1" s="1" t="s">
        <v>11</v>
      </c>
      <c r="W1" s="1" t="s">
        <v>12</v>
      </c>
      <c r="X1" s="1" t="s">
        <v>896</v>
      </c>
      <c r="Y1" s="1" t="s">
        <v>908</v>
      </c>
      <c r="Z1" s="1" t="s">
        <v>909</v>
      </c>
      <c r="AA1" s="1" t="s">
        <v>13</v>
      </c>
      <c r="AB1" s="1" t="s">
        <v>910</v>
      </c>
      <c r="AC1" s="1" t="s">
        <v>911</v>
      </c>
      <c r="AD1" s="1" t="s">
        <v>912</v>
      </c>
      <c r="AE1" s="1" t="s">
        <v>913</v>
      </c>
      <c r="AF1" s="1" t="s">
        <v>914</v>
      </c>
      <c r="AG1" s="1" t="s">
        <v>915</v>
      </c>
      <c r="AH1" s="1" t="s">
        <v>14</v>
      </c>
      <c r="AI1" s="1" t="s">
        <v>916</v>
      </c>
      <c r="AJ1" s="1" t="s">
        <v>917</v>
      </c>
      <c r="AK1" s="1" t="s">
        <v>918</v>
      </c>
      <c r="AL1" s="1" t="s">
        <v>919</v>
      </c>
      <c r="AM1" s="1" t="s">
        <v>920</v>
      </c>
      <c r="AN1" s="1" t="s">
        <v>921</v>
      </c>
      <c r="AO1" s="1" t="s">
        <v>922</v>
      </c>
      <c r="AP1" s="1" t="s">
        <v>923</v>
      </c>
      <c r="AQ1" s="1" t="s">
        <v>15</v>
      </c>
      <c r="AR1" s="1" t="s">
        <v>924</v>
      </c>
      <c r="AS1" s="1" t="s">
        <v>925</v>
      </c>
      <c r="AT1" s="1" t="s">
        <v>926</v>
      </c>
      <c r="AU1" s="1" t="s">
        <v>927</v>
      </c>
      <c r="AV1" s="1" t="s">
        <v>928</v>
      </c>
      <c r="AW1" s="1" t="s">
        <v>929</v>
      </c>
      <c r="AX1" s="1" t="s">
        <v>930</v>
      </c>
      <c r="AY1" s="1" t="s">
        <v>931</v>
      </c>
      <c r="AZ1" s="1" t="s">
        <v>932</v>
      </c>
      <c r="BA1" s="1" t="s">
        <v>933</v>
      </c>
      <c r="BB1" s="1" t="s">
        <v>934</v>
      </c>
      <c r="BC1" s="1" t="s">
        <v>935</v>
      </c>
      <c r="BD1" s="1" t="s">
        <v>936</v>
      </c>
      <c r="BE1" s="1" t="s">
        <v>937</v>
      </c>
      <c r="BF1" s="1" t="s">
        <v>938</v>
      </c>
      <c r="BG1" s="1" t="s">
        <v>939</v>
      </c>
      <c r="BH1" s="1" t="s">
        <v>940</v>
      </c>
      <c r="BI1" s="1" t="s">
        <v>941</v>
      </c>
      <c r="BJ1" s="1" t="s">
        <v>942</v>
      </c>
      <c r="BK1" s="1" t="s">
        <v>943</v>
      </c>
      <c r="BL1" s="1" t="s">
        <v>944</v>
      </c>
      <c r="BM1" s="1" t="s">
        <v>945</v>
      </c>
      <c r="BN1" s="1" t="s">
        <v>946</v>
      </c>
      <c r="BO1" s="1" t="s">
        <v>947</v>
      </c>
      <c r="BP1" s="1" t="s">
        <v>948</v>
      </c>
      <c r="BQ1" s="1" t="s">
        <v>949</v>
      </c>
      <c r="BR1" s="1" t="s">
        <v>950</v>
      </c>
      <c r="BS1" s="1" t="s">
        <v>951</v>
      </c>
      <c r="BT1" s="1" t="s">
        <v>952</v>
      </c>
      <c r="BU1" s="1" t="s">
        <v>953</v>
      </c>
      <c r="BV1" s="1" t="s">
        <v>954</v>
      </c>
      <c r="BW1" s="1" t="s">
        <v>955</v>
      </c>
      <c r="BX1" s="1" t="s">
        <v>956</v>
      </c>
      <c r="BY1" s="1" t="s">
        <v>957</v>
      </c>
      <c r="BZ1" s="1" t="s">
        <v>958</v>
      </c>
      <c r="CA1" s="1" t="s">
        <v>959</v>
      </c>
      <c r="CB1" s="1" t="s">
        <v>960</v>
      </c>
      <c r="CC1" s="1" t="s">
        <v>961</v>
      </c>
      <c r="CD1" s="1" t="s">
        <v>962</v>
      </c>
      <c r="CE1" s="1" t="s">
        <v>963</v>
      </c>
      <c r="CF1" s="1" t="s">
        <v>964</v>
      </c>
      <c r="CG1" s="1" t="s">
        <v>965</v>
      </c>
      <c r="CH1" s="1" t="s">
        <v>966</v>
      </c>
      <c r="CI1" s="1" t="s">
        <v>967</v>
      </c>
      <c r="CJ1" s="1" t="s">
        <v>968</v>
      </c>
      <c r="CK1" s="1" t="s">
        <v>969</v>
      </c>
      <c r="CL1" s="1" t="s">
        <v>970</v>
      </c>
      <c r="CM1" s="1" t="s">
        <v>971</v>
      </c>
      <c r="CN1" s="1" t="s">
        <v>16</v>
      </c>
      <c r="CO1" s="1" t="s">
        <v>972</v>
      </c>
      <c r="CP1" s="1" t="s">
        <v>973</v>
      </c>
      <c r="CQ1" s="1" t="s">
        <v>974</v>
      </c>
      <c r="CR1" s="1" t="s">
        <v>975</v>
      </c>
      <c r="CS1" s="1" t="s">
        <v>976</v>
      </c>
      <c r="CT1" s="1" t="s">
        <v>977</v>
      </c>
      <c r="CU1" s="1" t="s">
        <v>978</v>
      </c>
      <c r="CV1" s="1" t="s">
        <v>979</v>
      </c>
      <c r="CW1" s="1" t="s">
        <v>980</v>
      </c>
      <c r="CX1" s="1" t="s">
        <v>981</v>
      </c>
      <c r="CY1" s="1" t="s">
        <v>982</v>
      </c>
      <c r="CZ1" s="1" t="s">
        <v>983</v>
      </c>
      <c r="DA1" s="1" t="s">
        <v>984</v>
      </c>
      <c r="DB1" s="1" t="s">
        <v>985</v>
      </c>
      <c r="DC1" s="1" t="s">
        <v>986</v>
      </c>
      <c r="DD1" s="1" t="s">
        <v>987</v>
      </c>
      <c r="DE1" s="1" t="s">
        <v>988</v>
      </c>
      <c r="DF1" s="1" t="s">
        <v>989</v>
      </c>
      <c r="DG1" s="1" t="s">
        <v>990</v>
      </c>
      <c r="DH1" s="1" t="s">
        <v>991</v>
      </c>
      <c r="DI1" s="1" t="s">
        <v>992</v>
      </c>
    </row>
    <row r="2" spans="1:113" x14ac:dyDescent="0.2">
      <c r="A2" s="2">
        <v>43383</v>
      </c>
      <c r="B2" t="s">
        <v>349</v>
      </c>
      <c r="C2" t="s">
        <v>18</v>
      </c>
      <c r="D2" t="s">
        <v>19</v>
      </c>
      <c r="F2" t="s">
        <v>20</v>
      </c>
      <c r="H2" t="s">
        <v>146</v>
      </c>
      <c r="J2" s="2" t="s">
        <v>993</v>
      </c>
      <c r="N2" s="2"/>
      <c r="T2">
        <v>2750830.41</v>
      </c>
      <c r="U2">
        <v>4226.93</v>
      </c>
      <c r="V2">
        <v>2750830.41</v>
      </c>
      <c r="W2">
        <v>0</v>
      </c>
      <c r="X2">
        <v>0</v>
      </c>
      <c r="Z2">
        <v>2750830.41</v>
      </c>
      <c r="AA2">
        <v>0</v>
      </c>
      <c r="AB2">
        <v>1.816062E-3</v>
      </c>
      <c r="AC2" t="s">
        <v>994</v>
      </c>
      <c r="AE2" t="s">
        <v>995</v>
      </c>
      <c r="AH2" t="s">
        <v>22</v>
      </c>
      <c r="AI2" t="s">
        <v>995</v>
      </c>
      <c r="AJ2" t="s">
        <v>996</v>
      </c>
      <c r="AK2" t="s">
        <v>995</v>
      </c>
      <c r="AM2" t="s">
        <v>995</v>
      </c>
      <c r="AN2" t="s">
        <v>995</v>
      </c>
      <c r="AO2" t="s">
        <v>995</v>
      </c>
      <c r="AP2" t="s">
        <v>995</v>
      </c>
      <c r="AQ2" t="s">
        <v>23</v>
      </c>
      <c r="AR2" t="s">
        <v>995</v>
      </c>
      <c r="AS2" t="s">
        <v>995</v>
      </c>
      <c r="AT2" t="s">
        <v>995</v>
      </c>
      <c r="AU2" t="s">
        <v>997</v>
      </c>
      <c r="AV2" t="s">
        <v>995</v>
      </c>
      <c r="CK2" t="s">
        <v>828</v>
      </c>
      <c r="CL2" t="s">
        <v>829</v>
      </c>
      <c r="CM2" t="s">
        <v>24</v>
      </c>
      <c r="CN2" s="2">
        <v>2</v>
      </c>
      <c r="CO2" t="s">
        <v>995</v>
      </c>
      <c r="CP2" t="s">
        <v>998</v>
      </c>
      <c r="CS2" t="s">
        <v>995</v>
      </c>
      <c r="CU2" t="b">
        <v>1</v>
      </c>
      <c r="CV2" t="s">
        <v>995</v>
      </c>
      <c r="CY2" t="b">
        <v>0</v>
      </c>
      <c r="CZ2" t="b">
        <v>0</v>
      </c>
      <c r="DC2" t="s">
        <v>995</v>
      </c>
    </row>
    <row r="3" spans="1:113" x14ac:dyDescent="0.2">
      <c r="A3" s="2">
        <v>43383</v>
      </c>
      <c r="B3" t="s">
        <v>349</v>
      </c>
      <c r="C3" t="s">
        <v>18</v>
      </c>
      <c r="D3" t="s">
        <v>19</v>
      </c>
      <c r="F3" t="s">
        <v>30</v>
      </c>
      <c r="H3" t="s">
        <v>26</v>
      </c>
      <c r="I3" t="s">
        <v>999</v>
      </c>
      <c r="J3" s="2" t="s">
        <v>993</v>
      </c>
      <c r="K3" t="s">
        <v>27</v>
      </c>
      <c r="N3" s="2"/>
      <c r="T3">
        <v>0</v>
      </c>
      <c r="V3">
        <v>0</v>
      </c>
      <c r="W3">
        <v>0</v>
      </c>
      <c r="X3">
        <v>0</v>
      </c>
      <c r="Z3">
        <v>0</v>
      </c>
      <c r="AA3">
        <v>0</v>
      </c>
      <c r="AB3">
        <v>0</v>
      </c>
      <c r="AC3" t="s">
        <v>30</v>
      </c>
      <c r="AE3" t="s">
        <v>1007</v>
      </c>
      <c r="AH3" t="s">
        <v>22</v>
      </c>
      <c r="AI3" t="s">
        <v>26</v>
      </c>
      <c r="AJ3" t="s">
        <v>996</v>
      </c>
      <c r="AK3" t="s">
        <v>1000</v>
      </c>
      <c r="AM3" t="s">
        <v>993</v>
      </c>
      <c r="AN3" t="s">
        <v>995</v>
      </c>
      <c r="AO3" t="s">
        <v>995</v>
      </c>
      <c r="AP3" t="s">
        <v>1001</v>
      </c>
      <c r="AQ3" t="s">
        <v>31</v>
      </c>
      <c r="AR3" t="s">
        <v>995</v>
      </c>
      <c r="AS3" t="s">
        <v>995</v>
      </c>
      <c r="AT3" t="s">
        <v>995</v>
      </c>
      <c r="AU3" t="s">
        <v>997</v>
      </c>
      <c r="AV3" t="s">
        <v>995</v>
      </c>
      <c r="AY3" t="s">
        <v>1002</v>
      </c>
      <c r="AZ3" t="s">
        <v>1003</v>
      </c>
      <c r="BA3" t="s">
        <v>999</v>
      </c>
      <c r="BB3" t="s">
        <v>995</v>
      </c>
      <c r="BC3" t="s">
        <v>27</v>
      </c>
      <c r="BD3" t="s">
        <v>995</v>
      </c>
      <c r="BE3" t="s">
        <v>29</v>
      </c>
      <c r="BF3" t="s">
        <v>1004</v>
      </c>
      <c r="BG3" t="s">
        <v>27</v>
      </c>
      <c r="BH3">
        <v>2</v>
      </c>
      <c r="BI3" t="s">
        <v>1005</v>
      </c>
      <c r="BJ3" t="s">
        <v>1005</v>
      </c>
      <c r="CK3" t="s">
        <v>828</v>
      </c>
      <c r="CL3" t="s">
        <v>829</v>
      </c>
      <c r="CM3" t="s">
        <v>24</v>
      </c>
      <c r="CN3" s="2">
        <v>2</v>
      </c>
      <c r="CO3" t="s">
        <v>995</v>
      </c>
      <c r="CP3" t="s">
        <v>1008</v>
      </c>
      <c r="CQ3" t="s">
        <v>998</v>
      </c>
      <c r="CR3" t="s">
        <v>1006</v>
      </c>
      <c r="CS3" t="s">
        <v>995</v>
      </c>
      <c r="CT3">
        <v>52000</v>
      </c>
      <c r="CU3" t="b">
        <v>1</v>
      </c>
      <c r="CV3" t="s">
        <v>995</v>
      </c>
      <c r="CW3" t="s">
        <v>995</v>
      </c>
      <c r="CX3" t="s">
        <v>995</v>
      </c>
      <c r="CY3" t="b">
        <v>0</v>
      </c>
      <c r="CZ3" t="b">
        <v>0</v>
      </c>
      <c r="DC3" t="s">
        <v>995</v>
      </c>
      <c r="DD3">
        <v>0</v>
      </c>
      <c r="DE3">
        <v>0</v>
      </c>
      <c r="DG3">
        <v>0</v>
      </c>
      <c r="DH3" t="s">
        <v>31</v>
      </c>
      <c r="DI3">
        <v>37.8489</v>
      </c>
    </row>
    <row r="4" spans="1:113" x14ac:dyDescent="0.2">
      <c r="A4" s="2">
        <v>43383</v>
      </c>
      <c r="B4" t="s">
        <v>349</v>
      </c>
      <c r="C4" t="s">
        <v>18</v>
      </c>
      <c r="D4" t="s">
        <v>38</v>
      </c>
      <c r="F4" t="s">
        <v>69</v>
      </c>
      <c r="H4" t="s">
        <v>54</v>
      </c>
      <c r="I4" t="s">
        <v>1014</v>
      </c>
      <c r="J4" s="2" t="s">
        <v>993</v>
      </c>
      <c r="K4" t="s">
        <v>47</v>
      </c>
      <c r="N4" s="2">
        <v>43543</v>
      </c>
      <c r="O4">
        <v>160</v>
      </c>
      <c r="P4">
        <v>0.05</v>
      </c>
      <c r="T4">
        <v>75697800</v>
      </c>
      <c r="U4">
        <v>2207.85</v>
      </c>
      <c r="V4">
        <v>76000000</v>
      </c>
      <c r="W4">
        <v>0.44434600000000002</v>
      </c>
      <c r="X4">
        <v>2000000</v>
      </c>
      <c r="Z4">
        <v>76000000</v>
      </c>
      <c r="AA4">
        <v>0.05</v>
      </c>
      <c r="AB4">
        <v>4.9899472799999997E-2</v>
      </c>
      <c r="AC4" t="s">
        <v>69</v>
      </c>
      <c r="AE4" t="s">
        <v>1021</v>
      </c>
      <c r="AF4" t="s">
        <v>1022</v>
      </c>
      <c r="AG4" t="s">
        <v>1022</v>
      </c>
      <c r="AH4" t="s">
        <v>42</v>
      </c>
      <c r="AI4" t="s">
        <v>54</v>
      </c>
      <c r="AJ4" t="s">
        <v>1015</v>
      </c>
      <c r="AK4" t="s">
        <v>20</v>
      </c>
      <c r="AM4" t="s">
        <v>993</v>
      </c>
      <c r="AN4" t="s">
        <v>995</v>
      </c>
      <c r="AO4" t="s">
        <v>995</v>
      </c>
      <c r="AP4" t="s">
        <v>1011</v>
      </c>
      <c r="AQ4" t="s">
        <v>31</v>
      </c>
      <c r="AR4" t="s">
        <v>995</v>
      </c>
      <c r="AS4" t="s">
        <v>995</v>
      </c>
      <c r="AT4" t="s">
        <v>1016</v>
      </c>
      <c r="AU4" t="s">
        <v>995</v>
      </c>
      <c r="AV4" t="s">
        <v>1013</v>
      </c>
      <c r="AY4" t="s">
        <v>1018</v>
      </c>
      <c r="AZ4" t="s">
        <v>1018</v>
      </c>
      <c r="BA4" t="s">
        <v>1014</v>
      </c>
      <c r="BB4" t="s">
        <v>995</v>
      </c>
      <c r="BC4" t="s">
        <v>47</v>
      </c>
      <c r="BD4" t="s">
        <v>995</v>
      </c>
      <c r="BE4" t="s">
        <v>47</v>
      </c>
      <c r="BF4" t="s">
        <v>1017</v>
      </c>
      <c r="BG4" t="s">
        <v>47</v>
      </c>
      <c r="BH4">
        <v>6</v>
      </c>
      <c r="BI4" t="s">
        <v>1005</v>
      </c>
      <c r="BJ4" t="s">
        <v>1005</v>
      </c>
      <c r="CK4" t="s">
        <v>828</v>
      </c>
      <c r="CL4" t="s">
        <v>829</v>
      </c>
      <c r="CM4" t="s">
        <v>24</v>
      </c>
      <c r="CN4" s="2">
        <v>43363</v>
      </c>
      <c r="CO4" t="s">
        <v>995</v>
      </c>
      <c r="CP4" t="s">
        <v>1019</v>
      </c>
      <c r="CQ4" t="s">
        <v>1019</v>
      </c>
      <c r="CR4" t="s">
        <v>1020</v>
      </c>
      <c r="CS4" t="s">
        <v>995</v>
      </c>
      <c r="CT4">
        <v>100000</v>
      </c>
      <c r="CU4" t="b">
        <v>0</v>
      </c>
      <c r="CV4" t="s">
        <v>1009</v>
      </c>
      <c r="CW4" t="s">
        <v>995</v>
      </c>
      <c r="CX4" t="s">
        <v>995</v>
      </c>
      <c r="CY4" t="b">
        <v>0</v>
      </c>
      <c r="CZ4" t="b">
        <v>0</v>
      </c>
      <c r="DC4" t="s">
        <v>995</v>
      </c>
      <c r="DD4">
        <v>76000000</v>
      </c>
      <c r="DE4">
        <v>0</v>
      </c>
      <c r="DG4">
        <v>0</v>
      </c>
      <c r="DH4" t="s">
        <v>31</v>
      </c>
      <c r="DI4">
        <v>37.8489</v>
      </c>
    </row>
    <row r="5" spans="1:113" x14ac:dyDescent="0.2">
      <c r="A5" s="2">
        <v>43383</v>
      </c>
      <c r="B5" t="s">
        <v>349</v>
      </c>
      <c r="C5" t="s">
        <v>18</v>
      </c>
      <c r="D5" t="s">
        <v>38</v>
      </c>
      <c r="F5" t="s">
        <v>830</v>
      </c>
      <c r="H5" t="s">
        <v>75</v>
      </c>
      <c r="I5" t="s">
        <v>1026</v>
      </c>
      <c r="J5" s="2" t="s">
        <v>993</v>
      </c>
      <c r="K5" t="s">
        <v>59</v>
      </c>
      <c r="N5" s="2">
        <v>44196</v>
      </c>
      <c r="O5">
        <v>813</v>
      </c>
      <c r="P5">
        <v>0.85</v>
      </c>
      <c r="T5">
        <v>4007009.58</v>
      </c>
      <c r="U5">
        <v>20882.400000000001</v>
      </c>
      <c r="V5">
        <v>4007009.58</v>
      </c>
      <c r="W5">
        <v>0</v>
      </c>
      <c r="X5">
        <v>4007009.58</v>
      </c>
      <c r="Z5">
        <v>4007009.58</v>
      </c>
      <c r="AA5">
        <v>0</v>
      </c>
      <c r="AB5">
        <v>2.6550813999999998E-3</v>
      </c>
      <c r="AC5" t="s">
        <v>830</v>
      </c>
      <c r="AE5" t="s">
        <v>1025</v>
      </c>
      <c r="AF5" t="s">
        <v>1027</v>
      </c>
      <c r="AG5" t="s">
        <v>1027</v>
      </c>
      <c r="AH5" t="s">
        <v>42</v>
      </c>
      <c r="AI5" t="s">
        <v>75</v>
      </c>
      <c r="AJ5" t="s">
        <v>1023</v>
      </c>
      <c r="AK5" t="s">
        <v>20</v>
      </c>
      <c r="AL5" t="s">
        <v>1010</v>
      </c>
      <c r="AM5" t="s">
        <v>1024</v>
      </c>
      <c r="AN5" t="s">
        <v>995</v>
      </c>
      <c r="AO5" t="s">
        <v>995</v>
      </c>
      <c r="AP5" t="s">
        <v>1011</v>
      </c>
      <c r="AQ5" t="s">
        <v>23</v>
      </c>
      <c r="AR5" t="s">
        <v>995</v>
      </c>
      <c r="AS5" t="s">
        <v>995</v>
      </c>
      <c r="AT5" t="s">
        <v>995</v>
      </c>
      <c r="AU5" t="s">
        <v>995</v>
      </c>
      <c r="AV5" t="s">
        <v>1013</v>
      </c>
      <c r="AY5" t="s">
        <v>1028</v>
      </c>
      <c r="AZ5" t="s">
        <v>1029</v>
      </c>
      <c r="BA5" t="s">
        <v>1026</v>
      </c>
      <c r="BB5" t="s">
        <v>995</v>
      </c>
      <c r="BC5" t="s">
        <v>59</v>
      </c>
      <c r="BD5" t="s">
        <v>995</v>
      </c>
      <c r="BE5" t="s">
        <v>995</v>
      </c>
      <c r="BF5" t="s">
        <v>1004</v>
      </c>
      <c r="BG5" t="s">
        <v>59</v>
      </c>
      <c r="BH5">
        <v>1</v>
      </c>
      <c r="BI5" t="s">
        <v>1005</v>
      </c>
      <c r="BJ5" t="s">
        <v>1005</v>
      </c>
      <c r="CK5" t="s">
        <v>828</v>
      </c>
      <c r="CL5" t="s">
        <v>829</v>
      </c>
      <c r="CM5" t="s">
        <v>24</v>
      </c>
      <c r="CN5" s="2">
        <v>43258</v>
      </c>
      <c r="CO5" t="s">
        <v>995</v>
      </c>
      <c r="CP5" t="s">
        <v>998</v>
      </c>
      <c r="CQ5" t="s">
        <v>998</v>
      </c>
      <c r="CR5" t="s">
        <v>1006</v>
      </c>
      <c r="CS5" t="s">
        <v>995</v>
      </c>
      <c r="CT5">
        <v>17000</v>
      </c>
      <c r="CU5" t="b">
        <v>1</v>
      </c>
      <c r="CV5" t="s">
        <v>1009</v>
      </c>
      <c r="CW5" t="s">
        <v>1030</v>
      </c>
      <c r="CX5" t="s">
        <v>1031</v>
      </c>
      <c r="CY5" t="b">
        <v>0</v>
      </c>
      <c r="CZ5" t="b">
        <v>0</v>
      </c>
      <c r="DC5" t="s">
        <v>995</v>
      </c>
    </row>
    <row r="6" spans="1:113" x14ac:dyDescent="0.2">
      <c r="A6" s="2">
        <v>43383</v>
      </c>
      <c r="B6" t="s">
        <v>349</v>
      </c>
      <c r="C6" t="s">
        <v>18</v>
      </c>
      <c r="D6" t="s">
        <v>77</v>
      </c>
      <c r="F6" t="s">
        <v>831</v>
      </c>
      <c r="H6" t="s">
        <v>657</v>
      </c>
      <c r="I6" t="s">
        <v>999</v>
      </c>
      <c r="J6" s="2" t="s">
        <v>1061</v>
      </c>
      <c r="K6" t="s">
        <v>123</v>
      </c>
      <c r="N6" s="2">
        <v>43510</v>
      </c>
      <c r="O6">
        <v>127</v>
      </c>
      <c r="Q6">
        <v>1.9129970000000001</v>
      </c>
      <c r="T6">
        <v>49671977.5</v>
      </c>
      <c r="V6">
        <v>49684415.5</v>
      </c>
      <c r="W6">
        <v>0.342941</v>
      </c>
      <c r="X6">
        <v>50000000</v>
      </c>
      <c r="Z6">
        <v>49540481.5</v>
      </c>
      <c r="AA6">
        <v>1.84</v>
      </c>
      <c r="AB6">
        <v>3.2742473299999998E-2</v>
      </c>
      <c r="AC6" t="s">
        <v>831</v>
      </c>
      <c r="AE6" t="s">
        <v>1168</v>
      </c>
      <c r="AF6" t="s">
        <v>1179</v>
      </c>
      <c r="AG6" t="s">
        <v>1180</v>
      </c>
      <c r="AH6" t="s">
        <v>42</v>
      </c>
      <c r="AI6" t="s">
        <v>657</v>
      </c>
      <c r="AJ6" t="s">
        <v>1033</v>
      </c>
      <c r="AK6" t="s">
        <v>1034</v>
      </c>
      <c r="AM6" t="s">
        <v>1061</v>
      </c>
      <c r="AN6" t="s">
        <v>1063</v>
      </c>
      <c r="AO6" t="s">
        <v>995</v>
      </c>
      <c r="AP6" t="s">
        <v>1036</v>
      </c>
      <c r="AQ6" t="s">
        <v>23</v>
      </c>
      <c r="AR6" t="s">
        <v>995</v>
      </c>
      <c r="AS6" t="s">
        <v>995</v>
      </c>
      <c r="AT6" t="s">
        <v>1016</v>
      </c>
      <c r="AU6" t="s">
        <v>995</v>
      </c>
      <c r="AV6" t="s">
        <v>1037</v>
      </c>
      <c r="AY6" t="s">
        <v>1168</v>
      </c>
      <c r="AZ6" t="s">
        <v>1169</v>
      </c>
      <c r="BA6" t="s">
        <v>999</v>
      </c>
      <c r="BB6" t="s">
        <v>123</v>
      </c>
      <c r="BC6" t="s">
        <v>995</v>
      </c>
      <c r="BD6" t="s">
        <v>995</v>
      </c>
      <c r="BE6" t="s">
        <v>995</v>
      </c>
      <c r="BF6" t="s">
        <v>995</v>
      </c>
      <c r="BG6" t="s">
        <v>123</v>
      </c>
      <c r="BH6">
        <v>7</v>
      </c>
      <c r="BI6" t="s">
        <v>1005</v>
      </c>
      <c r="BJ6" t="s">
        <v>1005</v>
      </c>
      <c r="CK6" t="s">
        <v>828</v>
      </c>
      <c r="CL6" t="s">
        <v>829</v>
      </c>
      <c r="CM6" t="s">
        <v>24</v>
      </c>
      <c r="CN6" s="2">
        <v>43326</v>
      </c>
      <c r="CO6" t="s">
        <v>995</v>
      </c>
      <c r="CP6" t="s">
        <v>998</v>
      </c>
      <c r="CQ6" t="s">
        <v>998</v>
      </c>
      <c r="CR6" t="s">
        <v>1006</v>
      </c>
      <c r="CS6" t="s">
        <v>995</v>
      </c>
      <c r="CT6">
        <v>2000</v>
      </c>
      <c r="CU6" t="b">
        <v>0</v>
      </c>
      <c r="CV6" t="s">
        <v>1039</v>
      </c>
      <c r="CW6" t="s">
        <v>995</v>
      </c>
      <c r="CX6" t="s">
        <v>995</v>
      </c>
      <c r="CY6" t="b">
        <v>0</v>
      </c>
      <c r="CZ6" t="b">
        <v>0</v>
      </c>
      <c r="DC6" t="s">
        <v>995</v>
      </c>
    </row>
    <row r="7" spans="1:113" x14ac:dyDescent="0.2">
      <c r="A7" s="2">
        <v>43383</v>
      </c>
      <c r="B7" t="s">
        <v>349</v>
      </c>
      <c r="C7" t="s">
        <v>18</v>
      </c>
      <c r="D7" t="s">
        <v>87</v>
      </c>
      <c r="F7" t="s">
        <v>596</v>
      </c>
      <c r="H7" t="s">
        <v>89</v>
      </c>
      <c r="J7" s="2" t="s">
        <v>85</v>
      </c>
      <c r="N7" s="2">
        <v>43461</v>
      </c>
      <c r="O7">
        <v>78</v>
      </c>
      <c r="Q7">
        <v>1.38</v>
      </c>
      <c r="T7">
        <v>79767777.599999994</v>
      </c>
      <c r="V7">
        <v>79751648.799999997</v>
      </c>
      <c r="W7">
        <v>0.210311</v>
      </c>
      <c r="X7">
        <v>80000000</v>
      </c>
      <c r="Z7">
        <v>79465236.109999999</v>
      </c>
      <c r="AA7">
        <v>1.476143</v>
      </c>
      <c r="AB7">
        <v>5.2580840599999998E-2</v>
      </c>
      <c r="AC7" t="s">
        <v>596</v>
      </c>
      <c r="AE7" t="s">
        <v>1042</v>
      </c>
      <c r="AF7" t="s">
        <v>1160</v>
      </c>
      <c r="AG7" t="s">
        <v>1160</v>
      </c>
      <c r="AH7" t="s">
        <v>42</v>
      </c>
      <c r="AI7" t="s">
        <v>89</v>
      </c>
      <c r="AJ7" t="s">
        <v>1041</v>
      </c>
      <c r="AK7" t="s">
        <v>87</v>
      </c>
      <c r="AM7" t="s">
        <v>1024</v>
      </c>
      <c r="AN7" t="s">
        <v>995</v>
      </c>
      <c r="AO7" t="s">
        <v>995</v>
      </c>
      <c r="AP7" t="s">
        <v>1036</v>
      </c>
      <c r="AQ7" t="s">
        <v>23</v>
      </c>
      <c r="AR7" t="s">
        <v>995</v>
      </c>
      <c r="AS7" t="s">
        <v>995</v>
      </c>
      <c r="AT7" t="s">
        <v>1012</v>
      </c>
      <c r="AU7" t="s">
        <v>995</v>
      </c>
      <c r="AV7" t="s">
        <v>1037</v>
      </c>
      <c r="AY7" t="s">
        <v>1043</v>
      </c>
      <c r="AZ7" t="s">
        <v>1044</v>
      </c>
      <c r="BA7" t="s">
        <v>995</v>
      </c>
      <c r="BB7" t="s">
        <v>995</v>
      </c>
      <c r="BC7" t="s">
        <v>995</v>
      </c>
      <c r="BD7" t="s">
        <v>995</v>
      </c>
      <c r="BE7" t="s">
        <v>995</v>
      </c>
      <c r="BF7" t="s">
        <v>995</v>
      </c>
      <c r="CK7" t="s">
        <v>828</v>
      </c>
      <c r="CL7" t="s">
        <v>829</v>
      </c>
      <c r="CM7" t="s">
        <v>24</v>
      </c>
      <c r="CN7" s="2">
        <v>43279</v>
      </c>
      <c r="CO7" t="s">
        <v>995</v>
      </c>
      <c r="CP7" t="s">
        <v>998</v>
      </c>
      <c r="CQ7" t="s">
        <v>998</v>
      </c>
      <c r="CR7" t="s">
        <v>1006</v>
      </c>
      <c r="CS7" t="s">
        <v>995</v>
      </c>
      <c r="CT7">
        <v>0</v>
      </c>
      <c r="CU7" t="b">
        <v>0</v>
      </c>
      <c r="CV7" t="s">
        <v>1039</v>
      </c>
      <c r="CW7" t="s">
        <v>995</v>
      </c>
      <c r="CX7" t="s">
        <v>995</v>
      </c>
      <c r="CY7" t="b">
        <v>0</v>
      </c>
      <c r="CZ7" t="b">
        <v>0</v>
      </c>
      <c r="DC7" t="s">
        <v>1161</v>
      </c>
    </row>
    <row r="8" spans="1:113" x14ac:dyDescent="0.2">
      <c r="A8" s="2">
        <v>43383</v>
      </c>
      <c r="B8" t="s">
        <v>349</v>
      </c>
      <c r="C8" t="s">
        <v>18</v>
      </c>
      <c r="D8" t="s">
        <v>87</v>
      </c>
      <c r="F8" t="s">
        <v>105</v>
      </c>
      <c r="H8" t="s">
        <v>89</v>
      </c>
      <c r="J8" s="2" t="s">
        <v>85</v>
      </c>
      <c r="N8" s="2">
        <v>43391</v>
      </c>
      <c r="O8">
        <v>8</v>
      </c>
      <c r="Q8">
        <v>1.34</v>
      </c>
      <c r="T8">
        <v>64983300.200000003</v>
      </c>
      <c r="V8">
        <v>64982886.149999999</v>
      </c>
      <c r="W8">
        <v>1.9174E-2</v>
      </c>
      <c r="X8">
        <v>65000000</v>
      </c>
      <c r="Z8">
        <v>64778224</v>
      </c>
      <c r="AA8">
        <v>1.37321</v>
      </c>
      <c r="AB8">
        <v>4.2835298299999998E-2</v>
      </c>
      <c r="AC8" t="s">
        <v>105</v>
      </c>
      <c r="AE8" t="s">
        <v>1042</v>
      </c>
      <c r="AF8" t="s">
        <v>1045</v>
      </c>
      <c r="AG8" t="s">
        <v>1045</v>
      </c>
      <c r="AH8" t="s">
        <v>42</v>
      </c>
      <c r="AI8" t="s">
        <v>89</v>
      </c>
      <c r="AJ8" t="s">
        <v>1041</v>
      </c>
      <c r="AK8" t="s">
        <v>87</v>
      </c>
      <c r="AM8" t="s">
        <v>1024</v>
      </c>
      <c r="AN8" t="s">
        <v>995</v>
      </c>
      <c r="AO8" t="s">
        <v>995</v>
      </c>
      <c r="AP8" t="s">
        <v>1036</v>
      </c>
      <c r="AQ8" t="s">
        <v>23</v>
      </c>
      <c r="AR8" t="s">
        <v>995</v>
      </c>
      <c r="AS8" t="s">
        <v>995</v>
      </c>
      <c r="AT8" t="s">
        <v>1012</v>
      </c>
      <c r="AU8" t="s">
        <v>995</v>
      </c>
      <c r="AV8" t="s">
        <v>1037</v>
      </c>
      <c r="AY8" t="s">
        <v>1043</v>
      </c>
      <c r="AZ8" t="s">
        <v>1044</v>
      </c>
      <c r="BA8" t="s">
        <v>995</v>
      </c>
      <c r="BB8" t="s">
        <v>995</v>
      </c>
      <c r="BC8" t="s">
        <v>995</v>
      </c>
      <c r="BD8" t="s">
        <v>995</v>
      </c>
      <c r="BE8" t="s">
        <v>995</v>
      </c>
      <c r="BF8" t="s">
        <v>995</v>
      </c>
      <c r="CK8" t="s">
        <v>828</v>
      </c>
      <c r="CL8" t="s">
        <v>829</v>
      </c>
      <c r="CM8" t="s">
        <v>24</v>
      </c>
      <c r="CN8" s="2">
        <v>43300</v>
      </c>
      <c r="CO8" t="s">
        <v>995</v>
      </c>
      <c r="CP8" t="s">
        <v>998</v>
      </c>
      <c r="CQ8" t="s">
        <v>998</v>
      </c>
      <c r="CR8" t="s">
        <v>1006</v>
      </c>
      <c r="CS8" t="s">
        <v>995</v>
      </c>
      <c r="CT8">
        <v>0</v>
      </c>
      <c r="CU8" t="b">
        <v>0</v>
      </c>
      <c r="CV8" t="s">
        <v>1039</v>
      </c>
      <c r="CW8" t="s">
        <v>995</v>
      </c>
      <c r="CX8" t="s">
        <v>995</v>
      </c>
      <c r="CY8" t="b">
        <v>0</v>
      </c>
      <c r="CZ8" t="b">
        <v>0</v>
      </c>
      <c r="DC8" t="s">
        <v>1046</v>
      </c>
    </row>
    <row r="9" spans="1:113" x14ac:dyDescent="0.2">
      <c r="A9" s="2">
        <v>43383</v>
      </c>
      <c r="B9" t="s">
        <v>349</v>
      </c>
      <c r="C9" t="s">
        <v>18</v>
      </c>
      <c r="D9" t="s">
        <v>87</v>
      </c>
      <c r="F9" t="s">
        <v>106</v>
      </c>
      <c r="H9" t="s">
        <v>89</v>
      </c>
      <c r="J9" s="2" t="s">
        <v>85</v>
      </c>
      <c r="N9" s="2">
        <v>43398</v>
      </c>
      <c r="O9">
        <v>15</v>
      </c>
      <c r="Q9">
        <v>1.21</v>
      </c>
      <c r="T9">
        <v>94955930.450000003</v>
      </c>
      <c r="V9">
        <v>94955930.450000003</v>
      </c>
      <c r="W9">
        <v>3.8338999999999998E-2</v>
      </c>
      <c r="X9">
        <v>95000000</v>
      </c>
      <c r="Z9">
        <v>94773788.849999994</v>
      </c>
      <c r="AA9">
        <v>1.21</v>
      </c>
      <c r="AB9">
        <v>6.2592475199999997E-2</v>
      </c>
      <c r="AC9" t="s">
        <v>106</v>
      </c>
      <c r="AE9" t="s">
        <v>1042</v>
      </c>
      <c r="AF9" t="s">
        <v>1047</v>
      </c>
      <c r="AG9" t="s">
        <v>1047</v>
      </c>
      <c r="AH9" t="s">
        <v>42</v>
      </c>
      <c r="AI9" t="s">
        <v>89</v>
      </c>
      <c r="AJ9" t="s">
        <v>1041</v>
      </c>
      <c r="AK9" t="s">
        <v>87</v>
      </c>
      <c r="AM9" t="s">
        <v>1024</v>
      </c>
      <c r="AN9" t="s">
        <v>995</v>
      </c>
      <c r="AO9" t="s">
        <v>995</v>
      </c>
      <c r="AP9" t="s">
        <v>1036</v>
      </c>
      <c r="AQ9" t="s">
        <v>23</v>
      </c>
      <c r="AR9" t="s">
        <v>995</v>
      </c>
      <c r="AS9" t="s">
        <v>995</v>
      </c>
      <c r="AT9" t="s">
        <v>1012</v>
      </c>
      <c r="AU9" t="s">
        <v>995</v>
      </c>
      <c r="AV9" t="s">
        <v>1037</v>
      </c>
      <c r="AY9" t="s">
        <v>1043</v>
      </c>
      <c r="AZ9" t="s">
        <v>1044</v>
      </c>
      <c r="BA9" t="s">
        <v>995</v>
      </c>
      <c r="BB9" t="s">
        <v>995</v>
      </c>
      <c r="BC9" t="s">
        <v>995</v>
      </c>
      <c r="BD9" t="s">
        <v>995</v>
      </c>
      <c r="BE9" t="s">
        <v>995</v>
      </c>
      <c r="BF9" t="s">
        <v>995</v>
      </c>
      <c r="CK9" t="s">
        <v>828</v>
      </c>
      <c r="CL9" t="s">
        <v>829</v>
      </c>
      <c r="CM9" t="s">
        <v>24</v>
      </c>
      <c r="CN9" s="2">
        <v>43216</v>
      </c>
      <c r="CO9" t="s">
        <v>995</v>
      </c>
      <c r="CP9" t="s">
        <v>998</v>
      </c>
      <c r="CQ9" t="s">
        <v>998</v>
      </c>
      <c r="CR9" t="s">
        <v>1006</v>
      </c>
      <c r="CS9" t="s">
        <v>995</v>
      </c>
      <c r="CT9">
        <v>0</v>
      </c>
      <c r="CU9" t="b">
        <v>0</v>
      </c>
      <c r="CV9" t="s">
        <v>1039</v>
      </c>
      <c r="CW9" t="s">
        <v>995</v>
      </c>
      <c r="CX9" t="s">
        <v>995</v>
      </c>
      <c r="CY9" t="b">
        <v>0</v>
      </c>
      <c r="CZ9" t="b">
        <v>0</v>
      </c>
      <c r="DC9" t="s">
        <v>1048</v>
      </c>
    </row>
    <row r="10" spans="1:113" x14ac:dyDescent="0.2">
      <c r="A10" s="2">
        <v>43383</v>
      </c>
      <c r="B10" t="s">
        <v>349</v>
      </c>
      <c r="C10" t="s">
        <v>18</v>
      </c>
      <c r="D10" t="s">
        <v>87</v>
      </c>
      <c r="F10" t="s">
        <v>107</v>
      </c>
      <c r="H10" t="s">
        <v>89</v>
      </c>
      <c r="J10" s="2" t="s">
        <v>85</v>
      </c>
      <c r="N10" s="2">
        <v>43398</v>
      </c>
      <c r="O10">
        <v>15</v>
      </c>
      <c r="Q10">
        <v>1.1599999999999999</v>
      </c>
      <c r="T10">
        <v>9995552.6999999993</v>
      </c>
      <c r="V10">
        <v>9995552.6999999993</v>
      </c>
      <c r="W10">
        <v>3.8338999999999998E-2</v>
      </c>
      <c r="X10">
        <v>10000000</v>
      </c>
      <c r="Z10">
        <v>9981917.6999999993</v>
      </c>
      <c r="AA10">
        <v>1.1599999999999999</v>
      </c>
      <c r="AB10">
        <v>6.5888079000000002E-3</v>
      </c>
      <c r="AC10" t="s">
        <v>107</v>
      </c>
      <c r="AE10" t="s">
        <v>1042</v>
      </c>
      <c r="AF10" t="s">
        <v>1049</v>
      </c>
      <c r="AG10" t="s">
        <v>1049</v>
      </c>
      <c r="AH10" t="s">
        <v>42</v>
      </c>
      <c r="AI10" t="s">
        <v>89</v>
      </c>
      <c r="AJ10" t="s">
        <v>1041</v>
      </c>
      <c r="AK10" t="s">
        <v>87</v>
      </c>
      <c r="AM10" t="s">
        <v>1024</v>
      </c>
      <c r="AN10" t="s">
        <v>995</v>
      </c>
      <c r="AO10" t="s">
        <v>995</v>
      </c>
      <c r="AP10" t="s">
        <v>1036</v>
      </c>
      <c r="AQ10" t="s">
        <v>23</v>
      </c>
      <c r="AR10" t="s">
        <v>995</v>
      </c>
      <c r="AS10" t="s">
        <v>995</v>
      </c>
      <c r="AT10" t="s">
        <v>1012</v>
      </c>
      <c r="AU10" t="s">
        <v>995</v>
      </c>
      <c r="AV10" t="s">
        <v>1037</v>
      </c>
      <c r="AY10" t="s">
        <v>1043</v>
      </c>
      <c r="AZ10" t="s">
        <v>1044</v>
      </c>
      <c r="BA10" t="s">
        <v>995</v>
      </c>
      <c r="BB10" t="s">
        <v>995</v>
      </c>
      <c r="BC10" t="s">
        <v>995</v>
      </c>
      <c r="BD10" t="s">
        <v>995</v>
      </c>
      <c r="BE10" t="s">
        <v>995</v>
      </c>
      <c r="BF10" t="s">
        <v>995</v>
      </c>
      <c r="CK10" t="s">
        <v>828</v>
      </c>
      <c r="CL10" t="s">
        <v>829</v>
      </c>
      <c r="CM10" t="s">
        <v>24</v>
      </c>
      <c r="CN10" s="2">
        <v>43307</v>
      </c>
      <c r="CO10" t="s">
        <v>995</v>
      </c>
      <c r="CP10" t="s">
        <v>998</v>
      </c>
      <c r="CQ10" t="s">
        <v>998</v>
      </c>
      <c r="CR10" t="s">
        <v>1006</v>
      </c>
      <c r="CS10" t="s">
        <v>995</v>
      </c>
      <c r="CT10">
        <v>0</v>
      </c>
      <c r="CU10" t="b">
        <v>0</v>
      </c>
      <c r="CV10" t="s">
        <v>1039</v>
      </c>
      <c r="CW10" t="s">
        <v>995</v>
      </c>
      <c r="CX10" t="s">
        <v>995</v>
      </c>
      <c r="CY10" t="b">
        <v>0</v>
      </c>
      <c r="CZ10" t="b">
        <v>0</v>
      </c>
      <c r="DC10" t="s">
        <v>1050</v>
      </c>
    </row>
    <row r="11" spans="1:113" x14ac:dyDescent="0.2">
      <c r="A11" s="2">
        <v>43383</v>
      </c>
      <c r="B11" t="s">
        <v>349</v>
      </c>
      <c r="C11" t="s">
        <v>18</v>
      </c>
      <c r="D11" t="s">
        <v>87</v>
      </c>
      <c r="F11" t="s">
        <v>597</v>
      </c>
      <c r="H11" t="s">
        <v>89</v>
      </c>
      <c r="J11" s="2" t="s">
        <v>85</v>
      </c>
      <c r="N11" s="2">
        <v>43475</v>
      </c>
      <c r="O11">
        <v>92</v>
      </c>
      <c r="Q11">
        <v>1.4569369999999999</v>
      </c>
      <c r="T11">
        <v>89674270.200000003</v>
      </c>
      <c r="V11">
        <v>89662896.900000006</v>
      </c>
      <c r="W11">
        <v>0.24841299999999999</v>
      </c>
      <c r="X11">
        <v>90000000</v>
      </c>
      <c r="Z11">
        <v>89328310.200000003</v>
      </c>
      <c r="AA11">
        <v>1.508</v>
      </c>
      <c r="AB11">
        <v>5.9110942399999998E-2</v>
      </c>
      <c r="AC11" t="s">
        <v>597</v>
      </c>
      <c r="AE11" t="s">
        <v>1042</v>
      </c>
      <c r="AF11" t="s">
        <v>1162</v>
      </c>
      <c r="AG11" t="s">
        <v>1162</v>
      </c>
      <c r="AH11" t="s">
        <v>42</v>
      </c>
      <c r="AI11" t="s">
        <v>89</v>
      </c>
      <c r="AJ11" t="s">
        <v>1041</v>
      </c>
      <c r="AK11" t="s">
        <v>87</v>
      </c>
      <c r="AM11" t="s">
        <v>1024</v>
      </c>
      <c r="AN11" t="s">
        <v>995</v>
      </c>
      <c r="AO11" t="s">
        <v>995</v>
      </c>
      <c r="AP11" t="s">
        <v>1036</v>
      </c>
      <c r="AQ11" t="s">
        <v>23</v>
      </c>
      <c r="AR11" t="s">
        <v>995</v>
      </c>
      <c r="AS11" t="s">
        <v>995</v>
      </c>
      <c r="AT11" t="s">
        <v>1012</v>
      </c>
      <c r="AU11" t="s">
        <v>995</v>
      </c>
      <c r="AV11" t="s">
        <v>1037</v>
      </c>
      <c r="AY11" t="s">
        <v>1043</v>
      </c>
      <c r="AZ11" t="s">
        <v>1044</v>
      </c>
      <c r="BA11" t="s">
        <v>995</v>
      </c>
      <c r="BB11" t="s">
        <v>995</v>
      </c>
      <c r="BC11" t="s">
        <v>995</v>
      </c>
      <c r="BD11" t="s">
        <v>995</v>
      </c>
      <c r="BE11" t="s">
        <v>995</v>
      </c>
      <c r="BF11" t="s">
        <v>995</v>
      </c>
      <c r="CK11" t="s">
        <v>828</v>
      </c>
      <c r="CL11" t="s">
        <v>829</v>
      </c>
      <c r="CM11" t="s">
        <v>24</v>
      </c>
      <c r="CN11" s="2">
        <v>43293</v>
      </c>
      <c r="CO11" t="s">
        <v>995</v>
      </c>
      <c r="CP11" t="s">
        <v>998</v>
      </c>
      <c r="CQ11" t="s">
        <v>998</v>
      </c>
      <c r="CR11" t="s">
        <v>1006</v>
      </c>
      <c r="CS11" t="s">
        <v>995</v>
      </c>
      <c r="CT11">
        <v>0</v>
      </c>
      <c r="CU11" t="b">
        <v>0</v>
      </c>
      <c r="CV11" t="s">
        <v>1039</v>
      </c>
      <c r="CW11" t="s">
        <v>995</v>
      </c>
      <c r="CX11" t="s">
        <v>995</v>
      </c>
      <c r="CY11" t="b">
        <v>0</v>
      </c>
      <c r="CZ11" t="b">
        <v>0</v>
      </c>
      <c r="DC11" t="s">
        <v>1163</v>
      </c>
    </row>
    <row r="12" spans="1:113" x14ac:dyDescent="0.2">
      <c r="A12" s="2">
        <v>43383</v>
      </c>
      <c r="B12" t="s">
        <v>349</v>
      </c>
      <c r="C12" t="s">
        <v>18</v>
      </c>
      <c r="D12" t="s">
        <v>87</v>
      </c>
      <c r="F12" t="s">
        <v>832</v>
      </c>
      <c r="H12" t="s">
        <v>89</v>
      </c>
      <c r="J12" s="2" t="s">
        <v>85</v>
      </c>
      <c r="N12" s="2">
        <v>43482</v>
      </c>
      <c r="O12">
        <v>99</v>
      </c>
      <c r="Q12">
        <v>1.474065</v>
      </c>
      <c r="T12">
        <v>49802892</v>
      </c>
      <c r="V12">
        <v>49798239.5</v>
      </c>
      <c r="W12">
        <v>0.26743499999999998</v>
      </c>
      <c r="X12">
        <v>50000000</v>
      </c>
      <c r="Z12">
        <v>49626593</v>
      </c>
      <c r="AA12">
        <v>1.5089999999999999</v>
      </c>
      <c r="AB12">
        <v>3.2828768799999998E-2</v>
      </c>
      <c r="AC12" t="s">
        <v>832</v>
      </c>
      <c r="AE12" t="s">
        <v>1042</v>
      </c>
      <c r="AF12" t="s">
        <v>1181</v>
      </c>
      <c r="AG12" t="s">
        <v>1181</v>
      </c>
      <c r="AH12" t="s">
        <v>42</v>
      </c>
      <c r="AI12" t="s">
        <v>89</v>
      </c>
      <c r="AJ12" t="s">
        <v>1041</v>
      </c>
      <c r="AK12" t="s">
        <v>87</v>
      </c>
      <c r="AM12" t="s">
        <v>1024</v>
      </c>
      <c r="AN12" t="s">
        <v>995</v>
      </c>
      <c r="AO12" t="s">
        <v>995</v>
      </c>
      <c r="AP12" t="s">
        <v>1036</v>
      </c>
      <c r="AQ12" t="s">
        <v>23</v>
      </c>
      <c r="AR12" t="s">
        <v>995</v>
      </c>
      <c r="AS12" t="s">
        <v>995</v>
      </c>
      <c r="AT12" t="s">
        <v>1012</v>
      </c>
      <c r="AU12" t="s">
        <v>995</v>
      </c>
      <c r="AV12" t="s">
        <v>1037</v>
      </c>
      <c r="AY12" t="s">
        <v>1043</v>
      </c>
      <c r="AZ12" t="s">
        <v>1044</v>
      </c>
      <c r="BA12" t="s">
        <v>995</v>
      </c>
      <c r="BB12" t="s">
        <v>995</v>
      </c>
      <c r="BC12" t="s">
        <v>995</v>
      </c>
      <c r="BD12" t="s">
        <v>995</v>
      </c>
      <c r="BE12" t="s">
        <v>995</v>
      </c>
      <c r="BF12" t="s">
        <v>995</v>
      </c>
      <c r="CK12" t="s">
        <v>828</v>
      </c>
      <c r="CL12" t="s">
        <v>829</v>
      </c>
      <c r="CM12" t="s">
        <v>24</v>
      </c>
      <c r="CN12" s="2">
        <v>43300</v>
      </c>
      <c r="CO12" t="s">
        <v>995</v>
      </c>
      <c r="CP12" t="s">
        <v>998</v>
      </c>
      <c r="CQ12" t="s">
        <v>998</v>
      </c>
      <c r="CR12" t="s">
        <v>1006</v>
      </c>
      <c r="CS12" t="s">
        <v>995</v>
      </c>
      <c r="CT12">
        <v>0</v>
      </c>
      <c r="CU12" t="b">
        <v>0</v>
      </c>
      <c r="CV12" t="s">
        <v>1039</v>
      </c>
      <c r="CW12" t="s">
        <v>995</v>
      </c>
      <c r="CX12" t="s">
        <v>995</v>
      </c>
      <c r="CY12" t="b">
        <v>0</v>
      </c>
      <c r="CZ12" t="b">
        <v>0</v>
      </c>
      <c r="DC12" t="s">
        <v>1182</v>
      </c>
    </row>
    <row r="13" spans="1:113" x14ac:dyDescent="0.2">
      <c r="A13" s="2">
        <v>43383</v>
      </c>
      <c r="B13" t="s">
        <v>349</v>
      </c>
      <c r="C13" t="s">
        <v>18</v>
      </c>
      <c r="D13" t="s">
        <v>87</v>
      </c>
      <c r="F13" t="s">
        <v>598</v>
      </c>
      <c r="H13" t="s">
        <v>89</v>
      </c>
      <c r="J13" s="2" t="s">
        <v>85</v>
      </c>
      <c r="N13" s="2">
        <v>43496</v>
      </c>
      <c r="O13">
        <v>113</v>
      </c>
      <c r="Q13">
        <v>1.5449999999999999</v>
      </c>
      <c r="T13">
        <v>99528155</v>
      </c>
      <c r="V13">
        <v>99541835</v>
      </c>
      <c r="W13">
        <v>0.30540099999999998</v>
      </c>
      <c r="X13">
        <v>100000000</v>
      </c>
      <c r="Z13">
        <v>99257607</v>
      </c>
      <c r="AA13">
        <v>1.5</v>
      </c>
      <c r="AB13">
        <v>6.5606366499999999E-2</v>
      </c>
      <c r="AC13" t="s">
        <v>598</v>
      </c>
      <c r="AE13" t="s">
        <v>1042</v>
      </c>
      <c r="AF13" t="s">
        <v>1164</v>
      </c>
      <c r="AG13" t="s">
        <v>1164</v>
      </c>
      <c r="AH13" t="s">
        <v>42</v>
      </c>
      <c r="AI13" t="s">
        <v>89</v>
      </c>
      <c r="AJ13" t="s">
        <v>1041</v>
      </c>
      <c r="AK13" t="s">
        <v>87</v>
      </c>
      <c r="AM13" t="s">
        <v>1024</v>
      </c>
      <c r="AN13" t="s">
        <v>995</v>
      </c>
      <c r="AO13" t="s">
        <v>995</v>
      </c>
      <c r="AP13" t="s">
        <v>1036</v>
      </c>
      <c r="AQ13" t="s">
        <v>23</v>
      </c>
      <c r="AR13" t="s">
        <v>995</v>
      </c>
      <c r="AS13" t="s">
        <v>995</v>
      </c>
      <c r="AT13" t="s">
        <v>1012</v>
      </c>
      <c r="AU13" t="s">
        <v>995</v>
      </c>
      <c r="AV13" t="s">
        <v>1037</v>
      </c>
      <c r="AY13" t="s">
        <v>1043</v>
      </c>
      <c r="AZ13" t="s">
        <v>1044</v>
      </c>
      <c r="BA13" t="s">
        <v>995</v>
      </c>
      <c r="BB13" t="s">
        <v>995</v>
      </c>
      <c r="BC13" t="s">
        <v>995</v>
      </c>
      <c r="BD13" t="s">
        <v>995</v>
      </c>
      <c r="BE13" t="s">
        <v>995</v>
      </c>
      <c r="BF13" t="s">
        <v>995</v>
      </c>
      <c r="CK13" t="s">
        <v>828</v>
      </c>
      <c r="CL13" t="s">
        <v>829</v>
      </c>
      <c r="CM13" t="s">
        <v>24</v>
      </c>
      <c r="CN13" s="2">
        <v>43314</v>
      </c>
      <c r="CO13" t="s">
        <v>995</v>
      </c>
      <c r="CP13" t="s">
        <v>998</v>
      </c>
      <c r="CQ13" t="s">
        <v>998</v>
      </c>
      <c r="CR13" t="s">
        <v>1006</v>
      </c>
      <c r="CS13" t="s">
        <v>995</v>
      </c>
      <c r="CT13">
        <v>0</v>
      </c>
      <c r="CU13" t="b">
        <v>0</v>
      </c>
      <c r="CV13" t="s">
        <v>1039</v>
      </c>
      <c r="CW13" t="s">
        <v>995</v>
      </c>
      <c r="CX13" t="s">
        <v>995</v>
      </c>
      <c r="CY13" t="b">
        <v>0</v>
      </c>
      <c r="CZ13" t="b">
        <v>0</v>
      </c>
      <c r="DC13" t="s">
        <v>1165</v>
      </c>
    </row>
    <row r="14" spans="1:113" x14ac:dyDescent="0.2">
      <c r="A14" s="2">
        <v>43383</v>
      </c>
      <c r="B14" t="s">
        <v>349</v>
      </c>
      <c r="C14" t="s">
        <v>18</v>
      </c>
      <c r="D14" t="s">
        <v>87</v>
      </c>
      <c r="F14" t="s">
        <v>785</v>
      </c>
      <c r="H14" t="s">
        <v>89</v>
      </c>
      <c r="J14" s="2" t="s">
        <v>85</v>
      </c>
      <c r="N14" s="2">
        <v>43517</v>
      </c>
      <c r="O14">
        <v>134</v>
      </c>
      <c r="Q14">
        <v>1.6</v>
      </c>
      <c r="T14">
        <v>99420366</v>
      </c>
      <c r="V14">
        <v>99456396</v>
      </c>
      <c r="W14">
        <v>0.36227100000000001</v>
      </c>
      <c r="X14">
        <v>100000000</v>
      </c>
      <c r="Z14">
        <v>99257607</v>
      </c>
      <c r="AA14">
        <v>1.5</v>
      </c>
      <c r="AB14">
        <v>6.5535314799999994E-2</v>
      </c>
      <c r="AC14" t="s">
        <v>785</v>
      </c>
      <c r="AE14" t="s">
        <v>1042</v>
      </c>
      <c r="AF14" t="s">
        <v>1176</v>
      </c>
      <c r="AG14" t="s">
        <v>1176</v>
      </c>
      <c r="AH14" t="s">
        <v>42</v>
      </c>
      <c r="AI14" t="s">
        <v>89</v>
      </c>
      <c r="AJ14" t="s">
        <v>1041</v>
      </c>
      <c r="AK14" t="s">
        <v>87</v>
      </c>
      <c r="AM14" t="s">
        <v>1024</v>
      </c>
      <c r="AN14" t="s">
        <v>995</v>
      </c>
      <c r="AO14" t="s">
        <v>995</v>
      </c>
      <c r="AP14" t="s">
        <v>1036</v>
      </c>
      <c r="AQ14" t="s">
        <v>23</v>
      </c>
      <c r="AR14" t="s">
        <v>995</v>
      </c>
      <c r="AS14" t="s">
        <v>995</v>
      </c>
      <c r="AT14" t="s">
        <v>1012</v>
      </c>
      <c r="AU14" t="s">
        <v>995</v>
      </c>
      <c r="AV14" t="s">
        <v>1037</v>
      </c>
      <c r="AY14" t="s">
        <v>1043</v>
      </c>
      <c r="AZ14" t="s">
        <v>1044</v>
      </c>
      <c r="BA14" t="s">
        <v>995</v>
      </c>
      <c r="BB14" t="s">
        <v>995</v>
      </c>
      <c r="BC14" t="s">
        <v>995</v>
      </c>
      <c r="BD14" t="s">
        <v>995</v>
      </c>
      <c r="BE14" t="s">
        <v>995</v>
      </c>
      <c r="BF14" t="s">
        <v>995</v>
      </c>
      <c r="CK14" t="s">
        <v>828</v>
      </c>
      <c r="CL14" t="s">
        <v>829</v>
      </c>
      <c r="CM14" t="s">
        <v>24</v>
      </c>
      <c r="CN14" s="2">
        <v>43335</v>
      </c>
      <c r="CO14" t="s">
        <v>995</v>
      </c>
      <c r="CP14" t="s">
        <v>998</v>
      </c>
      <c r="CQ14" t="s">
        <v>998</v>
      </c>
      <c r="CR14" t="s">
        <v>1006</v>
      </c>
      <c r="CS14" t="s">
        <v>995</v>
      </c>
      <c r="CT14">
        <v>0</v>
      </c>
      <c r="CU14" t="b">
        <v>0</v>
      </c>
      <c r="CV14" t="s">
        <v>1039</v>
      </c>
      <c r="CW14" t="s">
        <v>995</v>
      </c>
      <c r="CX14" t="s">
        <v>995</v>
      </c>
      <c r="CY14" t="b">
        <v>0</v>
      </c>
      <c r="CZ14" t="b">
        <v>0</v>
      </c>
      <c r="DC14" t="s">
        <v>995</v>
      </c>
    </row>
    <row r="15" spans="1:113" x14ac:dyDescent="0.2">
      <c r="A15" s="2">
        <v>43383</v>
      </c>
      <c r="B15" t="s">
        <v>349</v>
      </c>
      <c r="C15" t="s">
        <v>18</v>
      </c>
      <c r="D15" t="s">
        <v>87</v>
      </c>
      <c r="F15" t="s">
        <v>600</v>
      </c>
      <c r="H15" t="s">
        <v>89</v>
      </c>
      <c r="J15" s="2" t="s">
        <v>85</v>
      </c>
      <c r="N15" s="2">
        <v>43524</v>
      </c>
      <c r="O15">
        <v>141</v>
      </c>
      <c r="Q15">
        <v>1.6</v>
      </c>
      <c r="T15">
        <v>59634027</v>
      </c>
      <c r="V15">
        <v>59659044.600000001</v>
      </c>
      <c r="W15">
        <v>0.38122200000000001</v>
      </c>
      <c r="X15">
        <v>60000000</v>
      </c>
      <c r="Z15">
        <v>59557512</v>
      </c>
      <c r="AA15">
        <v>1.49</v>
      </c>
      <c r="AB15">
        <v>3.9309196800000001E-2</v>
      </c>
      <c r="AC15" t="s">
        <v>600</v>
      </c>
      <c r="AE15" t="s">
        <v>1042</v>
      </c>
      <c r="AF15" t="s">
        <v>1166</v>
      </c>
      <c r="AG15" t="s">
        <v>1166</v>
      </c>
      <c r="AH15" t="s">
        <v>42</v>
      </c>
      <c r="AI15" t="s">
        <v>89</v>
      </c>
      <c r="AJ15" t="s">
        <v>1041</v>
      </c>
      <c r="AK15" t="s">
        <v>87</v>
      </c>
      <c r="AM15" t="s">
        <v>1024</v>
      </c>
      <c r="AN15" t="s">
        <v>995</v>
      </c>
      <c r="AO15" t="s">
        <v>995</v>
      </c>
      <c r="AP15" t="s">
        <v>1036</v>
      </c>
      <c r="AQ15" t="s">
        <v>23</v>
      </c>
      <c r="AR15" t="s">
        <v>995</v>
      </c>
      <c r="AS15" t="s">
        <v>995</v>
      </c>
      <c r="AT15" t="s">
        <v>1012</v>
      </c>
      <c r="AU15" t="s">
        <v>995</v>
      </c>
      <c r="AV15" t="s">
        <v>1037</v>
      </c>
      <c r="AY15" t="s">
        <v>1043</v>
      </c>
      <c r="AZ15" t="s">
        <v>1044</v>
      </c>
      <c r="BA15" t="s">
        <v>995</v>
      </c>
      <c r="BB15" t="s">
        <v>995</v>
      </c>
      <c r="BC15" t="s">
        <v>995</v>
      </c>
      <c r="BD15" t="s">
        <v>995</v>
      </c>
      <c r="BE15" t="s">
        <v>995</v>
      </c>
      <c r="BF15" t="s">
        <v>995</v>
      </c>
      <c r="CK15" t="s">
        <v>828</v>
      </c>
      <c r="CL15" t="s">
        <v>829</v>
      </c>
      <c r="CM15" t="s">
        <v>24</v>
      </c>
      <c r="CN15" s="2">
        <v>43342</v>
      </c>
      <c r="CO15" t="s">
        <v>995</v>
      </c>
      <c r="CP15" t="s">
        <v>998</v>
      </c>
      <c r="CQ15" t="s">
        <v>998</v>
      </c>
      <c r="CR15" t="s">
        <v>1006</v>
      </c>
      <c r="CS15" t="s">
        <v>995</v>
      </c>
      <c r="CT15">
        <v>0</v>
      </c>
      <c r="CU15" t="b">
        <v>0</v>
      </c>
      <c r="CV15" t="s">
        <v>1039</v>
      </c>
      <c r="CW15" t="s">
        <v>995</v>
      </c>
      <c r="CX15" t="s">
        <v>995</v>
      </c>
      <c r="CY15" t="b">
        <v>0</v>
      </c>
      <c r="CZ15" t="b">
        <v>0</v>
      </c>
      <c r="DC15" t="s">
        <v>1167</v>
      </c>
    </row>
    <row r="16" spans="1:113" x14ac:dyDescent="0.2">
      <c r="A16" s="2">
        <v>43383</v>
      </c>
      <c r="B16" t="s">
        <v>349</v>
      </c>
      <c r="C16" t="s">
        <v>18</v>
      </c>
      <c r="D16" t="s">
        <v>109</v>
      </c>
      <c r="F16" t="s">
        <v>836</v>
      </c>
      <c r="G16" t="s">
        <v>51</v>
      </c>
      <c r="H16" t="s">
        <v>192</v>
      </c>
      <c r="I16" t="s">
        <v>999</v>
      </c>
      <c r="J16" s="2" t="s">
        <v>1061</v>
      </c>
      <c r="K16" t="s">
        <v>51</v>
      </c>
      <c r="N16" s="2">
        <v>43609</v>
      </c>
      <c r="O16">
        <v>226</v>
      </c>
      <c r="P16">
        <v>4.83</v>
      </c>
      <c r="Q16">
        <v>1.8557360000000001</v>
      </c>
      <c r="R16">
        <v>50000</v>
      </c>
      <c r="S16">
        <v>1018.04782</v>
      </c>
      <c r="T16">
        <v>50902391</v>
      </c>
      <c r="U16">
        <v>926301.5</v>
      </c>
      <c r="V16">
        <v>50935474</v>
      </c>
      <c r="W16">
        <v>0.60332699999999995</v>
      </c>
      <c r="X16">
        <v>50000000</v>
      </c>
      <c r="Z16">
        <v>51354289.5</v>
      </c>
      <c r="AA16">
        <v>1.75</v>
      </c>
      <c r="AB16">
        <v>3.41641237E-2</v>
      </c>
      <c r="AC16" t="s">
        <v>836</v>
      </c>
      <c r="AE16" t="s">
        <v>1062</v>
      </c>
      <c r="AF16" t="s">
        <v>1183</v>
      </c>
      <c r="AG16" t="s">
        <v>1183</v>
      </c>
      <c r="AH16" t="s">
        <v>42</v>
      </c>
      <c r="AI16" t="s">
        <v>192</v>
      </c>
      <c r="AJ16" t="s">
        <v>1053</v>
      </c>
      <c r="AK16" t="s">
        <v>109</v>
      </c>
      <c r="AM16" t="s">
        <v>1061</v>
      </c>
      <c r="AN16" t="s">
        <v>1063</v>
      </c>
      <c r="AO16" t="s">
        <v>995</v>
      </c>
      <c r="AP16" t="s">
        <v>1036</v>
      </c>
      <c r="AQ16" t="s">
        <v>23</v>
      </c>
      <c r="AR16" t="s">
        <v>995</v>
      </c>
      <c r="AS16" t="s">
        <v>995</v>
      </c>
      <c r="AT16" t="s">
        <v>1012</v>
      </c>
      <c r="AU16" t="s">
        <v>997</v>
      </c>
      <c r="AV16" t="s">
        <v>112</v>
      </c>
      <c r="AW16" t="s">
        <v>51</v>
      </c>
      <c r="AX16">
        <v>5</v>
      </c>
      <c r="AY16" t="s">
        <v>1062</v>
      </c>
      <c r="AZ16" t="s">
        <v>1064</v>
      </c>
      <c r="BA16" t="s">
        <v>999</v>
      </c>
      <c r="BB16" t="s">
        <v>51</v>
      </c>
      <c r="BC16" t="s">
        <v>995</v>
      </c>
      <c r="BD16" t="s">
        <v>995</v>
      </c>
      <c r="BE16" t="s">
        <v>995</v>
      </c>
      <c r="BF16" t="s">
        <v>995</v>
      </c>
      <c r="BG16" t="s">
        <v>51</v>
      </c>
      <c r="BH16">
        <v>5</v>
      </c>
      <c r="CK16" t="s">
        <v>828</v>
      </c>
      <c r="CL16" t="s">
        <v>829</v>
      </c>
      <c r="CM16" t="s">
        <v>24</v>
      </c>
      <c r="CN16" s="2">
        <v>41053</v>
      </c>
      <c r="CO16" t="s">
        <v>995</v>
      </c>
      <c r="CP16" t="s">
        <v>998</v>
      </c>
      <c r="CQ16" t="s">
        <v>998</v>
      </c>
      <c r="CR16" t="s">
        <v>1006</v>
      </c>
      <c r="CS16" t="s">
        <v>995</v>
      </c>
      <c r="CT16">
        <v>10000</v>
      </c>
      <c r="CU16" t="b">
        <v>0</v>
      </c>
      <c r="CV16" t="s">
        <v>995</v>
      </c>
      <c r="CW16" t="s">
        <v>995</v>
      </c>
      <c r="CX16" t="s">
        <v>995</v>
      </c>
      <c r="CY16" t="b">
        <v>0</v>
      </c>
      <c r="CZ16" t="b">
        <v>0</v>
      </c>
      <c r="DC16" t="s">
        <v>1184</v>
      </c>
    </row>
    <row r="17" spans="1:107" x14ac:dyDescent="0.2">
      <c r="A17" s="2">
        <v>43383</v>
      </c>
      <c r="B17" t="s">
        <v>349</v>
      </c>
      <c r="C17" t="s">
        <v>18</v>
      </c>
      <c r="D17" t="s">
        <v>109</v>
      </c>
      <c r="F17" t="s">
        <v>551</v>
      </c>
      <c r="G17" t="s">
        <v>51</v>
      </c>
      <c r="H17" t="s">
        <v>192</v>
      </c>
      <c r="I17" t="s">
        <v>999</v>
      </c>
      <c r="J17" s="2" t="s">
        <v>1061</v>
      </c>
      <c r="K17" t="s">
        <v>51</v>
      </c>
      <c r="N17" s="2">
        <v>44016</v>
      </c>
      <c r="O17">
        <v>633</v>
      </c>
      <c r="P17">
        <v>4.3600000000000003</v>
      </c>
      <c r="Q17">
        <v>2.3589869999999999</v>
      </c>
      <c r="R17">
        <v>10000</v>
      </c>
      <c r="S17">
        <v>1033.57014</v>
      </c>
      <c r="T17">
        <v>10335701.4</v>
      </c>
      <c r="U17">
        <v>118257.5</v>
      </c>
      <c r="V17">
        <v>10371868.4</v>
      </c>
      <c r="W17">
        <v>1.6516580000000001</v>
      </c>
      <c r="X17">
        <v>10000000</v>
      </c>
      <c r="Z17">
        <v>10409056.1</v>
      </c>
      <c r="AA17">
        <v>2.15</v>
      </c>
      <c r="AB17">
        <v>6.8909773000000001E-3</v>
      </c>
      <c r="AC17" t="s">
        <v>551</v>
      </c>
      <c r="AE17" t="s">
        <v>1062</v>
      </c>
      <c r="AF17" t="s">
        <v>1119</v>
      </c>
      <c r="AG17" t="s">
        <v>1119</v>
      </c>
      <c r="AH17" t="s">
        <v>42</v>
      </c>
      <c r="AI17" t="s">
        <v>192</v>
      </c>
      <c r="AJ17" t="s">
        <v>1053</v>
      </c>
      <c r="AK17" t="s">
        <v>109</v>
      </c>
      <c r="AM17" t="s">
        <v>1061</v>
      </c>
      <c r="AN17" t="s">
        <v>1063</v>
      </c>
      <c r="AO17" t="s">
        <v>995</v>
      </c>
      <c r="AP17" t="s">
        <v>1036</v>
      </c>
      <c r="AQ17" t="s">
        <v>23</v>
      </c>
      <c r="AR17" t="s">
        <v>995</v>
      </c>
      <c r="AS17" t="s">
        <v>995</v>
      </c>
      <c r="AT17" t="s">
        <v>1012</v>
      </c>
      <c r="AU17" t="s">
        <v>995</v>
      </c>
      <c r="AV17" t="s">
        <v>112</v>
      </c>
      <c r="AW17" t="s">
        <v>51</v>
      </c>
      <c r="AX17">
        <v>5</v>
      </c>
      <c r="AY17" t="s">
        <v>1062</v>
      </c>
      <c r="AZ17" t="s">
        <v>1064</v>
      </c>
      <c r="BA17" t="s">
        <v>999</v>
      </c>
      <c r="BB17" t="s">
        <v>51</v>
      </c>
      <c r="BC17" t="s">
        <v>995</v>
      </c>
      <c r="BD17" t="s">
        <v>995</v>
      </c>
      <c r="BE17" t="s">
        <v>995</v>
      </c>
      <c r="BF17" t="s">
        <v>995</v>
      </c>
      <c r="BG17" t="s">
        <v>51</v>
      </c>
      <c r="BH17">
        <v>5</v>
      </c>
      <c r="CK17" t="s">
        <v>828</v>
      </c>
      <c r="CL17" t="s">
        <v>829</v>
      </c>
      <c r="CM17" t="s">
        <v>24</v>
      </c>
      <c r="CN17" s="2">
        <v>41824</v>
      </c>
      <c r="CO17" t="s">
        <v>995</v>
      </c>
      <c r="CP17" t="s">
        <v>998</v>
      </c>
      <c r="CQ17" t="s">
        <v>998</v>
      </c>
      <c r="CR17" t="s">
        <v>1006</v>
      </c>
      <c r="CS17" t="s">
        <v>995</v>
      </c>
      <c r="CT17">
        <v>10000</v>
      </c>
      <c r="CU17" t="b">
        <v>0</v>
      </c>
      <c r="CV17" t="s">
        <v>1039</v>
      </c>
      <c r="CW17" t="s">
        <v>995</v>
      </c>
      <c r="CX17" t="s">
        <v>995</v>
      </c>
      <c r="CY17" t="b">
        <v>0</v>
      </c>
      <c r="CZ17" t="b">
        <v>0</v>
      </c>
      <c r="DC17" t="s">
        <v>1120</v>
      </c>
    </row>
    <row r="18" spans="1:107" x14ac:dyDescent="0.2">
      <c r="A18" s="2">
        <v>43383</v>
      </c>
      <c r="B18" t="s">
        <v>349</v>
      </c>
      <c r="C18" t="s">
        <v>18</v>
      </c>
      <c r="D18" t="s">
        <v>109</v>
      </c>
      <c r="F18" t="s">
        <v>553</v>
      </c>
      <c r="G18" t="s">
        <v>47</v>
      </c>
      <c r="H18" t="s">
        <v>501</v>
      </c>
      <c r="I18" t="s">
        <v>999</v>
      </c>
      <c r="J18" t="s">
        <v>1065</v>
      </c>
      <c r="K18" t="s">
        <v>47</v>
      </c>
      <c r="N18" s="2">
        <v>43640</v>
      </c>
      <c r="O18">
        <v>257</v>
      </c>
      <c r="P18">
        <v>2.2200000000000002</v>
      </c>
      <c r="Q18">
        <v>1.948706</v>
      </c>
      <c r="R18">
        <v>40000</v>
      </c>
      <c r="S18">
        <v>1001.841</v>
      </c>
      <c r="T18">
        <v>40073640</v>
      </c>
      <c r="U18">
        <v>265183.59999999998</v>
      </c>
      <c r="V18">
        <v>40109518.799999997</v>
      </c>
      <c r="W18">
        <v>0.69052999999999998</v>
      </c>
      <c r="X18">
        <v>40000000</v>
      </c>
      <c r="Z18">
        <v>40154648.799999997</v>
      </c>
      <c r="AA18">
        <v>1.82</v>
      </c>
      <c r="AB18">
        <v>2.65903015E-2</v>
      </c>
      <c r="AC18" t="s">
        <v>553</v>
      </c>
      <c r="AE18" t="s">
        <v>1106</v>
      </c>
      <c r="AF18" t="s">
        <v>1121</v>
      </c>
      <c r="AG18" t="s">
        <v>1122</v>
      </c>
      <c r="AH18" t="s">
        <v>42</v>
      </c>
      <c r="AI18" t="s">
        <v>501</v>
      </c>
      <c r="AJ18" t="s">
        <v>1053</v>
      </c>
      <c r="AK18" t="s">
        <v>109</v>
      </c>
      <c r="AM18" t="s">
        <v>1066</v>
      </c>
      <c r="AN18" t="s">
        <v>1054</v>
      </c>
      <c r="AO18" t="s">
        <v>995</v>
      </c>
      <c r="AP18" t="s">
        <v>1036</v>
      </c>
      <c r="AQ18" t="s">
        <v>23</v>
      </c>
      <c r="AR18" t="s">
        <v>995</v>
      </c>
      <c r="AS18" t="s">
        <v>995</v>
      </c>
      <c r="AT18" t="s">
        <v>1016</v>
      </c>
      <c r="AU18" t="s">
        <v>995</v>
      </c>
      <c r="AV18" t="s">
        <v>112</v>
      </c>
      <c r="AW18" t="s">
        <v>47</v>
      </c>
      <c r="AX18">
        <v>6</v>
      </c>
      <c r="AY18" t="s">
        <v>1106</v>
      </c>
      <c r="AZ18" t="s">
        <v>1107</v>
      </c>
      <c r="BA18" t="s">
        <v>999</v>
      </c>
      <c r="BB18" t="s">
        <v>47</v>
      </c>
      <c r="BC18" t="s">
        <v>995</v>
      </c>
      <c r="BD18" t="s">
        <v>995</v>
      </c>
      <c r="BE18" t="s">
        <v>995</v>
      </c>
      <c r="BF18" t="s">
        <v>995</v>
      </c>
      <c r="BG18" t="s">
        <v>47</v>
      </c>
      <c r="BH18">
        <v>6</v>
      </c>
      <c r="BI18" t="s">
        <v>1005</v>
      </c>
      <c r="BJ18" t="s">
        <v>1005</v>
      </c>
      <c r="CK18" t="s">
        <v>828</v>
      </c>
      <c r="CL18" t="s">
        <v>829</v>
      </c>
      <c r="CM18" t="s">
        <v>24</v>
      </c>
      <c r="CN18" s="2">
        <v>42545</v>
      </c>
      <c r="CO18" t="s">
        <v>995</v>
      </c>
      <c r="CP18" t="s">
        <v>998</v>
      </c>
      <c r="CQ18" t="s">
        <v>998</v>
      </c>
      <c r="CR18" t="s">
        <v>1006</v>
      </c>
      <c r="CS18" t="s">
        <v>995</v>
      </c>
      <c r="CT18">
        <v>7400</v>
      </c>
      <c r="CU18" t="b">
        <v>0</v>
      </c>
      <c r="CV18" t="s">
        <v>1039</v>
      </c>
      <c r="CW18" t="s">
        <v>995</v>
      </c>
      <c r="CX18" t="s">
        <v>995</v>
      </c>
      <c r="CY18" t="b">
        <v>0</v>
      </c>
      <c r="CZ18" t="b">
        <v>0</v>
      </c>
      <c r="DC18" t="s">
        <v>1123</v>
      </c>
    </row>
    <row r="19" spans="1:107" x14ac:dyDescent="0.2">
      <c r="A19" s="2">
        <v>43383</v>
      </c>
      <c r="B19" t="s">
        <v>349</v>
      </c>
      <c r="C19" t="s">
        <v>18</v>
      </c>
      <c r="D19" t="s">
        <v>109</v>
      </c>
      <c r="F19" t="s">
        <v>837</v>
      </c>
      <c r="G19" t="s">
        <v>43</v>
      </c>
      <c r="H19" t="s">
        <v>804</v>
      </c>
      <c r="I19" t="s">
        <v>999</v>
      </c>
      <c r="J19" t="s">
        <v>1061</v>
      </c>
      <c r="K19" t="s">
        <v>43</v>
      </c>
      <c r="N19" s="2">
        <v>43536</v>
      </c>
      <c r="O19">
        <v>153</v>
      </c>
      <c r="P19">
        <v>4.13</v>
      </c>
      <c r="Q19">
        <v>1.9374670000000001</v>
      </c>
      <c r="R19">
        <v>6300</v>
      </c>
      <c r="S19">
        <v>1009.20611</v>
      </c>
      <c r="T19">
        <v>6357998.4900000002</v>
      </c>
      <c r="U19">
        <v>20672.63</v>
      </c>
      <c r="V19">
        <v>6364252.5700000003</v>
      </c>
      <c r="W19">
        <v>0.412443</v>
      </c>
      <c r="X19">
        <v>6300000</v>
      </c>
      <c r="Z19">
        <v>6399934.3799999999</v>
      </c>
      <c r="AA19">
        <v>1.7</v>
      </c>
      <c r="AB19">
        <v>4.2046538000000003E-3</v>
      </c>
      <c r="AC19" t="s">
        <v>837</v>
      </c>
      <c r="AE19" t="s">
        <v>1177</v>
      </c>
      <c r="AF19" t="s">
        <v>1185</v>
      </c>
      <c r="AG19" t="s">
        <v>1186</v>
      </c>
      <c r="AH19" t="s">
        <v>42</v>
      </c>
      <c r="AI19" t="s">
        <v>804</v>
      </c>
      <c r="AJ19" t="s">
        <v>1053</v>
      </c>
      <c r="AK19" t="s">
        <v>109</v>
      </c>
      <c r="AM19" t="s">
        <v>1061</v>
      </c>
      <c r="AN19" t="s">
        <v>1063</v>
      </c>
      <c r="AO19" t="s">
        <v>995</v>
      </c>
      <c r="AP19" t="s">
        <v>1036</v>
      </c>
      <c r="AQ19" t="s">
        <v>23</v>
      </c>
      <c r="AR19" t="s">
        <v>995</v>
      </c>
      <c r="AS19" t="s">
        <v>995</v>
      </c>
      <c r="AT19" t="s">
        <v>1016</v>
      </c>
      <c r="AU19" t="s">
        <v>995</v>
      </c>
      <c r="AV19" t="s">
        <v>112</v>
      </c>
      <c r="AW19" t="s">
        <v>43</v>
      </c>
      <c r="AX19">
        <v>4</v>
      </c>
      <c r="AY19" t="s">
        <v>1177</v>
      </c>
      <c r="AZ19" t="s">
        <v>1178</v>
      </c>
      <c r="BA19" t="s">
        <v>999</v>
      </c>
      <c r="BB19" t="s">
        <v>995</v>
      </c>
      <c r="BC19" t="s">
        <v>43</v>
      </c>
      <c r="BD19" t="s">
        <v>995</v>
      </c>
      <c r="BE19" t="s">
        <v>35</v>
      </c>
      <c r="BF19" t="s">
        <v>1004</v>
      </c>
      <c r="BG19" t="s">
        <v>43</v>
      </c>
      <c r="BH19">
        <v>4</v>
      </c>
      <c r="CK19" t="s">
        <v>828</v>
      </c>
      <c r="CL19" t="s">
        <v>829</v>
      </c>
      <c r="CM19" t="s">
        <v>24</v>
      </c>
      <c r="CN19" s="2">
        <v>41710</v>
      </c>
      <c r="CO19" t="s">
        <v>995</v>
      </c>
      <c r="CP19" t="s">
        <v>998</v>
      </c>
      <c r="CQ19" t="s">
        <v>998</v>
      </c>
      <c r="CR19" t="s">
        <v>1006</v>
      </c>
      <c r="CS19" t="s">
        <v>995</v>
      </c>
      <c r="CT19">
        <v>11000</v>
      </c>
      <c r="CU19" t="b">
        <v>0</v>
      </c>
      <c r="CV19" t="s">
        <v>1039</v>
      </c>
      <c r="CW19" t="s">
        <v>995</v>
      </c>
      <c r="CX19" t="s">
        <v>995</v>
      </c>
      <c r="CY19" t="b">
        <v>0</v>
      </c>
      <c r="CZ19" t="b">
        <v>0</v>
      </c>
      <c r="DC19" t="s">
        <v>995</v>
      </c>
    </row>
    <row r="20" spans="1:107" x14ac:dyDescent="0.2">
      <c r="A20" s="2">
        <v>43383</v>
      </c>
      <c r="B20" t="s">
        <v>349</v>
      </c>
      <c r="C20" t="s">
        <v>18</v>
      </c>
      <c r="D20" t="s">
        <v>109</v>
      </c>
      <c r="F20" t="s">
        <v>668</v>
      </c>
      <c r="G20" t="s">
        <v>47</v>
      </c>
      <c r="H20" t="s">
        <v>669</v>
      </c>
      <c r="I20" t="s">
        <v>999</v>
      </c>
      <c r="J20" t="s">
        <v>1094</v>
      </c>
      <c r="K20" t="s">
        <v>47</v>
      </c>
      <c r="N20" s="2">
        <v>44375</v>
      </c>
      <c r="O20">
        <v>992</v>
      </c>
      <c r="P20">
        <v>2.5</v>
      </c>
      <c r="Q20">
        <v>2.6462349999999999</v>
      </c>
      <c r="R20">
        <v>44000</v>
      </c>
      <c r="S20">
        <v>996.14062999999999</v>
      </c>
      <c r="T20">
        <v>43830187.719999999</v>
      </c>
      <c r="U20">
        <v>316438.32</v>
      </c>
      <c r="V20">
        <v>44000000</v>
      </c>
      <c r="W20">
        <v>2.5881409999999998</v>
      </c>
      <c r="X20">
        <v>44000000</v>
      </c>
      <c r="Z20">
        <v>44000000</v>
      </c>
      <c r="AA20">
        <v>2.5</v>
      </c>
      <c r="AB20">
        <v>2.9100305600000001E-2</v>
      </c>
      <c r="AC20" t="s">
        <v>668</v>
      </c>
      <c r="AE20" t="s">
        <v>1170</v>
      </c>
      <c r="AF20" t="s">
        <v>1171</v>
      </c>
      <c r="AG20" t="s">
        <v>1172</v>
      </c>
      <c r="AH20" t="s">
        <v>42</v>
      </c>
      <c r="AI20" t="s">
        <v>669</v>
      </c>
      <c r="AJ20" t="s">
        <v>1053</v>
      </c>
      <c r="AK20" t="s">
        <v>109</v>
      </c>
      <c r="AM20" t="s">
        <v>1094</v>
      </c>
      <c r="AN20" t="s">
        <v>1063</v>
      </c>
      <c r="AO20" t="s">
        <v>995</v>
      </c>
      <c r="AP20" t="s">
        <v>1036</v>
      </c>
      <c r="AQ20" t="s">
        <v>23</v>
      </c>
      <c r="AR20" t="s">
        <v>995</v>
      </c>
      <c r="AS20" t="s">
        <v>995</v>
      </c>
      <c r="AT20" t="s">
        <v>1016</v>
      </c>
      <c r="AU20" t="s">
        <v>995</v>
      </c>
      <c r="AV20" t="s">
        <v>112</v>
      </c>
      <c r="AW20" t="s">
        <v>47</v>
      </c>
      <c r="AX20">
        <v>6</v>
      </c>
      <c r="AY20" t="s">
        <v>1173</v>
      </c>
      <c r="AZ20" t="s">
        <v>1174</v>
      </c>
      <c r="BA20" t="s">
        <v>999</v>
      </c>
      <c r="BB20" t="s">
        <v>47</v>
      </c>
      <c r="BC20" t="s">
        <v>484</v>
      </c>
      <c r="BD20" t="s">
        <v>995</v>
      </c>
      <c r="BE20" t="s">
        <v>995</v>
      </c>
      <c r="BF20" t="s">
        <v>995</v>
      </c>
      <c r="BG20" t="s">
        <v>47</v>
      </c>
      <c r="BH20">
        <v>6</v>
      </c>
      <c r="BI20" t="s">
        <v>1005</v>
      </c>
      <c r="BJ20" t="s">
        <v>1005</v>
      </c>
      <c r="CK20" t="s">
        <v>828</v>
      </c>
      <c r="CL20" t="s">
        <v>829</v>
      </c>
      <c r="CM20" t="s">
        <v>24</v>
      </c>
      <c r="CN20" s="2">
        <v>43279</v>
      </c>
      <c r="CO20" t="s">
        <v>995</v>
      </c>
      <c r="CP20" t="s">
        <v>998</v>
      </c>
      <c r="CQ20" t="s">
        <v>998</v>
      </c>
      <c r="CR20" t="s">
        <v>1006</v>
      </c>
      <c r="CS20" t="s">
        <v>995</v>
      </c>
      <c r="CT20">
        <v>2200</v>
      </c>
      <c r="CU20" t="b">
        <v>0</v>
      </c>
      <c r="CV20" t="s">
        <v>1039</v>
      </c>
      <c r="CW20" t="s">
        <v>995</v>
      </c>
      <c r="CX20" t="s">
        <v>995</v>
      </c>
      <c r="CY20" t="b">
        <v>0</v>
      </c>
      <c r="CZ20" t="b">
        <v>0</v>
      </c>
      <c r="DC20" t="s">
        <v>1175</v>
      </c>
    </row>
    <row r="21" spans="1:107" x14ac:dyDescent="0.2">
      <c r="A21" s="2">
        <v>43383</v>
      </c>
      <c r="B21" t="s">
        <v>349</v>
      </c>
      <c r="C21" t="s">
        <v>18</v>
      </c>
      <c r="D21" t="s">
        <v>109</v>
      </c>
      <c r="F21" t="s">
        <v>537</v>
      </c>
      <c r="H21" t="s">
        <v>242</v>
      </c>
      <c r="I21" t="s">
        <v>999</v>
      </c>
      <c r="J21" t="s">
        <v>1084</v>
      </c>
      <c r="K21" t="s">
        <v>29</v>
      </c>
      <c r="N21" s="2">
        <v>43494</v>
      </c>
      <c r="O21">
        <v>111</v>
      </c>
      <c r="P21">
        <v>2.2999999999999998</v>
      </c>
      <c r="Q21">
        <v>2.2338849999999999</v>
      </c>
      <c r="R21">
        <v>33000</v>
      </c>
      <c r="S21">
        <v>1000.14061</v>
      </c>
      <c r="T21">
        <v>33004640.129999999</v>
      </c>
      <c r="U21">
        <v>282805.38</v>
      </c>
      <c r="V21">
        <v>33001041.809999999</v>
      </c>
      <c r="W21">
        <v>0.29935499999999998</v>
      </c>
      <c r="X21">
        <v>33000000</v>
      </c>
      <c r="Z21">
        <v>33005627.489999998</v>
      </c>
      <c r="AA21">
        <v>2.27</v>
      </c>
      <c r="AB21">
        <v>2.1942216800000001E-2</v>
      </c>
      <c r="AC21" t="s">
        <v>537</v>
      </c>
      <c r="AE21" t="s">
        <v>1087</v>
      </c>
      <c r="AF21" t="s">
        <v>1117</v>
      </c>
      <c r="AG21" t="s">
        <v>1118</v>
      </c>
      <c r="AH21" t="s">
        <v>42</v>
      </c>
      <c r="AI21" t="s">
        <v>242</v>
      </c>
      <c r="AJ21" t="s">
        <v>1073</v>
      </c>
      <c r="AK21" t="s">
        <v>109</v>
      </c>
      <c r="AM21" t="s">
        <v>1085</v>
      </c>
      <c r="AN21" t="s">
        <v>1086</v>
      </c>
      <c r="AO21" t="s">
        <v>995</v>
      </c>
      <c r="AP21" t="s">
        <v>1036</v>
      </c>
      <c r="AQ21" t="s">
        <v>23</v>
      </c>
      <c r="AR21" t="s">
        <v>995</v>
      </c>
      <c r="AS21" t="s">
        <v>995</v>
      </c>
      <c r="AT21" t="s">
        <v>1016</v>
      </c>
      <c r="AU21" t="s">
        <v>995</v>
      </c>
      <c r="AV21" t="s">
        <v>112</v>
      </c>
      <c r="AY21" t="s">
        <v>1087</v>
      </c>
      <c r="AZ21" t="s">
        <v>1088</v>
      </c>
      <c r="BA21" t="s">
        <v>999</v>
      </c>
      <c r="BB21" t="s">
        <v>29</v>
      </c>
      <c r="BC21" t="s">
        <v>995</v>
      </c>
      <c r="BD21" t="s">
        <v>995</v>
      </c>
      <c r="BE21" t="s">
        <v>995</v>
      </c>
      <c r="BF21" t="s">
        <v>995</v>
      </c>
      <c r="BG21" t="s">
        <v>29</v>
      </c>
      <c r="BH21">
        <v>8</v>
      </c>
      <c r="CK21" t="s">
        <v>828</v>
      </c>
      <c r="CL21" t="s">
        <v>829</v>
      </c>
      <c r="CM21" t="s">
        <v>24</v>
      </c>
      <c r="CN21" s="2">
        <v>43248</v>
      </c>
      <c r="CO21" t="s">
        <v>995</v>
      </c>
      <c r="CP21" t="s">
        <v>998</v>
      </c>
      <c r="CQ21" t="s">
        <v>998</v>
      </c>
      <c r="CR21" t="s">
        <v>1006</v>
      </c>
      <c r="CS21" t="s">
        <v>995</v>
      </c>
      <c r="CT21">
        <v>22000</v>
      </c>
      <c r="CU21" t="b">
        <v>0</v>
      </c>
      <c r="CV21" t="s">
        <v>1039</v>
      </c>
      <c r="CW21" t="s">
        <v>995</v>
      </c>
      <c r="CX21" t="s">
        <v>995</v>
      </c>
      <c r="CY21" t="b">
        <v>0</v>
      </c>
      <c r="CZ21" t="b">
        <v>0</v>
      </c>
      <c r="DC21" t="s">
        <v>995</v>
      </c>
    </row>
    <row r="22" spans="1:107" x14ac:dyDescent="0.2">
      <c r="A22" s="2">
        <v>43383</v>
      </c>
      <c r="B22" t="s">
        <v>349</v>
      </c>
      <c r="C22" t="s">
        <v>18</v>
      </c>
      <c r="D22" t="s">
        <v>109</v>
      </c>
      <c r="F22" t="s">
        <v>245</v>
      </c>
      <c r="G22" t="s">
        <v>29</v>
      </c>
      <c r="H22" t="s">
        <v>244</v>
      </c>
      <c r="I22" t="s">
        <v>1026</v>
      </c>
      <c r="J22" t="s">
        <v>1084</v>
      </c>
      <c r="K22" t="s">
        <v>29</v>
      </c>
      <c r="N22" s="2">
        <v>44410</v>
      </c>
      <c r="O22">
        <v>1027</v>
      </c>
      <c r="P22">
        <v>3.7</v>
      </c>
      <c r="Q22">
        <v>3.7444639999999998</v>
      </c>
      <c r="R22">
        <v>46000</v>
      </c>
      <c r="S22">
        <v>998.73524999999995</v>
      </c>
      <c r="T22">
        <v>45941821.5</v>
      </c>
      <c r="U22">
        <v>326410.94</v>
      </c>
      <c r="V22">
        <v>46000000</v>
      </c>
      <c r="W22">
        <v>2.638757</v>
      </c>
      <c r="X22">
        <v>46000000</v>
      </c>
      <c r="Z22">
        <v>46000000</v>
      </c>
      <c r="AA22">
        <v>3.7</v>
      </c>
      <c r="AB22">
        <v>3.04988133E-2</v>
      </c>
      <c r="AC22" t="s">
        <v>245</v>
      </c>
      <c r="AE22" t="s">
        <v>1089</v>
      </c>
      <c r="AF22" t="s">
        <v>1091</v>
      </c>
      <c r="AG22" t="s">
        <v>1092</v>
      </c>
      <c r="AH22" t="s">
        <v>42</v>
      </c>
      <c r="AI22" t="s">
        <v>244</v>
      </c>
      <c r="AJ22" t="s">
        <v>1075</v>
      </c>
      <c r="AK22" t="s">
        <v>109</v>
      </c>
      <c r="AM22" t="s">
        <v>1085</v>
      </c>
      <c r="AN22" t="s">
        <v>1086</v>
      </c>
      <c r="AO22" t="s">
        <v>995</v>
      </c>
      <c r="AP22" t="s">
        <v>1036</v>
      </c>
      <c r="AQ22" t="s">
        <v>23</v>
      </c>
      <c r="AR22" t="s">
        <v>995</v>
      </c>
      <c r="AS22" t="s">
        <v>995</v>
      </c>
      <c r="AT22" t="s">
        <v>1012</v>
      </c>
      <c r="AU22" t="s">
        <v>995</v>
      </c>
      <c r="AV22" t="s">
        <v>112</v>
      </c>
      <c r="AW22" t="s">
        <v>29</v>
      </c>
      <c r="AX22">
        <v>8</v>
      </c>
      <c r="AY22" t="s">
        <v>1089</v>
      </c>
      <c r="AZ22" t="s">
        <v>1090</v>
      </c>
      <c r="BA22" t="s">
        <v>1026</v>
      </c>
      <c r="BB22" t="s">
        <v>29</v>
      </c>
      <c r="BC22" t="s">
        <v>995</v>
      </c>
      <c r="BD22" t="s">
        <v>995</v>
      </c>
      <c r="BE22" t="s">
        <v>995</v>
      </c>
      <c r="BF22" t="s">
        <v>995</v>
      </c>
      <c r="BG22" t="s">
        <v>29</v>
      </c>
      <c r="BH22">
        <v>8</v>
      </c>
      <c r="BI22" t="s">
        <v>1005</v>
      </c>
      <c r="BJ22" t="s">
        <v>1005</v>
      </c>
      <c r="CK22" t="s">
        <v>828</v>
      </c>
      <c r="CL22" t="s">
        <v>829</v>
      </c>
      <c r="CM22" t="s">
        <v>24</v>
      </c>
      <c r="CN22" s="2">
        <v>43314</v>
      </c>
      <c r="CO22" t="s">
        <v>995</v>
      </c>
      <c r="CP22" t="s">
        <v>998</v>
      </c>
      <c r="CQ22" t="s">
        <v>998</v>
      </c>
      <c r="CR22" t="s">
        <v>1006</v>
      </c>
      <c r="CS22" t="s">
        <v>995</v>
      </c>
      <c r="CT22">
        <v>22000</v>
      </c>
      <c r="CU22" t="b">
        <v>0</v>
      </c>
      <c r="CV22" t="s">
        <v>1039</v>
      </c>
      <c r="CW22" t="s">
        <v>995</v>
      </c>
      <c r="CX22" t="s">
        <v>995</v>
      </c>
      <c r="CY22" t="b">
        <v>0</v>
      </c>
      <c r="CZ22" t="b">
        <v>0</v>
      </c>
      <c r="DC22" t="s">
        <v>1093</v>
      </c>
    </row>
    <row r="23" spans="1:107" x14ac:dyDescent="0.2">
      <c r="A23" s="2">
        <v>43383</v>
      </c>
      <c r="B23" t="s">
        <v>349</v>
      </c>
      <c r="C23" t="s">
        <v>18</v>
      </c>
      <c r="D23" t="s">
        <v>109</v>
      </c>
      <c r="F23" t="s">
        <v>248</v>
      </c>
      <c r="G23" t="s">
        <v>47</v>
      </c>
      <c r="H23" t="s">
        <v>249</v>
      </c>
      <c r="I23" t="s">
        <v>999</v>
      </c>
      <c r="J23" t="s">
        <v>1094</v>
      </c>
      <c r="K23" t="s">
        <v>47</v>
      </c>
      <c r="N23" s="2">
        <v>44285</v>
      </c>
      <c r="O23">
        <v>902</v>
      </c>
      <c r="P23">
        <v>2.2599999999999998</v>
      </c>
      <c r="Q23">
        <v>2.5773139999999999</v>
      </c>
      <c r="R23">
        <v>4000</v>
      </c>
      <c r="S23">
        <v>992.44614999999999</v>
      </c>
      <c r="T23">
        <v>3969784.6</v>
      </c>
      <c r="U23">
        <v>2724.4</v>
      </c>
      <c r="V23">
        <v>3984282.6</v>
      </c>
      <c r="W23">
        <v>2.3912019999999998</v>
      </c>
      <c r="X23">
        <v>4000000</v>
      </c>
      <c r="Z23">
        <v>3983327.68</v>
      </c>
      <c r="AA23">
        <v>2.4249999999999998</v>
      </c>
      <c r="AB23">
        <v>2.6185744E-3</v>
      </c>
      <c r="AC23" t="s">
        <v>248</v>
      </c>
      <c r="AE23" t="s">
        <v>1095</v>
      </c>
      <c r="AF23" t="s">
        <v>1096</v>
      </c>
      <c r="AG23" t="s">
        <v>1097</v>
      </c>
      <c r="AH23" t="s">
        <v>42</v>
      </c>
      <c r="AI23" t="s">
        <v>249</v>
      </c>
      <c r="AJ23" t="s">
        <v>1075</v>
      </c>
      <c r="AK23" t="s">
        <v>109</v>
      </c>
      <c r="AM23" t="s">
        <v>1094</v>
      </c>
      <c r="AN23" t="s">
        <v>1072</v>
      </c>
      <c r="AO23" t="s">
        <v>995</v>
      </c>
      <c r="AP23" t="s">
        <v>1036</v>
      </c>
      <c r="AQ23" t="s">
        <v>23</v>
      </c>
      <c r="AR23" t="s">
        <v>995</v>
      </c>
      <c r="AS23" t="s">
        <v>995</v>
      </c>
      <c r="AT23" t="s">
        <v>1016</v>
      </c>
      <c r="AU23" t="s">
        <v>995</v>
      </c>
      <c r="AV23" t="s">
        <v>112</v>
      </c>
      <c r="AW23" t="s">
        <v>47</v>
      </c>
      <c r="AX23">
        <v>6</v>
      </c>
      <c r="AY23" t="s">
        <v>1095</v>
      </c>
      <c r="AZ23" t="s">
        <v>1098</v>
      </c>
      <c r="BA23" t="s">
        <v>999</v>
      </c>
      <c r="BB23" t="s">
        <v>47</v>
      </c>
      <c r="BC23" t="s">
        <v>995</v>
      </c>
      <c r="BD23" t="s">
        <v>995</v>
      </c>
      <c r="BE23" t="s">
        <v>995</v>
      </c>
      <c r="BF23" t="s">
        <v>995</v>
      </c>
      <c r="BG23" t="s">
        <v>47</v>
      </c>
      <c r="BH23">
        <v>6</v>
      </c>
      <c r="BI23" t="s">
        <v>1005</v>
      </c>
      <c r="BJ23" t="s">
        <v>1005</v>
      </c>
      <c r="CK23" t="s">
        <v>828</v>
      </c>
      <c r="CL23" t="s">
        <v>829</v>
      </c>
      <c r="CM23" t="s">
        <v>24</v>
      </c>
      <c r="CN23" s="2">
        <v>43189</v>
      </c>
      <c r="CO23" t="s">
        <v>995</v>
      </c>
      <c r="CP23" t="s">
        <v>998</v>
      </c>
      <c r="CQ23" t="s">
        <v>998</v>
      </c>
      <c r="CR23" t="s">
        <v>1006</v>
      </c>
      <c r="CS23" t="s">
        <v>995</v>
      </c>
      <c r="CT23">
        <v>2600</v>
      </c>
      <c r="CU23" t="b">
        <v>0</v>
      </c>
      <c r="CV23" t="s">
        <v>1039</v>
      </c>
      <c r="CW23" t="s">
        <v>995</v>
      </c>
      <c r="CX23" t="s">
        <v>995</v>
      </c>
      <c r="CY23" t="b">
        <v>0</v>
      </c>
      <c r="CZ23" t="b">
        <v>0</v>
      </c>
      <c r="DC23" t="s">
        <v>1099</v>
      </c>
    </row>
    <row r="24" spans="1:107" x14ac:dyDescent="0.2">
      <c r="A24" s="2">
        <v>43383</v>
      </c>
      <c r="B24" t="s">
        <v>349</v>
      </c>
      <c r="C24" t="s">
        <v>18</v>
      </c>
      <c r="D24" t="s">
        <v>109</v>
      </c>
      <c r="F24" t="s">
        <v>838</v>
      </c>
      <c r="G24" t="s">
        <v>47</v>
      </c>
      <c r="H24" t="s">
        <v>526</v>
      </c>
      <c r="I24" t="s">
        <v>1026</v>
      </c>
      <c r="J24" t="s">
        <v>1032</v>
      </c>
      <c r="K24" t="s">
        <v>47</v>
      </c>
      <c r="N24" s="2">
        <v>43672</v>
      </c>
      <c r="O24">
        <v>289</v>
      </c>
      <c r="P24">
        <v>2.0699999999999998</v>
      </c>
      <c r="Q24">
        <v>2.0156450000000001</v>
      </c>
      <c r="R24">
        <v>50000</v>
      </c>
      <c r="S24">
        <v>1000.32791</v>
      </c>
      <c r="T24">
        <v>50016395.5</v>
      </c>
      <c r="U24">
        <v>218342.5</v>
      </c>
      <c r="V24">
        <v>50081383</v>
      </c>
      <c r="W24">
        <v>0.78016700000000005</v>
      </c>
      <c r="X24">
        <v>50000000</v>
      </c>
      <c r="Z24">
        <v>50108800</v>
      </c>
      <c r="AA24">
        <v>1.85</v>
      </c>
      <c r="AB24">
        <v>3.3113430399999998E-2</v>
      </c>
      <c r="AC24" t="s">
        <v>838</v>
      </c>
      <c r="AE24" t="s">
        <v>1114</v>
      </c>
      <c r="AF24" t="s">
        <v>1187</v>
      </c>
      <c r="AG24" t="s">
        <v>1188</v>
      </c>
      <c r="AH24" t="s">
        <v>42</v>
      </c>
      <c r="AI24" t="s">
        <v>526</v>
      </c>
      <c r="AJ24" t="s">
        <v>1053</v>
      </c>
      <c r="AK24" t="s">
        <v>109</v>
      </c>
      <c r="AM24" t="s">
        <v>1032</v>
      </c>
      <c r="AN24" t="s">
        <v>1035</v>
      </c>
      <c r="AO24" t="s">
        <v>995</v>
      </c>
      <c r="AP24" t="s">
        <v>1036</v>
      </c>
      <c r="AQ24" t="s">
        <v>23</v>
      </c>
      <c r="AR24" t="s">
        <v>995</v>
      </c>
      <c r="AS24" t="s">
        <v>995</v>
      </c>
      <c r="AT24" t="s">
        <v>1016</v>
      </c>
      <c r="AU24" t="s">
        <v>995</v>
      </c>
      <c r="AV24" t="s">
        <v>112</v>
      </c>
      <c r="AW24" t="s">
        <v>47</v>
      </c>
      <c r="AX24">
        <v>6</v>
      </c>
      <c r="AY24" t="s">
        <v>1115</v>
      </c>
      <c r="AZ24" t="s">
        <v>1116</v>
      </c>
      <c r="BA24" t="s">
        <v>1026</v>
      </c>
      <c r="BB24" t="s">
        <v>47</v>
      </c>
      <c r="BC24" t="s">
        <v>995</v>
      </c>
      <c r="BD24" t="s">
        <v>1038</v>
      </c>
      <c r="BE24" t="s">
        <v>995</v>
      </c>
      <c r="BF24" t="s">
        <v>995</v>
      </c>
      <c r="BG24" t="s">
        <v>47</v>
      </c>
      <c r="BH24">
        <v>6</v>
      </c>
      <c r="BI24" t="s">
        <v>1005</v>
      </c>
      <c r="BJ24" t="s">
        <v>1005</v>
      </c>
      <c r="CK24" t="s">
        <v>828</v>
      </c>
      <c r="CL24" t="s">
        <v>829</v>
      </c>
      <c r="CM24" t="s">
        <v>24</v>
      </c>
      <c r="CN24" s="2">
        <v>42942</v>
      </c>
      <c r="CO24" t="s">
        <v>995</v>
      </c>
      <c r="CP24" t="s">
        <v>998</v>
      </c>
      <c r="CQ24" t="s">
        <v>998</v>
      </c>
      <c r="CR24" t="s">
        <v>1006</v>
      </c>
      <c r="CS24" t="s">
        <v>995</v>
      </c>
      <c r="CT24">
        <v>950</v>
      </c>
      <c r="CU24" t="b">
        <v>0</v>
      </c>
      <c r="CV24" t="s">
        <v>1039</v>
      </c>
      <c r="CW24" t="s">
        <v>995</v>
      </c>
      <c r="CX24" t="s">
        <v>995</v>
      </c>
      <c r="CY24" t="b">
        <v>0</v>
      </c>
      <c r="CZ24" t="b">
        <v>0</v>
      </c>
      <c r="DC24" t="s">
        <v>1189</v>
      </c>
    </row>
    <row r="25" spans="1:107" x14ac:dyDescent="0.2">
      <c r="A25" s="2">
        <v>43383</v>
      </c>
      <c r="B25" t="s">
        <v>349</v>
      </c>
      <c r="C25" t="s">
        <v>18</v>
      </c>
      <c r="D25" t="s">
        <v>109</v>
      </c>
      <c r="F25" t="s">
        <v>574</v>
      </c>
      <c r="G25" t="s">
        <v>123</v>
      </c>
      <c r="H25" t="s">
        <v>575</v>
      </c>
      <c r="I25" t="s">
        <v>999</v>
      </c>
      <c r="J25" t="s">
        <v>1032</v>
      </c>
      <c r="K25" t="s">
        <v>123</v>
      </c>
      <c r="N25" s="2">
        <v>43392</v>
      </c>
      <c r="O25">
        <v>9</v>
      </c>
      <c r="P25">
        <v>3</v>
      </c>
      <c r="Q25">
        <v>1.619772</v>
      </c>
      <c r="R25">
        <v>40000</v>
      </c>
      <c r="S25">
        <v>1000.25761</v>
      </c>
      <c r="T25">
        <v>40010304.399999999</v>
      </c>
      <c r="U25">
        <v>575342.4</v>
      </c>
      <c r="V25">
        <v>40010478.799999997</v>
      </c>
      <c r="W25">
        <v>2.1760000000000002E-2</v>
      </c>
      <c r="X25">
        <v>40000000</v>
      </c>
      <c r="Z25">
        <v>40173095.200000003</v>
      </c>
      <c r="AA25">
        <v>1.6</v>
      </c>
      <c r="AB25">
        <v>2.6753000900000001E-2</v>
      </c>
      <c r="AC25" t="s">
        <v>574</v>
      </c>
      <c r="AE25" t="s">
        <v>1132</v>
      </c>
      <c r="AF25" t="s">
        <v>1133</v>
      </c>
      <c r="AG25" t="s">
        <v>1134</v>
      </c>
      <c r="AH25" t="s">
        <v>42</v>
      </c>
      <c r="AI25" t="s">
        <v>575</v>
      </c>
      <c r="AJ25" t="s">
        <v>1105</v>
      </c>
      <c r="AK25" t="s">
        <v>109</v>
      </c>
      <c r="AM25" t="s">
        <v>1032</v>
      </c>
      <c r="AN25" t="s">
        <v>1035</v>
      </c>
      <c r="AO25" t="s">
        <v>995</v>
      </c>
      <c r="AP25" t="s">
        <v>1036</v>
      </c>
      <c r="AQ25" t="s">
        <v>23</v>
      </c>
      <c r="AR25" t="s">
        <v>995</v>
      </c>
      <c r="AS25" t="s">
        <v>995</v>
      </c>
      <c r="AT25" t="s">
        <v>1016</v>
      </c>
      <c r="AU25" t="s">
        <v>995</v>
      </c>
      <c r="AV25" t="s">
        <v>112</v>
      </c>
      <c r="AW25" t="s">
        <v>123</v>
      </c>
      <c r="AX25">
        <v>7</v>
      </c>
      <c r="AY25" t="s">
        <v>1135</v>
      </c>
      <c r="AZ25" t="s">
        <v>1136</v>
      </c>
      <c r="BA25" t="s">
        <v>999</v>
      </c>
      <c r="BB25" t="s">
        <v>123</v>
      </c>
      <c r="BC25" t="s">
        <v>995</v>
      </c>
      <c r="BD25" t="s">
        <v>1038</v>
      </c>
      <c r="BE25" t="s">
        <v>995</v>
      </c>
      <c r="BF25" t="s">
        <v>995</v>
      </c>
      <c r="BG25" t="s">
        <v>123</v>
      </c>
      <c r="BH25">
        <v>7</v>
      </c>
      <c r="CK25" t="s">
        <v>828</v>
      </c>
      <c r="CL25" t="s">
        <v>829</v>
      </c>
      <c r="CM25" t="s">
        <v>24</v>
      </c>
      <c r="CN25" s="2">
        <v>42116</v>
      </c>
      <c r="CO25" t="s">
        <v>995</v>
      </c>
      <c r="CP25" t="s">
        <v>998</v>
      </c>
      <c r="CQ25" t="s">
        <v>998</v>
      </c>
      <c r="CR25" t="s">
        <v>1006</v>
      </c>
      <c r="CS25" t="s">
        <v>995</v>
      </c>
      <c r="CT25">
        <v>650</v>
      </c>
      <c r="CU25" t="b">
        <v>0</v>
      </c>
      <c r="CV25" t="s">
        <v>1039</v>
      </c>
      <c r="CW25" t="s">
        <v>995</v>
      </c>
      <c r="CX25" t="s">
        <v>995</v>
      </c>
      <c r="CY25" t="b">
        <v>0</v>
      </c>
      <c r="CZ25" t="b">
        <v>0</v>
      </c>
      <c r="DC25" t="s">
        <v>1137</v>
      </c>
    </row>
    <row r="26" spans="1:107" x14ac:dyDescent="0.2">
      <c r="A26" s="2">
        <v>43383</v>
      </c>
      <c r="B26" t="s">
        <v>349</v>
      </c>
      <c r="C26" t="s">
        <v>18</v>
      </c>
      <c r="D26" t="s">
        <v>109</v>
      </c>
      <c r="F26" t="s">
        <v>576</v>
      </c>
      <c r="G26" t="s">
        <v>47</v>
      </c>
      <c r="H26" t="s">
        <v>228</v>
      </c>
      <c r="I26" t="s">
        <v>999</v>
      </c>
      <c r="J26" t="s">
        <v>1040</v>
      </c>
      <c r="K26" t="s">
        <v>47</v>
      </c>
      <c r="N26" s="2">
        <v>43545</v>
      </c>
      <c r="O26">
        <v>162</v>
      </c>
      <c r="P26">
        <v>2.0499999999999998</v>
      </c>
      <c r="Q26">
        <v>1.962839</v>
      </c>
      <c r="R26">
        <v>45000</v>
      </c>
      <c r="S26">
        <v>1000.3930800000001</v>
      </c>
      <c r="T26">
        <v>45017688.600000001</v>
      </c>
      <c r="U26">
        <v>60657.75</v>
      </c>
      <c r="V26">
        <v>45063659.25</v>
      </c>
      <c r="W26">
        <v>0.43763600000000002</v>
      </c>
      <c r="X26">
        <v>45000000</v>
      </c>
      <c r="Z26">
        <v>45101803.950000003</v>
      </c>
      <c r="AA26">
        <v>1.73</v>
      </c>
      <c r="AB26">
        <v>2.9714471400000001E-2</v>
      </c>
      <c r="AC26" t="s">
        <v>576</v>
      </c>
      <c r="AE26" t="s">
        <v>1074</v>
      </c>
      <c r="AF26" t="s">
        <v>1138</v>
      </c>
      <c r="AG26" t="s">
        <v>1139</v>
      </c>
      <c r="AH26" t="s">
        <v>42</v>
      </c>
      <c r="AI26" t="s">
        <v>228</v>
      </c>
      <c r="AJ26" t="s">
        <v>1140</v>
      </c>
      <c r="AK26" t="s">
        <v>109</v>
      </c>
      <c r="AM26" t="s">
        <v>1040</v>
      </c>
      <c r="AN26" t="s">
        <v>1072</v>
      </c>
      <c r="AO26" t="s">
        <v>995</v>
      </c>
      <c r="AP26" t="s">
        <v>1036</v>
      </c>
      <c r="AQ26" t="s">
        <v>23</v>
      </c>
      <c r="AR26" t="s">
        <v>995</v>
      </c>
      <c r="AS26" t="s">
        <v>995</v>
      </c>
      <c r="AT26" t="s">
        <v>1016</v>
      </c>
      <c r="AU26" t="s">
        <v>995</v>
      </c>
      <c r="AV26" t="s">
        <v>112</v>
      </c>
      <c r="AW26" t="s">
        <v>47</v>
      </c>
      <c r="AX26">
        <v>6</v>
      </c>
      <c r="AY26" t="s">
        <v>1076</v>
      </c>
      <c r="AZ26" t="s">
        <v>1077</v>
      </c>
      <c r="BA26" t="s">
        <v>999</v>
      </c>
      <c r="BB26" t="s">
        <v>47</v>
      </c>
      <c r="BC26" t="s">
        <v>995</v>
      </c>
      <c r="BD26" t="s">
        <v>995</v>
      </c>
      <c r="BE26" t="s">
        <v>995</v>
      </c>
      <c r="BF26" t="s">
        <v>995</v>
      </c>
      <c r="BG26" t="s">
        <v>47</v>
      </c>
      <c r="BH26">
        <v>6</v>
      </c>
      <c r="CK26" t="s">
        <v>828</v>
      </c>
      <c r="CL26" t="s">
        <v>829</v>
      </c>
      <c r="CM26" t="s">
        <v>24</v>
      </c>
      <c r="CN26" s="2">
        <v>42446</v>
      </c>
      <c r="CO26" t="s">
        <v>995</v>
      </c>
      <c r="CP26" t="s">
        <v>998</v>
      </c>
      <c r="CQ26" t="s">
        <v>998</v>
      </c>
      <c r="CR26" t="s">
        <v>1006</v>
      </c>
      <c r="CS26" t="s">
        <v>995</v>
      </c>
      <c r="CT26">
        <v>7000</v>
      </c>
      <c r="CU26" t="b">
        <v>0</v>
      </c>
      <c r="CV26" t="s">
        <v>1039</v>
      </c>
      <c r="CW26" t="s">
        <v>995</v>
      </c>
      <c r="CX26" t="s">
        <v>995</v>
      </c>
      <c r="CY26" t="b">
        <v>0</v>
      </c>
      <c r="CZ26" t="b">
        <v>0</v>
      </c>
      <c r="DC26" t="s">
        <v>1141</v>
      </c>
    </row>
    <row r="27" spans="1:107" x14ac:dyDescent="0.2">
      <c r="A27" s="2">
        <v>43383</v>
      </c>
      <c r="B27" t="s">
        <v>349</v>
      </c>
      <c r="C27" t="s">
        <v>18</v>
      </c>
      <c r="D27" t="s">
        <v>109</v>
      </c>
      <c r="F27" t="s">
        <v>580</v>
      </c>
      <c r="G27" t="s">
        <v>123</v>
      </c>
      <c r="H27" t="s">
        <v>230</v>
      </c>
      <c r="I27" t="s">
        <v>999</v>
      </c>
      <c r="J27" t="s">
        <v>1040</v>
      </c>
      <c r="K27" t="s">
        <v>123</v>
      </c>
      <c r="N27" s="2">
        <v>43580</v>
      </c>
      <c r="O27">
        <v>197</v>
      </c>
      <c r="P27">
        <v>1.96</v>
      </c>
      <c r="Q27">
        <v>2.0657359999999998</v>
      </c>
      <c r="R27">
        <v>45000</v>
      </c>
      <c r="S27">
        <v>999.44095000000004</v>
      </c>
      <c r="T27">
        <v>44974842.75</v>
      </c>
      <c r="U27">
        <v>408378.12</v>
      </c>
      <c r="V27">
        <v>45055380.149999999</v>
      </c>
      <c r="W27">
        <v>0.53285300000000002</v>
      </c>
      <c r="X27">
        <v>45000000</v>
      </c>
      <c r="Z27">
        <v>45085802.399999999</v>
      </c>
      <c r="AA27">
        <v>1.73</v>
      </c>
      <c r="AB27">
        <v>2.9915436699999999E-2</v>
      </c>
      <c r="AC27" t="s">
        <v>580</v>
      </c>
      <c r="AE27" t="s">
        <v>1078</v>
      </c>
      <c r="AF27" t="s">
        <v>1142</v>
      </c>
      <c r="AG27" t="s">
        <v>1143</v>
      </c>
      <c r="AH27" t="s">
        <v>42</v>
      </c>
      <c r="AI27" t="s">
        <v>230</v>
      </c>
      <c r="AJ27" t="s">
        <v>1053</v>
      </c>
      <c r="AK27" t="s">
        <v>109</v>
      </c>
      <c r="AM27" t="s">
        <v>1040</v>
      </c>
      <c r="AN27" t="s">
        <v>1072</v>
      </c>
      <c r="AO27" t="s">
        <v>995</v>
      </c>
      <c r="AP27" t="s">
        <v>1036</v>
      </c>
      <c r="AQ27" t="s">
        <v>23</v>
      </c>
      <c r="AR27" t="s">
        <v>995</v>
      </c>
      <c r="AS27" t="s">
        <v>995</v>
      </c>
      <c r="AT27" t="s">
        <v>1016</v>
      </c>
      <c r="AU27" t="s">
        <v>995</v>
      </c>
      <c r="AV27" t="s">
        <v>112</v>
      </c>
      <c r="AW27" t="s">
        <v>123</v>
      </c>
      <c r="AX27">
        <v>7</v>
      </c>
      <c r="AY27" t="s">
        <v>1078</v>
      </c>
      <c r="AZ27" t="s">
        <v>1079</v>
      </c>
      <c r="BA27" t="s">
        <v>999</v>
      </c>
      <c r="BB27" t="s">
        <v>123</v>
      </c>
      <c r="BC27" t="s">
        <v>995</v>
      </c>
      <c r="BD27" t="s">
        <v>995</v>
      </c>
      <c r="BE27" t="s">
        <v>995</v>
      </c>
      <c r="BF27" t="s">
        <v>995</v>
      </c>
      <c r="BG27" t="s">
        <v>123</v>
      </c>
      <c r="BH27">
        <v>7</v>
      </c>
      <c r="CK27" t="s">
        <v>828</v>
      </c>
      <c r="CL27" t="s">
        <v>829</v>
      </c>
      <c r="CM27" t="s">
        <v>24</v>
      </c>
      <c r="CN27" s="2">
        <v>42485</v>
      </c>
      <c r="CO27" t="s">
        <v>995</v>
      </c>
      <c r="CP27" t="s">
        <v>998</v>
      </c>
      <c r="CQ27" t="s">
        <v>998</v>
      </c>
      <c r="CR27" t="s">
        <v>1006</v>
      </c>
      <c r="CS27" t="s">
        <v>995</v>
      </c>
      <c r="CT27">
        <v>3000</v>
      </c>
      <c r="CU27" t="b">
        <v>0</v>
      </c>
      <c r="CV27" t="s">
        <v>1039</v>
      </c>
      <c r="CW27" t="s">
        <v>995</v>
      </c>
      <c r="CX27" t="s">
        <v>995</v>
      </c>
      <c r="CY27" t="b">
        <v>0</v>
      </c>
      <c r="CZ27" t="b">
        <v>0</v>
      </c>
      <c r="DC27" t="s">
        <v>1144</v>
      </c>
    </row>
    <row r="28" spans="1:107" x14ac:dyDescent="0.2">
      <c r="A28" s="2">
        <v>43383</v>
      </c>
      <c r="B28" t="s">
        <v>349</v>
      </c>
      <c r="C28" t="s">
        <v>18</v>
      </c>
      <c r="D28" t="s">
        <v>109</v>
      </c>
      <c r="F28" t="s">
        <v>584</v>
      </c>
      <c r="G28" t="s">
        <v>1082</v>
      </c>
      <c r="H28" t="s">
        <v>234</v>
      </c>
      <c r="I28" t="s">
        <v>1026</v>
      </c>
      <c r="J28" t="s">
        <v>1067</v>
      </c>
      <c r="K28" t="s">
        <v>203</v>
      </c>
      <c r="N28" s="2">
        <v>44639</v>
      </c>
      <c r="O28">
        <v>1256</v>
      </c>
      <c r="P28">
        <v>3.2</v>
      </c>
      <c r="Q28">
        <v>3.2453569999999998</v>
      </c>
      <c r="R28">
        <v>120000</v>
      </c>
      <c r="S28">
        <v>998.65372000000002</v>
      </c>
      <c r="T28">
        <v>119838446.40000001</v>
      </c>
      <c r="U28">
        <v>231452.4</v>
      </c>
      <c r="V28">
        <v>120000000</v>
      </c>
      <c r="W28">
        <v>3.2221039999999999</v>
      </c>
      <c r="X28">
        <v>120000000</v>
      </c>
      <c r="Z28">
        <v>120000000</v>
      </c>
      <c r="AA28">
        <v>3.2</v>
      </c>
      <c r="AB28">
        <v>7.9146948800000005E-2</v>
      </c>
      <c r="AC28" t="s">
        <v>584</v>
      </c>
      <c r="AE28" t="s">
        <v>1145</v>
      </c>
      <c r="AF28" t="s">
        <v>1146</v>
      </c>
      <c r="AG28" t="s">
        <v>1147</v>
      </c>
      <c r="AH28" t="s">
        <v>42</v>
      </c>
      <c r="AI28" t="s">
        <v>234</v>
      </c>
      <c r="AJ28" t="s">
        <v>1053</v>
      </c>
      <c r="AK28" t="s">
        <v>109</v>
      </c>
      <c r="AM28" t="s">
        <v>1070</v>
      </c>
      <c r="AN28" t="s">
        <v>1069</v>
      </c>
      <c r="AO28" t="s">
        <v>995</v>
      </c>
      <c r="AP28" t="s">
        <v>1036</v>
      </c>
      <c r="AQ28" t="s">
        <v>23</v>
      </c>
      <c r="AR28" t="s">
        <v>995</v>
      </c>
      <c r="AS28" t="s">
        <v>995</v>
      </c>
      <c r="AT28" t="s">
        <v>1016</v>
      </c>
      <c r="AU28" t="s">
        <v>995</v>
      </c>
      <c r="AV28" t="s">
        <v>112</v>
      </c>
      <c r="AW28" t="s">
        <v>1082</v>
      </c>
      <c r="AX28">
        <v>3</v>
      </c>
      <c r="AY28" t="s">
        <v>1080</v>
      </c>
      <c r="AZ28" t="s">
        <v>1081</v>
      </c>
      <c r="BA28" t="s">
        <v>1026</v>
      </c>
      <c r="BB28" t="s">
        <v>203</v>
      </c>
      <c r="BC28" t="s">
        <v>1082</v>
      </c>
      <c r="BD28" t="s">
        <v>995</v>
      </c>
      <c r="BE28" t="s">
        <v>995</v>
      </c>
      <c r="BF28" t="s">
        <v>1083</v>
      </c>
      <c r="BG28" t="s">
        <v>203</v>
      </c>
      <c r="BH28">
        <v>3</v>
      </c>
      <c r="CK28" t="s">
        <v>828</v>
      </c>
      <c r="CL28" t="s">
        <v>829</v>
      </c>
      <c r="CM28" t="s">
        <v>24</v>
      </c>
      <c r="CN28" s="2">
        <v>43362</v>
      </c>
      <c r="CO28" t="s">
        <v>995</v>
      </c>
      <c r="CP28" t="s">
        <v>998</v>
      </c>
      <c r="CQ28" t="s">
        <v>998</v>
      </c>
      <c r="CR28" t="s">
        <v>1006</v>
      </c>
      <c r="CS28" t="s">
        <v>995</v>
      </c>
      <c r="CT28">
        <v>15000</v>
      </c>
      <c r="CU28" t="b">
        <v>0</v>
      </c>
      <c r="CV28" t="s">
        <v>1039</v>
      </c>
      <c r="CW28" t="s">
        <v>995</v>
      </c>
      <c r="CX28" t="s">
        <v>995</v>
      </c>
      <c r="CY28" t="b">
        <v>0</v>
      </c>
      <c r="CZ28" t="b">
        <v>0</v>
      </c>
      <c r="DC28" t="s">
        <v>1148</v>
      </c>
    </row>
    <row r="29" spans="1:107" x14ac:dyDescent="0.2">
      <c r="A29" s="2">
        <v>43383</v>
      </c>
      <c r="B29" t="s">
        <v>349</v>
      </c>
      <c r="C29" t="s">
        <v>18</v>
      </c>
      <c r="D29" t="s">
        <v>109</v>
      </c>
      <c r="F29" t="s">
        <v>835</v>
      </c>
      <c r="G29" t="s">
        <v>317</v>
      </c>
      <c r="H29" t="s">
        <v>589</v>
      </c>
      <c r="I29" t="s">
        <v>1026</v>
      </c>
      <c r="J29" t="s">
        <v>1032</v>
      </c>
      <c r="L29" t="s">
        <v>1155</v>
      </c>
      <c r="N29" s="2">
        <v>43699</v>
      </c>
      <c r="O29">
        <v>316</v>
      </c>
      <c r="P29">
        <v>3.85</v>
      </c>
      <c r="Q29">
        <v>2.0570110000000001</v>
      </c>
      <c r="R29">
        <v>5500</v>
      </c>
      <c r="S29">
        <v>1015.15416</v>
      </c>
      <c r="T29">
        <v>5583347.8799999999</v>
      </c>
      <c r="U29">
        <v>29006.84</v>
      </c>
      <c r="V29">
        <v>5598581.7300000004</v>
      </c>
      <c r="W29">
        <v>0.84902900000000003</v>
      </c>
      <c r="X29">
        <v>5500000</v>
      </c>
      <c r="Z29">
        <v>5611752.6299999999</v>
      </c>
      <c r="AA29">
        <v>1.738</v>
      </c>
      <c r="AB29">
        <v>3.6995180000000002E-3</v>
      </c>
      <c r="AC29" t="s">
        <v>835</v>
      </c>
      <c r="AE29" t="s">
        <v>1156</v>
      </c>
      <c r="AF29" t="s">
        <v>1190</v>
      </c>
      <c r="AG29" t="s">
        <v>1191</v>
      </c>
      <c r="AH29" t="s">
        <v>42</v>
      </c>
      <c r="AI29" t="s">
        <v>589</v>
      </c>
      <c r="AJ29" t="s">
        <v>1053</v>
      </c>
      <c r="AK29" t="s">
        <v>109</v>
      </c>
      <c r="AM29" t="s">
        <v>1032</v>
      </c>
      <c r="AN29" t="s">
        <v>1035</v>
      </c>
      <c r="AO29" t="s">
        <v>995</v>
      </c>
      <c r="AP29" t="s">
        <v>1036</v>
      </c>
      <c r="AQ29" t="s">
        <v>23</v>
      </c>
      <c r="AR29" t="s">
        <v>995</v>
      </c>
      <c r="AS29" t="s">
        <v>995</v>
      </c>
      <c r="AT29" t="s">
        <v>1016</v>
      </c>
      <c r="AU29" t="s">
        <v>995</v>
      </c>
      <c r="AV29" t="s">
        <v>112</v>
      </c>
      <c r="AW29" t="s">
        <v>317</v>
      </c>
      <c r="AX29">
        <v>1</v>
      </c>
      <c r="AY29" t="s">
        <v>1156</v>
      </c>
      <c r="AZ29" t="s">
        <v>1157</v>
      </c>
      <c r="BA29" t="s">
        <v>1026</v>
      </c>
      <c r="BB29" t="s">
        <v>995</v>
      </c>
      <c r="BC29" t="s">
        <v>995</v>
      </c>
      <c r="BD29" t="s">
        <v>1038</v>
      </c>
      <c r="BE29" t="s">
        <v>995</v>
      </c>
      <c r="BF29" t="s">
        <v>995</v>
      </c>
      <c r="BK29" t="s">
        <v>1005</v>
      </c>
      <c r="BL29" t="s">
        <v>1005</v>
      </c>
      <c r="BM29" t="s">
        <v>1158</v>
      </c>
      <c r="BN29" t="s">
        <v>1158</v>
      </c>
      <c r="BO29" t="s">
        <v>1026</v>
      </c>
      <c r="BP29" t="s">
        <v>995</v>
      </c>
      <c r="BQ29" t="s">
        <v>47</v>
      </c>
      <c r="BR29" t="s">
        <v>1038</v>
      </c>
      <c r="BS29" t="s">
        <v>41</v>
      </c>
      <c r="BT29" t="s">
        <v>1159</v>
      </c>
      <c r="BU29" t="s">
        <v>47</v>
      </c>
      <c r="BV29">
        <v>6</v>
      </c>
      <c r="BW29">
        <v>0</v>
      </c>
      <c r="CK29" t="s">
        <v>828</v>
      </c>
      <c r="CL29" t="s">
        <v>829</v>
      </c>
      <c r="CM29" t="s">
        <v>24</v>
      </c>
      <c r="CN29" s="2">
        <v>41873</v>
      </c>
      <c r="CO29" t="s">
        <v>995</v>
      </c>
      <c r="CP29" t="s">
        <v>998</v>
      </c>
      <c r="CQ29" t="s">
        <v>998</v>
      </c>
      <c r="CR29" t="s">
        <v>1006</v>
      </c>
      <c r="CS29" t="s">
        <v>995</v>
      </c>
      <c r="CT29">
        <v>14000</v>
      </c>
      <c r="CU29" t="b">
        <v>0</v>
      </c>
      <c r="CV29" t="s">
        <v>1039</v>
      </c>
      <c r="CW29" t="s">
        <v>995</v>
      </c>
      <c r="CX29" t="s">
        <v>995</v>
      </c>
      <c r="CY29" t="b">
        <v>0</v>
      </c>
      <c r="CZ29" t="b">
        <v>0</v>
      </c>
      <c r="DC29" t="s">
        <v>995</v>
      </c>
    </row>
    <row r="30" spans="1:107" x14ac:dyDescent="0.2">
      <c r="A30" s="2">
        <v>43383</v>
      </c>
      <c r="B30" t="s">
        <v>349</v>
      </c>
      <c r="C30" t="s">
        <v>18</v>
      </c>
      <c r="D30" t="s">
        <v>109</v>
      </c>
      <c r="F30" t="s">
        <v>256</v>
      </c>
      <c r="G30" t="s">
        <v>47</v>
      </c>
      <c r="H30" t="s">
        <v>257</v>
      </c>
      <c r="I30" t="s">
        <v>1026</v>
      </c>
      <c r="J30" t="s">
        <v>1071</v>
      </c>
      <c r="K30" t="s">
        <v>47</v>
      </c>
      <c r="N30" s="2">
        <v>43783</v>
      </c>
      <c r="O30">
        <v>400</v>
      </c>
      <c r="P30">
        <v>3.52</v>
      </c>
      <c r="Q30">
        <v>2.0215070000000002</v>
      </c>
      <c r="R30">
        <v>7000</v>
      </c>
      <c r="S30">
        <v>1015.9626</v>
      </c>
      <c r="T30">
        <v>7111738.2000000002</v>
      </c>
      <c r="U30">
        <v>101260.25</v>
      </c>
      <c r="V30">
        <v>7132482.0700000003</v>
      </c>
      <c r="W30">
        <v>1.05698</v>
      </c>
      <c r="X30">
        <v>7000000</v>
      </c>
      <c r="Z30">
        <v>7176484.8399999999</v>
      </c>
      <c r="AA30">
        <v>1.75</v>
      </c>
      <c r="AB30">
        <v>4.7546206000000004E-3</v>
      </c>
      <c r="AC30" t="s">
        <v>256</v>
      </c>
      <c r="AE30" t="s">
        <v>1100</v>
      </c>
      <c r="AF30" t="s">
        <v>1101</v>
      </c>
      <c r="AG30" t="s">
        <v>1102</v>
      </c>
      <c r="AH30" t="s">
        <v>42</v>
      </c>
      <c r="AI30" t="s">
        <v>257</v>
      </c>
      <c r="AJ30" t="s">
        <v>1053</v>
      </c>
      <c r="AK30" t="s">
        <v>109</v>
      </c>
      <c r="AM30" t="s">
        <v>1068</v>
      </c>
      <c r="AN30" t="s">
        <v>995</v>
      </c>
      <c r="AO30" t="s">
        <v>995</v>
      </c>
      <c r="AP30" t="s">
        <v>1036</v>
      </c>
      <c r="AQ30" t="s">
        <v>23</v>
      </c>
      <c r="AR30" t="s">
        <v>995</v>
      </c>
      <c r="AS30" t="s">
        <v>995</v>
      </c>
      <c r="AT30" t="s">
        <v>1016</v>
      </c>
      <c r="AU30" t="s">
        <v>995</v>
      </c>
      <c r="AV30" t="s">
        <v>112</v>
      </c>
      <c r="AW30" t="s">
        <v>47</v>
      </c>
      <c r="AX30">
        <v>6</v>
      </c>
      <c r="AY30" t="s">
        <v>1100</v>
      </c>
      <c r="AZ30" t="s">
        <v>1103</v>
      </c>
      <c r="BA30" t="s">
        <v>1026</v>
      </c>
      <c r="BB30" t="s">
        <v>47</v>
      </c>
      <c r="BC30" t="s">
        <v>995</v>
      </c>
      <c r="BD30" t="s">
        <v>995</v>
      </c>
      <c r="BE30" t="s">
        <v>995</v>
      </c>
      <c r="BF30" t="s">
        <v>995</v>
      </c>
      <c r="BG30" t="s">
        <v>47</v>
      </c>
      <c r="BH30">
        <v>6</v>
      </c>
      <c r="BI30" t="s">
        <v>1005</v>
      </c>
      <c r="BJ30" t="s">
        <v>1005</v>
      </c>
      <c r="CK30" t="s">
        <v>828</v>
      </c>
      <c r="CL30" t="s">
        <v>829</v>
      </c>
      <c r="CM30" t="s">
        <v>24</v>
      </c>
      <c r="CN30" s="2">
        <v>41957</v>
      </c>
      <c r="CO30" t="s">
        <v>995</v>
      </c>
      <c r="CP30" t="s">
        <v>998</v>
      </c>
      <c r="CQ30" t="s">
        <v>998</v>
      </c>
      <c r="CR30" t="s">
        <v>1006</v>
      </c>
      <c r="CS30" t="s">
        <v>995</v>
      </c>
      <c r="CT30">
        <v>4000</v>
      </c>
      <c r="CU30" t="b">
        <v>0</v>
      </c>
      <c r="CV30" t="s">
        <v>1039</v>
      </c>
      <c r="CW30" t="s">
        <v>995</v>
      </c>
      <c r="CX30" t="s">
        <v>995</v>
      </c>
      <c r="CY30" t="b">
        <v>0</v>
      </c>
      <c r="CZ30" t="b">
        <v>0</v>
      </c>
      <c r="DC30" t="s">
        <v>1104</v>
      </c>
    </row>
    <row r="31" spans="1:107" x14ac:dyDescent="0.2">
      <c r="A31" s="2">
        <v>43383</v>
      </c>
      <c r="B31" t="s">
        <v>349</v>
      </c>
      <c r="C31" t="s">
        <v>18</v>
      </c>
      <c r="D31" t="s">
        <v>109</v>
      </c>
      <c r="F31" t="s">
        <v>510</v>
      </c>
      <c r="G31" t="s">
        <v>123</v>
      </c>
      <c r="H31" t="s">
        <v>511</v>
      </c>
      <c r="I31" t="s">
        <v>999</v>
      </c>
      <c r="J31" t="s">
        <v>1067</v>
      </c>
      <c r="K31" t="s">
        <v>123</v>
      </c>
      <c r="N31" s="2">
        <v>43997</v>
      </c>
      <c r="O31">
        <v>614</v>
      </c>
      <c r="P31">
        <v>2.23</v>
      </c>
      <c r="Q31">
        <v>2.5274909999999999</v>
      </c>
      <c r="R31">
        <v>50000</v>
      </c>
      <c r="S31">
        <v>995.09560999999997</v>
      </c>
      <c r="T31">
        <v>49754780.5</v>
      </c>
      <c r="U31">
        <v>360466</v>
      </c>
      <c r="V31">
        <v>50000000</v>
      </c>
      <c r="W31">
        <v>1.624603</v>
      </c>
      <c r="X31">
        <v>50000000</v>
      </c>
      <c r="Z31">
        <v>50000000</v>
      </c>
      <c r="AA31">
        <v>2.23</v>
      </c>
      <c r="AB31">
        <v>3.3034664700000001E-2</v>
      </c>
      <c r="AC31" t="s">
        <v>510</v>
      </c>
      <c r="AE31" t="s">
        <v>1108</v>
      </c>
      <c r="AF31" t="s">
        <v>1109</v>
      </c>
      <c r="AG31" t="s">
        <v>1110</v>
      </c>
      <c r="AH31" t="s">
        <v>42</v>
      </c>
      <c r="AI31" t="s">
        <v>511</v>
      </c>
      <c r="AJ31" t="s">
        <v>1053</v>
      </c>
      <c r="AK31" t="s">
        <v>109</v>
      </c>
      <c r="AM31" t="s">
        <v>1068</v>
      </c>
      <c r="AN31" t="s">
        <v>1069</v>
      </c>
      <c r="AO31" t="s">
        <v>995</v>
      </c>
      <c r="AP31" t="s">
        <v>1036</v>
      </c>
      <c r="AQ31" t="s">
        <v>23</v>
      </c>
      <c r="AR31" t="s">
        <v>995</v>
      </c>
      <c r="AS31" t="s">
        <v>995</v>
      </c>
      <c r="AT31" t="s">
        <v>1016</v>
      </c>
      <c r="AU31" t="s">
        <v>995</v>
      </c>
      <c r="AV31" t="s">
        <v>112</v>
      </c>
      <c r="AW31" t="s">
        <v>123</v>
      </c>
      <c r="AX31">
        <v>7</v>
      </c>
      <c r="AY31" t="s">
        <v>1108</v>
      </c>
      <c r="AZ31" t="s">
        <v>1111</v>
      </c>
      <c r="BA31" t="s">
        <v>999</v>
      </c>
      <c r="BB31" t="s">
        <v>123</v>
      </c>
      <c r="BC31" t="s">
        <v>995</v>
      </c>
      <c r="BD31" t="s">
        <v>995</v>
      </c>
      <c r="BE31" t="s">
        <v>995</v>
      </c>
      <c r="BF31" t="s">
        <v>995</v>
      </c>
      <c r="BG31" t="s">
        <v>123</v>
      </c>
      <c r="BH31">
        <v>7</v>
      </c>
      <c r="BI31" t="s">
        <v>1005</v>
      </c>
      <c r="BJ31" t="s">
        <v>1005</v>
      </c>
      <c r="CK31" t="s">
        <v>828</v>
      </c>
      <c r="CL31" t="s">
        <v>829</v>
      </c>
      <c r="CM31" t="s">
        <v>24</v>
      </c>
      <c r="CN31" s="2">
        <v>43266</v>
      </c>
      <c r="CO31" t="s">
        <v>995</v>
      </c>
      <c r="CP31" t="s">
        <v>998</v>
      </c>
      <c r="CQ31" t="s">
        <v>998</v>
      </c>
      <c r="CR31" t="s">
        <v>1006</v>
      </c>
      <c r="CS31" t="s">
        <v>995</v>
      </c>
      <c r="CT31">
        <v>1500</v>
      </c>
      <c r="CU31" t="b">
        <v>0</v>
      </c>
      <c r="CV31" t="s">
        <v>1039</v>
      </c>
      <c r="CW31" t="s">
        <v>995</v>
      </c>
      <c r="CX31" t="s">
        <v>995</v>
      </c>
      <c r="CY31" t="b">
        <v>0</v>
      </c>
      <c r="CZ31" t="b">
        <v>0</v>
      </c>
      <c r="DC31" t="s">
        <v>1112</v>
      </c>
    </row>
    <row r="32" spans="1:107" x14ac:dyDescent="0.2">
      <c r="A32" s="2">
        <v>43383</v>
      </c>
      <c r="B32" t="s">
        <v>349</v>
      </c>
      <c r="C32" t="s">
        <v>18</v>
      </c>
      <c r="D32" t="s">
        <v>109</v>
      </c>
      <c r="F32" t="s">
        <v>556</v>
      </c>
      <c r="G32" t="s">
        <v>484</v>
      </c>
      <c r="H32" t="s">
        <v>111</v>
      </c>
      <c r="I32" t="s">
        <v>999</v>
      </c>
      <c r="J32" t="s">
        <v>1051</v>
      </c>
      <c r="K32" t="s">
        <v>51</v>
      </c>
      <c r="N32" s="2">
        <v>43551</v>
      </c>
      <c r="O32">
        <v>168</v>
      </c>
      <c r="P32">
        <v>4.3</v>
      </c>
      <c r="Q32">
        <v>2.017738</v>
      </c>
      <c r="R32">
        <v>45000</v>
      </c>
      <c r="S32">
        <v>1010.51057</v>
      </c>
      <c r="T32">
        <v>45472975.649999999</v>
      </c>
      <c r="U32">
        <v>74219.399999999994</v>
      </c>
      <c r="V32">
        <v>45538627.950000003</v>
      </c>
      <c r="W32">
        <v>0.45296399999999998</v>
      </c>
      <c r="X32">
        <v>45000000</v>
      </c>
      <c r="Z32">
        <v>45864807.75</v>
      </c>
      <c r="AA32">
        <v>1.7</v>
      </c>
      <c r="AB32">
        <v>3.0023524199999999E-2</v>
      </c>
      <c r="AC32" t="s">
        <v>556</v>
      </c>
      <c r="AE32" t="s">
        <v>1052</v>
      </c>
      <c r="AF32" t="s">
        <v>1124</v>
      </c>
      <c r="AG32" t="s">
        <v>1125</v>
      </c>
      <c r="AH32" t="s">
        <v>42</v>
      </c>
      <c r="AI32" t="s">
        <v>111</v>
      </c>
      <c r="AJ32" t="s">
        <v>1053</v>
      </c>
      <c r="AK32" t="s">
        <v>109</v>
      </c>
      <c r="AM32" t="s">
        <v>1051</v>
      </c>
      <c r="AN32" t="s">
        <v>1054</v>
      </c>
      <c r="AO32" t="s">
        <v>995</v>
      </c>
      <c r="AP32" t="s">
        <v>1036</v>
      </c>
      <c r="AQ32" t="s">
        <v>23</v>
      </c>
      <c r="AR32" t="s">
        <v>995</v>
      </c>
      <c r="AS32" t="s">
        <v>995</v>
      </c>
      <c r="AT32" t="s">
        <v>1016</v>
      </c>
      <c r="AU32" t="s">
        <v>995</v>
      </c>
      <c r="AV32" t="s">
        <v>112</v>
      </c>
      <c r="AW32" t="s">
        <v>484</v>
      </c>
      <c r="AX32">
        <v>6</v>
      </c>
      <c r="AY32" t="s">
        <v>1055</v>
      </c>
      <c r="AZ32" t="s">
        <v>1056</v>
      </c>
      <c r="BA32" t="s">
        <v>999</v>
      </c>
      <c r="BB32" t="s">
        <v>51</v>
      </c>
      <c r="BC32" t="s">
        <v>484</v>
      </c>
      <c r="BD32" t="s">
        <v>995</v>
      </c>
      <c r="BE32" t="s">
        <v>995</v>
      </c>
      <c r="BF32" t="s">
        <v>995</v>
      </c>
      <c r="BG32" t="s">
        <v>51</v>
      </c>
      <c r="BH32">
        <v>5</v>
      </c>
      <c r="CK32" t="s">
        <v>828</v>
      </c>
      <c r="CL32" t="s">
        <v>829</v>
      </c>
      <c r="CM32" t="s">
        <v>24</v>
      </c>
      <c r="CN32" s="2">
        <v>41725</v>
      </c>
      <c r="CO32" t="s">
        <v>995</v>
      </c>
      <c r="CP32" t="s">
        <v>998</v>
      </c>
      <c r="CQ32" t="s">
        <v>998</v>
      </c>
      <c r="CR32" t="s">
        <v>1006</v>
      </c>
      <c r="CS32" t="s">
        <v>995</v>
      </c>
      <c r="CT32">
        <v>10000</v>
      </c>
      <c r="CU32" t="b">
        <v>0</v>
      </c>
      <c r="CV32" t="s">
        <v>1039</v>
      </c>
      <c r="CW32" t="s">
        <v>995</v>
      </c>
      <c r="CX32" t="s">
        <v>995</v>
      </c>
      <c r="CY32" t="b">
        <v>0</v>
      </c>
      <c r="CZ32" t="b">
        <v>0</v>
      </c>
      <c r="DC32" t="s">
        <v>1126</v>
      </c>
    </row>
    <row r="33" spans="1:113" x14ac:dyDescent="0.2">
      <c r="A33" s="2">
        <v>43383</v>
      </c>
      <c r="B33" t="s">
        <v>349</v>
      </c>
      <c r="C33" t="s">
        <v>18</v>
      </c>
      <c r="D33" t="s">
        <v>109</v>
      </c>
      <c r="F33" t="s">
        <v>833</v>
      </c>
      <c r="G33" t="s">
        <v>521</v>
      </c>
      <c r="H33" t="s">
        <v>111</v>
      </c>
      <c r="I33" t="s">
        <v>999</v>
      </c>
      <c r="J33" t="s">
        <v>1051</v>
      </c>
      <c r="K33" t="s">
        <v>51</v>
      </c>
      <c r="N33" s="2">
        <v>43703</v>
      </c>
      <c r="O33">
        <v>320</v>
      </c>
      <c r="P33">
        <v>2.4900000000000002</v>
      </c>
      <c r="Q33">
        <v>2.233371</v>
      </c>
      <c r="R33">
        <v>20000</v>
      </c>
      <c r="S33">
        <v>1002.10415</v>
      </c>
      <c r="T33">
        <v>20042083</v>
      </c>
      <c r="U33">
        <v>62761.599999999999</v>
      </c>
      <c r="V33">
        <v>20110463.399999999</v>
      </c>
      <c r="W33">
        <v>0.86231199999999997</v>
      </c>
      <c r="X33">
        <v>20000000</v>
      </c>
      <c r="Z33">
        <v>20137121.399999999</v>
      </c>
      <c r="AA33">
        <v>1.84</v>
      </c>
      <c r="AB33">
        <v>1.3252589699999999E-2</v>
      </c>
      <c r="AC33" t="s">
        <v>833</v>
      </c>
      <c r="AE33" t="s">
        <v>1052</v>
      </c>
      <c r="AF33" t="s">
        <v>1192</v>
      </c>
      <c r="AG33" t="s">
        <v>1193</v>
      </c>
      <c r="AH33" t="s">
        <v>42</v>
      </c>
      <c r="AI33" t="s">
        <v>111</v>
      </c>
      <c r="AJ33" t="s">
        <v>1053</v>
      </c>
      <c r="AK33" t="s">
        <v>109</v>
      </c>
      <c r="AM33" t="s">
        <v>1051</v>
      </c>
      <c r="AN33" t="s">
        <v>1054</v>
      </c>
      <c r="AO33" t="s">
        <v>995</v>
      </c>
      <c r="AP33" t="s">
        <v>1036</v>
      </c>
      <c r="AQ33" t="s">
        <v>23</v>
      </c>
      <c r="AR33" t="s">
        <v>995</v>
      </c>
      <c r="AS33" t="s">
        <v>995</v>
      </c>
      <c r="AT33" t="s">
        <v>1016</v>
      </c>
      <c r="AU33" t="s">
        <v>995</v>
      </c>
      <c r="AV33" t="s">
        <v>112</v>
      </c>
      <c r="AW33" t="s">
        <v>521</v>
      </c>
      <c r="AX33">
        <v>7</v>
      </c>
      <c r="AY33" t="s">
        <v>1055</v>
      </c>
      <c r="AZ33" t="s">
        <v>1056</v>
      </c>
      <c r="BA33" t="s">
        <v>999</v>
      </c>
      <c r="BB33" t="s">
        <v>51</v>
      </c>
      <c r="BC33" t="s">
        <v>484</v>
      </c>
      <c r="BD33" t="s">
        <v>995</v>
      </c>
      <c r="BE33" t="s">
        <v>995</v>
      </c>
      <c r="BF33" t="s">
        <v>995</v>
      </c>
      <c r="BG33" t="s">
        <v>51</v>
      </c>
      <c r="BH33">
        <v>5</v>
      </c>
      <c r="CK33" t="s">
        <v>828</v>
      </c>
      <c r="CL33" t="s">
        <v>829</v>
      </c>
      <c r="CM33" t="s">
        <v>24</v>
      </c>
      <c r="CN33" s="2">
        <v>42608</v>
      </c>
      <c r="CO33" t="s">
        <v>995</v>
      </c>
      <c r="CP33" t="s">
        <v>998</v>
      </c>
      <c r="CQ33" t="s">
        <v>998</v>
      </c>
      <c r="CR33" t="s">
        <v>1006</v>
      </c>
      <c r="CS33" t="s">
        <v>995</v>
      </c>
      <c r="CT33">
        <v>10000</v>
      </c>
      <c r="CU33" t="b">
        <v>0</v>
      </c>
      <c r="CV33" t="s">
        <v>1039</v>
      </c>
      <c r="CW33" t="s">
        <v>995</v>
      </c>
      <c r="CX33" t="s">
        <v>995</v>
      </c>
      <c r="CY33" t="b">
        <v>0</v>
      </c>
      <c r="CZ33" t="b">
        <v>0</v>
      </c>
      <c r="DC33" t="s">
        <v>1194</v>
      </c>
    </row>
    <row r="34" spans="1:113" x14ac:dyDescent="0.2">
      <c r="A34" s="2">
        <v>43383</v>
      </c>
      <c r="B34" t="s">
        <v>349</v>
      </c>
      <c r="C34" t="s">
        <v>18</v>
      </c>
      <c r="D34" t="s">
        <v>109</v>
      </c>
      <c r="F34" t="s">
        <v>564</v>
      </c>
      <c r="G34" t="s">
        <v>317</v>
      </c>
      <c r="H34" t="s">
        <v>563</v>
      </c>
      <c r="I34" t="s">
        <v>1026</v>
      </c>
      <c r="J34" t="s">
        <v>1032</v>
      </c>
      <c r="K34" t="s">
        <v>317</v>
      </c>
      <c r="N34" s="2">
        <v>43904</v>
      </c>
      <c r="O34">
        <v>521</v>
      </c>
      <c r="P34">
        <v>1.66</v>
      </c>
      <c r="Q34">
        <v>2.1408179999999999</v>
      </c>
      <c r="R34">
        <v>20000</v>
      </c>
      <c r="S34">
        <v>993.36382000000003</v>
      </c>
      <c r="T34">
        <v>19867276.399999999</v>
      </c>
      <c r="U34">
        <v>24559</v>
      </c>
      <c r="V34">
        <v>19942599.199999999</v>
      </c>
      <c r="W34">
        <v>1.394628</v>
      </c>
      <c r="X34">
        <v>20000000</v>
      </c>
      <c r="Z34">
        <v>19924833</v>
      </c>
      <c r="AA34">
        <v>1.87</v>
      </c>
      <c r="AB34">
        <v>1.3112179599999999E-2</v>
      </c>
      <c r="AC34" t="s">
        <v>564</v>
      </c>
      <c r="AE34" t="s">
        <v>1127</v>
      </c>
      <c r="AF34" t="s">
        <v>1129</v>
      </c>
      <c r="AG34" t="s">
        <v>1130</v>
      </c>
      <c r="AH34" t="s">
        <v>42</v>
      </c>
      <c r="AI34" t="s">
        <v>563</v>
      </c>
      <c r="AJ34" t="s">
        <v>1053</v>
      </c>
      <c r="AK34" t="s">
        <v>109</v>
      </c>
      <c r="AM34" t="s">
        <v>1032</v>
      </c>
      <c r="AN34" t="s">
        <v>1035</v>
      </c>
      <c r="AO34" t="s">
        <v>995</v>
      </c>
      <c r="AP34" t="s">
        <v>1036</v>
      </c>
      <c r="AQ34" t="s">
        <v>23</v>
      </c>
      <c r="AR34" t="s">
        <v>995</v>
      </c>
      <c r="AS34" t="s">
        <v>995</v>
      </c>
      <c r="AT34" t="s">
        <v>1016</v>
      </c>
      <c r="AU34" t="s">
        <v>995</v>
      </c>
      <c r="AV34" t="s">
        <v>112</v>
      </c>
      <c r="AW34" t="s">
        <v>317</v>
      </c>
      <c r="AX34">
        <v>1</v>
      </c>
      <c r="AY34" t="s">
        <v>1127</v>
      </c>
      <c r="AZ34" t="s">
        <v>1128</v>
      </c>
      <c r="BA34" t="s">
        <v>1026</v>
      </c>
      <c r="BB34" t="s">
        <v>317</v>
      </c>
      <c r="BC34" t="s">
        <v>995</v>
      </c>
      <c r="BD34" t="s">
        <v>995</v>
      </c>
      <c r="BE34" t="s">
        <v>995</v>
      </c>
      <c r="BF34" t="s">
        <v>995</v>
      </c>
      <c r="BG34" t="s">
        <v>317</v>
      </c>
      <c r="BH34">
        <v>1</v>
      </c>
      <c r="BI34" t="s">
        <v>1005</v>
      </c>
      <c r="BJ34" t="s">
        <v>1005</v>
      </c>
      <c r="CK34" t="s">
        <v>828</v>
      </c>
      <c r="CL34" t="s">
        <v>829</v>
      </c>
      <c r="CM34" t="s">
        <v>24</v>
      </c>
      <c r="CN34" s="2">
        <v>43173</v>
      </c>
      <c r="CO34" t="s">
        <v>995</v>
      </c>
      <c r="CP34" t="s">
        <v>998</v>
      </c>
      <c r="CQ34" t="s">
        <v>998</v>
      </c>
      <c r="CR34" t="s">
        <v>1006</v>
      </c>
      <c r="CS34" t="s">
        <v>995</v>
      </c>
      <c r="CT34">
        <v>2800</v>
      </c>
      <c r="CU34" t="b">
        <v>0</v>
      </c>
      <c r="CV34" t="s">
        <v>1039</v>
      </c>
      <c r="CW34" t="s">
        <v>995</v>
      </c>
      <c r="CX34" t="s">
        <v>995</v>
      </c>
      <c r="CY34" t="b">
        <v>0</v>
      </c>
      <c r="CZ34" t="b">
        <v>0</v>
      </c>
      <c r="DC34" t="s">
        <v>1131</v>
      </c>
    </row>
    <row r="35" spans="1:113" x14ac:dyDescent="0.2">
      <c r="A35" s="2">
        <v>43383</v>
      </c>
      <c r="B35" t="s">
        <v>349</v>
      </c>
      <c r="C35" t="s">
        <v>18</v>
      </c>
      <c r="D35" t="s">
        <v>109</v>
      </c>
      <c r="F35" t="s">
        <v>834</v>
      </c>
      <c r="G35" t="s">
        <v>59</v>
      </c>
      <c r="H35" t="s">
        <v>587</v>
      </c>
      <c r="I35" t="s">
        <v>1026</v>
      </c>
      <c r="J35" t="s">
        <v>1149</v>
      </c>
      <c r="L35" t="s">
        <v>1150</v>
      </c>
      <c r="N35" s="2">
        <v>43808</v>
      </c>
      <c r="O35">
        <v>425</v>
      </c>
      <c r="P35">
        <v>2.2000000000000002</v>
      </c>
      <c r="Q35">
        <v>2.105772</v>
      </c>
      <c r="R35">
        <v>50000</v>
      </c>
      <c r="S35">
        <v>1001.03299</v>
      </c>
      <c r="T35">
        <v>50051649.5</v>
      </c>
      <c r="U35">
        <v>373698.5</v>
      </c>
      <c r="V35">
        <v>50192404</v>
      </c>
      <c r="W35">
        <v>1.1334610000000001</v>
      </c>
      <c r="X35">
        <v>50000000</v>
      </c>
      <c r="Z35">
        <v>50247661</v>
      </c>
      <c r="AA35">
        <v>1.86</v>
      </c>
      <c r="AB35">
        <v>3.32390755E-2</v>
      </c>
      <c r="AC35" t="s">
        <v>834</v>
      </c>
      <c r="AE35" t="s">
        <v>1151</v>
      </c>
      <c r="AF35" t="s">
        <v>1195</v>
      </c>
      <c r="AG35" t="s">
        <v>1196</v>
      </c>
      <c r="AH35" t="s">
        <v>42</v>
      </c>
      <c r="AI35" t="s">
        <v>587</v>
      </c>
      <c r="AJ35" t="s">
        <v>1053</v>
      </c>
      <c r="AK35" t="s">
        <v>109</v>
      </c>
      <c r="AM35" t="s">
        <v>1149</v>
      </c>
      <c r="AN35" t="s">
        <v>1113</v>
      </c>
      <c r="AO35" t="s">
        <v>995</v>
      </c>
      <c r="AP35" t="s">
        <v>1036</v>
      </c>
      <c r="AQ35" t="s">
        <v>23</v>
      </c>
      <c r="AR35" t="s">
        <v>995</v>
      </c>
      <c r="AS35" t="s">
        <v>995</v>
      </c>
      <c r="AT35" t="s">
        <v>1016</v>
      </c>
      <c r="AU35" t="s">
        <v>995</v>
      </c>
      <c r="AV35" t="s">
        <v>112</v>
      </c>
      <c r="AW35" t="s">
        <v>59</v>
      </c>
      <c r="AX35">
        <v>1</v>
      </c>
      <c r="AY35" t="s">
        <v>1151</v>
      </c>
      <c r="AZ35" t="s">
        <v>1152</v>
      </c>
      <c r="BA35" t="s">
        <v>1026</v>
      </c>
      <c r="BB35" t="s">
        <v>995</v>
      </c>
      <c r="BC35" t="s">
        <v>995</v>
      </c>
      <c r="BD35" t="s">
        <v>995</v>
      </c>
      <c r="BE35" t="s">
        <v>995</v>
      </c>
      <c r="BF35" t="s">
        <v>995</v>
      </c>
      <c r="BI35" t="s">
        <v>1005</v>
      </c>
      <c r="BJ35" t="s">
        <v>1005</v>
      </c>
      <c r="BK35" t="s">
        <v>1005</v>
      </c>
      <c r="BL35" t="s">
        <v>1005</v>
      </c>
      <c r="BM35" t="s">
        <v>1153</v>
      </c>
      <c r="BN35" t="s">
        <v>1153</v>
      </c>
      <c r="BO35" t="s">
        <v>999</v>
      </c>
      <c r="BP35" t="s">
        <v>995</v>
      </c>
      <c r="BQ35" t="s">
        <v>123</v>
      </c>
      <c r="BR35" t="s">
        <v>995</v>
      </c>
      <c r="BS35" t="s">
        <v>47</v>
      </c>
      <c r="BT35" t="s">
        <v>1154</v>
      </c>
      <c r="BU35" t="s">
        <v>123</v>
      </c>
      <c r="BV35">
        <v>7</v>
      </c>
      <c r="BW35">
        <v>0</v>
      </c>
      <c r="CK35" t="s">
        <v>828</v>
      </c>
      <c r="CL35" t="s">
        <v>829</v>
      </c>
      <c r="CM35" t="s">
        <v>24</v>
      </c>
      <c r="CN35" s="2">
        <v>42713</v>
      </c>
      <c r="CO35" t="s">
        <v>995</v>
      </c>
      <c r="CP35" t="s">
        <v>998</v>
      </c>
      <c r="CQ35" t="s">
        <v>998</v>
      </c>
      <c r="CR35" t="s">
        <v>1006</v>
      </c>
      <c r="CS35" t="s">
        <v>995</v>
      </c>
      <c r="CT35">
        <v>1000</v>
      </c>
      <c r="CU35" t="b">
        <v>0</v>
      </c>
      <c r="CV35" t="s">
        <v>1039</v>
      </c>
      <c r="CW35" t="s">
        <v>995</v>
      </c>
      <c r="CX35" t="s">
        <v>995</v>
      </c>
      <c r="CY35" t="b">
        <v>0</v>
      </c>
      <c r="CZ35" t="b">
        <v>0</v>
      </c>
      <c r="DC35" t="s">
        <v>1197</v>
      </c>
    </row>
    <row r="36" spans="1:113" x14ac:dyDescent="0.2">
      <c r="A36" s="2">
        <v>43383</v>
      </c>
      <c r="B36" t="s">
        <v>349</v>
      </c>
      <c r="C36" t="s">
        <v>113</v>
      </c>
      <c r="D36" t="s">
        <v>114</v>
      </c>
      <c r="F36" t="s">
        <v>839</v>
      </c>
      <c r="H36" t="s">
        <v>146</v>
      </c>
      <c r="I36" t="s">
        <v>999</v>
      </c>
      <c r="J36" t="s">
        <v>993</v>
      </c>
      <c r="K36" t="s">
        <v>27</v>
      </c>
      <c r="N36" s="2">
        <v>43543</v>
      </c>
      <c r="R36">
        <v>1</v>
      </c>
      <c r="T36">
        <v>394474.91</v>
      </c>
      <c r="V36">
        <v>0</v>
      </c>
      <c r="W36">
        <v>0</v>
      </c>
      <c r="X36">
        <v>0</v>
      </c>
      <c r="Z36">
        <v>0</v>
      </c>
      <c r="AA36">
        <v>0</v>
      </c>
      <c r="AB36">
        <v>2.6002760000000001E-4</v>
      </c>
      <c r="AC36" t="s">
        <v>839</v>
      </c>
      <c r="AE36" t="s">
        <v>1198</v>
      </c>
      <c r="AF36" t="s">
        <v>1057</v>
      </c>
      <c r="AG36" t="s">
        <v>1057</v>
      </c>
      <c r="AH36" t="s">
        <v>116</v>
      </c>
      <c r="AI36" t="s">
        <v>146</v>
      </c>
      <c r="AJ36" t="s">
        <v>1058</v>
      </c>
      <c r="AK36" t="s">
        <v>114</v>
      </c>
      <c r="AM36" t="s">
        <v>993</v>
      </c>
      <c r="AN36" t="s">
        <v>1035</v>
      </c>
      <c r="AO36" t="s">
        <v>995</v>
      </c>
      <c r="AP36" t="s">
        <v>1011</v>
      </c>
      <c r="AQ36" t="s">
        <v>23</v>
      </c>
      <c r="AR36" t="s">
        <v>995</v>
      </c>
      <c r="AS36" t="s">
        <v>995</v>
      </c>
      <c r="AT36" t="s">
        <v>995</v>
      </c>
      <c r="AU36" t="s">
        <v>995</v>
      </c>
      <c r="AV36" t="s">
        <v>995</v>
      </c>
      <c r="AY36" t="s">
        <v>1059</v>
      </c>
      <c r="AZ36" t="s">
        <v>1060</v>
      </c>
      <c r="BA36" t="s">
        <v>999</v>
      </c>
      <c r="BB36" t="s">
        <v>995</v>
      </c>
      <c r="BC36" t="s">
        <v>27</v>
      </c>
      <c r="BD36" t="s">
        <v>995</v>
      </c>
      <c r="BE36" t="s">
        <v>29</v>
      </c>
      <c r="BF36" t="s">
        <v>1004</v>
      </c>
      <c r="BG36" t="s">
        <v>27</v>
      </c>
      <c r="BH36">
        <v>2</v>
      </c>
      <c r="BI36" t="s">
        <v>1005</v>
      </c>
      <c r="BJ36" t="s">
        <v>1005</v>
      </c>
      <c r="CK36" t="s">
        <v>828</v>
      </c>
      <c r="CL36" t="s">
        <v>829</v>
      </c>
      <c r="CM36" t="s">
        <v>24</v>
      </c>
      <c r="CN36" s="2">
        <v>2</v>
      </c>
      <c r="CO36" t="s">
        <v>995</v>
      </c>
      <c r="CP36" t="s">
        <v>998</v>
      </c>
      <c r="CQ36" t="s">
        <v>998</v>
      </c>
      <c r="CR36" t="s">
        <v>1006</v>
      </c>
      <c r="CS36" t="s">
        <v>69</v>
      </c>
      <c r="CT36">
        <v>39000</v>
      </c>
      <c r="CU36" t="b">
        <v>0</v>
      </c>
      <c r="CV36" t="s">
        <v>995</v>
      </c>
      <c r="CW36" t="s">
        <v>995</v>
      </c>
      <c r="CX36" t="s">
        <v>995</v>
      </c>
      <c r="CY36" t="b">
        <v>0</v>
      </c>
      <c r="CZ36" t="b">
        <v>0</v>
      </c>
      <c r="DC36" t="s">
        <v>995</v>
      </c>
      <c r="DD36">
        <v>-2000500</v>
      </c>
      <c r="DE36">
        <v>-394474.91</v>
      </c>
      <c r="DF36" t="s">
        <v>69</v>
      </c>
      <c r="DG36">
        <v>2000500</v>
      </c>
      <c r="DH36" t="s">
        <v>23</v>
      </c>
      <c r="DI36">
        <v>1</v>
      </c>
    </row>
    <row r="37" spans="1:113" x14ac:dyDescent="0.2">
      <c r="A37" s="2">
        <v>43383</v>
      </c>
      <c r="B37" t="s">
        <v>349</v>
      </c>
      <c r="C37" t="s">
        <v>840</v>
      </c>
      <c r="D37" t="s">
        <v>841</v>
      </c>
      <c r="E37" t="s">
        <v>841</v>
      </c>
      <c r="F37" t="s">
        <v>841</v>
      </c>
      <c r="N37" s="2"/>
      <c r="T37">
        <v>64327.7</v>
      </c>
      <c r="Z37">
        <v>0</v>
      </c>
      <c r="AA37">
        <v>0</v>
      </c>
      <c r="AB37">
        <v>4.2403100000000001E-5</v>
      </c>
      <c r="CK37" t="s">
        <v>828</v>
      </c>
      <c r="CL37" t="s">
        <v>829</v>
      </c>
      <c r="CM37" t="s">
        <v>24</v>
      </c>
      <c r="CN37" s="2"/>
    </row>
    <row r="38" spans="1:113" x14ac:dyDescent="0.2">
      <c r="A38" s="2">
        <v>43383</v>
      </c>
      <c r="B38" t="s">
        <v>349</v>
      </c>
      <c r="C38" t="s">
        <v>129</v>
      </c>
      <c r="D38" t="s">
        <v>131</v>
      </c>
      <c r="E38" t="s">
        <v>131</v>
      </c>
      <c r="F38" t="s">
        <v>131</v>
      </c>
      <c r="N38" s="2"/>
      <c r="T38">
        <v>-23928.38</v>
      </c>
      <c r="Z38">
        <v>0</v>
      </c>
      <c r="AA38">
        <v>0</v>
      </c>
      <c r="AB38">
        <v>-1.5773E-5</v>
      </c>
      <c r="CK38" t="s">
        <v>828</v>
      </c>
      <c r="CL38" t="s">
        <v>829</v>
      </c>
      <c r="CM38" t="s">
        <v>24</v>
      </c>
      <c r="CN38" s="2"/>
    </row>
    <row r="39" spans="1:113" x14ac:dyDescent="0.2">
      <c r="A39" s="2">
        <v>43383</v>
      </c>
      <c r="B39" t="s">
        <v>349</v>
      </c>
      <c r="C39" t="s">
        <v>129</v>
      </c>
      <c r="D39" t="s">
        <v>132</v>
      </c>
      <c r="N39" s="2"/>
      <c r="T39">
        <v>-18905.759999999998</v>
      </c>
      <c r="U39">
        <v>0</v>
      </c>
      <c r="Z39">
        <v>0</v>
      </c>
      <c r="AA39">
        <v>0</v>
      </c>
      <c r="AB39">
        <v>-1.2462200000000001E-5</v>
      </c>
      <c r="CK39" t="s">
        <v>828</v>
      </c>
      <c r="CL39" t="s">
        <v>829</v>
      </c>
      <c r="CM39" t="s">
        <v>24</v>
      </c>
      <c r="CN39" s="2"/>
    </row>
    <row r="40" spans="1:113" x14ac:dyDescent="0.2">
      <c r="A40" s="2">
        <v>43383</v>
      </c>
      <c r="B40" t="s">
        <v>349</v>
      </c>
      <c r="C40" t="s">
        <v>129</v>
      </c>
      <c r="D40" t="s">
        <v>134</v>
      </c>
      <c r="E40" t="s">
        <v>134</v>
      </c>
      <c r="N40" s="2"/>
      <c r="T40">
        <v>-12080.43</v>
      </c>
      <c r="V40">
        <v>-12080.43</v>
      </c>
      <c r="Z40">
        <v>0</v>
      </c>
      <c r="AA40">
        <v>0</v>
      </c>
      <c r="AB40">
        <v>-7.9631E-6</v>
      </c>
      <c r="CK40" t="s">
        <v>828</v>
      </c>
      <c r="CL40" t="s">
        <v>829</v>
      </c>
      <c r="CM40" t="s">
        <v>24</v>
      </c>
      <c r="CN40" s="2"/>
    </row>
    <row r="41" spans="1:113" x14ac:dyDescent="0.2">
      <c r="A41" s="2">
        <v>43383</v>
      </c>
      <c r="B41" t="s">
        <v>349</v>
      </c>
      <c r="C41" t="s">
        <v>129</v>
      </c>
      <c r="D41" t="s">
        <v>135</v>
      </c>
      <c r="E41" t="s">
        <v>135</v>
      </c>
      <c r="N41" s="2"/>
      <c r="T41">
        <v>-161072.47</v>
      </c>
      <c r="V41">
        <v>-161072.47</v>
      </c>
      <c r="Z41">
        <v>0</v>
      </c>
      <c r="AA41">
        <v>0</v>
      </c>
      <c r="AB41">
        <v>-1.0617480000000001E-4</v>
      </c>
      <c r="CK41" t="s">
        <v>828</v>
      </c>
      <c r="CL41" t="s">
        <v>829</v>
      </c>
      <c r="CM41" t="s">
        <v>24</v>
      </c>
      <c r="CN41" s="2"/>
    </row>
    <row r="42" spans="1:113" x14ac:dyDescent="0.2">
      <c r="A42" s="2">
        <v>43383</v>
      </c>
      <c r="B42" t="s">
        <v>349</v>
      </c>
      <c r="C42" t="s">
        <v>129</v>
      </c>
      <c r="D42" t="s">
        <v>136</v>
      </c>
      <c r="E42" t="s">
        <v>136</v>
      </c>
      <c r="N42" s="2"/>
      <c r="T42">
        <v>-24563.56</v>
      </c>
      <c r="V42">
        <v>-24563.56</v>
      </c>
      <c r="Z42">
        <v>0</v>
      </c>
      <c r="AA42">
        <v>0</v>
      </c>
      <c r="AB42">
        <v>-1.6191699999999999E-5</v>
      </c>
      <c r="CK42" t="s">
        <v>828</v>
      </c>
      <c r="CL42" t="s">
        <v>829</v>
      </c>
      <c r="CM42" t="s">
        <v>24</v>
      </c>
      <c r="CN42" s="2"/>
    </row>
    <row r="43" spans="1:113" x14ac:dyDescent="0.2">
      <c r="A43" s="2">
        <v>43383</v>
      </c>
      <c r="B43" t="s">
        <v>349</v>
      </c>
      <c r="C43" t="s">
        <v>137</v>
      </c>
      <c r="D43" t="s">
        <v>134</v>
      </c>
      <c r="E43" t="s">
        <v>134</v>
      </c>
      <c r="N43" s="2"/>
      <c r="T43">
        <v>-1334.19</v>
      </c>
      <c r="V43">
        <v>-1334.19</v>
      </c>
      <c r="Z43">
        <v>0</v>
      </c>
      <c r="AA43">
        <v>0</v>
      </c>
      <c r="AB43">
        <v>-8.7950000000000001E-7</v>
      </c>
      <c r="CK43" t="s">
        <v>828</v>
      </c>
      <c r="CL43" t="s">
        <v>829</v>
      </c>
      <c r="CM43" t="s">
        <v>24</v>
      </c>
      <c r="CN43" s="2"/>
    </row>
    <row r="44" spans="1:113" x14ac:dyDescent="0.2">
      <c r="A44" s="2">
        <v>43383</v>
      </c>
      <c r="B44" t="s">
        <v>349</v>
      </c>
      <c r="C44" t="s">
        <v>137</v>
      </c>
      <c r="D44" t="s">
        <v>135</v>
      </c>
      <c r="E44" t="s">
        <v>135</v>
      </c>
      <c r="N44" s="2"/>
      <c r="T44">
        <v>-17789.23</v>
      </c>
      <c r="V44">
        <v>-17789.23</v>
      </c>
      <c r="Z44">
        <v>0</v>
      </c>
      <c r="AA44">
        <v>0</v>
      </c>
      <c r="AB44">
        <v>-1.17262E-5</v>
      </c>
      <c r="CK44" t="s">
        <v>828</v>
      </c>
      <c r="CL44" t="s">
        <v>829</v>
      </c>
      <c r="CM44" t="s">
        <v>24</v>
      </c>
      <c r="CN44" s="2"/>
    </row>
    <row r="45" spans="1:113" x14ac:dyDescent="0.2">
      <c r="A45" s="2">
        <v>43383</v>
      </c>
      <c r="B45" t="s">
        <v>349</v>
      </c>
      <c r="C45" t="s">
        <v>137</v>
      </c>
      <c r="D45" t="s">
        <v>136</v>
      </c>
      <c r="E45" t="s">
        <v>136</v>
      </c>
      <c r="N45" s="2"/>
      <c r="T45">
        <v>-2712.86</v>
      </c>
      <c r="V45">
        <v>-2712.86</v>
      </c>
      <c r="Z45">
        <v>0</v>
      </c>
      <c r="AA45">
        <v>0</v>
      </c>
      <c r="AB45">
        <v>-1.7882000000000001E-6</v>
      </c>
      <c r="CK45" t="s">
        <v>828</v>
      </c>
      <c r="CL45" t="s">
        <v>829</v>
      </c>
      <c r="CM45" t="s">
        <v>24</v>
      </c>
      <c r="CN45" s="2"/>
    </row>
    <row r="46" spans="1:113" x14ac:dyDescent="0.2">
      <c r="A46" s="2"/>
      <c r="N46" s="2"/>
      <c r="CN46" s="2"/>
    </row>
    <row r="47" spans="1:113" x14ac:dyDescent="0.2">
      <c r="A47" s="2"/>
      <c r="N47" s="2"/>
      <c r="CN47" s="2"/>
    </row>
    <row r="48" spans="1:113" x14ac:dyDescent="0.2">
      <c r="A48" s="2"/>
      <c r="N48" s="2"/>
      <c r="CN48" s="2"/>
    </row>
    <row r="49" spans="1:92" x14ac:dyDescent="0.2">
      <c r="A49" s="2"/>
      <c r="N49" s="2"/>
      <c r="CN49" s="2"/>
    </row>
    <row r="50" spans="1:92" x14ac:dyDescent="0.2">
      <c r="A50" s="2"/>
      <c r="N50" s="2"/>
      <c r="CN50" s="2"/>
    </row>
    <row r="51" spans="1:92" x14ac:dyDescent="0.2">
      <c r="A51" s="2"/>
      <c r="N51" s="2"/>
      <c r="CN51" s="2"/>
    </row>
    <row r="52" spans="1:92" x14ac:dyDescent="0.2">
      <c r="A52" s="2"/>
      <c r="N52" s="2"/>
      <c r="CN52" s="2"/>
    </row>
    <row r="53" spans="1:92" x14ac:dyDescent="0.2">
      <c r="A53" s="2"/>
      <c r="N53" s="2"/>
      <c r="CN53" s="2"/>
    </row>
    <row r="54" spans="1:92" x14ac:dyDescent="0.2">
      <c r="A54" s="2"/>
      <c r="N54" s="2"/>
      <c r="CN54" s="2"/>
    </row>
    <row r="55" spans="1:92" x14ac:dyDescent="0.2">
      <c r="A55" s="2"/>
      <c r="N55" s="2"/>
      <c r="CN55" s="2"/>
    </row>
    <row r="56" spans="1:92" x14ac:dyDescent="0.2">
      <c r="A56" s="2"/>
      <c r="N56" s="2"/>
      <c r="CN56" s="2"/>
    </row>
    <row r="57" spans="1:92" x14ac:dyDescent="0.2">
      <c r="A57" s="2"/>
      <c r="N57" s="2"/>
      <c r="CN57" s="2"/>
    </row>
    <row r="58" spans="1:92" x14ac:dyDescent="0.2">
      <c r="A58" s="2"/>
      <c r="N58" s="2"/>
      <c r="CN58" s="2"/>
    </row>
    <row r="59" spans="1:92" x14ac:dyDescent="0.2">
      <c r="A59" s="2"/>
      <c r="N59" s="2"/>
      <c r="CN59" s="2"/>
    </row>
    <row r="60" spans="1:92" x14ac:dyDescent="0.2">
      <c r="A60" s="2"/>
      <c r="N60" s="2"/>
      <c r="CN60" s="2"/>
    </row>
    <row r="61" spans="1:92" x14ac:dyDescent="0.2">
      <c r="A61" s="2"/>
      <c r="N61" s="2"/>
      <c r="CN61" s="2"/>
    </row>
    <row r="62" spans="1:92" x14ac:dyDescent="0.2">
      <c r="A62" s="2"/>
      <c r="N62" s="2"/>
      <c r="CN62" s="2"/>
    </row>
    <row r="63" spans="1:92" x14ac:dyDescent="0.2">
      <c r="A63" s="2"/>
      <c r="N63" s="2"/>
      <c r="CN63" s="2"/>
    </row>
    <row r="64" spans="1:92" x14ac:dyDescent="0.2">
      <c r="A64" s="2"/>
      <c r="N64" s="2"/>
      <c r="CN64" s="2"/>
    </row>
    <row r="65" spans="1:92" x14ac:dyDescent="0.2">
      <c r="A65" s="2"/>
      <c r="N65" s="2"/>
      <c r="CN65" s="2"/>
    </row>
    <row r="66" spans="1:92" x14ac:dyDescent="0.2">
      <c r="A66" s="2"/>
      <c r="N66" s="2"/>
      <c r="CN66" s="2"/>
    </row>
    <row r="67" spans="1:92" x14ac:dyDescent="0.2">
      <c r="A67" s="2"/>
      <c r="N67" s="2"/>
      <c r="CN67" s="2"/>
    </row>
    <row r="68" spans="1:92" x14ac:dyDescent="0.2">
      <c r="A68" s="2"/>
      <c r="N68" s="2"/>
      <c r="CN68" s="2"/>
    </row>
    <row r="69" spans="1:92" x14ac:dyDescent="0.2">
      <c r="A69" s="2"/>
      <c r="N69" s="2"/>
      <c r="CN69" s="2"/>
    </row>
    <row r="70" spans="1:92" x14ac:dyDescent="0.2">
      <c r="A70" s="2"/>
      <c r="N70" s="2"/>
      <c r="CN70" s="2"/>
    </row>
    <row r="71" spans="1:92" x14ac:dyDescent="0.2">
      <c r="A71" s="2"/>
      <c r="N71" s="2"/>
      <c r="CN71" s="2"/>
    </row>
    <row r="72" spans="1:92" x14ac:dyDescent="0.2">
      <c r="A72" s="2"/>
      <c r="N72" s="2"/>
      <c r="CN72" s="2"/>
    </row>
    <row r="73" spans="1:92" x14ac:dyDescent="0.2">
      <c r="A73" s="2"/>
      <c r="N73" s="2"/>
      <c r="CN73" s="2"/>
    </row>
    <row r="74" spans="1:92" x14ac:dyDescent="0.2">
      <c r="A74" s="2"/>
      <c r="N74" s="2"/>
      <c r="CN74" s="2"/>
    </row>
    <row r="75" spans="1:92" x14ac:dyDescent="0.2">
      <c r="A75" s="2"/>
      <c r="N75" s="2"/>
      <c r="CN75" s="2"/>
    </row>
    <row r="76" spans="1:92" x14ac:dyDescent="0.2">
      <c r="A76" s="2"/>
      <c r="N76" s="2"/>
      <c r="CN76" s="2"/>
    </row>
    <row r="77" spans="1:92" x14ac:dyDescent="0.2">
      <c r="A77" s="2"/>
      <c r="N77" s="2"/>
      <c r="CN77" s="2"/>
    </row>
    <row r="78" spans="1:92" x14ac:dyDescent="0.2">
      <c r="A78" s="2"/>
      <c r="N78" s="2"/>
      <c r="CN78" s="2"/>
    </row>
    <row r="79" spans="1:92" x14ac:dyDescent="0.2">
      <c r="A79" s="2"/>
      <c r="N79" s="2"/>
      <c r="CN79" s="2"/>
    </row>
    <row r="80" spans="1:92" x14ac:dyDescent="0.2">
      <c r="A80" s="2"/>
      <c r="N80" s="2"/>
      <c r="CN80" s="2"/>
    </row>
    <row r="81" spans="1:92" x14ac:dyDescent="0.2">
      <c r="A81" s="2"/>
      <c r="N81" s="2"/>
      <c r="CN81" s="2"/>
    </row>
    <row r="82" spans="1:92" x14ac:dyDescent="0.2">
      <c r="A82" s="2"/>
      <c r="N82" s="2"/>
      <c r="CN82" s="2"/>
    </row>
    <row r="83" spans="1:92" x14ac:dyDescent="0.2">
      <c r="A83" s="2"/>
      <c r="N83" s="2"/>
      <c r="CN83" s="2"/>
    </row>
    <row r="84" spans="1:92" x14ac:dyDescent="0.2">
      <c r="A84" s="2"/>
      <c r="N84" s="2"/>
      <c r="CN84" s="2"/>
    </row>
    <row r="85" spans="1:92" x14ac:dyDescent="0.2">
      <c r="A85" s="2"/>
      <c r="N85" s="2"/>
      <c r="CN85" s="2"/>
    </row>
    <row r="86" spans="1:92" x14ac:dyDescent="0.2">
      <c r="A86" s="2"/>
      <c r="N86" s="2"/>
      <c r="CN86" s="2"/>
    </row>
    <row r="87" spans="1:92" x14ac:dyDescent="0.2">
      <c r="A87" s="2"/>
      <c r="N87" s="2"/>
      <c r="CN87" s="2"/>
    </row>
    <row r="88" spans="1:92" x14ac:dyDescent="0.2">
      <c r="A88" s="2"/>
      <c r="N88" s="2"/>
      <c r="CN88" s="2"/>
    </row>
    <row r="89" spans="1:92" x14ac:dyDescent="0.2">
      <c r="A89" s="2"/>
      <c r="N89" s="2"/>
      <c r="CN89" s="2"/>
    </row>
    <row r="90" spans="1:92" x14ac:dyDescent="0.2">
      <c r="A90" s="2"/>
      <c r="N90" s="2"/>
      <c r="CN90" s="2"/>
    </row>
    <row r="91" spans="1:92" x14ac:dyDescent="0.2">
      <c r="A91" s="2"/>
      <c r="N91" s="2"/>
      <c r="CN91" s="2"/>
    </row>
    <row r="92" spans="1:92" x14ac:dyDescent="0.2">
      <c r="A92" s="2"/>
      <c r="N92" s="2"/>
      <c r="CN92" s="2"/>
    </row>
    <row r="93" spans="1:92" x14ac:dyDescent="0.2">
      <c r="A93" s="2"/>
      <c r="N93" s="2"/>
      <c r="CN93" s="2"/>
    </row>
    <row r="94" spans="1:92" x14ac:dyDescent="0.2">
      <c r="A94" s="2"/>
      <c r="N94" s="2"/>
      <c r="CN94" s="2"/>
    </row>
    <row r="95" spans="1:92" x14ac:dyDescent="0.2">
      <c r="A95" s="2"/>
      <c r="N95" s="2"/>
      <c r="CN95" s="2"/>
    </row>
    <row r="96" spans="1:92" x14ac:dyDescent="0.2">
      <c r="A96" s="2"/>
      <c r="N96" s="2"/>
      <c r="CN96" s="2"/>
    </row>
    <row r="97" spans="1:92" x14ac:dyDescent="0.2">
      <c r="A97" s="2"/>
      <c r="N97" s="2"/>
      <c r="CN97" s="2"/>
    </row>
    <row r="98" spans="1:92" x14ac:dyDescent="0.2">
      <c r="A98" s="2"/>
      <c r="N98" s="2"/>
      <c r="CN98" s="2"/>
    </row>
    <row r="99" spans="1:92" x14ac:dyDescent="0.2">
      <c r="A99" s="2"/>
      <c r="N99" s="2"/>
      <c r="CN99" s="2"/>
    </row>
    <row r="100" spans="1:92" x14ac:dyDescent="0.2">
      <c r="A100" s="2"/>
      <c r="N100" s="2"/>
      <c r="CN100" s="2"/>
    </row>
    <row r="101" spans="1:92" x14ac:dyDescent="0.2">
      <c r="A101" s="2"/>
      <c r="N101" s="2"/>
      <c r="CN101" s="2"/>
    </row>
    <row r="102" spans="1:92" x14ac:dyDescent="0.2">
      <c r="A102" s="2"/>
      <c r="N102" s="2"/>
      <c r="CN102" s="2"/>
    </row>
    <row r="103" spans="1:92" x14ac:dyDescent="0.2">
      <c r="A103" s="2"/>
      <c r="N103" s="2"/>
      <c r="CN103" s="2"/>
    </row>
    <row r="104" spans="1:92" x14ac:dyDescent="0.2">
      <c r="A104" s="2"/>
      <c r="N104" s="2"/>
      <c r="CN104" s="2"/>
    </row>
    <row r="105" spans="1:92" x14ac:dyDescent="0.2">
      <c r="A105" s="2"/>
      <c r="N105" s="2"/>
      <c r="CN105" s="2"/>
    </row>
    <row r="106" spans="1:92" x14ac:dyDescent="0.2">
      <c r="A106" s="2"/>
      <c r="N106" s="2"/>
      <c r="CN106" s="2"/>
    </row>
    <row r="107" spans="1:92" x14ac:dyDescent="0.2">
      <c r="A107" s="2"/>
      <c r="N107" s="2"/>
      <c r="CN107" s="2"/>
    </row>
    <row r="108" spans="1:92" x14ac:dyDescent="0.2">
      <c r="A108" s="2"/>
      <c r="N108" s="2"/>
      <c r="CN108" s="2"/>
    </row>
    <row r="109" spans="1:92" x14ac:dyDescent="0.2">
      <c r="A109" s="2"/>
      <c r="N109" s="2"/>
      <c r="CN109" s="2"/>
    </row>
    <row r="110" spans="1:92" x14ac:dyDescent="0.2">
      <c r="A110" s="2"/>
      <c r="N110" s="2"/>
      <c r="CN110" s="2"/>
    </row>
    <row r="111" spans="1:92" x14ac:dyDescent="0.2">
      <c r="A111" s="2"/>
      <c r="N111" s="2"/>
      <c r="CN111" s="2"/>
    </row>
    <row r="112" spans="1:92" x14ac:dyDescent="0.2">
      <c r="A112" s="2"/>
      <c r="N112" s="2"/>
      <c r="CN112" s="2"/>
    </row>
    <row r="113" spans="1:92" x14ac:dyDescent="0.2">
      <c r="A113" s="2"/>
      <c r="N113" s="2"/>
      <c r="CN113" s="2"/>
    </row>
    <row r="114" spans="1:92" x14ac:dyDescent="0.2">
      <c r="A114" s="2"/>
      <c r="N114" s="2"/>
      <c r="CN114" s="2"/>
    </row>
    <row r="115" spans="1:92" x14ac:dyDescent="0.2">
      <c r="A115" s="2"/>
      <c r="N115" s="2"/>
      <c r="CN115" s="2"/>
    </row>
    <row r="116" spans="1:92" x14ac:dyDescent="0.2">
      <c r="A116" s="2"/>
      <c r="N116" s="2"/>
      <c r="CN116" s="2"/>
    </row>
    <row r="117" spans="1:92" x14ac:dyDescent="0.2">
      <c r="A117" s="2"/>
      <c r="N117" s="2"/>
      <c r="CN117" s="2"/>
    </row>
    <row r="118" spans="1:92" x14ac:dyDescent="0.2">
      <c r="A118" s="2"/>
      <c r="N118" s="2"/>
      <c r="CN118" s="2"/>
    </row>
    <row r="119" spans="1:92" x14ac:dyDescent="0.2">
      <c r="A119" s="2"/>
      <c r="N119" s="2"/>
      <c r="CN119" s="2"/>
    </row>
    <row r="120" spans="1:92" x14ac:dyDescent="0.2">
      <c r="A120" s="2"/>
      <c r="N120" s="2"/>
      <c r="CN120" s="2"/>
    </row>
    <row r="121" spans="1:92" x14ac:dyDescent="0.2">
      <c r="A121" s="2"/>
      <c r="N121" s="2"/>
      <c r="CN121" s="2"/>
    </row>
    <row r="122" spans="1:92" x14ac:dyDescent="0.2">
      <c r="A122" s="2"/>
      <c r="N122" s="2"/>
      <c r="CN122" s="2"/>
    </row>
    <row r="123" spans="1:92" x14ac:dyDescent="0.2">
      <c r="A123" s="2"/>
      <c r="N123" s="2"/>
      <c r="CN123" s="2"/>
    </row>
    <row r="124" spans="1:92" x14ac:dyDescent="0.2">
      <c r="A124" s="2"/>
      <c r="N124" s="2"/>
      <c r="CN124" s="2"/>
    </row>
    <row r="125" spans="1:92" x14ac:dyDescent="0.2">
      <c r="A125" s="2"/>
      <c r="N125" s="2"/>
      <c r="CN125" s="2"/>
    </row>
    <row r="126" spans="1:92" x14ac:dyDescent="0.2">
      <c r="A126" s="2"/>
      <c r="N126" s="2"/>
      <c r="CN126" s="2"/>
    </row>
    <row r="127" spans="1:92" x14ac:dyDescent="0.2">
      <c r="A127" s="2"/>
      <c r="N127" s="2"/>
      <c r="CN127" s="2"/>
    </row>
    <row r="128" spans="1:92" x14ac:dyDescent="0.2">
      <c r="A128" s="2"/>
      <c r="N128" s="2"/>
      <c r="CN128" s="2"/>
    </row>
    <row r="129" spans="1:92" x14ac:dyDescent="0.2">
      <c r="A129" s="2"/>
      <c r="N129" s="2"/>
      <c r="CN129" s="2"/>
    </row>
    <row r="130" spans="1:92" x14ac:dyDescent="0.2">
      <c r="A130" s="2"/>
      <c r="N130" s="2"/>
      <c r="CN130" s="2"/>
    </row>
    <row r="131" spans="1:92" x14ac:dyDescent="0.2">
      <c r="A131" s="2"/>
      <c r="N131" s="2"/>
      <c r="CN131" s="2"/>
    </row>
    <row r="132" spans="1:92" x14ac:dyDescent="0.2">
      <c r="A132" s="2"/>
      <c r="N132" s="2"/>
      <c r="CN132" s="2"/>
    </row>
    <row r="133" spans="1:92" x14ac:dyDescent="0.2">
      <c r="A133" s="2"/>
      <c r="N133" s="2"/>
      <c r="CN133" s="2"/>
    </row>
    <row r="134" spans="1:92" x14ac:dyDescent="0.2">
      <c r="A134" s="2"/>
      <c r="N134" s="2"/>
      <c r="CN134" s="2"/>
    </row>
    <row r="135" spans="1:92" x14ac:dyDescent="0.2">
      <c r="A135" s="2"/>
      <c r="N135" s="2"/>
      <c r="CN135" s="2"/>
    </row>
    <row r="136" spans="1:92" x14ac:dyDescent="0.2">
      <c r="A136" s="2"/>
      <c r="N136" s="2"/>
      <c r="CN136" s="2"/>
    </row>
    <row r="137" spans="1:92" x14ac:dyDescent="0.2">
      <c r="A137" s="2"/>
      <c r="N137" s="2"/>
      <c r="CN137" s="2"/>
    </row>
    <row r="138" spans="1:92" x14ac:dyDescent="0.2">
      <c r="A138" s="2"/>
      <c r="N138" s="2"/>
      <c r="CN138" s="2"/>
    </row>
    <row r="139" spans="1:92" x14ac:dyDescent="0.2">
      <c r="A139" s="2"/>
      <c r="N139" s="2"/>
      <c r="CN139" s="2"/>
    </row>
    <row r="140" spans="1:92" x14ac:dyDescent="0.2">
      <c r="A140" s="2"/>
      <c r="N140" s="2"/>
      <c r="CN140" s="2"/>
    </row>
    <row r="141" spans="1:92" x14ac:dyDescent="0.2">
      <c r="A141" s="2"/>
      <c r="N141" s="2"/>
      <c r="CN141" s="2"/>
    </row>
    <row r="142" spans="1:92" x14ac:dyDescent="0.2">
      <c r="A142" s="2"/>
      <c r="N142" s="2"/>
      <c r="CN142" s="2"/>
    </row>
    <row r="143" spans="1:92" x14ac:dyDescent="0.2">
      <c r="A143" s="2"/>
      <c r="N143" s="2"/>
      <c r="CN143" s="2"/>
    </row>
    <row r="144" spans="1:92" x14ac:dyDescent="0.2">
      <c r="A144" s="2"/>
      <c r="N144" s="2"/>
      <c r="CN144" s="2"/>
    </row>
    <row r="145" spans="1:92" x14ac:dyDescent="0.2">
      <c r="A145" s="2"/>
      <c r="N145" s="2"/>
      <c r="CN145" s="2"/>
    </row>
    <row r="146" spans="1:92" x14ac:dyDescent="0.2">
      <c r="A146" s="2"/>
      <c r="N146" s="2"/>
      <c r="CN146" s="2"/>
    </row>
    <row r="147" spans="1:92" x14ac:dyDescent="0.2">
      <c r="A147" s="2"/>
      <c r="N147" s="2"/>
      <c r="CN147" s="2"/>
    </row>
    <row r="148" spans="1:92" x14ac:dyDescent="0.2">
      <c r="A148" s="2"/>
      <c r="N148" s="2"/>
      <c r="CN148" s="2"/>
    </row>
    <row r="149" spans="1:92" x14ac:dyDescent="0.2">
      <c r="A149" s="2"/>
      <c r="N149" s="2"/>
      <c r="CN149" s="2"/>
    </row>
    <row r="150" spans="1:92" x14ac:dyDescent="0.2">
      <c r="A150" s="2"/>
      <c r="N150" s="2"/>
      <c r="CN150" s="2"/>
    </row>
    <row r="151" spans="1:92" x14ac:dyDescent="0.2">
      <c r="A151" s="2"/>
      <c r="N151" s="2"/>
      <c r="CN151" s="2"/>
    </row>
    <row r="152" spans="1:92" x14ac:dyDescent="0.2">
      <c r="A152" s="2"/>
      <c r="N152" s="2"/>
      <c r="CN152" s="2"/>
    </row>
    <row r="153" spans="1:92" x14ac:dyDescent="0.2">
      <c r="A153" s="2"/>
      <c r="N153" s="2"/>
      <c r="CN153" s="2"/>
    </row>
    <row r="154" spans="1:92" x14ac:dyDescent="0.2">
      <c r="A154" s="2"/>
      <c r="N154" s="2"/>
      <c r="CN154" s="2"/>
    </row>
    <row r="155" spans="1:92" x14ac:dyDescent="0.2">
      <c r="A155" s="2"/>
      <c r="N155" s="2"/>
      <c r="CN155" s="2"/>
    </row>
    <row r="156" spans="1:92" x14ac:dyDescent="0.2">
      <c r="A156" s="2"/>
      <c r="N156" s="2"/>
      <c r="CN156" s="2"/>
    </row>
    <row r="157" spans="1:92" x14ac:dyDescent="0.2">
      <c r="A157" s="2"/>
      <c r="N157" s="2"/>
      <c r="CN157" s="2"/>
    </row>
    <row r="158" spans="1:92" x14ac:dyDescent="0.2">
      <c r="A158" s="2"/>
      <c r="N158" s="2"/>
      <c r="CN158" s="2"/>
    </row>
    <row r="159" spans="1:92" x14ac:dyDescent="0.2">
      <c r="A159" s="2"/>
      <c r="N159" s="2"/>
      <c r="CN159" s="2"/>
    </row>
    <row r="160" spans="1:92" x14ac:dyDescent="0.2">
      <c r="A160" s="2"/>
      <c r="N160" s="2"/>
      <c r="CN160" s="2"/>
    </row>
    <row r="161" spans="1:92" x14ac:dyDescent="0.2">
      <c r="A161" s="2"/>
      <c r="N161" s="2"/>
      <c r="CN161" s="2"/>
    </row>
    <row r="162" spans="1:92" x14ac:dyDescent="0.2">
      <c r="A162" s="2"/>
      <c r="N162" s="2"/>
      <c r="CN162" s="2"/>
    </row>
    <row r="163" spans="1:92" x14ac:dyDescent="0.2">
      <c r="A163" s="2"/>
      <c r="N163" s="2"/>
      <c r="CN163" s="2"/>
    </row>
    <row r="164" spans="1:92" x14ac:dyDescent="0.2">
      <c r="A164" s="2"/>
      <c r="N164" s="2"/>
      <c r="CN164" s="2"/>
    </row>
    <row r="165" spans="1:92" x14ac:dyDescent="0.2">
      <c r="A165" s="2"/>
      <c r="N165" s="2"/>
      <c r="CN165" s="2"/>
    </row>
    <row r="166" spans="1:92" x14ac:dyDescent="0.2">
      <c r="A166" s="2"/>
      <c r="N166" s="2"/>
      <c r="CN166" s="2"/>
    </row>
    <row r="167" spans="1:92" x14ac:dyDescent="0.2">
      <c r="A167" s="2"/>
      <c r="N167" s="2"/>
      <c r="CN167" s="2"/>
    </row>
    <row r="168" spans="1:92" x14ac:dyDescent="0.2">
      <c r="A168" s="2"/>
      <c r="N168" s="2"/>
      <c r="CN168" s="2"/>
    </row>
    <row r="169" spans="1:92" x14ac:dyDescent="0.2">
      <c r="A169" s="2"/>
      <c r="N169" s="2"/>
      <c r="CN169" s="2"/>
    </row>
    <row r="170" spans="1:92" x14ac:dyDescent="0.2">
      <c r="A170" s="2"/>
      <c r="N170" s="2"/>
      <c r="CN170" s="2"/>
    </row>
    <row r="171" spans="1:92" x14ac:dyDescent="0.2">
      <c r="A171" s="2"/>
      <c r="N171" s="2"/>
      <c r="CN171" s="2"/>
    </row>
    <row r="172" spans="1:92" x14ac:dyDescent="0.2">
      <c r="A172" s="2"/>
      <c r="N172" s="2"/>
      <c r="CN172" s="2"/>
    </row>
    <row r="173" spans="1:92" x14ac:dyDescent="0.2">
      <c r="A173" s="2"/>
      <c r="N173" s="2"/>
      <c r="CN173" s="2"/>
    </row>
    <row r="174" spans="1:92" x14ac:dyDescent="0.2">
      <c r="A174" s="2"/>
      <c r="N174" s="2"/>
      <c r="CN174" s="2"/>
    </row>
    <row r="175" spans="1:92" x14ac:dyDescent="0.2">
      <c r="A175" s="2"/>
      <c r="N175" s="2"/>
      <c r="CN175" s="2"/>
    </row>
    <row r="176" spans="1:92" x14ac:dyDescent="0.2">
      <c r="A176" s="2"/>
      <c r="N176" s="2"/>
      <c r="CN176" s="2"/>
    </row>
    <row r="177" spans="1:92" x14ac:dyDescent="0.2">
      <c r="A177" s="2"/>
      <c r="N177" s="2"/>
      <c r="CN177" s="2"/>
    </row>
    <row r="178" spans="1:92" x14ac:dyDescent="0.2">
      <c r="A178" s="2"/>
      <c r="N178" s="2"/>
      <c r="CN178" s="2"/>
    </row>
    <row r="179" spans="1:92" x14ac:dyDescent="0.2">
      <c r="A179" s="2"/>
      <c r="N179" s="2"/>
      <c r="CN179" s="2"/>
    </row>
    <row r="180" spans="1:92" x14ac:dyDescent="0.2">
      <c r="A180" s="2"/>
      <c r="N180" s="2"/>
      <c r="CN180" s="2"/>
    </row>
    <row r="181" spans="1:92" x14ac:dyDescent="0.2">
      <c r="A181" s="2"/>
      <c r="N181" s="2"/>
      <c r="CN181" s="2"/>
    </row>
    <row r="182" spans="1:92" x14ac:dyDescent="0.2">
      <c r="A182" s="2"/>
      <c r="N182" s="2"/>
      <c r="CN182" s="2"/>
    </row>
    <row r="183" spans="1:92" x14ac:dyDescent="0.2">
      <c r="A183" s="2"/>
      <c r="N183" s="2"/>
      <c r="CN183" s="2"/>
    </row>
    <row r="184" spans="1:92" x14ac:dyDescent="0.2">
      <c r="A184" s="2"/>
      <c r="N184" s="2"/>
      <c r="CN184" s="2"/>
    </row>
    <row r="185" spans="1:92" x14ac:dyDescent="0.2">
      <c r="A185" s="2"/>
      <c r="N185" s="2"/>
      <c r="CN185" s="2"/>
    </row>
    <row r="186" spans="1:92" x14ac:dyDescent="0.2">
      <c r="A186" s="2"/>
      <c r="N186" s="2"/>
      <c r="CN186" s="2"/>
    </row>
    <row r="187" spans="1:92" x14ac:dyDescent="0.2">
      <c r="A187" s="2"/>
      <c r="N187" s="2"/>
      <c r="CN187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Main</vt:lpstr>
      <vt:lpstr>Port Attribute</vt:lpstr>
      <vt:lpstr>Data</vt:lpstr>
      <vt:lpstr>Sheet2</vt:lpstr>
      <vt:lpstr>Cash Intraday</vt:lpstr>
      <vt:lpstr>Cash Projection</vt:lpstr>
      <vt:lpstr>SCBSFF</vt:lpstr>
      <vt:lpstr>SCBRM1</vt:lpstr>
      <vt:lpstr>SCBRM2</vt:lpstr>
      <vt:lpstr>SCBRF</vt:lpstr>
      <vt:lpstr>SCBSFFPLUS</vt:lpstr>
      <vt:lpstr>SCBTMF</vt:lpstr>
      <vt:lpstr>SCBTMFPLUS</vt:lpstr>
      <vt:lpstr>SCBFPFUND</vt:lpstr>
      <vt:lpstr>SCBFIXED</vt:lpstr>
      <vt:lpstr>SCBPLUS</vt:lpstr>
      <vt:lpstr>DDE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2018-10-05T09:02:29Z</dcterms:created>
  <dcterms:modified xsi:type="dcterms:W3CDTF">2018-10-11T07:44:41Z</dcterms:modified>
</cp:coreProperties>
</file>